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tables/table23.xml" ContentType="application/vnd.openxmlformats-officedocument.spreadsheetml.table+xml"/>
  <Override PartName="/xl/worksheets/sheet26.xml" ContentType="application/vnd.openxmlformats-officedocument.spreadsheetml.worksheet+xml"/>
  <Override PartName="/xl/tables/table24.xml" ContentType="application/vnd.openxmlformats-officedocument.spreadsheetml.table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ables/table25.xml" ContentType="application/vnd.openxmlformats-officedocument.spreadsheetml.table+xml"/>
  <Override PartName="/xl/worksheets/sheet29.xml" ContentType="application/vnd.openxmlformats-officedocument.spreadsheetml.worksheet+xml"/>
  <Override PartName="/xl/tables/table26.xml" ContentType="application/vnd.openxmlformats-officedocument.spreadsheetml.table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tables/table27.xml" ContentType="application/vnd.openxmlformats-officedocument.spreadsheetml.table+xml"/>
  <Override PartName="/xl/worksheets/sheet72.xml" ContentType="application/vnd.openxmlformats-officedocument.spreadsheetml.worksheet+xml"/>
  <Override PartName="/xl/tables/table28.xml" ContentType="application/vnd.openxmlformats-officedocument.spreadsheetml.table+xml"/>
  <Override PartName="/xl/worksheets/sheet73.xml" ContentType="application/vnd.openxmlformats-officedocument.spreadsheetml.worksheet+xml"/>
  <Override PartName="/xl/tables/table29.xml" ContentType="application/vnd.openxmlformats-officedocument.spreadsheetml.table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tables/table30.xml" ContentType="application/vnd.openxmlformats-officedocument.spreadsheetml.table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tables/table31.xml" ContentType="application/vnd.openxmlformats-officedocument.spreadsheetml.table+xml"/>
  <Override PartName="/xl/worksheets/sheet104.xml" ContentType="application/vnd.openxmlformats-officedocument.spreadsheetml.worksheet+xml"/>
  <Override PartName="/xl/tables/table32.xml" ContentType="application/vnd.openxmlformats-officedocument.spreadsheetml.table+xml"/>
  <Override PartName="/xl/worksheets/sheet105.xml" ContentType="application/vnd.openxmlformats-officedocument.spreadsheetml.worksheet+xml"/>
  <Override PartName="/xl/tables/table33.xml" ContentType="application/vnd.openxmlformats-officedocument.spreadsheetml.table+xml"/>
  <Override PartName="/xl/worksheets/sheet106.xml" ContentType="application/vnd.openxmlformats-officedocument.spreadsheetml.worksheet+xml"/>
  <Override PartName="/xl/tables/table34.xml" ContentType="application/vnd.openxmlformats-officedocument.spreadsheetml.table+xml"/>
  <Override PartName="/xl/worksheets/sheet107.xml" ContentType="application/vnd.openxmlformats-officedocument.spreadsheetml.worksheet+xml"/>
  <Override PartName="/xl/tables/table35.xml" ContentType="application/vnd.openxmlformats-officedocument.spreadsheetml.table+xml"/>
  <Override PartName="/xl/worksheets/sheet108.xml" ContentType="application/vnd.openxmlformats-officedocument.spreadsheetml.worksheet+xml"/>
  <Override PartName="/xl/tables/table36.xml" ContentType="application/vnd.openxmlformats-officedocument.spreadsheetml.table+xml"/>
  <Override PartName="/xl/worksheets/sheet109.xml" ContentType="application/vnd.openxmlformats-officedocument.spreadsheetml.worksheet+xml"/>
  <Override PartName="/xl/tables/table37.xml" ContentType="application/vnd.openxmlformats-officedocument.spreadsheetml.table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8dd63616a64c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ex" sheetId="1" r:id="Rd83eb19031dd452e"/>
    <x:sheet xmlns:r="http://schemas.openxmlformats.org/officeDocument/2006/relationships" name="Instructions" sheetId="2" r:id="R7813442aaff54e87"/>
    <x:sheet xmlns:r="http://schemas.openxmlformats.org/officeDocument/2006/relationships" name="_Lists" sheetId="3" r:id="R16881dc97ea943d4"/>
    <x:sheet xmlns:r="http://schemas.openxmlformats.org/officeDocument/2006/relationships" name="Alert Dialog" sheetId="4" r:id="R12bdc5d0aca5415a"/>
    <x:sheet xmlns:r="http://schemas.openxmlformats.org/officeDocument/2006/relationships" name="App Bar" sheetId="5" r:id="Redf4b49a78cc4859"/>
    <x:sheet xmlns:r="http://schemas.openxmlformats.org/officeDocument/2006/relationships" name="Avatar" sheetId="6" r:id="R950f96fdf25e455c"/>
    <x:sheet xmlns:r="http://schemas.openxmlformats.org/officeDocument/2006/relationships" name="Badge" sheetId="7" r:id="R07ffa34a0b1e4db1"/>
    <x:sheet xmlns:r="http://schemas.openxmlformats.org/officeDocument/2006/relationships" name="Button" sheetId="8" r:id="R99105755526a4f8f"/>
    <x:sheet xmlns:r="http://schemas.openxmlformats.org/officeDocument/2006/relationships" name="Card" sheetId="9" r:id="Raca06363fd314949"/>
    <x:sheet xmlns:r="http://schemas.openxmlformats.org/officeDocument/2006/relationships" name="Checkbox" sheetId="10" r:id="R39ccf741b68e4955"/>
    <x:sheet xmlns:r="http://schemas.openxmlformats.org/officeDocument/2006/relationships" name="Checkbox Group" sheetId="11" r:id="R236fb40d8a1747af"/>
    <x:sheet xmlns:r="http://schemas.openxmlformats.org/officeDocument/2006/relationships" name="Dialog" sheetId="12" r:id="R6836a18992574267"/>
    <x:sheet xmlns:r="http://schemas.openxmlformats.org/officeDocument/2006/relationships" name="Drawer" sheetId="13" r:id="R39a10fcdb6154133"/>
    <x:sheet xmlns:r="http://schemas.openxmlformats.org/officeDocument/2006/relationships" name="Field" sheetId="14" r:id="R76eef43400c04934"/>
    <x:sheet xmlns:r="http://schemas.openxmlformats.org/officeDocument/2006/relationships" name="Fieldset" sheetId="15" r:id="R003ef0f877a441a1"/>
    <x:sheet xmlns:r="http://schemas.openxmlformats.org/officeDocument/2006/relationships" name="Form" sheetId="16" r:id="R46c95d1767b3404f"/>
    <x:sheet xmlns:r="http://schemas.openxmlformats.org/officeDocument/2006/relationships" name="Hover Card" sheetId="17" r:id="R660d23e188574081"/>
    <x:sheet xmlns:r="http://schemas.openxmlformats.org/officeDocument/2006/relationships" name="Icon Button" sheetId="18" r:id="Rbb6b3a5c48344e77"/>
    <x:sheet xmlns:r="http://schemas.openxmlformats.org/officeDocument/2006/relationships" name="Input" sheetId="19" r:id="R4d36d2bfcef94189"/>
    <x:sheet xmlns:r="http://schemas.openxmlformats.org/officeDocument/2006/relationships" name="Link" sheetId="20" r:id="Rf038b35cc3774343"/>
    <x:sheet xmlns:r="http://schemas.openxmlformats.org/officeDocument/2006/relationships" name="Text" sheetId="21" r:id="R75a3d2c025324a99"/>
    <x:sheet xmlns:r="http://schemas.openxmlformats.org/officeDocument/2006/relationships" name="Notification Badge" sheetId="22" r:id="R8e7dafb3282d42f3"/>
    <x:sheet xmlns:r="http://schemas.openxmlformats.org/officeDocument/2006/relationships" name="Popover" sheetId="23" r:id="R1b7c4869d48e47d5"/>
    <x:sheet xmlns:r="http://schemas.openxmlformats.org/officeDocument/2006/relationships" name="Toggle" sheetId="24" r:id="R8edb2789150242b3"/>
    <x:sheet xmlns:r="http://schemas.openxmlformats.org/officeDocument/2006/relationships" name="Toggle Group" sheetId="25" r:id="R451b983ef31641e9"/>
    <x:sheet xmlns:r="http://schemas.openxmlformats.org/officeDocument/2006/relationships" name="Stack" sheetId="26" r:id="R8943845ca0ad434c"/>
    <x:sheet xmlns:r="http://schemas.openxmlformats.org/officeDocument/2006/relationships" name="Group" sheetId="27" r:id="R2850def6603e4e18"/>
    <x:sheet xmlns:r="http://schemas.openxmlformats.org/officeDocument/2006/relationships" name="Tooltip" sheetId="28" r:id="R1b540610b9e54a16"/>
    <x:sheet xmlns:r="http://schemas.openxmlformats.org/officeDocument/2006/relationships" name="Grid" sheetId="29" r:id="Rcc93f643409b4169"/>
    <x:sheet xmlns:r="http://schemas.openxmlformats.org/officeDocument/2006/relationships" name="Container" sheetId="30" r:id="Rd273923bbe0949b7"/>
    <x:sheet xmlns:r="http://schemas.openxmlformats.org/officeDocument/2006/relationships" name="Surface" sheetId="31" r:id="Ra0dc79e16912453b"/>
    <x:sheet xmlns:r="http://schemas.openxmlformats.org/officeDocument/2006/relationships" name="Divider" sheetId="32" r:id="R9b38c8bb892941cf"/>
    <x:sheet xmlns:r="http://schemas.openxmlformats.org/officeDocument/2006/relationships" name="Scroll Area" sheetId="33" r:id="R9c3a6fed3cfd4815"/>
    <x:sheet xmlns:r="http://schemas.openxmlformats.org/officeDocument/2006/relationships" name="Code" sheetId="34" r:id="R64134f0ab41e4df3"/>
    <x:sheet xmlns:r="http://schemas.openxmlformats.org/officeDocument/2006/relationships" name="Code Block" sheetId="35" r:id="Rdbb372232e2a4bd3"/>
    <x:sheet xmlns:r="http://schemas.openxmlformats.org/officeDocument/2006/relationships" name="Nav List" sheetId="36" r:id="Rfed1d8e5aa4a441f"/>
    <x:sheet xmlns:r="http://schemas.openxmlformats.org/officeDocument/2006/relationships" name="Sidebar" sheetId="37" r:id="R62665de59e044f02"/>
    <x:sheet xmlns:r="http://schemas.openxmlformats.org/officeDocument/2006/relationships" name="Icon" sheetId="38" r:id="R7be4c5e57cce463c"/>
    <x:sheet xmlns:r="http://schemas.openxmlformats.org/officeDocument/2006/relationships" name="Image" sheetId="39" r:id="Rcf129925a7f04ef3"/>
    <x:sheet xmlns:r="http://schemas.openxmlformats.org/officeDocument/2006/relationships" name="List" sheetId="40" r:id="R7a4fea23c2e84c78"/>
    <x:sheet xmlns:r="http://schemas.openxmlformats.org/officeDocument/2006/relationships" name="Select" sheetId="41" r:id="R7bc83675ba444be7"/>
    <x:sheet xmlns:r="http://schemas.openxmlformats.org/officeDocument/2006/relationships" name="Multi Select" sheetId="42" r:id="Ree3b9d04683c4417"/>
    <x:sheet xmlns:r="http://schemas.openxmlformats.org/officeDocument/2006/relationships" name="Textarea" sheetId="43" r:id="R4ef811cc46f94173"/>
    <x:sheet xmlns:r="http://schemas.openxmlformats.org/officeDocument/2006/relationships" name="Radio Group" sheetId="44" r:id="R8c62d75fc8514ef8"/>
    <x:sheet xmlns:r="http://schemas.openxmlformats.org/officeDocument/2006/relationships" name="Switch" sheetId="45" r:id="Rb32a72254d464ce5"/>
    <x:sheet xmlns:r="http://schemas.openxmlformats.org/officeDocument/2006/relationships" name="Breadcrumb" sheetId="46" r:id="Rae8922e638fb4406"/>
    <x:sheet xmlns:r="http://schemas.openxmlformats.org/officeDocument/2006/relationships" name="Tabs" sheetId="47" r:id="R32100d75a9db451a"/>
    <x:sheet xmlns:r="http://schemas.openxmlformats.org/officeDocument/2006/relationships" name="Skeleton" sheetId="48" r:id="Rcf1913bf49314380"/>
    <x:sheet xmlns:r="http://schemas.openxmlformats.org/officeDocument/2006/relationships" name="Dropdown Menu" sheetId="49" r:id="Rfb66c661ca94443d"/>
    <x:sheet xmlns:r="http://schemas.openxmlformats.org/officeDocument/2006/relationships" name="Context Menu" sheetId="50" r:id="Re86521c0c9234de1"/>
    <x:sheet xmlns:r="http://schemas.openxmlformats.org/officeDocument/2006/relationships" name="Menubar" sheetId="51" r:id="R3c5554dbdc834dd2"/>
    <x:sheet xmlns:r="http://schemas.openxmlformats.org/officeDocument/2006/relationships" name="Navigation Menu" sheetId="52" r:id="Ra74cf790c3d34a73"/>
    <x:sheet xmlns:r="http://schemas.openxmlformats.org/officeDocument/2006/relationships" name="Bottom Navigation" sheetId="53" r:id="R7f1a63b0c50d41bd"/>
    <x:sheet xmlns:r="http://schemas.openxmlformats.org/officeDocument/2006/relationships" name="Visually Hidden" sheetId="54" r:id="R96a970762ed34b6d"/>
    <x:sheet xmlns:r="http://schemas.openxmlformats.org/officeDocument/2006/relationships" name="Collapsible" sheetId="55" r:id="R3d6b3fd073e2468e"/>
    <x:sheet xmlns:r="http://schemas.openxmlformats.org/officeDocument/2006/relationships" name="Accordion" sheetId="56" r:id="R473243d00faa4366"/>
    <x:sheet xmlns:r="http://schemas.openxmlformats.org/officeDocument/2006/relationships" name="Toast" sheetId="57" r:id="Rb2e81e9af2924fc4"/>
    <x:sheet xmlns:r="http://schemas.openxmlformats.org/officeDocument/2006/relationships" name="Table" sheetId="58" r:id="R7d06786acfe34f72"/>
    <x:sheet xmlns:r="http://schemas.openxmlformats.org/officeDocument/2006/relationships" name="Pagination" sheetId="59" r:id="R66773e99a1df4428"/>
    <x:sheet xmlns:r="http://schemas.openxmlformats.org/officeDocument/2006/relationships" name="Data Grid" sheetId="60" r:id="Rf5c3dc9832de4542"/>
    <x:sheet xmlns:r="http://schemas.openxmlformats.org/officeDocument/2006/relationships" name="Tree Grid" sheetId="61" r:id="Rd333ffa545a64d51"/>
    <x:sheet xmlns:r="http://schemas.openxmlformats.org/officeDocument/2006/relationships" name="Tree" sheetId="62" r:id="Ra6cb75c20982479e"/>
    <x:sheet xmlns:r="http://schemas.openxmlformats.org/officeDocument/2006/relationships" name="Feed" sheetId="63" r:id="R764b64e1acc64d9b"/>
    <x:sheet xmlns:r="http://schemas.openxmlformats.org/officeDocument/2006/relationships" name="Aspect Ratio" sheetId="64" r:id="R55de03df65984812"/>
    <x:sheet xmlns:r="http://schemas.openxmlformats.org/officeDocument/2006/relationships" name="Toolbar" sheetId="65" r:id="R73162c43ae514f0a"/>
    <x:sheet xmlns:r="http://schemas.openxmlformats.org/officeDocument/2006/relationships" name="Chip" sheetId="66" r:id="R954cf445ae4c428a"/>
    <x:sheet xmlns:r="http://schemas.openxmlformats.org/officeDocument/2006/relationships" name="Combobox" sheetId="67" r:id="Rb9e167b7bf514c3f"/>
    <x:sheet xmlns:r="http://schemas.openxmlformats.org/officeDocument/2006/relationships" name="Number Input" sheetId="68" r:id="R3fe792008ee744be"/>
    <x:sheet xmlns:r="http://schemas.openxmlformats.org/officeDocument/2006/relationships" name="OTP Field" sheetId="69" r:id="R6f0b279aaac44df7"/>
    <x:sheet xmlns:r="http://schemas.openxmlformats.org/officeDocument/2006/relationships" name="Password Toggle Field" sheetId="70" r:id="Re58c6c3a9bf44dd3"/>
    <x:sheet xmlns:r="http://schemas.openxmlformats.org/officeDocument/2006/relationships" name="Slider" sheetId="71" r:id="Rc618506497834f48"/>
    <x:sheet xmlns:r="http://schemas.openxmlformats.org/officeDocument/2006/relationships" name="Rating" sheetId="72" r:id="Rda2063772a264b2d"/>
    <x:sheet xmlns:r="http://schemas.openxmlformats.org/officeDocument/2006/relationships" name="File Upload" sheetId="73" r:id="R4cfbc35aa7584ff6"/>
    <x:sheet xmlns:r="http://schemas.openxmlformats.org/officeDocument/2006/relationships" name="Skip Link" sheetId="74" r:id="Ra9e192008bd94888"/>
    <x:sheet xmlns:r="http://schemas.openxmlformats.org/officeDocument/2006/relationships" name="Show" sheetId="75" r:id="R8cd92e919a524636"/>
    <x:sheet xmlns:r="http://schemas.openxmlformats.org/officeDocument/2006/relationships" name="Hide" sheetId="76" r:id="R5d1038b4ae8a4785"/>
    <x:sheet xmlns:r="http://schemas.openxmlformats.org/officeDocument/2006/relationships" name="Swipeable Item" sheetId="77" r:id="R0cab5c1532b14576"/>
    <x:sheet xmlns:r="http://schemas.openxmlformats.org/officeDocument/2006/relationships" name="Progress" sheetId="78" r:id="R91ea4b4357bb4aeb"/>
    <x:sheet xmlns:r="http://schemas.openxmlformats.org/officeDocument/2006/relationships" name="Progress Circle" sheetId="79" r:id="Rdbcace6a306b486d"/>
    <x:sheet xmlns:r="http://schemas.openxmlformats.org/officeDocument/2006/relationships" name="Carousel" sheetId="80" r:id="Rdc0e65487a8943eb"/>
    <x:sheet xmlns:r="http://schemas.openxmlformats.org/officeDocument/2006/relationships" name="ZStack" sheetId="81" r:id="Rf31370a299cc41dc"/>
    <x:sheet xmlns:r="http://schemas.openxmlformats.org/officeDocument/2006/relationships" name="Appearance" sheetId="82" r:id="Rbb52012fdbb849a3"/>
    <x:sheet xmlns:r="http://schemas.openxmlformats.org/officeDocument/2006/relationships" name="Frame" sheetId="83" r:id="R16f556ea247a40d2"/>
    <x:sheet xmlns:r="http://schemas.openxmlformats.org/officeDocument/2006/relationships" name="Section" sheetId="84" r:id="R4ddba72e146f4b00"/>
    <x:sheet xmlns:r="http://schemas.openxmlformats.org/officeDocument/2006/relationships" name="Reorderable List" sheetId="85" r:id="R87168078a8354765"/>
    <x:sheet xmlns:r="http://schemas.openxmlformats.org/officeDocument/2006/relationships" name="Color Swatch" sheetId="86" r:id="R4c66c15c58e54d7e"/>
    <x:sheet xmlns:r="http://schemas.openxmlformats.org/officeDocument/2006/relationships" name="Bleed" sheetId="87" r:id="R2e06029712f5475a"/>
    <x:sheet xmlns:r="http://schemas.openxmlformats.org/officeDocument/2006/relationships" name="Data List" sheetId="88" r:id="R512deabe9591487d"/>
    <x:sheet xmlns:r="http://schemas.openxmlformats.org/officeDocument/2006/relationships" name="Link Box" sheetId="89" r:id="R81c6653fcb064608"/>
    <x:sheet xmlns:r="http://schemas.openxmlformats.org/officeDocument/2006/relationships" name="Segment Group" sheetId="90" r:id="R213b005fd2d9483a"/>
    <x:sheet xmlns:r="http://schemas.openxmlformats.org/officeDocument/2006/relationships" name="Status" sheetId="91" r:id="Rc6da3861db414030"/>
    <x:sheet xmlns:r="http://schemas.openxmlformats.org/officeDocument/2006/relationships" name="Color Picker" sheetId="92" r:id="Rb20c3a1064dd4392"/>
    <x:sheet xmlns:r="http://schemas.openxmlformats.org/officeDocument/2006/relationships" name="Em" sheetId="93" r:id="Ra440dab1d3744087"/>
    <x:sheet xmlns:r="http://schemas.openxmlformats.org/officeDocument/2006/relationships" name="Mark" sheetId="94" r:id="Rb7cf9c0b70424530"/>
    <x:sheet xmlns:r="http://schemas.openxmlformats.org/officeDocument/2006/relationships" name="Kbd" sheetId="95" r:id="R792cb51c1b9d400a"/>
    <x:sheet xmlns:r="http://schemas.openxmlformats.org/officeDocument/2006/relationships" name="Blockquote" sheetId="96" r:id="R43c7866d06a042b8"/>
    <x:sheet xmlns:r="http://schemas.openxmlformats.org/officeDocument/2006/relationships" name="Highlight" sheetId="97" r:id="R6041f18fc49e4f04"/>
    <x:sheet xmlns:r="http://schemas.openxmlformats.org/officeDocument/2006/relationships" name="Prose" sheetId="98" r:id="Rb2de620635994ae1"/>
    <x:sheet xmlns:r="http://schemas.openxmlformats.org/officeDocument/2006/relationships" name="Avatar Group" sheetId="99" r:id="R272ffc7e025d47de"/>
    <x:sheet xmlns:r="http://schemas.openxmlformats.org/officeDocument/2006/relationships" name="Center" sheetId="100" r:id="Rac11332cc8a9498e"/>
    <x:sheet xmlns:r="http://schemas.openxmlformats.org/officeDocument/2006/relationships" name="Square" sheetId="101" r:id="R4f52feec511c4e03"/>
    <x:sheet xmlns:r="http://schemas.openxmlformats.org/officeDocument/2006/relationships" name="Circle" sheetId="102" r:id="R25570cfd1bd64a96"/>
    <x:sheet xmlns:r="http://schemas.openxmlformats.org/officeDocument/2006/relationships" name="Radio Card" sheetId="103" r:id="Rfabead27fc1d4f33"/>
    <x:sheet xmlns:r="http://schemas.openxmlformats.org/officeDocument/2006/relationships" name="Locale Provider" sheetId="104" r:id="R5f3a8404d850448e"/>
    <x:sheet xmlns:r="http://schemas.openxmlformats.org/officeDocument/2006/relationships" name="Format Number" sheetId="105" r:id="R3a7189761d9444a0"/>
    <x:sheet xmlns:r="http://schemas.openxmlformats.org/officeDocument/2006/relationships" name="Format Byte" sheetId="106" r:id="Rf4358a943fb14bec"/>
    <x:sheet xmlns:r="http://schemas.openxmlformats.org/officeDocument/2006/relationships" name="For" sheetId="107" r:id="R9b037718da32467b"/>
    <x:sheet xmlns:r="http://schemas.openxmlformats.org/officeDocument/2006/relationships" name="Checkmark" sheetId="108" r:id="R658e2923e3bf4a7e"/>
    <x:sheet xmlns:r="http://schemas.openxmlformats.org/officeDocument/2006/relationships" name="Radiomark" sheetId="109" r:id="Rdcda0e23db274896"/>
    <x:sheet xmlns:r="http://schemas.openxmlformats.org/officeDocument/2006/relationships" name="Steps" sheetId="110" r:id="R377dd520d7184cf2"/>
    <x:sheet xmlns:r="http://schemas.openxmlformats.org/officeDocument/2006/relationships" name="Splitter" sheetId="111" r:id="Rb4f856036bc34b19"/>
    <x:sheet xmlns:r="http://schemas.openxmlformats.org/officeDocument/2006/relationships" name="CloseButton" sheetId="112" r:id="R6dff9d5e97724b27"/>
    <x:sheet xmlns:r="http://schemas.openxmlformats.org/officeDocument/2006/relationships" name="DownloadTrigger" sheetId="113" r:id="R416a872a667b4bb9"/>
    <x:sheet xmlns:r="http://schemas.openxmlformats.org/officeDocument/2006/relationships" name="Calendar" sheetId="114" r:id="R7810fbe0755a4945"/>
    <x:sheet xmlns:r="http://schemas.openxmlformats.org/officeDocument/2006/relationships" name="Date Input" sheetId="115" r:id="R9ec66e21e0064560"/>
    <x:sheet xmlns:r="http://schemas.openxmlformats.org/officeDocument/2006/relationships" name="Date Picker" sheetId="116" r:id="Reb9e9661b3b442a2"/>
    <x:sheet xmlns:r="http://schemas.openxmlformats.org/officeDocument/2006/relationships" name="Action Bar" sheetId="117" r:id="Raf35412f3a9d455f"/>
    <x:sheet xmlns:r="http://schemas.openxmlformats.org/officeDocument/2006/relationships" name="Floating Panel" sheetId="118" r:id="R290102b6273c429f"/>
    <x:sheet xmlns:r="http://schemas.openxmlformats.org/officeDocument/2006/relationships" name="Overlay Manager" sheetId="119" r:id="R2db11194de844e76"/>
    <x:sheet xmlns:r="http://schemas.openxmlformats.org/officeDocument/2006/relationships" name="Spinner" sheetId="120" r:id="Rca615d228bae4452"/>
    <x:sheet xmlns:r="http://schemas.openxmlformats.org/officeDocument/2006/relationships" name="Alert" sheetId="121" r:id="Re62641e6f1fd4820"/>
    <x:sheet xmlns:r="http://schemas.openxmlformats.org/officeDocument/2006/relationships" name="Empty State" sheetId="122" r:id="R945140cf5b874a46"/>
    <x:sheet xmlns:r="http://schemas.openxmlformats.org/officeDocument/2006/relationships" name="Stat" sheetId="123" r:id="R1d0de82183314b24"/>
    <x:sheet xmlns:r="http://schemas.openxmlformats.org/officeDocument/2006/relationships" name="Timeline" sheetId="124" r:id="R56aa42ba6f934670"/>
    <x:sheet xmlns:r="http://schemas.openxmlformats.org/officeDocument/2006/relationships" name="Marquee" sheetId="125" r:id="R07816886cf46494f"/>
    <x:sheet xmlns:r="http://schemas.openxmlformats.org/officeDocument/2006/relationships" name="Native Select" sheetId="126" r:id="Rb4b461a85e3d4ea1"/>
    <x:sheet xmlns:r="http://schemas.openxmlformats.org/officeDocument/2006/relationships" name="Editable" sheetId="127" r:id="R6c0e08b7ff5448e6"/>
    <x:sheet xmlns:r="http://schemas.openxmlformats.org/officeDocument/2006/relationships" name="Tags Input" sheetId="128" r:id="R43ebb71e1ef144dd"/>
    <x:sheet xmlns:r="http://schemas.openxmlformats.org/officeDocument/2006/relationships" name="Pin Input" sheetId="129" r:id="R64a2a44f4df94501"/>
    <x:sheet xmlns:r="http://schemas.openxmlformats.org/officeDocument/2006/relationships" name="QR Code" sheetId="130" r:id="R78499e5acffe426a"/>
    <x:sheet xmlns:r="http://schemas.openxmlformats.org/officeDocument/2006/relationships" name="Table of Contents" sheetId="131" r:id="Rb682c52373974881"/>
    <x:sheet xmlns:r="http://schemas.openxmlformats.org/officeDocument/2006/relationships" name="Float" sheetId="132" r:id="R1b0aa80c283e4afb"/>
    <x:sheet xmlns:r="http://schemas.openxmlformats.org/officeDocument/2006/relationships" name="ButtonGroup" sheetId="133" r:id="R2da5989b69534fb2"/>
    <x:sheet xmlns:r="http://schemas.openxmlformats.org/officeDocument/2006/relationships" name="Toggle Tip" sheetId="134" r:id="R224cf674fea14c4e"/>
    <x:sheet xmlns:r="http://schemas.openxmlformats.org/officeDocument/2006/relationships" name="Checkbox Card" sheetId="135" r:id="R08062c3909064499"/>
    <x:sheet xmlns:r="http://schemas.openxmlformats.org/officeDocument/2006/relationships" name="Input Addon" sheetId="136" r:id="R8f9449f294174a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0%"/>
    <x:numFmt numFmtId="165" formatCode="yyyy\-mm\-dd"/>
    <x:numFmt numFmtId="166" formatCode="yyyy\-mm\-dd\ h:mm:ss"/>
    <x:numFmt numFmtId="200" formatCode="0%"/>
  </x:numFmts>
  <x:fonts count="44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theme="1"/>
      <x:name val="Calibri"/>
    </x:font>
    <x:font>
      <x:b/>
      <x:sz val="22"/>
      <x:color rgb="FFFFFFFF"/>
      <x:name val="Aptos Display"/>
    </x:font>
    <x:font>
      <x:sz val="10"/>
      <x:color rgb="FF5E6B7C"/>
      <x:name val="Aptos"/>
    </x:font>
    <x:font>
      <x:b/>
      <x:sz val="9"/>
      <x:color rgb="FF5E6B7C"/>
      <x:name val="Aptos"/>
    </x:font>
    <x:font>
      <x:b/>
      <x:sz val="14"/>
      <x:color rgb="FF172033"/>
      <x:name val="Aptos Display"/>
    </x:font>
    <x:font>
      <x:sz val="9"/>
      <x:color rgb="FF1F2937"/>
      <x:name val="Calibri"/>
    </x:font>
    <x:font>
      <x:sz val="10"/>
      <x:color rgb="FF172033"/>
      <x:name val="Aptos"/>
    </x:font>
    <x:font>
      <x:b/>
      <x:sz val="18"/>
      <x:color rgb="FFFFFFFF"/>
      <x:name val="Aptos Display"/>
    </x:font>
    <x:font>
      <x:sz val="9"/>
      <x:color rgb="FF64748B"/>
      <x:name val="Aptos"/>
    </x:font>
    <x:font>
      <x:b/>
      <x:sz val="9"/>
      <x:color rgb="FF64748B"/>
      <x:name val="Aptos"/>
    </x:font>
    <x:font>
      <x:b/>
      <x:sz val="12"/>
      <x:color rgb="FF172033"/>
      <x:name val="Aptos Display"/>
    </x:font>
    <x:font>
      <x:sz val="9"/>
      <x:color rgb="FF64748B"/>
      <x:name val="Calibri"/>
    </x:font>
    <x:font>
      <x:b/>
      <x:sz val="9"/>
      <x:color rgb="FFFFFFFF"/>
      <x:name val="Calibri"/>
    </x:font>
    <x:font>
      <x:sz val="11"/>
      <x:color rgb="FF000000"/>
      <x:name val="Calibri"/>
    </x:font>
    <x:font>
      <x:b/>
      <x:sz val="17"/>
      <x:color rgb="FFFFFFFF"/>
      <x:name val="Calibri"/>
    </x:font>
    <x:font>
      <x:sz val="11"/>
      <x:color rgb="FF475569"/>
      <x:name val="Calibri"/>
    </x:font>
    <x:font>
      <x:b/>
      <x:sz val="11"/>
      <x:color rgb="FF172033"/>
      <x:name val="Calibri"/>
    </x:font>
    <x:font>
      <x:sz val="11"/>
      <x:color rgb="FF172033"/>
      <x:name val="Calibri"/>
    </x:font>
    <x:font>
      <x:b/>
      <x:sz val="18"/>
      <x:color rgb="FFFFFFFF"/>
      <x:name val="Calibri"/>
    </x:font>
    <x:font>
      <x:b/>
      <x:sz val="12"/>
      <x:color rgb="FF172033"/>
      <x:name val="Calibri"/>
    </x:font>
    <x:font>
      <x:b/>
      <x:sz val="10"/>
      <x:color rgb="FFFFFFFF"/>
      <x:name val="Aptos"/>
    </x:font>
    <x:font>
      <x:b/>
      <x:sz val="16"/>
      <x:color rgb="FFFFFFFF"/>
      <x:name val="Arial"/>
    </x:font>
    <x:font>
      <x:i/>
      <x:sz val="10"/>
      <x:color rgb="FF526274"/>
      <x:name val="Arial"/>
    </x:font>
    <x:font>
      <x:b/>
      <x:sz val="10"/>
      <x:color rgb="FF526274"/>
      <x:name val="Arial"/>
    </x:font>
    <x:font>
      <x:b/>
      <x:sz val="12"/>
      <x:color rgb="FF162033"/>
      <x:name val="Arial"/>
    </x:font>
    <x:font>
      <x:sz val="10"/>
      <x:color rgb="FF162033"/>
      <x:name val="Arial"/>
    </x:font>
    <x:font>
      <x:b/>
      <x:sz val="10"/>
      <x:color rgb="FFFFFFFF"/>
      <x:name val="Arial"/>
    </x:font>
    <x:font>
      <x:sz val="10"/>
      <x:color rgb="FF263341"/>
      <x:name val="Arial"/>
    </x:font>
    <x:font>
      <x:i/>
      <x:sz val="10"/>
      <x:color rgb="FF53677F"/>
      <x:name val="Arial"/>
    </x:font>
    <x:font>
      <x:sz val="10"/>
      <x:color rgb="FF172238"/>
      <x:name val="Arial"/>
    </x:font>
    <x:font>
      <x:b/>
      <x:sz val="14"/>
      <x:name val="Arial"/>
    </x:font>
    <x:font>
      <x:b/>
      <x:sz val="10"/>
      <x:color rgb="FF172033"/>
      <x:name val="Arial"/>
    </x:font>
    <x:font>
      <x:sz val="12"/>
      <x:color rgb="FF172033"/>
      <x:name val="Arial"/>
    </x:font>
    <x:font>
      <x:sz val="11"/>
      <x:color rgb="FF172033"/>
      <x:name val="Arial"/>
    </x:font>
    <x:font>
      <x:b/>
      <x:sz val="11"/>
      <x:color rgb="FFFFFFFF"/>
      <x:name val="Arial"/>
    </x:font>
    <x:font>
      <x:sz val="11"/>
      <x:color rgb="FF172B4D"/>
      <x:name val="Arial"/>
    </x:font>
    <x:font>
      <x:sz val="11"/>
      <x:name val="Arial"/>
    </x:font>
    <x:font>
      <x:b/>
      <x:sz val="16"/>
      <x:name val="Arial"/>
    </x:font>
    <x:font>
      <x:b/>
      <x:sz val="11"/>
      <x:name val="Arial"/>
    </x:font>
  </x:fonts>
  <x:fills count="25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4F86C6"/>
      </x:patternFill>
    </x:fill>
    <x:fill>
      <x:patternFill patternType="solid">
        <x:fgColor rgb="FFDCEAFB"/>
      </x:patternFill>
    </x:fill>
    <x:fill>
      <x:patternFill patternType="solid">
        <x:fgColor rgb="FFEEF2F7"/>
      </x:patternFill>
    </x:fill>
    <x:fill>
      <x:patternFill patternType="solid">
        <x:fgColor rgb="FFE2E8F0"/>
      </x:patternFill>
    </x:fill>
    <x:fill>
      <x:patternFill patternType="solid">
        <x:fgColor rgb="FFFFFFFF"/>
      </x:patternFill>
    </x:fill>
    <x:fill>
      <x:patternFill patternType="solid">
        <x:fgColor rgb="FFF1F5F9"/>
      </x:patternFill>
    </x:fill>
    <x:fill>
      <x:patternFill patternType="solid">
        <x:fgColor rgb="FFDDF3E7"/>
      </x:patternFill>
    </x:fill>
    <x:fill>
      <x:patternFill patternType="solid">
        <x:fgColor rgb="FFE8EEF8"/>
      </x:patternFill>
    </x:fill>
    <x:fill>
      <x:patternFill patternType="solid">
        <x:fgColor rgb="FF162033"/>
      </x:patternFill>
    </x:fill>
    <x:fill>
      <x:patternFill patternType="solid">
        <x:fgColor rgb="FFF5F8FC"/>
      </x:patternFill>
    </x:fill>
    <x:fill>
      <x:patternFill patternType="solid">
        <x:fgColor rgb="FF3B78B8"/>
      </x:patternFill>
    </x:fill>
    <x:fill>
      <x:patternFill patternType="solid">
        <x:fgColor rgb="FFE6F0FF"/>
      </x:patternFill>
    </x:fill>
    <x:fill>
      <x:patternFill patternType="solid">
        <x:fgColor rgb="FFF2F6FB"/>
      </x:patternFill>
    </x:fill>
    <x:fill>
      <x:patternFill patternType="solid">
        <x:fgColor rgb="FFF8FAFC"/>
      </x:patternFill>
    </x:fill>
    <x:fill>
      <x:patternFill patternType="solid">
        <x:fgColor rgb="FF172238"/>
      </x:patternFill>
    </x:fill>
    <x:fill>
      <x:patternFill patternType="solid">
        <x:fgColor rgb="FFF4F7FC"/>
      </x:patternFill>
    </x:fill>
    <x:fill>
      <x:patternFill patternType="solid">
        <x:fgColor rgb="FF3E79B8"/>
      </x:patternFill>
    </x:fill>
    <x:fill>
      <x:patternFill patternType="solid">
        <x:fgColor rgb="FF2E2E2B"/>
      </x:patternFill>
    </x:fill>
    <x:fill>
      <x:patternFill patternType="solid">
        <x:fgColor rgb="FF243247"/>
      </x:patternFill>
    </x:fill>
    <x:fill>
      <x:patternFill patternType="solid">
        <x:fgColor rgb="FF4472C4"/>
      </x:patternFill>
    </x:fill>
    <x:fill>
      <x:patternFill patternType="solid">
        <x:fgColor rgb="FF5184BD"/>
      </x:patternFill>
    </x:fill>
    <x:fill>
      <x:patternFill patternType="solid">
        <x:fgColor rgb="FFE7EDF3"/>
      </x:patternFill>
    </x:fill>
  </x:fills>
  <x:borders count="6">
    <x:border/>
    <x:border>
      <x:left style="thin">
        <x:color rgb="FFC9D8EC"/>
      </x:left>
      <x:right style="thin">
        <x:color rgb="FFC9D8EC"/>
      </x:right>
      <x:top style="thin">
        <x:color rgb="FFC9D8EC"/>
      </x:top>
      <x:bottom style="thin">
        <x:color rgb="FFC9D8EC"/>
      </x:bottom>
    </x:border>
    <x:border>
      <x:bottom style="thin">
        <x:color rgb="FFC9D9EE"/>
      </x:bottom>
    </x:border>
    <x:border>
      <x:top style="thin">
        <x:color rgb="FFC9D9EE"/>
      </x:top>
      <x:bottom style="thin">
        <x:color rgb="FFC9D9EE"/>
      </x:bottom>
    </x:border>
    <x:border>
      <x:left style="thin">
        <x:color rgb="FFD8E3F2"/>
      </x:left>
      <x:right style="thin">
        <x:color rgb="FFD8E3F2"/>
      </x:right>
      <x:top style="thin">
        <x:color rgb="FFD8E3F2"/>
      </x:top>
      <x:bottom style="thin">
        <x:color rgb="FFD8E3F2"/>
      </x:bottom>
    </x:border>
    <x:border>
      <x:bottom style="thin">
        <x:color rgb="FFDCE5F0"/>
      </x:bottom>
    </x:border>
  </x:borders>
  <x:cellStyleXfs count="25">
    <x:xf numFmtId="0" fontId="4" fillId="0" borderId="0" applyAlignment="1">
      <x:alignment horizontal="general" vertical="bottom"/>
    </x:xf>
    <x:xf numFmtId="43" fontId="4" fillId="0" borderId="0"/>
    <x:xf numFmtId="41" fontId="4" fillId="0" borderId="0"/>
    <x:xf numFmtId="44" fontId="4" fillId="0" borderId="0"/>
    <x:xf numFmtId="42" fontId="4" fillId="0" borderId="0"/>
    <x:xf numFmtId="9" fontId="4" fillId="0" borderId="0"/>
    <x:xf/>
    <x:xf/>
    <x:xf/>
    <x:xf/>
    <x:xf/>
    <x:xf/>
    <x:xf/>
    <x:xf/>
    <x:xf/>
    <x:xf/>
    <x:xf/>
    <x:xf/>
    <x:xf/>
    <x:xf/>
    <x:xf/>
    <x:xf/>
    <x:xf/>
    <x:xf/>
    <x:xf/>
  </x:cellStyleXfs>
  <x:cellXfs count="254">
    <x:xf numFmtId="0" fontId="0" fillId="0" borderId="0" xfId="0" applyAlignment="1">
      <x:alignment horizontal="general" vertical="bottom"/>
    </x:xf>
    <x:xf numFmtId="0" fontId="5" fillId="0" borderId="0" xfId="0" applyAlignment="1">
      <x:alignment horizontal="general" vertical="bottom"/>
    </x:xf>
    <x:xf numFmtId="9" fontId="5" fillId="0" borderId="0" xfId="0" applyAlignment="1">
      <x:alignment horizontal="general" vertical="bottom"/>
    </x:xf>
    <x:xf numFmtId="0" fontId="6" fillId="2" borderId="0" xfId="0" applyAlignment="1">
      <x:alignment horizontal="general" vertical="center"/>
    </x:xf>
    <x:xf numFmtId="0" fontId="4" fillId="0" borderId="0" xfId="0" applyAlignment="1">
      <x:alignment horizontal="general" vertical="bottom"/>
    </x:xf>
    <x:xf numFmtId="0" fontId="7" fillId="0" borderId="0" xfId="0" applyAlignment="1">
      <x:alignment horizontal="general" vertical="center" wrapText="1"/>
    </x:xf>
    <x:xf numFmtId="0" fontId="8" fillId="0" borderId="0" xfId="0" applyAlignment="1">
      <x:alignment horizontal="general" vertical="bottom"/>
    </x:xf>
    <x:xf numFmtId="0" fontId="9" fillId="0" borderId="0" xfId="0" applyAlignment="1">
      <x:alignment horizontal="general" vertical="bottom"/>
    </x:xf>
    <x:xf numFmtId="9" fontId="9" fillId="0" borderId="0" xfId="0" applyAlignment="1">
      <x:alignment horizontal="general" vertical="bottom"/>
    </x:xf>
    <x:xf numFmtId="0" fontId="10" fillId="0" borderId="1" xfId="0" applyAlignment="1">
      <x:alignment horizontal="general" vertical="center"/>
    </x:xf>
    <x:xf numFmtId="9" fontId="10" fillId="0" borderId="1" xfId="24" applyAlignment="1">
      <x:alignment horizontal="general" vertical="center"/>
    </x:xf>
    <x:xf numFmtId="0" fontId="11" fillId="0" borderId="2" xfId="24" applyAlignment="1">
      <x:alignment horizontal="general" vertical="bottom"/>
    </x:xf>
    <x:xf numFmtId="9" fontId="11" fillId="0" borderId="2" xfId="24" applyAlignment="1">
      <x:alignment horizontal="general" vertical="bottom"/>
    </x:xf>
    <x:xf numFmtId="0" fontId="4" fillId="0" borderId="0" xfId="24" applyAlignment="1">
      <x:alignment horizontal="general" vertical="bottom"/>
    </x:xf>
    <x:xf numFmtId="9" fontId="4" fillId="0" borderId="0" xfId="24" applyAlignment="1">
      <x:alignment horizontal="general" vertical="bottom"/>
    </x:xf>
    <x:xf numFmtId="164" fontId="4" fillId="0" borderId="0" xfId="24" applyAlignment="1">
      <x:alignment horizontal="general" vertical="bottom"/>
    </x:xf>
    <x:xf numFmtId="165" fontId="5" fillId="0" borderId="0" xfId="0" applyAlignment="1">
      <x:alignment horizontal="general" vertical="bottom"/>
    </x:xf>
    <x:xf numFmtId="0" fontId="5" fillId="0" borderId="0" xfId="24" applyAlignment="1">
      <x:alignment horizontal="general" vertical="bottom" wrapText="1"/>
    </x:xf>
    <x:xf numFmtId="0" fontId="4" fillId="0" borderId="0" xfId="24" applyAlignment="1">
      <x:alignment horizontal="general" vertical="bottom" wrapText="1"/>
    </x:xf>
    <x:xf numFmtId="0" fontId="5" fillId="0" borderId="0" xfId="24" applyAlignment="1">
      <x:alignment horizontal="general" vertical="center" wrapText="1"/>
    </x:xf>
    <x:xf numFmtId="165" fontId="5" fillId="0" borderId="0" xfId="24" applyAlignment="1">
      <x:alignment horizontal="general" vertical="center" wrapText="1"/>
    </x:xf>
    <x:xf numFmtId="0" fontId="4" fillId="0" borderId="0" xfId="24" applyAlignment="1">
      <x:alignment horizontal="general" vertical="center" wrapText="1"/>
    </x:xf>
    <x:xf numFmtId="165" fontId="5" fillId="0" borderId="0" xfId="24" applyAlignment="1">
      <x:alignment horizontal="general" vertical="bottom" wrapText="1"/>
    </x:xf>
    <x:xf numFmtId="0" fontId="4" fillId="0" borderId="0" xfId="24" applyAlignment="1">
      <x:alignment horizontal="general" vertical="top" wrapText="1"/>
    </x:xf>
    <x:xf numFmtId="0" fontId="5" fillId="0" borderId="0" xfId="0" applyAlignment="1">
      <x:alignment horizontal="general" vertical="center"/>
    </x:xf>
    <x:xf numFmtId="0" fontId="5" fillId="0" borderId="0" xfId="0" applyAlignment="1">
      <x:alignment horizontal="general" vertical="center" wrapText="1"/>
    </x:xf>
    <x:xf numFmtId="165" fontId="5" fillId="0" borderId="0" xfId="0" applyAlignment="1">
      <x:alignment horizontal="general" vertical="center"/>
    </x:xf>
    <x:xf numFmtId="165" fontId="4" fillId="0" borderId="0" xfId="24" applyAlignment="1">
      <x:alignment horizontal="general" vertical="center" wrapText="1"/>
    </x:xf>
    <x:xf numFmtId="0" fontId="12" fillId="2" borderId="0" xfId="0" applyAlignment="1">
      <x:alignment horizontal="general" vertical="center"/>
    </x:xf>
    <x:xf numFmtId="0" fontId="13" fillId="0" borderId="0" xfId="0" applyAlignment="1">
      <x:alignment horizontal="general" vertical="center" wrapText="1"/>
    </x:xf>
    <x:xf numFmtId="0" fontId="14" fillId="0" borderId="0" xfId="0" applyAlignment="1">
      <x:alignment horizontal="general" vertical="bottom"/>
    </x:xf>
    <x:xf numFmtId="0" fontId="15" fillId="0" borderId="0" xfId="0" applyAlignment="1">
      <x:alignment horizontal="general" vertical="bottom"/>
    </x:xf>
    <x:xf numFmtId="0" fontId="16" fillId="0" borderId="0" xfId="0" applyAlignment="1">
      <x:alignment horizontal="general" vertical="bottom"/>
    </x:xf>
    <x:xf numFmtId="9" fontId="15" fillId="0" borderId="0" xfId="0" applyAlignment="1">
      <x:alignment horizontal="general" vertical="bottom"/>
    </x:xf>
    <x:xf numFmtId="0" fontId="17" fillId="3" borderId="0" xfId="0" applyAlignment="1">
      <x:alignment horizontal="general" vertical="center"/>
    </x:xf>
    <x:xf numFmtId="165" fontId="17" fillId="3" borderId="0" xfId="0" applyAlignment="1">
      <x:alignment horizontal="general" vertical="center"/>
    </x:xf>
    <x:xf numFmtId="0" fontId="10" fillId="0" borderId="1" xfId="0" applyAlignment="1">
      <x:alignment horizontal="general" vertical="center" wrapText="1"/>
    </x:xf>
    <x:xf numFmtId="0" fontId="10" fillId="4" borderId="1" xfId="0" applyAlignment="1">
      <x:alignment horizontal="general" vertical="center" wrapText="1"/>
    </x:xf>
    <x:xf numFmtId="165" fontId="10" fillId="0" borderId="1" xfId="0" applyAlignment="1">
      <x:alignment horizontal="general" vertical="center" wrapText="1"/>
    </x:xf>
    <x:xf numFmtId="0" fontId="10" fillId="0" borderId="1" xfId="0" applyAlignment="1">
      <x:alignment horizontal="center" vertical="center" wrapText="1"/>
    </x:xf>
    <x:xf numFmtId="0" fontId="10" fillId="5" borderId="1" xfId="0" applyAlignment="1">
      <x:alignment horizontal="general" vertical="center" wrapText="1"/>
    </x:xf>
    <x:xf numFmtId="0" fontId="10" fillId="0" borderId="1" xfId="24" applyAlignment="1">
      <x:alignment horizontal="general" vertical="center" wrapText="1"/>
    </x:xf>
    <x:xf numFmtId="165" fontId="5" fillId="0" borderId="0" xfId="24" applyAlignment="1">
      <x:alignment horizontal="general" vertical="center"/>
    </x:xf>
    <x:xf numFmtId="0" fontId="18" fillId="0" borderId="0" xfId="24" applyAlignment="1">
      <x:alignment horizontal="general" vertical="center" wrapText="1"/>
    </x:xf>
    <x:xf numFmtId="0" fontId="5" fillId="0" borderId="0" xfId="24" applyAlignment="1">
      <x:alignment horizontal="general" vertical="top" wrapText="1"/>
    </x:xf>
    <x:xf numFmtId="165" fontId="5" fillId="0" borderId="0" xfId="24" applyAlignment="1">
      <x:alignment horizontal="general" vertical="top" wrapText="1"/>
    </x:xf>
    <x:xf numFmtId="0" fontId="4" fillId="0" borderId="0" xfId="24" applyAlignment="1">
      <x:alignment horizontal="general" vertical="bottom"/>
    </x:xf>
    <x:xf numFmtId="0" fontId="19" fillId="2" borderId="0" xfId="24" applyAlignment="1">
      <x:alignment horizontal="general" vertical="center" wrapText="1"/>
    </x:xf>
    <x:xf numFmtId="0" fontId="20" fillId="0" borderId="0" xfId="24" applyAlignment="1">
      <x:alignment horizontal="general" vertical="center" wrapText="1"/>
    </x:xf>
    <x:xf numFmtId="9" fontId="9" fillId="0" borderId="0" xfId="24" applyAlignment="1">
      <x:alignment horizontal="general" vertical="bottom"/>
    </x:xf>
    <x:xf numFmtId="0" fontId="21" fillId="6" borderId="0" xfId="24" applyAlignment="1">
      <x:alignment horizontal="general" vertical="bottom"/>
    </x:xf>
    <x:xf numFmtId="165" fontId="21" fillId="6" borderId="0" xfId="24" applyAlignment="1">
      <x:alignment horizontal="general" vertical="bottom"/>
    </x:xf>
    <x:xf numFmtId="0" fontId="22" fillId="7" borderId="0" xfId="24" applyAlignment="1">
      <x:alignment horizontal="general" vertical="center" wrapText="1"/>
    </x:xf>
    <x:xf numFmtId="165" fontId="22" fillId="7" borderId="0" xfId="24" applyAlignment="1">
      <x:alignment horizontal="general" vertical="center" wrapText="1"/>
    </x:xf>
    <x:xf numFmtId="0" fontId="22" fillId="8" borderId="0" xfId="24" applyAlignment="1">
      <x:alignment horizontal="general" vertical="center" wrapText="1"/>
    </x:xf>
    <x:xf numFmtId="165" fontId="22" fillId="8" borderId="0" xfId="24" applyAlignment="1">
      <x:alignment horizontal="general" vertical="center" wrapText="1"/>
    </x:xf>
    <x:xf numFmtId="165" fontId="5" fillId="0" borderId="0" xfId="24" applyAlignment="1">
      <x:alignment horizontal="general" vertical="bottom"/>
    </x:xf>
    <x:xf numFmtId="165" fontId="4" fillId="0" borderId="0" xfId="24" applyAlignment="1">
      <x:alignment horizontal="general" vertical="bottom"/>
    </x:xf>
    <x:xf numFmtId="166" fontId="4" fillId="0" borderId="0" xfId="0" applyAlignment="1">
      <x:alignment horizontal="general" vertical="bottom"/>
    </x:xf>
    <x:xf numFmtId="0" fontId="23" fillId="2" borderId="0" xfId="0" applyAlignment="1">
      <x:alignment horizontal="general" vertical="center"/>
    </x:xf>
    <x:xf numFmtId="0" fontId="24" fillId="0" borderId="0" xfId="0" applyAlignment="1">
      <x:alignment horizontal="general" vertical="bottom"/>
    </x:xf>
    <x:xf numFmtId="0" fontId="6" fillId="2" borderId="0" xfId="24" applyAlignment="1">
      <x:alignment horizontal="general" vertical="center"/>
    </x:xf>
    <x:xf numFmtId="0" fontId="7" fillId="0" borderId="0" xfId="24" applyAlignment="1">
      <x:alignment horizontal="general" vertical="center" wrapText="1"/>
    </x:xf>
    <x:xf numFmtId="0" fontId="8" fillId="0" borderId="0" xfId="24" applyAlignment="1">
      <x:alignment horizontal="general" vertical="center"/>
    </x:xf>
    <x:xf numFmtId="0" fontId="9" fillId="0" borderId="0" xfId="24" applyAlignment="1">
      <x:alignment horizontal="general" vertical="center"/>
    </x:xf>
    <x:xf numFmtId="0" fontId="11" fillId="0" borderId="0" xfId="24" applyAlignment="1">
      <x:alignment horizontal="general" vertical="center"/>
    </x:xf>
    <x:xf numFmtId="9" fontId="9" fillId="0" borderId="0" xfId="24" applyAlignment="1">
      <x:alignment horizontal="general" vertical="center"/>
    </x:xf>
    <x:xf numFmtId="0" fontId="25" fillId="3" borderId="0" xfId="24" applyAlignment="1">
      <x:alignment horizontal="general" vertical="center"/>
    </x:xf>
    <x:xf numFmtId="0" fontId="11" fillId="0" borderId="2" xfId="24" applyAlignment="1">
      <x:alignment horizontal="general" vertical="center"/>
    </x:xf>
    <x:xf numFmtId="0" fontId="11" fillId="0" borderId="2" xfId="24" applyAlignment="1">
      <x:alignment horizontal="general" vertical="center" wrapText="1"/>
    </x:xf>
    <x:xf numFmtId="0" fontId="11" fillId="4" borderId="2" xfId="24" applyAlignment="1">
      <x:alignment horizontal="general" vertical="center"/>
    </x:xf>
    <x:xf numFmtId="0" fontId="11" fillId="0" borderId="2" xfId="24" applyAlignment="1">
      <x:alignment horizontal="right" vertical="center"/>
    </x:xf>
    <x:xf numFmtId="0" fontId="11" fillId="0" borderId="3" xfId="24" applyAlignment="1">
      <x:alignment horizontal="general" vertical="center"/>
    </x:xf>
    <x:xf numFmtId="0" fontId="11" fillId="0" borderId="3" xfId="24" applyAlignment="1">
      <x:alignment horizontal="general" vertical="center" wrapText="1"/>
    </x:xf>
    <x:xf numFmtId="0" fontId="11" fillId="4" borderId="3" xfId="24" applyAlignment="1">
      <x:alignment horizontal="general" vertical="center"/>
    </x:xf>
    <x:xf numFmtId="0" fontId="11" fillId="0" borderId="3" xfId="24" applyAlignment="1">
      <x:alignment horizontal="right" vertical="center"/>
    </x:xf>
    <x:xf numFmtId="0" fontId="11" fillId="9" borderId="3" xfId="24" applyAlignment="1">
      <x:alignment horizontal="general" vertical="center"/>
    </x:xf>
    <x:xf numFmtId="0" fontId="11" fillId="10" borderId="3" xfId="24" applyAlignment="1">
      <x:alignment horizontal="general" vertical="center"/>
    </x:xf>
    <x:xf numFmtId="0" fontId="26" fillId="11" borderId="0" xfId="24" applyAlignment="1">
      <x:alignment horizontal="general" vertical="bottom"/>
    </x:xf>
    <x:xf numFmtId="0" fontId="27" fillId="12" borderId="0" xfId="24" applyAlignment="1">
      <x:alignment horizontal="general" vertical="bottom"/>
    </x:xf>
    <x:xf numFmtId="0" fontId="28" fillId="0" borderId="0" xfId="24" applyAlignment="1">
      <x:alignment horizontal="general" vertical="bottom"/>
    </x:xf>
    <x:xf numFmtId="0" fontId="29" fillId="0" borderId="0" xfId="24" applyAlignment="1">
      <x:alignment horizontal="general" vertical="bottom"/>
    </x:xf>
    <x:xf numFmtId="0" fontId="30" fillId="0" borderId="0" xfId="24" applyAlignment="1">
      <x:alignment horizontal="general" vertical="bottom"/>
    </x:xf>
    <x:xf numFmtId="9" fontId="29" fillId="0" borderId="0" xfId="24" applyAlignment="1">
      <x:alignment horizontal="general" vertical="bottom"/>
    </x:xf>
    <x:xf numFmtId="0" fontId="31" fillId="13" borderId="4" xfId="24" applyAlignment="1">
      <x:alignment horizontal="general" vertical="bottom"/>
    </x:xf>
    <x:xf numFmtId="0" fontId="32" fillId="0" borderId="4" xfId="24" applyAlignment="1">
      <x:alignment horizontal="general" vertical="center"/>
    </x:xf>
    <x:xf numFmtId="0" fontId="32" fillId="0" borderId="4" xfId="24" applyAlignment="1">
      <x:alignment horizontal="general" vertical="center" wrapText="1"/>
    </x:xf>
    <x:xf numFmtId="0" fontId="32" fillId="14" borderId="4" xfId="24" applyAlignment="1">
      <x:alignment horizontal="general" vertical="center"/>
    </x:xf>
    <x:xf numFmtId="0" fontId="32" fillId="15" borderId="4" xfId="24" applyAlignment="1">
      <x:alignment horizontal="general" vertical="center"/>
    </x:xf>
    <x:xf numFmtId="165" fontId="32" fillId="16" borderId="4" xfId="24" applyAlignment="1">
      <x:alignment horizontal="general" vertical="center"/>
    </x:xf>
    <x:xf numFmtId="0" fontId="32" fillId="16" borderId="4" xfId="24" applyAlignment="1">
      <x:alignment horizontal="general" vertical="center"/>
    </x:xf>
    <x:xf numFmtId="0" fontId="6" fillId="2" borderId="0" xfId="24" applyAlignment="1">
      <x:alignment horizontal="general" vertical="bottom"/>
    </x:xf>
    <x:xf numFmtId="0" fontId="7" fillId="0" borderId="0" xfId="24" applyAlignment="1">
      <x:alignment horizontal="general" vertical="bottom" wrapText="1"/>
    </x:xf>
    <x:xf numFmtId="0" fontId="4" fillId="0" borderId="0" xfId="24" applyAlignment="1">
      <x:alignment horizontal="general" vertical="center"/>
    </x:xf>
    <x:xf numFmtId="0" fontId="26" fillId="17" borderId="0" xfId="24" applyAlignment="1">
      <x:alignment horizontal="general" vertical="bottom"/>
    </x:xf>
    <x:xf numFmtId="0" fontId="33" fillId="18" borderId="0" xfId="24" applyAlignment="1">
      <x:alignment horizontal="general" vertical="bottom"/>
    </x:xf>
    <x:xf numFmtId="0" fontId="34" fillId="0" borderId="0" xfId="24" applyAlignment="1">
      <x:alignment horizontal="general" vertical="bottom"/>
    </x:xf>
    <x:xf numFmtId="0" fontId="31" fillId="19" borderId="0" xfId="24" applyAlignment="1">
      <x:alignment horizontal="general" vertical="bottom"/>
    </x:xf>
    <x:xf numFmtId="0" fontId="34" fillId="0" borderId="0" xfId="24" applyAlignment="1">
      <x:alignment horizontal="general" vertical="center" wrapText="1"/>
    </x:xf>
    <x:xf numFmtId="0" fontId="34" fillId="0" borderId="5" xfId="24" applyAlignment="1">
      <x:alignment horizontal="general" vertical="center" wrapText="1"/>
    </x:xf>
    <x:xf numFmtId="0" fontId="4" fillId="0" borderId="0" xfId="24" applyAlignment="1">
      <x:alignment horizontal="general" vertical="bottom" wrapText="1"/>
    </x:xf>
    <x:xf numFmtId="0" fontId="35" fillId="0" borderId="0" xfId="24" applyAlignment="1">
      <x:alignment horizontal="general" vertical="center" wrapText="1"/>
    </x:xf>
    <x:xf numFmtId="0" fontId="31" fillId="20" borderId="0" xfId="24" applyAlignment="1">
      <x:alignment horizontal="general" vertical="center" wrapText="1"/>
    </x:xf>
    <x:xf numFmtId="165" fontId="4" fillId="0" borderId="0" xfId="24" applyAlignment="1">
      <x:alignment horizontal="general" vertical="bottom" wrapText="1"/>
    </x:xf>
    <x:xf numFmtId="0" fontId="19" fillId="2" borderId="0" xfId="24" applyAlignment="1">
      <x:alignment horizontal="general" vertical="bottom" wrapText="1"/>
    </x:xf>
    <x:xf numFmtId="0" fontId="20" fillId="0" borderId="0" xfId="24" applyAlignment="1">
      <x:alignment horizontal="general" vertical="bottom" wrapText="1"/>
    </x:xf>
    <x:xf numFmtId="0" fontId="19" fillId="2" borderId="0" xfId="24" applyAlignment="1">
      <x:alignment horizontal="general" vertical="bottom"/>
    </x:xf>
    <x:xf numFmtId="0" fontId="20" fillId="0" borderId="0" xfId="24" applyAlignment="1">
      <x:alignment horizontal="general" vertical="bottom"/>
    </x:xf>
    <x:xf numFmtId="0" fontId="22" fillId="7" borderId="0" xfId="24" applyAlignment="1">
      <x:alignment horizontal="general" vertical="bottom" wrapText="1"/>
    </x:xf>
    <x:xf numFmtId="0" fontId="22" fillId="8" borderId="0" xfId="24" applyAlignment="1">
      <x:alignment horizontal="general" vertical="bottom" wrapText="1"/>
    </x:xf>
    <x:xf numFmtId="0" fontId="26" fillId="2" borderId="0" xfId="24" applyAlignment="1">
      <x:alignment horizontal="general" vertical="bottom"/>
    </x:xf>
    <x:xf numFmtId="0" fontId="4" fillId="0" borderId="0" xfId="24" applyAlignment="1">
      <x:alignment horizontal="general" vertical="bottom"/>
    </x:xf>
    <x:xf numFmtId="0" fontId="36" fillId="6" borderId="0" xfId="24" applyAlignment="1">
      <x:alignment horizontal="general" vertical="bottom"/>
    </x:xf>
    <x:xf numFmtId="0" fontId="4" fillId="8" borderId="0" xfId="24" applyAlignment="1">
      <x:alignment horizontal="general" vertical="bottom" wrapText="1"/>
    </x:xf>
    <x:xf numFmtId="0" fontId="37" fillId="0" borderId="0" xfId="24" applyAlignment="1">
      <x:alignment horizontal="general" vertical="bottom"/>
    </x:xf>
    <x:xf numFmtId="0" fontId="38" fillId="0" borderId="0" xfId="24" applyAlignment="1">
      <x:alignment horizontal="general" vertical="bottom"/>
    </x:xf>
    <x:xf numFmtId="9" fontId="38" fillId="0" borderId="0" xfId="24" applyAlignment="1">
      <x:alignment horizontal="general" vertical="bottom"/>
    </x:xf>
    <x:xf numFmtId="0" fontId="39" fillId="21" borderId="0" xfId="24" applyAlignment="1">
      <x:alignment horizontal="general" vertical="bottom" wrapText="1"/>
    </x:xf>
    <x:xf numFmtId="0" fontId="38" fillId="0" borderId="0" xfId="24" applyAlignment="1">
      <x:alignment horizontal="general" vertical="bottom" wrapText="1"/>
    </x:xf>
    <x:xf numFmtId="0" fontId="40" fillId="0" borderId="0" xfId="24" applyAlignment="1">
      <x:alignment horizontal="general" vertical="bottom" wrapText="1"/>
    </x:xf>
    <x:xf numFmtId="0" fontId="39" fillId="22" borderId="0" xfId="24" applyAlignment="1">
      <x:alignment horizontal="general" vertical="bottom" wrapText="1"/>
    </x:xf>
    <x:xf numFmtId="0" fontId="40" fillId="0" borderId="0" xfId="24" applyAlignment="1">
      <x:alignment horizontal="general" vertical="center" wrapText="1"/>
    </x:xf>
    <x:xf numFmtId="0" fontId="26" fillId="2" borderId="0" xfId="24" applyAlignment="1">
      <x:alignment horizontal="general" vertical="bottom"/>
    </x:xf>
    <x:xf numFmtId="0" fontId="31" fillId="23" borderId="0" xfId="24" applyAlignment="1">
      <x:alignment horizontal="general" vertical="bottom" wrapText="1"/>
    </x:xf>
    <x:xf numFmtId="0" fontId="41" fillId="0" borderId="0" xfId="24" applyAlignment="1">
      <x:alignment horizontal="general" vertical="bottom" wrapText="1"/>
    </x:xf>
    <x:xf numFmtId="0" fontId="5" fillId="0" borderId="0" xfId="0" applyAlignment="1">
      <x:alignment horizontal="general" vertical="bottom"/>
    </x:xf>
    <x:xf numFmtId="9" fontId="5" fillId="0" borderId="0" xfId="0" applyAlignment="1">
      <x:alignment horizontal="general" vertical="bottom"/>
    </x:xf>
    <x:xf numFmtId="0" fontId="4" fillId="0" borderId="0" xfId="0" applyAlignment="1">
      <x:alignment horizontal="general" vertical="bottom"/>
    </x:xf>
    <x:xf numFmtId="0" fontId="6" fillId="2" borderId="0" xfId="0" applyAlignment="1">
      <x:alignment horizontal="general" vertical="center"/>
    </x:xf>
    <x:xf numFmtId="0" fontId="7" fillId="0" borderId="0" xfId="0" applyAlignment="1">
      <x:alignment horizontal="general" vertical="center" wrapText="1"/>
    </x:xf>
    <x:xf numFmtId="0" fontId="8" fillId="0" borderId="0" xfId="0" applyAlignment="1">
      <x:alignment horizontal="general" vertical="bottom"/>
    </x:xf>
    <x:xf numFmtId="0" fontId="9" fillId="0" borderId="0" xfId="0" applyAlignment="1">
      <x:alignment horizontal="general" vertical="bottom"/>
    </x:xf>
    <x:xf numFmtId="9" fontId="9" fillId="0" borderId="0" xfId="0" applyAlignment="1">
      <x:alignment horizontal="general" vertical="bottom"/>
    </x:xf>
    <x:xf numFmtId="0" fontId="10" fillId="0" borderId="1" xfId="0" applyAlignment="1">
      <x:alignment horizontal="general" vertical="center"/>
    </x:xf>
    <x:xf numFmtId="9" fontId="10" fillId="0" borderId="1" xfId="24" applyAlignment="1">
      <x:alignment horizontal="general" vertical="center"/>
    </x:xf>
    <x:xf numFmtId="0" fontId="0" fillId="0" borderId="0" xfId="0"/>
    <x:xf numFmtId="0" fontId="11" fillId="0" borderId="2" xfId="24" applyAlignment="1">
      <x:alignment horizontal="general" vertical="bottom"/>
    </x:xf>
    <x:xf numFmtId="9" fontId="11" fillId="0" borderId="2" xfId="24" applyAlignment="1">
      <x:alignment horizontal="general" vertical="bottom"/>
    </x:xf>
    <x:xf numFmtId="0" fontId="4" fillId="0" borderId="0" xfId="24" applyAlignment="1">
      <x:alignment horizontal="general" vertical="bottom"/>
    </x:xf>
    <x:xf numFmtId="9" fontId="4" fillId="0" borderId="0" xfId="24" applyAlignment="1">
      <x:alignment horizontal="general" vertical="bottom"/>
    </x:xf>
    <x:xf numFmtId="164" fontId="4" fillId="0" borderId="0" xfId="24" applyAlignment="1">
      <x:alignment horizontal="general" vertical="bottom"/>
    </x:xf>
    <x:xf numFmtId="165" fontId="5" fillId="0" borderId="0" xfId="0" applyAlignment="1">
      <x:alignment horizontal="general" vertical="bottom"/>
    </x:xf>
    <x:xf numFmtId="0" fontId="5" fillId="0" borderId="0" xfId="24" applyAlignment="1">
      <x:alignment horizontal="general" vertical="bottom" wrapText="1"/>
    </x:xf>
    <x:xf numFmtId="0" fontId="4" fillId="0" borderId="0" xfId="24" applyAlignment="1">
      <x:alignment horizontal="general" vertical="bottom" wrapText="1"/>
    </x:xf>
    <x:xf numFmtId="0" fontId="5" fillId="0" borderId="0" xfId="24" applyAlignment="1">
      <x:alignment horizontal="general" vertical="center" wrapText="1"/>
    </x:xf>
    <x:xf numFmtId="165" fontId="5" fillId="0" borderId="0" xfId="24" applyAlignment="1">
      <x:alignment horizontal="general" vertical="center" wrapText="1"/>
    </x:xf>
    <x:xf numFmtId="0" fontId="4" fillId="0" borderId="0" xfId="24" applyAlignment="1">
      <x:alignment horizontal="general" vertical="center" wrapText="1"/>
    </x:xf>
    <x:xf numFmtId="165" fontId="5" fillId="0" borderId="0" xfId="24" applyAlignment="1">
      <x:alignment horizontal="general" vertical="bottom" wrapText="1"/>
    </x:xf>
    <x:xf numFmtId="0" fontId="4" fillId="0" borderId="0" xfId="24" applyAlignment="1">
      <x:alignment horizontal="general" vertical="top" wrapText="1"/>
    </x:xf>
    <x:xf numFmtId="0" fontId="5" fillId="0" borderId="0" xfId="0" applyAlignment="1">
      <x:alignment horizontal="general" vertical="center"/>
    </x:xf>
    <x:xf numFmtId="0" fontId="5" fillId="0" borderId="0" xfId="0" applyAlignment="1">
      <x:alignment horizontal="general" vertical="center" wrapText="1"/>
    </x:xf>
    <x:xf numFmtId="165" fontId="5" fillId="0" borderId="0" xfId="0" applyAlignment="1">
      <x:alignment horizontal="general" vertical="center"/>
    </x:xf>
    <x:xf numFmtId="165" fontId="4" fillId="0" borderId="0" xfId="24" applyAlignment="1">
      <x:alignment horizontal="general" vertical="center" wrapText="1"/>
    </x:xf>
    <x:xf numFmtId="0" fontId="12" fillId="2" borderId="0" xfId="0" applyAlignment="1">
      <x:alignment horizontal="general" vertical="center"/>
    </x:xf>
    <x:xf numFmtId="0" fontId="13" fillId="0" borderId="0" xfId="0" applyAlignment="1">
      <x:alignment horizontal="general" vertical="center" wrapText="1"/>
    </x:xf>
    <x:xf numFmtId="0" fontId="14" fillId="0" borderId="0" xfId="0" applyAlignment="1">
      <x:alignment horizontal="general" vertical="bottom"/>
    </x:xf>
    <x:xf numFmtId="0" fontId="15" fillId="0" borderId="0" xfId="0" applyAlignment="1">
      <x:alignment horizontal="general" vertical="bottom"/>
    </x:xf>
    <x:xf numFmtId="0" fontId="16" fillId="0" borderId="0" xfId="0" applyAlignment="1">
      <x:alignment horizontal="general" vertical="bottom"/>
    </x:xf>
    <x:xf numFmtId="9" fontId="15" fillId="0" borderId="0" xfId="0" applyAlignment="1">
      <x:alignment horizontal="general" vertical="bottom"/>
    </x:xf>
    <x:xf numFmtId="0" fontId="17" fillId="3" borderId="0" xfId="0" applyAlignment="1">
      <x:alignment horizontal="general" vertical="center"/>
    </x:xf>
    <x:xf numFmtId="165" fontId="17" fillId="3" borderId="0" xfId="0" applyAlignment="1">
      <x:alignment horizontal="general" vertical="center"/>
    </x:xf>
    <x:xf numFmtId="0" fontId="10" fillId="0" borderId="1" xfId="0" applyAlignment="1">
      <x:alignment horizontal="general" vertical="center" wrapText="1"/>
    </x:xf>
    <x:xf numFmtId="0" fontId="10" fillId="4" borderId="1" xfId="0" applyAlignment="1">
      <x:alignment horizontal="general" vertical="center" wrapText="1"/>
    </x:xf>
    <x:xf numFmtId="165" fontId="10" fillId="0" borderId="1" xfId="0" applyAlignment="1">
      <x:alignment horizontal="general" vertical="center" wrapText="1"/>
    </x:xf>
    <x:xf numFmtId="0" fontId="10" fillId="0" borderId="1" xfId="0" applyAlignment="1">
      <x:alignment horizontal="center" vertical="center" wrapText="1"/>
    </x:xf>
    <x:xf numFmtId="0" fontId="10" fillId="5" borderId="1" xfId="0" applyAlignment="1">
      <x:alignment horizontal="general" vertical="center" wrapText="1"/>
    </x:xf>
    <x:xf numFmtId="0" fontId="10" fillId="0" borderId="1" xfId="24" applyAlignment="1">
      <x:alignment horizontal="general" vertical="center" wrapText="1"/>
    </x:xf>
    <x:xf numFmtId="165" fontId="5" fillId="0" borderId="0" xfId="24" applyAlignment="1">
      <x:alignment horizontal="general" vertical="center"/>
    </x:xf>
    <x:xf numFmtId="0" fontId="18" fillId="0" borderId="0" xfId="24" applyAlignment="1">
      <x:alignment horizontal="general" vertical="center" wrapText="1"/>
    </x:xf>
    <x:xf numFmtId="0" fontId="5" fillId="0" borderId="0" xfId="24" applyAlignment="1">
      <x:alignment horizontal="general" vertical="top" wrapText="1"/>
    </x:xf>
    <x:xf numFmtId="165" fontId="5" fillId="0" borderId="0" xfId="24" applyAlignment="1">
      <x:alignment horizontal="general" vertical="top" wrapText="1"/>
    </x:xf>
    <x:xf numFmtId="0" fontId="19" fillId="2" borderId="0" xfId="24" applyAlignment="1">
      <x:alignment horizontal="general" vertical="center" wrapText="1"/>
    </x:xf>
    <x:xf numFmtId="0" fontId="20" fillId="0" borderId="0" xfId="24" applyAlignment="1">
      <x:alignment horizontal="general" vertical="center" wrapText="1"/>
    </x:xf>
    <x:xf numFmtId="9" fontId="9" fillId="0" borderId="0" xfId="24" applyAlignment="1">
      <x:alignment horizontal="general" vertical="bottom"/>
    </x:xf>
    <x:xf numFmtId="0" fontId="21" fillId="6" borderId="0" xfId="24" applyAlignment="1">
      <x:alignment horizontal="general" vertical="bottom"/>
    </x:xf>
    <x:xf numFmtId="165" fontId="21" fillId="6" borderId="0" xfId="24" applyAlignment="1">
      <x:alignment horizontal="general" vertical="bottom"/>
    </x:xf>
    <x:xf numFmtId="0" fontId="22" fillId="7" borderId="0" xfId="24" applyAlignment="1">
      <x:alignment horizontal="general" vertical="center" wrapText="1"/>
    </x:xf>
    <x:xf numFmtId="165" fontId="22" fillId="7" borderId="0" xfId="24" applyAlignment="1">
      <x:alignment horizontal="general" vertical="center" wrapText="1"/>
    </x:xf>
    <x:xf numFmtId="0" fontId="22" fillId="8" borderId="0" xfId="24" applyAlignment="1">
      <x:alignment horizontal="general" vertical="center" wrapText="1"/>
    </x:xf>
    <x:xf numFmtId="165" fontId="22" fillId="8" borderId="0" xfId="24" applyAlignment="1">
      <x:alignment horizontal="general" vertical="center" wrapText="1"/>
    </x:xf>
    <x:xf numFmtId="165" fontId="5" fillId="0" borderId="0" xfId="24" applyAlignment="1">
      <x:alignment horizontal="general" vertical="bottom"/>
    </x:xf>
    <x:xf numFmtId="165" fontId="4" fillId="0" borderId="0" xfId="24" applyAlignment="1">
      <x:alignment horizontal="general" vertical="bottom"/>
    </x:xf>
    <x:xf numFmtId="166" fontId="4" fillId="0" borderId="0" xfId="0" applyAlignment="1">
      <x:alignment horizontal="general" vertical="bottom"/>
    </x:xf>
    <x:xf numFmtId="0" fontId="23" fillId="2" borderId="0" xfId="0" applyAlignment="1">
      <x:alignment horizontal="general" vertical="center"/>
    </x:xf>
    <x:xf numFmtId="0" fontId="24" fillId="0" borderId="0" xfId="0" applyAlignment="1">
      <x:alignment horizontal="general" vertical="bottom"/>
    </x:xf>
    <x:xf numFmtId="0" fontId="6" fillId="2" borderId="0" xfId="24" applyAlignment="1">
      <x:alignment horizontal="general" vertical="center"/>
    </x:xf>
    <x:xf numFmtId="0" fontId="7" fillId="0" borderId="0" xfId="24" applyAlignment="1">
      <x:alignment horizontal="general" vertical="center" wrapText="1"/>
    </x:xf>
    <x:xf numFmtId="0" fontId="8" fillId="0" borderId="0" xfId="24" applyAlignment="1">
      <x:alignment horizontal="general" vertical="center"/>
    </x:xf>
    <x:xf numFmtId="0" fontId="9" fillId="0" borderId="0" xfId="24" applyAlignment="1">
      <x:alignment horizontal="general" vertical="center"/>
    </x:xf>
    <x:xf numFmtId="0" fontId="11" fillId="0" borderId="0" xfId="24" applyAlignment="1">
      <x:alignment horizontal="general" vertical="center"/>
    </x:xf>
    <x:xf numFmtId="9" fontId="9" fillId="0" borderId="0" xfId="24" applyAlignment="1">
      <x:alignment horizontal="general" vertical="center"/>
    </x:xf>
    <x:xf numFmtId="0" fontId="25" fillId="3" borderId="0" xfId="24" applyAlignment="1">
      <x:alignment horizontal="general" vertical="center"/>
    </x:xf>
    <x:xf numFmtId="0" fontId="11" fillId="0" borderId="2" xfId="24" applyAlignment="1">
      <x:alignment horizontal="general" vertical="center"/>
    </x:xf>
    <x:xf numFmtId="0" fontId="11" fillId="0" borderId="2" xfId="24" applyAlignment="1">
      <x:alignment horizontal="general" vertical="center" wrapText="1"/>
    </x:xf>
    <x:xf numFmtId="0" fontId="11" fillId="4" borderId="2" xfId="24" applyAlignment="1">
      <x:alignment horizontal="general" vertical="center"/>
    </x:xf>
    <x:xf numFmtId="0" fontId="11" fillId="0" borderId="2" xfId="24" applyAlignment="1">
      <x:alignment horizontal="right" vertical="center"/>
    </x:xf>
    <x:xf numFmtId="0" fontId="11" fillId="0" borderId="3" xfId="24" applyAlignment="1">
      <x:alignment horizontal="general" vertical="center"/>
    </x:xf>
    <x:xf numFmtId="0" fontId="11" fillId="0" borderId="3" xfId="24" applyAlignment="1">
      <x:alignment horizontal="general" vertical="center" wrapText="1"/>
    </x:xf>
    <x:xf numFmtId="0" fontId="11" fillId="4" borderId="3" xfId="24" applyAlignment="1">
      <x:alignment horizontal="general" vertical="center"/>
    </x:xf>
    <x:xf numFmtId="0" fontId="11" fillId="0" borderId="3" xfId="24" applyAlignment="1">
      <x:alignment horizontal="right" vertical="center"/>
    </x:xf>
    <x:xf numFmtId="0" fontId="11" fillId="9" borderId="3" xfId="24" applyAlignment="1">
      <x:alignment horizontal="general" vertical="center"/>
    </x:xf>
    <x:xf numFmtId="0" fontId="11" fillId="10" borderId="3" xfId="24" applyAlignment="1">
      <x:alignment horizontal="general" vertical="center"/>
    </x:xf>
    <x:xf numFmtId="0" fontId="26" fillId="11" borderId="0" xfId="24" applyAlignment="1">
      <x:alignment horizontal="general" vertical="bottom"/>
    </x:xf>
    <x:xf numFmtId="0" fontId="27" fillId="12" borderId="0" xfId="24" applyAlignment="1">
      <x:alignment horizontal="general" vertical="bottom"/>
    </x:xf>
    <x:xf numFmtId="0" fontId="28" fillId="0" borderId="0" xfId="24" applyAlignment="1">
      <x:alignment horizontal="general" vertical="bottom"/>
    </x:xf>
    <x:xf numFmtId="0" fontId="29" fillId="0" borderId="0" xfId="24" applyAlignment="1">
      <x:alignment horizontal="general" vertical="bottom"/>
    </x:xf>
    <x:xf numFmtId="0" fontId="30" fillId="0" borderId="0" xfId="24" applyAlignment="1">
      <x:alignment horizontal="general" vertical="bottom"/>
    </x:xf>
    <x:xf numFmtId="9" fontId="29" fillId="0" borderId="0" xfId="24" applyAlignment="1">
      <x:alignment horizontal="general" vertical="bottom"/>
    </x:xf>
    <x:xf numFmtId="0" fontId="31" fillId="13" borderId="4" xfId="24" applyAlignment="1">
      <x:alignment horizontal="general" vertical="bottom"/>
    </x:xf>
    <x:xf numFmtId="0" fontId="32" fillId="0" borderId="4" xfId="24" applyAlignment="1">
      <x:alignment horizontal="general" vertical="center"/>
    </x:xf>
    <x:xf numFmtId="0" fontId="32" fillId="0" borderId="4" xfId="24" applyAlignment="1">
      <x:alignment horizontal="general" vertical="center" wrapText="1"/>
    </x:xf>
    <x:xf numFmtId="0" fontId="32" fillId="14" borderId="4" xfId="24" applyAlignment="1">
      <x:alignment horizontal="general" vertical="center"/>
    </x:xf>
    <x:xf numFmtId="0" fontId="32" fillId="15" borderId="4" xfId="24" applyAlignment="1">
      <x:alignment horizontal="general" vertical="center"/>
    </x:xf>
    <x:xf numFmtId="165" fontId="32" fillId="16" borderId="4" xfId="24" applyAlignment="1">
      <x:alignment horizontal="general" vertical="center"/>
    </x:xf>
    <x:xf numFmtId="0" fontId="32" fillId="16" borderId="4" xfId="24" applyAlignment="1">
      <x:alignment horizontal="general" vertical="center"/>
    </x:xf>
    <x:xf numFmtId="0" fontId="6" fillId="2" borderId="0" xfId="24" applyAlignment="1">
      <x:alignment horizontal="general" vertical="bottom"/>
    </x:xf>
    <x:xf numFmtId="0" fontId="7" fillId="0" borderId="0" xfId="24" applyAlignment="1">
      <x:alignment horizontal="general" vertical="bottom" wrapText="1"/>
    </x:xf>
    <x:xf numFmtId="0" fontId="4" fillId="0" borderId="0" xfId="24" applyAlignment="1">
      <x:alignment horizontal="general" vertical="center"/>
    </x:xf>
    <x:xf numFmtId="0" fontId="26" fillId="17" borderId="0" xfId="24" applyAlignment="1">
      <x:alignment horizontal="general" vertical="bottom"/>
    </x:xf>
    <x:xf numFmtId="0" fontId="33" fillId="18" borderId="0" xfId="24" applyAlignment="1">
      <x:alignment horizontal="general" vertical="bottom"/>
    </x:xf>
    <x:xf numFmtId="0" fontId="34" fillId="0" borderId="0" xfId="24" applyAlignment="1">
      <x:alignment horizontal="general" vertical="bottom"/>
    </x:xf>
    <x:xf numFmtId="0" fontId="31" fillId="19" borderId="0" xfId="24" applyAlignment="1">
      <x:alignment horizontal="general" vertical="bottom"/>
    </x:xf>
    <x:xf numFmtId="0" fontId="34" fillId="0" borderId="0" xfId="24" applyAlignment="1">
      <x:alignment horizontal="general" vertical="center" wrapText="1"/>
    </x:xf>
    <x:xf numFmtId="0" fontId="34" fillId="0" borderId="5" xfId="24" applyAlignment="1">
      <x:alignment horizontal="general" vertical="center" wrapText="1"/>
    </x:xf>
    <x:xf numFmtId="0" fontId="35" fillId="0" borderId="0" xfId="24" applyAlignment="1">
      <x:alignment horizontal="general" vertical="center" wrapText="1"/>
    </x:xf>
    <x:xf numFmtId="0" fontId="31" fillId="20" borderId="0" xfId="24" applyAlignment="1">
      <x:alignment horizontal="general" vertical="center" wrapText="1"/>
    </x:xf>
    <x:xf numFmtId="165" fontId="4" fillId="0" borderId="0" xfId="24" applyAlignment="1">
      <x:alignment horizontal="general" vertical="bottom" wrapText="1"/>
    </x:xf>
    <x:xf numFmtId="0" fontId="19" fillId="2" borderId="0" xfId="24" applyAlignment="1">
      <x:alignment horizontal="general" vertical="bottom" wrapText="1"/>
    </x:xf>
    <x:xf numFmtId="0" fontId="20" fillId="0" borderId="0" xfId="24" applyAlignment="1">
      <x:alignment horizontal="general" vertical="bottom" wrapText="1"/>
    </x:xf>
    <x:xf numFmtId="0" fontId="19" fillId="2" borderId="0" xfId="24" applyAlignment="1">
      <x:alignment horizontal="general" vertical="bottom"/>
    </x:xf>
    <x:xf numFmtId="0" fontId="20" fillId="0" borderId="0" xfId="24" applyAlignment="1">
      <x:alignment horizontal="general" vertical="bottom"/>
    </x:xf>
    <x:xf numFmtId="0" fontId="22" fillId="7" borderId="0" xfId="24" applyAlignment="1">
      <x:alignment horizontal="general" vertical="bottom" wrapText="1"/>
    </x:xf>
    <x:xf numFmtId="0" fontId="22" fillId="8" borderId="0" xfId="24" applyAlignment="1">
      <x:alignment horizontal="general" vertical="bottom" wrapText="1"/>
    </x:xf>
    <x:xf numFmtId="0" fontId="26" fillId="2" borderId="0" xfId="24" applyAlignment="1">
      <x:alignment horizontal="general" vertical="bottom"/>
    </x:xf>
    <x:xf numFmtId="0" fontId="36" fillId="6" borderId="0" xfId="24" applyAlignment="1">
      <x:alignment horizontal="general" vertical="bottom"/>
    </x:xf>
    <x:xf numFmtId="0" fontId="4" fillId="8" borderId="0" xfId="24" applyAlignment="1">
      <x:alignment horizontal="general" vertical="bottom" wrapText="1"/>
    </x:xf>
    <x:xf numFmtId="0" fontId="37" fillId="0" borderId="0" xfId="24" applyAlignment="1">
      <x:alignment horizontal="general" vertical="bottom"/>
    </x:xf>
    <x:xf numFmtId="0" fontId="38" fillId="0" borderId="0" xfId="24" applyAlignment="1">
      <x:alignment horizontal="general" vertical="bottom"/>
    </x:xf>
    <x:xf numFmtId="9" fontId="38" fillId="0" borderId="0" xfId="24" applyAlignment="1">
      <x:alignment horizontal="general" vertical="bottom"/>
    </x:xf>
    <x:xf numFmtId="0" fontId="39" fillId="21" borderId="0" xfId="24" applyAlignment="1">
      <x:alignment horizontal="general" vertical="bottom" wrapText="1"/>
    </x:xf>
    <x:xf numFmtId="0" fontId="38" fillId="0" borderId="0" xfId="24" applyAlignment="1">
      <x:alignment horizontal="general" vertical="bottom" wrapText="1"/>
    </x:xf>
    <x:xf numFmtId="0" fontId="40" fillId="0" borderId="0" xfId="24" applyAlignment="1">
      <x:alignment horizontal="general" vertical="bottom" wrapText="1"/>
    </x:xf>
    <x:xf numFmtId="0" fontId="39" fillId="22" borderId="0" xfId="24" applyAlignment="1">
      <x:alignment horizontal="general" vertical="bottom" wrapText="1"/>
    </x:xf>
    <x:xf numFmtId="0" fontId="40" fillId="0" borderId="0" xfId="24" applyAlignment="1">
      <x:alignment horizontal="general" vertical="center" wrapText="1"/>
    </x:xf>
    <x:xf numFmtId="0" fontId="31" fillId="23" borderId="0" xfId="24" applyAlignment="1">
      <x:alignment horizontal="general" vertical="bottom" wrapText="1"/>
    </x:xf>
    <x:xf numFmtId="0" fontId="41" fillId="0" borderId="0" xfId="24" applyAlignment="1">
      <x:alignment horizontal="general" vertical="bottom" wrapText="1"/>
    </x:xf>
    <x:xf numFmtId="0" fontId="41" fillId="0" borderId="0" xfId="0" applyNumberFormat="1" applyFont="1" applyFill="1" applyBorder="1" applyAlignment="1">
      <x:alignment horizontal="general" vertical="bottom"/>
    </x:xf>
    <x:xf numFmtId="0" fontId="42" fillId="0" borderId="0" xfId="0" applyNumberFormat="1" applyFont="1" applyFill="1" applyBorder="1" applyAlignment="1">
      <x:alignment horizontal="general" vertical="bottom"/>
    </x:xf>
    <x:xf numFmtId="0" fontId="41" fillId="24" borderId="0" xfId="0" applyNumberFormat="1" applyFont="1" applyFill="1" applyBorder="1" applyAlignment="1">
      <x:alignment horizontal="general" vertical="bottom"/>
    </x:xf>
    <x:xf numFmtId="0" fontId="43" fillId="24" borderId="0" xfId="0" applyNumberFormat="1" applyFont="1" applyFill="1" applyBorder="1" applyAlignment="1">
      <x:alignment horizontal="general" vertical="bottom"/>
    </x:xf>
    <x:xf numFmtId="0" fontId="43" fillId="24" borderId="0" xfId="0" applyNumberFormat="1" applyFont="1" applyFill="1" applyBorder="1" applyAlignment="1">
      <x:alignment horizontal="general" vertical="bottom" wrapText="1"/>
    </x:xf>
    <x:xf numFmtId="0" fontId="41" fillId="0" borderId="0" xfId="0" applyNumberFormat="1" applyFont="1" applyFill="1" applyBorder="1" applyAlignment="1">
      <x:alignment horizontal="general" vertical="bottom" wrapText="1"/>
    </x:xf>
    <x:xf numFmtId="0" fontId="41" fillId="0" borderId="0" xfId="0" applyNumberFormat="1" applyFont="1" applyFill="1" applyBorder="1" applyAlignment="1">
      <x:alignment horizontal="general" vertical="top" wrapText="1"/>
    </x:xf>
    <x:xf numFmtId="200" fontId="41" fillId="0" borderId="0" xfId="0" applyNumberFormat="1" applyFont="1" applyFill="1" applyBorder="1" applyAlignment="1">
      <x:alignment horizontal="general" vertical="bottom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dxfs count="21">
    <x:dxf>
      <x:fill>
        <x:patternFill>
          <x:bgColor rgb="FF000000"/>
        </x:patternFill>
      </x:fill>
    </x:dxf>
    <x:dxf>
      <x:fill>
        <x:patternFill>
          <x:bgColor rgb="FF000000"/>
        </x:patternFill>
      </x:fill>
    </x:dxf>
    <x:dxf>
      <x:fill>
        <x:patternFill>
          <x:bgColor rgb="FF172033"/>
        </x:patternFill>
      </x:fill>
    </x:dxf>
    <x:dxf>
      <x:fill>
        <x:patternFill>
          <x:bgColor rgb="FF1F2937"/>
        </x:patternFill>
      </x:fill>
    </x:dxf>
    <x:dxf>
      <x:fill>
        <x:patternFill>
          <x:bgColor rgb="FFE8F5EE"/>
        </x:patternFill>
      </x:fill>
    </x:dxf>
    <x:dxf>
      <x:fill>
        <x:patternFill>
          <x:bgColor rgb="FFDDEBFF"/>
        </x:patternFill>
      </x:fill>
    </x:dxf>
    <x:dxf>
      <x:fill>
        <x:patternFill>
          <x:bgColor rgb="FFEAF0FF"/>
        </x:patternFill>
      </x:fill>
    </x:dxf>
    <x:dxf>
      <x:fill>
        <x:patternFill>
          <x:bgColor rgb="FFFFF4D6"/>
        </x:patternFill>
      </x:fill>
    </x:dxf>
    <x:dxf>
      <x:fill>
        <x:patternFill>
          <x:bgColor rgb="FFF4F6F8"/>
        </x:patternFill>
      </x:fill>
    </x:dxf>
    <x:dxf>
      <x:fill>
        <x:patternFill>
          <x:bgColor rgb="FFFFF4D6"/>
        </x:patternFill>
      </x:fill>
    </x:dxf>
    <x:dxf>
      <x:fill>
        <x:patternFill>
          <x:bgColor rgb="FFEAF0FF"/>
        </x:patternFill>
      </x:fill>
    </x:dxf>
    <x:dxf>
      <x:fill>
        <x:patternFill>
          <x:bgColor rgb="FFDDEBFF"/>
        </x:patternFill>
      </x:fill>
    </x:dxf>
    <x:dxf>
      <x:fill>
        <x:patternFill>
          <x:bgColor rgb="FFFDEBEC"/>
        </x:patternFill>
      </x:fill>
    </x:dxf>
    <x:dxf>
      <x:fill>
        <x:patternFill>
          <x:bgColor rgb="FFE8F5EE"/>
        </x:patternFill>
      </x:fill>
    </x:dxf>
    <x:dxf>
      <x:fill>
        <x:patternFill>
          <x:bgColor rgb="FFFDEBEC"/>
        </x:patternFill>
      </x:fill>
    </x:dxf>
    <x:dxf/>
    <x:dxf>
      <x:font>
        <x:color rgb="FF795500"/>
      </x:font>
      <x:fill>
        <x:patternFill>
          <x:bgColor rgb="FFFFF3CD"/>
        </x:patternFill>
      </x:fill>
    </x:dxf>
    <x:dxf>
      <x:font>
        <x:color rgb="FF174EA6"/>
      </x:font>
      <x:fill>
        <x:patternFill>
          <x:bgColor rgb="FFDDEBFF"/>
        </x:patternFill>
      </x:fill>
    </x:dxf>
    <x:dxf>
      <x:fill>
        <x:patternFill>
          <x:bgColor rgb="FFFDE8E7"/>
        </x:patternFill>
      </x:fill>
    </x:dxf>
    <x:dxf>
      <x:fill>
        <x:patternFill>
          <x:bgColor rgb="FFE7F4ED"/>
        </x:patternFill>
      </x:fill>
    </x:dxf>
    <x:dxf>
      <x:fill>
        <x:patternFill>
          <x:bgColor rgb="FFFFF3D6"/>
        </x:patternFill>
      </x:fill>
    </x:dxf>
  </x:dxfs>
  <x:colors>
    <x:indexedColors>
      <x:rgbColor rgb="FF000000"/>
      <x:rgbColor rgb="FFFFFFFF"/>
      <x:rgbColor rgb="FFFF0000"/>
      <x:rgbColor rgb="FFF4F7FC"/>
      <x:rgbColor rgb="FF0000FF"/>
      <x:rgbColor rgb="FFFFF3D6"/>
      <x:rgbColor rgb="FFF8FAFC"/>
      <x:rgbColor rgb="FFEAF0FF"/>
      <x:rgbColor rgb="FF800000"/>
      <x:rgbColor rgb="FFF5F8FC"/>
      <x:rgbColor rgb="FF172238"/>
      <x:rgbColor rgb="FF526274"/>
      <x:rgbColor rgb="FF800080"/>
      <x:rgbColor rgb="FF3B78B8"/>
      <x:rgbColor rgb="FFC9D9EE"/>
      <x:rgbColor rgb="FF64748B"/>
      <x:rgbColor rgb="FF8067DC"/>
      <x:rgbColor rgb="FF475569"/>
      <x:rgbColor rgb="FFFFF4D6"/>
      <x:rgbColor rgb="FFDDF3E7"/>
      <x:rgbColor rgb="FF263341"/>
      <x:rgbColor rgb="FFDCEAFB"/>
      <x:rgbColor rgb="FF174EA6"/>
      <x:rgbColor rgb="FFC9D8EC"/>
      <x:rgbColor rgb="FF172033"/>
      <x:rgbColor rgb="FFFF00FF"/>
      <x:rgbColor rgb="FFFDEBEC"/>
      <x:rgbColor rgb="FFF1F5F9"/>
      <x:rgbColor rgb="FF800080"/>
      <x:rgbColor rgb="FF800000"/>
      <x:rgbColor rgb="FF3E79B8"/>
      <x:rgbColor rgb="FF0000FF"/>
      <x:rgbColor rgb="FFF2F6FB"/>
      <x:rgbColor rgb="FFDDEBFF"/>
      <x:rgbColor rgb="FFE7F4ED"/>
      <x:rgbColor rgb="FFFFF3CD"/>
      <x:rgbColor rgb="FFD8E3F2"/>
      <x:rgbColor rgb="FFE2E8F0"/>
      <x:rgbColor rgb="FFDCE5F0"/>
      <x:rgbColor rgb="FFFDE8E7"/>
      <x:rgbColor rgb="FF4472C4"/>
      <x:rgbColor rgb="FFE6F0FF"/>
      <x:rgbColor rgb="FFE8EEF8"/>
      <x:rgbColor rgb="FFE8F5EE"/>
      <x:rgbColor rgb="FFEEF2F7"/>
      <x:rgbColor rgb="FFF4F6F8"/>
      <x:rgbColor rgb="FF5E6B7C"/>
      <x:rgbColor rgb="FF4F86C6"/>
      <x:rgbColor rgb="FF172B4D"/>
      <x:rgbColor rgb="FF5184BD"/>
      <x:rgbColor rgb="FF162033"/>
      <x:rgbColor rgb="FF1F2937"/>
      <x:rgbColor rgb="FF795500"/>
      <x:rgbColor rgb="FF53677F"/>
      <x:rgbColor rgb="FF243247"/>
      <x:rgbColor rgb="FF2E2E2B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48c8c6c07d451d" /><Relationship Type="http://schemas.openxmlformats.org/officeDocument/2006/relationships/theme" Target="/xl/theme/theme1.xml" Id="Rb4074f68ea784985" /><Relationship Type="http://schemas.openxmlformats.org/officeDocument/2006/relationships/sharedStrings" Target="/xl/sharedStrings.xml" Id="R02e604b6286a4c9a" /><Relationship Type="http://schemas.openxmlformats.org/officeDocument/2006/relationships/worksheet" Target="/xl/worksheets/sheet1.xml" Id="Rd83eb19031dd452e" /><Relationship Type="http://schemas.openxmlformats.org/officeDocument/2006/relationships/worksheet" Target="/xl/worksheets/sheet2.xml" Id="R7813442aaff54e87" /><Relationship Type="http://schemas.openxmlformats.org/officeDocument/2006/relationships/worksheet" Target="/xl/worksheets/sheet3.xml" Id="R16881dc97ea943d4" /><Relationship Type="http://schemas.openxmlformats.org/officeDocument/2006/relationships/worksheet" Target="/xl/worksheets/sheet4.xml" Id="R12bdc5d0aca5415a" /><Relationship Type="http://schemas.openxmlformats.org/officeDocument/2006/relationships/worksheet" Target="/xl/worksheets/sheet5.xml" Id="Redf4b49a78cc4859" /><Relationship Type="http://schemas.openxmlformats.org/officeDocument/2006/relationships/worksheet" Target="/xl/worksheets/sheet6.xml" Id="R950f96fdf25e455c" /><Relationship Type="http://schemas.openxmlformats.org/officeDocument/2006/relationships/worksheet" Target="/xl/worksheets/sheet7.xml" Id="R07ffa34a0b1e4db1" /><Relationship Type="http://schemas.openxmlformats.org/officeDocument/2006/relationships/worksheet" Target="/xl/worksheets/sheet8.xml" Id="R99105755526a4f8f" /><Relationship Type="http://schemas.openxmlformats.org/officeDocument/2006/relationships/worksheet" Target="/xl/worksheets/sheet9.xml" Id="Raca06363fd314949" /><Relationship Type="http://schemas.openxmlformats.org/officeDocument/2006/relationships/worksheet" Target="/xl/worksheets/sheet10.xml" Id="R39ccf741b68e4955" /><Relationship Type="http://schemas.openxmlformats.org/officeDocument/2006/relationships/worksheet" Target="/xl/worksheets/sheet11.xml" Id="R236fb40d8a1747af" /><Relationship Type="http://schemas.openxmlformats.org/officeDocument/2006/relationships/worksheet" Target="/xl/worksheets/sheet12.xml" Id="R6836a18992574267" /><Relationship Type="http://schemas.openxmlformats.org/officeDocument/2006/relationships/worksheet" Target="/xl/worksheets/sheet13.xml" Id="R39a10fcdb6154133" /><Relationship Type="http://schemas.openxmlformats.org/officeDocument/2006/relationships/worksheet" Target="/xl/worksheets/sheet14.xml" Id="R76eef43400c04934" /><Relationship Type="http://schemas.openxmlformats.org/officeDocument/2006/relationships/worksheet" Target="/xl/worksheets/sheet15.xml" Id="R003ef0f877a441a1" /><Relationship Type="http://schemas.openxmlformats.org/officeDocument/2006/relationships/worksheet" Target="/xl/worksheets/sheet16.xml" Id="R46c95d1767b3404f" /><Relationship Type="http://schemas.openxmlformats.org/officeDocument/2006/relationships/worksheet" Target="/xl/worksheets/sheet17.xml" Id="R660d23e188574081" /><Relationship Type="http://schemas.openxmlformats.org/officeDocument/2006/relationships/worksheet" Target="/xl/worksheets/sheet18.xml" Id="Rbb6b3a5c48344e77" /><Relationship Type="http://schemas.openxmlformats.org/officeDocument/2006/relationships/worksheet" Target="/xl/worksheets/sheet19.xml" Id="R4d36d2bfcef94189" /><Relationship Type="http://schemas.openxmlformats.org/officeDocument/2006/relationships/worksheet" Target="/xl/worksheets/sheet20.xml" Id="Rf038b35cc3774343" /><Relationship Type="http://schemas.openxmlformats.org/officeDocument/2006/relationships/worksheet" Target="/xl/worksheets/sheet21.xml" Id="R75a3d2c025324a99" /><Relationship Type="http://schemas.openxmlformats.org/officeDocument/2006/relationships/worksheet" Target="/xl/worksheets/sheet22.xml" Id="R8e7dafb3282d42f3" /><Relationship Type="http://schemas.openxmlformats.org/officeDocument/2006/relationships/worksheet" Target="/xl/worksheets/sheet23.xml" Id="R1b7c4869d48e47d5" /><Relationship Type="http://schemas.openxmlformats.org/officeDocument/2006/relationships/worksheet" Target="/xl/worksheets/sheet24.xml" Id="R8edb2789150242b3" /><Relationship Type="http://schemas.openxmlformats.org/officeDocument/2006/relationships/worksheet" Target="/xl/worksheets/sheet25.xml" Id="R451b983ef31641e9" /><Relationship Type="http://schemas.openxmlformats.org/officeDocument/2006/relationships/worksheet" Target="/xl/worksheets/sheet26.xml" Id="R8943845ca0ad434c" /><Relationship Type="http://schemas.openxmlformats.org/officeDocument/2006/relationships/worksheet" Target="/xl/worksheets/sheet27.xml" Id="R2850def6603e4e18" /><Relationship Type="http://schemas.openxmlformats.org/officeDocument/2006/relationships/worksheet" Target="/xl/worksheets/sheet28.xml" Id="R1b540610b9e54a16" /><Relationship Type="http://schemas.openxmlformats.org/officeDocument/2006/relationships/worksheet" Target="/xl/worksheets/sheet29.xml" Id="Rcc93f643409b4169" /><Relationship Type="http://schemas.openxmlformats.org/officeDocument/2006/relationships/worksheet" Target="/xl/worksheets/sheet30.xml" Id="Rd273923bbe0949b7" /><Relationship Type="http://schemas.openxmlformats.org/officeDocument/2006/relationships/worksheet" Target="/xl/worksheets/sheet31.xml" Id="Ra0dc79e16912453b" /><Relationship Type="http://schemas.openxmlformats.org/officeDocument/2006/relationships/worksheet" Target="/xl/worksheets/sheet32.xml" Id="R9b38c8bb892941cf" /><Relationship Type="http://schemas.openxmlformats.org/officeDocument/2006/relationships/worksheet" Target="/xl/worksheets/sheet33.xml" Id="R9c3a6fed3cfd4815" /><Relationship Type="http://schemas.openxmlformats.org/officeDocument/2006/relationships/worksheet" Target="/xl/worksheets/sheet34.xml" Id="R64134f0ab41e4df3" /><Relationship Type="http://schemas.openxmlformats.org/officeDocument/2006/relationships/worksheet" Target="/xl/worksheets/sheet35.xml" Id="Rdbb372232e2a4bd3" /><Relationship Type="http://schemas.openxmlformats.org/officeDocument/2006/relationships/worksheet" Target="/xl/worksheets/sheet36.xml" Id="Rfed1d8e5aa4a441f" /><Relationship Type="http://schemas.openxmlformats.org/officeDocument/2006/relationships/worksheet" Target="/xl/worksheets/sheet37.xml" Id="R62665de59e044f02" /><Relationship Type="http://schemas.openxmlformats.org/officeDocument/2006/relationships/worksheet" Target="/xl/worksheets/sheet38.xml" Id="R7be4c5e57cce463c" /><Relationship Type="http://schemas.openxmlformats.org/officeDocument/2006/relationships/worksheet" Target="/xl/worksheets/sheet39.xml" Id="Rcf129925a7f04ef3" /><Relationship Type="http://schemas.openxmlformats.org/officeDocument/2006/relationships/worksheet" Target="/xl/worksheets/sheet40.xml" Id="R7a4fea23c2e84c78" /><Relationship Type="http://schemas.openxmlformats.org/officeDocument/2006/relationships/worksheet" Target="/xl/worksheets/sheet41.xml" Id="R7bc83675ba444be7" /><Relationship Type="http://schemas.openxmlformats.org/officeDocument/2006/relationships/worksheet" Target="/xl/worksheets/sheet42.xml" Id="Ree3b9d04683c4417" /><Relationship Type="http://schemas.openxmlformats.org/officeDocument/2006/relationships/worksheet" Target="/xl/worksheets/sheet43.xml" Id="R4ef811cc46f94173" /><Relationship Type="http://schemas.openxmlformats.org/officeDocument/2006/relationships/worksheet" Target="/xl/worksheets/sheet44.xml" Id="R8c62d75fc8514ef8" /><Relationship Type="http://schemas.openxmlformats.org/officeDocument/2006/relationships/worksheet" Target="/xl/worksheets/sheet45.xml" Id="Rb32a72254d464ce5" /><Relationship Type="http://schemas.openxmlformats.org/officeDocument/2006/relationships/worksheet" Target="/xl/worksheets/sheet46.xml" Id="Rae8922e638fb4406" /><Relationship Type="http://schemas.openxmlformats.org/officeDocument/2006/relationships/worksheet" Target="/xl/worksheets/sheet47.xml" Id="R32100d75a9db451a" /><Relationship Type="http://schemas.openxmlformats.org/officeDocument/2006/relationships/worksheet" Target="/xl/worksheets/sheet48.xml" Id="Rcf1913bf49314380" /><Relationship Type="http://schemas.openxmlformats.org/officeDocument/2006/relationships/worksheet" Target="/xl/worksheets/sheet49.xml" Id="Rfb66c661ca94443d" /><Relationship Type="http://schemas.openxmlformats.org/officeDocument/2006/relationships/worksheet" Target="/xl/worksheets/sheet50.xml" Id="Re86521c0c9234de1" /><Relationship Type="http://schemas.openxmlformats.org/officeDocument/2006/relationships/worksheet" Target="/xl/worksheets/sheet51.xml" Id="R3c5554dbdc834dd2" /><Relationship Type="http://schemas.openxmlformats.org/officeDocument/2006/relationships/worksheet" Target="/xl/worksheets/sheet52.xml" Id="Ra74cf790c3d34a73" /><Relationship Type="http://schemas.openxmlformats.org/officeDocument/2006/relationships/worksheet" Target="/xl/worksheets/sheet53.xml" Id="R7f1a63b0c50d41bd" /><Relationship Type="http://schemas.openxmlformats.org/officeDocument/2006/relationships/worksheet" Target="/xl/worksheets/sheet54.xml" Id="R96a970762ed34b6d" /><Relationship Type="http://schemas.openxmlformats.org/officeDocument/2006/relationships/worksheet" Target="/xl/worksheets/sheet55.xml" Id="R3d6b3fd073e2468e" /><Relationship Type="http://schemas.openxmlformats.org/officeDocument/2006/relationships/worksheet" Target="/xl/worksheets/sheet56.xml" Id="R473243d00faa4366" /><Relationship Type="http://schemas.openxmlformats.org/officeDocument/2006/relationships/worksheet" Target="/xl/worksheets/sheet57.xml" Id="Rb2e81e9af2924fc4" /><Relationship Type="http://schemas.openxmlformats.org/officeDocument/2006/relationships/worksheet" Target="/xl/worksheets/sheet58.xml" Id="R7d06786acfe34f72" /><Relationship Type="http://schemas.openxmlformats.org/officeDocument/2006/relationships/worksheet" Target="/xl/worksheets/sheet59.xml" Id="R66773e99a1df4428" /><Relationship Type="http://schemas.openxmlformats.org/officeDocument/2006/relationships/worksheet" Target="/xl/worksheets/sheet60.xml" Id="Rf5c3dc9832de4542" /><Relationship Type="http://schemas.openxmlformats.org/officeDocument/2006/relationships/worksheet" Target="/xl/worksheets/sheet61.xml" Id="Rd333ffa545a64d51" /><Relationship Type="http://schemas.openxmlformats.org/officeDocument/2006/relationships/worksheet" Target="/xl/worksheets/sheet62.xml" Id="Ra6cb75c20982479e" /><Relationship Type="http://schemas.openxmlformats.org/officeDocument/2006/relationships/worksheet" Target="/xl/worksheets/sheet63.xml" Id="R764b64e1acc64d9b" /><Relationship Type="http://schemas.openxmlformats.org/officeDocument/2006/relationships/worksheet" Target="/xl/worksheets/sheet64.xml" Id="R55de03df65984812" /><Relationship Type="http://schemas.openxmlformats.org/officeDocument/2006/relationships/worksheet" Target="/xl/worksheets/sheet65.xml" Id="R73162c43ae514f0a" /><Relationship Type="http://schemas.openxmlformats.org/officeDocument/2006/relationships/worksheet" Target="/xl/worksheets/sheet66.xml" Id="R954cf445ae4c428a" /><Relationship Type="http://schemas.openxmlformats.org/officeDocument/2006/relationships/worksheet" Target="/xl/worksheets/sheet67.xml" Id="Rb9e167b7bf514c3f" /><Relationship Type="http://schemas.openxmlformats.org/officeDocument/2006/relationships/worksheet" Target="/xl/worksheets/sheet68.xml" Id="R3fe792008ee744be" /><Relationship Type="http://schemas.openxmlformats.org/officeDocument/2006/relationships/worksheet" Target="/xl/worksheets/sheet69.xml" Id="R6f0b279aaac44df7" /><Relationship Type="http://schemas.openxmlformats.org/officeDocument/2006/relationships/worksheet" Target="/xl/worksheets/sheet70.xml" Id="Re58c6c3a9bf44dd3" /><Relationship Type="http://schemas.openxmlformats.org/officeDocument/2006/relationships/worksheet" Target="/xl/worksheets/sheet71.xml" Id="Rc618506497834f48" /><Relationship Type="http://schemas.openxmlformats.org/officeDocument/2006/relationships/worksheet" Target="/xl/worksheets/sheet72.xml" Id="Rda2063772a264b2d" /><Relationship Type="http://schemas.openxmlformats.org/officeDocument/2006/relationships/worksheet" Target="/xl/worksheets/sheet73.xml" Id="R4cfbc35aa7584ff6" /><Relationship Type="http://schemas.openxmlformats.org/officeDocument/2006/relationships/worksheet" Target="/xl/worksheets/sheet74.xml" Id="Ra9e192008bd94888" /><Relationship Type="http://schemas.openxmlformats.org/officeDocument/2006/relationships/worksheet" Target="/xl/worksheets/sheet75.xml" Id="R8cd92e919a524636" /><Relationship Type="http://schemas.openxmlformats.org/officeDocument/2006/relationships/worksheet" Target="/xl/worksheets/sheet76.xml" Id="R5d1038b4ae8a4785" /><Relationship Type="http://schemas.openxmlformats.org/officeDocument/2006/relationships/worksheet" Target="/xl/worksheets/sheet77.xml" Id="R0cab5c1532b14576" /><Relationship Type="http://schemas.openxmlformats.org/officeDocument/2006/relationships/worksheet" Target="/xl/worksheets/sheet78.xml" Id="R91ea4b4357bb4aeb" /><Relationship Type="http://schemas.openxmlformats.org/officeDocument/2006/relationships/worksheet" Target="/xl/worksheets/sheet79.xml" Id="Rdbcace6a306b486d" /><Relationship Type="http://schemas.openxmlformats.org/officeDocument/2006/relationships/worksheet" Target="/xl/worksheets/sheet80.xml" Id="Rdc0e65487a8943eb" /><Relationship Type="http://schemas.openxmlformats.org/officeDocument/2006/relationships/worksheet" Target="/xl/worksheets/sheet81.xml" Id="Rf31370a299cc41dc" /><Relationship Type="http://schemas.openxmlformats.org/officeDocument/2006/relationships/worksheet" Target="/xl/worksheets/sheet82.xml" Id="Rbb52012fdbb849a3" /><Relationship Type="http://schemas.openxmlformats.org/officeDocument/2006/relationships/worksheet" Target="/xl/worksheets/sheet83.xml" Id="R16f556ea247a40d2" /><Relationship Type="http://schemas.openxmlformats.org/officeDocument/2006/relationships/worksheet" Target="/xl/worksheets/sheet84.xml" Id="R4ddba72e146f4b00" /><Relationship Type="http://schemas.openxmlformats.org/officeDocument/2006/relationships/worksheet" Target="/xl/worksheets/sheet85.xml" Id="R87168078a8354765" /><Relationship Type="http://schemas.openxmlformats.org/officeDocument/2006/relationships/worksheet" Target="/xl/worksheets/sheet86.xml" Id="R4c66c15c58e54d7e" /><Relationship Type="http://schemas.openxmlformats.org/officeDocument/2006/relationships/worksheet" Target="/xl/worksheets/sheet87.xml" Id="R2e06029712f5475a" /><Relationship Type="http://schemas.openxmlformats.org/officeDocument/2006/relationships/worksheet" Target="/xl/worksheets/sheet88.xml" Id="R512deabe9591487d" /><Relationship Type="http://schemas.openxmlformats.org/officeDocument/2006/relationships/worksheet" Target="/xl/worksheets/sheet89.xml" Id="R81c6653fcb064608" /><Relationship Type="http://schemas.openxmlformats.org/officeDocument/2006/relationships/worksheet" Target="/xl/worksheets/sheet90.xml" Id="R213b005fd2d9483a" /><Relationship Type="http://schemas.openxmlformats.org/officeDocument/2006/relationships/worksheet" Target="/xl/worksheets/sheet91.xml" Id="Rc6da3861db414030" /><Relationship Type="http://schemas.openxmlformats.org/officeDocument/2006/relationships/worksheet" Target="/xl/worksheets/sheet92.xml" Id="Rb20c3a1064dd4392" /><Relationship Type="http://schemas.openxmlformats.org/officeDocument/2006/relationships/worksheet" Target="/xl/worksheets/sheet93.xml" Id="Ra440dab1d3744087" /><Relationship Type="http://schemas.openxmlformats.org/officeDocument/2006/relationships/worksheet" Target="/xl/worksheets/sheet94.xml" Id="Rb7cf9c0b70424530" /><Relationship Type="http://schemas.openxmlformats.org/officeDocument/2006/relationships/worksheet" Target="/xl/worksheets/sheet95.xml" Id="R792cb51c1b9d400a" /><Relationship Type="http://schemas.openxmlformats.org/officeDocument/2006/relationships/worksheet" Target="/xl/worksheets/sheet96.xml" Id="R43c7866d06a042b8" /><Relationship Type="http://schemas.openxmlformats.org/officeDocument/2006/relationships/worksheet" Target="/xl/worksheets/sheet97.xml" Id="R6041f18fc49e4f04" /><Relationship Type="http://schemas.openxmlformats.org/officeDocument/2006/relationships/worksheet" Target="/xl/worksheets/sheet98.xml" Id="Rb2de620635994ae1" /><Relationship Type="http://schemas.openxmlformats.org/officeDocument/2006/relationships/worksheet" Target="/xl/worksheets/sheet99.xml" Id="R272ffc7e025d47de" /><Relationship Type="http://schemas.openxmlformats.org/officeDocument/2006/relationships/worksheet" Target="/xl/worksheets/sheet100.xml" Id="Rac11332cc8a9498e" /><Relationship Type="http://schemas.openxmlformats.org/officeDocument/2006/relationships/worksheet" Target="/xl/worksheets/sheet101.xml" Id="R4f52feec511c4e03" /><Relationship Type="http://schemas.openxmlformats.org/officeDocument/2006/relationships/worksheet" Target="/xl/worksheets/sheet102.xml" Id="R25570cfd1bd64a96" /><Relationship Type="http://schemas.openxmlformats.org/officeDocument/2006/relationships/worksheet" Target="/xl/worksheets/sheet103.xml" Id="Rfabead27fc1d4f33" /><Relationship Type="http://schemas.openxmlformats.org/officeDocument/2006/relationships/worksheet" Target="/xl/worksheets/sheet104.xml" Id="R5f3a8404d850448e" /><Relationship Type="http://schemas.openxmlformats.org/officeDocument/2006/relationships/worksheet" Target="/xl/worksheets/sheet105.xml" Id="R3a7189761d9444a0" /><Relationship Type="http://schemas.openxmlformats.org/officeDocument/2006/relationships/worksheet" Target="/xl/worksheets/sheet106.xml" Id="Rf4358a943fb14bec" /><Relationship Type="http://schemas.openxmlformats.org/officeDocument/2006/relationships/worksheet" Target="/xl/worksheets/sheet107.xml" Id="R9b037718da32467b" /><Relationship Type="http://schemas.openxmlformats.org/officeDocument/2006/relationships/worksheet" Target="/xl/worksheets/sheet108.xml" Id="R658e2923e3bf4a7e" /><Relationship Type="http://schemas.openxmlformats.org/officeDocument/2006/relationships/worksheet" Target="/xl/worksheets/sheet109.xml" Id="Rdcda0e23db274896" /><Relationship Type="http://schemas.openxmlformats.org/officeDocument/2006/relationships/worksheet" Target="/xl/worksheets/sheet110.xml" Id="R377dd520d7184cf2" /><Relationship Type="http://schemas.openxmlformats.org/officeDocument/2006/relationships/worksheet" Target="/xl/worksheets/sheet111.xml" Id="Rb4f856036bc34b19" /><Relationship Type="http://schemas.openxmlformats.org/officeDocument/2006/relationships/worksheet" Target="/xl/worksheets/sheet112.xml" Id="R6dff9d5e97724b27" /><Relationship Type="http://schemas.openxmlformats.org/officeDocument/2006/relationships/worksheet" Target="/xl/worksheets/sheet113.xml" Id="R416a872a667b4bb9" /><Relationship Type="http://schemas.openxmlformats.org/officeDocument/2006/relationships/worksheet" Target="/xl/worksheets/sheet114.xml" Id="R7810fbe0755a4945" /><Relationship Type="http://schemas.openxmlformats.org/officeDocument/2006/relationships/worksheet" Target="/xl/worksheets/sheet115.xml" Id="R9ec66e21e0064560" /><Relationship Type="http://schemas.openxmlformats.org/officeDocument/2006/relationships/worksheet" Target="/xl/worksheets/sheet116.xml" Id="Reb9e9661b3b442a2" /><Relationship Type="http://schemas.openxmlformats.org/officeDocument/2006/relationships/worksheet" Target="/xl/worksheets/sheet117.xml" Id="Raf35412f3a9d455f" /><Relationship Type="http://schemas.openxmlformats.org/officeDocument/2006/relationships/worksheet" Target="/xl/worksheets/sheet118.xml" Id="R290102b6273c429f" /><Relationship Type="http://schemas.openxmlformats.org/officeDocument/2006/relationships/worksheet" Target="/xl/worksheets/sheet119.xml" Id="R2db11194de844e76" /><Relationship Type="http://schemas.openxmlformats.org/officeDocument/2006/relationships/worksheet" Target="/xl/worksheets/sheet120.xml" Id="Rca615d228bae4452" /><Relationship Type="http://schemas.openxmlformats.org/officeDocument/2006/relationships/worksheet" Target="/xl/worksheets/sheet121.xml" Id="Re62641e6f1fd4820" /><Relationship Type="http://schemas.openxmlformats.org/officeDocument/2006/relationships/worksheet" Target="/xl/worksheets/sheet122.xml" Id="R945140cf5b874a46" /><Relationship Type="http://schemas.openxmlformats.org/officeDocument/2006/relationships/worksheet" Target="/xl/worksheets/sheet123.xml" Id="R1d0de82183314b24" /><Relationship Type="http://schemas.openxmlformats.org/officeDocument/2006/relationships/worksheet" Target="/xl/worksheets/sheet124.xml" Id="R56aa42ba6f934670" /><Relationship Type="http://schemas.openxmlformats.org/officeDocument/2006/relationships/worksheet" Target="/xl/worksheets/sheet125.xml" Id="R07816886cf46494f" /><Relationship Type="http://schemas.openxmlformats.org/officeDocument/2006/relationships/worksheet" Target="/xl/worksheets/sheet126.xml" Id="Rb4b461a85e3d4ea1" /><Relationship Type="http://schemas.openxmlformats.org/officeDocument/2006/relationships/worksheet" Target="/xl/worksheets/sheet127.xml" Id="R6c0e08b7ff5448e6" /><Relationship Type="http://schemas.openxmlformats.org/officeDocument/2006/relationships/worksheet" Target="/xl/worksheets/sheet128.xml" Id="R43ebb71e1ef144dd" /><Relationship Type="http://schemas.openxmlformats.org/officeDocument/2006/relationships/worksheet" Target="/xl/worksheets/sheet129.xml" Id="R64a2a44f4df94501" /><Relationship Type="http://schemas.openxmlformats.org/officeDocument/2006/relationships/worksheet" Target="/xl/worksheets/sheet130.xml" Id="R78499e5acffe426a" /><Relationship Type="http://schemas.openxmlformats.org/officeDocument/2006/relationships/worksheet" Target="/xl/worksheets/sheet131.xml" Id="Rb682c52373974881" /><Relationship Type="http://schemas.openxmlformats.org/officeDocument/2006/relationships/worksheet" Target="/xl/worksheets/sheet132.xml" Id="R1b0aa80c283e4afb" /><Relationship Type="http://schemas.openxmlformats.org/officeDocument/2006/relationships/worksheet" Target="/xl/worksheets/sheet133.xml" Id="R2da5989b69534fb2" /><Relationship Type="http://schemas.openxmlformats.org/officeDocument/2006/relationships/worksheet" Target="/xl/worksheets/sheet134.xml" Id="R224cf674fea14c4e" /><Relationship Type="http://schemas.openxmlformats.org/officeDocument/2006/relationships/worksheet" Target="/xl/worksheets/sheet135.xml" Id="R08062c3909064499" /><Relationship Type="http://schemas.openxmlformats.org/officeDocument/2006/relationships/worksheet" Target="/xl/worksheets/sheet136.xml" Id="R8f9449f294174aa2" /></Relationships>
</file>

<file path=xl/tables/table1.xml><?xml version="1.0" encoding="utf-8"?>
<x:table xmlns:x="http://schemas.openxmlformats.org/spreadsheetml/2006/main" id="1" name="CoverageIndex" displayName="CoverageIndex" ref="A7:M113" headerRowCount="1" totalsRowCount="0" totalsRowShown="0">
  <x:tableColumns count="13">
    <x:tableColumn id="1" name="Component"/>
    <x:tableColumn id="2" name="Requirements"/>
    <x:tableColumn id="3" name="Not started"/>
    <x:tableColumn id="4" name="Partial"/>
    <x:tableColumn id="5" name="Implemented"/>
    <x:tableColumn id="6" name="Tested"/>
    <x:tableColumn id="7" name="Verified"/>
    <x:tableColumn id="8" name="Blocked"/>
    <x:tableColumn id="9" name="N/A"/>
    <x:tableColumn id="10" name="Completion"/>
    <x:tableColumn id="11" name="Package gate"/>
    <x:tableColumn id="12" name="Consumer gate"/>
    <x:tableColumn id="13" name="Overall"/>
  </x:tableColumns>
</x:table>
</file>

<file path=xl/tables/table2.xml><?xml version="1.0" encoding="utf-8"?>
<x:table xmlns:x="http://schemas.openxmlformats.org/spreadsheetml/2006/main" id="2" name="InstructionsTable" displayName="InstructionsTable" ref="A3:B15" headerRowCount="1" totalsRowCount="0" totalsRowShown="0">
  <x:autoFilter ref="A3:B15"/>
  <x:tableColumns count="2">
    <x:tableColumn id="1" name="Topic"/>
    <x:tableColumn id="2" name="Rule"/>
  </x:tableColumns>
</x:table>
</file>

<file path=xl/tables/table3.xml><?xml version="1.0" encoding="utf-8"?>
<x:table xmlns:x="http://schemas.openxmlformats.org/spreadsheetml/2006/main" id="3" name="AlertDialogEvidence" displayName="AlertDialogEvidence" ref="A8:M24" headerRowCount="1" totalsRowCount="0" totalsRowShown="0">
  <x:autoFilter ref="A8:M24"/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4.xml><?xml version="1.0" encoding="utf-8"?>
<x:table xmlns:x="http://schemas.openxmlformats.org/spreadsheetml/2006/main" id="4" name="AppBarEvidence" displayName="AppBarEvidence" ref="A8:M24" headerRowCount="1" totalsRowCount="0" totalsRowShown="0">
  <x:autoFilter ref="A8:M24"/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5.xml><?xml version="1.0" encoding="utf-8"?>
<x:table xmlns:x="http://schemas.openxmlformats.org/spreadsheetml/2006/main" id="5" name="AvatarEvidence" displayName="AvatarEvidence" ref="A8:M24" headerRowCount="1" totalsRowCount="0" totalsRowShown="0">
  <x:autoFilter ref="A8:M24"/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6.xml><?xml version="1.0" encoding="utf-8"?>
<x:table xmlns:x="http://schemas.openxmlformats.org/spreadsheetml/2006/main" id="6" name="BadgeEvidence" displayName="BadgeEvidence" ref="A8:M24" headerRowCount="1" totalsRowCount="0" totalsRowShown="0">
  <x:autoFilter ref="A8:M24"/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7.xml><?xml version="1.0" encoding="utf-8"?>
<x:table xmlns:x="http://schemas.openxmlformats.org/spreadsheetml/2006/main" id="7" name="ButtonEvidence" displayName="ButtonEvidence" ref="A8:M24" headerRowCount="1" totalsRowCount="0" totalsRowShown="0">
  <x:autoFilter ref="A8:M24"/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8.xml><?xml version="1.0" encoding="utf-8"?>
<x:table xmlns:x="http://schemas.openxmlformats.org/spreadsheetml/2006/main" id="8" name="CardEvidence" displayName="CardEvidence" ref="A8:M24" headerRowCount="1" totalsRowCount="0" totalsRowShown="0">
  <x:autoFilter ref="A8:M24"/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9.xml><?xml version="1.0" encoding="utf-8"?>
<x:table xmlns:x="http://schemas.openxmlformats.org/spreadsheetml/2006/main" id="9" name="CheckboxEvidence" displayName="CheckboxEvidence" ref="A8:M24" headerRowCount="1" totalsRowCount="0" totalsRowShown="0">
  <x:autoFilter ref="A8:M24"/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10.xml><?xml version="1.0" encoding="utf-8"?>
<x:table xmlns:x="http://schemas.openxmlformats.org/spreadsheetml/2006/main" id="10" name="CheckboxGroupEvidence" displayName="CheckboxGroupEvidence" ref="A8:M24" headerRowCount="1" totalsRowCount="0" totalsRowShown="0">
  <x:autoFilter ref="A8:M24"/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11.xml><?xml version="1.0" encoding="utf-8"?>
<x:table xmlns:x="http://schemas.openxmlformats.org/spreadsheetml/2006/main" id="11" name="DialogEvidence" displayName="DialogEvidence" ref="A8:M24" headerRowCount="1" totalsRowCount="0" totalsRowShown="0">
  <x:autoFilter ref="A8:M24"/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12.xml><?xml version="1.0" encoding="utf-8"?>
<x:table xmlns:x="http://schemas.openxmlformats.org/spreadsheetml/2006/main" id="12" name="DrawerEvidence" displayName="DrawerEvidence" ref="A8:M24" headerRowCount="1" totalsRowCount="0" totalsRowShown="0">
  <x:autoFilter ref="A8:M24"/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13.xml><?xml version="1.0" encoding="utf-8"?>
<x:table xmlns:x="http://schemas.openxmlformats.org/spreadsheetml/2006/main" id="13" name="FieldEvidence" displayName="FieldEvidence" ref="A8:M24" headerRowCount="1" totalsRowCount="0" totalsRowShown="0">
  <x:autoFilter ref="A8:M24"/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14.xml><?xml version="1.0" encoding="utf-8"?>
<x:table xmlns:x="http://schemas.openxmlformats.org/spreadsheetml/2006/main" id="14" name="FieldsetEvidence" displayName="FieldsetEvidence" ref="A8:M24" headerRowCount="1" totalsRowCount="0" totalsRowShown="0">
  <x:autoFilter ref="A8:M24"/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15.xml><?xml version="1.0" encoding="utf-8"?>
<x:table xmlns:x="http://schemas.openxmlformats.org/spreadsheetml/2006/main" id="15" name="FormEvidence" displayName="FormEvidence" ref="A8:M24" headerRowCount="1" totalsRowCount="0" totalsRowShown="0">
  <x:autoFilter ref="A8:M24"/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16.xml><?xml version="1.0" encoding="utf-8"?>
<x:table xmlns:x="http://schemas.openxmlformats.org/spreadsheetml/2006/main" id="16" name="HoverCardEvidence" displayName="HoverCardEvidence" ref="A8:M24" headerRowCount="1" totalsRowCount="0" totalsRowShown="0">
  <x:autoFilter ref="A8:M24"/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17.xml><?xml version="1.0" encoding="utf-8"?>
<x:table xmlns:x="http://schemas.openxmlformats.org/spreadsheetml/2006/main" id="17" name="IconButtonEvidence" displayName="IconButtonEvidence" ref="A8:M24" headerRowCount="1" totalsRowCount="0" totalsRowShown="0">
  <x:autoFilter ref="A8:M24"/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18.xml><?xml version="1.0" encoding="utf-8"?>
<x:table xmlns:x="http://schemas.openxmlformats.org/spreadsheetml/2006/main" id="18" name="InputEvidence" displayName="InputEvidence" ref="A8:M24" headerRowCount="1" totalsRowCount="0" totalsRowShown="0">
  <x:autoFilter ref="A8:M24"/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19.xml><?xml version="1.0" encoding="utf-8"?>
<x:table xmlns:x="http://schemas.openxmlformats.org/spreadsheetml/2006/main" id="19" name="TextEvidence" displayName="TextEvidence" ref="A8:M24" headerRowCount="1" totalsRowCount="0" totalsRowShown="0">
  <x:autoFilter ref="A8:M24"/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20.xml><?xml version="1.0" encoding="utf-8"?>
<x:table xmlns:x="http://schemas.openxmlformats.org/spreadsheetml/2006/main" id="20" name="NotificationBadgeEvidence" displayName="NotificationBadgeEvidence" ref="A8:M24" headerRowCount="1" totalsRowCount="0" totalsRowShown="0">
  <x:autoFilter ref="A8:M24"/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21.xml><?xml version="1.0" encoding="utf-8"?>
<x:table xmlns:x="http://schemas.openxmlformats.org/spreadsheetml/2006/main" id="21" name="PopoverEvidence" displayName="PopoverEvidence" ref="A8:M24" headerRowCount="1" totalsRowCount="0" totalsRowShown="0">
  <x:autoFilter ref="A8:M24"/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22.xml><?xml version="1.0" encoding="utf-8"?>
<x:table xmlns:x="http://schemas.openxmlformats.org/spreadsheetml/2006/main" id="22" name="ToggleEvidence" displayName="ToggleEvidence" ref="A8:M24" headerRowCount="1" totalsRowCount="0" totalsRowShown="0">
  <x:autoFilter ref="A8:M24"/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23.xml><?xml version="1.0" encoding="utf-8"?>
<x:table xmlns:x="http://schemas.openxmlformats.org/spreadsheetml/2006/main" id="23" name="ToggleGroupEvidence" displayName="ToggleGroupEvidence" ref="A8:M24" headerRowCount="1" totalsRowCount="0" totalsRowShown="0">
  <x:autoFilter ref="A8:M24"/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24.xml><?xml version="1.0" encoding="utf-8"?>
<x:table xmlns:x="http://schemas.openxmlformats.org/spreadsheetml/2006/main" id="24" name="StackEvidence" displayName="StackEvidence" ref="A8:M24" headerRowCount="1" totalsRowCount="0" totalsRowShown="0">
  <x:autoFilter ref="A8:M24"/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25.xml><?xml version="1.0" encoding="utf-8"?>
<x:table xmlns:x="http://schemas.openxmlformats.org/spreadsheetml/2006/main" id="25" name="TooltipEvidence" displayName="TooltipEvidence" ref="A8:M24" headerRowCount="1" totalsRowCount="0" totalsRowShown="0">
  <x:autoFilter ref="A8:M24"/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26.xml><?xml version="1.0" encoding="utf-8"?>
<x:table xmlns:x="http://schemas.openxmlformats.org/spreadsheetml/2006/main" id="26" name="GridEvidence" displayName="GridEvidence" ref="A8:M25" headerRowCount="1" totalsRowCount="0" totalsRowShown="0">
  <x:autoFilter ref="A8:M25"/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27.xml><?xml version="1.0" encoding="utf-8"?>
<x:table xmlns:x="http://schemas.openxmlformats.org/spreadsheetml/2006/main" id="27" name="SliderEvidence" displayName="SliderEvidence" ref="A8:M24" headerRowCount="1" totalsRowCount="0" totalsRowShown="0">
  <x:autoFilter ref="A8:M24"/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28.xml><?xml version="1.0" encoding="utf-8"?>
<x:table xmlns:x="http://schemas.openxmlformats.org/spreadsheetml/2006/main" id="28" name="RatingEvidence" displayName="RatingEvidence" ref="A8:M25" headerRowCount="1" totalsRowCount="0" totalsRowShown="0">
  <x:autoFilter ref="A8:M25"/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29.xml><?xml version="1.0" encoding="utf-8"?>
<x:table xmlns:x="http://schemas.openxmlformats.org/spreadsheetml/2006/main" id="29" name="FileUploadEvidence" displayName="FileUploadEvidence" ref="A8:M36" headerRowCount="1" totalsRowCount="0" totalsRowShown="0">
  <x:autoFilter ref="A8:M36"/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30.xml><?xml version="1.0" encoding="utf-8"?>
<x:table xmlns:x="http://schemas.openxmlformats.org/spreadsheetml/2006/main" id="30" name="ZStackEvidence" displayName="ZStackEvidence" ref="A8:M24" headerRowCount="1" totalsRowCount="0" totalsRowShown="0">
  <x:autoFilter ref="A8:M24"/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31.xml><?xml version="1.0" encoding="utf-8"?>
<x:table xmlns:x="http://schemas.openxmlformats.org/spreadsheetml/2006/main" id="31" name="RadioCardEvidence" displayName="RadioCardEvidence" ref="A8:M28" headerRowCount="1" totalsRowCount="0" totalsRowShown="0"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32.xml><?xml version="1.0" encoding="utf-8"?>
<x:table xmlns:x="http://schemas.openxmlformats.org/spreadsheetml/2006/main" id="32" name="LocaleProviderEvidence" displayName="LocaleProviderEvidence" ref="A8:M24" headerRowCount="1" totalsRowCount="0" totalsRowShown="0"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33.xml><?xml version="1.0" encoding="utf-8"?>
<x:table xmlns:x="http://schemas.openxmlformats.org/spreadsheetml/2006/main" id="33" name="FormatNumberEvidence" displayName="FormatNumberEvidence" ref="A8:M24" headerRowCount="1" totalsRowCount="0" totalsRowShown="0"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34.xml><?xml version="1.0" encoding="utf-8"?>
<x:table xmlns:x="http://schemas.openxmlformats.org/spreadsheetml/2006/main" id="34" name="FormatByteEvidence" displayName="FormatByteEvidence" ref="A8:M24" headerRowCount="1" totalsRowCount="0" totalsRowShown="0"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35.xml><?xml version="1.0" encoding="utf-8"?>
<x:table xmlns:x="http://schemas.openxmlformats.org/spreadsheetml/2006/main" id="35" name="ForEvidence" displayName="ForEvidence" ref="A8:M24" headerRowCount="1" totalsRowCount="0" totalsRowShown="0"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36.xml><?xml version="1.0" encoding="utf-8"?>
<x:table xmlns:x="http://schemas.openxmlformats.org/spreadsheetml/2006/main" id="36" name="CheckmarkEvidence" displayName="CheckmarkEvidence" ref="A8:M24" headerRowCount="1" totalsRowCount="0" totalsRowShown="0"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ables/table37.xml><?xml version="1.0" encoding="utf-8"?>
<x:table xmlns:x="http://schemas.openxmlformats.org/spreadsheetml/2006/main" id="37" name="RadiomarkEvidence" displayName="RadiomarkEvidence" ref="A8:M24" headerRowCount="1" totalsRowCount="0" totalsRowShown="0">
  <x:tableColumns count="13">
    <x:tableColumn id="1" name="ID"/>
    <x:tableColumn id="2" name="Area"/>
    <x:tableColumn id="3" name="Part"/>
    <x:tableColumn id="4" name="Requirement"/>
    <x:tableColumn id="5" name="Gate"/>
    <x:tableColumn id="6" name="Evidence type"/>
    <x:tableColumn id="7" name="Evidence / link"/>
    <x:tableColumn id="8" name="Status"/>
    <x:tableColumn id="9" name="Human review?"/>
    <x:tableColumn id="10" name="Last verified"/>
    <x:tableColumn id="11" name="Blocker / N/A reason"/>
    <x:tableColumn id="12" name="Weight"/>
    <x:tableColumn id="13" name="Resolved"/>
  </x:tableColumns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cb38be1b024e0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25c64bc763347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3510b8dcca455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3ee074f0ee48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81a3d544504a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1fd2956c5040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783de90c4546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5a6cbc02ef4490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fc0e3008dd840e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832d207916f46d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bd6078dd2dc41c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8dce50be4f964fc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0598d4bb055a44b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b70beb47ef4645e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b138b96fc1d94a2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db285523faff4a0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d3cc9355e35b4c1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f4f2da127dc248f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895ea960c0a2476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0.xml" Id="Rdba3cf82cdea478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1.xml" Id="R2a6b1b9d47d6434d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2.xml" Id="R0308e48b3cd44c67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3.xml" Id="Ra90205da0fe84176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4.xml" Id="R53ee237638084c8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5.xml" Id="Rdec9e5e933e34bfc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6.xml" Id="Rbb6f0bb738134b6e" /></Relationships>
</file>

<file path=xl/worksheets/_rels/sheet71.xml.rels>&#65279;<?xml version="1.0" encoding="utf-8"?><Relationships xmlns="http://schemas.openxmlformats.org/package/2006/relationships"><Relationship Type="http://schemas.openxmlformats.org/officeDocument/2006/relationships/table" Target="/xl/tables/table27.xml" Id="Rfbe18535450040da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table" Target="/xl/tables/table28.xml" Id="R649fd39bdca74c9b" /></Relationships>
</file>

<file path=xl/worksheets/_rels/sheet73.xml.rels>&#65279;<?xml version="1.0" encoding="utf-8"?><Relationships xmlns="http://schemas.openxmlformats.org/package/2006/relationships"><Relationship Type="http://schemas.openxmlformats.org/officeDocument/2006/relationships/table" Target="/xl/tables/table29.xml" Id="Rac5200700e144b9c" /></Relationships>
</file>

<file path=xl/worksheets/_rels/sheet81.xml.rels>&#65279;<?xml version="1.0" encoding="utf-8"?><Relationships xmlns="http://schemas.openxmlformats.org/package/2006/relationships"><Relationship Type="http://schemas.openxmlformats.org/officeDocument/2006/relationships/table" Target="/xl/tables/table30.xml" Id="Rcfcf56bd8b9a46d9" /></Relationships>
</file>

<file path=xl/worksheets/_rels/sheet103.xml.rels>&#65279;<?xml version="1.0" encoding="utf-8"?><Relationships xmlns="http://schemas.openxmlformats.org/package/2006/relationships"><Relationship Type="http://schemas.openxmlformats.org/officeDocument/2006/relationships/table" Target="/xl/tables/table31.xml" Id="R44b97fb7144949e4" /></Relationships>
</file>

<file path=xl/worksheets/_rels/sheet104.xml.rels>&#65279;<?xml version="1.0" encoding="utf-8"?><Relationships xmlns="http://schemas.openxmlformats.org/package/2006/relationships"><Relationship Type="http://schemas.openxmlformats.org/officeDocument/2006/relationships/table" Target="/xl/tables/table32.xml" Id="R0e146bca923241ea" /></Relationships>
</file>

<file path=xl/worksheets/_rels/sheet105.xml.rels>&#65279;<?xml version="1.0" encoding="utf-8"?><Relationships xmlns="http://schemas.openxmlformats.org/package/2006/relationships"><Relationship Type="http://schemas.openxmlformats.org/officeDocument/2006/relationships/table" Target="/xl/tables/table33.xml" Id="R6859dfb4b88d46eb" /></Relationships>
</file>

<file path=xl/worksheets/_rels/sheet106.xml.rels>&#65279;<?xml version="1.0" encoding="utf-8"?><Relationships xmlns="http://schemas.openxmlformats.org/package/2006/relationships"><Relationship Type="http://schemas.openxmlformats.org/officeDocument/2006/relationships/table" Target="/xl/tables/table34.xml" Id="Rf3ef920158cb4658" /></Relationships>
</file>

<file path=xl/worksheets/_rels/sheet107.xml.rels>&#65279;<?xml version="1.0" encoding="utf-8"?><Relationships xmlns="http://schemas.openxmlformats.org/package/2006/relationships"><Relationship Type="http://schemas.openxmlformats.org/officeDocument/2006/relationships/table" Target="/xl/tables/table35.xml" Id="R9e3656c5c9254c0c" /></Relationships>
</file>

<file path=xl/worksheets/_rels/sheet108.xml.rels>&#65279;<?xml version="1.0" encoding="utf-8"?><Relationships xmlns="http://schemas.openxmlformats.org/package/2006/relationships"><Relationship Type="http://schemas.openxmlformats.org/officeDocument/2006/relationships/table" Target="/xl/tables/table36.xml" Id="R8479057d265a4dfe" /></Relationships>
</file>

<file path=xl/worksheets/_rels/sheet109.xml.rels>&#65279;<?xml version="1.0" encoding="utf-8"?><Relationships xmlns="http://schemas.openxmlformats.org/package/2006/relationships"><Relationship Type="http://schemas.openxmlformats.org/officeDocument/2006/relationships/table" Target="/xl/tables/table37.xml" Id="R65fc75f3a3734d4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4.709999084472656" style="125" customWidth="1"/>
    <x:col min="2" max="9" width="12.710000038146973" style="125" customWidth="1"/>
    <x:col min="10" max="10" width="14.710000038146973" style="126" customWidth="1"/>
    <x:col min="11" max="13" width="16.709999084472656" style="125" customWidth="1"/>
  </x:cols>
  <x:sheetData>
    <x:row r="1" s="127" customFormat="1" ht="37.5" customHeight="1">
      <x:c r="A1" s="128" t="inlineStr">
        <x:is>
          <x:t xml:space="preserve">Brick Component Coverage</x:t>
        </x:is>
      </x:c>
    </x:row>
    <x:row r="2" s="127" customFormat="1" ht="27.75" customHeight="1">
      <x:c r="A2" s="129" t="inlineStr">
        <x:is>
          <x:t xml:space="preserve">Component evidence includes Steps; manual and release gates remain independent.</x:t>
        </x:is>
      </x:c>
    </x:row>
    <x:row r="3"/>
    <x:row r="4" s="127" customFormat="1" ht="17.25" customHeight="1">
      <x:c r="A4" s="130" t="inlineStr">
        <x:is>
          <x:t xml:space="preserve">Components</x:t>
        </x:is>
      </x:c>
      <x:c r="B4" s="131" t="n">
        <x:f>COUNTA(A8:A139)</x:f>
        <x:v>132</x:v>
      </x:c>
      <x:c r="D4" s="130" t="inlineStr">
        <x:is>
          <x:t xml:space="preserve">Complete</x:t>
        </x:is>
      </x:c>
      <x:c r="E4" s="131" t="n">
        <x:f>COUNTIF(M8:M139,"complete")</x:f>
        <x:v>0</x:v>
      </x:c>
      <x:c r="G4" s="130" t="inlineStr">
        <x:is>
          <x:t xml:space="preserve">Blocked</x:t>
        </x:is>
      </x:c>
      <x:c r="H4" s="131" t="n">
        <x:f>COUNTIF(M8:M139,"blocked")</x:f>
        <x:v>19</x:v>
      </x:c>
      <x:c r="J4" s="130" t="inlineStr">
        <x:is>
          <x:t xml:space="preserve">Overall</x:t>
        </x:is>
      </x:c>
      <x:c r="K4" s="132" t="n">
        <x:f>IF(B4=0,0,E4/B4)</x:f>
        <x:v>0</x:v>
      </x:c>
    </x:row>
    <x:row r="5"/>
    <x:row r="6"/>
    <x:row r="7" s="127" customFormat="1" ht="15" customHeight="1">
      <x:c r="A7" s="125" t="inlineStr">
        <x:is>
          <x:t xml:space="preserve">Component</x:t>
        </x:is>
      </x:c>
      <x:c r="B7" s="125" t="inlineStr">
        <x:is>
          <x:t xml:space="preserve">Requirements</x:t>
        </x:is>
      </x:c>
      <x:c r="C7" s="125" t="inlineStr">
        <x:is>
          <x:t xml:space="preserve">Not started</x:t>
        </x:is>
      </x:c>
      <x:c r="D7" s="125" t="inlineStr">
        <x:is>
          <x:t xml:space="preserve">Partial</x:t>
        </x:is>
      </x:c>
      <x:c r="E7" s="125" t="inlineStr">
        <x:is>
          <x:t xml:space="preserve">Implemented</x:t>
        </x:is>
      </x:c>
      <x:c r="F7" s="125" t="inlineStr">
        <x:is>
          <x:t xml:space="preserve">Tested</x:t>
        </x:is>
      </x:c>
      <x:c r="G7" s="125" t="inlineStr">
        <x:is>
          <x:t xml:space="preserve">Verified</x:t>
        </x:is>
      </x:c>
      <x:c r="H7" s="125" t="inlineStr">
        <x:is>
          <x:t xml:space="preserve">Blocked</x:t>
        </x:is>
      </x:c>
      <x:c r="I7" s="125" t="inlineStr">
        <x:is>
          <x:t xml:space="preserve">N/A</x:t>
        </x:is>
      </x:c>
      <x:c r="J7" s="126" t="inlineStr">
        <x:is>
          <x:t xml:space="preserve">Completion</x:t>
        </x:is>
      </x:c>
      <x:c r="K7" s="125" t="inlineStr">
        <x:is>
          <x:t xml:space="preserve">Package gate</x:t>
        </x:is>
      </x:c>
      <x:c r="L7" s="125" t="inlineStr">
        <x:is>
          <x:t xml:space="preserve">Consumer gate</x:t>
        </x:is>
      </x:c>
      <x:c r="M7" s="125" t="inlineStr">
        <x:is>
          <x:t xml:space="preserve">Overall</x:t>
        </x:is>
      </x:c>
    </x:row>
    <x:row r="8" s="127" customFormat="1" ht="24" customHeight="1">
      <x:c r="A8" s="133" t="inlineStr">
        <x:is>
          <x:t xml:space="preserve">Alert Dialog</x:t>
        </x:is>
      </x:c>
      <x:c r="B8" s="133" t="n">
        <x:f>'Alert Dialog'!B4</x:f>
        <x:v>16</x:v>
      </x:c>
      <x:c r="C8" s="133" t="n">
        <x:f>COUNTIF('Alert Dialog'!H9:H200,"not started")</x:f>
        <x:v>0</x:v>
      </x:c>
      <x:c r="D8" s="133" t="n">
        <x:f>COUNTIF('Alert Dialog'!H9:H200,"partial")</x:f>
        <x:v>2</x:v>
      </x:c>
      <x:c r="E8" s="133" t="n">
        <x:f>COUNTIF('Alert Dialog'!H9:H200,"implemented")</x:f>
        <x:v>4</x:v>
      </x:c>
      <x:c r="F8" s="133" t="n">
        <x:f>COUNTIF('Alert Dialog'!H9:H200,"tested")</x:f>
        <x:v>10</x:v>
      </x:c>
      <x:c r="G8" s="133" t="n">
        <x:f>COUNTIF('Alert Dialog'!H9:H200,"verified")</x:f>
        <x:v>0</x:v>
      </x:c>
      <x:c r="H8" s="133" t="n">
        <x:f>COUNTIF('Alert Dialog'!H9:H200,"blocked")</x:f>
        <x:v>0</x:v>
      </x:c>
      <x:c r="I8" s="133" t="n">
        <x:f>COUNTIF('Alert Dialog'!H9:H200,"not applicable")</x:f>
        <x:v>0</x:v>
      </x:c>
      <x:c r="J8" s="134" t="n">
        <x:f>'Alert Dialog'!H4</x:f>
        <x:v>0.5625</x:v>
      </x:c>
      <x:c r="K8" s="133" t="str">
        <x:f>'Alert Dialog'!K4</x:f>
        <x:v>open</x:v>
      </x:c>
      <x:c r="L8" s="133" t="str">
        <x:f>'Alert Dialog'!E5</x:f>
        <x:v>open</x:v>
      </x:c>
      <x:c r="M8" s="133" t="str">
        <x:f>IF(AND(J8=1,K8="complete",L8="complete"),"complete",IF(H8&gt;0,"blocked","open"))</x:f>
        <x:v>open</x:v>
      </x:c>
    </x:row>
    <x:row r="9" s="127" customFormat="1" ht="24" customHeight="1">
      <x:c r="A9" s="133" t="inlineStr">
        <x:is>
          <x:t xml:space="preserve">App Bar</x:t>
        </x:is>
      </x:c>
      <x:c r="B9" s="133" t="n">
        <x:f>'App Bar'!B4</x:f>
        <x:v>16</x:v>
      </x:c>
      <x:c r="C9" s="133" t="n">
        <x:f>COUNTIF('App Bar'!H9:H200,"not started")</x:f>
        <x:v>0</x:v>
      </x:c>
      <x:c r="D9" s="133" t="n">
        <x:f>COUNTIF('App Bar'!H9:H200,"partial")</x:f>
        <x:v>1</x:v>
      </x:c>
      <x:c r="E9" s="133" t="n">
        <x:f>COUNTIF('App Bar'!H9:H200,"implemented")</x:f>
        <x:v>4</x:v>
      </x:c>
      <x:c r="F9" s="133" t="n">
        <x:f>COUNTIF('App Bar'!H9:H200,"tested")</x:f>
        <x:v>11</x:v>
      </x:c>
      <x:c r="G9" s="133" t="n">
        <x:f>COUNTIF('App Bar'!H9:H200,"verified")</x:f>
        <x:v>0</x:v>
      </x:c>
      <x:c r="H9" s="133" t="n">
        <x:f>COUNTIF('App Bar'!H9:H200,"blocked")</x:f>
        <x:v>0</x:v>
      </x:c>
      <x:c r="I9" s="133" t="n">
        <x:f>COUNTIF('App Bar'!H9:H200,"not applicable")</x:f>
        <x:v>0</x:v>
      </x:c>
      <x:c r="J9" s="134" t="n">
        <x:f>'App Bar'!H4</x:f>
        <x:v>0.625</x:v>
      </x:c>
      <x:c r="K9" s="133" t="str">
        <x:f>'App Bar'!K4</x:f>
        <x:v>open</x:v>
      </x:c>
      <x:c r="L9" s="133" t="str">
        <x:f>'App Bar'!E5</x:f>
        <x:v>open</x:v>
      </x:c>
      <x:c r="M9" s="133" t="str">
        <x:f>IF(AND(J9=1,K9="complete",L9="complete"),"complete",IF(H9&gt;0,"blocked","open"))</x:f>
        <x:v>open</x:v>
      </x:c>
    </x:row>
    <x:row r="10" s="127" customFormat="1" ht="24" customHeight="1">
      <x:c r="A10" s="133" t="inlineStr">
        <x:is>
          <x:t xml:space="preserve">Avatar</x:t>
        </x:is>
      </x:c>
      <x:c r="B10" s="133" t="n">
        <x:f>Avatar!B4</x:f>
        <x:v>16</x:v>
      </x:c>
      <x:c r="C10" s="133" t="n">
        <x:f>COUNTIF(Avatar!H9:H200,"not started")</x:f>
        <x:v>0</x:v>
      </x:c>
      <x:c r="D10" s="133" t="n">
        <x:f>COUNTIF(Avatar!H9:H200,"partial")</x:f>
        <x:v>0</x:v>
      </x:c>
      <x:c r="E10" s="133" t="n">
        <x:f>COUNTIF(Avatar!H9:H200,"implemented")</x:f>
        <x:v>4</x:v>
      </x:c>
      <x:c r="F10" s="133" t="n">
        <x:f>COUNTIF(Avatar!H9:H200,"tested")</x:f>
        <x:v>11</x:v>
      </x:c>
      <x:c r="G10" s="133" t="n">
        <x:f>COUNTIF(Avatar!H9:H200,"verified")</x:f>
        <x:v>1</x:v>
      </x:c>
      <x:c r="H10" s="133" t="n">
        <x:f>COUNTIF(Avatar!H9:H200,"blocked")</x:f>
        <x:v>0</x:v>
      </x:c>
      <x:c r="I10" s="133" t="n">
        <x:f>COUNTIF(Avatar!H9:H200,"not applicable")</x:f>
        <x:v>0</x:v>
      </x:c>
      <x:c r="J10" s="134" t="n">
        <x:f>Avatar!H4</x:f>
        <x:v>0.75</x:v>
      </x:c>
      <x:c r="K10" s="133" t="str">
        <x:f>Avatar!K4</x:f>
        <x:v>open</x:v>
      </x:c>
      <x:c r="L10" s="133" t="str">
        <x:f>Avatar!E5</x:f>
        <x:v>open</x:v>
      </x:c>
      <x:c r="M10" s="133" t="str">
        <x:f>IF(AND(J10=1,K10="complete",L10="complete"),"complete",IF(H10&gt;0,"blocked","open"))</x:f>
        <x:v>open</x:v>
      </x:c>
    </x:row>
    <x:row r="11" s="127" customFormat="1" ht="24" customHeight="1">
      <x:c r="A11" s="133" t="inlineStr">
        <x:is>
          <x:t xml:space="preserve">Badge</x:t>
        </x:is>
      </x:c>
      <x:c r="B11" s="133" t="n">
        <x:f>Badge!B4</x:f>
        <x:v>16</x:v>
      </x:c>
      <x:c r="C11" s="133" t="n">
        <x:f>COUNTIF(Badge!H9:H200,"not started")</x:f>
        <x:v>0</x:v>
      </x:c>
      <x:c r="D11" s="133" t="n">
        <x:f>COUNTIF(Badge!H9:H200,"partial")</x:f>
        <x:v>0</x:v>
      </x:c>
      <x:c r="E11" s="133" t="n">
        <x:f>COUNTIF(Badge!H9:H200,"implemented")</x:f>
        <x:v>5</x:v>
      </x:c>
      <x:c r="F11" s="133" t="n">
        <x:f>COUNTIF(Badge!H9:H200,"tested")</x:f>
        <x:v>11</x:v>
      </x:c>
      <x:c r="G11" s="133" t="n">
        <x:f>COUNTIF(Badge!H9:H200,"verified")</x:f>
        <x:v>0</x:v>
      </x:c>
      <x:c r="H11" s="133" t="n">
        <x:f>COUNTIF(Badge!H9:H200,"blocked")</x:f>
        <x:v>0</x:v>
      </x:c>
      <x:c r="I11" s="133" t="n">
        <x:f>COUNTIF(Badge!H9:H200,"not applicable")</x:f>
        <x:v>0</x:v>
      </x:c>
      <x:c r="J11" s="134" t="n">
        <x:f>Badge!H4</x:f>
        <x:v>0.6875</x:v>
      </x:c>
      <x:c r="K11" s="133" t="str">
        <x:f>Badge!K4</x:f>
        <x:v>open</x:v>
      </x:c>
      <x:c r="L11" s="133" t="str">
        <x:f>Badge!E5</x:f>
        <x:v>complete</x:v>
      </x:c>
      <x:c r="M11" s="133" t="str">
        <x:f>IF(AND(J11=1,K11="complete",L11="complete"),"complete",IF(H11&gt;0,"blocked","open"))</x:f>
        <x:v>open</x:v>
      </x:c>
    </x:row>
    <x:row r="12" s="127" customFormat="1" ht="24" customHeight="1">
      <x:c r="A12" s="133" t="inlineStr">
        <x:is>
          <x:t xml:space="preserve">Button</x:t>
        </x:is>
      </x:c>
      <x:c r="B12" s="133" t="n">
        <x:f>Button!B4</x:f>
        <x:v>16</x:v>
      </x:c>
      <x:c r="C12" s="133" t="n">
        <x:f>COUNTIF(Button!H9:H200,"not started")</x:f>
        <x:v>0</x:v>
      </x:c>
      <x:c r="D12" s="133" t="n">
        <x:f>COUNTIF(Button!H9:H200,"partial")</x:f>
        <x:v>2</x:v>
      </x:c>
      <x:c r="E12" s="133" t="n">
        <x:f>COUNTIF(Button!H9:H200,"implemented")</x:f>
        <x:v>4</x:v>
      </x:c>
      <x:c r="F12" s="133" t="n">
        <x:f>COUNTIF(Button!H9:H200,"tested")</x:f>
        <x:v>10</x:v>
      </x:c>
      <x:c r="G12" s="133" t="n">
        <x:f>COUNTIF(Button!H9:H200,"verified")</x:f>
        <x:v>0</x:v>
      </x:c>
      <x:c r="H12" s="133" t="n">
        <x:f>COUNTIF(Button!H9:H200,"blocked")</x:f>
        <x:v>0</x:v>
      </x:c>
      <x:c r="I12" s="133" t="n">
        <x:f>COUNTIF(Button!H9:H200,"not applicable")</x:f>
        <x:v>0</x:v>
      </x:c>
      <x:c r="J12" s="134" t="n">
        <x:f>Button!H4</x:f>
        <x:v>0.5625</x:v>
      </x:c>
      <x:c r="K12" s="133" t="str">
        <x:f>Button!K4</x:f>
        <x:v>open</x:v>
      </x:c>
      <x:c r="L12" s="133" t="str">
        <x:f>Button!E5</x:f>
        <x:v>open</x:v>
      </x:c>
      <x:c r="M12" s="133" t="str">
        <x:f>IF(AND(J12=1,K12="complete",L12="complete"),"complete",IF(H12&gt;0,"blocked","open"))</x:f>
        <x:v>open</x:v>
      </x:c>
    </x:row>
    <x:row r="13" s="127" customFormat="1" ht="24" customHeight="1">
      <x:c r="A13" s="133" t="inlineStr">
        <x:is>
          <x:t xml:space="preserve">Card</x:t>
        </x:is>
      </x:c>
      <x:c r="B13" s="133" t="n">
        <x:f>Card!B4</x:f>
        <x:v>16</x:v>
      </x:c>
      <x:c r="C13" s="133" t="n">
        <x:f>COUNTIF(Card!H9:H200,"not started")</x:f>
        <x:v>0</x:v>
      </x:c>
      <x:c r="D13" s="133" t="n">
        <x:f>COUNTIF(Card!H9:H200,"partial")</x:f>
        <x:v>0</x:v>
      </x:c>
      <x:c r="E13" s="133" t="n">
        <x:f>COUNTIF(Card!H9:H200,"implemented")</x:f>
        <x:v>6</x:v>
      </x:c>
      <x:c r="F13" s="133" t="n">
        <x:f>COUNTIF(Card!H9:H200,"tested")</x:f>
        <x:v>10</x:v>
      </x:c>
      <x:c r="G13" s="133" t="n">
        <x:f>COUNTIF(Card!H9:H200,"verified")</x:f>
        <x:v>0</x:v>
      </x:c>
      <x:c r="H13" s="133" t="n">
        <x:f>COUNTIF(Card!H9:H200,"blocked")</x:f>
        <x:v>0</x:v>
      </x:c>
      <x:c r="I13" s="133" t="n">
        <x:f>COUNTIF(Card!H9:H200,"not applicable")</x:f>
        <x:v>0</x:v>
      </x:c>
      <x:c r="J13" s="134" t="n">
        <x:f>Card!H4</x:f>
        <x:v>0.625</x:v>
      </x:c>
      <x:c r="K13" s="133" t="str">
        <x:f>Card!K4</x:f>
        <x:v>open</x:v>
      </x:c>
      <x:c r="L13" s="133" t="str">
        <x:f>Card!E5</x:f>
        <x:v>open</x:v>
      </x:c>
      <x:c r="M13" s="133" t="str">
        <x:f>IF(AND(J13=1,K13="complete",L13="complete"),"complete",IF(H13&gt;0,"blocked","open"))</x:f>
        <x:v>open</x:v>
      </x:c>
    </x:row>
    <x:row r="14" s="127" customFormat="1" ht="24" customHeight="1">
      <x:c r="A14" s="133" t="inlineStr">
        <x:is>
          <x:t xml:space="preserve">Checkbox</x:t>
        </x:is>
      </x:c>
      <x:c r="B14" s="133" t="n">
        <x:f>Checkbox!B4</x:f>
        <x:v>16</x:v>
      </x:c>
      <x:c r="C14" s="133" t="n">
        <x:f>COUNTIF(Checkbox!H9:H200,"not started")</x:f>
        <x:v>0</x:v>
      </x:c>
      <x:c r="D14" s="133" t="n">
        <x:f>COUNTIF(Checkbox!H9:H200,"partial")</x:f>
        <x:v>0</x:v>
      </x:c>
      <x:c r="E14" s="133" t="n">
        <x:f>COUNTIF(Checkbox!H9:H200,"implemented")</x:f>
        <x:v>4</x:v>
      </x:c>
      <x:c r="F14" s="133" t="n">
        <x:f>COUNTIF(Checkbox!H9:H200,"tested")</x:f>
        <x:v>11</x:v>
      </x:c>
      <x:c r="G14" s="133" t="n">
        <x:f>COUNTIF(Checkbox!H9:H200,"verified")</x:f>
        <x:v>1</x:v>
      </x:c>
      <x:c r="H14" s="133" t="n">
        <x:f>COUNTIF(Checkbox!H9:H200,"blocked")</x:f>
        <x:v>0</x:v>
      </x:c>
      <x:c r="I14" s="133" t="n">
        <x:f>COUNTIF(Checkbox!H9:H200,"not applicable")</x:f>
        <x:v>0</x:v>
      </x:c>
      <x:c r="J14" s="134" t="n">
        <x:f>Checkbox!H4</x:f>
        <x:v>0.75</x:v>
      </x:c>
      <x:c r="K14" s="133" t="str">
        <x:f>Checkbox!K4</x:f>
        <x:v>open</x:v>
      </x:c>
      <x:c r="L14" s="133" t="str">
        <x:f>Checkbox!E5</x:f>
        <x:v>open</x:v>
      </x:c>
      <x:c r="M14" s="133" t="str">
        <x:f>IF(AND(J14=1,K14="complete",L14="complete"),"complete",IF(H14&gt;0,"blocked","open"))</x:f>
        <x:v>open</x:v>
      </x:c>
    </x:row>
    <x:row r="15" s="127" customFormat="1" ht="24" customHeight="1">
      <x:c r="A15" s="133" t="inlineStr">
        <x:is>
          <x:t xml:space="preserve">Checkbox Group</x:t>
        </x:is>
      </x:c>
      <x:c r="B15" s="133" t="n">
        <x:f>'Checkbox Group'!B4</x:f>
        <x:v>16</x:v>
      </x:c>
      <x:c r="C15" s="133" t="n">
        <x:f>COUNTIF('Checkbox Group'!H9:H200,"not started")</x:f>
        <x:v>0</x:v>
      </x:c>
      <x:c r="D15" s="133" t="n">
        <x:f>COUNTIF('Checkbox Group'!H9:H200,"partial")</x:f>
        <x:v>0</x:v>
      </x:c>
      <x:c r="E15" s="133" t="n">
        <x:f>COUNTIF('Checkbox Group'!H9:H200,"implemented")</x:f>
        <x:v>4</x:v>
      </x:c>
      <x:c r="F15" s="133" t="n">
        <x:f>COUNTIF('Checkbox Group'!H9:H200,"tested")</x:f>
        <x:v>11</x:v>
      </x:c>
      <x:c r="G15" s="133" t="n">
        <x:f>COUNTIF('Checkbox Group'!H9:H200,"verified")</x:f>
        <x:v>1</x:v>
      </x:c>
      <x:c r="H15" s="133" t="n">
        <x:f>COUNTIF('Checkbox Group'!H9:H200,"blocked")</x:f>
        <x:v>0</x:v>
      </x:c>
      <x:c r="I15" s="133" t="n">
        <x:f>COUNTIF('Checkbox Group'!H9:H200,"not applicable")</x:f>
        <x:v>0</x:v>
      </x:c>
      <x:c r="J15" s="134" t="n">
        <x:f>'Checkbox Group'!H4</x:f>
        <x:v>0.75</x:v>
      </x:c>
      <x:c r="K15" s="133" t="str">
        <x:f>'Checkbox Group'!K4</x:f>
        <x:v>open</x:v>
      </x:c>
      <x:c r="L15" s="133" t="str">
        <x:f>'Checkbox Group'!E5</x:f>
        <x:v>open</x:v>
      </x:c>
      <x:c r="M15" s="133" t="str">
        <x:f>IF(AND(J15=1,K15="complete",L15="complete"),"complete",IF(H15&gt;0,"blocked","open"))</x:f>
        <x:v>open</x:v>
      </x:c>
    </x:row>
    <x:row r="16" s="127" customFormat="1" ht="24" customHeight="1">
      <x:c r="A16" s="133" t="inlineStr">
        <x:is>
          <x:t xml:space="preserve">Dialog</x:t>
        </x:is>
      </x:c>
      <x:c r="B16" s="133" t="n">
        <x:f>Dialog!B4</x:f>
        <x:v>16</x:v>
      </x:c>
      <x:c r="C16" s="133" t="n">
        <x:f>COUNTIF(Dialog!H9:H200,"not started")</x:f>
        <x:v>0</x:v>
      </x:c>
      <x:c r="D16" s="133" t="n">
        <x:f>COUNTIF(Dialog!H9:H200,"partial")</x:f>
        <x:v>2</x:v>
      </x:c>
      <x:c r="E16" s="133" t="n">
        <x:f>COUNTIF(Dialog!H9:H200,"implemented")</x:f>
        <x:v>4</x:v>
      </x:c>
      <x:c r="F16" s="133" t="n">
        <x:f>COUNTIF(Dialog!H9:H200,"tested")</x:f>
        <x:v>10</x:v>
      </x:c>
      <x:c r="G16" s="133" t="n">
        <x:f>COUNTIF(Dialog!H9:H200,"verified")</x:f>
        <x:v>0</x:v>
      </x:c>
      <x:c r="H16" s="133" t="n">
        <x:f>COUNTIF(Dialog!H9:H200,"blocked")</x:f>
        <x:v>0</x:v>
      </x:c>
      <x:c r="I16" s="133" t="n">
        <x:f>COUNTIF(Dialog!H9:H200,"not applicable")</x:f>
        <x:v>0</x:v>
      </x:c>
      <x:c r="J16" s="134" t="n">
        <x:f>Dialog!H4</x:f>
        <x:v>0.5625</x:v>
      </x:c>
      <x:c r="K16" s="133" t="str">
        <x:f>Dialog!K4</x:f>
        <x:v>open</x:v>
      </x:c>
      <x:c r="L16" s="133" t="str">
        <x:f>Dialog!E5</x:f>
        <x:v>open</x:v>
      </x:c>
      <x:c r="M16" s="133" t="str">
        <x:f>IF(AND(J16=1,K16="complete",L16="complete"),"complete",IF(H16&gt;0,"blocked","open"))</x:f>
        <x:v>open</x:v>
      </x:c>
    </x:row>
    <x:row r="17" s="127" customFormat="1" ht="24" customHeight="1">
      <x:c r="A17" s="133" t="inlineStr">
        <x:is>
          <x:t xml:space="preserve">Drawer</x:t>
        </x:is>
      </x:c>
      <x:c r="B17" s="133" t="n">
        <x:f>Drawer!B4</x:f>
        <x:v>16</x:v>
      </x:c>
      <x:c r="C17" s="133" t="n">
        <x:f>COUNTIF(Drawer!H9:H200,"not started")</x:f>
        <x:v>0</x:v>
      </x:c>
      <x:c r="D17" s="133" t="n">
        <x:f>COUNTIF(Drawer!H9:H200,"partial")</x:f>
        <x:v>0</x:v>
      </x:c>
      <x:c r="E17" s="133" t="n">
        <x:f>COUNTIF(Drawer!H9:H200,"implemented")</x:f>
        <x:v>4</x:v>
      </x:c>
      <x:c r="F17" s="133" t="n">
        <x:f>COUNTIF(Drawer!H9:H200,"tested")</x:f>
        <x:v>12</x:v>
      </x:c>
      <x:c r="G17" s="133" t="n">
        <x:f>COUNTIF(Drawer!H9:H200,"verified")</x:f>
        <x:v>0</x:v>
      </x:c>
      <x:c r="H17" s="133" t="n">
        <x:f>COUNTIF(Drawer!H9:H200,"blocked")</x:f>
        <x:v>0</x:v>
      </x:c>
      <x:c r="I17" s="133" t="n">
        <x:f>COUNTIF(Drawer!H9:H200,"not applicable")</x:f>
        <x:v>0</x:v>
      </x:c>
      <x:c r="J17" s="134" t="n">
        <x:f>Drawer!H4</x:f>
        <x:v>0.6875</x:v>
      </x:c>
      <x:c r="K17" s="133" t="str">
        <x:f>Drawer!K4</x:f>
        <x:v>open</x:v>
      </x:c>
      <x:c r="L17" s="133" t="str">
        <x:f>Drawer!E5</x:f>
        <x:v>open</x:v>
      </x:c>
      <x:c r="M17" s="133" t="str">
        <x:f>IF(AND(J17=1,K17="complete",L17="complete"),"complete",IF(H17&gt;0,"blocked","open"))</x:f>
        <x:v>open</x:v>
      </x:c>
    </x:row>
    <x:row r="18" s="127" customFormat="1" ht="24" customHeight="1">
      <x:c r="A18" s="133" t="inlineStr">
        <x:is>
          <x:t xml:space="preserve">Field</x:t>
        </x:is>
      </x:c>
      <x:c r="B18" s="133" t="n">
        <x:f>Field!B4</x:f>
        <x:v>16</x:v>
      </x:c>
      <x:c r="C18" s="133" t="n">
        <x:f>COUNTIF(Field!H9:H200,"not started")</x:f>
        <x:v>0</x:v>
      </x:c>
      <x:c r="D18" s="133" t="n">
        <x:f>COUNTIF(Field!H9:H200,"partial")</x:f>
        <x:v>0</x:v>
      </x:c>
      <x:c r="E18" s="133" t="n">
        <x:f>COUNTIF(Field!H9:H200,"implemented")</x:f>
        <x:v>4</x:v>
      </x:c>
      <x:c r="F18" s="133" t="n">
        <x:f>COUNTIF(Field!H9:H200,"tested")</x:f>
        <x:v>11</x:v>
      </x:c>
      <x:c r="G18" s="133" t="n">
        <x:f>COUNTIF(Field!H9:H200,"verified")</x:f>
        <x:v>1</x:v>
      </x:c>
      <x:c r="H18" s="133" t="n">
        <x:f>COUNTIF(Field!H9:H200,"blocked")</x:f>
        <x:v>0</x:v>
      </x:c>
      <x:c r="I18" s="133" t="n">
        <x:f>COUNTIF(Field!H9:H200,"not applicable")</x:f>
        <x:v>0</x:v>
      </x:c>
      <x:c r="J18" s="134" t="n">
        <x:f>Field!H4</x:f>
        <x:v>0.75</x:v>
      </x:c>
      <x:c r="K18" s="133" t="str">
        <x:f>Field!K4</x:f>
        <x:v>open</x:v>
      </x:c>
      <x:c r="L18" s="133" t="str">
        <x:f>Field!E5</x:f>
        <x:v>open</x:v>
      </x:c>
      <x:c r="M18" s="133" t="str">
        <x:f>IF(AND(J18=1,K18="complete",L18="complete"),"complete",IF(H18&gt;0,"blocked","open"))</x:f>
        <x:v>open</x:v>
      </x:c>
    </x:row>
    <x:row r="19" s="127" customFormat="1" ht="24" customHeight="1">
      <x:c r="A19" s="133" t="inlineStr">
        <x:is>
          <x:t xml:space="preserve">Fieldset</x:t>
        </x:is>
      </x:c>
      <x:c r="B19" s="133" t="n">
        <x:f>Fieldset!B4</x:f>
        <x:v>16</x:v>
      </x:c>
      <x:c r="C19" s="133" t="n">
        <x:f>COUNTIF(Fieldset!H9:H200,"not started")</x:f>
        <x:v>0</x:v>
      </x:c>
      <x:c r="D19" s="133" t="n">
        <x:f>COUNTIF(Fieldset!H9:H200,"partial")</x:f>
        <x:v>0</x:v>
      </x:c>
      <x:c r="E19" s="133" t="n">
        <x:f>COUNTIF(Fieldset!H9:H200,"implemented")</x:f>
        <x:v>4</x:v>
      </x:c>
      <x:c r="F19" s="133" t="n">
        <x:f>COUNTIF(Fieldset!H9:H200,"tested")</x:f>
        <x:v>11</x:v>
      </x:c>
      <x:c r="G19" s="133" t="n">
        <x:f>COUNTIF(Fieldset!H9:H200,"verified")</x:f>
        <x:v>1</x:v>
      </x:c>
      <x:c r="H19" s="133" t="n">
        <x:f>COUNTIF(Fieldset!H9:H200,"blocked")</x:f>
        <x:v>0</x:v>
      </x:c>
      <x:c r="I19" s="133" t="n">
        <x:f>COUNTIF(Fieldset!H9:H200,"not applicable")</x:f>
        <x:v>0</x:v>
      </x:c>
      <x:c r="J19" s="134" t="n">
        <x:f>Fieldset!H4</x:f>
        <x:v>0.75</x:v>
      </x:c>
      <x:c r="K19" s="133" t="str">
        <x:f>Fieldset!K4</x:f>
        <x:v>open</x:v>
      </x:c>
      <x:c r="L19" s="133" t="str">
        <x:f>Fieldset!E5</x:f>
        <x:v>open</x:v>
      </x:c>
      <x:c r="M19" s="133" t="str">
        <x:f>IF(AND(J19=1,K19="complete",L19="complete"),"complete",IF(H19&gt;0,"blocked","open"))</x:f>
        <x:v>open</x:v>
      </x:c>
    </x:row>
    <x:row r="20" s="127" customFormat="1" ht="24" customHeight="1">
      <x:c r="A20" s="133" t="inlineStr">
        <x:is>
          <x:t xml:space="preserve">Form</x:t>
        </x:is>
      </x:c>
      <x:c r="B20" s="133" t="n">
        <x:f>Form!B4</x:f>
        <x:v>16</x:v>
      </x:c>
      <x:c r="C20" s="133" t="n">
        <x:f>COUNTIF(Form!H9:H200,"not started")</x:f>
        <x:v>0</x:v>
      </x:c>
      <x:c r="D20" s="133" t="n">
        <x:f>COUNTIF(Form!H9:H200,"partial")</x:f>
        <x:v>0</x:v>
      </x:c>
      <x:c r="E20" s="133" t="n">
        <x:f>COUNTIF(Form!H9:H200,"implemented")</x:f>
        <x:v>4</x:v>
      </x:c>
      <x:c r="F20" s="133" t="n">
        <x:f>COUNTIF(Form!H9:H200,"tested")</x:f>
        <x:v>11</x:v>
      </x:c>
      <x:c r="G20" s="133" t="n">
        <x:f>COUNTIF(Form!H9:H200,"verified")</x:f>
        <x:v>1</x:v>
      </x:c>
      <x:c r="H20" s="133" t="n">
        <x:f>COUNTIF(Form!H9:H200,"blocked")</x:f>
        <x:v>0</x:v>
      </x:c>
      <x:c r="I20" s="133" t="n">
        <x:f>COUNTIF(Form!H9:H200,"not applicable")</x:f>
        <x:v>0</x:v>
      </x:c>
      <x:c r="J20" s="134" t="n">
        <x:f>Form!H4</x:f>
        <x:v>0.75</x:v>
      </x:c>
      <x:c r="K20" s="133" t="str">
        <x:f>Form!K4</x:f>
        <x:v>open</x:v>
      </x:c>
      <x:c r="L20" s="133" t="str">
        <x:f>Form!E5</x:f>
        <x:v>open</x:v>
      </x:c>
      <x:c r="M20" s="133" t="str">
        <x:f>IF(AND(J20=1,K20="complete",L20="complete"),"complete",IF(H20&gt;0,"blocked","open"))</x:f>
        <x:v>open</x:v>
      </x:c>
    </x:row>
    <x:row r="21" s="127" customFormat="1" ht="24" customHeight="1">
      <x:c r="A21" s="133" t="inlineStr">
        <x:is>
          <x:t xml:space="preserve">Hover Card</x:t>
        </x:is>
      </x:c>
      <x:c r="B21" s="133" t="n">
        <x:f>'Hover Card'!B4</x:f>
        <x:v>16</x:v>
      </x:c>
      <x:c r="C21" s="133" t="n">
        <x:f>COUNTIF('Hover Card'!H9:H200,"not started")</x:f>
        <x:v>0</x:v>
      </x:c>
      <x:c r="D21" s="133" t="n">
        <x:f>COUNTIF('Hover Card'!H9:H200,"partial")</x:f>
        <x:v>0</x:v>
      </x:c>
      <x:c r="E21" s="133" t="n">
        <x:f>COUNTIF('Hover Card'!H9:H200,"implemented")</x:f>
        <x:v>4</x:v>
      </x:c>
      <x:c r="F21" s="133" t="n">
        <x:f>COUNTIF('Hover Card'!H9:H200,"tested")</x:f>
        <x:v>12</x:v>
      </x:c>
      <x:c r="G21" s="133" t="n">
        <x:f>COUNTIF('Hover Card'!H9:H200,"verified")</x:f>
        <x:v>0</x:v>
      </x:c>
      <x:c r="H21" s="133" t="n">
        <x:f>COUNTIF('Hover Card'!H9:H200,"blocked")</x:f>
        <x:v>0</x:v>
      </x:c>
      <x:c r="I21" s="133" t="n">
        <x:f>COUNTIF('Hover Card'!H9:H200,"not applicable")</x:f>
        <x:v>0</x:v>
      </x:c>
      <x:c r="J21" s="134" t="n">
        <x:f>'Hover Card'!H4</x:f>
        <x:v>0.6875</x:v>
      </x:c>
      <x:c r="K21" s="133" t="str">
        <x:f>'Hover Card'!K4</x:f>
        <x:v>open</x:v>
      </x:c>
      <x:c r="L21" s="133" t="str">
        <x:f>'Hover Card'!E5</x:f>
        <x:v>complete</x:v>
      </x:c>
      <x:c r="M21" s="133" t="str">
        <x:f>IF(AND(J21=1,K21="complete",L21="complete"),"complete",IF(H21&gt;0,"blocked","open"))</x:f>
        <x:v>open</x:v>
      </x:c>
    </x:row>
    <x:row r="22" s="127" customFormat="1" ht="24" customHeight="1">
      <x:c r="A22" s="133" t="inlineStr">
        <x:is>
          <x:t xml:space="preserve">Icon Button</x:t>
        </x:is>
      </x:c>
      <x:c r="B22" s="133" t="n">
        <x:f>'Icon Button'!B4</x:f>
        <x:v>17</x:v>
      </x:c>
      <x:c r="C22" s="133" t="n">
        <x:f>COUNTIF('Icon Button'!H9:H200,"not started")</x:f>
        <x:v>0</x:v>
      </x:c>
      <x:c r="D22" s="133" t="n">
        <x:f>COUNTIF('Icon Button'!H9:H200,"partial")</x:f>
        <x:v>3</x:v>
      </x:c>
      <x:c r="E22" s="133" t="n">
        <x:f>COUNTIF('Icon Button'!H9:H200,"implemented")</x:f>
        <x:v>4</x:v>
      </x:c>
      <x:c r="F22" s="133" t="n">
        <x:f>COUNTIF('Icon Button'!H9:H200,"tested")</x:f>
        <x:v>10</x:v>
      </x:c>
      <x:c r="G22" s="133" t="n">
        <x:f>COUNTIF('Icon Button'!H9:H200,"verified")</x:f>
        <x:v>0</x:v>
      </x:c>
      <x:c r="H22" s="133" t="n">
        <x:f>COUNTIF('Icon Button'!H9:H200,"blocked")</x:f>
        <x:v>0</x:v>
      </x:c>
      <x:c r="I22" s="133" t="n">
        <x:f>COUNTIF('Icon Button'!H9:H200,"not applicable")</x:f>
        <x:v>0</x:v>
      </x:c>
      <x:c r="J22" s="134" t="n">
        <x:f>'Icon Button'!H4</x:f>
        <x:v>0.5882352941176471</x:v>
      </x:c>
      <x:c r="K22" s="133" t="str">
        <x:f>'Icon Button'!K4</x:f>
        <x:v>open</x:v>
      </x:c>
      <x:c r="L22" s="133" t="str">
        <x:f>'Icon Button'!E5</x:f>
        <x:v>open</x:v>
      </x:c>
      <x:c r="M22" s="133" t="str">
        <x:f>IF(AND(J22=1,K22="complete",L22="complete"),"complete",IF(H22&gt;0,"blocked","open"))</x:f>
        <x:v>open</x:v>
      </x:c>
    </x:row>
    <x:row r="23" s="127" customFormat="1" ht="24" customHeight="1">
      <x:c r="A23" s="133" t="inlineStr">
        <x:is>
          <x:t xml:space="preserve">Input</x:t>
        </x:is>
      </x:c>
      <x:c r="B23" s="133" t="n">
        <x:f>Input!B4</x:f>
        <x:v>16</x:v>
      </x:c>
      <x:c r="C23" s="133" t="n">
        <x:f>COUNTIF(Input!H9:H200,"not started")</x:f>
        <x:v>0</x:v>
      </x:c>
      <x:c r="D23" s="133" t="n">
        <x:f>COUNTIF(Input!H9:H200,"partial")</x:f>
        <x:v>0</x:v>
      </x:c>
      <x:c r="E23" s="133" t="n">
        <x:f>COUNTIF(Input!H9:H200,"implemented")</x:f>
        <x:v>4</x:v>
      </x:c>
      <x:c r="F23" s="133" t="n">
        <x:f>COUNTIF(Input!H9:H200,"tested")</x:f>
        <x:v>11</x:v>
      </x:c>
      <x:c r="G23" s="133" t="n">
        <x:f>COUNTIF(Input!H9:H200,"verified")</x:f>
        <x:v>1</x:v>
      </x:c>
      <x:c r="H23" s="133" t="n">
        <x:f>COUNTIF(Input!H9:H200,"blocked")</x:f>
        <x:v>0</x:v>
      </x:c>
      <x:c r="I23" s="133" t="n">
        <x:f>COUNTIF(Input!H9:H200,"not applicable")</x:f>
        <x:v>0</x:v>
      </x:c>
      <x:c r="J23" s="134" t="n">
        <x:f>Input!H4</x:f>
        <x:v>0.75</x:v>
      </x:c>
      <x:c r="K23" s="133" t="str">
        <x:f>Input!K4</x:f>
        <x:v>open</x:v>
      </x:c>
      <x:c r="L23" s="133" t="str">
        <x:f>Input!E5</x:f>
        <x:v>complete</x:v>
      </x:c>
      <x:c r="M23" s="133" t="str">
        <x:f>IF(AND(J23=1,K23="complete",L23="complete"),"complete",IF(H23&gt;0,"blocked","open"))</x:f>
        <x:v>open</x:v>
      </x:c>
    </x:row>
    <x:row r="24" s="127" customFormat="1" ht="24" customHeight="1">
      <x:c r="A24" s="133" t="inlineStr">
        <x:is>
          <x:t xml:space="preserve">Link</x:t>
        </x:is>
      </x:c>
      <x:c r="B24" s="133" t="n">
        <x:f>Link!B4</x:f>
        <x:v>17</x:v>
      </x:c>
      <x:c r="C24" s="133" t="n">
        <x:f>COUNTIF(Link!H9:H200,"not started")</x:f>
        <x:v>0</x:v>
      </x:c>
      <x:c r="D24" s="133" t="n">
        <x:f>COUNTIF(Link!H9:H200,"partial")</x:f>
        <x:v>1</x:v>
      </x:c>
      <x:c r="E24" s="133" t="n">
        <x:f>COUNTIF(Link!H9:H200,"implemented")</x:f>
        <x:v>3</x:v>
      </x:c>
      <x:c r="F24" s="133" t="n">
        <x:f>COUNTIF(Link!H9:H200,"tested")</x:f>
        <x:v>12</x:v>
      </x:c>
      <x:c r="G24" s="133" t="n">
        <x:f>COUNTIF(Link!H9:H200,"verified")</x:f>
        <x:v>1</x:v>
      </x:c>
      <x:c r="H24" s="133" t="n">
        <x:f>COUNTIF(Link!H9:H200,"blocked")</x:f>
        <x:v>0</x:v>
      </x:c>
      <x:c r="I24" s="133" t="n">
        <x:f>COUNTIF(Link!H9:H200,"not applicable")</x:f>
        <x:v>0</x:v>
      </x:c>
      <x:c r="J24" s="134" t="n">
        <x:f>Link!H4</x:f>
        <x:v>0.7647058823529411</x:v>
      </x:c>
      <x:c r="K24" s="133" t="str">
        <x:f>Link!K4</x:f>
        <x:v>open</x:v>
      </x:c>
      <x:c r="L24" s="133" t="str">
        <x:f>Link!E5</x:f>
        <x:v>complete</x:v>
      </x:c>
      <x:c r="M24" s="133" t="str">
        <x:f>IF(AND(J24=1,K24="complete",L24="complete"),"complete",IF(H24&gt;0,"blocked","open"))</x:f>
        <x:v>open</x:v>
      </x:c>
    </x:row>
    <x:row r="25" s="127" customFormat="1" ht="24" customHeight="1">
      <x:c r="A25" s="133" t="inlineStr">
        <x:is>
          <x:t xml:space="preserve">Notification Badge</x:t>
        </x:is>
      </x:c>
      <x:c r="B25" s="133" t="n">
        <x:f>'Notification Badge'!B4</x:f>
        <x:v>16</x:v>
      </x:c>
      <x:c r="C25" s="133" t="n">
        <x:f>COUNTIF('Notification Badge'!H9:H200,"not started")</x:f>
        <x:v>0</x:v>
      </x:c>
      <x:c r="D25" s="133" t="n">
        <x:f>COUNTIF('Notification Badge'!H9:H200,"partial")</x:f>
        <x:v>1</x:v>
      </x:c>
      <x:c r="E25" s="133" t="n">
        <x:f>COUNTIF('Notification Badge'!H9:H200,"implemented")</x:f>
        <x:v>4</x:v>
      </x:c>
      <x:c r="F25" s="133" t="n">
        <x:f>COUNTIF('Notification Badge'!H9:H200,"tested")</x:f>
        <x:v>10</x:v>
      </x:c>
      <x:c r="G25" s="133" t="n">
        <x:f>COUNTIF('Notification Badge'!H9:H200,"verified")</x:f>
        <x:v>0</x:v>
      </x:c>
      <x:c r="H25" s="133" t="n">
        <x:f>COUNTIF('Notification Badge'!H9:H200,"blocked")</x:f>
        <x:v>1</x:v>
      </x:c>
      <x:c r="I25" s="133" t="n">
        <x:f>COUNTIF('Notification Badge'!H9:H200,"not applicable")</x:f>
        <x:v>0</x:v>
      </x:c>
      <x:c r="J25" s="134" t="n">
        <x:f>'Notification Badge'!H4</x:f>
        <x:v>0.5625</x:v>
      </x:c>
      <x:c r="K25" s="133" t="str">
        <x:f>'Notification Badge'!K4</x:f>
        <x:v>blocked</x:v>
      </x:c>
      <x:c r="L25" s="133" t="str">
        <x:f>'Notification Badge'!E5</x:f>
        <x:v>partial</x:v>
      </x:c>
      <x:c r="M25" s="133" t="str">
        <x:f>IF(AND(J25=1,K25="complete",L25="complete"),"complete",IF(H25&gt;0,"blocked","open"))</x:f>
        <x:v>blocked</x:v>
      </x:c>
    </x:row>
    <x:row r="26" s="127" customFormat="1" ht="24" customHeight="1">
      <x:c r="A26" s="133" t="inlineStr">
        <x:is>
          <x:t xml:space="preserve">Popover</x:t>
        </x:is>
      </x:c>
      <x:c r="B26" s="133" t="n">
        <x:f>Popover!B4</x:f>
        <x:v>16</x:v>
      </x:c>
      <x:c r="C26" s="133" t="n">
        <x:f>COUNTIF(Popover!H9:H200,"not started")</x:f>
        <x:v>0</x:v>
      </x:c>
      <x:c r="D26" s="133" t="n">
        <x:f>COUNTIF(Popover!H9:H200,"partial")</x:f>
        <x:v>1</x:v>
      </x:c>
      <x:c r="E26" s="133" t="n">
        <x:f>COUNTIF(Popover!H9:H200,"implemented")</x:f>
        <x:v>4</x:v>
      </x:c>
      <x:c r="F26" s="133" t="n">
        <x:f>COUNTIF(Popover!H9:H200,"tested")</x:f>
        <x:v>11</x:v>
      </x:c>
      <x:c r="G26" s="133" t="n">
        <x:f>COUNTIF(Popover!H9:H200,"verified")</x:f>
        <x:v>0</x:v>
      </x:c>
      <x:c r="H26" s="133" t="n">
        <x:f>COUNTIF(Popover!H9:H200,"blocked")</x:f>
        <x:v>0</x:v>
      </x:c>
      <x:c r="I26" s="133" t="n">
        <x:f>COUNTIF(Popover!H9:H200,"not applicable")</x:f>
        <x:v>0</x:v>
      </x:c>
      <x:c r="J26" s="134" t="n">
        <x:f>Popover!H4</x:f>
        <x:v>0.6875</x:v>
      </x:c>
      <x:c r="K26" s="133" t="str">
        <x:f>Popover!K4</x:f>
        <x:v>pending</x:v>
      </x:c>
      <x:c r="L26" s="133" t="str">
        <x:f>Popover!E5</x:f>
        <x:v>tested</x:v>
      </x:c>
      <x:c r="M26" s="133" t="str">
        <x:f>IF(AND(J26=1,K26="complete",L26="complete"),"complete",IF(H26&gt;0,"blocked","open"))</x:f>
        <x:v>open</x:v>
      </x:c>
    </x:row>
    <x:row r="27" s="127" customFormat="1" ht="24" customHeight="1">
      <x:c r="A27" s="133" t="inlineStr">
        <x:is>
          <x:t xml:space="preserve">Toggle</x:t>
        </x:is>
      </x:c>
      <x:c r="B27" s="133" t="n">
        <x:f>Toggle!B4</x:f>
        <x:v>16</x:v>
      </x:c>
      <x:c r="C27" s="133" t="n">
        <x:f>COUNTIF(Toggle!H9:H200,"not started")</x:f>
        <x:v>0</x:v>
      </x:c>
      <x:c r="D27" s="133" t="n">
        <x:f>COUNTIF(Toggle!H9:H200,"partial")</x:f>
        <x:v>3</x:v>
      </x:c>
      <x:c r="E27" s="133" t="n">
        <x:f>COUNTIF(Toggle!H9:H200,"implemented")</x:f>
        <x:v>4</x:v>
      </x:c>
      <x:c r="F27" s="133" t="n">
        <x:f>COUNTIF(Toggle!H9:H200,"tested")</x:f>
        <x:v>9</x:v>
      </x:c>
      <x:c r="G27" s="133" t="n">
        <x:f>COUNTIF(Toggle!H9:H200,"verified")</x:f>
        <x:v>0</x:v>
      </x:c>
      <x:c r="H27" s="133" t="n">
        <x:f>COUNTIF(Toggle!H9:H200,"blocked")</x:f>
        <x:v>0</x:v>
      </x:c>
      <x:c r="I27" s="133" t="n">
        <x:f>COUNTIF(Toggle!H9:H200,"not applicable")</x:f>
        <x:v>0</x:v>
      </x:c>
      <x:c r="J27" s="134" t="n">
        <x:f>Toggle!H4</x:f>
        <x:v>0.5625</x:v>
      </x:c>
      <x:c r="K27" s="133" t="str">
        <x:f>Toggle!K4</x:f>
        <x:v>open</x:v>
      </x:c>
      <x:c r="L27" s="133" t="str">
        <x:f>Toggle!E5</x:f>
        <x:v>open</x:v>
      </x:c>
      <x:c r="M27" s="133" t="str">
        <x:f>IF(AND(J27=1,K27="complete",L27="complete"),"complete",IF(H27&gt;0,"blocked","open"))</x:f>
        <x:v>open</x:v>
      </x:c>
    </x:row>
    <x:row r="28" s="127" customFormat="1" ht="24" customHeight="1">
      <x:c r="A28" s="133" t="inlineStr">
        <x:is>
          <x:t xml:space="preserve">Toggle Group</x:t>
        </x:is>
      </x:c>
      <x:c r="B28" s="133" t="n">
        <x:f>'Toggle Group'!B4</x:f>
        <x:v>16</x:v>
      </x:c>
      <x:c r="C28" s="133" t="n">
        <x:f>COUNTIF('Toggle Group'!H9:H200,"not started")</x:f>
        <x:v>0</x:v>
      </x:c>
      <x:c r="D28" s="133" t="n">
        <x:f>COUNTIF('Toggle Group'!H9:H200,"partial")</x:f>
        <x:v>3</x:v>
      </x:c>
      <x:c r="E28" s="133" t="n">
        <x:f>COUNTIF('Toggle Group'!H9:H200,"implemented")</x:f>
        <x:v>4</x:v>
      </x:c>
      <x:c r="F28" s="133" t="n">
        <x:f>COUNTIF('Toggle Group'!H9:H200,"tested")</x:f>
        <x:v>9</x:v>
      </x:c>
      <x:c r="G28" s="133" t="n">
        <x:f>COUNTIF('Toggle Group'!H9:H200,"verified")</x:f>
        <x:v>0</x:v>
      </x:c>
      <x:c r="H28" s="133" t="n">
        <x:f>COUNTIF('Toggle Group'!H9:H200,"blocked")</x:f>
        <x:v>0</x:v>
      </x:c>
      <x:c r="I28" s="133" t="n">
        <x:f>COUNTIF('Toggle Group'!H9:H200,"not applicable")</x:f>
        <x:v>0</x:v>
      </x:c>
      <x:c r="J28" s="134" t="n">
        <x:f>'Toggle Group'!H4</x:f>
        <x:v>0.5625</x:v>
      </x:c>
      <x:c r="K28" s="133" t="str">
        <x:f>'Toggle Group'!K4</x:f>
        <x:v>open</x:v>
      </x:c>
      <x:c r="L28" s="133" t="str">
        <x:f>'Toggle Group'!E5</x:f>
        <x:v>open</x:v>
      </x:c>
      <x:c r="M28" s="133" t="str">
        <x:f>IF(AND(J28=1,K28="complete",L28="complete"),"complete",IF(H28&gt;0,"blocked","open"))</x:f>
        <x:v>open</x:v>
      </x:c>
    </x:row>
    <x:row r="29" s="127" customFormat="1" ht="24" customHeight="1">
      <x:c r="A29" s="133" t="inlineStr">
        <x:is>
          <x:t xml:space="preserve">Tooltip</x:t>
        </x:is>
      </x:c>
      <x:c r="B29" s="133" t="n">
        <x:f>Tooltip!B4</x:f>
        <x:v>16</x:v>
      </x:c>
      <x:c r="C29" s="133" t="n">
        <x:f>COUNTIF(Tooltip!H9:H200,"not started")</x:f>
        <x:v>0</x:v>
      </x:c>
      <x:c r="D29" s="133" t="n">
        <x:f>COUNTIF(Tooltip!H9:H200,"partial")</x:f>
        <x:v>3</x:v>
      </x:c>
      <x:c r="E29" s="133" t="n">
        <x:f>COUNTIF(Tooltip!H9:H200,"implemented")</x:f>
        <x:v>4</x:v>
      </x:c>
      <x:c r="F29" s="133" t="n">
        <x:f>COUNTIF(Tooltip!H9:H200,"tested")</x:f>
        <x:v>9</x:v>
      </x:c>
      <x:c r="G29" s="133" t="n">
        <x:f>COUNTIF(Tooltip!H9:H200,"verified")</x:f>
        <x:v>0</x:v>
      </x:c>
      <x:c r="H29" s="133" t="n">
        <x:f>COUNTIF(Tooltip!H9:H200,"blocked")</x:f>
        <x:v>0</x:v>
      </x:c>
      <x:c r="I29" s="133" t="n">
        <x:f>COUNTIF(Tooltip!H9:H200,"not applicable")</x:f>
        <x:v>0</x:v>
      </x:c>
      <x:c r="J29" s="134" t="n">
        <x:f>Tooltip!H4</x:f>
        <x:v>0.5625</x:v>
      </x:c>
      <x:c r="K29" s="133" t="str">
        <x:f>Tooltip!K4</x:f>
        <x:v>open</x:v>
      </x:c>
      <x:c r="L29" s="133" t="str">
        <x:f>Tooltip!E5</x:f>
        <x:v>open</x:v>
      </x:c>
      <x:c r="M29" s="133" t="str">
        <x:f>IF(AND(J29=1,K29="complete",L29="complete"),"complete",IF(H29&gt;0,"blocked","open"))</x:f>
        <x:v>open</x:v>
      </x:c>
    </x:row>
    <x:row r="30" s="127" customFormat="1" ht="24" customHeight="1">
      <x:c r="A30" s="133" t="inlineStr">
        <x:is>
          <x:t xml:space="preserve">Stack</x:t>
        </x:is>
      </x:c>
      <x:c r="B30" s="133" t="n">
        <x:f>Stack!B4</x:f>
        <x:v>16</x:v>
      </x:c>
      <x:c r="C30" s="133" t="n">
        <x:f>COUNTIF(Stack!H9:H200,"not started")</x:f>
        <x:v>0</x:v>
      </x:c>
      <x:c r="D30" s="133" t="n">
        <x:f>COUNTIF(Stack!H9:H200,"partial")</x:f>
        <x:v>1</x:v>
      </x:c>
      <x:c r="E30" s="133" t="n">
        <x:f>COUNTIF(Stack!H9:H200,"implemented")</x:f>
        <x:v>3</x:v>
      </x:c>
      <x:c r="F30" s="133" t="n">
        <x:f>COUNTIF(Stack!H9:H200,"tested")</x:f>
        <x:v>12</x:v>
      </x:c>
      <x:c r="G30" s="133" t="n">
        <x:f>COUNTIF(Stack!H9:H200,"verified")</x:f>
        <x:v>0</x:v>
      </x:c>
      <x:c r="H30" s="133" t="n">
        <x:f>COUNTIF(Stack!H9:H200,"blocked")</x:f>
        <x:v>0</x:v>
      </x:c>
      <x:c r="I30" s="133" t="n">
        <x:f>COUNTIF(Stack!H9:H200,"not applicable")</x:f>
        <x:v>0</x:v>
      </x:c>
      <x:c r="J30" s="134" t="n">
        <x:f>Stack!H4</x:f>
        <x:v>0.6875</x:v>
      </x:c>
      <x:c r="K30" s="133" t="str">
        <x:f>Stack!K4</x:f>
        <x:v>open</x:v>
      </x:c>
      <x:c r="L30" s="133" t="str">
        <x:f>Stack!E5</x:f>
        <x:v>complete</x:v>
      </x:c>
      <x:c r="M30" s="133" t="str">
        <x:f>IF(AND(J30=1,K30="complete",L30="complete"),"complete",IF(H30&gt;0,"blocked","open"))</x:f>
        <x:v>open</x:v>
      </x:c>
    </x:row>
    <x:row r="31" s="127" customFormat="1" ht="24" customHeight="1">
      <x:c r="A31" s="133" t="inlineStr">
        <x:is>
          <x:t xml:space="preserve">Text</x:t>
        </x:is>
      </x:c>
      <x:c r="B31" s="133" t="n">
        <x:f>Text!B4</x:f>
        <x:v>16</x:v>
      </x:c>
      <x:c r="C31" s="133" t="n">
        <x:f>COUNTIF(Text!H9:H200,"not started")</x:f>
        <x:v>0</x:v>
      </x:c>
      <x:c r="D31" s="133" t="n">
        <x:f>COUNTIF(Text!H9:H200,"partial")</x:f>
        <x:v>1</x:v>
      </x:c>
      <x:c r="E31" s="133" t="n">
        <x:f>COUNTIF(Text!H9:H200,"implemented")</x:f>
        <x:v>3</x:v>
      </x:c>
      <x:c r="F31" s="133" t="n">
        <x:f>COUNTIF(Text!H9:H200,"tested")</x:f>
        <x:v>11</x:v>
      </x:c>
      <x:c r="G31" s="133" t="n">
        <x:f>COUNTIF(Text!H9:H200,"verified")</x:f>
        <x:v>1</x:v>
      </x:c>
      <x:c r="H31" s="133" t="n">
        <x:f>COUNTIF(Text!H9:H200,"blocked")</x:f>
        <x:v>0</x:v>
      </x:c>
      <x:c r="I31" s="133" t="n">
        <x:f>COUNTIF(Text!H9:H200,"not applicable")</x:f>
        <x:v>0</x:v>
      </x:c>
      <x:c r="J31" s="134" t="n">
        <x:f>Text!H4</x:f>
        <x:v>0.75</x:v>
      </x:c>
      <x:c r="K31" s="133" t="str">
        <x:f>Text!K4</x:f>
        <x:v>open</x:v>
      </x:c>
      <x:c r="L31" s="133" t="str">
        <x:f>Text!E5</x:f>
        <x:v>complete</x:v>
      </x:c>
      <x:c r="M31" s="133" t="str">
        <x:f>IF(AND(J31=1,K31="complete",L31="complete"),"complete",IF(H31&gt;0,"blocked","open"))</x:f>
        <x:v>open</x:v>
      </x:c>
    </x:row>
    <x:row r="32" s="127" customFormat="1" ht="24" customHeight="1">
      <x:c r="A32" s="133" t="inlineStr">
        <x:is>
          <x:t xml:space="preserve">Grid</x:t>
        </x:is>
      </x:c>
      <x:c r="B32" s="133" t="n">
        <x:f>Grid!B4</x:f>
        <x:v>17</x:v>
      </x:c>
      <x:c r="C32" s="133" t="n">
        <x:f>COUNTIF(Grid!H9:H200,"not started")</x:f>
        <x:v>0</x:v>
      </x:c>
      <x:c r="D32" s="133" t="n">
        <x:f>COUNTIF(Grid!H9:H200,"partial")</x:f>
        <x:v>2</x:v>
      </x:c>
      <x:c r="E32" s="133" t="n">
        <x:f>COUNTIF(Grid!H9:H200,"implemented")</x:f>
        <x:v>4</x:v>
      </x:c>
      <x:c r="F32" s="133" t="n">
        <x:f>COUNTIF(Grid!H9:H200,"tested")</x:f>
        <x:v>10</x:v>
      </x:c>
      <x:c r="G32" s="133" t="n">
        <x:f>COUNTIF(Grid!H9:H200,"verified")</x:f>
        <x:v>0</x:v>
      </x:c>
      <x:c r="H32" s="133" t="n">
        <x:f>COUNTIF(Grid!H9:H200,"blocked")</x:f>
        <x:v>1</x:v>
      </x:c>
      <x:c r="I32" s="133" t="n">
        <x:f>COUNTIF(Grid!H9:H200,"not applicable")</x:f>
        <x:v>0</x:v>
      </x:c>
      <x:c r="J32" s="134" t="n">
        <x:f>Grid!H4</x:f>
        <x:v>0.5882352941176471</x:v>
      </x:c>
      <x:c r="K32" s="133" t="str">
        <x:f>Grid!K4</x:f>
        <x:v>open</x:v>
      </x:c>
      <x:c r="L32" s="133" t="str">
        <x:f>Grid!E5</x:f>
        <x:v>open</x:v>
      </x:c>
      <x:c r="M32" s="133" t="str">
        <x:f>IF(AND(J32=1,K32="complete",L32="complete"),"complete",IF(H32&gt;0,"blocked","open"))</x:f>
        <x:v>blocked</x:v>
      </x:c>
    </x:row>
    <x:row r="33" s="127" customFormat="1" ht="24" customHeight="1">
      <x:c r="A33" s="133" t="inlineStr">
        <x:is>
          <x:t xml:space="preserve">Container</x:t>
        </x:is>
      </x:c>
      <x:c r="B33" s="133" t="n">
        <x:f>Container!B4</x:f>
        <x:v>17</x:v>
      </x:c>
      <x:c r="C33" s="133" t="n">
        <x:f>COUNTIF(Container!H9:H200,"not started")</x:f>
        <x:v>0</x:v>
      </x:c>
      <x:c r="D33" s="133" t="n">
        <x:f>COUNTIF(Container!H9:H200,"partial")</x:f>
        <x:v>0</x:v>
      </x:c>
      <x:c r="E33" s="133" t="n">
        <x:f>COUNTIF(Container!H9:H200,"implemented")</x:f>
        <x:v>4</x:v>
      </x:c>
      <x:c r="F33" s="133" t="n">
        <x:f>COUNTIF(Container!H9:H200,"tested")</x:f>
        <x:v>12</x:v>
      </x:c>
      <x:c r="G33" s="133" t="n">
        <x:f>COUNTIF(Container!H9:H200,"verified")</x:f>
        <x:v>1</x:v>
      </x:c>
      <x:c r="H33" s="133" t="n">
        <x:f>COUNTIF(Container!H9:H200,"blocked")</x:f>
        <x:v>0</x:v>
      </x:c>
      <x:c r="I33" s="133" t="n">
        <x:f>COUNTIF(Container!H9:H200,"not applicable")</x:f>
        <x:v>0</x:v>
      </x:c>
      <x:c r="J33" s="134" t="n">
        <x:f>Container!H4</x:f>
        <x:v>0.7647058823529411</x:v>
      </x:c>
      <x:c r="K33" s="133" t="str">
        <x:f>Container!K4</x:f>
        <x:v>open</x:v>
      </x:c>
      <x:c r="L33" s="133" t="str">
        <x:f>Container!E5</x:f>
        <x:v>complete</x:v>
      </x:c>
      <x:c r="M33" s="133" t="str">
        <x:f>IF(AND(J33=1,K33="complete",L33="complete"),"complete",IF(H33&gt;0,"blocked","open"))</x:f>
        <x:v>open</x:v>
      </x:c>
    </x:row>
    <x:row r="34" s="127" customFormat="1" ht="24" customHeight="1">
      <x:c r="A34" s="133" t="inlineStr">
        <x:is>
          <x:t xml:space="preserve">Surface</x:t>
        </x:is>
      </x:c>
      <x:c r="B34" s="133" t="n">
        <x:f>Surface!B4</x:f>
        <x:v>17</x:v>
      </x:c>
      <x:c r="C34" s="133" t="n">
        <x:f>COUNTIF(Surface!H9:H200,"not started")</x:f>
        <x:v>0</x:v>
      </x:c>
      <x:c r="D34" s="133" t="n">
        <x:f>COUNTIF(Surface!H9:H200,"partial")</x:f>
        <x:v>0</x:v>
      </x:c>
      <x:c r="E34" s="133" t="n">
        <x:f>COUNTIF(Surface!H9:H200,"implemented")</x:f>
        <x:v>5</x:v>
      </x:c>
      <x:c r="F34" s="133" t="n">
        <x:f>COUNTIF(Surface!H9:H200,"tested")</x:f>
        <x:v>12</x:v>
      </x:c>
      <x:c r="G34" s="133" t="n">
        <x:f>COUNTIF(Surface!H9:H200,"verified")</x:f>
        <x:v>0</x:v>
      </x:c>
      <x:c r="H34" s="133" t="n">
        <x:f>COUNTIF(Surface!H9:H200,"blocked")</x:f>
        <x:v>0</x:v>
      </x:c>
      <x:c r="I34" s="133" t="n">
        <x:f>COUNTIF(Surface!H9:H200,"not applicable")</x:f>
        <x:v>0</x:v>
      </x:c>
      <x:c r="J34" s="134" t="n">
        <x:f>Surface!H4</x:f>
        <x:v>0.7058823529411765</x:v>
      </x:c>
      <x:c r="K34" s="133" t="str">
        <x:f>Surface!K4</x:f>
        <x:v>open</x:v>
      </x:c>
      <x:c r="L34" s="133" t="str">
        <x:f>Surface!E5</x:f>
        <x:v>complete</x:v>
      </x:c>
      <x:c r="M34" s="133" t="str">
        <x:f>IF(AND(J34=1,K34="complete",L34="complete"),"complete",IF(H34&gt;0,"blocked","open"))</x:f>
        <x:v>open</x:v>
      </x:c>
    </x:row>
    <x:row r="35" s="127" customFormat="1" ht="24" customHeight="1">
      <x:c r="A35" s="133" t="inlineStr">
        <x:is>
          <x:t xml:space="preserve">Divider</x:t>
        </x:is>
      </x:c>
      <x:c r="B35" s="133" t="n">
        <x:f>Divider!B4</x:f>
        <x:v>21</x:v>
      </x:c>
      <x:c r="C35" s="133" t="n">
        <x:f>COUNTIF(Divider!H9:H200,"not started")</x:f>
        <x:v>0</x:v>
      </x:c>
      <x:c r="D35" s="133" t="n">
        <x:f>COUNTIF(Divider!H9:H200,"partial")</x:f>
        <x:v>0</x:v>
      </x:c>
      <x:c r="E35" s="133" t="n">
        <x:f>COUNTIF(Divider!H9:H200,"implemented")</x:f>
        <x:v>4</x:v>
      </x:c>
      <x:c r="F35" s="133" t="n">
        <x:f>COUNTIF(Divider!H9:H200,"tested")</x:f>
        <x:v>15</x:v>
      </x:c>
      <x:c r="G35" s="133" t="n">
        <x:f>COUNTIF(Divider!H9:H200,"verified")</x:f>
        <x:v>1</x:v>
      </x:c>
      <x:c r="H35" s="133" t="n">
        <x:f>COUNTIF(Divider!H9:H200,"blocked")</x:f>
        <x:v>1</x:v>
      </x:c>
      <x:c r="I35" s="133" t="n">
        <x:f>COUNTIF(Divider!H9:H200,"not applicable")</x:f>
        <x:v>0</x:v>
      </x:c>
      <x:c r="J35" s="134" t="n">
        <x:f>Divider!H4</x:f>
        <x:v>0.7619047619047619</x:v>
      </x:c>
      <x:c r="K35" s="133" t="str">
        <x:f>Divider!K4</x:f>
        <x:v>open</x:v>
      </x:c>
      <x:c r="L35" s="133" t="str">
        <x:f>Divider!E5</x:f>
        <x:v>complete</x:v>
      </x:c>
      <x:c r="M35" s="133" t="str">
        <x:f>IF(AND(J35=1,K35="complete",L35="complete"),"complete",IF(H35&gt;0,"blocked","open"))</x:f>
        <x:v>blocked</x:v>
      </x:c>
    </x:row>
    <x:row r="36" s="127" customFormat="1" ht="24" customHeight="1">
      <x:c r="A36" s="133" t="inlineStr">
        <x:is>
          <x:t xml:space="preserve">Scroll Area</x:t>
        </x:is>
      </x:c>
      <x:c r="B36" s="133" t="n">
        <x:f>'Scroll Area'!B4</x:f>
        <x:v>23</x:v>
      </x:c>
      <x:c r="C36" s="133" t="n">
        <x:f>COUNTIF('Scroll Area'!H9:H200,"not started")</x:f>
        <x:v>0</x:v>
      </x:c>
      <x:c r="D36" s="133" t="n">
        <x:f>COUNTIF('Scroll Area'!H9:H200,"partial")</x:f>
        <x:v>0</x:v>
      </x:c>
      <x:c r="E36" s="133" t="n">
        <x:f>COUNTIF('Scroll Area'!H9:H200,"implemented")</x:f>
        <x:v>4</x:v>
      </x:c>
      <x:c r="F36" s="133" t="n">
        <x:f>COUNTIF('Scroll Area'!H9:H200,"tested")</x:f>
        <x:v>17</x:v>
      </x:c>
      <x:c r="G36" s="133" t="n">
        <x:f>COUNTIF('Scroll Area'!H9:H200,"verified")</x:f>
        <x:v>1</x:v>
      </x:c>
      <x:c r="H36" s="133" t="n">
        <x:f>COUNTIF('Scroll Area'!H9:H200,"blocked")</x:f>
        <x:v>1</x:v>
      </x:c>
      <x:c r="I36" s="133" t="n">
        <x:f>COUNTIF('Scroll Area'!H9:H200,"not applicable")</x:f>
        <x:v>0</x:v>
      </x:c>
      <x:c r="J36" s="134" t="n">
        <x:f>'Scroll Area'!H4</x:f>
        <x:v>0.782608695652174</x:v>
      </x:c>
      <x:c r="K36" s="133" t="str">
        <x:f>'Scroll Area'!K4</x:f>
        <x:v>open</x:v>
      </x:c>
      <x:c r="L36" s="133" t="str">
        <x:f>'Scroll Area'!E5</x:f>
        <x:v>complete</x:v>
      </x:c>
      <x:c r="M36" s="133" t="str">
        <x:f>IF(AND(J36=1,K36="complete",L36="complete"),"complete",IF(H36&gt;0,"blocked","open"))</x:f>
        <x:v>blocked</x:v>
      </x:c>
    </x:row>
    <x:row r="37" s="127" customFormat="1" ht="24" customHeight="1">
      <x:c r="A37" s="133" t="inlineStr">
        <x:is>
          <x:t xml:space="preserve">Code</x:t>
        </x:is>
      </x:c>
      <x:c r="B37" s="133" t="n">
        <x:f>Code!B4</x:f>
        <x:v>15</x:v>
      </x:c>
      <x:c r="C37" s="133" t="n">
        <x:f>COUNTIF(Code!H9:H200,"not started")</x:f>
        <x:v>0</x:v>
      </x:c>
      <x:c r="D37" s="133" t="n">
        <x:f>COUNTIF(Code!H9:H200,"partial")</x:f>
        <x:v>1</x:v>
      </x:c>
      <x:c r="E37" s="133" t="n">
        <x:f>COUNTIF(Code!H9:H200,"implemented")</x:f>
        <x:v>2</x:v>
      </x:c>
      <x:c r="F37" s="133" t="n">
        <x:f>COUNTIF(Code!H9:H200,"tested")</x:f>
        <x:v>12</x:v>
      </x:c>
      <x:c r="G37" s="133" t="n">
        <x:f>COUNTIF(Code!H9:H200,"verified")</x:f>
        <x:v>0</x:v>
      </x:c>
      <x:c r="H37" s="133" t="n">
        <x:f>COUNTIF(Code!H9:H200,"blocked")</x:f>
        <x:v>0</x:v>
      </x:c>
      <x:c r="I37" s="133" t="n">
        <x:f>COUNTIF(Code!H9:H200,"not applicable")</x:f>
        <x:v>0</x:v>
      </x:c>
      <x:c r="J37" s="134" t="n">
        <x:f>Code!H4</x:f>
        <x:v>0.7333333333333333</x:v>
      </x:c>
      <x:c r="K37" s="133" t="str">
        <x:f>Code!K4</x:f>
        <x:v>open</x:v>
      </x:c>
      <x:c r="L37" s="133" t="str">
        <x:f>Code!E5</x:f>
        <x:v>complete</x:v>
      </x:c>
      <x:c r="M37" s="133" t="str">
        <x:f>IF(AND(J37=1,K37="complete",L37="complete"),"complete",IF(H37&gt;0,"blocked","open"))</x:f>
        <x:v>open</x:v>
      </x:c>
    </x:row>
    <x:row r="38" s="127" customFormat="1" ht="24" customHeight="1">
      <x:c r="A38" s="133" t="inlineStr">
        <x:is>
          <x:t xml:space="preserve">Code Block</x:t>
        </x:is>
      </x:c>
      <x:c r="B38" s="133" t="n">
        <x:f>'Code Block'!B4</x:f>
        <x:v>20</x:v>
      </x:c>
      <x:c r="C38" s="133" t="n">
        <x:f>COUNTIF('Code Block'!H9:H200,"not started")</x:f>
        <x:v>0</x:v>
      </x:c>
      <x:c r="D38" s="133" t="n">
        <x:f>COUNTIF('Code Block'!H9:H200,"partial")</x:f>
        <x:v>1</x:v>
      </x:c>
      <x:c r="E38" s="133" t="n">
        <x:f>COUNTIF('Code Block'!H9:H200,"implemented")</x:f>
        <x:v>3</x:v>
      </x:c>
      <x:c r="F38" s="133" t="n">
        <x:f>COUNTIF('Code Block'!H9:H200,"tested")</x:f>
        <x:v>16</x:v>
      </x:c>
      <x:c r="G38" s="133" t="n">
        <x:f>COUNTIF('Code Block'!H9:H200,"verified")</x:f>
        <x:v>0</x:v>
      </x:c>
      <x:c r="H38" s="133" t="n">
        <x:f>COUNTIF('Code Block'!H9:H200,"blocked")</x:f>
        <x:v>0</x:v>
      </x:c>
      <x:c r="I38" s="133" t="n">
        <x:f>COUNTIF('Code Block'!H9:H200,"not applicable")</x:f>
        <x:v>0</x:v>
      </x:c>
      <x:c r="J38" s="134" t="n">
        <x:f>'Code Block'!H4</x:f>
        <x:v>0.75</x:v>
      </x:c>
      <x:c r="K38" s="133" t="str">
        <x:f>'Code Block'!K4</x:f>
        <x:v>open</x:v>
      </x:c>
      <x:c r="L38" s="133" t="str">
        <x:f>'Code Block'!E5</x:f>
        <x:v>complete</x:v>
      </x:c>
      <x:c r="M38" s="133" t="str">
        <x:f>IF(AND(J38=1,K38="complete",L38="complete"),"complete",IF(H38&gt;0,"blocked","open"))</x:f>
        <x:v>open</x:v>
      </x:c>
    </x:row>
    <x:row r="39" s="127" customFormat="1" ht="24" customHeight="1">
      <x:c r="A39" s="133" t="inlineStr">
        <x:is>
          <x:t xml:space="preserve">Nav List</x:t>
        </x:is>
      </x:c>
      <x:c r="B39" s="133" t="n">
        <x:f>'Nav List'!B4</x:f>
        <x:v>16</x:v>
      </x:c>
      <x:c r="C39" s="133" t="n">
        <x:f>COUNTIF('Nav List'!H9:H200,"not started")</x:f>
        <x:v>0</x:v>
      </x:c>
      <x:c r="D39" s="133" t="n">
        <x:f>COUNTIF('Nav List'!H9:H200,"partial")</x:f>
        <x:v>4</x:v>
      </x:c>
      <x:c r="E39" s="133" t="n">
        <x:f>COUNTIF('Nav List'!H9:H200,"implemented")</x:f>
        <x:v>0</x:v>
      </x:c>
      <x:c r="F39" s="133" t="n">
        <x:f>COUNTIF('Nav List'!H9:H200,"tested")</x:f>
        <x:v>12</x:v>
      </x:c>
      <x:c r="G39" s="133" t="n">
        <x:f>COUNTIF('Nav List'!H9:H200,"verified")</x:f>
        <x:v>0</x:v>
      </x:c>
      <x:c r="H39" s="133" t="n">
        <x:f>COUNTIF('Nav List'!H9:H200,"blocked")</x:f>
        <x:v>0</x:v>
      </x:c>
      <x:c r="I39" s="133" t="n">
        <x:f>COUNTIF('Nav List'!H9:H200,"not applicable")</x:f>
        <x:v>0</x:v>
      </x:c>
      <x:c r="J39" s="134" t="n">
        <x:f>'Nav List'!H4</x:f>
        <x:v>0.75</x:v>
      </x:c>
      <x:c r="K39" s="133" t="str">
        <x:f>'Nav List'!K4</x:f>
        <x:v>open</x:v>
      </x:c>
      <x:c r="L39" s="133" t="str">
        <x:f>'Nav List'!E5</x:f>
        <x:v>complete</x:v>
      </x:c>
      <x:c r="M39" s="133" t="str">
        <x:f>IF(AND(J39=1,K39="complete",L39="complete"),"complete",IF(H39&gt;0,"blocked","open"))</x:f>
        <x:v>open</x:v>
      </x:c>
    </x:row>
    <x:row r="40" s="127" customFormat="1" ht="24" customHeight="1">
      <x:c r="A40" s="133" t="inlineStr">
        <x:is>
          <x:t xml:space="preserve">Sidebar</x:t>
        </x:is>
      </x:c>
      <x:c r="B40" s="133" t="n">
        <x:f>Sidebar!B4</x:f>
        <x:v>16</x:v>
      </x:c>
      <x:c r="C40" s="133" t="n">
        <x:f>COUNTIF(Sidebar!H9:H200,"not started")</x:f>
        <x:v>0</x:v>
      </x:c>
      <x:c r="D40" s="133" t="n">
        <x:f>COUNTIF(Sidebar!H9:H200,"partial")</x:f>
        <x:v>1</x:v>
      </x:c>
      <x:c r="E40" s="133" t="n">
        <x:f>COUNTIF(Sidebar!H9:H200,"implemented")</x:f>
        <x:v>3</x:v>
      </x:c>
      <x:c r="F40" s="133" t="n">
        <x:f>COUNTIF(Sidebar!H9:H200,"tested")</x:f>
        <x:v>12</x:v>
      </x:c>
      <x:c r="G40" s="133" t="n">
        <x:f>COUNTIF(Sidebar!H9:H200,"verified")</x:f>
        <x:v>0</x:v>
      </x:c>
      <x:c r="H40" s="133" t="n">
        <x:f>COUNTIF(Sidebar!H9:H200,"blocked")</x:f>
        <x:v>0</x:v>
      </x:c>
      <x:c r="I40" s="133" t="n">
        <x:f>COUNTIF(Sidebar!H9:H200,"not applicable")</x:f>
        <x:v>0</x:v>
      </x:c>
      <x:c r="J40" s="134" t="n">
        <x:f>Sidebar!H4</x:f>
        <x:v>0.75</x:v>
      </x:c>
      <x:c r="K40" s="133" t="str">
        <x:f>Sidebar!K4</x:f>
        <x:v>open</x:v>
      </x:c>
      <x:c r="L40" s="133" t="str">
        <x:f>Sidebar!E5</x:f>
        <x:v>complete</x:v>
      </x:c>
      <x:c r="M40" s="133" t="str">
        <x:f>IF(AND(J40=1,K40="complete",L40="complete"),"complete",IF(H40&gt;0,"blocked","open"))</x:f>
        <x:v>open</x:v>
      </x:c>
    </x:row>
    <x:row r="41" s="127" customFormat="1" ht="24" customHeight="1">
      <x:c r="A41" s="133" t="inlineStr">
        <x:is>
          <x:t xml:space="preserve">Icon</x:t>
        </x:is>
      </x:c>
      <x:c r="B41" s="133" t="n">
        <x:f>Icon!B4</x:f>
        <x:v>24</x:v>
      </x:c>
      <x:c r="C41" s="133" t="n">
        <x:f>COUNTIF(Icon!H9:H200,"not started")</x:f>
        <x:v>0</x:v>
      </x:c>
      <x:c r="D41" s="133" t="n">
        <x:f>COUNTIF(Icon!H9:H200,"partial")</x:f>
        <x:v>1</x:v>
      </x:c>
      <x:c r="E41" s="133" t="n">
        <x:f>COUNTIF(Icon!H9:H200,"implemented")</x:f>
        <x:v>3</x:v>
      </x:c>
      <x:c r="F41" s="133" t="n">
        <x:f>COUNTIF(Icon!H9:H200,"tested")</x:f>
        <x:v>20</x:v>
      </x:c>
      <x:c r="G41" s="133" t="n">
        <x:f>COUNTIF(Icon!H9:H200,"verified")</x:f>
        <x:v>0</x:v>
      </x:c>
      <x:c r="H41" s="133" t="n">
        <x:f>COUNTIF(Icon!H9:H200,"blocked")</x:f>
        <x:v>0</x:v>
      </x:c>
      <x:c r="I41" s="133" t="n">
        <x:f>COUNTIF(Icon!H9:H200,"not applicable")</x:f>
        <x:v>0</x:v>
      </x:c>
      <x:c r="J41" s="134" t="n">
        <x:f>Icon!H4</x:f>
        <x:v>0.8333333333333334</x:v>
      </x:c>
      <x:c r="K41" s="133" t="str">
        <x:f>Icon!K4</x:f>
        <x:v>open</x:v>
      </x:c>
      <x:c r="L41" s="133" t="str">
        <x:f>Icon!E5</x:f>
        <x:v>complete</x:v>
      </x:c>
      <x:c r="M41" s="133" t="str">
        <x:f>IF(AND(J41=1,K41="complete",L41="complete"),"complete",IF(H41&gt;0,"blocked","open"))</x:f>
        <x:v>open</x:v>
      </x:c>
    </x:row>
    <x:row r="42" s="127" customFormat="1" ht="24" customHeight="1">
      <x:c r="A42" s="133" t="inlineStr">
        <x:is>
          <x:t xml:space="preserve">Image</x:t>
        </x:is>
      </x:c>
      <x:c r="B42" s="133" t="n">
        <x:f>Image!B4</x:f>
        <x:v>28</x:v>
      </x:c>
      <x:c r="C42" s="133" t="n">
        <x:f>COUNTIF(Image!H9:H200,"not started")</x:f>
        <x:v>0</x:v>
      </x:c>
      <x:c r="D42" s="133" t="n">
        <x:f>COUNTIF(Image!H9:H200,"partial")</x:f>
        <x:v>1</x:v>
      </x:c>
      <x:c r="E42" s="133" t="n">
        <x:f>COUNTIF(Image!H9:H200,"implemented")</x:f>
        <x:v>4</x:v>
      </x:c>
      <x:c r="F42" s="133" t="n">
        <x:f>COUNTIF(Image!H9:H200,"tested")</x:f>
        <x:v>23</x:v>
      </x:c>
      <x:c r="G42" s="133" t="n">
        <x:f>COUNTIF(Image!H9:H200,"verified")</x:f>
        <x:v>0</x:v>
      </x:c>
      <x:c r="H42" s="133" t="n">
        <x:f>COUNTIF(Image!H9:H200,"blocked")</x:f>
        <x:v>0</x:v>
      </x:c>
      <x:c r="I42" s="133" t="n">
        <x:f>COUNTIF(Image!H9:H200,"not applicable")</x:f>
        <x:v>0</x:v>
      </x:c>
      <x:c r="J42" s="134" t="n">
        <x:f>Image!H4</x:f>
        <x:v>0.8214285714285714</x:v>
      </x:c>
      <x:c r="K42" s="133" t="str">
        <x:f>Image!K4</x:f>
        <x:v>open</x:v>
      </x:c>
      <x:c r="L42" s="133" t="str">
        <x:f>Image!E5</x:f>
        <x:v>complete</x:v>
      </x:c>
      <x:c r="M42" s="133" t="str">
        <x:f>IF(AND(J42=1,K42="complete",L42="complete"),"complete",IF(H42&gt;0,"blocked","open"))</x:f>
        <x:v>open</x:v>
      </x:c>
    </x:row>
    <x:row r="43" s="127" customFormat="1" ht="24" customHeight="1">
      <x:c r="A43" s="133" t="inlineStr">
        <x:is>
          <x:t xml:space="preserve">List</x:t>
        </x:is>
      </x:c>
      <x:c r="B43" s="133" t="n">
        <x:f>List!B4</x:f>
        <x:v>19</x:v>
      </x:c>
      <x:c r="C43" s="133" t="n">
        <x:f>COUNTIF(List!H9:H200,"not started")</x:f>
        <x:v>0</x:v>
      </x:c>
      <x:c r="D43" s="133" t="n">
        <x:f>COUNTIF(List!H9:H200,"partial")</x:f>
        <x:v>0</x:v>
      </x:c>
      <x:c r="E43" s="133" t="n">
        <x:f>COUNTIF(List!H9:H200,"implemented")</x:f>
        <x:v>5</x:v>
      </x:c>
      <x:c r="F43" s="133" t="n">
        <x:f>COUNTIF(List!H9:H200,"tested")</x:f>
        <x:v>14</x:v>
      </x:c>
      <x:c r="G43" s="133" t="n">
        <x:f>COUNTIF(List!H9:H200,"verified")</x:f>
        <x:v>0</x:v>
      </x:c>
      <x:c r="H43" s="133" t="n">
        <x:f>COUNTIF(List!H9:H200,"blocked")</x:f>
        <x:v>0</x:v>
      </x:c>
      <x:c r="I43" s="133" t="n">
        <x:f>COUNTIF(List!H9:H200,"not applicable")</x:f>
        <x:v>0</x:v>
      </x:c>
      <x:c r="J43" s="134" t="n">
        <x:f>List!H4</x:f>
        <x:v>0.7368421052631579</x:v>
      </x:c>
      <x:c r="K43" s="133" t="str">
        <x:f>List!K4</x:f>
        <x:v>open</x:v>
      </x:c>
      <x:c r="L43" s="133" t="str">
        <x:f>List!E5</x:f>
        <x:v>complete</x:v>
      </x:c>
      <x:c r="M43" s="133" t="str">
        <x:f>IF(AND(J43=1,K43="complete",L43="complete"),"complete",IF(H43&gt;0,"blocked","open"))</x:f>
        <x:v>open</x:v>
      </x:c>
    </x:row>
    <x:row r="44" s="127" customFormat="1" ht="24" customHeight="1">
      <x:c r="A44" s="133" t="inlineStr">
        <x:is>
          <x:t xml:space="preserve">Select</x:t>
        </x:is>
      </x:c>
      <x:c r="B44" s="133" t="n">
        <x:f>Select!B4</x:f>
        <x:v>22</x:v>
      </x:c>
      <x:c r="C44" s="133" t="n">
        <x:f>COUNTIF(Select!H9:H200,"not started")</x:f>
        <x:v>0</x:v>
      </x:c>
      <x:c r="D44" s="133" t="n">
        <x:f>COUNTIF(Select!H9:H200,"partial")</x:f>
        <x:v>1</x:v>
      </x:c>
      <x:c r="E44" s="133" t="n">
        <x:f>COUNTIF(Select!H9:H200,"implemented")</x:f>
        <x:v>6</x:v>
      </x:c>
      <x:c r="F44" s="133" t="n">
        <x:f>COUNTIF(Select!H9:H200,"tested")</x:f>
        <x:v>15</x:v>
      </x:c>
      <x:c r="G44" s="133" t="n">
        <x:f>COUNTIF(Select!H9:H200,"verified")</x:f>
        <x:v>0</x:v>
      </x:c>
      <x:c r="H44" s="133" t="n">
        <x:f>COUNTIF(Select!H9:H200,"blocked")</x:f>
        <x:v>0</x:v>
      </x:c>
      <x:c r="I44" s="133" t="n">
        <x:f>COUNTIF(Select!H9:H200,"not applicable")</x:f>
        <x:v>0</x:v>
      </x:c>
      <x:c r="J44" s="134" t="n">
        <x:f>Select!H4</x:f>
        <x:v>0.6818181818181818</x:v>
      </x:c>
      <x:c r="K44" s="133" t="str">
        <x:f>Select!K4</x:f>
        <x:v>open</x:v>
      </x:c>
      <x:c r="L44" s="133" t="str">
        <x:f>Select!E5</x:f>
        <x:v>complete</x:v>
      </x:c>
      <x:c r="M44" s="133" t="str">
        <x:f>IF(AND(J44=1,K44="complete",L44="complete"),"complete",IF(H44&gt;0,"blocked","open"))</x:f>
        <x:v>open</x:v>
      </x:c>
    </x:row>
    <x:row r="45" s="127" customFormat="1" ht="24" customHeight="1">
      <x:c r="A45" s="133" t="inlineStr">
        <x:is>
          <x:t xml:space="preserve">Multi Select</x:t>
        </x:is>
      </x:c>
      <x:c r="B45" s="133" t="n">
        <x:f>'Multi Select'!B4</x:f>
        <x:v>22</x:v>
      </x:c>
      <x:c r="C45" s="133" t="n">
        <x:f>COUNTIF('Multi Select'!H9:H200,"not started")</x:f>
        <x:v>0</x:v>
      </x:c>
      <x:c r="D45" s="133" t="n">
        <x:f>COUNTIF('Multi Select'!H9:H200,"partial")</x:f>
        <x:v>1</x:v>
      </x:c>
      <x:c r="E45" s="133" t="n">
        <x:f>COUNTIF('Multi Select'!H9:H200,"implemented")</x:f>
        <x:v>6</x:v>
      </x:c>
      <x:c r="F45" s="133" t="n">
        <x:f>COUNTIF('Multi Select'!H9:H200,"tested")</x:f>
        <x:v>15</x:v>
      </x:c>
      <x:c r="G45" s="133" t="n">
        <x:f>COUNTIF('Multi Select'!H9:H200,"verified")</x:f>
        <x:v>0</x:v>
      </x:c>
      <x:c r="H45" s="133" t="n">
        <x:f>COUNTIF('Multi Select'!H9:H200,"blocked")</x:f>
        <x:v>0</x:v>
      </x:c>
      <x:c r="I45" s="133" t="n">
        <x:f>COUNTIF('Multi Select'!H9:H200,"not applicable")</x:f>
        <x:v>0</x:v>
      </x:c>
      <x:c r="J45" s="134" t="n">
        <x:f>'Multi Select'!H4</x:f>
        <x:v>0.6818181818181818</x:v>
      </x:c>
      <x:c r="K45" s="133" t="str">
        <x:f>'Multi Select'!K4</x:f>
        <x:v>open</x:v>
      </x:c>
      <x:c r="L45" s="133" t="str">
        <x:f>'Multi Select'!E5</x:f>
        <x:v>complete</x:v>
      </x:c>
      <x:c r="M45" s="133" t="str">
        <x:f>IF(AND(J45=1,K45="complete",L45="complete"),"complete",IF(H45&gt;0,"blocked","open"))</x:f>
        <x:v>open</x:v>
      </x:c>
    </x:row>
    <x:row r="46" s="127" customFormat="1" ht="24" customHeight="1">
      <x:c r="A46" s="133" t="inlineStr">
        <x:is>
          <x:t xml:space="preserve">Textarea</x:t>
        </x:is>
      </x:c>
      <x:c r="B46" s="133" t="n">
        <x:f>Textarea!B4</x:f>
        <x:v>22</x:v>
      </x:c>
      <x:c r="C46" s="133" t="n">
        <x:f>COUNTIF(Textarea!H9:H200,"not started")</x:f>
        <x:v>0</x:v>
      </x:c>
      <x:c r="D46" s="133" t="n">
        <x:f>COUNTIF(Textarea!H9:H200,"partial")</x:f>
        <x:v>1</x:v>
      </x:c>
      <x:c r="E46" s="133" t="n">
        <x:f>COUNTIF(Textarea!H9:H200,"implemented")</x:f>
        <x:v>5</x:v>
      </x:c>
      <x:c r="F46" s="133" t="n">
        <x:f>COUNTIF(Textarea!H9:H200,"tested")</x:f>
        <x:v>16</x:v>
      </x:c>
      <x:c r="G46" s="133" t="n">
        <x:f>COUNTIF(Textarea!H9:H200,"verified")</x:f>
        <x:v>0</x:v>
      </x:c>
      <x:c r="H46" s="133" t="n">
        <x:f>COUNTIF(Textarea!H9:H200,"blocked")</x:f>
        <x:v>0</x:v>
      </x:c>
      <x:c r="I46" s="133" t="n">
        <x:f>COUNTIF(Textarea!H9:H200,"not applicable")</x:f>
        <x:v>0</x:v>
      </x:c>
      <x:c r="J46" s="134" t="n">
        <x:f>Textarea!H4</x:f>
        <x:v>0.7272727272727273</x:v>
      </x:c>
      <x:c r="K46" s="133" t="str">
        <x:f>Textarea!K4</x:f>
        <x:v>open</x:v>
      </x:c>
      <x:c r="L46" s="133" t="str">
        <x:f>Textarea!E5</x:f>
        <x:v>complete</x:v>
      </x:c>
      <x:c r="M46" s="133" t="str">
        <x:f>IF(AND(J46=1,K46="complete",L46="complete"),"complete",IF(H46&gt;0,"blocked","open"))</x:f>
        <x:v>open</x:v>
      </x:c>
    </x:row>
    <x:row r="47" s="127" customFormat="1" ht="24" customHeight="1">
      <x:c r="A47" s="133" t="inlineStr">
        <x:is>
          <x:t xml:space="preserve">Radio Group</x:t>
        </x:is>
      </x:c>
      <x:c r="B47" s="133" t="n">
        <x:f>'Radio Group'!B4</x:f>
        <x:v>20</x:v>
      </x:c>
      <x:c r="C47" s="133" t="n">
        <x:f>COUNTIF('Radio Group'!H9:H200,"not started")</x:f>
        <x:v>2</x:v>
      </x:c>
      <x:c r="D47" s="133" t="n">
        <x:f>COUNTIF('Radio Group'!H9:H200,"partial")</x:f>
        <x:v>0</x:v>
      </x:c>
      <x:c r="E47" s="133" t="n">
        <x:f>COUNTIF('Radio Group'!H9:H200,"implemented")</x:f>
        <x:v>0</x:v>
      </x:c>
      <x:c r="F47" s="133" t="n">
        <x:f>COUNTIF('Radio Group'!H9:H200,"tested")</x:f>
        <x:v>18</x:v>
      </x:c>
      <x:c r="G47" s="133" t="n">
        <x:f>COUNTIF('Radio Group'!H9:H200,"verified")</x:f>
        <x:v>0</x:v>
      </x:c>
      <x:c r="H47" s="133" t="n">
        <x:f>COUNTIF('Radio Group'!H9:H200,"blocked")</x:f>
        <x:v>0</x:v>
      </x:c>
      <x:c r="I47" s="133" t="n">
        <x:f>COUNTIF('Radio Group'!H9:H200,"not applicable")</x:f>
        <x:v>0</x:v>
      </x:c>
      <x:c r="J47" s="134" t="n">
        <x:f>'Radio Group'!H4</x:f>
        <x:v>0.9</x:v>
      </x:c>
      <x:c r="K47" s="133" t="str">
        <x:f>'Radio Group'!K4</x:f>
        <x:v>open</x:v>
      </x:c>
      <x:c r="L47" s="133" t="str">
        <x:f>'Radio Group'!E5</x:f>
        <x:v>complete</x:v>
      </x:c>
      <x:c r="M47" s="133" t="str">
        <x:f>IF(AND(J47=1,K47="complete",L47="complete"),"complete",IF(H47&gt;0,"blocked","open"))</x:f>
        <x:v>open</x:v>
      </x:c>
    </x:row>
    <x:row r="48" s="127" customFormat="1" ht="24" customHeight="1">
      <x:c r="A48" s="133" t="inlineStr">
        <x:is>
          <x:t xml:space="preserve">Switch</x:t>
        </x:is>
      </x:c>
      <x:c r="B48" s="133" t="n">
        <x:f>Switch!B4</x:f>
        <x:v>20</x:v>
      </x:c>
      <x:c r="C48" s="133" t="n">
        <x:f>COUNTIF(Switch!H9:H200,"not started")</x:f>
        <x:v>2</x:v>
      </x:c>
      <x:c r="D48" s="133" t="n">
        <x:f>COUNTIF(Switch!H9:H200,"partial")</x:f>
        <x:v>0</x:v>
      </x:c>
      <x:c r="E48" s="133" t="n">
        <x:f>COUNTIF(Switch!H9:H200,"implemented")</x:f>
        <x:v>0</x:v>
      </x:c>
      <x:c r="F48" s="133" t="n">
        <x:f>COUNTIF(Switch!H9:H200,"tested")</x:f>
        <x:v>18</x:v>
      </x:c>
      <x:c r="G48" s="133" t="n">
        <x:f>COUNTIF(Switch!H9:H200,"verified")</x:f>
        <x:v>0</x:v>
      </x:c>
      <x:c r="H48" s="133" t="n">
        <x:f>COUNTIF(Switch!H9:H200,"blocked")</x:f>
        <x:v>0</x:v>
      </x:c>
      <x:c r="I48" s="133" t="n">
        <x:f>COUNTIF(Switch!H9:H200,"not applicable")</x:f>
        <x:v>0</x:v>
      </x:c>
      <x:c r="J48" s="134" t="n">
        <x:f>Switch!H4</x:f>
        <x:v>0.9</x:v>
      </x:c>
      <x:c r="K48" s="133" t="str">
        <x:f>Switch!K4</x:f>
        <x:v>open</x:v>
      </x:c>
      <x:c r="L48" s="133" t="str">
        <x:f>Switch!E5</x:f>
        <x:v>complete</x:v>
      </x:c>
      <x:c r="M48" s="133" t="str">
        <x:f>IF(AND(J48=1,K48="complete",L48="complete"),"complete",IF(H48&gt;0,"blocked","open"))</x:f>
        <x:v>open</x:v>
      </x:c>
    </x:row>
    <x:row r="49" s="127" customFormat="1" ht="24" customHeight="1">
      <x:c r="A49" s="133" t="inlineStr">
        <x:is>
          <x:t xml:space="preserve">Breadcrumb</x:t>
        </x:is>
      </x:c>
      <x:c r="B49" s="133" t="n">
        <x:f>Breadcrumb!B4</x:f>
        <x:v>23</x:v>
      </x:c>
      <x:c r="C49" s="133" t="n">
        <x:f>COUNTIF(Breadcrumb!H9:H200,"not started")</x:f>
        <x:v>1</x:v>
      </x:c>
      <x:c r="D49" s="133" t="n">
        <x:f>COUNTIF(Breadcrumb!H9:H200,"partial")</x:f>
        <x:v>1</x:v>
      </x:c>
      <x:c r="E49" s="133" t="n">
        <x:f>COUNTIF(Breadcrumb!H9:H200,"implemented")</x:f>
        <x:v>0</x:v>
      </x:c>
      <x:c r="F49" s="133" t="n">
        <x:f>COUNTIF(Breadcrumb!H9:H200,"tested")</x:f>
        <x:v>21</x:v>
      </x:c>
      <x:c r="G49" s="133" t="n">
        <x:f>COUNTIF(Breadcrumb!H9:H200,"verified")</x:f>
        <x:v>0</x:v>
      </x:c>
      <x:c r="H49" s="133" t="n">
        <x:f>COUNTIF(Breadcrumb!H9:H200,"blocked")</x:f>
        <x:v>0</x:v>
      </x:c>
      <x:c r="I49" s="133" t="n">
        <x:f>COUNTIF(Breadcrumb!H9:H200,"not applicable")</x:f>
        <x:v>0</x:v>
      </x:c>
      <x:c r="J49" s="134" t="n">
        <x:f>Breadcrumb!H4</x:f>
        <x:v>0.782608695652174</x:v>
      </x:c>
      <x:c r="K49" s="133" t="str">
        <x:f>Breadcrumb!K4</x:f>
        <x:v>open</x:v>
      </x:c>
      <x:c r="L49" s="133" t="str">
        <x:f>Breadcrumb!E5</x:f>
        <x:v>complete</x:v>
      </x:c>
      <x:c r="M49" s="133" t="str">
        <x:f>IF(AND(J49=1,K49="complete",L49="complete"),"complete",IF(H49&gt;0,"blocked","open"))</x:f>
        <x:v>open</x:v>
      </x:c>
    </x:row>
    <x:row r="50" s="127" customFormat="1" ht="24" customHeight="1">
      <x:c r="A50" s="133" t="inlineStr">
        <x:is>
          <x:t xml:space="preserve">Tabs</x:t>
        </x:is>
      </x:c>
      <x:c r="B50" s="133" t="n">
        <x:f>Tabs!B4</x:f>
        <x:v>23</x:v>
      </x:c>
      <x:c r="C50" s="133" t="n">
        <x:f>COUNTIF(Tabs!H9:H200,"not started")</x:f>
        <x:v>1</x:v>
      </x:c>
      <x:c r="D50" s="133" t="n">
        <x:f>COUNTIF(Tabs!H9:H200,"partial")</x:f>
        <x:v>1</x:v>
      </x:c>
      <x:c r="E50" s="133" t="n">
        <x:f>COUNTIF(Tabs!H9:H200,"implemented")</x:f>
        <x:v>0</x:v>
      </x:c>
      <x:c r="F50" s="133" t="n">
        <x:f>COUNTIF(Tabs!H9:H200,"tested")</x:f>
        <x:v>17</x:v>
      </x:c>
      <x:c r="G50" s="133" t="n">
        <x:f>COUNTIF(Tabs!H9:H200,"verified")</x:f>
        <x:v>4</x:v>
      </x:c>
      <x:c r="H50" s="133" t="n">
        <x:f>COUNTIF(Tabs!H9:H200,"blocked")</x:f>
        <x:v>0</x:v>
      </x:c>
      <x:c r="I50" s="133" t="n">
        <x:f>COUNTIF(Tabs!H9:H200,"not applicable")</x:f>
        <x:v>0</x:v>
      </x:c>
      <x:c r="J50" s="134" t="n">
        <x:f>Tabs!H4</x:f>
        <x:v>0.9130434782608695</x:v>
      </x:c>
      <x:c r="K50" s="133" t="str">
        <x:f>Tabs!K4</x:f>
        <x:v>open</x:v>
      </x:c>
      <x:c r="L50" s="133" t="str">
        <x:f>Tabs!E5</x:f>
        <x:v>complete</x:v>
      </x:c>
      <x:c r="M50" s="133" t="str">
        <x:f>IF(AND(J50=1,K50="complete",L50="complete"),"complete",IF(H50&gt;0,"blocked","open"))</x:f>
        <x:v>open</x:v>
      </x:c>
    </x:row>
    <x:row r="51" s="127" customFormat="1" ht="24" customHeight="1">
      <x:c r="A51" s="133" t="inlineStr">
        <x:is>
          <x:t xml:space="preserve">Skeleton</x:t>
        </x:is>
      </x:c>
      <x:c r="B51" s="133" t="n">
        <x:f>Skeleton!B4</x:f>
        <x:v>22</x:v>
      </x:c>
      <x:c r="C51" s="133" t="n">
        <x:f>COUNTIF(Skeleton!H9:H200,"not started")</x:f>
        <x:v>1</x:v>
      </x:c>
      <x:c r="D51" s="133" t="n">
        <x:f>COUNTIF(Skeleton!H9:H200,"partial")</x:f>
        <x:v>0</x:v>
      </x:c>
      <x:c r="E51" s="133" t="n">
        <x:f>COUNTIF(Skeleton!H9:H200,"implemented")</x:f>
        <x:v>0</x:v>
      </x:c>
      <x:c r="F51" s="133" t="n">
        <x:f>COUNTIF(Skeleton!H9:H200,"tested")</x:f>
        <x:v>16</x:v>
      </x:c>
      <x:c r="G51" s="133" t="n">
        <x:f>COUNTIF(Skeleton!H9:H200,"verified")</x:f>
        <x:v>5</x:v>
      </x:c>
      <x:c r="H51" s="133" t="n">
        <x:f>COUNTIF(Skeleton!H9:H200,"blocked")</x:f>
        <x:v>0</x:v>
      </x:c>
      <x:c r="I51" s="133" t="n">
        <x:f>COUNTIF(Skeleton!H9:H200,"not applicable")</x:f>
        <x:v>0</x:v>
      </x:c>
      <x:c r="J51" s="134" t="n">
        <x:f>Skeleton!H4</x:f>
        <x:v>0.9545454545454546</x:v>
      </x:c>
      <x:c r="K51" s="133" t="str">
        <x:f>Skeleton!K4</x:f>
        <x:v>open</x:v>
      </x:c>
      <x:c r="L51" s="133" t="str">
        <x:f>Skeleton!E5</x:f>
        <x:v>complete</x:v>
      </x:c>
      <x:c r="M51" s="133" t="str">
        <x:f>IF(AND(J51=1,K51="complete",L51="complete"),"complete",IF(H51&gt;0,"blocked","open"))</x:f>
        <x:v>open</x:v>
      </x:c>
    </x:row>
    <x:row r="52" s="127" customFormat="1" ht="24" customHeight="1">
      <x:c r="A52" s="133" t="inlineStr">
        <x:is>
          <x:t xml:space="preserve">Dropdown Menu</x:t>
        </x:is>
      </x:c>
      <x:c r="B52" s="133" t="n">
        <x:f>'Dropdown Menu'!B4</x:f>
        <x:v>23</x:v>
      </x:c>
      <x:c r="C52" s="133" t="n">
        <x:f>COUNTIF('Dropdown Menu'!H9:H200,"not started")</x:f>
        <x:v>1</x:v>
      </x:c>
      <x:c r="D52" s="133" t="n">
        <x:f>COUNTIF('Dropdown Menu'!H9:H200,"partial")</x:f>
        <x:v>1</x:v>
      </x:c>
      <x:c r="E52" s="133" t="n">
        <x:f>COUNTIF('Dropdown Menu'!H9:H200,"implemented")</x:f>
        <x:v>0</x:v>
      </x:c>
      <x:c r="F52" s="133" t="n">
        <x:f>COUNTIF('Dropdown Menu'!H9:H200,"tested")</x:f>
        <x:v>21</x:v>
      </x:c>
      <x:c r="G52" s="133" t="n">
        <x:f>COUNTIF('Dropdown Menu'!H9:H200,"verified")</x:f>
        <x:v>0</x:v>
      </x:c>
      <x:c r="H52" s="133" t="n">
        <x:f>COUNTIF('Dropdown Menu'!H9:H200,"blocked")</x:f>
        <x:v>0</x:v>
      </x:c>
      <x:c r="I52" s="133" t="n">
        <x:f>COUNTIF('Dropdown Menu'!H9:H200,"not applicable")</x:f>
        <x:v>0</x:v>
      </x:c>
      <x:c r="J52" s="134" t="n">
        <x:f>'Dropdown Menu'!H4</x:f>
        <x:v>0.782608695652174</x:v>
      </x:c>
      <x:c r="K52" s="133" t="str">
        <x:f>'Dropdown Menu'!K4</x:f>
        <x:v>open</x:v>
      </x:c>
      <x:c r="L52" s="133" t="str">
        <x:f>'Dropdown Menu'!E5</x:f>
        <x:v>complete</x:v>
      </x:c>
      <x:c r="M52" s="133" t="str">
        <x:f>IF(AND(J52=1,K52="complete",L52="complete"),"complete",IF(H52&gt;0,"blocked","open"))</x:f>
        <x:v>open</x:v>
      </x:c>
    </x:row>
    <x:row r="53" s="127" customFormat="1" ht="24" customHeight="1">
      <x:c r="A53" s="133" t="inlineStr">
        <x:is>
          <x:t xml:space="preserve">Context Menu</x:t>
        </x:is>
      </x:c>
      <x:c r="B53" s="133" t="n">
        <x:f>'Context Menu'!B4</x:f>
        <x:v>23</x:v>
      </x:c>
      <x:c r="C53" s="133" t="n">
        <x:f>COUNTIF('Context Menu'!H9:H200,"not started")</x:f>
        <x:v>1</x:v>
      </x:c>
      <x:c r="D53" s="133" t="n">
        <x:f>COUNTIF('Context Menu'!H9:H200,"partial")</x:f>
        <x:v>1</x:v>
      </x:c>
      <x:c r="E53" s="133" t="n">
        <x:f>COUNTIF('Context Menu'!H9:H200,"implemented")</x:f>
        <x:v>0</x:v>
      </x:c>
      <x:c r="F53" s="133" t="n">
        <x:f>COUNTIF('Context Menu'!H9:H200,"tested")</x:f>
        <x:v>21</x:v>
      </x:c>
      <x:c r="G53" s="133" t="n">
        <x:f>COUNTIF('Context Menu'!H9:H200,"verified")</x:f>
        <x:v>0</x:v>
      </x:c>
      <x:c r="H53" s="133" t="n">
        <x:f>COUNTIF('Context Menu'!H9:H200,"blocked")</x:f>
        <x:v>0</x:v>
      </x:c>
      <x:c r="I53" s="133" t="n">
        <x:f>COUNTIF('Context Menu'!H9:H200,"not applicable")</x:f>
        <x:v>0</x:v>
      </x:c>
      <x:c r="J53" s="134" t="n">
        <x:f>'Context Menu'!H4</x:f>
        <x:v>0.782608695652174</x:v>
      </x:c>
      <x:c r="K53" s="133" t="str">
        <x:f>'Context Menu'!K4</x:f>
        <x:v>open</x:v>
      </x:c>
      <x:c r="L53" s="133" t="str">
        <x:f>'Context Menu'!E5</x:f>
        <x:v>complete</x:v>
      </x:c>
      <x:c r="M53" s="133" t="str">
        <x:f>IF(AND(J53=1,K53="complete",L53="complete"),"complete",IF(H53&gt;0,"blocked","open"))</x:f>
        <x:v>open</x:v>
      </x:c>
    </x:row>
    <x:row r="54" s="127" customFormat="1" ht="24" customHeight="1">
      <x:c r="A54" s="133" t="inlineStr">
        <x:is>
          <x:t xml:space="preserve">Menubar</x:t>
        </x:is>
      </x:c>
      <x:c r="B54" s="133" t="n">
        <x:f>Menubar!B4</x:f>
        <x:v>23</x:v>
      </x:c>
      <x:c r="C54" s="133" t="n">
        <x:f>COUNTIF(Menubar!H9:H200,"not started")</x:f>
        <x:v>1</x:v>
      </x:c>
      <x:c r="D54" s="133" t="n">
        <x:f>COUNTIF(Menubar!H9:H200,"partial")</x:f>
        <x:v>1</x:v>
      </x:c>
      <x:c r="E54" s="133" t="n">
        <x:f>COUNTIF(Menubar!H9:H200,"implemented")</x:f>
        <x:v>0</x:v>
      </x:c>
      <x:c r="F54" s="133" t="n">
        <x:f>COUNTIF(Menubar!H9:H200,"tested")</x:f>
        <x:v>21</x:v>
      </x:c>
      <x:c r="G54" s="133" t="n">
        <x:f>COUNTIF(Menubar!H9:H200,"verified")</x:f>
        <x:v>0</x:v>
      </x:c>
      <x:c r="H54" s="133" t="n">
        <x:f>COUNTIF(Menubar!H9:H200,"blocked")</x:f>
        <x:v>0</x:v>
      </x:c>
      <x:c r="I54" s="133" t="n">
        <x:f>COUNTIF(Menubar!H9:H200,"not applicable")</x:f>
        <x:v>0</x:v>
      </x:c>
      <x:c r="J54" s="134" t="n">
        <x:f>Menubar!H4</x:f>
        <x:v>0.8260869565217391</x:v>
      </x:c>
      <x:c r="K54" s="133" t="str">
        <x:f>Menubar!K4</x:f>
        <x:v>open</x:v>
      </x:c>
      <x:c r="L54" s="133" t="str">
        <x:f>Menubar!E5</x:f>
        <x:v>complete</x:v>
      </x:c>
      <x:c r="M54" s="133" t="str">
        <x:f>IF(AND(J54=1,K54="complete",L54="complete"),"complete",IF(H54&gt;0,"blocked","open"))</x:f>
        <x:v>open</x:v>
      </x:c>
    </x:row>
    <x:row r="55" s="127" customFormat="1" ht="24" customHeight="1">
      <x:c r="A55" s="133" t="inlineStr">
        <x:is>
          <x:t xml:space="preserve">Navigation Menu</x:t>
        </x:is>
      </x:c>
      <x:c r="B55" s="133" t="n">
        <x:f>'Navigation Menu'!B4</x:f>
        <x:v>23</x:v>
      </x:c>
      <x:c r="C55" s="133" t="n">
        <x:f>COUNTIF('Navigation Menu'!H9:H200,"not started")</x:f>
        <x:v>1</x:v>
      </x:c>
      <x:c r="D55" s="133" t="n">
        <x:f>COUNTIF('Navigation Menu'!H9:H200,"partial")</x:f>
        <x:v>1</x:v>
      </x:c>
      <x:c r="E55" s="133" t="n">
        <x:f>COUNTIF('Navigation Menu'!H9:H200,"implemented")</x:f>
        <x:v>0</x:v>
      </x:c>
      <x:c r="F55" s="133" t="n">
        <x:f>COUNTIF('Navigation Menu'!H9:H200,"tested")</x:f>
        <x:v>21</x:v>
      </x:c>
      <x:c r="G55" s="133" t="n">
        <x:f>COUNTIF('Navigation Menu'!H9:H200,"verified")</x:f>
        <x:v>0</x:v>
      </x:c>
      <x:c r="H55" s="133" t="n">
        <x:f>COUNTIF('Navigation Menu'!H9:H200,"blocked")</x:f>
        <x:v>0</x:v>
      </x:c>
      <x:c r="I55" s="133" t="n">
        <x:f>COUNTIF('Navigation Menu'!H9:H200,"not applicable")</x:f>
        <x:v>0</x:v>
      </x:c>
      <x:c r="J55" s="134" t="n">
        <x:f>'Navigation Menu'!H4</x:f>
        <x:v>0.8260869565217391</x:v>
      </x:c>
      <x:c r="K55" s="133" t="str">
        <x:f>'Navigation Menu'!K4</x:f>
        <x:v>open</x:v>
      </x:c>
      <x:c r="L55" s="133" t="str">
        <x:f>'Navigation Menu'!E5</x:f>
        <x:v>complete</x:v>
      </x:c>
      <x:c r="M55" s="133" t="str">
        <x:f>IF(AND(J55=1,K55="complete",L55="complete"),"complete",IF(H55&gt;0,"blocked","open"))</x:f>
        <x:v>open</x:v>
      </x:c>
    </x:row>
    <x:row r="56" s="127" customFormat="1" ht="24" customHeight="1">
      <x:c r="A56" s="133" t="inlineStr">
        <x:is>
          <x:t xml:space="preserve">Bottom Navigation</x:t>
        </x:is>
      </x:c>
      <x:c r="B56" s="133" t="n">
        <x:f>'Bottom Navigation'!B4</x:f>
        <x:v>28</x:v>
      </x:c>
      <x:c r="C56" s="133" t="n">
        <x:f>COUNTIF('Bottom Navigation'!H9:H200,"not started")</x:f>
        <x:v>1</x:v>
      </x:c>
      <x:c r="D56" s="133" t="n">
        <x:f>COUNTIF('Bottom Navigation'!H9:H200,"partial")</x:f>
        <x:v>3</x:v>
      </x:c>
      <x:c r="E56" s="133" t="n">
        <x:f>COUNTIF('Bottom Navigation'!H9:H200,"implemented")</x:f>
        <x:v>0</x:v>
      </x:c>
      <x:c r="F56" s="133" t="n">
        <x:f>COUNTIF('Bottom Navigation'!H9:H200,"tested")</x:f>
        <x:v>23</x:v>
      </x:c>
      <x:c r="G56" s="133" t="n">
        <x:f>COUNTIF('Bottom Navigation'!H9:H200,"verified")</x:f>
        <x:v>1</x:v>
      </x:c>
      <x:c r="H56" s="133" t="n">
        <x:f>COUNTIF('Bottom Navigation'!H9:H200,"blocked")</x:f>
        <x:v>0</x:v>
      </x:c>
      <x:c r="I56" s="133" t="n">
        <x:f>COUNTIF('Bottom Navigation'!H9:H200,"not applicable")</x:f>
        <x:v>0</x:v>
      </x:c>
      <x:c r="J56" s="134" t="n">
        <x:f>'Bottom Navigation'!H4</x:f>
        <x:v>0.8571428571428571</x:v>
      </x:c>
      <x:c r="K56" s="133" t="str">
        <x:f>'Bottom Navigation'!K4</x:f>
        <x:v>open</x:v>
      </x:c>
      <x:c r="L56" s="133" t="str">
        <x:f>'Bottom Navigation'!E5</x:f>
        <x:v>open</x:v>
      </x:c>
      <x:c r="M56" s="133" t="str">
        <x:f>IF(AND(J56=1,K56="complete",L56="complete"),"complete",IF(H56&gt;0,"blocked","open"))</x:f>
        <x:v>open</x:v>
      </x:c>
    </x:row>
    <x:row r="57" s="127" customFormat="1" ht="24" customHeight="1">
      <x:c r="A57" s="133" t="inlineStr">
        <x:is>
          <x:t xml:space="preserve">Visually Hidden</x:t>
        </x:is>
      </x:c>
      <x:c r="B57" s="133" t="n">
        <x:f>'Visually Hidden'!B4</x:f>
        <x:v>19</x:v>
      </x:c>
      <x:c r="C57" s="133" t="n">
        <x:f>COUNTIF('Visually Hidden'!H9:H200,"not started")</x:f>
        <x:v>1</x:v>
      </x:c>
      <x:c r="D57" s="133" t="n">
        <x:f>COUNTIF('Visually Hidden'!H9:H200,"partial")</x:f>
        <x:v>0</x:v>
      </x:c>
      <x:c r="E57" s="133" t="n">
        <x:f>COUNTIF('Visually Hidden'!H9:H200,"implemented")</x:f>
        <x:v>0</x:v>
      </x:c>
      <x:c r="F57" s="133" t="n">
        <x:f>COUNTIF('Visually Hidden'!H9:H200,"tested")</x:f>
        <x:v>17</x:v>
      </x:c>
      <x:c r="G57" s="133" t="n">
        <x:f>COUNTIF('Visually Hidden'!H9:H200,"verified")</x:f>
        <x:v>1</x:v>
      </x:c>
      <x:c r="H57" s="133" t="n">
        <x:f>COUNTIF('Visually Hidden'!H9:H200,"blocked")</x:f>
        <x:v>0</x:v>
      </x:c>
      <x:c r="I57" s="133" t="n">
        <x:f>COUNTIF('Visually Hidden'!H9:H200,"not applicable")</x:f>
        <x:v>0</x:v>
      </x:c>
      <x:c r="J57" s="134" t="n">
        <x:f>'Visually Hidden'!H4</x:f>
        <x:v>0.9473684210526315</x:v>
      </x:c>
      <x:c r="K57" s="133" t="str">
        <x:f>'Visually Hidden'!K4</x:f>
        <x:v>open</x:v>
      </x:c>
      <x:c r="L57" s="133" t="str">
        <x:f>'Visually Hidden'!E5</x:f>
        <x:v>complete</x:v>
      </x:c>
      <x:c r="M57" s="133" t="str">
        <x:f>IF(AND(J57=1,K57="complete",L57="complete"),"complete",IF(H57&gt;0,"blocked","open"))</x:f>
        <x:v>open</x:v>
      </x:c>
    </x:row>
    <x:row r="58" s="127" customFormat="1" ht="24" customHeight="1">
      <x:c r="A58" s="133" t="inlineStr">
        <x:is>
          <x:t xml:space="preserve">Collapsible</x:t>
        </x:is>
      </x:c>
      <x:c r="B58" s="133" t="n">
        <x:f>Collapsible!B4</x:f>
        <x:v>25</x:v>
      </x:c>
      <x:c r="C58" s="133" t="n">
        <x:f>COUNTIF(Collapsible!H9:H200,"not started")</x:f>
        <x:v>1</x:v>
      </x:c>
      <x:c r="D58" s="133" t="n">
        <x:f>COUNTIF(Collapsible!H9:H200,"partial")</x:f>
        <x:v>0</x:v>
      </x:c>
      <x:c r="E58" s="133" t="n">
        <x:f>COUNTIF(Collapsible!H9:H200,"implemented")</x:f>
        <x:v>0</x:v>
      </x:c>
      <x:c r="F58" s="133" t="n">
        <x:f>COUNTIF(Collapsible!H9:H200,"tested")</x:f>
        <x:v>19</x:v>
      </x:c>
      <x:c r="G58" s="133" t="n">
        <x:f>COUNTIF(Collapsible!H9:H200,"verified")</x:f>
        <x:v>5</x:v>
      </x:c>
      <x:c r="H58" s="133" t="n">
        <x:f>COUNTIF(Collapsible!H9:H200,"blocked")</x:f>
        <x:v>0</x:v>
      </x:c>
      <x:c r="I58" s="133" t="n">
        <x:f>COUNTIF(Collapsible!H9:H200,"not applicable")</x:f>
        <x:v>0</x:v>
      </x:c>
      <x:c r="J58" s="134" t="n">
        <x:f>Collapsible!H4</x:f>
        <x:v>0.96</x:v>
      </x:c>
      <x:c r="K58" s="133" t="str">
        <x:f>Collapsible!K4</x:f>
        <x:v>open</x:v>
      </x:c>
      <x:c r="L58" s="133" t="str">
        <x:f>Collapsible!E5</x:f>
        <x:v>complete</x:v>
      </x:c>
      <x:c r="M58" s="133" t="str">
        <x:f>IF(AND(J58=1,K58="complete",L58="complete"),"complete",IF(H58&gt;0,"blocked","open"))</x:f>
        <x:v>open</x:v>
      </x:c>
    </x:row>
    <x:row r="59" s="127" customFormat="1" ht="24" customHeight="1">
      <x:c r="A59" s="133" t="inlineStr">
        <x:is>
          <x:t xml:space="preserve">Accordion</x:t>
        </x:is>
      </x:c>
      <x:c r="B59" s="133" t="n">
        <x:f>Accordion!B4</x:f>
        <x:v>26</x:v>
      </x:c>
      <x:c r="C59" s="133" t="n">
        <x:f>COUNTIF(Accordion!H9:H200,"not started")</x:f>
        <x:v>1</x:v>
      </x:c>
      <x:c r="D59" s="133" t="n">
        <x:f>COUNTIF(Accordion!H9:H200,"partial")</x:f>
        <x:v>0</x:v>
      </x:c>
      <x:c r="E59" s="133" t="n">
        <x:f>COUNTIF(Accordion!H9:H200,"implemented")</x:f>
        <x:v>0</x:v>
      </x:c>
      <x:c r="F59" s="133" t="n">
        <x:f>COUNTIF(Accordion!H9:H200,"tested")</x:f>
        <x:v>20</x:v>
      </x:c>
      <x:c r="G59" s="133" t="n">
        <x:f>COUNTIF(Accordion!H9:H200,"verified")</x:f>
        <x:v>5</x:v>
      </x:c>
      <x:c r="H59" s="133" t="n">
        <x:f>COUNTIF(Accordion!H9:H200,"blocked")</x:f>
        <x:v>0</x:v>
      </x:c>
      <x:c r="I59" s="133" t="n">
        <x:f>COUNTIF(Accordion!H9:H200,"not applicable")</x:f>
        <x:v>0</x:v>
      </x:c>
      <x:c r="J59" s="134" t="n">
        <x:f>Accordion!H4</x:f>
        <x:v>0.9615384615384616</x:v>
      </x:c>
      <x:c r="K59" s="133" t="str">
        <x:f>Accordion!K4</x:f>
        <x:v>open</x:v>
      </x:c>
      <x:c r="L59" s="133" t="str">
        <x:f>Accordion!E5</x:f>
        <x:v>complete</x:v>
      </x:c>
      <x:c r="M59" s="133" t="str">
        <x:f>IF(AND(J59=1,K59="complete",L59="complete"),"complete",IF(H59&gt;0,"blocked","open"))</x:f>
        <x:v>open</x:v>
      </x:c>
    </x:row>
    <x:row r="60" s="127" customFormat="1" ht="24" customHeight="1">
      <x:c r="A60" s="133" t="inlineStr">
        <x:is>
          <x:t xml:space="preserve">Toast</x:t>
        </x:is>
      </x:c>
      <x:c r="B60" s="133" t="n">
        <x:f>Toast!B4</x:f>
        <x:v>31</x:v>
      </x:c>
      <x:c r="C60" s="133" t="n">
        <x:f>COUNTIF(Toast!H9:H200,"not started")</x:f>
        <x:v>1</x:v>
      </x:c>
      <x:c r="D60" s="133" t="n">
        <x:f>COUNTIF(Toast!H9:H200,"partial")</x:f>
        <x:v>3</x:v>
      </x:c>
      <x:c r="E60" s="133" t="n">
        <x:f>COUNTIF(Toast!H9:H200,"implemented")</x:f>
        <x:v>0</x:v>
      </x:c>
      <x:c r="F60" s="133" t="n">
        <x:f>COUNTIF(Toast!H9:H200,"tested")</x:f>
        <x:v>21</x:v>
      </x:c>
      <x:c r="G60" s="133" t="n">
        <x:f>COUNTIF(Toast!H9:H200,"verified")</x:f>
        <x:v>6</x:v>
      </x:c>
      <x:c r="H60" s="133" t="n">
        <x:f>COUNTIF(Toast!H9:H200,"blocked")</x:f>
        <x:v>0</x:v>
      </x:c>
      <x:c r="I60" s="133" t="n">
        <x:f>COUNTIF(Toast!H9:H200,"not applicable")</x:f>
        <x:v>0</x:v>
      </x:c>
      <x:c r="J60" s="134" t="n">
        <x:f>Toast!H4</x:f>
        <x:v>0.8709677419354839</x:v>
      </x:c>
      <x:c r="K60" s="133" t="str">
        <x:f>Toast!K4</x:f>
        <x:v>open</x:v>
      </x:c>
      <x:c r="L60" s="133" t="str">
        <x:f>Toast!E5</x:f>
        <x:v>complete</x:v>
      </x:c>
      <x:c r="M60" s="133" t="str">
        <x:f>IF(AND(J60=1,K60="complete",L60="complete"),"complete",IF(H60&gt;0,"blocked","open"))</x:f>
        <x:v>open</x:v>
      </x:c>
    </x:row>
    <x:row r="61" s="127" customFormat="1" ht="24" customHeight="1">
      <x:c r="A61" s="133" t="inlineStr">
        <x:is>
          <x:t xml:space="preserve">Pagination</x:t>
        </x:is>
      </x:c>
      <x:c r="B61" s="133" t="n">
        <x:f>Pagination!B4</x:f>
        <x:v>25</x:v>
      </x:c>
      <x:c r="C61" s="133" t="n">
        <x:f>COUNTIF(Pagination!H9:H200,"not started")</x:f>
        <x:v>1</x:v>
      </x:c>
      <x:c r="D61" s="133" t="n">
        <x:f>COUNTIF(Pagination!H9:H200,"partial")</x:f>
        <x:v>8</x:v>
      </x:c>
      <x:c r="E61" s="133" t="n">
        <x:f>COUNTIF(Pagination!H9:H200,"implemented")</x:f>
        <x:v>5</x:v>
      </x:c>
      <x:c r="F61" s="133" t="n">
        <x:f>COUNTIF(Pagination!H9:H200,"tested")</x:f>
        <x:v>11</x:v>
      </x:c>
      <x:c r="G61" s="133" t="n">
        <x:f>COUNTIF(Pagination!H9:H200,"verified")</x:f>
        <x:v>0</x:v>
      </x:c>
      <x:c r="H61" s="133" t="n">
        <x:f>COUNTIF(Pagination!H9:H200,"blocked")</x:f>
        <x:v>0</x:v>
      </x:c>
      <x:c r="I61" s="133" t="n">
        <x:f>COUNTIF(Pagination!H9:H200,"not applicable")</x:f>
        <x:v>0</x:v>
      </x:c>
      <x:c r="J61" s="134" t="n">
        <x:f>Pagination!H4</x:f>
        <x:v>0.44</x:v>
      </x:c>
      <x:c r="K61" s="133" t="str">
        <x:f>Pagination!K4</x:f>
        <x:v>open</x:v>
      </x:c>
      <x:c r="L61" s="133" t="str">
        <x:f>Pagination!E5</x:f>
        <x:v>open</x:v>
      </x:c>
      <x:c r="M61" s="133" t="str">
        <x:f>IF(AND(J61=1,K61="complete",L61="complete"),"complete",IF(H61&gt;0,"blocked","open"))</x:f>
        <x:v>open</x:v>
      </x:c>
    </x:row>
    <x:row r="62" s="127" customFormat="1" ht="24" customHeight="1">
      <x:c r="A62" s="133" t="inlineStr">
        <x:is>
          <x:t xml:space="preserve">Data Grid</x:t>
        </x:is>
      </x:c>
      <x:c r="B62" s="133" t="n">
        <x:f>'Data Grid'!B4</x:f>
        <x:v>26</x:v>
      </x:c>
      <x:c r="C62" s="133" t="n">
        <x:f>COUNTIF('Data Grid'!H9:H200,"not started")</x:f>
        <x:v>1</x:v>
      </x:c>
      <x:c r="D62" s="133" t="n">
        <x:f>COUNTIF('Data Grid'!H9:H200,"partial")</x:f>
        <x:v>0</x:v>
      </x:c>
      <x:c r="E62" s="133" t="n">
        <x:f>COUNTIF('Data Grid'!H9:H200,"implemented")</x:f>
        <x:v>4</x:v>
      </x:c>
      <x:c r="F62" s="133" t="n">
        <x:f>COUNTIF('Data Grid'!H9:H200,"tested")</x:f>
        <x:v>21</x:v>
      </x:c>
      <x:c r="G62" s="133" t="n">
        <x:f>COUNTIF('Data Grid'!H9:H200,"verified")</x:f>
        <x:v>0</x:v>
      </x:c>
      <x:c r="H62" s="133" t="n">
        <x:f>COUNTIF('Data Grid'!H9:H200,"blocked")</x:f>
        <x:v>0</x:v>
      </x:c>
      <x:c r="I62" s="133" t="n">
        <x:f>COUNTIF('Data Grid'!H9:H200,"not applicable")</x:f>
        <x:v>0</x:v>
      </x:c>
      <x:c r="J62" s="134" t="n">
        <x:f>'Data Grid'!H4</x:f>
        <x:v>0.8076923076923077</x:v>
      </x:c>
      <x:c r="K62" s="133" t="str">
        <x:f>'Data Grid'!K4</x:f>
        <x:v>open</x:v>
      </x:c>
      <x:c r="L62" s="133" t="str">
        <x:f>'Data Grid'!E5</x:f>
        <x:v>complete</x:v>
      </x:c>
      <x:c r="M62" s="133" t="str">
        <x:f>IF(AND(J62=1,K62="complete",L62="complete"),"complete",IF(H62&gt;0,"blocked","open"))</x:f>
        <x:v>open</x:v>
      </x:c>
    </x:row>
    <x:row r="63" s="127" customFormat="1" ht="24" customHeight="1">
      <x:c r="A63" s="133" t="inlineStr">
        <x:is>
          <x:t xml:space="preserve">Tree Grid</x:t>
        </x:is>
      </x:c>
      <x:c r="B63" s="133" t="n">
        <x:f>'Tree Grid'!B4</x:f>
        <x:v>28</x:v>
      </x:c>
      <x:c r="C63" s="133" t="n">
        <x:f>COUNTIF('Tree Grid'!H9:H200,"not started")</x:f>
        <x:v>1</x:v>
      </x:c>
      <x:c r="D63" s="133" t="n">
        <x:f>COUNTIF('Tree Grid'!H9:H200,"partial")</x:f>
        <x:v>0</x:v>
      </x:c>
      <x:c r="E63" s="133" t="n">
        <x:f>COUNTIF('Tree Grid'!H9:H200,"implemented")</x:f>
        <x:v>4</x:v>
      </x:c>
      <x:c r="F63" s="133" t="n">
        <x:f>COUNTIF('Tree Grid'!H9:H200,"tested")</x:f>
        <x:v>23</x:v>
      </x:c>
      <x:c r="G63" s="133" t="n">
        <x:f>COUNTIF('Tree Grid'!H9:H200,"verified")</x:f>
        <x:v>0</x:v>
      </x:c>
      <x:c r="H63" s="133" t="n">
        <x:f>COUNTIF('Tree Grid'!H9:H200,"blocked")</x:f>
        <x:v>0</x:v>
      </x:c>
      <x:c r="I63" s="133" t="n">
        <x:f>COUNTIF('Tree Grid'!H9:H200,"not applicable")</x:f>
        <x:v>0</x:v>
      </x:c>
      <x:c r="J63" s="134" t="n">
        <x:f>'Tree Grid'!H4</x:f>
        <x:v>0.8214285714285714</x:v>
      </x:c>
      <x:c r="K63" s="133" t="str">
        <x:f>'Tree Grid'!K4</x:f>
        <x:v>open</x:v>
      </x:c>
      <x:c r="L63" s="133" t="str">
        <x:f>'Tree Grid'!E5</x:f>
        <x:v>complete</x:v>
      </x:c>
      <x:c r="M63" s="133" t="str">
        <x:f>IF(AND(J63=1,K63="complete",L63="complete"),"complete",IF(H63&gt;0,"blocked","open"))</x:f>
        <x:v>open</x:v>
      </x:c>
    </x:row>
    <x:row r="64" s="127" customFormat="1" ht="24" customHeight="1">
      <x:c r="A64" s="133" t="inlineStr">
        <x:is>
          <x:t xml:space="preserve">Tree</x:t>
        </x:is>
      </x:c>
      <x:c r="B64" s="133" t="n">
        <x:f>Tree!B4</x:f>
        <x:v>26</x:v>
      </x:c>
      <x:c r="C64" s="133" t="n">
        <x:f>COUNTIF(Tree!H9:H200,"not started")</x:f>
        <x:v>1</x:v>
      </x:c>
      <x:c r="D64" s="133" t="n">
        <x:f>COUNTIF(Tree!H9:H200,"partial")</x:f>
        <x:v>0</x:v>
      </x:c>
      <x:c r="E64" s="133" t="n">
        <x:f>COUNTIF(Tree!H9:H200,"implemented")</x:f>
        <x:v>4</x:v>
      </x:c>
      <x:c r="F64" s="133" t="n">
        <x:f>COUNTIF(Tree!H9:H200,"tested")</x:f>
        <x:v>21</x:v>
      </x:c>
      <x:c r="G64" s="133" t="n">
        <x:f>COUNTIF(Tree!H9:H200,"verified")</x:f>
        <x:v>0</x:v>
      </x:c>
      <x:c r="H64" s="133" t="n">
        <x:f>COUNTIF(Tree!H9:H200,"blocked")</x:f>
        <x:v>0</x:v>
      </x:c>
      <x:c r="I64" s="133" t="n">
        <x:f>COUNTIF(Tree!H9:H200,"not applicable")</x:f>
        <x:v>0</x:v>
      </x:c>
      <x:c r="J64" s="134" t="n">
        <x:f>Tree!H4</x:f>
        <x:v>0.8076923076923077</x:v>
      </x:c>
      <x:c r="K64" s="133" t="str">
        <x:f>Tree!K4</x:f>
        <x:v>open</x:v>
      </x:c>
      <x:c r="L64" s="133" t="str">
        <x:f>Tree!E5</x:f>
        <x:v>complete</x:v>
      </x:c>
      <x:c r="M64" s="133" t="str">
        <x:f>IF(AND(J64=1,K64="complete",L64="complete"),"complete",IF(H64&gt;0,"blocked","open"))</x:f>
        <x:v>open</x:v>
      </x:c>
    </x:row>
    <x:row r="65" s="127" customFormat="1" ht="24" customHeight="1">
      <x:c r="A65" s="133" t="inlineStr">
        <x:is>
          <x:t xml:space="preserve">Feed</x:t>
        </x:is>
      </x:c>
      <x:c r="B65" s="133" t="n">
        <x:f>Feed!B4</x:f>
        <x:v>31</x:v>
      </x:c>
      <x:c r="C65" s="133" t="n">
        <x:f>COUNTIF(Feed!H9:H200,"not started")</x:f>
        <x:v>1</x:v>
      </x:c>
      <x:c r="D65" s="133" t="n">
        <x:f>COUNTIF(Feed!H9:H200,"partial")</x:f>
        <x:v>0</x:v>
      </x:c>
      <x:c r="E65" s="133" t="n">
        <x:f>COUNTIF(Feed!H9:H200,"implemented")</x:f>
        <x:v>0</x:v>
      </x:c>
      <x:c r="F65" s="133" t="n">
        <x:f>COUNTIF(Feed!H9:H200,"tested")</x:f>
        <x:v>27</x:v>
      </x:c>
      <x:c r="G65" s="133" t="n">
        <x:f>COUNTIF(Feed!H9:H200,"verified")</x:f>
        <x:v>1</x:v>
      </x:c>
      <x:c r="H65" s="133" t="n">
        <x:f>COUNTIF(Feed!H9:H200,"blocked")</x:f>
        <x:v>2</x:v>
      </x:c>
      <x:c r="I65" s="133" t="n">
        <x:f>COUNTIF(Feed!H9:H200,"not applicable")</x:f>
        <x:v>0</x:v>
      </x:c>
      <x:c r="J65" s="134" t="n">
        <x:f>Feed!H4</x:f>
        <x:v>0.9032258064516129</x:v>
      </x:c>
      <x:c r="K65" s="133" t="str">
        <x:f>Feed!K4</x:f>
        <x:v>open</x:v>
      </x:c>
      <x:c r="L65" s="133" t="str">
        <x:f>Feed!E5</x:f>
        <x:v>open</x:v>
      </x:c>
      <x:c r="M65" s="133" t="str">
        <x:f>IF(AND(J65=1,K65="complete",L65="complete"),"complete",IF(H65&gt;0,"blocked","open"))</x:f>
        <x:v>blocked</x:v>
      </x:c>
    </x:row>
    <x:row r="66" s="127" customFormat="1" ht="24" customHeight="1">
      <x:c r="A66" s="133" t="inlineStr">
        <x:is>
          <x:t xml:space="preserve">Aspect Ratio</x:t>
        </x:is>
      </x:c>
      <x:c r="B66" s="133" t="n">
        <x:f>'Aspect Ratio'!B4</x:f>
        <x:v>26</x:v>
      </x:c>
      <x:c r="C66" s="133" t="n">
        <x:f>COUNTIF('Aspect Ratio'!H9:H200,"not started")</x:f>
        <x:v>1</x:v>
      </x:c>
      <x:c r="D66" s="133" t="n">
        <x:f>COUNTIF('Aspect Ratio'!H9:H200,"partial")</x:f>
        <x:v>0</x:v>
      </x:c>
      <x:c r="E66" s="133" t="n">
        <x:f>COUNTIF('Aspect Ratio'!H9:H200,"implemented")</x:f>
        <x:v>4</x:v>
      </x:c>
      <x:c r="F66" s="133" t="n">
        <x:f>COUNTIF('Aspect Ratio'!H9:H200,"tested")</x:f>
        <x:v>21</x:v>
      </x:c>
      <x:c r="G66" s="133" t="n">
        <x:f>COUNTIF('Aspect Ratio'!H9:H200,"verified")</x:f>
        <x:v>0</x:v>
      </x:c>
      <x:c r="H66" s="133" t="n">
        <x:f>COUNTIF('Aspect Ratio'!H9:H200,"blocked")</x:f>
        <x:v>0</x:v>
      </x:c>
      <x:c r="I66" s="133" t="n">
        <x:f>COUNTIF('Aspect Ratio'!H9:H200,"not applicable")</x:f>
        <x:v>0</x:v>
      </x:c>
      <x:c r="J66" s="134" t="n">
        <x:f>'Aspect Ratio'!H4</x:f>
        <x:v>0.8076923076923077</x:v>
      </x:c>
      <x:c r="K66" s="133" t="str">
        <x:f>'Aspect Ratio'!K4</x:f>
        <x:v>open</x:v>
      </x:c>
      <x:c r="L66" s="133" t="str">
        <x:f>'Aspect Ratio'!E5</x:f>
        <x:v>complete</x:v>
      </x:c>
      <x:c r="M66" s="133" t="str">
        <x:f>IF(AND(J66=1,K66="complete",L66="complete"),"complete",IF(H66&gt;0,"blocked","open"))</x:f>
        <x:v>open</x:v>
      </x:c>
    </x:row>
    <x:row r="67" s="127" customFormat="1" ht="24" customHeight="1">
      <x:c r="A67" s="133" t="inlineStr">
        <x:is>
          <x:t xml:space="preserve">Toolbar</x:t>
        </x:is>
      </x:c>
      <x:c r="B67" s="133" t="n">
        <x:f>Toolbar!B4</x:f>
        <x:v>30</x:v>
      </x:c>
      <x:c r="C67" s="133" t="n">
        <x:f>COUNTIF(Toolbar!H9:H200,"not started")</x:f>
        <x:v>1</x:v>
      </x:c>
      <x:c r="D67" s="133" t="n">
        <x:f>COUNTIF(Toolbar!H9:H200,"partial")</x:f>
        <x:v>2</x:v>
      </x:c>
      <x:c r="E67" s="133" t="n">
        <x:f>COUNTIF(Toolbar!H9:H200,"implemented")</x:f>
        <x:v>6</x:v>
      </x:c>
      <x:c r="F67" s="133" t="n">
        <x:f>COUNTIF(Toolbar!H9:H200,"tested")</x:f>
        <x:v>21</x:v>
      </x:c>
      <x:c r="G67" s="133" t="n">
        <x:f>COUNTIF(Toolbar!H9:H200,"verified")</x:f>
        <x:v>0</x:v>
      </x:c>
      <x:c r="H67" s="133" t="n">
        <x:f>COUNTIF(Toolbar!H9:H200,"blocked")</x:f>
        <x:v>0</x:v>
      </x:c>
      <x:c r="I67" s="133" t="n">
        <x:f>COUNTIF(Toolbar!H9:H200,"not applicable")</x:f>
        <x:v>0</x:v>
      </x:c>
      <x:c r="J67" s="134" t="n">
        <x:f>Toolbar!H4</x:f>
        <x:v>0.7</x:v>
      </x:c>
      <x:c r="K67" s="133" t="str">
        <x:f>Toolbar!K4</x:f>
        <x:v>open</x:v>
      </x:c>
      <x:c r="L67" s="133" t="str">
        <x:f>Toolbar!E5</x:f>
        <x:v>open</x:v>
      </x:c>
      <x:c r="M67" s="133" t="str">
        <x:f>IF(AND(J67=1,K67="complete",L67="complete"),"complete",IF(H67&gt;0,"blocked","open"))</x:f>
        <x:v>open</x:v>
      </x:c>
    </x:row>
    <x:row r="68" s="127" customFormat="1" ht="24" customHeight="1">
      <x:c r="A68" s="133" t="inlineStr">
        <x:is>
          <x:t xml:space="preserve">Chip</x:t>
        </x:is>
      </x:c>
      <x:c r="B68" s="133" t="n">
        <x:f>Chip!B4</x:f>
        <x:v>17</x:v>
      </x:c>
      <x:c r="C68" s="133" t="n">
        <x:f>COUNTIF(Chip!H9:H200,"not started")</x:f>
        <x:v>1</x:v>
      </x:c>
      <x:c r="D68" s="133" t="n">
        <x:f>COUNTIF(Chip!H9:H200,"partial")</x:f>
        <x:v>1</x:v>
      </x:c>
      <x:c r="E68" s="133" t="n">
        <x:f>COUNTIF(Chip!H9:H200,"implemented")</x:f>
        <x:v>4</x:v>
      </x:c>
      <x:c r="F68" s="133" t="n">
        <x:f>COUNTIF(Chip!H9:H200,"tested")</x:f>
        <x:v>11</x:v>
      </x:c>
      <x:c r="G68" s="133" t="n">
        <x:f>COUNTIF(Chip!H9:H200,"verified")</x:f>
        <x:v>0</x:v>
      </x:c>
      <x:c r="H68" s="133" t="n">
        <x:f>COUNTIF(Chip!H9:H200,"blocked")</x:f>
        <x:v>0</x:v>
      </x:c>
      <x:c r="I68" s="133" t="n">
        <x:f>COUNTIF(Chip!H9:H200,"not applicable")</x:f>
        <x:v>0</x:v>
      </x:c>
      <x:c r="J68" s="134" t="n">
        <x:f>Chip!H4</x:f>
        <x:v>0.6470588235294118</x:v>
      </x:c>
      <x:c r="K68" s="133" t="str">
        <x:f>Chip!K4</x:f>
        <x:v>open</x:v>
      </x:c>
      <x:c r="L68" s="133" t="str">
        <x:f>Chip!E5</x:f>
        <x:v>open</x:v>
      </x:c>
      <x:c r="M68" s="133" t="str">
        <x:f>IF(AND(J68=1,K68="complete",L68="complete"),"complete",IF(H68&gt;0,"blocked","open"))</x:f>
        <x:v>open</x:v>
      </x:c>
    </x:row>
    <x:row r="69" s="127" customFormat="1" ht="24" customHeight="1">
      <x:c r="A69" s="133" t="inlineStr">
        <x:is>
          <x:t xml:space="preserve">Combobox</x:t>
        </x:is>
      </x:c>
      <x:c r="B69" s="133" t="n">
        <x:f>Combobox!B4</x:f>
        <x:v>22</x:v>
      </x:c>
      <x:c r="C69" s="133" t="n">
        <x:f>COUNTIF(Combobox!H9:H200,"not started")</x:f>
        <x:v>0</x:v>
      </x:c>
      <x:c r="D69" s="133" t="n">
        <x:f>COUNTIF(Combobox!H9:H200,"partial")</x:f>
        <x:v>2</x:v>
      </x:c>
      <x:c r="E69" s="133" t="n">
        <x:f>COUNTIF(Combobox!H9:H200,"implemented")</x:f>
        <x:v>8</x:v>
      </x:c>
      <x:c r="F69" s="133" t="n">
        <x:f>COUNTIF(Combobox!H9:H200,"tested")</x:f>
        <x:v>12</x:v>
      </x:c>
      <x:c r="G69" s="133" t="n">
        <x:f>COUNTIF(Combobox!H9:H200,"verified")</x:f>
        <x:v>0</x:v>
      </x:c>
      <x:c r="H69" s="133" t="n">
        <x:f>COUNTIF(Combobox!H9:H200,"blocked")</x:f>
        <x:v>0</x:v>
      </x:c>
      <x:c r="I69" s="133" t="n">
        <x:f>COUNTIF(Combobox!H9:H200,"not applicable")</x:f>
        <x:v>0</x:v>
      </x:c>
      <x:c r="J69" s="134" t="n">
        <x:f>Combobox!H4</x:f>
        <x:v>0.5454545454545454</x:v>
      </x:c>
      <x:c r="K69" s="133" t="str">
        <x:f>Combobox!K4</x:f>
        <x:v>complete</x:v>
      </x:c>
      <x:c r="L69" s="133" t="str">
        <x:f>Combobox!E5</x:f>
        <x:v>open</x:v>
      </x:c>
      <x:c r="M69" s="133" t="str">
        <x:f>IF(AND(J69=1,K69="complete",L69="complete"),"complete",IF(H69&gt;0,"blocked","open"))</x:f>
        <x:v>open</x:v>
      </x:c>
    </x:row>
    <x:row r="70" s="127" customFormat="1" ht="24" customHeight="1">
      <x:c r="A70" s="133" t="inlineStr">
        <x:is>
          <x:t xml:space="preserve">Number Input</x:t>
        </x:is>
      </x:c>
      <x:c r="B70" s="133" t="n">
        <x:f>'Number Input'!B4</x:f>
        <x:v>19</x:v>
      </x:c>
      <x:c r="C70" s="133" t="n">
        <x:f>COUNTIF('Number Input'!H9:H200,"not started")</x:f>
        <x:v>0</x:v>
      </x:c>
      <x:c r="D70" s="133" t="n">
        <x:f>COUNTIF('Number Input'!H9:H200,"partial")</x:f>
        <x:v>0</x:v>
      </x:c>
      <x:c r="E70" s="133" t="n">
        <x:f>COUNTIF('Number Input'!H9:H200,"implemented")</x:f>
        <x:v>7</x:v>
      </x:c>
      <x:c r="F70" s="133" t="n">
        <x:f>COUNTIF('Number Input'!H9:H200,"tested")</x:f>
        <x:v>12</x:v>
      </x:c>
      <x:c r="G70" s="133" t="n">
        <x:f>COUNTIF('Number Input'!H9:H200,"verified")</x:f>
        <x:v>0</x:v>
      </x:c>
      <x:c r="H70" s="133" t="n">
        <x:f>COUNTIF('Number Input'!H9:H200,"blocked")</x:f>
        <x:v>0</x:v>
      </x:c>
      <x:c r="I70" s="133" t="n">
        <x:f>COUNTIF('Number Input'!H9:H200,"not applicable")</x:f>
        <x:v>0</x:v>
      </x:c>
      <x:c r="J70" s="134" t="n">
        <x:f>'Number Input'!H4</x:f>
        <x:v>0.631578947368421</x:v>
      </x:c>
      <x:c r="K70" s="133" t="str">
        <x:f>'Number Input'!K4</x:f>
        <x:v>complete</x:v>
      </x:c>
      <x:c r="L70" s="133" t="str">
        <x:f>'Number Input'!E5</x:f>
        <x:v>complete</x:v>
      </x:c>
      <x:c r="M70" s="133" t="str">
        <x:f>IF(AND(J70=1,K70="complete",L70="complete"),"complete",IF(H70&gt;0,"blocked","open"))</x:f>
        <x:v>open</x:v>
      </x:c>
    </x:row>
    <x:row r="71" s="127" customFormat="1" ht="24" customHeight="1">
      <x:c r="A71" s="133" t="inlineStr">
        <x:is>
          <x:t xml:space="preserve">Pin Input</x:t>
        </x:is>
      </x:c>
      <x:c r="B71" s="133" t="n">
        <x:f>'Pin Input'!B4</x:f>
        <x:v>20</x:v>
      </x:c>
      <x:c r="C71" s="133" t="n">
        <x:f>COUNTIF('Pin Input'!H9:H200,"not started")</x:f>
        <x:v>7</x:v>
      </x:c>
      <x:c r="D71" s="133" t="n">
        <x:f>COUNTIF('Pin Input'!H9:H200,"partial")</x:f>
        <x:v>2</x:v>
      </x:c>
      <x:c r="E71" s="133" t="n">
        <x:f>COUNTIF('Pin Input'!H9:H200,"implemented")</x:f>
        <x:v>0</x:v>
      </x:c>
      <x:c r="F71" s="133" t="n">
        <x:f>COUNTIF('Pin Input'!H9:H200,"tested")</x:f>
        <x:v>11</x:v>
      </x:c>
      <x:c r="G71" s="133" t="n">
        <x:f>COUNTIF('Pin Input'!H9:H200,"verified")</x:f>
        <x:v>0</x:v>
      </x:c>
      <x:c r="H71" s="133" t="n">
        <x:f>COUNTIF('Pin Input'!H9:H200,"blocked")</x:f>
        <x:v>0</x:v>
      </x:c>
      <x:c r="I71" s="133" t="n">
        <x:f>COUNTIF('Pin Input'!H9:H200,"not applicable")</x:f>
        <x:v>0</x:v>
      </x:c>
      <x:c r="J71" s="134" t="n">
        <x:f>'Pin Input'!H4</x:f>
        <x:v>0.55</x:v>
      </x:c>
      <x:c r="K71" s="133" t="str">
        <x:f>'Pin Input'!K4</x:f>
        <x:v>open</x:v>
      </x:c>
      <x:c r="L71" s="133" t="str">
        <x:f>'Pin Input'!E5</x:f>
        <x:v>open</x:v>
      </x:c>
      <x:c r="M71" s="133" t="str">
        <x:f>IF(AND(J71=1,K71="complete",L71="complete"),"complete",IF(H71&gt;0,"blocked","open"))</x:f>
        <x:v>open</x:v>
      </x:c>
    </x:row>
    <x:row r="72" s="127" customFormat="1" ht="24" customHeight="1">
      <x:c r="A72" s="133" t="inlineStr">
        <x:is>
          <x:t xml:space="preserve">Password Toggle Field</x:t>
        </x:is>
      </x:c>
      <x:c r="B72" s="133" t="n">
        <x:f>'Password Toggle Field'!B4</x:f>
        <x:v>32</x:v>
      </x:c>
      <x:c r="C72" s="133" t="n">
        <x:f>COUNTIF('Password Toggle Field'!H9:H200,"not started")</x:f>
        <x:v>0</x:v>
      </x:c>
      <x:c r="D72" s="133" t="n">
        <x:f>COUNTIF('Password Toggle Field'!H9:H200,"partial")</x:f>
        <x:v>0</x:v>
      </x:c>
      <x:c r="E72" s="133" t="n">
        <x:f>COUNTIF('Password Toggle Field'!H9:H200,"implemented")</x:f>
        <x:v>3</x:v>
      </x:c>
      <x:c r="F72" s="133" t="n">
        <x:f>COUNTIF('Password Toggle Field'!H9:H200,"tested")</x:f>
        <x:v>26</x:v>
      </x:c>
      <x:c r="G72" s="133" t="n">
        <x:f>COUNTIF('Password Toggle Field'!H9:H200,"verified")</x:f>
        <x:v>1</x:v>
      </x:c>
      <x:c r="H72" s="133" t="n">
        <x:f>COUNTIF('Password Toggle Field'!H9:H200,"blocked")</x:f>
        <x:v>2</x:v>
      </x:c>
      <x:c r="I72" s="133" t="n">
        <x:f>COUNTIF('Password Toggle Field'!H9:H200,"not applicable")</x:f>
        <x:v>0</x:v>
      </x:c>
      <x:c r="J72" s="134" t="n">
        <x:f>'Password Toggle Field'!H4</x:f>
        <x:v>0.84375</x:v>
      </x:c>
      <x:c r="K72" s="133" t="str">
        <x:f>'Password Toggle Field'!K4</x:f>
        <x:v>open</x:v>
      </x:c>
      <x:c r="L72" s="133" t="str">
        <x:f>'Password Toggle Field'!E5</x:f>
        <x:v>open</x:v>
      </x:c>
      <x:c r="M72" s="133" t="str">
        <x:f>IF(AND(J72=1,K72="complete",L72="complete"),"complete",IF(H72&gt;0,"blocked","open"))</x:f>
        <x:v>blocked</x:v>
      </x:c>
    </x:row>
    <x:row r="73" s="127" customFormat="1" ht="24" customHeight="1">
      <x:c r="A73" s="133" t="inlineStr">
        <x:is>
          <x:t xml:space="preserve">Slider</x:t>
        </x:is>
      </x:c>
      <x:c r="B73" s="133" t="n">
        <x:f>Slider!B4</x:f>
        <x:v>16</x:v>
      </x:c>
      <x:c r="C73" s="133" t="n">
        <x:f>COUNTIF(Slider!H9:H200,"not started")</x:f>
        <x:v>0</x:v>
      </x:c>
      <x:c r="D73" s="133" t="n">
        <x:f>COUNTIF(Slider!H9:H200,"partial")</x:f>
        <x:v>0</x:v>
      </x:c>
      <x:c r="E73" s="133" t="n">
        <x:f>COUNTIF(Slider!H9:H200,"implemented")</x:f>
        <x:v>2</x:v>
      </x:c>
      <x:c r="F73" s="133" t="n">
        <x:f>COUNTIF(Slider!H9:H200,"tested")</x:f>
        <x:v>12</x:v>
      </x:c>
      <x:c r="G73" s="133" t="n">
        <x:f>COUNTIF(Slider!H9:H200,"verified")</x:f>
        <x:v>2</x:v>
      </x:c>
      <x:c r="H73" s="133" t="n">
        <x:f>COUNTIF(Slider!H9:H200,"blocked")</x:f>
        <x:v>0</x:v>
      </x:c>
      <x:c r="I73" s="133" t="n">
        <x:f>COUNTIF(Slider!H9:H200,"not applicable")</x:f>
        <x:v>0</x:v>
      </x:c>
      <x:c r="J73" s="134" t="n">
        <x:f>Slider!H4</x:f>
        <x:v>0.875</x:v>
      </x:c>
      <x:c r="K73" s="133" t="str">
        <x:f>Slider!K4</x:f>
        <x:v>complete</x:v>
      </x:c>
      <x:c r="L73" s="133" t="str">
        <x:f>Slider!E5</x:f>
        <x:v>open</x:v>
      </x:c>
      <x:c r="M73" s="133" t="str">
        <x:f>IF(AND(J73=1,K73="complete",L73="complete"),"complete",IF(H73&gt;0,"blocked","open"))</x:f>
        <x:v>open</x:v>
      </x:c>
    </x:row>
    <x:row r="74" s="127" customFormat="1" ht="24" customHeight="1">
      <x:c r="A74" s="133" t="inlineStr">
        <x:is>
          <x:t xml:space="preserve">Rating</x:t>
        </x:is>
      </x:c>
      <x:c r="B74" s="133" t="n">
        <x:f>Rating!B4</x:f>
        <x:v>17</x:v>
      </x:c>
      <x:c r="C74" s="133" t="n">
        <x:f>COUNTIF(Rating!H9:H200,"not started")</x:f>
        <x:v>0</x:v>
      </x:c>
      <x:c r="D74" s="133" t="n">
        <x:f>COUNTIF(Rating!H9:H200,"partial")</x:f>
        <x:v>1</x:v>
      </x:c>
      <x:c r="E74" s="133" t="n">
        <x:f>COUNTIF(Rating!H9:H200,"implemented")</x:f>
        <x:v>3</x:v>
      </x:c>
      <x:c r="F74" s="133" t="n">
        <x:f>COUNTIF(Rating!H9:H200,"tested")</x:f>
        <x:v>13</x:v>
      </x:c>
      <x:c r="G74" s="133" t="n">
        <x:f>COUNTIF(Rating!H9:H200,"verified")</x:f>
        <x:v>0</x:v>
      </x:c>
      <x:c r="H74" s="133" t="n">
        <x:f>COUNTIF(Rating!H9:H200,"blocked")</x:f>
        <x:v>0</x:v>
      </x:c>
      <x:c r="I74" s="133" t="n">
        <x:f>COUNTIF(Rating!H9:H200,"not applicable")</x:f>
        <x:v>0</x:v>
      </x:c>
      <x:c r="J74" s="134" t="n">
        <x:f>Rating!H4</x:f>
        <x:v>0.7647058823529411</x:v>
      </x:c>
      <x:c r="K74" s="133" t="str">
        <x:f>Rating!K4</x:f>
        <x:v>complete</x:v>
      </x:c>
      <x:c r="L74" s="133" t="str">
        <x:f>Rating!E5</x:f>
        <x:v>open</x:v>
      </x:c>
      <x:c r="M74" s="133" t="str">
        <x:f>IF(AND(J74=1,K74="complete",L74="complete"),"complete",IF(H74&gt;0,"blocked","open"))</x:f>
        <x:v>open</x:v>
      </x:c>
    </x:row>
    <x:row r="75" s="127" customFormat="1" ht="24" customHeight="1">
      <x:c r="A75" s="133" t="inlineStr">
        <x:is>
          <x:t xml:space="preserve">File Upload</x:t>
        </x:is>
      </x:c>
      <x:c r="B75" s="133" t="n">
        <x:f>'File Upload'!B4</x:f>
        <x:v>28</x:v>
      </x:c>
      <x:c r="C75" s="133" t="n">
        <x:f>COUNTIF('File Upload'!H9:H200,"not started")</x:f>
        <x:v>1</x:v>
      </x:c>
      <x:c r="D75" s="133" t="n">
        <x:f>COUNTIF('File Upload'!H9:H200,"partial")</x:f>
        <x:v>0</x:v>
      </x:c>
      <x:c r="E75" s="133" t="n">
        <x:f>COUNTIF('File Upload'!H9:H200,"implemented")</x:f>
        <x:v>0</x:v>
      </x:c>
      <x:c r="F75" s="133" t="n">
        <x:f>COUNTIF('File Upload'!H9:H200,"tested")</x:f>
        <x:v>26</x:v>
      </x:c>
      <x:c r="G75" s="133" t="n">
        <x:f>COUNTIF('File Upload'!H9:H200,"verified")</x:f>
        <x:v>0</x:v>
      </x:c>
      <x:c r="H75" s="133" t="n">
        <x:f>COUNTIF('File Upload'!H9:H200,"blocked")</x:f>
        <x:v>1</x:v>
      </x:c>
      <x:c r="I75" s="133" t="n">
        <x:f>COUNTIF('File Upload'!H9:H200,"not applicable")</x:f>
        <x:v>0</x:v>
      </x:c>
      <x:c r="J75" s="134" t="n">
        <x:f>'File Upload'!H4</x:f>
        <x:v>0.9285714285714286</x:v>
      </x:c>
      <x:c r="K75" s="133" t="str">
        <x:f>'File Upload'!K4</x:f>
        <x:v>open</x:v>
      </x:c>
      <x:c r="L75" s="133" t="str">
        <x:f>'File Upload'!E5</x:f>
        <x:v>complete</x:v>
      </x:c>
      <x:c r="M75" s="133" t="str">
        <x:f>IF(AND(J75=1,K75="complete",L75="complete"),"complete",IF(H75&gt;0,"blocked","open"))</x:f>
        <x:v>blocked</x:v>
      </x:c>
    </x:row>
    <x:row r="76" s="127" customFormat="1" ht="24" customHeight="1">
      <x:c r="A76" s="133" t="inlineStr">
        <x:is>
          <x:t xml:space="preserve">Skip Link</x:t>
        </x:is>
      </x:c>
      <x:c r="B76" s="133" t="n">
        <x:f>'Skip Link'!B4</x:f>
        <x:v>20</x:v>
      </x:c>
      <x:c r="C76" s="133" t="n">
        <x:f>COUNTIF('Skip Link'!H9:H200,"not started")</x:f>
        <x:v>1</x:v>
      </x:c>
      <x:c r="D76" s="133" t="n">
        <x:f>COUNTIF('Skip Link'!H9:H200,"partial")</x:f>
        <x:v>0</x:v>
      </x:c>
      <x:c r="E76" s="133" t="n">
        <x:f>COUNTIF('Skip Link'!H9:H200,"implemented")</x:f>
        <x:v>0</x:v>
      </x:c>
      <x:c r="F76" s="133" t="n">
        <x:f>COUNTIF('Skip Link'!H9:H200,"tested")</x:f>
        <x:v>18</x:v>
      </x:c>
      <x:c r="G76" s="133" t="n">
        <x:f>COUNTIF('Skip Link'!H9:H200,"verified")</x:f>
        <x:v>1</x:v>
      </x:c>
      <x:c r="H76" s="133" t="n">
        <x:f>COUNTIF('Skip Link'!H9:H200,"blocked")</x:f>
        <x:v>0</x:v>
      </x:c>
      <x:c r="I76" s="133" t="n">
        <x:f>COUNTIF('Skip Link'!H9:H200,"not applicable")</x:f>
        <x:v>0</x:v>
      </x:c>
      <x:c r="J76" s="134" t="n">
        <x:f>'Skip Link'!H4</x:f>
        <x:v>0.95</x:v>
      </x:c>
      <x:c r="K76" s="133" t="str">
        <x:f>'Skip Link'!K4</x:f>
        <x:v>open</x:v>
      </x:c>
      <x:c r="L76" s="133" t="str">
        <x:f>'Skip Link'!E5</x:f>
        <x:v>complete</x:v>
      </x:c>
      <x:c r="M76" s="133" t="str">
        <x:f>IF(AND(J76=1,K76="complete",L76="complete"),"complete",IF(H76&gt;0,"blocked","open"))</x:f>
        <x:v>open</x:v>
      </x:c>
    </x:row>
    <x:row r="77" s="127" customFormat="1" ht="24" customHeight="1">
      <x:c r="A77" s="133" t="inlineStr">
        <x:is>
          <x:t xml:space="preserve">Show</x:t>
        </x:is>
      </x:c>
      <x:c r="B77" s="133" t="n">
        <x:f>Show!B4</x:f>
        <x:v>22</x:v>
      </x:c>
      <x:c r="C77" s="133" t="n">
        <x:f>COUNTIF(Show!H9:H200,"not started")</x:f>
        <x:v>1</x:v>
      </x:c>
      <x:c r="D77" s="133" t="n">
        <x:f>COUNTIF(Show!H9:H200,"partial")</x:f>
        <x:v>0</x:v>
      </x:c>
      <x:c r="E77" s="133" t="n">
        <x:f>COUNTIF(Show!H9:H200,"implemented")</x:f>
        <x:v>0</x:v>
      </x:c>
      <x:c r="F77" s="133" t="n">
        <x:f>COUNTIF(Show!H9:H200,"tested")</x:f>
        <x:v>20</x:v>
      </x:c>
      <x:c r="G77" s="133" t="n">
        <x:f>COUNTIF(Show!H9:H200,"verified")</x:f>
        <x:v>1</x:v>
      </x:c>
      <x:c r="H77" s="133" t="n">
        <x:f>COUNTIF(Show!H9:H200,"blocked")</x:f>
        <x:v>0</x:v>
      </x:c>
      <x:c r="I77" s="133" t="n">
        <x:f>COUNTIF(Show!H9:H200,"not applicable")</x:f>
        <x:v>0</x:v>
      </x:c>
      <x:c r="J77" s="134" t="n">
        <x:f>Show!H4</x:f>
        <x:v>0.9545454545454546</x:v>
      </x:c>
      <x:c r="K77" s="133" t="str">
        <x:f>Show!K4</x:f>
        <x:v>complete</x:v>
      </x:c>
      <x:c r="L77" s="133" t="str">
        <x:f>Show!E5</x:f>
        <x:v>complete</x:v>
      </x:c>
      <x:c r="M77" s="133" t="str">
        <x:f>IF(AND(J77=1,K77="complete",L77="complete"),"complete",IF(H77&gt;0,"blocked","open"))</x:f>
        <x:v>open</x:v>
      </x:c>
    </x:row>
    <x:row r="78" s="127" customFormat="1" ht="24" customHeight="1">
      <x:c r="A78" s="133" t="inlineStr">
        <x:is>
          <x:t xml:space="preserve">Hide</x:t>
        </x:is>
      </x:c>
      <x:c r="B78" s="133" t="n">
        <x:f>Hide!B4</x:f>
        <x:v>22</x:v>
      </x:c>
      <x:c r="C78" s="133" t="n">
        <x:f>COUNTIF(Hide!H9:H200,"not started")</x:f>
        <x:v>1</x:v>
      </x:c>
      <x:c r="D78" s="133" t="n">
        <x:f>COUNTIF(Hide!H9:H200,"partial")</x:f>
        <x:v>0</x:v>
      </x:c>
      <x:c r="E78" s="133" t="n">
        <x:f>COUNTIF(Hide!H9:H200,"implemented")</x:f>
        <x:v>0</x:v>
      </x:c>
      <x:c r="F78" s="133" t="n">
        <x:f>COUNTIF(Hide!H9:H200,"tested")</x:f>
        <x:v>20</x:v>
      </x:c>
      <x:c r="G78" s="133" t="n">
        <x:f>COUNTIF(Hide!H9:H200,"verified")</x:f>
        <x:v>1</x:v>
      </x:c>
      <x:c r="H78" s="133" t="n">
        <x:f>COUNTIF(Hide!H9:H200,"blocked")</x:f>
        <x:v>0</x:v>
      </x:c>
      <x:c r="I78" s="133" t="n">
        <x:f>COUNTIF(Hide!H9:H200,"not applicable")</x:f>
        <x:v>0</x:v>
      </x:c>
      <x:c r="J78" s="134" t="n">
        <x:f>Hide!H4</x:f>
        <x:v>0.9545454545454546</x:v>
      </x:c>
      <x:c r="K78" s="133" t="str">
        <x:f>Hide!K4</x:f>
        <x:v>complete</x:v>
      </x:c>
      <x:c r="L78" s="133" t="str">
        <x:f>Hide!E5</x:f>
        <x:v>complete</x:v>
      </x:c>
      <x:c r="M78" s="133" t="str">
        <x:f>IF(AND(J78=1,K78="complete",L78="complete"),"complete",IF(H78&gt;0,"blocked","open"))</x:f>
        <x:v>open</x:v>
      </x:c>
    </x:row>
    <x:row r="79" s="127" customFormat="1" ht="24" customHeight="1">
      <x:c r="A79" s="133" t="inlineStr">
        <x:is>
          <x:t xml:space="preserve">Swipeable Item</x:t>
        </x:is>
      </x:c>
      <x:c r="B79" s="133" t="n">
        <x:f>'Swipeable Item'!B4</x:f>
        <x:v>31</x:v>
      </x:c>
      <x:c r="C79" s="133" t="n">
        <x:f>COUNTIF('Swipeable Item'!H9:H200,"not started")</x:f>
        <x:v>1</x:v>
      </x:c>
      <x:c r="D79" s="133" t="n">
        <x:f>COUNTIF('Swipeable Item'!H9:H200,"partial")</x:f>
        <x:v>2</x:v>
      </x:c>
      <x:c r="E79" s="133" t="n">
        <x:f>COUNTIF('Swipeable Item'!H9:H200,"implemented")</x:f>
        <x:v>0</x:v>
      </x:c>
      <x:c r="F79" s="133" t="n">
        <x:f>COUNTIF('Swipeable Item'!H9:H200,"tested")</x:f>
        <x:v>27</x:v>
      </x:c>
      <x:c r="G79" s="133" t="n">
        <x:f>COUNTIF('Swipeable Item'!H9:H200,"verified")</x:f>
        <x:v>1</x:v>
      </x:c>
      <x:c r="H79" s="133" t="n">
        <x:f>COUNTIF('Swipeable Item'!H9:H200,"blocked")</x:f>
        <x:v>0</x:v>
      </x:c>
      <x:c r="I79" s="133" t="n">
        <x:f>COUNTIF('Swipeable Item'!H9:H200,"not applicable")</x:f>
        <x:v>0</x:v>
      </x:c>
      <x:c r="J79" s="134" t="n">
        <x:f>'Swipeable Item'!H4</x:f>
        <x:v>0.9032258064516129</x:v>
      </x:c>
      <x:c r="K79" s="133" t="str">
        <x:f>'Swipeable Item'!K4</x:f>
        <x:v>open</x:v>
      </x:c>
      <x:c r="L79" s="133" t="str">
        <x:f>'Swipeable Item'!E5</x:f>
        <x:v>complete</x:v>
      </x:c>
      <x:c r="M79" s="133" t="str">
        <x:f>IF(AND(J79=1,K79="complete",L79="complete"),"complete",IF(H79&gt;0,"blocked","open"))</x:f>
        <x:v>open</x:v>
      </x:c>
    </x:row>
    <x:row r="80" s="127" customFormat="1" ht="24" customHeight="1">
      <x:c r="A80" s="133" t="inlineStr">
        <x:is>
          <x:t xml:space="preserve">Table</x:t>
        </x:is>
      </x:c>
      <x:c r="B80" s="133" t="n">
        <x:f>Table!B4</x:f>
        <x:v>23</x:v>
      </x:c>
      <x:c r="C80" s="133" t="n">
        <x:f>COUNTIF(Table!H9:H200,"not started")</x:f>
        <x:v>1</x:v>
      </x:c>
      <x:c r="D80" s="133" t="n">
        <x:f>COUNTIF(Table!H9:H200,"partial")</x:f>
        <x:v>0</x:v>
      </x:c>
      <x:c r="E80" s="133" t="n">
        <x:f>COUNTIF(Table!H9:H200,"implemented")</x:f>
        <x:v>4</x:v>
      </x:c>
      <x:c r="F80" s="133" t="n">
        <x:f>COUNTIF(Table!H9:H200,"tested")</x:f>
        <x:v>18</x:v>
      </x:c>
      <x:c r="G80" s="133" t="n">
        <x:f>COUNTIF(Table!H9:H200,"verified")</x:f>
        <x:v>0</x:v>
      </x:c>
      <x:c r="H80" s="133" t="n">
        <x:f>COUNTIF(Table!H9:H200,"blocked")</x:f>
        <x:v>0</x:v>
      </x:c>
      <x:c r="I80" s="133" t="n">
        <x:f>COUNTIF(Table!H9:H200,"not applicable")</x:f>
        <x:v>0</x:v>
      </x:c>
      <x:c r="J80" s="134" t="n">
        <x:f>Table!H4</x:f>
        <x:v>0.782608695652174</x:v>
      </x:c>
      <x:c r="K80" s="133" t="str">
        <x:f>Table!K4</x:f>
        <x:v>open</x:v>
      </x:c>
      <x:c r="L80" s="133" t="str">
        <x:f>Table!E5</x:f>
        <x:v>complete</x:v>
      </x:c>
      <x:c r="M80" s="133" t="str">
        <x:f>IF(AND(J80=1,K80="complete",L80="complete"),"complete",IF(H80&gt;0,"blocked","open"))</x:f>
        <x:v>open</x:v>
      </x:c>
    </x:row>
    <x:row r="81" s="127" customFormat="1" ht="24" customHeight="1">
      <x:c r="A81" s="133" t="inlineStr">
        <x:is>
          <x:t xml:space="preserve">Progress</x:t>
        </x:is>
      </x:c>
      <x:c r="B81" s="133" t="n">
        <x:f>Progress!B4</x:f>
        <x:v>22</x:v>
      </x:c>
      <x:c r="C81" s="133" t="n">
        <x:f>COUNTIF(Progress!H9:H200,"not started")</x:f>
        <x:v>1</x:v>
      </x:c>
      <x:c r="D81" s="133" t="n">
        <x:f>COUNTIF(Progress!H9:H200,"partial")</x:f>
        <x:v>0</x:v>
      </x:c>
      <x:c r="E81" s="133" t="n">
        <x:f>COUNTIF(Progress!H9:H200,"implemented")</x:f>
        <x:v>0</x:v>
      </x:c>
      <x:c r="F81" s="133" t="n">
        <x:f>COUNTIF(Progress!H9:H200,"tested")</x:f>
        <x:v>20</x:v>
      </x:c>
      <x:c r="G81" s="133" t="n">
        <x:f>COUNTIF(Progress!H9:H200,"verified")</x:f>
        <x:v>0</x:v>
      </x:c>
      <x:c r="H81" s="133" t="n">
        <x:f>COUNTIF(Progress!H9:H200,"blocked")</x:f>
        <x:v>1</x:v>
      </x:c>
      <x:c r="I81" s="133" t="n">
        <x:f>COUNTIF(Progress!H9:H200,"not applicable")</x:f>
        <x:v>0</x:v>
      </x:c>
      <x:c r="J81" s="134" t="n">
        <x:f>Progress!H4</x:f>
        <x:v>0.9090909090909091</x:v>
      </x:c>
      <x:c r="K81" s="133" t="str">
        <x:f>Progress!K4</x:f>
        <x:v>open</x:v>
      </x:c>
      <x:c r="L81" s="133" t="str">
        <x:f>Progress!E5</x:f>
        <x:v>complete</x:v>
      </x:c>
      <x:c r="M81" s="133" t="str">
        <x:f>IF(AND(J81=1,K81="complete",L81="complete"),"complete",IF(H81&gt;0,"blocked","open"))</x:f>
        <x:v>blocked</x:v>
      </x:c>
    </x:row>
    <x:row r="82" s="127" customFormat="1" ht="24" customHeight="1">
      <x:c r="A82" s="133" t="inlineStr">
        <x:is>
          <x:t xml:space="preserve">Progress Circle</x:t>
        </x:is>
      </x:c>
      <x:c r="B82" s="133" t="n">
        <x:f>'Progress Circle'!B4</x:f>
        <x:v>22</x:v>
      </x:c>
      <x:c r="C82" s="133" t="n">
        <x:f>COUNTIF('Progress Circle'!H9:H200,"not started")</x:f>
        <x:v>1</x:v>
      </x:c>
      <x:c r="D82" s="133" t="n">
        <x:f>COUNTIF('Progress Circle'!H9:H200,"partial")</x:f>
        <x:v>0</x:v>
      </x:c>
      <x:c r="E82" s="133" t="n">
        <x:f>COUNTIF('Progress Circle'!H9:H200,"implemented")</x:f>
        <x:v>0</x:v>
      </x:c>
      <x:c r="F82" s="133" t="n">
        <x:f>COUNTIF('Progress Circle'!H9:H200,"tested")</x:f>
        <x:v>20</x:v>
      </x:c>
      <x:c r="G82" s="133" t="n">
        <x:f>COUNTIF('Progress Circle'!H9:H200,"verified")</x:f>
        <x:v>0</x:v>
      </x:c>
      <x:c r="H82" s="133" t="n">
        <x:f>COUNTIF('Progress Circle'!H9:H200,"blocked")</x:f>
        <x:v>1</x:v>
      </x:c>
      <x:c r="I82" s="133" t="n">
        <x:f>COUNTIF('Progress Circle'!H9:H200,"not applicable")</x:f>
        <x:v>0</x:v>
      </x:c>
      <x:c r="J82" s="134" t="n">
        <x:f>'Progress Circle'!H4</x:f>
        <x:v>0.9090909090909091</x:v>
      </x:c>
      <x:c r="K82" s="133" t="str">
        <x:f>'Progress Circle'!K4</x:f>
        <x:v>open</x:v>
      </x:c>
      <x:c r="L82" s="133" t="str">
        <x:f>'Progress Circle'!E5</x:f>
        <x:v>complete</x:v>
      </x:c>
      <x:c r="M82" s="133" t="str">
        <x:f>IF(AND(J82=1,K82="complete",L82="complete"),"complete",IF(H82&gt;0,"blocked","open"))</x:f>
        <x:v>blocked</x:v>
      </x:c>
    </x:row>
    <x:row r="83" s="127" customFormat="1" ht="24" customHeight="1">
      <x:c r="A83" s="133" t="inlineStr">
        <x:is>
          <x:t xml:space="preserve">Carousel</x:t>
        </x:is>
      </x:c>
      <x:c r="B83" s="133" t="n">
        <x:f>Carousel!B4</x:f>
        <x:v>25</x:v>
      </x:c>
      <x:c r="C83" s="133" t="n">
        <x:f>COUNTIF(Carousel!H9:H200,"not started")</x:f>
        <x:v>5</x:v>
      </x:c>
      <x:c r="D83" s="133" t="n">
        <x:f>COUNTIF(Carousel!H9:H200,"partial")</x:f>
        <x:v>0</x:v>
      </x:c>
      <x:c r="E83" s="133" t="n">
        <x:f>COUNTIF(Carousel!H9:H200,"implemented")</x:f>
        <x:v>4</x:v>
      </x:c>
      <x:c r="F83" s="133" t="n">
        <x:f>COUNTIF(Carousel!H9:H200,"tested")</x:f>
        <x:v>16</x:v>
      </x:c>
      <x:c r="G83" s="133" t="n">
        <x:f>COUNTIF(Carousel!H9:H200,"verified")</x:f>
        <x:v>0</x:v>
      </x:c>
      <x:c r="H83" s="133" t="n">
        <x:f>COUNTIF(Carousel!H9:H200,"blocked")</x:f>
        <x:v>0</x:v>
      </x:c>
      <x:c r="I83" s="133" t="n">
        <x:f>COUNTIF(Carousel!H9:H200,"not applicable")</x:f>
        <x:v>0</x:v>
      </x:c>
      <x:c r="J83" s="134" t="n">
        <x:f>Carousel!H4</x:f>
        <x:v>0.64</x:v>
      </x:c>
      <x:c r="K83" s="133" t="str">
        <x:f>Carousel!K4</x:f>
        <x:v>complete</x:v>
      </x:c>
      <x:c r="L83" s="133" t="str">
        <x:f>Carousel!E5</x:f>
        <x:v>open</x:v>
      </x:c>
      <x:c r="M83" s="133" t="str">
        <x:f>IF(AND(J83=1,K83="complete",L83="complete"),"complete",IF(H83&gt;0,"blocked","open"))</x:f>
        <x:v>open</x:v>
      </x:c>
    </x:row>
    <x:row r="84" s="127" customFormat="1" ht="24" customHeight="1">
      <x:c r="A84" s="133" t="inlineStr">
        <x:is>
          <x:t xml:space="preserve">ZStack</x:t>
        </x:is>
      </x:c>
      <x:c r="B84" s="133" t="n">
        <x:f>ZStack!B4</x:f>
        <x:v>16</x:v>
      </x:c>
      <x:c r="C84" s="133" t="n">
        <x:f>COUNTIF(ZStack!H9:H200,"not started")</x:f>
        <x:v>0</x:v>
      </x:c>
      <x:c r="D84" s="133" t="n">
        <x:f>COUNTIF(ZStack!H9:H200,"partial")</x:f>
        <x:v>0</x:v>
      </x:c>
      <x:c r="E84" s="133" t="n">
        <x:f>COUNTIF(ZStack!H9:H200,"implemented")</x:f>
        <x:v>3</x:v>
      </x:c>
      <x:c r="F84" s="133" t="n">
        <x:f>COUNTIF(ZStack!H9:H200,"tested")</x:f>
        <x:v>12</x:v>
      </x:c>
      <x:c r="G84" s="133" t="n">
        <x:f>COUNTIF(ZStack!H9:H200,"verified")</x:f>
        <x:v>1</x:v>
      </x:c>
      <x:c r="H84" s="133" t="n">
        <x:f>COUNTIF(ZStack!H9:H200,"blocked")</x:f>
        <x:v>0</x:v>
      </x:c>
      <x:c r="I84" s="133" t="n">
        <x:f>COUNTIF(ZStack!H9:H200,"not applicable")</x:f>
        <x:v>0</x:v>
      </x:c>
      <x:c r="J84" s="134" t="n">
        <x:f>ZStack!H4</x:f>
        <x:v>0.8125</x:v>
      </x:c>
      <x:c r="K84" s="133" t="str">
        <x:f>ZStack!K4</x:f>
        <x:v>open</x:v>
      </x:c>
      <x:c r="L84" s="133" t="str">
        <x:f>ZStack!E5</x:f>
        <x:v>complete</x:v>
      </x:c>
      <x:c r="M84" s="133" t="str">
        <x:f>IF(AND(J84=1,K84="complete",L84="complete"),"complete",IF(H84&gt;0,"blocked","open"))</x:f>
        <x:v>open</x:v>
      </x:c>
    </x:row>
    <x:row r="85" s="127" customFormat="1" ht="24" customHeight="1">
      <x:c r="A85" s="133" t="inlineStr">
        <x:is>
          <x:t xml:space="preserve">Appearance</x:t>
        </x:is>
      </x:c>
      <x:c r="B85" s="133" t="n">
        <x:f>Appearance!B4</x:f>
        <x:v>17</x:v>
      </x:c>
      <x:c r="C85" s="133" t="n">
        <x:f>COUNTIF(Appearance!H9:H200,"not started")</x:f>
        <x:v>0</x:v>
      </x:c>
      <x:c r="D85" s="133" t="n">
        <x:f>COUNTIF(Appearance!H9:H200,"partial")</x:f>
        <x:v>0</x:v>
      </x:c>
      <x:c r="E85" s="133" t="n">
        <x:f>COUNTIF(Appearance!H9:H200,"implemented")</x:f>
        <x:v>4</x:v>
      </x:c>
      <x:c r="F85" s="133" t="n">
        <x:f>COUNTIF(Appearance!H9:H200,"tested")</x:f>
        <x:v>12</x:v>
      </x:c>
      <x:c r="G85" s="133" t="n">
        <x:f>COUNTIF(Appearance!H9:H200,"verified")</x:f>
        <x:v>0</x:v>
      </x:c>
      <x:c r="H85" s="133" t="n">
        <x:f>COUNTIF(Appearance!H9:H200,"blocked")</x:f>
        <x:v>0</x:v>
      </x:c>
      <x:c r="I85" s="133" t="n">
        <x:f>COUNTIF(Appearance!H9:H200,"not applicable")</x:f>
        <x:v>1</x:v>
      </x:c>
      <x:c r="J85" s="134" t="n">
        <x:f>Appearance!H4</x:f>
        <x:v>0.7647058823529411</x:v>
      </x:c>
      <x:c r="K85" s="133" t="str">
        <x:f>Appearance!K4</x:f>
        <x:v>open</x:v>
      </x:c>
      <x:c r="L85" s="133" t="str">
        <x:f>Appearance!E5</x:f>
        <x:v>complete</x:v>
      </x:c>
      <x:c r="M85" s="133" t="str">
        <x:f>IF(AND(J85=1,K85="complete",L85="complete"),"complete",IF(H85&gt;0,"blocked","open"))</x:f>
        <x:v>open</x:v>
      </x:c>
    </x:row>
    <x:row r="86" s="127" customFormat="1" ht="24" customHeight="1">
      <x:c r="A86" s="133" t="inlineStr">
        <x:is>
          <x:t xml:space="preserve">Frame</x:t>
        </x:is>
      </x:c>
      <x:c r="B86" s="133" t="n">
        <x:f>Frame!B4</x:f>
        <x:v>16</x:v>
      </x:c>
      <x:c r="C86" s="133" t="n">
        <x:f>COUNTIF(Frame!H9:H200,"not started")</x:f>
        <x:v>0</x:v>
      </x:c>
      <x:c r="D86" s="133" t="n">
        <x:f>COUNTIF(Frame!H9:H200,"partial")</x:f>
        <x:v>0</x:v>
      </x:c>
      <x:c r="E86" s="133" t="n">
        <x:f>COUNTIF(Frame!H9:H200,"implemented")</x:f>
        <x:v>4</x:v>
      </x:c>
      <x:c r="F86" s="133" t="n">
        <x:f>COUNTIF(Frame!H9:H200,"tested")</x:f>
        <x:v>11</x:v>
      </x:c>
      <x:c r="G86" s="133" t="n">
        <x:f>COUNTIF(Frame!H9:H200,"verified")</x:f>
        <x:v>0</x:v>
      </x:c>
      <x:c r="H86" s="133" t="n">
        <x:f>COUNTIF(Frame!H9:H200,"blocked")</x:f>
        <x:v>0</x:v>
      </x:c>
      <x:c r="I86" s="133" t="n">
        <x:f>COUNTIF(Frame!H9:H200,"not applicable")</x:f>
        <x:v>1</x:v>
      </x:c>
      <x:c r="J86" s="134" t="n">
        <x:f>Frame!H4</x:f>
        <x:v>0.75</x:v>
      </x:c>
      <x:c r="K86" s="133" t="str">
        <x:f>Frame!K4</x:f>
        <x:v>open</x:v>
      </x:c>
      <x:c r="L86" s="133" t="str">
        <x:f>Frame!E5</x:f>
        <x:v>complete</x:v>
      </x:c>
      <x:c r="M86" s="133" t="str">
        <x:f>IF(AND(J86=1,K86="complete",L86="complete"),"complete",IF(H86&gt;0,"blocked","open"))</x:f>
        <x:v>open</x:v>
      </x:c>
    </x:row>
    <x:row r="87" s="127" customFormat="1" ht="24" customHeight="1">
      <x:c r="A87" s="133" t="inlineStr">
        <x:is>
          <x:t xml:space="preserve">Section</x:t>
        </x:is>
      </x:c>
      <x:c r="B87" s="133" t="n">
        <x:f>Section!B4</x:f>
        <x:v>17</x:v>
      </x:c>
      <x:c r="C87" s="133" t="n">
        <x:f>COUNTIF(Section!H9:H200,"not started")</x:f>
        <x:v>0</x:v>
      </x:c>
      <x:c r="D87" s="133" t="n">
        <x:f>COUNTIF(Section!H9:H200,"partial")</x:f>
        <x:v>0</x:v>
      </x:c>
      <x:c r="E87" s="133" t="n">
        <x:f>COUNTIF(Section!H9:H200,"implemented")</x:f>
        <x:v>3</x:v>
      </x:c>
      <x:c r="F87" s="133" t="n">
        <x:f>COUNTIF(Section!H9:H200,"tested")</x:f>
        <x:v>13</x:v>
      </x:c>
      <x:c r="G87" s="133" t="n">
        <x:f>COUNTIF(Section!H9:H200,"verified")</x:f>
        <x:v>0</x:v>
      </x:c>
      <x:c r="H87" s="133" t="n">
        <x:f>COUNTIF(Section!H9:H200,"blocked")</x:f>
        <x:v>0</x:v>
      </x:c>
      <x:c r="I87" s="133" t="n">
        <x:f>COUNTIF(Section!H9:H200,"not applicable")</x:f>
        <x:v>1</x:v>
      </x:c>
      <x:c r="J87" s="134" t="n">
        <x:f>Section!H4</x:f>
        <x:v>0.8235294117647058</x:v>
      </x:c>
      <x:c r="K87" s="133" t="str">
        <x:f>Section!K4</x:f>
        <x:v>open</x:v>
      </x:c>
      <x:c r="L87" s="133" t="str">
        <x:f>Section!E5</x:f>
        <x:v>complete</x:v>
      </x:c>
      <x:c r="M87" s="133" t="str">
        <x:f>IF(AND(J87=1,K87="complete",L87="complete"),"complete",IF(H87&gt;0,"blocked","open"))</x:f>
        <x:v>open</x:v>
      </x:c>
    </x:row>
    <x:row r="88" s="127" customFormat="1" ht="24" customHeight="1">
      <x:c r="A88" s="133" t="inlineStr">
        <x:is>
          <x:t xml:space="preserve">Reorderable List</x:t>
        </x:is>
      </x:c>
      <x:c r="B88" s="133" t="n">
        <x:f>'Reorderable List'!B4</x:f>
        <x:v>19</x:v>
      </x:c>
      <x:c r="C88" s="133" t="n">
        <x:f>COUNTIF('Reorderable List'!H9:H200,"not started")</x:f>
        <x:v>0</x:v>
      </x:c>
      <x:c r="D88" s="133" t="n">
        <x:f>COUNTIF('Reorderable List'!H9:H200,"partial")</x:f>
        <x:v>3</x:v>
      </x:c>
      <x:c r="E88" s="133" t="n">
        <x:f>COUNTIF('Reorderable List'!H9:H200,"implemented")</x:f>
        <x:v>2</x:v>
      </x:c>
      <x:c r="F88" s="133" t="n">
        <x:f>COUNTIF('Reorderable List'!H9:H200,"tested")</x:f>
        <x:v>13</x:v>
      </x:c>
      <x:c r="G88" s="133" t="n">
        <x:f>COUNTIF('Reorderable List'!H9:H200,"verified")</x:f>
        <x:v>1</x:v>
      </x:c>
      <x:c r="H88" s="133" t="n">
        <x:f>COUNTIF('Reorderable List'!H9:H200,"blocked")</x:f>
        <x:v>0</x:v>
      </x:c>
      <x:c r="I88" s="133" t="n">
        <x:f>COUNTIF('Reorderable List'!H9:H200,"not applicable")</x:f>
        <x:v>0</x:v>
      </x:c>
      <x:c r="J88" s="134" t="n">
        <x:f>'Reorderable List'!H4</x:f>
        <x:v>0.7368421052631579</x:v>
      </x:c>
      <x:c r="K88" s="133" t="str">
        <x:f>'Reorderable List'!K4</x:f>
        <x:v>open</x:v>
      </x:c>
      <x:c r="L88" s="133" t="str">
        <x:f>'Reorderable List'!E5</x:f>
        <x:v>complete</x:v>
      </x:c>
      <x:c r="M88" s="133" t="str">
        <x:f>IF(AND(J88=1,K88="complete",L88="complete"),"complete",IF(H88&gt;0,"blocked","open"))</x:f>
        <x:v>open</x:v>
      </x:c>
    </x:row>
    <x:row r="89" s="127" customFormat="1" ht="24" customHeight="1">
      <x:c r="A89" s="133" t="inlineStr">
        <x:is>
          <x:t xml:space="preserve">Group</x:t>
        </x:is>
      </x:c>
      <x:c r="B89" s="133" t="n">
        <x:f>Group!B4</x:f>
        <x:v>16</x:v>
      </x:c>
      <x:c r="C89" s="133" t="n">
        <x:f>COUNTIF(Group!H9:H200,"not started")</x:f>
        <x:v>0</x:v>
      </x:c>
      <x:c r="D89" s="133" t="n">
        <x:f>COUNTIF(Group!H9:H200,"partial")</x:f>
        <x:v>2</x:v>
      </x:c>
      <x:c r="E89" s="133" t="n">
        <x:f>COUNTIF(Group!H9:H200,"implemented")</x:f>
        <x:v>4</x:v>
      </x:c>
      <x:c r="F89" s="133" t="n">
        <x:f>COUNTIF(Group!H9:H200,"tested")</x:f>
        <x:v>9</x:v>
      </x:c>
      <x:c r="G89" s="133" t="n">
        <x:f>COUNTIF(Group!H9:H200,"verified")</x:f>
        <x:v>0</x:v>
      </x:c>
      <x:c r="H89" s="133" t="n">
        <x:f>COUNTIF(Group!H9:H200,"blocked")</x:f>
        <x:v>1</x:v>
      </x:c>
      <x:c r="I89" s="133" t="n">
        <x:f>COUNTIF(Group!H9:H200,"not applicable")</x:f>
        <x:v>0</x:v>
      </x:c>
      <x:c r="J89" s="134" t="n">
        <x:f>Group!H4</x:f>
        <x:v>0.5625</x:v>
      </x:c>
      <x:c r="K89" s="133" t="str">
        <x:f>Group!K4</x:f>
        <x:v>open</x:v>
      </x:c>
      <x:c r="L89" s="133" t="str">
        <x:f>Group!E5</x:f>
        <x:v>open</x:v>
      </x:c>
      <x:c r="M89" s="133" t="str">
        <x:f>IF(AND(J89=1,K89="complete",L89="complete"),"complete",IF(H89&gt;0,"blocked","open"))</x:f>
        <x:v>blocked</x:v>
      </x:c>
    </x:row>
    <x:row r="90" s="127" customFormat="1" ht="24" customHeight="1">
      <x:c r="A90" s="133" t="inlineStr">
        <x:is>
          <x:t xml:space="preserve">Color Swatch</x:t>
        </x:is>
      </x:c>
      <x:c r="B90" s="133" t="n">
        <x:f>'Color Swatch'!B4</x:f>
        <x:v>17</x:v>
      </x:c>
      <x:c r="C90" s="133" t="n">
        <x:f>COUNTIF('Color Swatch'!H9:H200,"not started")</x:f>
        <x:v>2</x:v>
      </x:c>
      <x:c r="D90" s="133" t="n">
        <x:f>COUNTIF('Color Swatch'!H9:H200,"partial")</x:f>
        <x:v>0</x:v>
      </x:c>
      <x:c r="E90" s="133" t="n">
        <x:f>COUNTIF('Color Swatch'!H9:H200,"implemented")</x:f>
        <x:v>0</x:v>
      </x:c>
      <x:c r="F90" s="133" t="n">
        <x:f>COUNTIF('Color Swatch'!H9:H200,"tested")</x:f>
        <x:v>15</x:v>
      </x:c>
      <x:c r="G90" s="133" t="n">
        <x:f>COUNTIF('Color Swatch'!H9:H200,"verified")</x:f>
        <x:v>0</x:v>
      </x:c>
      <x:c r="H90" s="133" t="n">
        <x:f>COUNTIF('Color Swatch'!H9:H200,"blocked")</x:f>
        <x:v>0</x:v>
      </x:c>
      <x:c r="I90" s="133" t="n">
        <x:f>COUNTIF('Color Swatch'!H9:H200,"not applicable")</x:f>
        <x:v>0</x:v>
      </x:c>
      <x:c r="J90" s="134" t="n">
        <x:f>'Color Swatch'!H4</x:f>
        <x:v>0.7647058823529411</x:v>
      </x:c>
      <x:c r="K90" s="133" t="str">
        <x:f>'Color Swatch'!K4</x:f>
        <x:v>open</x:v>
      </x:c>
      <x:c r="L90" s="133" t="str">
        <x:f>'Color Swatch'!E5</x:f>
        <x:v>complete</x:v>
      </x:c>
      <x:c r="M90" s="133" t="str">
        <x:f>IF(AND(J90=1,K90="complete",L90="complete"),"complete",IF(H90&gt;0,"blocked","open"))</x:f>
        <x:v>open</x:v>
      </x:c>
    </x:row>
    <x:row r="91" s="127" customFormat="1" ht="24" customHeight="1">
      <x:c r="A91" s="133" t="inlineStr">
        <x:is>
          <x:t xml:space="preserve">Bleed</x:t>
        </x:is>
      </x:c>
      <x:c r="B91" s="133" t="n">
        <x:f>Bleed!B4</x:f>
        <x:v>20</x:v>
      </x:c>
      <x:c r="C91" s="133" t="n">
        <x:f>COUNTIF(Bleed!H9:H200,"not started")</x:f>
        <x:v>4</x:v>
      </x:c>
      <x:c r="D91" s="133" t="n">
        <x:f>COUNTIF(Bleed!H9:H200,"partial")</x:f>
        <x:v>1</x:v>
      </x:c>
      <x:c r="E91" s="133" t="n">
        <x:f>COUNTIF(Bleed!H9:H200,"implemented")</x:f>
        <x:v>0</x:v>
      </x:c>
      <x:c r="F91" s="133" t="n">
        <x:f>COUNTIF(Bleed!H9:H200,"tested")</x:f>
        <x:v>14</x:v>
      </x:c>
      <x:c r="G91" s="133" t="n">
        <x:f>COUNTIF(Bleed!H9:H200,"verified")</x:f>
        <x:v>0</x:v>
      </x:c>
      <x:c r="H91" s="133" t="n">
        <x:f>COUNTIF(Bleed!H9:H200,"blocked")</x:f>
        <x:v>1</x:v>
      </x:c>
      <x:c r="I91" s="133" t="n">
        <x:f>COUNTIF(Bleed!H9:H200,"not applicable")</x:f>
        <x:v>0</x:v>
      </x:c>
      <x:c r="J91" s="134" t="n">
        <x:f>Bleed!H4</x:f>
        <x:v>0.7</x:v>
      </x:c>
      <x:c r="K91" s="133" t="str">
        <x:f>Bleed!K4</x:f>
        <x:v>open</x:v>
      </x:c>
      <x:c r="L91" s="133" t="str">
        <x:f>Bleed!E5</x:f>
        <x:v>open</x:v>
      </x:c>
      <x:c r="M91" s="133" t="str">
        <x:f>IF(AND(J91=1,K91="complete",L91="complete"),"complete",IF(H91&gt;0,"blocked","open"))</x:f>
        <x:v>blocked</x:v>
      </x:c>
    </x:row>
    <x:row r="92" s="127" customFormat="1" ht="24" customHeight="1">
      <x:c r="A92" s="133" t="inlineStr">
        <x:is>
          <x:t xml:space="preserve">Data List</x:t>
        </x:is>
      </x:c>
      <x:c r="B92" s="133" t="n">
        <x:f>'Data List'!B4</x:f>
        <x:v>20</x:v>
      </x:c>
      <x:c r="C92" s="133" t="n">
        <x:f>COUNTIF('Data List'!H9:H200,"not started")</x:f>
        <x:v>3</x:v>
      </x:c>
      <x:c r="D92" s="133" t="n">
        <x:f>COUNTIF('Data List'!H9:H200,"partial")</x:f>
        <x:v>0</x:v>
      </x:c>
      <x:c r="E92" s="133" t="n">
        <x:f>COUNTIF('Data List'!H9:H200,"implemented")</x:f>
        <x:v>2</x:v>
      </x:c>
      <x:c r="F92" s="133" t="n">
        <x:f>COUNTIF('Data List'!H9:H200,"tested")</x:f>
        <x:v>15</x:v>
      </x:c>
      <x:c r="G92" s="133" t="n">
        <x:f>COUNTIF('Data List'!H9:H200,"verified")</x:f>
        <x:v>0</x:v>
      </x:c>
      <x:c r="H92" s="133" t="n">
        <x:f>COUNTIF('Data List'!H9:H200,"blocked")</x:f>
        <x:v>0</x:v>
      </x:c>
      <x:c r="I92" s="133" t="n">
        <x:f>COUNTIF('Data List'!H9:H200,"not applicable")</x:f>
        <x:v>0</x:v>
      </x:c>
      <x:c r="J92" s="134" t="n">
        <x:f>'Data List'!H4</x:f>
        <x:v>0.7</x:v>
      </x:c>
      <x:c r="K92" s="133" t="str">
        <x:f>'Data List'!K4</x:f>
        <x:v>open</x:v>
      </x:c>
      <x:c r="L92" s="133" t="str">
        <x:f>'Data List'!E5</x:f>
        <x:v>complete</x:v>
      </x:c>
      <x:c r="M92" s="133" t="str">
        <x:f>IF(AND(J92=1,K92="complete",L92="complete"),"complete",IF(H92&gt;0,"blocked","open"))</x:f>
        <x:v>open</x:v>
      </x:c>
    </x:row>
    <x:row r="93" s="127" customFormat="1" ht="24" customHeight="1">
      <x:c r="A93" s="133" t="inlineStr">
        <x:is>
          <x:t xml:space="preserve">Link Box</x:t>
        </x:is>
      </x:c>
      <x:c r="B93" s="133" t="n">
        <x:f>'Link Box'!B4</x:f>
        <x:v>20</x:v>
      </x:c>
      <x:c r="C93" s="133" t="n">
        <x:f>COUNTIF('Link Box'!H9:H200,"not started")</x:f>
        <x:v>2</x:v>
      </x:c>
      <x:c r="D93" s="133" t="n">
        <x:f>COUNTIF('Link Box'!H9:H200,"partial")</x:f>
        <x:v>1</x:v>
      </x:c>
      <x:c r="E93" s="133" t="n">
        <x:f>COUNTIF('Link Box'!H9:H200,"implemented")</x:f>
        <x:v>1</x:v>
      </x:c>
      <x:c r="F93" s="133" t="n">
        <x:f>COUNTIF('Link Box'!H9:H200,"tested")</x:f>
        <x:v>15</x:v>
      </x:c>
      <x:c r="G93" s="133" t="n">
        <x:f>COUNTIF('Link Box'!H9:H200,"verified")</x:f>
        <x:v>1</x:v>
      </x:c>
      <x:c r="H93" s="133" t="n">
        <x:f>COUNTIF('Link Box'!H9:H200,"blocked")</x:f>
        <x:v>0</x:v>
      </x:c>
      <x:c r="I93" s="133" t="n">
        <x:f>COUNTIF('Link Box'!H9:H200,"not applicable")</x:f>
        <x:v>0</x:v>
      </x:c>
      <x:c r="J93" s="134" t="n">
        <x:f>'Link Box'!H4</x:f>
        <x:v>0.8</x:v>
      </x:c>
      <x:c r="K93" s="133" t="str">
        <x:f>'Link Box'!K4</x:f>
        <x:v>open</x:v>
      </x:c>
      <x:c r="L93" s="133" t="str">
        <x:f>'Link Box'!E5</x:f>
        <x:v>complete</x:v>
      </x:c>
      <x:c r="M93" s="133" t="str">
        <x:f>IF(AND(J93=1,K93="complete",L93="complete"),"complete",IF(H93&gt;0,"blocked","open"))</x:f>
        <x:v>open</x:v>
      </x:c>
    </x:row>
    <x:row r="94" s="127" customFormat="1" ht="24" customHeight="1">
      <x:c r="A94" s="133" t="inlineStr">
        <x:is>
          <x:t xml:space="preserve">Segment Group</x:t>
        </x:is>
      </x:c>
      <x:c r="B94" s="133" t="n">
        <x:f>'Segment Group'!B4</x:f>
        <x:v>20</x:v>
      </x:c>
      <x:c r="C94" s="133" t="n">
        <x:f>COUNTIF('Segment Group'!H9:H200,"not started")</x:f>
        <x:v>0</x:v>
      </x:c>
      <x:c r="D94" s="133" t="n">
        <x:f>COUNTIF('Segment Group'!H9:H200,"partial")</x:f>
        <x:v>7</x:v>
      </x:c>
      <x:c r="E94" s="133" t="n">
        <x:f>COUNTIF('Segment Group'!H9:H200,"implemented")</x:f>
        <x:v>0</x:v>
      </x:c>
      <x:c r="F94" s="133" t="n">
        <x:f>COUNTIF('Segment Group'!H9:H200,"tested")</x:f>
        <x:v>13</x:v>
      </x:c>
      <x:c r="G94" s="133" t="n">
        <x:f>COUNTIF('Segment Group'!H9:H200,"verified")</x:f>
        <x:v>0</x:v>
      </x:c>
      <x:c r="H94" s="133" t="n">
        <x:f>COUNTIF('Segment Group'!H9:H200,"blocked")</x:f>
        <x:v>0</x:v>
      </x:c>
      <x:c r="I94" s="133" t="n">
        <x:f>COUNTIF('Segment Group'!H9:H200,"not applicable")</x:f>
        <x:v>0</x:v>
      </x:c>
      <x:c r="J94" s="134" t="n">
        <x:f>'Segment Group'!H4</x:f>
        <x:v>0.65</x:v>
      </x:c>
      <x:c r="K94" s="133" t="str">
        <x:f>'Segment Group'!K4</x:f>
        <x:v>open</x:v>
      </x:c>
      <x:c r="L94" s="133" t="str">
        <x:f>'Segment Group'!E5</x:f>
        <x:v>open</x:v>
      </x:c>
      <x:c r="M94" s="133" t="str">
        <x:f>IF(AND(J94=1,K94="complete",L94="complete"),"complete",IF(H94&gt;0,"blocked","open"))</x:f>
        <x:v>open</x:v>
      </x:c>
    </x:row>
    <x:row r="95" s="127" customFormat="1" ht="24" customHeight="1">
      <x:c r="A95" s="133" t="inlineStr">
        <x:is>
          <x:t xml:space="preserve">Status</x:t>
        </x:is>
      </x:c>
      <x:c r="B95" s="133" t="n">
        <x:f>Status!B4</x:f>
        <x:v>20</x:v>
      </x:c>
      <x:c r="C95" s="133" t="n">
        <x:f>COUNTIF(Status!H9:H200,"not started")</x:f>
        <x:v>4</x:v>
      </x:c>
      <x:c r="D95" s="133" t="n">
        <x:f>COUNTIF(Status!H9:H200,"partial")</x:f>
        <x:v>1</x:v>
      </x:c>
      <x:c r="E95" s="133" t="n">
        <x:f>COUNTIF(Status!H9:H200,"implemented")</x:f>
        <x:v>1</x:v>
      </x:c>
      <x:c r="F95" s="133" t="n">
        <x:f>COUNTIF(Status!H9:H200,"tested")</x:f>
        <x:v>13</x:v>
      </x:c>
      <x:c r="G95" s="133" t="n">
        <x:f>COUNTIF(Status!H9:H200,"verified")</x:f>
        <x:v>0</x:v>
      </x:c>
      <x:c r="H95" s="133" t="n">
        <x:f>COUNTIF(Status!H9:H200,"blocked")</x:f>
        <x:v>1</x:v>
      </x:c>
      <x:c r="I95" s="133" t="n">
        <x:f>COUNTIF(Status!H9:H200,"not applicable")</x:f>
        <x:v>0</x:v>
      </x:c>
      <x:c r="J95" s="134" t="n">
        <x:f>Status!H4</x:f>
        <x:v>0.65</x:v>
      </x:c>
      <x:c r="K95" s="133" t="str">
        <x:f>Status!K4</x:f>
        <x:v>open</x:v>
      </x:c>
      <x:c r="L95" s="133" t="str">
        <x:f>Status!E5</x:f>
        <x:v>open</x:v>
      </x:c>
      <x:c r="M95" s="133" t="str">
        <x:f>IF(AND(J95=1,K95="complete",L95="complete"),"complete",IF(H95&gt;0,"blocked","open"))</x:f>
        <x:v>blocked</x:v>
      </x:c>
    </x:row>
    <x:row r="96" s="127" customFormat="1" ht="24" customHeight="1">
      <x:c r="A96" s="133" t="inlineStr">
        <x:is>
          <x:t xml:space="preserve">Color Picker</x:t>
        </x:is>
      </x:c>
      <x:c r="B96" s="133" t="n">
        <x:f>'Color Picker'!B4</x:f>
        <x:v>21</x:v>
      </x:c>
      <x:c r="C96" s="133" t="n">
        <x:f>COUNTIF('Color Picker'!H9:H200,"not started")</x:f>
        <x:v>1</x:v>
      </x:c>
      <x:c r="D96" s="133" t="n">
        <x:f>COUNTIF('Color Picker'!H9:H200,"partial")</x:f>
        <x:v>0</x:v>
      </x:c>
      <x:c r="E96" s="133" t="n">
        <x:f>COUNTIF('Color Picker'!H9:H200,"implemented")</x:f>
        <x:v>0</x:v>
      </x:c>
      <x:c r="F96" s="133" t="n">
        <x:f>COUNTIF('Color Picker'!H9:H200,"tested")</x:f>
        <x:v>20</x:v>
      </x:c>
      <x:c r="G96" s="133" t="n">
        <x:f>COUNTIF('Color Picker'!H9:H200,"verified")</x:f>
        <x:v>0</x:v>
      </x:c>
      <x:c r="H96" s="133" t="n">
        <x:f>COUNTIF('Color Picker'!H9:H200,"blocked")</x:f>
        <x:v>0</x:v>
      </x:c>
      <x:c r="I96" s="133" t="n">
        <x:f>COUNTIF('Color Picker'!H9:H200,"not applicable")</x:f>
        <x:v>0</x:v>
      </x:c>
      <x:c r="J96" s="134" t="n">
        <x:f>'Color Picker'!H4</x:f>
        <x:v>0.9047619047619048</x:v>
      </x:c>
      <x:c r="K96" s="133" t="str">
        <x:f>'Color Picker'!K4</x:f>
        <x:v>open</x:v>
      </x:c>
      <x:c r="L96" s="133" t="str">
        <x:f>'Color Picker'!E5</x:f>
        <x:v>complete</x:v>
      </x:c>
      <x:c r="M96" s="133" t="str">
        <x:f>IF(AND(J96=1,K96="complete",L96="complete"),"complete",IF(H96&gt;0,"blocked","open"))</x:f>
        <x:v>open</x:v>
      </x:c>
    </x:row>
    <x:row r="97" s="127" customFormat="1" ht="24" customHeight="1">
      <x:c r="A97" s="133" t="inlineStr">
        <x:is>
          <x:t xml:space="preserve">Em</x:t>
        </x:is>
      </x:c>
      <x:c r="B97" s="133" t="n">
        <x:f>Em!B4</x:f>
        <x:v>17</x:v>
      </x:c>
      <x:c r="C97" s="133" t="n">
        <x:f>COUNTIF(Em!H9:H200,"not started")</x:f>
        <x:v>0</x:v>
      </x:c>
      <x:c r="D97" s="133" t="n">
        <x:f>COUNTIF(Em!H9:H200,"partial")</x:f>
        <x:v>1</x:v>
      </x:c>
      <x:c r="E97" s="133" t="n">
        <x:f>COUNTIF(Em!H9:H200,"implemented")</x:f>
        <x:v>3</x:v>
      </x:c>
      <x:c r="F97" s="133" t="n">
        <x:f>COUNTIF(Em!H9:H200,"tested")</x:f>
        <x:v>13</x:v>
      </x:c>
      <x:c r="G97" s="133" t="n">
        <x:f>COUNTIF(Em!H9:H200,"verified")</x:f>
        <x:v>0</x:v>
      </x:c>
      <x:c r="H97" s="133" t="n">
        <x:f>COUNTIF(Em!H9:H200,"blocked")</x:f>
        <x:v>0</x:v>
      </x:c>
      <x:c r="I97" s="133" t="n">
        <x:f>COUNTIF(Em!H9:H200,"not applicable")</x:f>
        <x:v>0</x:v>
      </x:c>
      <x:c r="J97" s="134" t="n">
        <x:f>Em!H4</x:f>
        <x:v>0.7058823529411765</x:v>
      </x:c>
      <x:c r="K97" s="133" t="str">
        <x:f>Em!K4</x:f>
        <x:v>open</x:v>
      </x:c>
      <x:c r="L97" s="133" t="str">
        <x:f>Em!E5</x:f>
        <x:v>complete</x:v>
      </x:c>
      <x:c r="M97" s="133" t="str">
        <x:f>IF(AND(J97=1,K97="complete",L97="complete"),"complete",IF(H97&gt;0,"blocked","open"))</x:f>
        <x:v>open</x:v>
      </x:c>
    </x:row>
    <x:row r="98" s="127" customFormat="1" ht="24" customHeight="1">
      <x:c r="A98" s="133" t="inlineStr">
        <x:is>
          <x:t xml:space="preserve">Mark</x:t>
        </x:is>
      </x:c>
      <x:c r="B98" s="133" t="n">
        <x:f>Mark!B4</x:f>
        <x:v>17</x:v>
      </x:c>
      <x:c r="C98" s="133" t="n">
        <x:f>COUNTIF(Mark!H9:H200,"not started")</x:f>
        <x:v>0</x:v>
      </x:c>
      <x:c r="D98" s="133" t="n">
        <x:f>COUNTIF(Mark!H9:H200,"partial")</x:f>
        <x:v>1</x:v>
      </x:c>
      <x:c r="E98" s="133" t="n">
        <x:f>COUNTIF(Mark!H9:H200,"implemented")</x:f>
        <x:v>3</x:v>
      </x:c>
      <x:c r="F98" s="133" t="n">
        <x:f>COUNTIF(Mark!H9:H200,"tested")</x:f>
        <x:v>13</x:v>
      </x:c>
      <x:c r="G98" s="133" t="n">
        <x:f>COUNTIF(Mark!H9:H200,"verified")</x:f>
        <x:v>0</x:v>
      </x:c>
      <x:c r="H98" s="133" t="n">
        <x:f>COUNTIF(Mark!H9:H200,"blocked")</x:f>
        <x:v>0</x:v>
      </x:c>
      <x:c r="I98" s="133" t="n">
        <x:f>COUNTIF(Mark!H9:H200,"not applicable")</x:f>
        <x:v>0</x:v>
      </x:c>
      <x:c r="J98" s="134" t="n">
        <x:f>Mark!H4</x:f>
        <x:v>0.7058823529411765</x:v>
      </x:c>
      <x:c r="K98" s="133" t="str">
        <x:f>Mark!K4</x:f>
        <x:v>open</x:v>
      </x:c>
      <x:c r="L98" s="133" t="str">
        <x:f>Mark!E5</x:f>
        <x:v>complete</x:v>
      </x:c>
      <x:c r="M98" s="133" t="str">
        <x:f>IF(AND(J98=1,K98="complete",L98="complete"),"complete",IF(H98&gt;0,"blocked","open"))</x:f>
        <x:v>open</x:v>
      </x:c>
    </x:row>
    <x:row r="99" s="127" customFormat="1" ht="24" customHeight="1">
      <x:c r="A99" s="133" t="inlineStr">
        <x:is>
          <x:t xml:space="preserve">Kbd</x:t>
        </x:is>
      </x:c>
      <x:c r="B99" s="133" t="n">
        <x:f>Kbd!B4</x:f>
        <x:v>17</x:v>
      </x:c>
      <x:c r="C99" s="133" t="n">
        <x:f>COUNTIF(Kbd!H9:H200,"not started")</x:f>
        <x:v>0</x:v>
      </x:c>
      <x:c r="D99" s="133" t="n">
        <x:f>COUNTIF(Kbd!H9:H200,"partial")</x:f>
        <x:v>1</x:v>
      </x:c>
      <x:c r="E99" s="133" t="n">
        <x:f>COUNTIF(Kbd!H9:H200,"implemented")</x:f>
        <x:v>3</x:v>
      </x:c>
      <x:c r="F99" s="133" t="n">
        <x:f>COUNTIF(Kbd!H9:H200,"tested")</x:f>
        <x:v>13</x:v>
      </x:c>
      <x:c r="G99" s="133" t="n">
        <x:f>COUNTIF(Kbd!H9:H200,"verified")</x:f>
        <x:v>0</x:v>
      </x:c>
      <x:c r="H99" s="133" t="n">
        <x:f>COUNTIF(Kbd!H9:H200,"blocked")</x:f>
        <x:v>0</x:v>
      </x:c>
      <x:c r="I99" s="133" t="n">
        <x:f>COUNTIF(Kbd!H9:H200,"not applicable")</x:f>
        <x:v>0</x:v>
      </x:c>
      <x:c r="J99" s="134" t="n">
        <x:f>Kbd!H4</x:f>
        <x:v>0.7058823529411765</x:v>
      </x:c>
      <x:c r="K99" s="133" t="str">
        <x:f>Kbd!K4</x:f>
        <x:v>open</x:v>
      </x:c>
      <x:c r="L99" s="133" t="str">
        <x:f>Kbd!E5</x:f>
        <x:v>complete</x:v>
      </x:c>
      <x:c r="M99" s="133" t="str">
        <x:f>IF(AND(J99=1,K99="complete",L99="complete"),"complete",IF(H99&gt;0,"blocked","open"))</x:f>
        <x:v>open</x:v>
      </x:c>
    </x:row>
    <x:row r="100" s="127" customFormat="1" ht="24" customHeight="1">
      <x:c r="A100" s="133" t="inlineStr">
        <x:is>
          <x:t xml:space="preserve">Blockquote</x:t>
        </x:is>
      </x:c>
      <x:c r="B100" s="133" t="n">
        <x:f>Blockquote!B4</x:f>
        <x:v>17</x:v>
      </x:c>
      <x:c r="C100" s="133" t="n">
        <x:f>COUNTIF(Blockquote!H9:H200,"not started")</x:f>
        <x:v>0</x:v>
      </x:c>
      <x:c r="D100" s="133" t="n">
        <x:f>COUNTIF(Blockquote!H9:H200,"partial")</x:f>
        <x:v>1</x:v>
      </x:c>
      <x:c r="E100" s="133" t="n">
        <x:f>COUNTIF(Blockquote!H9:H200,"implemented")</x:f>
        <x:v>3</x:v>
      </x:c>
      <x:c r="F100" s="133" t="n">
        <x:f>COUNTIF(Blockquote!H9:H200,"tested")</x:f>
        <x:v>13</x:v>
      </x:c>
      <x:c r="G100" s="133" t="n">
        <x:f>COUNTIF(Blockquote!H9:H200,"verified")</x:f>
        <x:v>0</x:v>
      </x:c>
      <x:c r="H100" s="133" t="n">
        <x:f>COUNTIF(Blockquote!H9:H200,"blocked")</x:f>
        <x:v>0</x:v>
      </x:c>
      <x:c r="I100" s="133" t="n">
        <x:f>COUNTIF(Blockquote!H9:H200,"not applicable")</x:f>
        <x:v>0</x:v>
      </x:c>
      <x:c r="J100" s="134" t="n">
        <x:f>Blockquote!H4</x:f>
        <x:v>0.7058823529411765</x:v>
      </x:c>
      <x:c r="K100" s="133" t="str">
        <x:f>Blockquote!K4</x:f>
        <x:v>open</x:v>
      </x:c>
      <x:c r="L100" s="133" t="str">
        <x:f>Blockquote!E5</x:f>
        <x:v>complete</x:v>
      </x:c>
      <x:c r="M100" s="133" t="str">
        <x:f>IF(AND(J100=1,K100="complete",L100="complete"),"complete",IF(H100&gt;0,"blocked","open"))</x:f>
        <x:v>open</x:v>
      </x:c>
    </x:row>
    <x:row r="101" s="127" customFormat="1" ht="24" customHeight="1">
      <x:c r="A101" s="133" t="inlineStr">
        <x:is>
          <x:t xml:space="preserve">Highlight</x:t>
        </x:is>
      </x:c>
      <x:c r="B101" s="133" t="n">
        <x:f>Highlight!B4</x:f>
        <x:v>17</x:v>
      </x:c>
      <x:c r="C101" s="133" t="n">
        <x:f>COUNTIF(Highlight!H9:H200,"not started")</x:f>
        <x:v>0</x:v>
      </x:c>
      <x:c r="D101" s="133" t="n">
        <x:f>COUNTIF(Highlight!H9:H200,"partial")</x:f>
        <x:v>1</x:v>
      </x:c>
      <x:c r="E101" s="133" t="n">
        <x:f>COUNTIF(Highlight!H9:H200,"implemented")</x:f>
        <x:v>3</x:v>
      </x:c>
      <x:c r="F101" s="133" t="n">
        <x:f>COUNTIF(Highlight!H9:H200,"tested")</x:f>
        <x:v>13</x:v>
      </x:c>
      <x:c r="G101" s="133" t="n">
        <x:f>COUNTIF(Highlight!H9:H200,"verified")</x:f>
        <x:v>0</x:v>
      </x:c>
      <x:c r="H101" s="133" t="n">
        <x:f>COUNTIF(Highlight!H9:H200,"blocked")</x:f>
        <x:v>0</x:v>
      </x:c>
      <x:c r="I101" s="133" t="n">
        <x:f>COUNTIF(Highlight!H9:H200,"not applicable")</x:f>
        <x:v>0</x:v>
      </x:c>
      <x:c r="J101" s="134" t="n">
        <x:f>Highlight!H4</x:f>
        <x:v>0.7058823529411765</x:v>
      </x:c>
      <x:c r="K101" s="133" t="str">
        <x:f>Highlight!K4</x:f>
        <x:v>open</x:v>
      </x:c>
      <x:c r="L101" s="133" t="str">
        <x:f>Highlight!E5</x:f>
        <x:v>complete</x:v>
      </x:c>
      <x:c r="M101" s="133" t="str">
        <x:f>IF(AND(J101=1,K101="complete",L101="complete"),"complete",IF(H101&gt;0,"blocked","open"))</x:f>
        <x:v>open</x:v>
      </x:c>
    </x:row>
    <x:row r="102" s="127" customFormat="1" ht="24" customHeight="1">
      <x:c r="A102" s="133" t="inlineStr">
        <x:is>
          <x:t xml:space="preserve">Prose</x:t>
        </x:is>
      </x:c>
      <x:c r="B102" s="133" t="n">
        <x:f>Prose!B4</x:f>
        <x:v>17</x:v>
      </x:c>
      <x:c r="C102" s="133" t="n">
        <x:f>COUNTIF(Prose!H9:H200,"not started")</x:f>
        <x:v>0</x:v>
      </x:c>
      <x:c r="D102" s="133" t="n">
        <x:f>COUNTIF(Prose!H9:H200,"partial")</x:f>
        <x:v>1</x:v>
      </x:c>
      <x:c r="E102" s="133" t="n">
        <x:f>COUNTIF(Prose!H9:H200,"implemented")</x:f>
        <x:v>3</x:v>
      </x:c>
      <x:c r="F102" s="133" t="n">
        <x:f>COUNTIF(Prose!H9:H200,"tested")</x:f>
        <x:v>12</x:v>
      </x:c>
      <x:c r="G102" s="133" t="n">
        <x:f>COUNTIF(Prose!H9:H200,"verified")</x:f>
        <x:v>1</x:v>
      </x:c>
      <x:c r="H102" s="133" t="n">
        <x:f>COUNTIF(Prose!H9:H200,"blocked")</x:f>
        <x:v>0</x:v>
      </x:c>
      <x:c r="I102" s="133" t="n">
        <x:f>COUNTIF(Prose!H9:H200,"not applicable")</x:f>
        <x:v>0</x:v>
      </x:c>
      <x:c r="J102" s="134" t="n">
        <x:f>Prose!H4</x:f>
        <x:v>0.7647058823529411</x:v>
      </x:c>
      <x:c r="K102" s="133" t="str">
        <x:f>Prose!K4</x:f>
        <x:v>open</x:v>
      </x:c>
      <x:c r="L102" s="133" t="str">
        <x:f>Prose!E5</x:f>
        <x:v>complete</x:v>
      </x:c>
      <x:c r="M102" s="133" t="str">
        <x:f>IF(AND(J102=1,K102="complete",L102="complete"),"complete",IF(H102&gt;0,"blocked","open"))</x:f>
        <x:v>open</x:v>
      </x:c>
    </x:row>
    <x:row r="103" s="135" customFormat="1" ht="15" customHeight="1">
      <x:c r="A103" s="136" t="inlineStr">
        <x:is>
          <x:t xml:space="preserve">Avatar Group</x:t>
        </x:is>
      </x:c>
      <x:c r="B103" s="136" t="n">
        <x:f>'Avatar Group'!B4</x:f>
        <x:v>16</x:v>
      </x:c>
      <x:c r="C103" s="136" t="n">
        <x:f>COUNTIF('Avatar Group'!H9:H200,"not started")</x:f>
        <x:v>0</x:v>
      </x:c>
      <x:c r="D103" s="136" t="n">
        <x:f>COUNTIF('Avatar Group'!H9:H200,"partial")</x:f>
        <x:v>0</x:v>
      </x:c>
      <x:c r="E103" s="136" t="n">
        <x:f>COUNTIF('Avatar Group'!H9:H200,"implemented")</x:f>
        <x:v>1</x:v>
      </x:c>
      <x:c r="F103" s="136" t="n">
        <x:f>COUNTIF('Avatar Group'!H9:H200,"tested")</x:f>
        <x:v>12</x:v>
      </x:c>
      <x:c r="G103" s="136" t="n">
        <x:f>COUNTIF('Avatar Group'!H9:H200,"verified")</x:f>
        <x:v>3</x:v>
      </x:c>
      <x:c r="H103" s="136" t="n">
        <x:f>COUNTIF('Avatar Group'!H9:H200,"blocked")</x:f>
        <x:v>0</x:v>
      </x:c>
      <x:c r="I103" s="136" t="n">
        <x:f>COUNTIF('Avatar Group'!H9:H200,"not applicable")</x:f>
        <x:v>0</x:v>
      </x:c>
      <x:c r="J103" s="137" t="n">
        <x:f>'Avatar Group'!H4</x:f>
        <x:v>0.9375</x:v>
      </x:c>
      <x:c r="K103" s="136" t="str">
        <x:f>'Avatar Group'!K4</x:f>
        <x:v>open</x:v>
      </x:c>
      <x:c r="L103" s="136" t="str">
        <x:f>'Avatar Group'!E5</x:f>
        <x:v>complete</x:v>
      </x:c>
      <x:c r="M103" s="136" t="str">
        <x:f>IF(AND(J103=1,K103="complete",L103="complete"),"complete",IF(H103&gt;0,"blocked","open"))</x:f>
        <x:v>open</x:v>
      </x:c>
    </x:row>
    <x:row r="104" s="135" customFormat="1" ht="15" customHeight="1">
      <x:c r="A104" s="138" t="inlineStr">
        <x:is>
          <x:t xml:space="preserve">Center</x:t>
        </x:is>
      </x:c>
      <x:c r="B104" s="138" t="n">
        <x:f>Center!B4</x:f>
        <x:v>17</x:v>
      </x:c>
      <x:c r="C104" s="138" t="n">
        <x:f>COUNTIF(Center!H9:H200,"not started")</x:f>
        <x:v>0</x:v>
      </x:c>
      <x:c r="D104" s="138" t="n">
        <x:f>COUNTIF(Center!H9:H200,"partial")</x:f>
        <x:v>0</x:v>
      </x:c>
      <x:c r="E104" s="138" t="n">
        <x:f>COUNTIF(Center!H9:H200,"implemented")</x:f>
        <x:v>4</x:v>
      </x:c>
      <x:c r="F104" s="138" t="n">
        <x:f>COUNTIF(Center!H9:H200,"tested")</x:f>
        <x:v>13</x:v>
      </x:c>
      <x:c r="G104" s="138" t="n">
        <x:f>COUNTIF(Center!H9:H200,"verified")</x:f>
        <x:v>0</x:v>
      </x:c>
      <x:c r="H104" s="138" t="n">
        <x:f>COUNTIF(Center!H9:H200,"blocked")</x:f>
        <x:v>0</x:v>
      </x:c>
      <x:c r="I104" s="138" t="n">
        <x:f>COUNTIF(Center!H9:H200,"not applicable")</x:f>
        <x:v>0</x:v>
      </x:c>
      <x:c r="J104" s="139" t="n">
        <x:f>Center!H4</x:f>
        <x:v>0.7647058823529411</x:v>
      </x:c>
      <x:c r="K104" s="138" t="str">
        <x:f>Center!K4</x:f>
        <x:v>open</x:v>
      </x:c>
      <x:c r="L104" s="138" t="str">
        <x:f>Center!E5</x:f>
        <x:v>complete</x:v>
      </x:c>
      <x:c r="M104" s="138" t="str">
        <x:f>IF(AND(J104=1,K104="complete",L104="complete"),"complete",IF(H104&gt;0,"blocked","open"))</x:f>
        <x:v>open</x:v>
      </x:c>
    </x:row>
    <x:row r="105" s="135" customFormat="1" ht="15" customHeight="1">
      <x:c r="A105" s="138" t="inlineStr">
        <x:is>
          <x:t xml:space="preserve">Square</x:t>
        </x:is>
      </x:c>
      <x:c r="B105" s="138" t="n">
        <x:f>Square!B4</x:f>
        <x:v>17</x:v>
      </x:c>
      <x:c r="C105" s="138" t="n">
        <x:f>COUNTIF(Square!H9:H200,"not started")</x:f>
        <x:v>0</x:v>
      </x:c>
      <x:c r="D105" s="138" t="n">
        <x:f>COUNTIF(Square!H9:H200,"partial")</x:f>
        <x:v>0</x:v>
      </x:c>
      <x:c r="E105" s="138" t="n">
        <x:f>COUNTIF(Square!H9:H200,"implemented")</x:f>
        <x:v>4</x:v>
      </x:c>
      <x:c r="F105" s="138" t="n">
        <x:f>COUNTIF(Square!H9:H200,"tested")</x:f>
        <x:v>13</x:v>
      </x:c>
      <x:c r="G105" s="138" t="n">
        <x:f>COUNTIF(Square!H9:H200,"verified")</x:f>
        <x:v>0</x:v>
      </x:c>
      <x:c r="H105" s="138" t="n">
        <x:f>COUNTIF(Square!H9:H200,"blocked")</x:f>
        <x:v>0</x:v>
      </x:c>
      <x:c r="I105" s="138" t="n">
        <x:f>COUNTIF(Square!H9:H200,"not applicable")</x:f>
        <x:v>0</x:v>
      </x:c>
      <x:c r="J105" s="139" t="n">
        <x:f>Square!H4</x:f>
        <x:v>0.7647058823529411</x:v>
      </x:c>
      <x:c r="K105" s="138" t="str">
        <x:f>Square!K4</x:f>
        <x:v>open</x:v>
      </x:c>
      <x:c r="L105" s="138" t="str">
        <x:f>Square!E5</x:f>
        <x:v>complete</x:v>
      </x:c>
      <x:c r="M105" s="138" t="str">
        <x:f>IF(AND(J105=1,K105="complete",L105="complete"),"complete",IF(H105&gt;0,"blocked","open"))</x:f>
        <x:v>open</x:v>
      </x:c>
    </x:row>
    <x:row r="106" s="135" customFormat="1" ht="15" customHeight="1">
      <x:c r="A106" s="138" t="inlineStr">
        <x:is>
          <x:t xml:space="preserve">Circle</x:t>
        </x:is>
      </x:c>
      <x:c r="B106" s="138" t="n">
        <x:f>Circle!B4</x:f>
        <x:v>17</x:v>
      </x:c>
      <x:c r="C106" s="138" t="n">
        <x:f>COUNTIF(Circle!H9:H200,"not started")</x:f>
        <x:v>0</x:v>
      </x:c>
      <x:c r="D106" s="138" t="n">
        <x:f>COUNTIF(Circle!H9:H200,"partial")</x:f>
        <x:v>0</x:v>
      </x:c>
      <x:c r="E106" s="138" t="n">
        <x:f>COUNTIF(Circle!H9:H200,"implemented")</x:f>
        <x:v>4</x:v>
      </x:c>
      <x:c r="F106" s="138" t="n">
        <x:f>COUNTIF(Circle!H9:H200,"tested")</x:f>
        <x:v>13</x:v>
      </x:c>
      <x:c r="G106" s="138" t="n">
        <x:f>COUNTIF(Circle!H9:H200,"verified")</x:f>
        <x:v>0</x:v>
      </x:c>
      <x:c r="H106" s="138" t="n">
        <x:f>COUNTIF(Circle!H9:H200,"blocked")</x:f>
        <x:v>0</x:v>
      </x:c>
      <x:c r="I106" s="138" t="n">
        <x:f>COUNTIF(Circle!H9:H200,"not applicable")</x:f>
        <x:v>0</x:v>
      </x:c>
      <x:c r="J106" s="139" t="n">
        <x:f>Circle!H4</x:f>
        <x:v>0.7647058823529411</x:v>
      </x:c>
      <x:c r="K106" s="138" t="str">
        <x:f>Circle!K4</x:f>
        <x:v>open</x:v>
      </x:c>
      <x:c r="L106" s="138" t="str">
        <x:f>Circle!E5</x:f>
        <x:v>complete</x:v>
      </x:c>
      <x:c r="M106" s="138" t="str">
        <x:f>IF(AND(J106=1,K106="complete",L106="complete"),"complete",IF(H106&gt;0,"blocked","open"))</x:f>
        <x:v>open</x:v>
      </x:c>
    </x:row>
    <x:row r="107" s="135" customFormat="1" ht="15" customHeight="1">
      <x:c r="A107" s="138" t="inlineStr">
        <x:is>
          <x:t xml:space="preserve">Radio Card</x:t>
        </x:is>
      </x:c>
      <x:c r="B107" s="138" t="n">
        <x:f>'Radio Card'!B4</x:f>
        <x:v>20</x:v>
      </x:c>
      <x:c r="C107" s="138" t="n">
        <x:f>COUNTIF('Radio Card'!H9:H200,"not started")</x:f>
        <x:v>0</x:v>
      </x:c>
      <x:c r="D107" s="138" t="n">
        <x:f>COUNTIF('Radio Card'!H9:H200,"partial")</x:f>
        <x:v>0</x:v>
      </x:c>
      <x:c r="E107" s="138" t="n">
        <x:f>COUNTIF('Radio Card'!H9:H200,"implemented")</x:f>
        <x:v>1</x:v>
      </x:c>
      <x:c r="F107" s="138" t="n">
        <x:f>COUNTIF('Radio Card'!H9:H200,"tested")</x:f>
        <x:v>16</x:v>
      </x:c>
      <x:c r="G107" s="138" t="n">
        <x:f>COUNTIF('Radio Card'!H9:H200,"verified")</x:f>
        <x:v>3</x:v>
      </x:c>
      <x:c r="H107" s="138" t="n">
        <x:f>COUNTIF('Radio Card'!H9:H200,"blocked")</x:f>
        <x:v>0</x:v>
      </x:c>
      <x:c r="I107" s="138" t="n">
        <x:f>COUNTIF('Radio Card'!H9:H200,"not applicable")</x:f>
        <x:v>0</x:v>
      </x:c>
      <x:c r="J107" s="139" t="n">
        <x:f>'Radio Card'!H4</x:f>
        <x:v>0.95</x:v>
      </x:c>
      <x:c r="K107" s="138" t="str">
        <x:f>'Radio Card'!K4</x:f>
        <x:v>complete</x:v>
      </x:c>
      <x:c r="L107" s="138" t="str">
        <x:f>'Radio Card'!E5</x:f>
        <x:v>complete</x:v>
      </x:c>
      <x:c r="M107" s="138" t="str">
        <x:f>IF(AND(J107=1,K107="complete",L107="complete"),"complete",IF(H107&gt;0,"blocked","open"))</x:f>
        <x:v>open</x:v>
      </x:c>
    </x:row>
    <x:row r="108" s="135" customFormat="1" ht="15" customHeight="1">
      <x:c r="A108" s="138" t="inlineStr">
        <x:is>
          <x:t xml:space="preserve">Locale Provider</x:t>
        </x:is>
      </x:c>
      <x:c r="B108" s="138" t="n">
        <x:f>'Locale Provider'!B4</x:f>
        <x:v>17</x:v>
      </x:c>
      <x:c r="C108" s="138" t="n">
        <x:f>COUNTIF('Locale Provider'!H9:H200,"not started")</x:f>
        <x:v>0</x:v>
      </x:c>
      <x:c r="D108" s="138" t="n">
        <x:f>COUNTIF('Locale Provider'!H9:H200,"partial")</x:f>
        <x:v>0</x:v>
      </x:c>
      <x:c r="E108" s="138" t="n">
        <x:f>COUNTIF('Locale Provider'!H9:H200,"implemented")</x:f>
        <x:v>5</x:v>
      </x:c>
      <x:c r="F108" s="138" t="n">
        <x:f>COUNTIF('Locale Provider'!H9:H200,"tested")</x:f>
        <x:v>12</x:v>
      </x:c>
      <x:c r="G108" s="138" t="n">
        <x:f>COUNTIF('Locale Provider'!H9:H200,"verified")</x:f>
        <x:v>0</x:v>
      </x:c>
      <x:c r="H108" s="138" t="n">
        <x:f>COUNTIF('Locale Provider'!H9:H200,"blocked")</x:f>
        <x:v>0</x:v>
      </x:c>
      <x:c r="I108" s="138" t="n">
        <x:f>COUNTIF('Locale Provider'!H9:H200,"not applicable")</x:f>
        <x:v>0</x:v>
      </x:c>
      <x:c r="J108" s="138" t="n">
        <x:f>'Locale Provider'!H4</x:f>
        <x:v>0.7058823529411765</x:v>
      </x:c>
      <x:c r="K108" s="138" t="str">
        <x:f>'Locale Provider'!K4</x:f>
        <x:v>open</x:v>
      </x:c>
      <x:c r="L108" s="138" t="str">
        <x:f>'Locale Provider'!E5</x:f>
        <x:v>open</x:v>
      </x:c>
      <x:c r="M108" s="138" t="str">
        <x:f>IF(AND(J108=1,K108="complete",L108="complete"),"complete",IF(H108&gt;0,"blocked","open"))</x:f>
        <x:v>open</x:v>
      </x:c>
    </x:row>
    <x:row r="109" s="135" customFormat="1" ht="15" customHeight="1">
      <x:c r="A109" s="138" t="inlineStr">
        <x:is>
          <x:t xml:space="preserve">Format Number</x:t>
        </x:is>
      </x:c>
      <x:c r="B109" s="138" t="n">
        <x:f>'Format Number'!B4</x:f>
        <x:v>17</x:v>
      </x:c>
      <x:c r="C109" s="138" t="n">
        <x:f>COUNTIF('Format Number'!H9:H200,"not started")</x:f>
        <x:v>0</x:v>
      </x:c>
      <x:c r="D109" s="138" t="n">
        <x:f>COUNTIF('Format Number'!H9:H200,"partial")</x:f>
        <x:v>0</x:v>
      </x:c>
      <x:c r="E109" s="138" t="n">
        <x:f>COUNTIF('Format Number'!H9:H200,"implemented")</x:f>
        <x:v>5</x:v>
      </x:c>
      <x:c r="F109" s="138" t="n">
        <x:f>COUNTIF('Format Number'!H9:H200,"tested")</x:f>
        <x:v>12</x:v>
      </x:c>
      <x:c r="G109" s="138" t="n">
        <x:f>COUNTIF('Format Number'!H9:H200,"verified")</x:f>
        <x:v>0</x:v>
      </x:c>
      <x:c r="H109" s="138" t="n">
        <x:f>COUNTIF('Format Number'!H9:H200,"blocked")</x:f>
        <x:v>0</x:v>
      </x:c>
      <x:c r="I109" s="138" t="n">
        <x:f>COUNTIF('Format Number'!H9:H200,"not applicable")</x:f>
        <x:v>0</x:v>
      </x:c>
      <x:c r="J109" s="138" t="n">
        <x:f>'Format Number'!H4</x:f>
        <x:v>0.7058823529411765</x:v>
      </x:c>
      <x:c r="K109" s="138" t="str">
        <x:f>'Format Number'!K4</x:f>
        <x:v>open</x:v>
      </x:c>
      <x:c r="L109" s="138" t="str">
        <x:f>'Format Number'!E5</x:f>
        <x:v>open</x:v>
      </x:c>
      <x:c r="M109" s="138" t="str">
        <x:f>IF(AND(J109=1,K109="complete",L109="complete"),"complete",IF(H109&gt;0,"blocked","open"))</x:f>
        <x:v>open</x:v>
      </x:c>
    </x:row>
    <x:row r="110" s="135" customFormat="1" ht="15" customHeight="1">
      <x:c r="A110" s="138" t="inlineStr">
        <x:is>
          <x:t xml:space="preserve">Format Byte</x:t>
        </x:is>
      </x:c>
      <x:c r="B110" s="138" t="n">
        <x:f>'Format Byte'!B4</x:f>
        <x:v>17</x:v>
      </x:c>
      <x:c r="C110" s="138" t="n">
        <x:f>COUNTIF('Format Byte'!H9:H200,"not started")</x:f>
        <x:v>0</x:v>
      </x:c>
      <x:c r="D110" s="138" t="n">
        <x:f>COUNTIF('Format Byte'!H9:H200,"partial")</x:f>
        <x:v>0</x:v>
      </x:c>
      <x:c r="E110" s="138" t="n">
        <x:f>COUNTIF('Format Byte'!H9:H200,"implemented")</x:f>
        <x:v>5</x:v>
      </x:c>
      <x:c r="F110" s="138" t="n">
        <x:f>COUNTIF('Format Byte'!H9:H200,"tested")</x:f>
        <x:v>12</x:v>
      </x:c>
      <x:c r="G110" s="138" t="n">
        <x:f>COUNTIF('Format Byte'!H9:H200,"verified")</x:f>
        <x:v>0</x:v>
      </x:c>
      <x:c r="H110" s="138" t="n">
        <x:f>COUNTIF('Format Byte'!H9:H200,"blocked")</x:f>
        <x:v>0</x:v>
      </x:c>
      <x:c r="I110" s="138" t="n">
        <x:f>COUNTIF('Format Byte'!H9:H200,"not applicable")</x:f>
        <x:v>0</x:v>
      </x:c>
      <x:c r="J110" s="138" t="n">
        <x:f>'Format Byte'!H4</x:f>
        <x:v>0.7058823529411765</x:v>
      </x:c>
      <x:c r="K110" s="138" t="str">
        <x:f>'Format Byte'!K4</x:f>
        <x:v>open</x:v>
      </x:c>
      <x:c r="L110" s="138" t="str">
        <x:f>'Format Byte'!E5</x:f>
        <x:v>open</x:v>
      </x:c>
      <x:c r="M110" s="138" t="str">
        <x:f>IF(AND(J110=1,K110="complete",L110="complete"),"complete",IF(H110&gt;0,"blocked","open"))</x:f>
        <x:v>open</x:v>
      </x:c>
    </x:row>
    <x:row r="111" s="135" customFormat="1" ht="15" customHeight="1">
      <x:c r="A111" s="138" t="inlineStr">
        <x:is>
          <x:t xml:space="preserve">For</x:t>
        </x:is>
      </x:c>
      <x:c r="B111" s="138" t="n">
        <x:f>For!B4</x:f>
        <x:v>17</x:v>
      </x:c>
      <x:c r="C111" s="138" t="n">
        <x:f>COUNTIF(For!H9:H200,"not started")</x:f>
        <x:v>0</x:v>
      </x:c>
      <x:c r="D111" s="138" t="n">
        <x:f>COUNTIF(For!H9:H200,"partial")</x:f>
        <x:v>0</x:v>
      </x:c>
      <x:c r="E111" s="138" t="n">
        <x:f>COUNTIF(For!H9:H200,"implemented")</x:f>
        <x:v>5</x:v>
      </x:c>
      <x:c r="F111" s="138" t="n">
        <x:f>COUNTIF(For!H9:H200,"tested")</x:f>
        <x:v>12</x:v>
      </x:c>
      <x:c r="G111" s="138" t="n">
        <x:f>COUNTIF(For!H9:H200,"verified")</x:f>
        <x:v>0</x:v>
      </x:c>
      <x:c r="H111" s="138" t="n">
        <x:f>COUNTIF(For!H9:H200,"blocked")</x:f>
        <x:v>0</x:v>
      </x:c>
      <x:c r="I111" s="138" t="n">
        <x:f>COUNTIF(For!H9:H200,"not applicable")</x:f>
        <x:v>0</x:v>
      </x:c>
      <x:c r="J111" s="138" t="n">
        <x:f>For!H4</x:f>
        <x:v>0.7058823529411765</x:v>
      </x:c>
      <x:c r="K111" s="138" t="str">
        <x:f>For!K4</x:f>
        <x:v>open</x:v>
      </x:c>
      <x:c r="L111" s="138" t="str">
        <x:f>For!E5</x:f>
        <x:v>open</x:v>
      </x:c>
      <x:c r="M111" s="138" t="str">
        <x:f>IF(AND(J111=1,K111="complete",L111="complete"),"complete",IF(H111&gt;0,"blocked","open"))</x:f>
        <x:v>open</x:v>
      </x:c>
    </x:row>
    <x:row r="112" s="135" customFormat="1" ht="15" customHeight="1">
      <x:c r="A112" s="138" t="inlineStr">
        <x:is>
          <x:t xml:space="preserve">Checkmark</x:t>
        </x:is>
      </x:c>
      <x:c r="B112" s="138" t="n">
        <x:f>Checkmark!B4</x:f>
        <x:v>17</x:v>
      </x:c>
      <x:c r="C112" s="138" t="n">
        <x:f>COUNTIF(Checkmark!H9:H200,"not started")</x:f>
        <x:v>0</x:v>
      </x:c>
      <x:c r="D112" s="138" t="n">
        <x:f>COUNTIF(Checkmark!H9:H200,"partial")</x:f>
        <x:v>0</x:v>
      </x:c>
      <x:c r="E112" s="138" t="n">
        <x:f>COUNTIF(Checkmark!H9:H200,"implemented")</x:f>
        <x:v>5</x:v>
      </x:c>
      <x:c r="F112" s="138" t="n">
        <x:f>COUNTIF(Checkmark!H9:H200,"tested")</x:f>
        <x:v>12</x:v>
      </x:c>
      <x:c r="G112" s="138" t="n">
        <x:f>COUNTIF(Checkmark!H9:H200,"verified")</x:f>
        <x:v>0</x:v>
      </x:c>
      <x:c r="H112" s="138" t="n">
        <x:f>COUNTIF(Checkmark!H9:H200,"blocked")</x:f>
        <x:v>0</x:v>
      </x:c>
      <x:c r="I112" s="138" t="n">
        <x:f>COUNTIF(Checkmark!H9:H200,"not applicable")</x:f>
        <x:v>0</x:v>
      </x:c>
      <x:c r="J112" s="138" t="n">
        <x:f>Checkmark!H4</x:f>
        <x:v>0.7058823529411765</x:v>
      </x:c>
      <x:c r="K112" s="138" t="str">
        <x:f>Checkmark!K4</x:f>
        <x:v>open</x:v>
      </x:c>
      <x:c r="L112" s="138" t="str">
        <x:f>Checkmark!E5</x:f>
        <x:v>open</x:v>
      </x:c>
      <x:c r="M112" s="138" t="str">
        <x:f>IF(AND(J112=1,K112="complete",L112="complete"),"complete",IF(H112&gt;0,"blocked","open"))</x:f>
        <x:v>open</x:v>
      </x:c>
    </x:row>
    <x:row r="113" s="135" customFormat="1" ht="15" customHeight="1">
      <x:c r="A113" s="138" t="inlineStr">
        <x:is>
          <x:t xml:space="preserve">Radiomark</x:t>
        </x:is>
      </x:c>
      <x:c r="B113" s="138" t="n">
        <x:f>Radiomark!B4</x:f>
        <x:v>17</x:v>
      </x:c>
      <x:c r="C113" s="138" t="n">
        <x:f>COUNTIF(Radiomark!H9:H200,"not started")</x:f>
        <x:v>0</x:v>
      </x:c>
      <x:c r="D113" s="138" t="n">
        <x:f>COUNTIF(Radiomark!H9:H200,"partial")</x:f>
        <x:v>0</x:v>
      </x:c>
      <x:c r="E113" s="138" t="n">
        <x:f>COUNTIF(Radiomark!H9:H200,"implemented")</x:f>
        <x:v>5</x:v>
      </x:c>
      <x:c r="F113" s="138" t="n">
        <x:f>COUNTIF(Radiomark!H9:H200,"tested")</x:f>
        <x:v>12</x:v>
      </x:c>
      <x:c r="G113" s="138" t="n">
        <x:f>COUNTIF(Radiomark!H9:H200,"verified")</x:f>
        <x:v>0</x:v>
      </x:c>
      <x:c r="H113" s="138" t="n">
        <x:f>COUNTIF(Radiomark!H9:H200,"blocked")</x:f>
        <x:v>0</x:v>
      </x:c>
      <x:c r="I113" s="138" t="n">
        <x:f>COUNTIF(Radiomark!H9:H200,"not applicable")</x:f>
        <x:v>0</x:v>
      </x:c>
      <x:c r="J113" s="138" t="n">
        <x:f>Radiomark!H4</x:f>
        <x:v>0.7058823529411765</x:v>
      </x:c>
      <x:c r="K113" s="138" t="str">
        <x:f>Radiomark!K4</x:f>
        <x:v>open</x:v>
      </x:c>
      <x:c r="L113" s="138" t="str">
        <x:f>Radiomark!E5</x:f>
        <x:v>open</x:v>
      </x:c>
      <x:c r="M113" s="138" t="str">
        <x:f>IF(AND(J113=1,K113="complete",L113="complete"),"complete",IF(H113&gt;0,"blocked","open"))</x:f>
        <x:v>open</x:v>
      </x:c>
    </x:row>
    <x:row r="114" s="135" customFormat="1" ht="15" customHeight="1">
      <x:c r="A114" s="138" t="inlineStr">
        <x:is>
          <x:t xml:space="preserve">Steps</x:t>
        </x:is>
      </x:c>
      <x:c r="B114" s="138" t="n">
        <x:f>Steps!B4</x:f>
        <x:v>17</x:v>
      </x:c>
      <x:c r="C114" s="138" t="n">
        <x:f>COUNTIF(Steps!H9:H200,"not started")</x:f>
        <x:v>2</x:v>
      </x:c>
      <x:c r="D114" s="138" t="n">
        <x:f>COUNTIF(Steps!H9:H200,"partial")</x:f>
        <x:v>0</x:v>
      </x:c>
      <x:c r="E114" s="138" t="n">
        <x:f>COUNTIF(Steps!H9:H200,"implemented")</x:f>
        <x:v>2</x:v>
      </x:c>
      <x:c r="F114" s="138" t="n">
        <x:f>COUNTIF(Steps!H9:H200,"tested")</x:f>
        <x:v>12</x:v>
      </x:c>
      <x:c r="G114" s="138" t="n">
        <x:f>COUNTIF(Steps!H9:H200,"verified")</x:f>
        <x:v>0</x:v>
      </x:c>
      <x:c r="H114" s="138" t="n">
        <x:f>COUNTIF(Steps!H9:H200,"blocked")</x:f>
        <x:v>1</x:v>
      </x:c>
      <x:c r="I114" s="138" t="n">
        <x:f>COUNTIF(Steps!H9:H200,"not applicable")</x:f>
        <x:v>0</x:v>
      </x:c>
      <x:c r="J114" s="138" t="n">
        <x:f>Steps!H4</x:f>
        <x:v>0.7058823529411765</x:v>
      </x:c>
      <x:c r="K114" s="138" t="str">
        <x:f>Steps!K4</x:f>
        <x:v>open</x:v>
      </x:c>
      <x:c r="L114" s="138" t="str">
        <x:f>Steps!E5</x:f>
        <x:v>complete</x:v>
      </x:c>
      <x:c r="M114" s="138" t="str">
        <x:f>IF(AND(J114=1,K114="complete",L114="complete"),"complete",IF(H114&gt;0,"blocked","open"))</x:f>
        <x:v>blocked</x:v>
      </x:c>
    </x:row>
    <x:row r="115" s="135" customFormat="1" ht="15" customHeight="1">
      <x:c r="A115" s="138" t="inlineStr">
        <x:is>
          <x:t xml:space="preserve">Splitter</x:t>
        </x:is>
      </x:c>
      <x:c r="B115" s="138" t="n">
        <x:f>Splitter!B4</x:f>
        <x:v>17</x:v>
      </x:c>
      <x:c r="C115" s="138" t="n">
        <x:f>COUNTIF(Splitter!H9:H200,"not started")</x:f>
        <x:v>0</x:v>
      </x:c>
      <x:c r="D115" s="138" t="n">
        <x:f>COUNTIF(Splitter!H9:H200,"partial")</x:f>
        <x:v>0</x:v>
      </x:c>
      <x:c r="E115" s="138" t="n">
        <x:f>COUNTIF(Splitter!H9:H200,"implemented")</x:f>
        <x:v>0</x:v>
      </x:c>
      <x:c r="F115" s="138" t="n">
        <x:f>COUNTIF(Splitter!H9:H200,"tested")</x:f>
        <x:v>14</x:v>
      </x:c>
      <x:c r="G115" s="138" t="n">
        <x:f>COUNTIF(Splitter!H9:H200,"verified")</x:f>
        <x:v>1</x:v>
      </x:c>
      <x:c r="H115" s="138" t="n">
        <x:f>COUNTIF(Splitter!H9:H200,"blocked")</x:f>
        <x:v>2</x:v>
      </x:c>
      <x:c r="I115" s="138" t="n">
        <x:f>COUNTIF(Splitter!H9:H200,"not applicable")</x:f>
        <x:v>0</x:v>
      </x:c>
      <x:c r="J115" s="138" t="n">
        <x:f>Splitter!H4</x:f>
        <x:v>0.8823529411764706</x:v>
      </x:c>
      <x:c r="K115" s="138" t="str">
        <x:f>Splitter!K4</x:f>
        <x:v>open</x:v>
      </x:c>
      <x:c r="L115" s="138" t="str">
        <x:f>Splitter!E5</x:f>
        <x:v>complete</x:v>
      </x:c>
      <x:c r="M115" s="138" t="str">
        <x:f>IF(AND(J115=1,K115="complete",L115="complete"),"complete",IF(H115&gt;0,"blocked","open"))</x:f>
        <x:v>blocked</x:v>
      </x:c>
    </x:row>
    <x:row r="116" s="135" customFormat="1" ht="15" customHeight="1">
      <x:c r="A116" s="138" t="inlineStr">
        <x:is>
          <x:t xml:space="preserve">CloseButton</x:t>
        </x:is>
      </x:c>
      <x:c r="B116" s="138" t="n">
        <x:f>CloseButton!B4</x:f>
        <x:v>13</x:v>
      </x:c>
      <x:c r="C116" s="138" t="n">
        <x:f>COUNTIF(CloseButton!H9:H200,"not started")</x:f>
        <x:v>0</x:v>
      </x:c>
      <x:c r="D116" s="138" t="n">
        <x:f>COUNTIF(CloseButton!H9:H200,"partial")</x:f>
        <x:v>2</x:v>
      </x:c>
      <x:c r="E116" s="138" t="n">
        <x:f>COUNTIF(CloseButton!H9:H200,"implemented")</x:f>
        <x:v>0</x:v>
      </x:c>
      <x:c r="F116" s="138" t="n">
        <x:f>COUNTIF(CloseButton!H9:H200,"tested")</x:f>
        <x:v>10</x:v>
      </x:c>
      <x:c r="G116" s="138" t="n">
        <x:f>COUNTIF(CloseButton!H9:H200,"verified")</x:f>
        <x:v>0</x:v>
      </x:c>
      <x:c r="H116" s="138" t="n">
        <x:f>COUNTIF(CloseButton!H9:H200,"blocked")</x:f>
        <x:v>1</x:v>
      </x:c>
      <x:c r="I116" s="138" t="n">
        <x:f>COUNTIF(CloseButton!H9:H200,"not applicable")</x:f>
        <x:v>0</x:v>
      </x:c>
      <x:c r="J116" s="139" t="n">
        <x:f>CloseButton!H4</x:f>
        <x:v>0.7692307692307693</x:v>
      </x:c>
      <x:c r="K116" s="138" t="str">
        <x:f>CloseButton!K4</x:f>
        <x:v>open</x:v>
      </x:c>
      <x:c r="L116" s="138" t="str">
        <x:f>CloseButton!E5</x:f>
        <x:v>complete</x:v>
      </x:c>
      <x:c r="M116" s="138" t="str">
        <x:f>IF(AND(J116=1,K116="complete",L116="complete"),"complete",IF(H116&gt;0,"blocked","open"))</x:f>
        <x:v>blocked</x:v>
      </x:c>
    </x:row>
    <x:row r="117" s="135" customFormat="1" ht="15" customHeight="1">
      <x:c r="A117" s="138" t="inlineStr">
        <x:is>
          <x:t xml:space="preserve">DownloadTrigger</x:t>
        </x:is>
      </x:c>
      <x:c r="B117" s="138" t="n">
        <x:f>DownloadTrigger!B4</x:f>
        <x:v>13</x:v>
      </x:c>
      <x:c r="C117" s="138" t="n">
        <x:f>COUNTIF(DownloadTrigger!H9:H200,"not started")</x:f>
        <x:v>0</x:v>
      </x:c>
      <x:c r="D117" s="138" t="n">
        <x:f>COUNTIF(DownloadTrigger!H9:H200,"partial")</x:f>
        <x:v>0</x:v>
      </x:c>
      <x:c r="E117" s="138" t="n">
        <x:f>COUNTIF(DownloadTrigger!H9:H200,"implemented")</x:f>
        <x:v>0</x:v>
      </x:c>
      <x:c r="F117" s="138" t="n">
        <x:f>COUNTIF(DownloadTrigger!H9:H200,"tested")</x:f>
        <x:v>11</x:v>
      </x:c>
      <x:c r="G117" s="138" t="n">
        <x:f>COUNTIF(DownloadTrigger!H9:H200,"verified")</x:f>
        <x:v>1</x:v>
      </x:c>
      <x:c r="H117" s="138" t="n">
        <x:f>COUNTIF(DownloadTrigger!H9:H200,"blocked")</x:f>
        <x:v>1</x:v>
      </x:c>
      <x:c r="I117" s="138" t="n">
        <x:f>COUNTIF(DownloadTrigger!H9:H200,"not applicable")</x:f>
        <x:v>0</x:v>
      </x:c>
      <x:c r="J117" s="139" t="n">
        <x:f>DownloadTrigger!H4</x:f>
        <x:v>0.9230769230769231</x:v>
      </x:c>
      <x:c r="K117" s="138" t="str">
        <x:f>DownloadTrigger!K4</x:f>
        <x:v>open</x:v>
      </x:c>
      <x:c r="L117" s="138" t="str">
        <x:f>DownloadTrigger!E5</x:f>
        <x:v>complete</x:v>
      </x:c>
      <x:c r="M117" s="138" t="str">
        <x:f>IF(AND(J117=1,K117="complete",L117="complete"),"complete",IF(H117&gt;0,"blocked","open"))</x:f>
        <x:v>blocked</x:v>
      </x:c>
    </x:row>
    <x:row r="118" s="135" customFormat="1" ht="15" customHeight="1">
      <x:c r="A118" s="138" t="inlineStr">
        <x:is>
          <x:t xml:space="preserve">Calendar</x:t>
        </x:is>
      </x:c>
      <x:c r="B118" s="138" t="n">
        <x:f>Calendar!B4</x:f>
        <x:v>9</x:v>
      </x:c>
      <x:c r="C118" s="138" t="n">
        <x:f>COUNTIF(Calendar!H9:H200,"not started")</x:f>
        <x:v>0</x:v>
      </x:c>
      <x:c r="D118" s="138" t="n">
        <x:f>COUNTIF(Calendar!H9:H200,"partial")</x:f>
        <x:v>5</x:v>
      </x:c>
      <x:c r="E118" s="138" t="n">
        <x:f>COUNTIF(Calendar!H9:H200,"implemented")</x:f>
        <x:v>0</x:v>
      </x:c>
      <x:c r="F118" s="138" t="n">
        <x:f>COUNTIF(Calendar!H9:H200,"tested")</x:f>
        <x:v>3</x:v>
      </x:c>
      <x:c r="G118" s="138" t="n">
        <x:f>COUNTIF(Calendar!H9:H200,"verified")</x:f>
        <x:v>0</x:v>
      </x:c>
      <x:c r="H118" s="138" t="n">
        <x:f>COUNTIF(Calendar!H9:H200,"blocked")</x:f>
        <x:v>1</x:v>
      </x:c>
      <x:c r="I118" s="138" t="n">
        <x:f>COUNTIF(Calendar!H9:H200,"not applicable")</x:f>
        <x:v>0</x:v>
      </x:c>
      <x:c r="J118" s="138" t="n">
        <x:f>Calendar!H4</x:f>
        <x:v>0.3333333333333333</x:v>
      </x:c>
      <x:c r="K118" s="138" t="str">
        <x:f>Calendar!K4</x:f>
        <x:v>open</x:v>
      </x:c>
      <x:c r="L118" s="138" t="str">
        <x:f>Calendar!E5</x:f>
        <x:v>open</x:v>
      </x:c>
      <x:c r="M118" s="138" t="str">
        <x:f>IF(AND(J118=1,K118="complete",L118="complete"),"complete",IF(H118&gt;0,"blocked","open"))</x:f>
        <x:v>blocked</x:v>
      </x:c>
    </x:row>
    <x:row r="119" s="135" customFormat="1" ht="15" customHeight="1">
      <x:c r="A119" s="138" t="inlineStr">
        <x:is>
          <x:t xml:space="preserve">Date Input</x:t>
        </x:is>
      </x:c>
      <x:c r="B119" s="138" t="n">
        <x:f>'Date Input'!B4</x:f>
        <x:v>9</x:v>
      </x:c>
      <x:c r="C119" s="138" t="n">
        <x:f>COUNTIF('Date Input'!H9:H200,"not started")</x:f>
        <x:v>0</x:v>
      </x:c>
      <x:c r="D119" s="138" t="n">
        <x:f>COUNTIF('Date Input'!H9:H200,"partial")</x:f>
        <x:v>5</x:v>
      </x:c>
      <x:c r="E119" s="138" t="n">
        <x:f>COUNTIF('Date Input'!H9:H200,"implemented")</x:f>
        <x:v>0</x:v>
      </x:c>
      <x:c r="F119" s="138" t="n">
        <x:f>COUNTIF('Date Input'!H9:H200,"tested")</x:f>
        <x:v>3</x:v>
      </x:c>
      <x:c r="G119" s="138" t="n">
        <x:f>COUNTIF('Date Input'!H9:H200,"verified")</x:f>
        <x:v>0</x:v>
      </x:c>
      <x:c r="H119" s="138" t="n">
        <x:f>COUNTIF('Date Input'!H9:H200,"blocked")</x:f>
        <x:v>1</x:v>
      </x:c>
      <x:c r="I119" s="138" t="n">
        <x:f>COUNTIF('Date Input'!H9:H200,"not applicable")</x:f>
        <x:v>0</x:v>
      </x:c>
      <x:c r="J119" s="138" t="n">
        <x:f>'Date Input'!H4</x:f>
        <x:v>0.3333333333333333</x:v>
      </x:c>
      <x:c r="K119" s="138" t="str">
        <x:f>'Date Input'!K4</x:f>
        <x:v>open</x:v>
      </x:c>
      <x:c r="L119" s="138" t="str">
        <x:f>'Date Input'!E5</x:f>
        <x:v>open</x:v>
      </x:c>
      <x:c r="M119" s="138" t="str">
        <x:f>IF(AND(J119=1,K119="complete",L119="complete"),"complete",IF(H119&gt;0,"blocked","open"))</x:f>
        <x:v>blocked</x:v>
      </x:c>
    </x:row>
    <x:row r="120" s="135" customFormat="1" ht="15" customHeight="1">
      <x:c r="A120" s="138" t="inlineStr">
        <x:is>
          <x:t xml:space="preserve">Date Picker</x:t>
        </x:is>
      </x:c>
      <x:c r="B120" s="138" t="n">
        <x:f>'Date Picker'!B4</x:f>
        <x:v>9</x:v>
      </x:c>
      <x:c r="C120" s="138" t="n">
        <x:f>COUNTIF('Date Picker'!H9:H200,"not started")</x:f>
        <x:v>0</x:v>
      </x:c>
      <x:c r="D120" s="138" t="n">
        <x:f>COUNTIF('Date Picker'!H9:H200,"partial")</x:f>
        <x:v>5</x:v>
      </x:c>
      <x:c r="E120" s="138" t="n">
        <x:f>COUNTIF('Date Picker'!H9:H200,"implemented")</x:f>
        <x:v>0</x:v>
      </x:c>
      <x:c r="F120" s="138" t="n">
        <x:f>COUNTIF('Date Picker'!H9:H200,"tested")</x:f>
        <x:v>3</x:v>
      </x:c>
      <x:c r="G120" s="138" t="n">
        <x:f>COUNTIF('Date Picker'!H9:H200,"verified")</x:f>
        <x:v>0</x:v>
      </x:c>
      <x:c r="H120" s="138" t="n">
        <x:f>COUNTIF('Date Picker'!H9:H200,"blocked")</x:f>
        <x:v>1</x:v>
      </x:c>
      <x:c r="I120" s="138" t="n">
        <x:f>COUNTIF('Date Picker'!H9:H200,"not applicable")</x:f>
        <x:v>0</x:v>
      </x:c>
      <x:c r="J120" s="138" t="n">
        <x:f>'Date Picker'!H4</x:f>
        <x:v>0.3333333333333333</x:v>
      </x:c>
      <x:c r="K120" s="138" t="str">
        <x:f>'Date Picker'!K4</x:f>
        <x:v>open</x:v>
      </x:c>
      <x:c r="L120" s="138" t="str">
        <x:f>'Date Picker'!E5</x:f>
        <x:v>open</x:v>
      </x:c>
      <x:c r="M120" s="138" t="str">
        <x:f>IF(AND(J120=1,K120="complete",L120="complete"),"complete",IF(H120&gt;0,"blocked","open"))</x:f>
        <x:v>blocked</x:v>
      </x:c>
    </x:row>
    <x:row r="121" s="135" customFormat="1" ht="15" customHeight="1">
      <x:c r="A121" s="138" t="inlineStr">
        <x:is>
          <x:t xml:space="preserve">Floating Panel</x:t>
        </x:is>
      </x:c>
      <x:c r="B121" s="138" t="n">
        <x:f>'Floating Panel'!B4</x:f>
        <x:v>16</x:v>
      </x:c>
      <x:c r="C121" s="138" t="n">
        <x:f>COUNTIF('Floating Panel'!H9:H200,"not started")</x:f>
        <x:v>0</x:v>
      </x:c>
      <x:c r="D121" s="138" t="n">
        <x:f>COUNTIF('Floating Panel'!H9:H200,"partial")</x:f>
        <x:v>2</x:v>
      </x:c>
      <x:c r="E121" s="138" t="n">
        <x:f>COUNTIF('Floating Panel'!H9:H200,"implemented")</x:f>
        <x:v>0</x:v>
      </x:c>
      <x:c r="F121" s="138" t="n">
        <x:f>COUNTIF('Floating Panel'!H9:H200,"tested")</x:f>
        <x:v>14</x:v>
      </x:c>
      <x:c r="G121" s="138" t="n">
        <x:f>COUNTIF('Floating Panel'!H9:H200,"verified")</x:f>
        <x:v>0</x:v>
      </x:c>
      <x:c r="H121" s="138" t="n">
        <x:f>COUNTIF('Floating Panel'!H9:H200,"blocked")</x:f>
        <x:v>0</x:v>
      </x:c>
      <x:c r="I121" s="138" t="n">
        <x:f>COUNTIF('Floating Panel'!H9:H200,"not applicable")</x:f>
        <x:v>0</x:v>
      </x:c>
      <x:c r="J121" s="140" t="n">
        <x:f>'Floating Panel'!H4</x:f>
        <x:v>0.8125</x:v>
      </x:c>
      <x:c r="K121" s="138" t="str">
        <x:f>'Floating Panel'!K4</x:f>
        <x:v>open</x:v>
      </x:c>
      <x:c r="L121" s="138" t="str">
        <x:f>'Floating Panel'!E5</x:f>
        <x:v>passed</x:v>
      </x:c>
      <x:c r="M121" s="138" t="str">
        <x:f>IF(AND(J121=1,K121="complete",L121="complete"),"complete",IF(H121&gt;0,"blocked","open"))</x:f>
        <x:v>open</x:v>
      </x:c>
    </x:row>
    <x:row r="122" s="135" customFormat="1" ht="15" customHeight="1">
      <x:c r="A122" s="138" t="inlineStr">
        <x:is>
          <x:t xml:space="preserve">Overlay Manager</x:t>
        </x:is>
      </x:c>
      <x:c r="B122" s="138" t="n">
        <x:f>'Overlay Manager'!B4</x:f>
        <x:v>15</x:v>
      </x:c>
      <x:c r="C122" s="138" t="n">
        <x:f>COUNTIF('Overlay Manager'!H9:H200,"not started")</x:f>
        <x:v>0</x:v>
      </x:c>
      <x:c r="D122" s="138" t="n">
        <x:f>COUNTIF('Overlay Manager'!H9:H200,"partial")</x:f>
        <x:v>2</x:v>
      </x:c>
      <x:c r="E122" s="138" t="n">
        <x:f>COUNTIF('Overlay Manager'!H9:H200,"implemented")</x:f>
        <x:v>2</x:v>
      </x:c>
      <x:c r="F122" s="138" t="n">
        <x:f>COUNTIF('Overlay Manager'!H9:H200,"tested")</x:f>
        <x:v>11</x:v>
      </x:c>
      <x:c r="G122" s="138" t="n">
        <x:f>COUNTIF('Overlay Manager'!H9:H200,"verified")</x:f>
        <x:v>0</x:v>
      </x:c>
      <x:c r="H122" s="138" t="n">
        <x:f>COUNTIF('Overlay Manager'!H9:H200,"blocked")</x:f>
        <x:v>0</x:v>
      </x:c>
      <x:c r="I122" s="138" t="n">
        <x:f>COUNTIF('Overlay Manager'!H9:H200,"not applicable")</x:f>
        <x:v>0</x:v>
      </x:c>
      <x:c r="J122" s="140" t="n">
        <x:f>'Overlay Manager'!H4</x:f>
        <x:v>0.6666666666666666</x:v>
      </x:c>
      <x:c r="K122" s="138" t="str">
        <x:f>'Overlay Manager'!K4</x:f>
        <x:v>open</x:v>
      </x:c>
      <x:c r="L122" s="138" t="str">
        <x:f>'Overlay Manager'!E5</x:f>
        <x:v>passed</x:v>
      </x:c>
      <x:c r="M122" s="138" t="str">
        <x:f>IF(AND(J122=1,K122="complete",L122="complete"),"complete",IF(H122&gt;0,"blocked","open"))</x:f>
        <x:v>open</x:v>
      </x:c>
    </x:row>
    <x:row r="123" s="135" customFormat="1" ht="15" customHeight="1">
      <x:c r="A123" s="138" t="inlineStr">
        <x:is>
          <x:t xml:space="preserve">Spinner</x:t>
        </x:is>
      </x:c>
      <x:c r="B123" s="138" t="n">
        <x:f>Spinner!B4</x:f>
        <x:v>17</x:v>
      </x:c>
      <x:c r="C123" s="138" t="n">
        <x:f>COUNTIF(Spinner!H9:H25,"not started")</x:f>
        <x:v>0</x:v>
      </x:c>
      <x:c r="D123" s="138" t="n">
        <x:f>COUNTIF(Spinner!H9:H25,"partial")</x:f>
        <x:v>0</x:v>
      </x:c>
      <x:c r="E123" s="138" t="n">
        <x:f>COUNTIF(Spinner!H9:H25,"implemented")</x:f>
        <x:v>4</x:v>
      </x:c>
      <x:c r="F123" s="138" t="n">
        <x:f>COUNTIF(Spinner!H9:H25,"tested")</x:f>
        <x:v>13</x:v>
      </x:c>
      <x:c r="G123" s="138" t="n">
        <x:f>COUNTIF(Spinner!H9:H25,"verified")</x:f>
        <x:v>0</x:v>
      </x:c>
      <x:c r="H123" s="138" t="n">
        <x:f>COUNTIF(Spinner!H9:H25,"blocked")</x:f>
        <x:v>0</x:v>
      </x:c>
      <x:c r="I123" s="138" t="n">
        <x:f>COUNTIF(Spinner!H9:H25,"not applicable")</x:f>
        <x:v>0</x:v>
      </x:c>
      <x:c r="J123" s="140" t="n">
        <x:f>Spinner!H4</x:f>
        <x:v>0.7647058823529411</x:v>
      </x:c>
      <x:c r="K123" s="138" t="str">
        <x:f>Spinner!K4</x:f>
        <x:v>open</x:v>
      </x:c>
      <x:c r="L123" s="138" t="str">
        <x:f>Spinner!E5</x:f>
        <x:v>complete</x:v>
      </x:c>
      <x:c r="M123" s="138" t="str">
        <x:f>IF(AND(J123=1,K123="complete",L123="complete"),"complete",IF(H123&gt;0,"blocked","open"))</x:f>
        <x:v>open</x:v>
      </x:c>
    </x:row>
    <x:row r="124" s="135" customFormat="1" ht="15" customHeight="1">
      <x:c r="A124" s="138" t="inlineStr">
        <x:is>
          <x:t xml:space="preserve">Alert</x:t>
        </x:is>
      </x:c>
      <x:c r="B124" s="138" t="n">
        <x:f>Alert!B4</x:f>
        <x:v>17</x:v>
      </x:c>
      <x:c r="C124" s="138" t="n">
        <x:f>COUNTIF(Alert!H9:H25,"not started")</x:f>
        <x:v>0</x:v>
      </x:c>
      <x:c r="D124" s="138" t="n">
        <x:f>COUNTIF(Alert!H9:H25,"partial")</x:f>
        <x:v>0</x:v>
      </x:c>
      <x:c r="E124" s="138" t="n">
        <x:f>COUNTIF(Alert!H9:H25,"implemented")</x:f>
        <x:v>4</x:v>
      </x:c>
      <x:c r="F124" s="138" t="n">
        <x:f>COUNTIF(Alert!H9:H25,"tested")</x:f>
        <x:v>13</x:v>
      </x:c>
      <x:c r="G124" s="138" t="n">
        <x:f>COUNTIF(Alert!H9:H25,"verified")</x:f>
        <x:v>0</x:v>
      </x:c>
      <x:c r="H124" s="138" t="n">
        <x:f>COUNTIF(Alert!H9:H25,"blocked")</x:f>
        <x:v>0</x:v>
      </x:c>
      <x:c r="I124" s="138" t="n">
        <x:f>COUNTIF(Alert!H9:H25,"not applicable")</x:f>
        <x:v>0</x:v>
      </x:c>
      <x:c r="J124" s="140" t="n">
        <x:f>Alert!H4</x:f>
        <x:v>0.7647058823529411</x:v>
      </x:c>
      <x:c r="K124" s="138" t="str">
        <x:f>Alert!K4</x:f>
        <x:v>open</x:v>
      </x:c>
      <x:c r="L124" s="138" t="str">
        <x:f>Alert!E5</x:f>
        <x:v>complete</x:v>
      </x:c>
      <x:c r="M124" s="138" t="str">
        <x:f>IF(AND(J124=1,K124="complete",L124="complete"),"complete",IF(H124&gt;0,"blocked","open"))</x:f>
        <x:v>open</x:v>
      </x:c>
    </x:row>
    <x:row r="125" s="135" customFormat="1" ht="15" customHeight="1">
      <x:c r="A125" s="138" t="inlineStr">
        <x:is>
          <x:t xml:space="preserve">Empty State</x:t>
        </x:is>
      </x:c>
      <x:c r="B125" s="138" t="n">
        <x:f>'Empty State'!B4</x:f>
        <x:v>17</x:v>
      </x:c>
      <x:c r="C125" s="138" t="n">
        <x:f>COUNTIF('Empty State'!H9:H25,"not started")</x:f>
        <x:v>0</x:v>
      </x:c>
      <x:c r="D125" s="138" t="n">
        <x:f>COUNTIF('Empty State'!H9:H25,"partial")</x:f>
        <x:v>0</x:v>
      </x:c>
      <x:c r="E125" s="138" t="n">
        <x:f>COUNTIF('Empty State'!H9:H25,"implemented")</x:f>
        <x:v>4</x:v>
      </x:c>
      <x:c r="F125" s="138" t="n">
        <x:f>COUNTIF('Empty State'!H9:H25,"tested")</x:f>
        <x:v>13</x:v>
      </x:c>
      <x:c r="G125" s="138" t="n">
        <x:f>COUNTIF('Empty State'!H9:H25,"verified")</x:f>
        <x:v>0</x:v>
      </x:c>
      <x:c r="H125" s="138" t="n">
        <x:f>COUNTIF('Empty State'!H9:H25,"blocked")</x:f>
        <x:v>0</x:v>
      </x:c>
      <x:c r="I125" s="138" t="n">
        <x:f>COUNTIF('Empty State'!H9:H25,"not applicable")</x:f>
        <x:v>0</x:v>
      </x:c>
      <x:c r="J125" s="140" t="n">
        <x:f>'Empty State'!H4</x:f>
        <x:v>0.7647058823529411</x:v>
      </x:c>
      <x:c r="K125" s="138" t="str">
        <x:f>'Empty State'!K4</x:f>
        <x:v>open</x:v>
      </x:c>
      <x:c r="L125" s="138" t="str">
        <x:f>'Empty State'!E5</x:f>
        <x:v>complete</x:v>
      </x:c>
      <x:c r="M125" s="138" t="str">
        <x:f>IF(AND(J125=1,K125="complete",L125="complete"),"complete",IF(H125&gt;0,"blocked","open"))</x:f>
        <x:v>open</x:v>
      </x:c>
    </x:row>
    <x:row r="126" s="135" customFormat="1" ht="15" customHeight="1">
      <x:c r="A126" s="138" t="inlineStr">
        <x:is>
          <x:t xml:space="preserve">Stat</x:t>
        </x:is>
      </x:c>
      <x:c r="B126" s="138" t="n">
        <x:f>Stat!B4</x:f>
        <x:v>17</x:v>
      </x:c>
      <x:c r="C126" s="138" t="n">
        <x:f>COUNTIF(Stat!H9:H25,"not started")</x:f>
        <x:v>1</x:v>
      </x:c>
      <x:c r="D126" s="138" t="n">
        <x:f>COUNTIF(Stat!H9:H25,"partial")</x:f>
        <x:v>1</x:v>
      </x:c>
      <x:c r="E126" s="138" t="n">
        <x:f>COUNTIF(Stat!H9:H25,"implemented")</x:f>
        <x:v>2</x:v>
      </x:c>
      <x:c r="F126" s="138" t="n">
        <x:f>COUNTIF(Stat!H9:H25,"tested")</x:f>
        <x:v>13</x:v>
      </x:c>
      <x:c r="G126" s="138" t="n">
        <x:f>COUNTIF(Stat!H9:H25,"verified")</x:f>
        <x:v>0</x:v>
      </x:c>
      <x:c r="H126" s="138" t="n">
        <x:f>COUNTIF(Stat!H9:H25,"blocked")</x:f>
        <x:v>0</x:v>
      </x:c>
      <x:c r="I126" s="138" t="n">
        <x:f>COUNTIF(Stat!H9:H25,"not applicable")</x:f>
        <x:v>0</x:v>
      </x:c>
      <x:c r="J126" s="139" t="n">
        <x:f>Stat!H4</x:f>
        <x:v>0.7647058823529411</x:v>
      </x:c>
      <x:c r="K126" s="138" t="str">
        <x:f>Stat!K4</x:f>
        <x:v>open</x:v>
      </x:c>
      <x:c r="L126" s="138" t="str">
        <x:f>Stat!E5</x:f>
        <x:v>open</x:v>
      </x:c>
      <x:c r="M126" s="138" t="str">
        <x:f>IF(AND(J126=1,K126="complete",L126="complete"),"complete",IF(H126&gt;0,"blocked","open"))</x:f>
        <x:v>open</x:v>
      </x:c>
    </x:row>
    <x:row r="127" s="135" customFormat="1" ht="15" customHeight="1">
      <x:c r="A127" s="138" t="inlineStr">
        <x:is>
          <x:t xml:space="preserve">Timeline</x:t>
        </x:is>
      </x:c>
      <x:c r="B127" s="138" t="n">
        <x:f>Timeline!B4</x:f>
        <x:v>18</x:v>
      </x:c>
      <x:c r="C127" s="138" t="n">
        <x:f>COUNTIF(Timeline!H9:H26,"not started")</x:f>
        <x:v>1</x:v>
      </x:c>
      <x:c r="D127" s="138" t="n">
        <x:f>COUNTIF(Timeline!H9:H26,"partial")</x:f>
        <x:v>1</x:v>
      </x:c>
      <x:c r="E127" s="138" t="n">
        <x:f>COUNTIF(Timeline!H9:H26,"implemented")</x:f>
        <x:v>2</x:v>
      </x:c>
      <x:c r="F127" s="138" t="n">
        <x:f>COUNTIF(Timeline!H9:H26,"tested")</x:f>
        <x:v>14</x:v>
      </x:c>
      <x:c r="G127" s="138" t="n">
        <x:f>COUNTIF(Timeline!H9:H26,"verified")</x:f>
        <x:v>0</x:v>
      </x:c>
      <x:c r="H127" s="138" t="n">
        <x:f>COUNTIF(Timeline!H9:H26,"blocked")</x:f>
        <x:v>0</x:v>
      </x:c>
      <x:c r="I127" s="138" t="n">
        <x:f>COUNTIF(Timeline!H9:H26,"not applicable")</x:f>
        <x:v>0</x:v>
      </x:c>
      <x:c r="J127" s="139" t="n">
        <x:f>Timeline!H4</x:f>
        <x:v>0.7777777777777778</x:v>
      </x:c>
      <x:c r="K127" s="138" t="str">
        <x:f>Timeline!K4</x:f>
        <x:v>open</x:v>
      </x:c>
      <x:c r="L127" s="138" t="str">
        <x:f>Timeline!E5</x:f>
        <x:v>open</x:v>
      </x:c>
      <x:c r="M127" s="138" t="str">
        <x:f>IF(AND(J127=1,K127="complete",L127="complete"),"complete",IF(H127&gt;0,"blocked","open"))</x:f>
        <x:v>open</x:v>
      </x:c>
    </x:row>
    <x:row r="128" s="135" customFormat="1" ht="15" customHeight="1">
      <x:c r="A128" s="138" t="inlineStr">
        <x:is>
          <x:t xml:space="preserve">Marquee</x:t>
        </x:is>
      </x:c>
      <x:c r="B128" s="138" t="n">
        <x:f>Marquee!B4</x:f>
        <x:v>15</x:v>
      </x:c>
      <x:c r="C128" s="138" t="n">
        <x:f>COUNTIF(Marquee!H9:H23,"not started")</x:f>
        <x:v>1</x:v>
      </x:c>
      <x:c r="D128" s="138" t="n">
        <x:f>COUNTIF(Marquee!H9:H23,"partial")</x:f>
        <x:v>2</x:v>
      </x:c>
      <x:c r="E128" s="138" t="n">
        <x:f>COUNTIF(Marquee!H9:H23,"implemented")</x:f>
        <x:v>0</x:v>
      </x:c>
      <x:c r="F128" s="138" t="n">
        <x:f>COUNTIF(Marquee!H9:H23,"tested")</x:f>
        <x:v>12</x:v>
      </x:c>
      <x:c r="G128" s="138" t="n">
        <x:f>COUNTIF(Marquee!H9:H23,"verified")</x:f>
        <x:v>0</x:v>
      </x:c>
      <x:c r="H128" s="138" t="n">
        <x:f>COUNTIF(Marquee!H9:H23,"blocked")</x:f>
        <x:v>0</x:v>
      </x:c>
      <x:c r="I128" s="138" t="n">
        <x:f>COUNTIF(Marquee!H9:H23,"not applicable")</x:f>
        <x:v>0</x:v>
      </x:c>
      <x:c r="J128" s="139" t="n">
        <x:f>Marquee!H4</x:f>
        <x:v>0.8</x:v>
      </x:c>
      <x:c r="K128" s="138" t="str">
        <x:f>Marquee!K4</x:f>
        <x:v>open</x:v>
      </x:c>
      <x:c r="L128" s="138" t="str">
        <x:f>Marquee!E5</x:f>
        <x:v>open</x:v>
      </x:c>
      <x:c r="M128" s="138" t="str">
        <x:f>IF(AND(J128=1,K128="complete",L128="complete"),"complete",IF(H128&gt;0,"blocked","open"))</x:f>
        <x:v>open</x:v>
      </x:c>
    </x:row>
    <x:row r="129" s="135" customFormat="1" ht="15" customHeight="1">
      <x:c r="A129" s="138" t="inlineStr">
        <x:is>
          <x:t xml:space="preserve">Native Select</x:t>
        </x:is>
      </x:c>
      <x:c r="B129" s="138" t="n">
        <x:f>'Native Select'!B4</x:f>
        <x:v>17</x:v>
      </x:c>
      <x:c r="C129" s="138" t="n">
        <x:f>COUNTIF('Native Select'!H9:H25,"not started")</x:f>
        <x:v>1</x:v>
      </x:c>
      <x:c r="D129" s="138" t="n">
        <x:f>COUNTIF('Native Select'!H9:H25,"partial")</x:f>
        <x:v>1</x:v>
      </x:c>
      <x:c r="E129" s="138" t="n">
        <x:f>COUNTIF('Native Select'!H9:H25,"implemented")</x:f>
        <x:v>0</x:v>
      </x:c>
      <x:c r="F129" s="138" t="n">
        <x:f>COUNTIF('Native Select'!H9:H25,"tested")</x:f>
        <x:v>15</x:v>
      </x:c>
      <x:c r="G129" s="138" t="n">
        <x:f>COUNTIF('Native Select'!H9:H25,"verified")</x:f>
        <x:v>0</x:v>
      </x:c>
      <x:c r="H129" s="138" t="n">
        <x:f>COUNTIF('Native Select'!H9:H25,"blocked")</x:f>
        <x:v>0</x:v>
      </x:c>
      <x:c r="I129" s="138" t="n">
        <x:f>COUNTIF('Native Select'!H9:H25,"not applicable")</x:f>
        <x:v>0</x:v>
      </x:c>
      <x:c r="J129" s="139" t="n">
        <x:f>'Native Select'!H4</x:f>
        <x:v>0.8823529411764706</x:v>
      </x:c>
      <x:c r="K129" s="138" t="str">
        <x:f>'Native Select'!K4</x:f>
        <x:v>open</x:v>
      </x:c>
      <x:c r="L129" s="138" t="str">
        <x:f>'Native Select'!E5</x:f>
        <x:v>complete</x:v>
      </x:c>
      <x:c r="M129" t="str">
        <x:f>IF(AND(J129=1,K129="complete",L129="complete"),"complete",IF(H129&gt;0,"blocked","open"))</x:f>
        <x:v>open</x:v>
      </x:c>
    </x:row>
    <x:row r="130" s="135" customFormat="1" ht="15" customHeight="1">
      <x:c r="A130" s="138" t="inlineStr">
        <x:is>
          <x:t xml:space="preserve">Editable</x:t>
        </x:is>
      </x:c>
      <x:c r="B130" s="138" t="n">
        <x:f>Editable!B4</x:f>
        <x:v>17</x:v>
      </x:c>
      <x:c r="C130" s="138" t="n">
        <x:f>COUNTIF(Editable!H9:H25,"not started")</x:f>
        <x:v>1</x:v>
      </x:c>
      <x:c r="D130" s="138" t="n">
        <x:f>COUNTIF(Editable!H9:H25,"partial")</x:f>
        <x:v>0</x:v>
      </x:c>
      <x:c r="E130" s="138" t="n">
        <x:f>COUNTIF(Editable!H9:H25,"implemented")</x:f>
        <x:v>1</x:v>
      </x:c>
      <x:c r="F130" s="138" t="n">
        <x:f>COUNTIF(Editable!H9:H25,"tested")</x:f>
        <x:v>15</x:v>
      </x:c>
      <x:c r="G130" s="138" t="n">
        <x:f>COUNTIF(Editable!H9:H25,"verified")</x:f>
        <x:v>0</x:v>
      </x:c>
      <x:c r="H130" s="138" t="n">
        <x:f>COUNTIF(Editable!H9:H25,"blocked")</x:f>
        <x:v>0</x:v>
      </x:c>
      <x:c r="I130" s="138" t="n">
        <x:f>COUNTIF(Editable!H9:H25,"not applicable")</x:f>
        <x:v>0</x:v>
      </x:c>
      <x:c r="J130" s="139" t="n">
        <x:f>Editable!H4</x:f>
        <x:v>0.8823529411764706</x:v>
      </x:c>
      <x:c r="K130" s="138" t="str">
        <x:f>Editable!K4</x:f>
        <x:v>open</x:v>
      </x:c>
      <x:c r="L130" s="138" t="str">
        <x:f>Editable!E5</x:f>
        <x:v>complete</x:v>
      </x:c>
      <x:c r="M130" t="str">
        <x:f>IF(AND(J130=1,K130="complete",L130="complete"),"complete",IF(H130&gt;0,"blocked","open"))</x:f>
        <x:v>open</x:v>
      </x:c>
    </x:row>
    <x:row r="131" s="135" customFormat="1" ht="15" customHeight="1">
      <x:c r="A131" s="138" t="inlineStr">
        <x:is>
          <x:t xml:space="preserve">Tags Input</x:t>
        </x:is>
      </x:c>
      <x:c r="B131" s="138" t="n">
        <x:f>'Tags Input'!B4</x:f>
        <x:v>17</x:v>
      </x:c>
      <x:c r="C131" s="138" t="n">
        <x:f>COUNTIF('Tags Input'!H9:H25,"not started")</x:f>
        <x:v>1</x:v>
      </x:c>
      <x:c r="D131" s="138" t="n">
        <x:f>COUNTIF('Tags Input'!H9:H25,"partial")</x:f>
        <x:v>1</x:v>
      </x:c>
      <x:c r="E131" s="138" t="n">
        <x:f>COUNTIF('Tags Input'!H9:H25,"implemented")</x:f>
        <x:v>0</x:v>
      </x:c>
      <x:c r="F131" s="138" t="n">
        <x:f>COUNTIF('Tags Input'!H9:H25,"tested")</x:f>
        <x:v>15</x:v>
      </x:c>
      <x:c r="G131" s="138" t="n">
        <x:f>COUNTIF('Tags Input'!H9:H25,"verified")</x:f>
        <x:v>0</x:v>
      </x:c>
      <x:c r="H131" s="138" t="n">
        <x:f>COUNTIF('Tags Input'!H9:H25,"blocked")</x:f>
        <x:v>0</x:v>
      </x:c>
      <x:c r="I131" s="138" t="n">
        <x:f>COUNTIF('Tags Input'!H9:H25,"not applicable")</x:f>
        <x:v>0</x:v>
      </x:c>
      <x:c r="J131" s="139" t="n">
        <x:f>'Tags Input'!H4</x:f>
        <x:v>0.8823529411764706</x:v>
      </x:c>
      <x:c r="K131" s="138" t="str">
        <x:f>'Tags Input'!K4</x:f>
        <x:v>open</x:v>
      </x:c>
      <x:c r="L131" s="138" t="str">
        <x:f>'Tags Input'!E5</x:f>
        <x:v>complete</x:v>
      </x:c>
      <x:c r="M131" t="str">
        <x:f>IF(AND(J131=1,K131="complete",L131="complete"),"complete",IF(H131&gt;0,"blocked","open"))</x:f>
        <x:v>open</x:v>
      </x:c>
    </x:row>
    <x:row r="132" s="135" customFormat="1" ht="15" customHeight="1">
      <x:c r="A132" s="138" t="inlineStr">
        <x:is>
          <x:t xml:space="preserve">QR Code</x:t>
        </x:is>
      </x:c>
      <x:c r="B132" s="138" t="n">
        <x:f>'QR Code'!B4</x:f>
        <x:v>17</x:v>
      </x:c>
      <x:c r="C132" s="138" t="n">
        <x:f>COUNTIF('QR Code'!H9:H25,"not started")</x:f>
        <x:v>1</x:v>
      </x:c>
      <x:c r="D132" s="138" t="n">
        <x:f>COUNTIF('QR Code'!H9:H25,"partial")</x:f>
        <x:v>0</x:v>
      </x:c>
      <x:c r="E132" s="138" t="n">
        <x:f>COUNTIF('QR Code'!H9:H25,"implemented")</x:f>
        <x:v>0</x:v>
      </x:c>
      <x:c r="F132" s="138" t="n">
        <x:f>COUNTIF('QR Code'!H9:H25,"tested")</x:f>
        <x:v>15</x:v>
      </x:c>
      <x:c r="G132" s="138" t="n">
        <x:f>COUNTIF('QR Code'!H9:H25,"verified")</x:f>
        <x:v>1</x:v>
      </x:c>
      <x:c r="H132" s="138" t="n">
        <x:f>COUNTIF('QR Code'!H9:H25,"blocked")</x:f>
        <x:v>0</x:v>
      </x:c>
      <x:c r="I132" s="138" t="n">
        <x:f>COUNTIF('QR Code'!H9:H25,"not applicable")</x:f>
        <x:v>0</x:v>
      </x:c>
      <x:c r="J132" s="139" t="n">
        <x:f>'QR Code'!H4</x:f>
        <x:v>0.9411764705882353</x:v>
      </x:c>
      <x:c r="K132" s="138" t="str">
        <x:f>'QR Code'!K4</x:f>
        <x:v>open</x:v>
      </x:c>
      <x:c r="L132" s="138" t="str">
        <x:f>'QR Code'!E5</x:f>
        <x:v>complete</x:v>
      </x:c>
      <x:c r="M132" s="138" t="str">
        <x:f>IF(AND(J132=1,K132="complete",L132="complete"),"complete","open")</x:f>
        <x:v>open</x:v>
      </x:c>
    </x:row>
    <x:row r="133" s="135" customFormat="1" ht="15" customHeight="1">
      <x:c r="A133" s="138" t="inlineStr">
        <x:is>
          <x:t xml:space="preserve">Table of Contents</x:t>
        </x:is>
      </x:c>
      <x:c r="B133" s="138" t="n">
        <x:f>'Table of Contents'!B4</x:f>
        <x:v>16</x:v>
      </x:c>
      <x:c r="C133" s="138" t="n">
        <x:f>COUNTIF('Table of Contents'!H9:H24,"not started")</x:f>
        <x:v>0</x:v>
      </x:c>
      <x:c r="D133" s="138" t="n">
        <x:f>COUNTIF('Table of Contents'!H9:H24,"partial")</x:f>
        <x:v>0</x:v>
      </x:c>
      <x:c r="E133" s="138" t="n">
        <x:f>COUNTIF('Table of Contents'!H9:H24,"implemented")</x:f>
        <x:v>0</x:v>
      </x:c>
      <x:c r="F133" s="138" t="n">
        <x:f>COUNTIF('Table of Contents'!H9:H24,"tested")</x:f>
        <x:v>14</x:v>
      </x:c>
      <x:c r="G133" s="138" t="n">
        <x:f>COUNTIF('Table of Contents'!H9:H24,"verified")</x:f>
        <x:v>0</x:v>
      </x:c>
      <x:c r="H133" s="138" t="n">
        <x:f>COUNTIF('Table of Contents'!H9:H24,"blocked")</x:f>
        <x:v>1</x:v>
      </x:c>
      <x:c r="I133" s="138" t="n">
        <x:f>COUNTIF('Table of Contents'!H9:H24,"not applicable")</x:f>
        <x:v>1</x:v>
      </x:c>
      <x:c r="J133" s="139" t="n">
        <x:f>'Table of Contents'!H4</x:f>
        <x:v>0.9375</x:v>
      </x:c>
      <x:c r="K133" s="138" t="str">
        <x:f>'Table of Contents'!K4</x:f>
        <x:v>open</x:v>
      </x:c>
      <x:c r="L133" s="138" t="str">
        <x:f>'Table of Contents'!E5</x:f>
        <x:v>complete</x:v>
      </x:c>
      <x:c r="M133" s="138" t="str">
        <x:f>IF(AND(J133=1,K133="complete",L133="complete"),"complete","open")</x:f>
        <x:v>open</x:v>
      </x:c>
    </x:row>
    <x:row r="134" s="135" customFormat="1" ht="15" customHeight="1">
      <x:c r="A134" s="138" t="inlineStr">
        <x:is>
          <x:t xml:space="preserve">Action Bar</x:t>
        </x:is>
      </x:c>
      <x:c r="B134" s="138" t="n">
        <x:f>COUNTA('Action Bar'!A3:A17)</x:f>
        <x:v>15</x:v>
      </x:c>
      <x:c r="C134" s="138" t="n">
        <x:f>COUNTIF('Action Bar'!C3:C17,"not started")</x:f>
        <x:v>0</x:v>
      </x:c>
      <x:c r="D134" s="138" t="n">
        <x:f>COUNTIF('Action Bar'!C3:C17,"partial")</x:f>
        <x:v>4</x:v>
      </x:c>
      <x:c r="E134" s="138" t="n">
        <x:f>COUNTIF('Action Bar'!C3:C17,"implemented")</x:f>
        <x:v>4</x:v>
      </x:c>
      <x:c r="F134" s="138" t="n">
        <x:f>COUNTIF('Action Bar'!C3:C17,"tested")</x:f>
        <x:v>7</x:v>
      </x:c>
      <x:c r="G134" s="138" t="n">
        <x:f>COUNTIF('Action Bar'!C3:C17,"verified")</x:f>
        <x:v>0</x:v>
      </x:c>
      <x:c r="H134" s="138" t="n">
        <x:f>COUNTIF('Action Bar'!C3:C17,"blocked")</x:f>
        <x:v>0</x:v>
      </x:c>
      <x:c r="I134" s="138" t="n">
        <x:f>COUNTIF('Action Bar'!C3:C17,"not applicable")</x:f>
        <x:v>0</x:v>
      </x:c>
      <x:c r="J134" s="138" t="n">
        <x:f>IF(B134=0,0,(F134+G134+I134)/B134)</x:f>
        <x:v>0.4666666666666667</x:v>
      </x:c>
      <x:c r="K134" s="138" t="str">
        <x:f>IF(OR('Action Bar'!C16="tested",'Action Bar'!C16="verified"),"complete","open")</x:f>
        <x:v>open</x:v>
      </x:c>
      <x:c r="L134" s="138" t="str">
        <x:f>IF(OR('Action Bar'!C14="tested",'Action Bar'!C14="verified"),"complete","open")</x:f>
        <x:v>open</x:v>
      </x:c>
      <x:c r="M134" s="138" t="str">
        <x:f>IF(AND(J134=1,K134="complete",L134="complete",'Action Bar'!C13="verified"),"complete","open")</x:f>
        <x:v>open</x:v>
      </x:c>
    </x:row>
    <x:row r="135" s="135" customFormat="1" ht="15" customHeight="1">
      <x:c r="A135" s="138" t="inlineStr">
        <x:is>
          <x:t xml:space="preserve">Float</x:t>
        </x:is>
      </x:c>
      <x:c r="B135" s="138" t="n">
        <x:f>Float!B4</x:f>
        <x:v>16</x:v>
      </x:c>
      <x:c r="C135" s="138" t="n">
        <x:f>COUNTIF(Float!H9:H24,"not started")</x:f>
        <x:v>1</x:v>
      </x:c>
      <x:c r="D135" s="138" t="n">
        <x:f>COUNTIF(Float!H9:H24,"partial")</x:f>
        <x:v>2</x:v>
      </x:c>
      <x:c r="E135" s="138" t="n">
        <x:f>COUNTIF(Float!H9:H24,"implemented")</x:f>
        <x:v>2</x:v>
      </x:c>
      <x:c r="F135" s="138" t="n">
        <x:f>COUNTIF(Float!H9:H24,"tested")</x:f>
        <x:v>11</x:v>
      </x:c>
      <x:c r="G135" s="138" t="n">
        <x:f>COUNTIF(Float!H9:H24,"verified")</x:f>
        <x:v>0</x:v>
      </x:c>
      <x:c r="H135" s="138" t="n">
        <x:f>COUNTIF(Float!H9:H24,"blocked")</x:f>
        <x:v>0</x:v>
      </x:c>
      <x:c r="I135" s="138" t="n">
        <x:f>COUNTIF(Float!H9:H24,"not applicable")</x:f>
        <x:v>0</x:v>
      </x:c>
      <x:c r="J135" s="138" t="n">
        <x:f>Float!H4</x:f>
        <x:v>0.6875</x:v>
      </x:c>
      <x:c r="K135" s="138" t="str">
        <x:f>Float!K4</x:f>
        <x:v>open</x:v>
      </x:c>
      <x:c r="L135" s="138" t="str">
        <x:f>Float!E5</x:f>
        <x:v>open</x:v>
      </x:c>
      <x:c r="M135" s="138" t="str">
        <x:f>IF(AND(J135=1,K135="complete",L135="complete"),"complete","open")</x:f>
        <x:v>open</x:v>
      </x:c>
    </x:row>
    <x:row r="136" s="135" customFormat="1" ht="15" customHeight="1">
      <x:c r="A136" s="138" t="inlineStr">
        <x:is>
          <x:t xml:space="preserve">ButtonGroup</x:t>
        </x:is>
      </x:c>
      <x:c r="B136" s="138" t="n">
        <x:f>ButtonGroup!B4</x:f>
        <x:v>16</x:v>
      </x:c>
      <x:c r="C136" s="138" t="n">
        <x:f>COUNTIF(ButtonGroup!H9:H24,"not started")</x:f>
        <x:v>0</x:v>
      </x:c>
      <x:c r="D136" s="138" t="n">
        <x:f>COUNTIF(ButtonGroup!H9:H24,"partial")</x:f>
        <x:v>3</x:v>
      </x:c>
      <x:c r="E136" s="138" t="n">
        <x:f>COUNTIF(ButtonGroup!H9:H24,"implemented")</x:f>
        <x:v>4</x:v>
      </x:c>
      <x:c r="F136" s="138" t="n">
        <x:f>COUNTIF(ButtonGroup!H9:H24,"tested")</x:f>
        <x:v>9</x:v>
      </x:c>
      <x:c r="G136" s="138" t="n">
        <x:f>COUNTIF(ButtonGroup!H9:H24,"verified")</x:f>
        <x:v>0</x:v>
      </x:c>
      <x:c r="H136" s="138" t="n">
        <x:f>COUNTIF(ButtonGroup!H9:H24,"blocked")</x:f>
        <x:v>0</x:v>
      </x:c>
      <x:c r="I136" s="138" t="n">
        <x:f>COUNTIF(ButtonGroup!H9:H24,"not applicable")</x:f>
        <x:v>0</x:v>
      </x:c>
      <x:c r="J136" s="138" t="n">
        <x:f>ButtonGroup!H4</x:f>
        <x:v>0.5</x:v>
      </x:c>
      <x:c r="K136" s="138" t="str">
        <x:f>ButtonGroup!K4</x:f>
        <x:v>open</x:v>
      </x:c>
      <x:c r="L136" s="138" t="str">
        <x:f>ButtonGroup!E5</x:f>
        <x:v>open</x:v>
      </x:c>
      <x:c r="M136" s="138" t="str">
        <x:f>IF(AND(J136=1,K136="complete",L136="complete"),"complete","open")</x:f>
        <x:v>open</x:v>
      </x:c>
    </x:row>
    <x:row r="137" s="135" customFormat="1" ht="15" customHeight="1">
      <x:c r="A137" s="138" t="inlineStr">
        <x:is>
          <x:t xml:space="preserve">Toggle Tip</x:t>
        </x:is>
      </x:c>
      <x:c r="B137" s="138" t="n">
        <x:f>'Toggle Tip'!B4</x:f>
        <x:v>16</x:v>
      </x:c>
      <x:c r="C137" s="138" t="n">
        <x:f>COUNTIF('Toggle Tip'!H9:H24,"not started")</x:f>
        <x:v>3</x:v>
      </x:c>
      <x:c r="D137" s="138" t="n">
        <x:f>COUNTIF('Toggle Tip'!H9:H24,"partial")</x:f>
        <x:v>0</x:v>
      </x:c>
      <x:c r="E137" s="138" t="n">
        <x:f>COUNTIF('Toggle Tip'!H9:H24,"implemented")</x:f>
        <x:v>0</x:v>
      </x:c>
      <x:c r="F137" s="138" t="n">
        <x:f>COUNTIF('Toggle Tip'!H9:H24,"tested")</x:f>
        <x:v>13</x:v>
      </x:c>
      <x:c r="G137" s="138" t="n">
        <x:f>COUNTIF('Toggle Tip'!H9:H24,"verified")</x:f>
        <x:v>0</x:v>
      </x:c>
      <x:c r="H137" s="138" t="n">
        <x:f>COUNTIF('Toggle Tip'!H9:H24,"blocked")</x:f>
        <x:v>0</x:v>
      </x:c>
      <x:c r="I137" s="138" t="n">
        <x:f>COUNTIF('Toggle Tip'!H9:H24,"not applicable")</x:f>
        <x:v>0</x:v>
      </x:c>
      <x:c r="J137" s="139" t="n">
        <x:f>'Toggle Tip'!H4</x:f>
        <x:v>0.75</x:v>
      </x:c>
      <x:c r="K137" s="138" t="str">
        <x:f>'Toggle Tip'!K4</x:f>
        <x:v>pending</x:v>
      </x:c>
      <x:c r="L137" s="138" t="str">
        <x:f>'Toggle Tip'!E5</x:f>
        <x:v>tested</x:v>
      </x:c>
      <x:c r="M137" t="str">
        <x:f>IF(AND(J137=1,K137="complete",L137="complete"),"complete",IF(H137&gt;0,"blocked","open"))</x:f>
        <x:v>open</x:v>
      </x:c>
    </x:row>
    <x:row r="138" s="135" customFormat="1" ht="15" customHeight="1">
      <x:c r="A138" s="138" t="inlineStr">
        <x:is>
          <x:t xml:space="preserve">Checkbox Card</x:t>
        </x:is>
      </x:c>
      <x:c r="B138" s="138" t="n">
        <x:f>'Checkbox Card'!B4</x:f>
        <x:v>10</x:v>
      </x:c>
      <x:c r="C138" s="138" t="n">
        <x:f>COUNTIF('Checkbox Card'!H9:H18,"not started")</x:f>
        <x:v>1</x:v>
      </x:c>
      <x:c r="D138" s="138" t="n">
        <x:f>COUNTIF('Checkbox Card'!H9:H18,"partial")</x:f>
        <x:v>0</x:v>
      </x:c>
      <x:c r="E138" s="138" t="n">
        <x:f>COUNTIF('Checkbox Card'!H9:H18,"implemented")</x:f>
        <x:v>0</x:v>
      </x:c>
      <x:c r="F138" s="138" t="n">
        <x:f>COUNTIF('Checkbox Card'!H9:H18,"tested")</x:f>
        <x:v>8</x:v>
      </x:c>
      <x:c r="G138" s="138" t="n">
        <x:f>COUNTIF('Checkbox Card'!H9:H18,"verified")</x:f>
        <x:v>0</x:v>
      </x:c>
      <x:c r="H138" s="138" t="n">
        <x:f>COUNTIF('Checkbox Card'!H9:H18,"blocked")</x:f>
        <x:v>1</x:v>
      </x:c>
      <x:c r="I138" s="138" t="n">
        <x:f>COUNTIF('Checkbox Card'!H9:H18,"not applicable")</x:f>
        <x:v>0</x:v>
      </x:c>
      <x:c r="J138" s="138" t="n">
        <x:f>'Checkbox Card'!H4</x:f>
        <x:v>0.8</x:v>
      </x:c>
      <x:c r="K138" s="138" t="str">
        <x:f>'Checkbox Card'!K4</x:f>
        <x:v>blocked</x:v>
      </x:c>
      <x:c r="L138" s="138" t="str">
        <x:f>'Checkbox Card'!E5</x:f>
        <x:v>complete</x:v>
      </x:c>
      <x:c r="M138" s="138" t="str">
        <x:f>IF(AND(J138=1,K138="complete",L138="complete"),"complete","open")</x:f>
        <x:v>open</x:v>
      </x:c>
    </x:row>
    <x:row r="139">
      <x:c r="A139" t="str">
        <x:v>Input Addon</x:v>
      </x:c>
      <x:c r="B139" t="n">
        <x:f>'Input Addon'!B4</x:f>
        <x:v>14</x:v>
      </x:c>
      <x:c r="C139" t="n">
        <x:f>COUNTIF('Input Addon'!H9:H22,"not started")</x:f>
        <x:v>3</x:v>
      </x:c>
      <x:c r="D139" t="n">
        <x:f>COUNTIF('Input Addon'!H9:H22,"partial")</x:f>
        <x:v>0</x:v>
      </x:c>
      <x:c r="E139" t="n">
        <x:f>COUNTIF('Input Addon'!H9:H22,"implemented")</x:f>
        <x:v>0</x:v>
      </x:c>
      <x:c r="F139" t="n">
        <x:f>COUNTIF('Input Addon'!H9:H22,"tested")</x:f>
        <x:v>10</x:v>
      </x:c>
      <x:c r="G139" t="n">
        <x:f>COUNTIF('Input Addon'!H9:H22,"verified")</x:f>
        <x:v>0</x:v>
      </x:c>
      <x:c r="H139" t="n">
        <x:f>COUNTIF('Input Addon'!H9:H22,"blocked")</x:f>
        <x:v>1</x:v>
      </x:c>
      <x:c r="I139" t="n">
        <x:f>COUNTIF('Input Addon'!H9:H22,"not applicable")</x:f>
        <x:v>0</x:v>
      </x:c>
      <x:c r="J139" t="n">
        <x:f>'Input Addon'!H4</x:f>
        <x:v>0.7142857142857143</x:v>
      </x:c>
      <x:c r="K139" t="str">
        <x:f>'Input Addon'!K4</x:f>
        <x:v>open</x:v>
      </x:c>
      <x:c r="L139" t="str">
        <x:f>'Input Addon'!E5</x:f>
        <x:v>complete</x:v>
      </x:c>
      <x:c r="M139" t="str">
        <x:f>IF(AND(J139=1,K139="complete",L139="complete"),"complete","open")</x:f>
        <x:v>open</x:v>
      </x:c>
    </x:row>
  </x:sheetData>
  <x:mergeCells>
    <x:mergeCell ref="A2:M2"/>
    <x:mergeCell ref="A1:M1"/>
  </x:mergeCells>
  <x:conditionalFormatting sqref="M8:M82">
    <x:cfRule type="containsText" dxfId="4" priority="2" aboveAverage="0" percent="0" bottom="0" operator="containsText" text="complete" rank="0" equalAverage="0">
      <x:formula>NOT(ISERROR(SEARCH("complete",M8)))</x:formula>
    </x:cfRule>
  </x:conditionalFormatting>
  <x:conditionalFormatting sqref="M83:M95">
    <x:cfRule type="containsText" dxfId="4" priority="3" aboveAverage="0" percent="0" bottom="0" operator="containsText" text="complete" rank="0" equalAverage="0">
      <x:formula>NOT(ISERROR(SEARCH("complete",M83)))</x:formula>
    </x:cfRule>
    <x:cfRule type="containsText" dxfId="4" priority="4" aboveAverage="0" percent="0" bottom="0" operator="containsText" text="complete" rank="0" equalAverage="0">
      <x:formula>NOT(ISERROR(SEARCH("complete",M83)))</x:formula>
    </x:cfRule>
    <x:cfRule type="containsText" dxfId="4" priority="5" aboveAverage="0" percent="0" bottom="0" operator="containsText" text="complete" rank="0" equalAverage="0">
      <x:formula>NOT(ISERROR(SEARCH("complete",M83)))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4cb38be1b024e0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24.709999084472656" style="125" customWidth="1"/>
    <x:col min="2" max="2" width="105.70999908447266" style="125" customWidth="1"/>
  </x:cols>
  <x:sheetData>
    <x:row r="1" s="127" customFormat="1" ht="37.5" customHeight="1">
      <x:c r="A1" s="128" t="inlineStr">
        <x:is>
          <x:t xml:space="preserve">Coverage Workbook Guide</x:t>
        </x:is>
      </x:c>
    </x:row>
    <x:row r="2" s="127" customFormat="1" ht="27.75" customHeight="1">
      <x:c r="A2" s="129" t="inlineStr">
        <x:is>
          <x:t xml:space="preserve">How to interpret, maintain, and verify this evidence tracker.</x:t>
        </x:is>
      </x:c>
    </x:row>
    <x:row r="3" s="127" customFormat="1" ht="15" customHeight="1">
      <x:c r="A3" s="125" t="inlineStr">
        <x:is>
          <x:t xml:space="preserve">Topic</x:t>
        </x:is>
      </x:c>
      <x:c r="B3" s="125" t="inlineStr">
        <x:is>
          <x:t xml:space="preserve">Rule</x:t>
        </x:is>
      </x:c>
    </x:row>
    <x:row r="4" s="127" customFormat="1" ht="30" customHeight="1">
      <x:c r="A4" s="125" t="inlineStr">
        <x:is>
          <x:t xml:space="preserve">Purpose</x:t>
        </x:is>
      </x:c>
      <x:c r="B4" s="125" t="inlineStr">
        <x:is>
          <x:t xml:space="preserve">This workbook summarizes evidence; source, tests, protocols, and public documentation remain authoritative.</x:t>
        </x:is>
      </x:c>
    </x:row>
    <x:row r="5" s="127" customFormat="1" ht="30" customHeight="1">
      <x:c r="A5" s="125" t="inlineStr">
        <x:is>
          <x:t xml:space="preserve">Ownership</x:t>
        </x:is>
      </x:c>
      <x:c r="B5" s="125" t="inlineStr">
        <x:is>
          <x:t xml:space="preserve">Every independently documented public component owner owns one sheet. Shared subpaths and family integration never replace component ownership.</x:t>
        </x:is>
      </x:c>
    </x:row>
    <x:row r="6" s="127" customFormat="1" ht="30" customHeight="1">
      <x:c r="A6" s="125" t="inlineStr">
        <x:is>
          <x:t xml:space="preserve">not started</x:t>
        </x:is>
      </x:c>
      <x:c r="B6" s="125" t="inlineStr">
        <x:is>
          <x:t xml:space="preserve">Required implementation or evidence does not exist.</x:t>
        </x:is>
      </x:c>
    </x:row>
    <x:row r="7" s="127" customFormat="1" ht="30" customHeight="1">
      <x:c r="A7" s="125" t="inlineStr">
        <x:is>
          <x:t xml:space="preserve">partial</x:t>
        </x:is>
      </x:c>
      <x:c r="B7" s="125" t="inlineStr">
        <x:is>
          <x:t xml:space="preserve">Some evidence exists, but the assertion is incomplete.</x:t>
        </x:is>
      </x:c>
    </x:row>
    <x:row r="8" s="127" customFormat="1" ht="30" customHeight="1">
      <x:c r="A8" s="125" t="inlineStr">
        <x:is>
          <x:t xml:space="preserve">implemented</x:t>
        </x:is>
      </x:c>
      <x:c r="B8" s="125" t="inlineStr">
        <x:is>
          <x:t xml:space="preserve">The implementation or evidence exists but has not passed its repeatable check.</x:t>
        </x:is>
      </x:c>
    </x:row>
    <x:row r="9" s="127" customFormat="1" ht="30" customHeight="1">
      <x:c r="A9" s="125" t="inlineStr">
        <x:is>
          <x:t xml:space="preserve">tested</x:t>
        </x:is>
      </x:c>
      <x:c r="B9" s="125" t="inlineStr">
        <x:is>
          <x:t xml:space="preserve">The automated or repeatable check passes.</x:t>
        </x:is>
      </x:c>
    </x:row>
    <x:row r="10" s="127" customFormat="1" ht="30" customHeight="1">
      <x:c r="A10" s="125" t="inlineStr">
        <x:is>
          <x:t xml:space="preserve">verified</x:t>
        </x:is>
      </x:c>
      <x:c r="B10" s="125" t="inlineStr">
        <x:is>
          <x:t xml:space="preserve">Required human review passed.</x:t>
        </x:is>
      </x:c>
    </x:row>
    <x:row r="11" s="127" customFormat="1" ht="30" customHeight="1">
      <x:c r="A11" s="125" t="inlineStr">
        <x:is>
          <x:t xml:space="preserve">blocked</x:t>
        </x:is>
      </x:c>
      <x:c r="B11" s="125" t="inlineStr">
        <x:is>
          <x:t xml:space="preserve">A blocker or follow-up is recorded.</x:t>
        </x:is>
      </x:c>
    </x:row>
    <x:row r="12" s="127" customFormat="1" ht="30" customHeight="1">
      <x:c r="A12" s="125" t="inlineStr">
        <x:is>
          <x:t xml:space="preserve">not applicable</x:t>
        </x:is>
      </x:c>
      <x:c r="B12" s="125" t="inlineStr">
        <x:is>
          <x:t xml:space="preserve">The reason is recorded in Blocker / N/A reason.</x:t>
        </x:is>
      </x:c>
    </x:row>
    <x:row r="13" s="127" customFormat="1" ht="30" customHeight="1">
      <x:c r="A13" s="125" t="inlineStr">
        <x:is>
          <x:t xml:space="preserve">Manual completion</x:t>
        </x:is>
      </x:c>
      <x:c r="B13" s="125" t="inlineStr">
        <x:is>
          <x:t xml:space="preserve">Human completion is recorded only after the owner executes the current component protocol; unrun profiles remain open or not run.</x:t>
        </x:is>
      </x:c>
    </x:row>
    <x:row r="14" s="127" customFormat="1" ht="30" customHeight="1">
      <x:c r="A14" s="125" t="inlineStr">
        <x:is>
          <x:t xml:space="preserve">Maintenance</x:t>
        </x:is>
      </x:c>
      <x:c r="B14" s="125" t="inlineStr">
        <x:is>
          <x:t xml:space="preserve">Update exact evidence paths and statuses in the same workstream as component changes.</x:t>
        </x:is>
      </x:c>
    </x:row>
    <x:row r="15" s="127" customFormat="1" ht="30" customHeight="1">
      <x:c r="A15" s="125" t="inlineStr">
        <x:is>
          <x:t xml:space="preserve">Release</x:t>
        </x:is>
      </x:c>
      <x:c r="B15" s="125" t="inlineStr">
        <x:is>
          <x:t xml:space="preserve">Recalculate formulas, scan errors, and visually inspect changed sheets before release.</x:t>
        </x:is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25c64bc76334726"/>
  </x:tableParts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sheetData>
    <x:row r="1" s="127" customFormat="1" ht="15" customHeight="1">
      <x:c r="A1" s="125" t="inlineStr">
        <x:is>
          <x:t xml:space="preserve">not started</x:t>
        </x:is>
      </x:c>
      <x:c r="B1" s="125" t="inlineStr">
        <x:is>
          <x:t xml:space="preserve">yes</x:t>
        </x:is>
      </x:c>
    </x:row>
    <x:row r="2" s="127" customFormat="1" ht="15" customHeight="1">
      <x:c r="A2" s="125" t="inlineStr">
        <x:is>
          <x:t xml:space="preserve">partial</x:t>
        </x:is>
      </x:c>
      <x:c r="B2" s="125" t="inlineStr">
        <x:is>
          <x:t xml:space="preserve">no</x:t>
        </x:is>
      </x:c>
    </x:row>
    <x:row r="3" s="127" customFormat="1" ht="15" customHeight="1">
      <x:c r="A3" s="125" t="inlineStr">
        <x:is>
          <x:t xml:space="preserve">implemented</x:t>
        </x:is>
      </x:c>
    </x:row>
    <x:row r="4" s="127" customFormat="1" ht="15" customHeight="1">
      <x:c r="A4" s="125" t="inlineStr">
        <x:is>
          <x:t xml:space="preserve">tested</x:t>
        </x:is>
      </x:c>
    </x:row>
    <x:row r="5" s="127" customFormat="1" ht="15" customHeight="1">
      <x:c r="A5" s="125" t="inlineStr">
        <x:is>
          <x:t xml:space="preserve">verified</x:t>
        </x:is>
      </x:c>
    </x:row>
    <x:row r="6" s="127" customFormat="1" ht="15" customHeight="1">
      <x:c r="A6" s="125" t="inlineStr">
        <x:is>
          <x:t xml:space="preserve">blocked</x:t>
        </x:is>
      </x:c>
    </x:row>
    <x:row r="7" s="127" customFormat="1" ht="15" customHeight="1">
      <x:c r="A7" s="125" t="inlineStr">
        <x:is>
          <x:t xml:space="preserve">not applicable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Alert Dialog Evidence</x:t>
        </x:is>
      </x:c>
    </x:row>
    <x:row r="2" s="127" customFormat="1" ht="27.75" customHeight="1">
      <x:c r="A2" s="129" t="inlineStr">
        <x:is>
          <x:t xml:space="preserve">Assertion-level package, browser, human-review, documentation, and consumer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COUNTA(A9:A24)</x:f>
        <x:v>16</x:v>
      </x:c>
      <x:c r="D4" s="130" t="inlineStr">
        <x:is>
          <x:t xml:space="preserve">Resolved</x:t>
        </x:is>
      </x:c>
      <x:c r="E4" s="131" t="n">
        <x:f>SUM(M9:M24)</x:f>
        <x:v>9</x:v>
      </x:c>
      <x:c r="G4" s="130" t="inlineStr">
        <x:is>
          <x:t xml:space="preserve">Completion</x:t>
        </x:is>
      </x:c>
      <x:c r="H4" s="132" t="n">
        <x:f>IF(B4=0,0,E4/B4)</x:f>
        <x:v>0.5625</x:v>
      </x:c>
      <x:c r="J4" s="130" t="inlineStr">
        <x:is>
          <x:t xml:space="preserve">Package gate</x:t>
        </x:is>
      </x:c>
      <x:c r="K4" s="131" t="inlineStr">
        <x:is>
          <x:t xml:space="preserve">open</x:t>
        </x:is>
      </x:c>
    </x:row>
    <x:row r="5" s="127" customFormat="1" ht="17.25" customHeight="1">
      <x:c r="A5" s="130" t="inlineStr">
        <x:is>
          <x:t xml:space="preserve">Manual review</x:t>
        </x:is>
      </x:c>
      <x:c r="B5" s="131" t="inlineStr">
        <x:is>
          <x:t xml:space="preserve">pending</x:t>
        </x:is>
      </x:c>
      <x:c r="D5" s="130" t="inlineStr">
        <x:is>
          <x:t xml:space="preserve">Consumer gate</x:t>
        </x:is>
      </x:c>
      <x:c r="E5" s="131" t="inlineStr">
        <x:is>
          <x:t xml:space="preserve">open</x:t>
        </x:is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42" customHeight="1">
      <x:c r="A9" s="125" t="inlineStr">
        <x:is>
          <x:t xml:space="preserve">AD-01</x:t>
        </x:is>
      </x:c>
      <x:c r="B9" s="125" t="inlineStr">
        <x:is>
          <x:t xml:space="preserve">Implementation</x:t>
        </x:is>
      </x:c>
      <x:c r="C9" s="125" t="inlineStr">
        <x:is>
          <x:t xml:space="preserve">AlertDialog</x:t>
        </x:is>
      </x:c>
      <x:c r="D9" s="125" t="inlineStr">
        <x:is>
          <x:t xml:space="preserve">AlertDialog Positioner preserves strict confirmation semantics.</x:t>
        </x:is>
      </x:c>
      <x:c r="E9" s="125" t="inlineStr">
        <x:is>
          <x:t xml:space="preserve">package</x:t>
        </x:is>
      </x:c>
      <x:c r="F9" s="125" t="inlineStr">
        <x:is>
          <x:t xml:space="preserve">source</x:t>
        </x:is>
      </x:c>
      <x:c r="G9" s="125" t="inlineStr">
        <x:is>
          <x:t xml:space="preserve">../src/components/alert-dialog</x:t>
        </x:is>
      </x:c>
      <x:c r="H9" s="125" t="inlineStr">
        <x:is>
          <x:t xml:space="preserve">tested</x:t>
        </x:is>
      </x:c>
      <x:c r="I9" s="125" t="inlineStr">
        <x:is>
          <x:t xml:space="preserve">no</x:t>
        </x:is>
      </x:c>
      <x:c r="J9" s="141" t="n">
        <x:v>46278</x:v>
      </x:c>
      <x:c r="L9" s="125" t="n">
        <x:v>1</x:v>
      </x:c>
      <x:c r="M9" s="125" t="n">
        <x:f>IF(H9="not applicable",1,IF(I9="yes",IF(H9="verified",1,0),IF(OR(H9="tested",H9="verified"),1,0)))</x:f>
        <x:v>1</x:v>
      </x:c>
    </x:row>
    <x:row r="10" s="127" customFormat="1" ht="42" customHeight="1">
      <x:c r="A10" s="125" t="inlineStr">
        <x:is>
          <x:t xml:space="preserve">AD-02</x:t>
        </x:is>
      </x:c>
      <x:c r="B10" s="125" t="inlineStr">
        <x:is>
          <x:t xml:space="preserve">Exports</x:t>
        </x:is>
      </x:c>
      <x:c r="C10" s="125" t="inlineStr">
        <x:is>
          <x:t xml:space="preserve">AlertDialog</x:t>
        </x:is>
      </x:c>
      <x:c r="D10" s="125" t="inlineStr">
        <x:is>
          <x:t xml:space="preserve">Root and public subpath exports expose the component.</x:t>
        </x:is>
      </x:c>
      <x:c r="E10" s="125" t="inlineStr">
        <x:is>
          <x:t xml:space="preserve">package</x:t>
        </x:is>
      </x:c>
      <x:c r="F10" s="125" t="inlineStr">
        <x:is>
          <x:t xml:space="preserve">package</x:t>
        </x:is>
      </x:c>
      <x:c r="G10" s="125" t="inlineStr">
        <x:is>
          <x:t xml:space="preserve">../test/package/package.test.mjs</x:t>
        </x:is>
      </x:c>
      <x:c r="H10" s="125" t="inlineStr">
        <x:is>
          <x:t xml:space="preserve">tested</x:t>
        </x:is>
      </x:c>
      <x:c r="I10" s="125" t="inlineStr">
        <x:is>
          <x:t xml:space="preserve">no</x:t>
        </x:is>
      </x:c>
      <x:c r="J10" s="141" t="n">
        <x:v>46278</x:v>
      </x:c>
      <x:c r="L10" s="125" t="n">
        <x:v>1</x:v>
      </x:c>
      <x:c r="M10" s="125" t="n">
        <x:f>IF(H10="not applicable",1,IF(I10="yes",IF(H10="verified",1,0),IF(OR(H10="tested",H10="verified"),1,0)))</x:f>
        <x:v>1</x:v>
      </x:c>
    </x:row>
    <x:row r="11" s="127" customFormat="1" ht="42" customHeight="1">
      <x:c r="A11" s="125" t="inlineStr">
        <x:is>
          <x:t xml:space="preserve">AD-03</x:t>
        </x:is>
      </x:c>
      <x:c r="B11" s="125" t="inlineStr">
        <x:is>
          <x:t xml:space="preserve">Types</x:t>
        </x:is>
      </x:c>
      <x:c r="C11" s="125" t="inlineStr">
        <x:is>
          <x:t xml:space="preserve">AlertDialog</x:t>
        </x:is>
      </x:c>
      <x:c r="D11" s="125" t="inlineStr">
        <x:is>
          <x:t xml:space="preserve">Public props, refs, composition branches, and invalid cases type-check.</x:t>
        </x:is>
      </x:c>
      <x:c r="E11" s="125" t="inlineStr">
        <x:is>
          <x:t xml:space="preserve">package</x:t>
        </x:is>
      </x:c>
      <x:c r="F11" s="125" t="inlineStr">
        <x:is>
          <x:t xml:space="preserve">types</x:t>
        </x:is>
      </x:c>
      <x:c r="G11" s="125" t="inlineStr">
        <x:is>
          <x:t xml:space="preserve">../test/types/components/alert-dialog.test.ts</x:t>
        </x:is>
      </x:c>
      <x:c r="H11" s="125" t="inlineStr">
        <x:is>
          <x:t xml:space="preserve">tested</x:t>
        </x:is>
      </x:c>
      <x:c r="I11" s="125" t="inlineStr">
        <x:is>
          <x:t xml:space="preserve">no</x:t>
        </x:is>
      </x:c>
      <x:c r="J11" s="141" t="n">
        <x:v>46278</x:v>
      </x:c>
      <x:c r="L11" s="125" t="n">
        <x:v>1</x:v>
      </x:c>
      <x:c r="M11" s="125" t="n">
        <x:f>IF(H11="not applicable",1,IF(I11="yes",IF(H11="verified",1,0),IF(OR(H11="tested",H11="verified"),1,0)))</x:f>
        <x:v>1</x:v>
      </x:c>
    </x:row>
    <x:row r="12" s="127" customFormat="1" ht="42" customHeight="1">
      <x:c r="A12" s="125" t="inlineStr">
        <x:is>
          <x:t xml:space="preserve">AD-04</x:t>
        </x:is>
      </x:c>
      <x:c r="B12" s="125" t="inlineStr">
        <x:is>
          <x:t xml:space="preserve">CSS</x:t>
        </x:is>
      </x:c>
      <x:c r="C12" s="125" t="inlineStr">
        <x:is>
          <x:t xml:space="preserve">AlertDialog</x:t>
        </x:is>
      </x:c>
      <x:c r="D12" s="125" t="inlineStr">
        <x:is>
          <x:t xml:space="preserve">Shared Dialog recipes and legacy token overrides.</x:t>
        </x:is>
      </x:c>
      <x:c r="E12" s="125" t="inlineStr">
        <x:is>
          <x:t xml:space="preserve">package</x:t>
        </x:is>
      </x:c>
      <x:c r="F12" s="125" t="inlineStr">
        <x:is>
          <x:t xml:space="preserve">css</x:t>
        </x:is>
      </x:c>
      <x:c r="G12" s="125" t="inlineStr">
        <x:is>
          <x:t xml:space="preserve">../src/components/alert-dialog/alert-dialog.css</x:t>
        </x:is>
      </x:c>
      <x:c r="H12" s="125" t="inlineStr">
        <x:is>
          <x:t xml:space="preserve">tested</x:t>
        </x:is>
      </x:c>
      <x:c r="I12" s="125" t="inlineStr">
        <x:is>
          <x:t xml:space="preserve">no</x:t>
        </x:is>
      </x:c>
      <x:c r="J12" s="141" t="n">
        <x:v>46278</x:v>
      </x:c>
      <x:c r="L12" s="125" t="n">
        <x:v>1</x:v>
      </x:c>
      <x:c r="M12" s="125" t="n">
        <x:f>IF(H12="not applicable",1,IF(I12="yes",IF(H12="verified",1,0),IF(OR(H12="tested",H12="verified"),1,0)))</x:f>
        <x:v>1</x:v>
      </x:c>
    </x:row>
    <x:row r="13" s="127" customFormat="1" ht="42" customHeight="1">
      <x:c r="A13" s="125" t="inlineStr">
        <x:is>
          <x:t xml:space="preserve">AD-05</x:t>
        </x:is>
      </x:c>
      <x:c r="B13" s="125" t="inlineStr">
        <x:is>
          <x:t xml:space="preserve">Unit</x:t>
        </x:is>
      </x:c>
      <x:c r="C13" s="125" t="inlineStr">
        <x:is>
          <x:t xml:space="preserve">AlertDialog</x:t>
        </x:is>
      </x:c>
      <x:c r="D13" s="125" t="inlineStr">
        <x:is>
          <x:t xml:space="preserve">Brick-owned DOM, recipes, adapters, and public hooks pass focused tests.</x:t>
        </x:is>
      </x:c>
      <x:c r="E13" s="125" t="inlineStr">
        <x:is>
          <x:t xml:space="preserve">package</x:t>
        </x:is>
      </x:c>
      <x:c r="F13" s="125" t="inlineStr">
        <x:is>
          <x:t xml:space="preserve">component</x:t>
        </x:is>
      </x:c>
      <x:c r="G13" s="125" t="inlineStr">
        <x:is>
          <x:t xml:space="preserve">../test/components/alert-dialog/alert-dialog.test.tsx</x:t>
        </x:is>
      </x:c>
      <x:c r="H13" s="125" t="inlineStr">
        <x:is>
          <x:t xml:space="preserve">tested</x:t>
        </x:is>
      </x:c>
      <x:c r="I13" s="125" t="inlineStr">
        <x:is>
          <x:t xml:space="preserve">no</x:t>
        </x:is>
      </x:c>
      <x:c r="J13" s="141" t="n">
        <x:v>46278</x:v>
      </x:c>
      <x:c r="L13" s="125" t="n">
        <x:v>1</x:v>
      </x:c>
      <x:c r="M13" s="125" t="n">
        <x:f>IF(H13="not applicable",1,IF(I13="yes",IF(H13="verified",1,0),IF(OR(H13="tested",H13="verified"),1,0)))</x:f>
        <x:v>1</x:v>
      </x:c>
    </x:row>
    <x:row r="14" s="127" customFormat="1" ht="42" customHeight="1">
      <x:c r="A14" s="125" t="inlineStr">
        <x:is>
          <x:t xml:space="preserve">AD-06</x:t>
        </x:is>
      </x:c>
      <x:c r="B14" s="125" t="inlineStr">
        <x:is>
          <x:t xml:space="preserve">Browser</x:t>
        </x:is>
      </x:c>
      <x:c r="C14" s="125" t="inlineStr">
        <x:is>
          <x:t xml:space="preserve">AlertDialog</x:t>
        </x:is>
      </x:c>
      <x:c r="D14" s="125" t="inlineStr">
        <x:is>
          <x:t xml:space="preserve">Three-engine safe focus, retention, reflow and recipe equality.</x:t>
        </x:is>
      </x:c>
      <x:c r="E14" s="125" t="inlineStr">
        <x:is>
          <x:t xml:space="preserve">package</x:t>
        </x:is>
      </x:c>
      <x:c r="F14" s="125" t="inlineStr">
        <x:is>
          <x:t xml:space="preserve">browser</x:t>
        </x:is>
      </x:c>
      <x:c r="G14" s="125" t="inlineStr">
        <x:is>
          <x:t xml:space="preserve">tests/components/alert-dialog/behavior.spec.ts; tests/components/alert-dialog/recipes.spec.ts</x:t>
        </x:is>
      </x:c>
      <x:c r="H14" s="125" t="inlineStr">
        <x:is>
          <x:t xml:space="preserve">tested</x:t>
        </x:is>
      </x:c>
      <x:c r="I14" s="125" t="inlineStr">
        <x:is>
          <x:t xml:space="preserve">no</x:t>
        </x:is>
      </x:c>
      <x:c r="J14" s="141" t="n">
        <x:v>46278</x:v>
      </x:c>
      <x:c r="L14" s="125" t="n">
        <x:v>1</x:v>
      </x:c>
      <x:c r="M14" s="125" t="n">
        <x:f>IF(H14="not applicable",1,IF(I14="yes",IF(H14="verified",1,0),IF(OR(H14="tested",H14="verified"),1,0)))</x:f>
        <x:v>1</x:v>
      </x:c>
    </x:row>
    <x:row r="15" s="127" customFormat="1" ht="42" customHeight="1">
      <x:c r="A15" s="125" t="inlineStr">
        <x:is>
          <x:t xml:space="preserve">AD-07</x:t>
        </x:is>
      </x:c>
      <x:c r="B15" s="125" t="inlineStr">
        <x:is>
          <x:t xml:space="preserve">Accessibility</x:t>
        </x:is>
      </x:c>
      <x:c r="C15" s="125" t="inlineStr">
        <x:is>
          <x:t xml:space="preserve">AlertDialog</x:t>
        </x:is>
      </x:c>
      <x:c r="D15" s="125" t="inlineStr">
        <x:is>
          <x:t xml:space="preserve">Automated semantics and accessibility checks pass in the browser evidence suite.</x:t>
        </x:is>
      </x:c>
      <x:c r="E15" s="125" t="inlineStr">
        <x:is>
          <x:t xml:space="preserve">package</x:t>
        </x:is>
      </x:c>
      <x:c r="F15" s="125" t="inlineStr">
        <x:is>
          <x:t xml:space="preserve">axe</x:t>
        </x:is>
      </x:c>
      <x:c r="G15" s="125" t="inlineStr">
        <x:is>
          <x:t xml:space="preserve">tests/components/alert-dialog/behavior.spec.ts; tests/integration</x:t>
        </x:is>
      </x:c>
      <x:c r="H15" s="125" t="inlineStr">
        <x:is>
          <x:t xml:space="preserve">tested</x:t>
        </x:is>
      </x:c>
      <x:c r="I15" s="125" t="inlineStr">
        <x:is>
          <x:t xml:space="preserve">no</x:t>
        </x:is>
      </x:c>
      <x:c r="J15" s="141" t="n">
        <x:v>46278</x:v>
      </x:c>
      <x:c r="L15" s="125" t="n">
        <x:v>1</x:v>
      </x:c>
      <x:c r="M15" s="125" t="n">
        <x:f>IF(H15="not applicable",1,IF(I15="yes",IF(H15="verified",1,0),IF(OR(H15="tested",H15="verified"),1,0)))</x:f>
        <x:v>1</x:v>
      </x:c>
    </x:row>
    <x:row r="16" s="127" customFormat="1" ht="42" customHeight="1">
      <x:c r="A16" s="125" t="inlineStr">
        <x:is>
          <x:t xml:space="preserve">AD-08</x:t>
        </x:is>
      </x:c>
      <x:c r="B16" s="125" t="inlineStr">
        <x:is>
          <x:t xml:space="preserve">Visual</x:t>
        </x:is>
      </x:c>
      <x:c r="C16" s="125" t="inlineStr">
        <x:is>
          <x:t xml:space="preserve">AlertDialog</x:t>
        </x:is>
      </x:c>
      <x:c r="D16" s="125" t="inlineStr">
        <x:is>
          <x:t xml:space="preserve">Reviewed baselines cover the component's risk-selected recipes and states.</x:t>
        </x:is>
      </x:c>
      <x:c r="E16" s="125" t="inlineStr">
        <x:is>
          <x:t xml:space="preserve">package</x:t>
        </x:is>
      </x:c>
      <x:c r="F16" s="125" t="inlineStr">
        <x:is>
          <x:t xml:space="preserve">visual</x:t>
        </x:is>
      </x:c>
      <x:c r="G16" s="125" t="inlineStr">
        <x:is>
          <x:t xml:space="preserve">tests/components/alert-dialog/visual.spec.ts</x:t>
        </x:is>
      </x:c>
      <x:c r="H16" s="125" t="inlineStr">
        <x:is>
          <x:t xml:space="preserve">tested</x:t>
        </x:is>
      </x:c>
      <x:c r="I16" s="125" t="inlineStr">
        <x:is>
          <x:t xml:space="preserve">yes</x:t>
        </x:is>
      </x:c>
      <x:c r="J16" s="141" t="n">
        <x:v>46278</x:v>
      </x:c>
      <x:c r="K16" s="142" t="inlineStr">
        <x:is>
          <x:t xml:space="preserve">Automated baselines reviewed; owner review of changed recipes remains pending.</x:t>
        </x:is>
      </x:c>
      <x:c r="L16" s="125" t="n">
        <x:v>1</x:v>
      </x:c>
      <x:c r="M16" s="125" t="n">
        <x:f>IF(H16="not applicable",1,IF(I16="yes",IF(H16="verified",1,0),IF(OR(H16="tested",H16="verified"),1,0)))</x:f>
        <x:v>0</x:v>
      </x:c>
    </x:row>
    <x:row r="17" s="127" customFormat="1" ht="42" customHeight="1">
      <x:c r="A17" s="125" t="inlineStr">
        <x:is>
          <x:t xml:space="preserve">AD-09</x:t>
        </x:is>
      </x:c>
      <x:c r="B17" s="125" t="inlineStr">
        <x:is>
          <x:t xml:space="preserve">Responsive</x:t>
        </x:is>
      </x:c>
      <x:c r="C17" s="125" t="inlineStr">
        <x:is>
          <x:t xml:space="preserve">AlertDialog</x:t>
        </x:is>
      </x:c>
      <x:c r="D17" s="125" t="inlineStr">
        <x:is>
          <x:t xml:space="preserve">Mobile, zoom/reflow, content stress, and RTL remain usable and contained.</x:t>
        </x:is>
      </x:c>
      <x:c r="E17" s="125" t="inlineStr">
        <x:is>
          <x:t xml:space="preserve">package</x:t>
        </x:is>
      </x:c>
      <x:c r="F17" s="125" t="inlineStr">
        <x:is>
          <x:t xml:space="preserve">manual</x:t>
        </x:is>
      </x:c>
      <x:c r="G17" s="125" t="inlineStr">
        <x:is>
          <x:t xml:space="preserve">manual-tests/alert-dialog.md</x:t>
        </x:is>
      </x:c>
      <x:c r="H17" s="125" t="inlineStr">
        <x:is>
          <x:t xml:space="preserve">implemented</x:t>
        </x:is>
      </x:c>
      <x:c r="I17" s="125" t="inlineStr">
        <x:is>
          <x:t xml:space="preserve">yes</x:t>
        </x:is>
      </x:c>
      <x:c r="J17" s="141" t="n"/>
      <x:c r="K17" s="142" t="inlineStr">
        <x:is>
          <x:t xml:space="preserve">Human protocol remains pending. Automated and visual evidence stays in its owning tests and does not complete this human gate.</x:t>
        </x:is>
      </x:c>
      <x:c r="L17" s="125" t="n">
        <x:v>1</x:v>
      </x:c>
      <x:c r="M17" s="125" t="n">
        <x:f>IF(H17="not applicable",1,IF(I17="yes",IF(H17="verified",1,0),IF(OR(H17="tested",H17="verified"),1,0)))</x:f>
        <x:v>0</x:v>
      </x:c>
    </x:row>
    <x:row r="18" s="127" customFormat="1" ht="42" customHeight="1">
      <x:c r="A18" s="125" t="inlineStr">
        <x:is>
          <x:t xml:space="preserve">AD-10</x:t>
        </x:is>
      </x:c>
      <x:c r="B18" s="125" t="inlineStr">
        <x:is>
          <x:t xml:space="preserve">Theme</x:t>
        </x:is>
      </x:c>
      <x:c r="C18" s="125" t="inlineStr">
        <x:is>
          <x:t xml:space="preserve">AlertDialog</x:t>
        </x:is>
      </x:c>
      <x:c r="D18" s="125" t="inlineStr">
        <x:is>
          <x:t xml:space="preserve">Light, dark, focus, forced-colors, and relevant motion behavior remain perceivable.</x:t>
        </x:is>
      </x:c>
      <x:c r="E18" s="125" t="inlineStr">
        <x:is>
          <x:t xml:space="preserve">package</x:t>
        </x:is>
      </x:c>
      <x:c r="F18" s="125" t="inlineStr">
        <x:is>
          <x:t xml:space="preserve">manual</x:t>
        </x:is>
      </x:c>
      <x:c r="G18" s="125" t="inlineStr">
        <x:is>
          <x:t xml:space="preserve">manual-tests/alert-dialog.md</x:t>
        </x:is>
      </x:c>
      <x:c r="H18" s="125" t="inlineStr">
        <x:is>
          <x:t xml:space="preserve">implemented</x:t>
        </x:is>
      </x:c>
      <x:c r="I18" s="125" t="inlineStr">
        <x:is>
          <x:t xml:space="preserve">yes</x:t>
        </x:is>
      </x:c>
      <x:c r="J18" s="141" t="n"/>
      <x:c r="K18" s="142" t="inlineStr">
        <x:is>
          <x:t xml:space="preserve">Human protocol remains pending. Automated and visual evidence stays in its owning tests and does not complete this human gate.</x:t>
        </x:is>
      </x:c>
      <x:c r="L18" s="125" t="n">
        <x:v>1</x:v>
      </x:c>
      <x:c r="M18" s="125" t="n">
        <x:f>IF(H18="not applicable",1,IF(I18="yes",IF(H18="verified",1,0),IF(OR(H18="tested",H18="verified"),1,0)))</x:f>
        <x:v>0</x:v>
      </x:c>
    </x:row>
    <x:row r="19" s="127" customFormat="1" ht="42" customHeight="1">
      <x:c r="A19" s="125" t="inlineStr">
        <x:is>
          <x:t xml:space="preserve">AD-11</x:t>
        </x:is>
      </x:c>
      <x:c r="B19" s="125" t="inlineStr">
        <x:is>
          <x:t xml:space="preserve">Composition</x:t>
        </x:is>
      </x:c>
      <x:c r="C19" s="125" t="inlineStr">
        <x:is>
          <x:t xml:space="preserve">AlertDialog</x:t>
        </x:is>
      </x:c>
      <x:c r="D19" s="125" t="inlineStr">
        <x:is>
          <x:t xml:space="preserve">Default, render, and asChild output preserve the intended element, slots, state, and relationships.</x:t>
        </x:is>
      </x:c>
      <x:c r="E19" s="125" t="inlineStr">
        <x:is>
          <x:t xml:space="preserve">package</x:t>
        </x:is>
      </x:c>
      <x:c r="F19" s="125" t="inlineStr">
        <x:is>
          <x:t xml:space="preserve">manual</x:t>
        </x:is>
      </x:c>
      <x:c r="G19" s="125" t="inlineStr">
        <x:is>
          <x:t xml:space="preserve">manual-tests/alert-dialog.md; tests/components/alert-dialog/behavior.spec.ts</x:t>
        </x:is>
      </x:c>
      <x:c r="H19" s="125" t="inlineStr">
        <x:is>
          <x:t xml:space="preserve">implemented</x:t>
        </x:is>
      </x:c>
      <x:c r="I19" s="125" t="inlineStr">
        <x:is>
          <x:t xml:space="preserve">yes</x:t>
        </x:is>
      </x:c>
      <x:c r="J19" s="141" t="n"/>
      <x:c r="K19" s="142" t="inlineStr">
        <x:is>
          <x:t xml:space="preserve">Human protocol remains pending. Automated and visual evidence stays in its owning tests and does not complete this human gate.</x:t>
        </x:is>
      </x:c>
      <x:c r="L19" s="125" t="n">
        <x:v>1</x:v>
      </x:c>
      <x:c r="M19" s="125" t="n">
        <x:f>IF(H19="not applicable",1,IF(I19="yes",IF(H19="verified",1,0),IF(OR(H19="tested",H19="verified"),1,0)))</x:f>
        <x:v>0</x:v>
      </x:c>
    </x:row>
    <x:row r="20" s="127" customFormat="1" ht="42" customHeight="1">
      <x:c r="A20" s="125" t="inlineStr">
        <x:is>
          <x:t xml:space="preserve">AD-12</x:t>
        </x:is>
      </x:c>
      <x:c r="B20" s="125" t="inlineStr">
        <x:is>
          <x:t xml:space="preserve">Manual</x:t>
        </x:is>
      </x:c>
      <x:c r="C20" s="125" t="inlineStr">
        <x:is>
          <x:t xml:space="preserve">AlertDialog</x:t>
        </x:is>
      </x:c>
      <x:c r="D20" s="125" t="inlineStr">
        <x:is>
          <x:t xml:space="preserve">The complete component-owned manual protocol passed against every playground scenario.</x:t>
        </x:is>
      </x:c>
      <x:c r="E20" s="125" t="inlineStr">
        <x:is>
          <x:t xml:space="preserve">package</x:t>
        </x:is>
      </x:c>
      <x:c r="F20" s="125" t="inlineStr">
        <x:is>
          <x:t xml:space="preserve">manual</x:t>
        </x:is>
      </x:c>
      <x:c r="G20" s="125" t="inlineStr">
        <x:is>
          <x:t xml:space="preserve">manual-tests/alert-dialog.md</x:t>
        </x:is>
      </x:c>
      <x:c r="H20" s="125" t="inlineStr">
        <x:is>
          <x:t xml:space="preserve">implemented</x:t>
        </x:is>
      </x:c>
      <x:c r="I20" s="125" t="inlineStr">
        <x:is>
          <x:t xml:space="preserve">yes</x:t>
        </x:is>
      </x:c>
      <x:c r="J20" s="141" t="n"/>
      <x:c r="K20" s="142" t="inlineStr">
        <x:is>
          <x:t xml:space="preserve">Human protocol remains pending. Automated and visual evidence stays in its owning tests and does not complete this human gate.</x:t>
        </x:is>
      </x:c>
      <x:c r="L20" s="125" t="n">
        <x:v>1</x:v>
      </x:c>
      <x:c r="M20" s="125" t="n">
        <x:f>IF(H20="not applicable",1,IF(I20="yes",IF(H20="verified",1,0),IF(OR(H20="tested",H20="verified"),1,0)))</x:f>
        <x:v>0</x:v>
      </x:c>
    </x:row>
    <x:row r="21" s="127" customFormat="1" ht="42" customHeight="1">
      <x:c r="A21" s="125" t="inlineStr">
        <x:is>
          <x:t xml:space="preserve">AD-13</x:t>
        </x:is>
      </x:c>
      <x:c r="B21" s="125" t="inlineStr">
        <x:is>
          <x:t xml:space="preserve">Docs</x:t>
        </x:is>
      </x:c>
      <x:c r="C21" s="125" t="inlineStr">
        <x:is>
          <x:t xml:space="preserve">AlertDialog</x:t>
        </x:is>
      </x:c>
      <x:c r="D21" s="125" t="inlineStr">
        <x:is>
          <x:t xml:space="preserve">Public usage documentation exists at the component-owned path.</x:t>
        </x:is>
      </x:c>
      <x:c r="E21" s="125" t="inlineStr">
        <x:is>
          <x:t xml:space="preserve">package</x:t>
        </x:is>
      </x:c>
      <x:c r="F21" s="125" t="inlineStr">
        <x:is>
          <x:t xml:space="preserve">docs</x:t>
        </x:is>
      </x:c>
      <x:c r="G21" s="125" t="inlineStr">
        <x:is>
          <x:t xml:space="preserve">../docs/components/alert-dialog/README.md</x:t>
        </x:is>
      </x:c>
      <x:c r="H21" s="125" t="inlineStr">
        <x:is>
          <x:t xml:space="preserve">tested</x:t>
        </x:is>
      </x:c>
      <x:c r="I21" s="125" t="inlineStr">
        <x:is>
          <x:t xml:space="preserve">no</x:t>
        </x:is>
      </x:c>
      <x:c r="J21" s="141" t="n">
        <x:v>46278</x:v>
      </x:c>
      <x:c r="K21" s="143" t="n"/>
      <x:c r="L21" s="125" t="n">
        <x:v>1</x:v>
      </x:c>
      <x:c r="M21" s="125" t="n">
        <x:f>IF(H21="not applicable",1,IF(I21="yes",IF(H21="verified",1,0),IF(OR(H21="tested",H21="verified"),1,0)))</x:f>
        <x:v>1</x:v>
      </x:c>
    </x:row>
    <x:row r="22" s="127" customFormat="1" ht="42" customHeight="1">
      <x:c r="A22" s="125" t="inlineStr">
        <x:is>
          <x:t xml:space="preserve">AD-14</x:t>
        </x:is>
      </x:c>
      <x:c r="B22" s="125" t="inlineStr">
        <x:is>
          <x:t xml:space="preserve">Changelog</x:t>
        </x:is>
      </x:c>
      <x:c r="C22" s="125" t="inlineStr">
        <x:is>
          <x:t xml:space="preserve">AlertDialog</x:t>
        </x:is>
      </x:c>
      <x:c r="D22" s="125" t="inlineStr">
        <x:is>
          <x:t xml:space="preserve">The component owns a public changelog.</x:t>
        </x:is>
      </x:c>
      <x:c r="E22" s="125" t="inlineStr">
        <x:is>
          <x:t xml:space="preserve">package</x:t>
        </x:is>
      </x:c>
      <x:c r="F22" s="125" t="inlineStr">
        <x:is>
          <x:t xml:space="preserve">docs</x:t>
        </x:is>
      </x:c>
      <x:c r="G22" s="125" t="inlineStr">
        <x:is>
          <x:t xml:space="preserve">../docs/components/alert-dialog/CHANGELOG.md</x:t>
        </x:is>
      </x:c>
      <x:c r="H22" s="125" t="inlineStr">
        <x:is>
          <x:t xml:space="preserve">tested</x:t>
        </x:is>
      </x:c>
      <x:c r="I22" s="125" t="inlineStr">
        <x:is>
          <x:t xml:space="preserve">no</x:t>
        </x:is>
      </x:c>
      <x:c r="J22" s="141" t="n">
        <x:v>46278</x:v>
      </x:c>
      <x:c r="K22" s="143" t="n"/>
      <x:c r="L22" s="125" t="n">
        <x:v>1</x:v>
      </x:c>
      <x:c r="M22" s="125" t="n">
        <x:f>IF(H22="not applicable",1,IF(I22="yes",IF(H22="verified",1,0),IF(OR(H22="tested",H22="verified"),1,0)))</x:f>
        <x:v>1</x:v>
      </x:c>
    </x:row>
    <x:row r="23" s="127" customFormat="1" ht="42" customHeight="1">
      <x:c r="A23" s="125" t="inlineStr">
        <x:is>
          <x:t xml:space="preserve">AD-15</x:t>
        </x:is>
      </x:c>
      <x:c r="B23" s="125" t="inlineStr">
        <x:is>
          <x:t xml:space="preserve">Consumer</x:t>
        </x:is>
      </x:c>
      <x:c r="C23" s="125" t="inlineStr">
        <x:is>
          <x:t xml:space="preserve">AlertDialog</x:t>
        </x:is>
      </x:c>
      <x:c r="D23" s="125" t="inlineStr">
        <x:is>
          <x:t xml:space="preserve">The standalone consumer imports and exercises the public package component.</x:t>
        </x:is>
      </x:c>
      <x:c r="E23" s="125" t="inlineStr">
        <x:is>
          <x:t xml:space="preserve">consumer</x:t>
        </x:is>
      </x:c>
      <x:c r="F23" s="125" t="inlineStr">
        <x:is>
          <x:t xml:space="preserve">consumer</x:t>
        </x:is>
      </x:c>
      <x:c r="G23" s="125" t="inlineStr">
        <x:is>
          <x:t xml:space="preserve">../apps/consumer/src/App.tsx; ../apps/consumer/tests/consumer.spec.ts</x:t>
        </x:is>
      </x:c>
      <x:c r="H23" s="125" t="inlineStr">
        <x:is>
          <x:t xml:space="preserve">partial</x:t>
        </x:is>
      </x:c>
      <x:c r="I23" s="125" t="inlineStr">
        <x:is>
          <x:t xml:space="preserve">no</x:t>
        </x:is>
      </x:c>
      <x:c r="J23" s="141" t="n">
        <x:v>46227</x:v>
      </x:c>
      <x:c r="K23" s="143" t="inlineStr">
        <x:is>
          <x:t xml:space="preserve">Build and package check passed; clean consumer and release qualification not repeated.</x:t>
        </x:is>
      </x:c>
      <x:c r="L23" s="125" t="n">
        <x:v>1</x:v>
      </x:c>
      <x:c r="M23" s="125" t="n">
        <x:f>IF(H23="not applicable",1,IF(I23="yes",IF(H23="verified",1,0),IF(OR(H23="tested",H23="verified"),1,0)))</x:f>
        <x:v>0</x:v>
      </x:c>
    </x:row>
    <x:row r="24" s="127" customFormat="1" ht="42" customHeight="1">
      <x:c r="A24" s="125" t="inlineStr">
        <x:is>
          <x:t xml:space="preserve">AD-16</x:t>
        </x:is>
      </x:c>
      <x:c r="B24" s="125" t="inlineStr">
        <x:is>
          <x:t xml:space="preserve">Package</x:t>
        </x:is>
      </x:c>
      <x:c r="C24" s="125" t="inlineStr">
        <x:is>
          <x:t xml:space="preserve">AlertDialog</x:t>
        </x:is>
      </x:c>
      <x:c r="D24" s="125" t="inlineStr">
        <x:is>
          <x:t xml:space="preserve">Build, exports, tarball, CSS, and consumer boundary verification pass.</x:t>
        </x:is>
      </x:c>
      <x:c r="E24" s="125" t="inlineStr">
        <x:is>
          <x:t xml:space="preserve">package</x:t>
        </x:is>
      </x:c>
      <x:c r="F24" s="125" t="inlineStr">
        <x:is>
          <x:t xml:space="preserve">package</x:t>
        </x:is>
      </x:c>
      <x:c r="G24" s="125" t="inlineStr">
        <x:is>
          <x:t xml:space="preserve">../scripts/verify-package.mjs; ../scripts/verify-consumers.mjs</x:t>
        </x:is>
      </x:c>
      <x:c r="H24" s="125" t="inlineStr">
        <x:is>
          <x:t xml:space="preserve">partial</x:t>
        </x:is>
      </x:c>
      <x:c r="I24" s="125" t="inlineStr">
        <x:is>
          <x:t xml:space="preserve">no</x:t>
        </x:is>
      </x:c>
      <x:c r="J24" s="141" t="n">
        <x:v>46227</x:v>
      </x:c>
      <x:c r="K24" s="143" t="inlineStr">
        <x:is>
          <x:t xml:space="preserve">Build and package check passed; clean consumer and release qualification not repeated.</x:t>
        </x:is>
      </x:c>
      <x:c r="L24" s="125" t="n">
        <x:v>1</x:v>
      </x:c>
      <x:c r="M24" s="125" t="n">
        <x:f>IF(H24="not applicable",1,IF(I24="yes",IF(H24="verified",1,0),IF(OR(H24="tested",H24="verified"),1,0)))</x:f>
        <x:v>0</x:v>
      </x:c>
    </x:row>
  </x:sheetData>
  <x:mergeCells>
    <x:mergeCell ref="A2:M2"/>
    <x:mergeCell ref="A1:M1"/>
  </x:mergeCells>
  <x:conditionalFormatting sqref="H9:H24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1" showDropDown="0" showInputMessage="1" showErrorMessage="1" sqref="H9:H24">
      <x:formula1>"not started,partial,implemented,tested,verified,blocked,not applicable"</x:formula1>
      <x:formula2>0</x:formula2>
    </x:dataValidation>
    <x:dataValidation type="list" errorStyle="stop" operator="between" allowBlank="1" showDropDown="0" showInputMessage="1" showErrorMessage="1" sqref="I9:I24">
      <x:formula1>"yes,no"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43510b8dcca455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App Bar Evidence</x:t>
        </x:is>
      </x:c>
    </x:row>
    <x:row r="2" s="127" customFormat="1" ht="27.75" customHeight="1">
      <x:c r="A2" s="129" t="inlineStr">
        <x:is>
          <x:t xml:space="preserve">Assertion-level package, browser, human-review, documentation, and consumer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COUNTA(A9:A200)</x:f>
        <x:v>16</x:v>
      </x:c>
      <x:c r="D4" s="130" t="inlineStr">
        <x:is>
          <x:t xml:space="preserve">Resolved</x:t>
        </x:is>
      </x:c>
      <x:c r="E4" s="131" t="n">
        <x:f>SUM(M9:M200)</x:f>
        <x:v>10</x:v>
      </x:c>
      <x:c r="G4" s="130" t="inlineStr">
        <x:is>
          <x:t xml:space="preserve">Completion</x:t>
        </x:is>
      </x:c>
      <x:c r="H4" s="132" t="n">
        <x:f>IF(B4=0,0,E4/B4)</x:f>
        <x:v>0.625</x:v>
      </x:c>
      <x:c r="J4" s="130" t="inlineStr">
        <x:is>
          <x:t xml:space="preserve">Package gate</x:t>
        </x:is>
      </x:c>
      <x:c r="K4" s="131" t="str">
        <x:f>IF(E4=B4,"complete","open")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IF(COUNTIFS(I9:I24,"yes",L9:L24,0)&gt;0,"open","complete")</x:f>
        <x:v>open</x:v>
      </x:c>
      <x:c r="D5" s="130" t="inlineStr">
        <x:is>
          <x:t xml:space="preserve">Consumer gate</x:t>
        </x:is>
      </x:c>
      <x:c r="E5" s="131" t="str">
        <x:f>IF(L23=1,"complete","open")</x:f>
        <x:v>open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42" customHeight="1">
      <x:c r="A9" s="125" t="inlineStr">
        <x:is>
          <x:t xml:space="preserve">AB-01</x:t>
        </x:is>
      </x:c>
      <x:c r="B9" s="125" t="inlineStr">
        <x:is>
          <x:t xml:space="preserve">Implementation</x:t>
        </x:is>
      </x:c>
      <x:c r="C9" s="125" t="inlineStr">
        <x:is>
          <x:t xml:space="preserve">AppBar</x:t>
        </x:is>
      </x:c>
      <x:c r="D9" s="125" t="inlineStr">
        <x:is>
          <x:t xml:space="preserve">Responsive layout and spacing retain Atom semantics.</x:t>
        </x:is>
      </x:c>
      <x:c r="E9" s="125" t="inlineStr">
        <x:is>
          <x:t xml:space="preserve">package</x:t>
        </x:is>
      </x:c>
      <x:c r="F9" s="125" t="inlineStr">
        <x:is>
          <x:t xml:space="preserve">source</x:t>
        </x:is>
      </x:c>
      <x:c r="G9" s="125" t="inlineStr">
        <x:is>
          <x:t xml:space="preserve">../src/components/app-bar</x:t>
        </x:is>
      </x:c>
      <x:c r="H9" s="125" t="inlineStr">
        <x:is>
          <x:t xml:space="preserve">tested</x:t>
        </x:is>
      </x:c>
      <x:c r="I9" s="125" t="inlineStr">
        <x:is>
          <x:t xml:space="preserve">no</x:t>
        </x:is>
      </x:c>
      <x:c r="J9" s="141" t="n">
        <x:v>46280.5</x:v>
      </x:c>
      <x:c r="L9" s="125" t="n">
        <x:f>IF(H9="not applicable",1,IF(I9="yes",IF(H9="verified",1,0),IF(OR(H9="tested",H9="verified"),1,0)))</x:f>
        <x:v>1</x:v>
      </x:c>
      <x:c r="M9" s="125" t="n">
        <x:f>IF(H9="not applicable",IF(K9&lt;&gt;"",1,0),IF(I9="yes",IF(H9="verified",1,0),IF(OR(H9="tested",H9="verified"),1,0)))</x:f>
        <x:v>1</x:v>
      </x:c>
    </x:row>
    <x:row r="10" s="127" customFormat="1" ht="42" customHeight="1">
      <x:c r="A10" s="125" t="inlineStr">
        <x:is>
          <x:t xml:space="preserve">AB-02</x:t>
        </x:is>
      </x:c>
      <x:c r="B10" s="125" t="inlineStr">
        <x:is>
          <x:t xml:space="preserve">Exports</x:t>
        </x:is>
      </x:c>
      <x:c r="C10" s="125" t="inlineStr">
        <x:is>
          <x:t xml:space="preserve">AppBar</x:t>
        </x:is>
      </x:c>
      <x:c r="D10" s="125" t="inlineStr">
        <x:is>
          <x:t xml:space="preserve">Root and public subpath exports expose the component.</x:t>
        </x:is>
      </x:c>
      <x:c r="E10" s="125" t="inlineStr">
        <x:is>
          <x:t xml:space="preserve">package</x:t>
        </x:is>
      </x:c>
      <x:c r="F10" s="125" t="inlineStr">
        <x:is>
          <x:t xml:space="preserve">package</x:t>
        </x:is>
      </x:c>
      <x:c r="G10" s="125" t="inlineStr">
        <x:is>
          <x:t xml:space="preserve">../test/package/package.test.mjs</x:t>
        </x:is>
      </x:c>
      <x:c r="H10" s="125" t="inlineStr">
        <x:is>
          <x:t xml:space="preserve">tested</x:t>
        </x:is>
      </x:c>
      <x:c r="I10" s="125" t="inlineStr">
        <x:is>
          <x:t xml:space="preserve">no</x:t>
        </x:is>
      </x:c>
      <x:c r="J10" s="141" t="n">
        <x:v>46227</x:v>
      </x:c>
      <x:c r="L10" s="125" t="n">
        <x:f>IF(H10="not applicable",1,IF(I10="yes",IF(H10="verified",1,0),IF(OR(H10="tested",H10="verified"),1,0)))</x:f>
        <x:v>1</x:v>
      </x:c>
      <x:c r="M10" s="125" t="n">
        <x:f>IF(H10="not applicable",IF(K10&lt;&gt;"",1,0),IF(I10="yes",IF(H10="verified",1,0),IF(OR(H10="tested",H10="verified"),1,0)))</x:f>
        <x:v>1</x:v>
      </x:c>
    </x:row>
    <x:row r="11" s="127" customFormat="1" ht="42" customHeight="1">
      <x:c r="A11" s="125" t="inlineStr">
        <x:is>
          <x:t xml:space="preserve">AB-03</x:t>
        </x:is>
      </x:c>
      <x:c r="B11" s="125" t="inlineStr">
        <x:is>
          <x:t xml:space="preserve">Types</x:t>
        </x:is>
      </x:c>
      <x:c r="C11" s="125" t="inlineStr">
        <x:is>
          <x:t xml:space="preserve">AppBar</x:t>
        </x:is>
      </x:c>
      <x:c r="D11" s="125" t="inlineStr">
        <x:is>
          <x:t xml:space="preserve">Public props, refs, composition branches, and invalid cases type-check.</x:t>
        </x:is>
      </x:c>
      <x:c r="E11" s="125" t="inlineStr">
        <x:is>
          <x:t xml:space="preserve">package</x:t>
        </x:is>
      </x:c>
      <x:c r="F11" s="125" t="inlineStr">
        <x:is>
          <x:t xml:space="preserve">types</x:t>
        </x:is>
      </x:c>
      <x:c r="G11" s="125" t="inlineStr">
        <x:is>
          <x:t xml:space="preserve">../test/types/components/app-bar.test.ts</x:t>
        </x:is>
      </x:c>
      <x:c r="H11" s="125" t="inlineStr">
        <x:is>
          <x:t xml:space="preserve">tested</x:t>
        </x:is>
      </x:c>
      <x:c r="I11" s="125" t="inlineStr">
        <x:is>
          <x:t xml:space="preserve">no</x:t>
        </x:is>
      </x:c>
      <x:c r="J11" s="141" t="n">
        <x:v>46227</x:v>
      </x:c>
      <x:c r="L11" s="125" t="n">
        <x:f>IF(H11="not applicable",1,IF(I11="yes",IF(H11="verified",1,0),IF(OR(H11="tested",H11="verified"),1,0)))</x:f>
        <x:v>1</x:v>
      </x:c>
      <x:c r="M11" s="125" t="n">
        <x:f>IF(H11="not applicable",IF(K11&lt;&gt;"",1,0),IF(I11="yes",IF(H11="verified",1,0),IF(OR(H11="tested",H11="verified"),1,0)))</x:f>
        <x:v>1</x:v>
      </x:c>
    </x:row>
    <x:row r="12" s="127" customFormat="1" ht="42" customHeight="1">
      <x:c r="A12" s="125" t="inlineStr">
        <x:is>
          <x:t xml:space="preserve">AB-04</x:t>
        </x:is>
      </x:c>
      <x:c r="B12" s="125" t="inlineStr">
        <x:is>
          <x:t xml:space="preserve">CSS</x:t>
        </x:is>
      </x:c>
      <x:c r="C12" s="125" t="inlineStr">
        <x:is>
          <x:t xml:space="preserve">AppBar</x:t>
        </x:is>
      </x:c>
      <x:c r="D12" s="125" t="inlineStr">
        <x:is>
          <x:t xml:space="preserve">Elevation and spacing use shared tokens.</x:t>
        </x:is>
      </x:c>
      <x:c r="E12" s="125" t="inlineStr">
        <x:is>
          <x:t xml:space="preserve">package</x:t>
        </x:is>
      </x:c>
      <x:c r="F12" s="125" t="inlineStr">
        <x:is>
          <x:t xml:space="preserve">css</x:t>
        </x:is>
      </x:c>
      <x:c r="G12" s="125" t="inlineStr">
        <x:is>
          <x:t xml:space="preserve">../src/components/app-bar/app-bar.css</x:t>
        </x:is>
      </x:c>
      <x:c r="H12" s="125" t="inlineStr">
        <x:is>
          <x:t xml:space="preserve">tested</x:t>
        </x:is>
      </x:c>
      <x:c r="I12" s="125" t="inlineStr">
        <x:is>
          <x:t xml:space="preserve">no</x:t>
        </x:is>
      </x:c>
      <x:c r="J12" s="141" t="n">
        <x:v>46280.5</x:v>
      </x:c>
      <x:c r="L12" s="125" t="n">
        <x:f>IF(H12="not applicable",1,IF(I12="yes",IF(H12="verified",1,0),IF(OR(H12="tested",H12="verified"),1,0)))</x:f>
        <x:v>1</x:v>
      </x:c>
      <x:c r="M12" s="125" t="n">
        <x:f>IF(H12="not applicable",IF(K12&lt;&gt;"",1,0),IF(I12="yes",IF(H12="verified",1,0),IF(OR(H12="tested",H12="verified"),1,0)))</x:f>
        <x:v>1</x:v>
      </x:c>
    </x:row>
    <x:row r="13" s="127" customFormat="1" ht="42" customHeight="1">
      <x:c r="A13" s="125" t="inlineStr">
        <x:is>
          <x:t xml:space="preserve">AB-05</x:t>
        </x:is>
      </x:c>
      <x:c r="B13" s="125" t="inlineStr">
        <x:is>
          <x:t xml:space="preserve">Unit</x:t>
        </x:is>
      </x:c>
      <x:c r="C13" s="125" t="inlineStr">
        <x:is>
          <x:t xml:space="preserve">AppBar</x:t>
        </x:is>
      </x:c>
      <x:c r="D13" s="125" t="inlineStr">
        <x:is>
          <x:t xml:space="preserve">Responsive props, overrides and refs pass tests.</x:t>
        </x:is>
      </x:c>
      <x:c r="E13" s="125" t="inlineStr">
        <x:is>
          <x:t xml:space="preserve">package</x:t>
        </x:is>
      </x:c>
      <x:c r="F13" s="125" t="inlineStr">
        <x:is>
          <x:t xml:space="preserve">component</x:t>
        </x:is>
      </x:c>
      <x:c r="G13" s="125" t="inlineStr">
        <x:is>
          <x:t xml:space="preserve">../test/components/app-bar/app-bar.test.tsx</x:t>
        </x:is>
      </x:c>
      <x:c r="H13" s="125" t="inlineStr">
        <x:is>
          <x:t xml:space="preserve">tested</x:t>
        </x:is>
      </x:c>
      <x:c r="I13" s="125" t="inlineStr">
        <x:is>
          <x:t xml:space="preserve">no</x:t>
        </x:is>
      </x:c>
      <x:c r="J13" s="141" t="n">
        <x:v>46280.5</x:v>
      </x:c>
      <x:c r="L13" s="125" t="n">
        <x:f>IF(H13="not applicable",1,IF(I13="yes",IF(H13="verified",1,0),IF(OR(H13="tested",H13="verified"),1,0)))</x:f>
        <x:v>1</x:v>
      </x:c>
      <x:c r="M13" s="125" t="n">
        <x:f>IF(H13="not applicable",IF(K13&lt;&gt;"",1,0),IF(I13="yes",IF(H13="verified",1,0),IF(OR(H13="tested",H13="verified"),1,0)))</x:f>
        <x:v>1</x:v>
      </x:c>
    </x:row>
    <x:row r="14" s="127" customFormat="1" ht="42" customHeight="1">
      <x:c r="A14" s="125" t="inlineStr">
        <x:is>
          <x:t xml:space="preserve">AB-06</x:t>
        </x:is>
      </x:c>
      <x:c r="B14" s="125" t="inlineStr">
        <x:is>
          <x:t xml:space="preserve">Browser</x:t>
        </x:is>
      </x:c>
      <x:c r="C14" s="125" t="inlineStr">
        <x:is>
          <x:t xml:space="preserve">AppBar</x:t>
        </x:is>
      </x:c>
      <x:c r="D14" s="125" t="inlineStr">
        <x:is>
          <x:t xml:space="preserve">Breakpoint layouts and overlays pass browser tests.</x:t>
        </x:is>
      </x:c>
      <x:c r="E14" s="125" t="inlineStr">
        <x:is>
          <x:t xml:space="preserve">package</x:t>
        </x:is>
      </x:c>
      <x:c r="F14" s="125" t="inlineStr">
        <x:is>
          <x:t xml:space="preserve">browser</x:t>
        </x:is>
      </x:c>
      <x:c r="G14" s="125" t="inlineStr">
        <x:is>
          <x:t xml:space="preserve">tests/components/app-bar/documentation.spec.ts</x:t>
        </x:is>
      </x:c>
      <x:c r="H14" s="125" t="inlineStr">
        <x:is>
          <x:t xml:space="preserve">tested</x:t>
        </x:is>
      </x:c>
      <x:c r="I14" s="125" t="inlineStr">
        <x:is>
          <x:t xml:space="preserve">no</x:t>
        </x:is>
      </x:c>
      <x:c r="J14" s="141" t="n">
        <x:v>46280.5</x:v>
      </x:c>
      <x:c r="L14" s="125" t="n">
        <x:f>IF(H14="not applicable",1,IF(I14="yes",IF(H14="verified",1,0),IF(OR(H14="tested",H14="verified"),1,0)))</x:f>
        <x:v>1</x:v>
      </x:c>
      <x:c r="M14" s="125" t="n">
        <x:f>IF(H14="not applicable",IF(K14&lt;&gt;"",1,0),IF(I14="yes",IF(H14="verified",1,0),IF(OR(H14="tested",H14="verified"),1,0)))</x:f>
        <x:v>1</x:v>
      </x:c>
    </x:row>
    <x:row r="15" s="127" customFormat="1" ht="42" customHeight="1">
      <x:c r="A15" s="125" t="inlineStr">
        <x:is>
          <x:t xml:space="preserve">AB-07</x:t>
        </x:is>
      </x:c>
      <x:c r="B15" s="125" t="inlineStr">
        <x:is>
          <x:t xml:space="preserve">Accessibility</x:t>
        </x:is>
      </x:c>
      <x:c r="C15" s="125" t="inlineStr">
        <x:is>
          <x:t xml:space="preserve">AppBar</x:t>
        </x:is>
      </x:c>
      <x:c r="D15" s="125" t="inlineStr">
        <x:is>
          <x:t xml:space="preserve">Automated semantics and accessibility checks pass in the browser evidence suite.</x:t>
        </x:is>
      </x:c>
      <x:c r="E15" s="125" t="inlineStr">
        <x:is>
          <x:t xml:space="preserve">package</x:t>
        </x:is>
      </x:c>
      <x:c r="F15" s="125" t="inlineStr">
        <x:is>
          <x:t xml:space="preserve">axe</x:t>
        </x:is>
      </x:c>
      <x:c r="G15" s="125" t="inlineStr">
        <x:is>
          <x:t xml:space="preserve">tests/components/app-bar/behavior.spec.ts; tests/integration</x:t>
        </x:is>
      </x:c>
      <x:c r="H15" s="125" t="inlineStr">
        <x:is>
          <x:t xml:space="preserve">tested</x:t>
        </x:is>
      </x:c>
      <x:c r="I15" s="125" t="inlineStr">
        <x:is>
          <x:t xml:space="preserve">no</x:t>
        </x:is>
      </x:c>
      <x:c r="J15" s="141" t="n">
        <x:v>46227</x:v>
      </x:c>
      <x:c r="L15" s="125" t="n">
        <x:f>IF(H15="not applicable",1,IF(I15="yes",IF(H15="verified",1,0),IF(OR(H15="tested",H15="verified"),1,0)))</x:f>
        <x:v>1</x:v>
      </x:c>
      <x:c r="M15" s="125" t="n">
        <x:f>IF(H15="not applicable",IF(K15&lt;&gt;"",1,0),IF(I15="yes",IF(H15="verified",1,0),IF(OR(H15="tested",H15="verified"),1,0)))</x:f>
        <x:v>1</x:v>
      </x:c>
    </x:row>
    <x:row r="16" s="127" customFormat="1" ht="42" customHeight="1">
      <x:c r="A16" s="125" t="inlineStr">
        <x:is>
          <x:t xml:space="preserve">AB-08</x:t>
        </x:is>
      </x:c>
      <x:c r="B16" s="125" t="inlineStr">
        <x:is>
          <x:t xml:space="preserve">Visual</x:t>
        </x:is>
      </x:c>
      <x:c r="C16" s="125" t="inlineStr">
        <x:is>
          <x:t xml:space="preserve">AppBar</x:t>
        </x:is>
      </x:c>
      <x:c r="D16" s="125" t="inlineStr">
        <x:is>
          <x:t xml:space="preserve">Five baselines and light/dark docs inspected.</x:t>
        </x:is>
      </x:c>
      <x:c r="E16" s="125" t="inlineStr">
        <x:is>
          <x:t xml:space="preserve">package</x:t>
        </x:is>
      </x:c>
      <x:c r="F16" s="125" t="inlineStr">
        <x:is>
          <x:t xml:space="preserve">visual</x:t>
        </x:is>
      </x:c>
      <x:c r="G16" s="125" t="inlineStr">
        <x:is>
          <x:t xml:space="preserve">tests/components/app-bar/visual.spec.ts</x:t>
        </x:is>
      </x:c>
      <x:c r="H16" s="125" t="inlineStr">
        <x:is>
          <x:t xml:space="preserve">tested</x:t>
        </x:is>
      </x:c>
      <x:c r="I16" s="125" t="inlineStr">
        <x:is>
          <x:t xml:space="preserve">yes</x:t>
        </x:is>
      </x:c>
      <x:c r="J16" s="141" t="n">
        <x:v>46280.5</x:v>
      </x:c>
      <x:c r="K16" s="125" t="inlineStr">
        <x:is>
          <x:t xml:space="preserve">Human approval remains open.</x:t>
        </x:is>
      </x:c>
      <x:c r="L16" s="125" t="n">
        <x:f>IF(H16="not applicable",1,IF(I16="yes",IF(H16="verified",1,0),IF(OR(H16="tested",H16="verified"),1,0)))</x:f>
        <x:v>0</x:v>
      </x:c>
      <x:c r="M16" s="125" t="n">
        <x:f>IF(H16="not applicable",IF(K16&lt;&gt;"",1,0),IF(I16="yes",IF(H16="verified",1,0),IF(OR(H16="tested",H16="verified"),1,0)))</x:f>
        <x:v>0</x:v>
      </x:c>
    </x:row>
    <x:row r="17" s="127" customFormat="1" ht="42" customHeight="1">
      <x:c r="A17" s="125" t="inlineStr">
        <x:is>
          <x:t xml:space="preserve">AB-09</x:t>
        </x:is>
      </x:c>
      <x:c r="B17" s="125" t="inlineStr">
        <x:is>
          <x:t xml:space="preserve">Responsive</x:t>
        </x:is>
      </x:c>
      <x:c r="C17" s="125" t="inlineStr">
        <x:is>
          <x:t xml:space="preserve">AppBar</x:t>
        </x:is>
      </x:c>
      <x:c r="D17" s="125" t="inlineStr">
        <x:is>
          <x:t xml:space="preserve">Mobile, zoom/reflow, content stress, and RTL remain usable and contained.</x:t>
        </x:is>
      </x:c>
      <x:c r="E17" s="125" t="inlineStr">
        <x:is>
          <x:t xml:space="preserve">package</x:t>
        </x:is>
      </x:c>
      <x:c r="F17" s="125" t="inlineStr">
        <x:is>
          <x:t xml:space="preserve">manual</x:t>
        </x:is>
      </x:c>
      <x:c r="G17" s="125" t="inlineStr">
        <x:is>
          <x:t xml:space="preserve">manual-tests/app-bar.md</x:t>
        </x:is>
      </x:c>
      <x:c r="H17" s="125" t="inlineStr">
        <x:is>
          <x:t xml:space="preserve">implemented</x:t>
        </x:is>
      </x:c>
      <x:c r="I17" s="125" t="inlineStr">
        <x:is>
          <x:t xml:space="preserve">yes</x:t>
        </x:is>
      </x:c>
      <x:c r="J17" s="141" t="n"/>
      <x:c r="K17" s="125" t="inlineStr">
        <x:is>
          <x:t xml:space="preserve">Human protocol remains pending. Automated and visual evidence stays in its owning tests and does not complete this human gate.</x:t>
        </x:is>
      </x:c>
      <x:c r="L17" s="125" t="n">
        <x:f>IF(H17="not applicable",1,IF(I17="yes",IF(H17="verified",1,0),IF(OR(H17="tested",H17="verified"),1,0)))</x:f>
        <x:v>0</x:v>
      </x:c>
      <x:c r="M17" s="125" t="n">
        <x:f>IF(H17="not applicable",IF(K17&lt;&gt;"",1,0),IF(I17="yes",IF(H17="verified",1,0),IF(OR(H17="tested",H17="verified"),1,0)))</x:f>
        <x:v>0</x:v>
      </x:c>
    </x:row>
    <x:row r="18" s="127" customFormat="1" ht="42" customHeight="1">
      <x:c r="A18" s="125" t="inlineStr">
        <x:is>
          <x:t xml:space="preserve">AB-10</x:t>
        </x:is>
      </x:c>
      <x:c r="B18" s="125" t="inlineStr">
        <x:is>
          <x:t xml:space="preserve">Theme</x:t>
        </x:is>
      </x:c>
      <x:c r="C18" s="125" t="inlineStr">
        <x:is>
          <x:t xml:space="preserve">AppBar</x:t>
        </x:is>
      </x:c>
      <x:c r="D18" s="125" t="inlineStr">
        <x:is>
          <x:t xml:space="preserve">Light, dark, focus, forced-colors, and relevant motion behavior remain perceivable.</x:t>
        </x:is>
      </x:c>
      <x:c r="E18" s="125" t="inlineStr">
        <x:is>
          <x:t xml:space="preserve">package</x:t>
        </x:is>
      </x:c>
      <x:c r="F18" s="125" t="inlineStr">
        <x:is>
          <x:t xml:space="preserve">manual</x:t>
        </x:is>
      </x:c>
      <x:c r="G18" s="125" t="inlineStr">
        <x:is>
          <x:t xml:space="preserve">manual-tests/app-bar.md</x:t>
        </x:is>
      </x:c>
      <x:c r="H18" s="125" t="inlineStr">
        <x:is>
          <x:t xml:space="preserve">implemented</x:t>
        </x:is>
      </x:c>
      <x:c r="I18" s="125" t="inlineStr">
        <x:is>
          <x:t xml:space="preserve">yes</x:t>
        </x:is>
      </x:c>
      <x:c r="J18" s="141" t="n"/>
      <x:c r="K18" s="125" t="inlineStr">
        <x:is>
          <x:t xml:space="preserve">Human protocol remains pending. Automated and visual evidence stays in its owning tests and does not complete this human gate.</x:t>
        </x:is>
      </x:c>
      <x:c r="L18" s="125" t="n">
        <x:f>IF(H18="not applicable",1,IF(I18="yes",IF(H18="verified",1,0),IF(OR(H18="tested",H18="verified"),1,0)))</x:f>
        <x:v>0</x:v>
      </x:c>
      <x:c r="M18" s="125" t="n">
        <x:f>IF(H18="not applicable",IF(K18&lt;&gt;"",1,0),IF(I18="yes",IF(H18="verified",1,0),IF(OR(H18="tested",H18="verified"),1,0)))</x:f>
        <x:v>0</x:v>
      </x:c>
    </x:row>
    <x:row r="19" s="127" customFormat="1" ht="42" customHeight="1">
      <x:c r="A19" s="125" t="inlineStr">
        <x:is>
          <x:t xml:space="preserve">AB-11</x:t>
        </x:is>
      </x:c>
      <x:c r="B19" s="125" t="inlineStr">
        <x:is>
          <x:t xml:space="preserve">Composition</x:t>
        </x:is>
      </x:c>
      <x:c r="C19" s="125" t="inlineStr">
        <x:is>
          <x:t xml:space="preserve">AppBar</x:t>
        </x:is>
      </x:c>
      <x:c r="D19" s="125" t="inlineStr">
        <x:is>
          <x:t xml:space="preserve">Default, render, and asChild output preserve the intended element, slots, state, and relationships.</x:t>
        </x:is>
      </x:c>
      <x:c r="E19" s="125" t="inlineStr">
        <x:is>
          <x:t xml:space="preserve">package</x:t>
        </x:is>
      </x:c>
      <x:c r="F19" s="125" t="inlineStr">
        <x:is>
          <x:t xml:space="preserve">manual</x:t>
        </x:is>
      </x:c>
      <x:c r="G19" s="125" t="inlineStr">
        <x:is>
          <x:t xml:space="preserve">manual-tests/app-bar.md; tests/components/app-bar/behavior.spec.ts</x:t>
        </x:is>
      </x:c>
      <x:c r="H19" s="125" t="inlineStr">
        <x:is>
          <x:t xml:space="preserve">implemented</x:t>
        </x:is>
      </x:c>
      <x:c r="I19" s="125" t="inlineStr">
        <x:is>
          <x:t xml:space="preserve">yes</x:t>
        </x:is>
      </x:c>
      <x:c r="J19" s="141" t="n"/>
      <x:c r="K19" s="125" t="inlineStr">
        <x:is>
          <x:t xml:space="preserve">Human protocol remains pending. Automated and visual evidence stays in its owning tests and does not complete this human gate.</x:t>
        </x:is>
      </x:c>
      <x:c r="L19" s="125" t="n">
        <x:f>IF(H19="not applicable",1,IF(I19="yes",IF(H19="verified",1,0),IF(OR(H19="tested",H19="verified"),1,0)))</x:f>
        <x:v>0</x:v>
      </x:c>
      <x:c r="M19" s="125" t="n">
        <x:f>IF(H19="not applicable",IF(K19&lt;&gt;"",1,0),IF(I19="yes",IF(H19="verified",1,0),IF(OR(H19="tested",H19="verified"),1,0)))</x:f>
        <x:v>0</x:v>
      </x:c>
    </x:row>
    <x:row r="20" s="127" customFormat="1" ht="42" customHeight="1">
      <x:c r="A20" s="125" t="inlineStr">
        <x:is>
          <x:t xml:space="preserve">AB-12</x:t>
        </x:is>
      </x:c>
      <x:c r="B20" s="125" t="inlineStr">
        <x:is>
          <x:t xml:space="preserve">Manual</x:t>
        </x:is>
      </x:c>
      <x:c r="C20" s="125" t="inlineStr">
        <x:is>
          <x:t xml:space="preserve">AppBar</x:t>
        </x:is>
      </x:c>
      <x:c r="D20" s="125" t="inlineStr">
        <x:is>
          <x:t xml:space="preserve">The complete component-owned manual protocol passed against every playground scenario.</x:t>
        </x:is>
      </x:c>
      <x:c r="E20" s="125" t="inlineStr">
        <x:is>
          <x:t xml:space="preserve">package</x:t>
        </x:is>
      </x:c>
      <x:c r="F20" s="125" t="inlineStr">
        <x:is>
          <x:t xml:space="preserve">manual</x:t>
        </x:is>
      </x:c>
      <x:c r="G20" s="125" t="inlineStr">
        <x:is>
          <x:t xml:space="preserve">manual-tests/app-bar.md</x:t>
        </x:is>
      </x:c>
      <x:c r="H20" s="125" t="inlineStr">
        <x:is>
          <x:t xml:space="preserve">implemented</x:t>
        </x:is>
      </x:c>
      <x:c r="I20" s="125" t="inlineStr">
        <x:is>
          <x:t xml:space="preserve">yes</x:t>
        </x:is>
      </x:c>
      <x:c r="J20" s="141" t="n"/>
      <x:c r="K20" s="125" t="inlineStr">
        <x:is>
          <x:t xml:space="preserve">Human protocol remains pending. Automated and visual evidence stays in its owning tests and does not complete this human gate.</x:t>
        </x:is>
      </x:c>
      <x:c r="L20" s="125" t="n">
        <x:f>IF(H20="not applicable",1,IF(I20="yes",IF(H20="verified",1,0),IF(OR(H20="tested",H20="verified"),1,0)))</x:f>
        <x:v>0</x:v>
      </x:c>
      <x:c r="M20" s="125" t="n">
        <x:f>IF(H20="not applicable",IF(K20&lt;&gt;"",1,0),IF(I20="yes",IF(H20="verified",1,0),IF(OR(H20="tested",H20="verified"),1,0)))</x:f>
        <x:v>0</x:v>
      </x:c>
    </x:row>
    <x:row r="21" s="127" customFormat="1" ht="42" customHeight="1">
      <x:c r="A21" s="125" t="inlineStr">
        <x:is>
          <x:t xml:space="preserve">AB-13</x:t>
        </x:is>
      </x:c>
      <x:c r="B21" s="125" t="inlineStr">
        <x:is>
          <x:t xml:space="preserve">Docs</x:t>
        </x:is>
      </x:c>
      <x:c r="C21" s="125" t="inlineStr">
        <x:is>
          <x:t xml:space="preserve">AppBar</x:t>
        </x:is>
      </x:c>
      <x:c r="D21" s="125" t="inlineStr">
        <x:is>
          <x:t xml:space="preserve">Examples and prop tables document the API.</x:t>
        </x:is>
      </x:c>
      <x:c r="E21" s="125" t="inlineStr">
        <x:is>
          <x:t xml:space="preserve">package</x:t>
        </x:is>
      </x:c>
      <x:c r="F21" s="125" t="inlineStr">
        <x:is>
          <x:t xml:space="preserve">docs</x:t>
        </x:is>
      </x:c>
      <x:c r="G21" s="125" t="inlineStr">
        <x:is>
          <x:t xml:space="preserve">../docs/components/app-bar/README.md</x:t>
        </x:is>
      </x:c>
      <x:c r="H21" s="125" t="inlineStr">
        <x:is>
          <x:t xml:space="preserve">tested</x:t>
        </x:is>
      </x:c>
      <x:c r="I21" s="125" t="inlineStr">
        <x:is>
          <x:t xml:space="preserve">no</x:t>
        </x:is>
      </x:c>
      <x:c r="J21" s="141" t="n">
        <x:v>46280.5</x:v>
      </x:c>
      <x:c r="L21" s="125" t="n">
        <x:f>IF(H21="not applicable",1,IF(I21="yes",IF(H21="verified",1,0),IF(OR(H21="tested",H21="verified"),1,0)))</x:f>
        <x:v>1</x:v>
      </x:c>
      <x:c r="M21" s="125" t="n">
        <x:f>IF(H21="not applicable",IF(K21&lt;&gt;"",1,0),IF(I21="yes",IF(H21="verified",1,0),IF(OR(H21="tested",H21="verified"),1,0)))</x:f>
        <x:v>1</x:v>
      </x:c>
    </x:row>
    <x:row r="22" s="127" customFormat="1" ht="42" customHeight="1">
      <x:c r="A22" s="125" t="inlineStr">
        <x:is>
          <x:t xml:space="preserve">AB-14</x:t>
        </x:is>
      </x:c>
      <x:c r="B22" s="125" t="inlineStr">
        <x:is>
          <x:t xml:space="preserve">Changelog</x:t>
        </x:is>
      </x:c>
      <x:c r="C22" s="125" t="inlineStr">
        <x:is>
          <x:t xml:space="preserve">AppBar</x:t>
        </x:is>
      </x:c>
      <x:c r="D22" s="125" t="inlineStr">
        <x:is>
          <x:t xml:space="preserve">The component owns a public changelog.</x:t>
        </x:is>
      </x:c>
      <x:c r="E22" s="125" t="inlineStr">
        <x:is>
          <x:t xml:space="preserve">package</x:t>
        </x:is>
      </x:c>
      <x:c r="F22" s="125" t="inlineStr">
        <x:is>
          <x:t xml:space="preserve">docs</x:t>
        </x:is>
      </x:c>
      <x:c r="G22" s="125" t="inlineStr">
        <x:is>
          <x:t xml:space="preserve">../docs/components/app-bar/CHANGELOG.md</x:t>
        </x:is>
      </x:c>
      <x:c r="H22" s="125" t="inlineStr">
        <x:is>
          <x:t xml:space="preserve">tested</x:t>
        </x:is>
      </x:c>
      <x:c r="I22" s="125" t="inlineStr">
        <x:is>
          <x:t xml:space="preserve">no</x:t>
        </x:is>
      </x:c>
      <x:c r="J22" s="141" t="n">
        <x:v>46227</x:v>
      </x:c>
      <x:c r="L22" s="125" t="n">
        <x:f>IF(H22="not applicable",1,IF(I22="yes",IF(H22="verified",1,0),IF(OR(H22="tested",H22="verified"),1,0)))</x:f>
        <x:v>1</x:v>
      </x:c>
      <x:c r="M22" s="125" t="n">
        <x:f>IF(H22="not applicable",IF(K22&lt;&gt;"",1,0),IF(I22="yes",IF(H22="verified",1,0),IF(OR(H22="tested",H22="verified"),1,0)))</x:f>
        <x:v>1</x:v>
      </x:c>
    </x:row>
    <x:row r="23" s="127" customFormat="1" ht="42" customHeight="1">
      <x:c r="A23" s="125" t="inlineStr">
        <x:is>
          <x:t xml:space="preserve">AB-15</x:t>
        </x:is>
      </x:c>
      <x:c r="B23" s="125" t="inlineStr">
        <x:is>
          <x:t xml:space="preserve">Consumer</x:t>
        </x:is>
      </x:c>
      <x:c r="C23" s="125" t="inlineStr">
        <x:is>
          <x:t xml:space="preserve">AppBar</x:t>
        </x:is>
      </x:c>
      <x:c r="D23" s="125" t="inlineStr">
        <x:is>
          <x:t xml:space="preserve">The standalone consumer imports and exercises the public package component.</x:t>
        </x:is>
      </x:c>
      <x:c r="E23" s="125" t="inlineStr">
        <x:is>
          <x:t xml:space="preserve">consumer</x:t>
        </x:is>
      </x:c>
      <x:c r="F23" s="125" t="inlineStr">
        <x:is>
          <x:t xml:space="preserve">consumer</x:t>
        </x:is>
      </x:c>
      <x:c r="G23" s="125" t="inlineStr">
        <x:is>
          <x:t xml:space="preserve">../apps/consumer/src/App.tsx; ../apps/consumer/tests/consumer.spec.ts</x:t>
        </x:is>
      </x:c>
      <x:c r="H23" s="125" t="inlineStr">
        <x:is>
          <x:t xml:space="preserve">partial</x:t>
        </x:is>
      </x:c>
      <x:c r="I23" s="125" t="inlineStr">
        <x:is>
          <x:t xml:space="preserve">no</x:t>
        </x:is>
      </x:c>
      <x:c r="J23" s="141" t="n">
        <x:v>46227</x:v>
      </x:c>
      <x:c r="K23" s="138" t="inlineStr">
        <x:is>
          <x:t xml:space="preserve">App Consumer not rerun.</x:t>
        </x:is>
      </x:c>
      <x:c r="L23" s="125" t="n">
        <x:f>IF(H23="not applicable",1,IF(I23="yes",IF(H23="verified",1,0),IF(OR(H23="tested",H23="verified"),1,0)))</x:f>
        <x:v>0</x:v>
      </x:c>
      <x:c r="M23" s="125" t="n">
        <x:f>IF(H23="not applicable",IF(K23&lt;&gt;"",1,0),IF(I23="yes",IF(H23="verified",1,0),IF(OR(H23="tested",H23="verified"),1,0)))</x:f>
        <x:v>0</x:v>
      </x:c>
    </x:row>
    <x:row r="24" s="127" customFormat="1" ht="42" customHeight="1">
      <x:c r="A24" s="125" t="inlineStr">
        <x:is>
          <x:t xml:space="preserve">AB-16</x:t>
        </x:is>
      </x:c>
      <x:c r="B24" s="125" t="inlineStr">
        <x:is>
          <x:t xml:space="preserve">Package</x:t>
        </x:is>
      </x:c>
      <x:c r="C24" s="125" t="inlineStr">
        <x:is>
          <x:t xml:space="preserve">AppBar</x:t>
        </x:is>
      </x:c>
      <x:c r="D24" s="125" t="inlineStr">
        <x:is>
          <x:t xml:space="preserve">Build, exports, tarball, CSS, and consumer boundary verification pass.</x:t>
        </x:is>
      </x:c>
      <x:c r="E24" s="125" t="inlineStr">
        <x:is>
          <x:t xml:space="preserve">package</x:t>
        </x:is>
      </x:c>
      <x:c r="F24" s="125" t="inlineStr">
        <x:is>
          <x:t xml:space="preserve">package</x:t>
        </x:is>
      </x:c>
      <x:c r="G24" s="125" t="inlineStr">
        <x:is>
          <x:t xml:space="preserve">../scripts/verify-package.mjs; ../scripts/verify-consumers.mjs</x:t>
        </x:is>
      </x:c>
      <x:c r="H24" s="125" t="inlineStr">
        <x:is>
          <x:t xml:space="preserve">tested</x:t>
        </x:is>
      </x:c>
      <x:c r="I24" s="125" t="inlineStr">
        <x:is>
          <x:t xml:space="preserve">no</x:t>
        </x:is>
      </x:c>
      <x:c r="J24" s="141" t="n">
        <x:v>46227</x:v>
      </x:c>
      <x:c r="L24" s="125" t="n">
        <x:f>IF(H24="not applicable",1,IF(I24="yes",IF(H24="verified",1,0),IF(OR(H24="tested",H24="verified"),1,0)))</x:f>
        <x:v>1</x:v>
      </x:c>
      <x:c r="M24" s="125" t="n">
        <x:f>IF(H24="not applicable",IF(K24&lt;&gt;"",1,0),IF(I24="yes",IF(H24="verified",1,0),IF(OR(H24="tested",H24="verified"),1,0)))</x:f>
        <x:v>1</x:v>
      </x:c>
    </x:row>
  </x:sheetData>
  <x:mergeCells>
    <x:mergeCell ref="A2:M2"/>
    <x:mergeCell ref="A1:M1"/>
  </x:mergeCells>
  <x:conditionalFormatting sqref="H9:H24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1" showDropDown="0" showInputMessage="1" showErrorMessage="1" sqref="H9:H24">
      <x:formula1>"not started,partial,implemented,tested,verified,blocked,not applicable"</x:formula1>
      <x:formula2>0</x:formula2>
    </x:dataValidation>
    <x:dataValidation type="list" errorStyle="stop" operator="between" allowBlank="1" showDropDown="0" showInputMessage="1" showErrorMessage="1" sqref="I9:I24">
      <x:formula1>"yes,no"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43ee074f0ee48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Avatar Evidence</x:t>
        </x:is>
      </x:c>
    </x:row>
    <x:row r="2" s="127" customFormat="1" ht="27.75" customHeight="1">
      <x:c r="A2" s="129" t="inlineStr">
        <x:is>
          <x:t xml:space="preserve">Assertion-level package, browser, human-review, documentation, and consumer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COUNTA(A9:A200)</x:f>
        <x:v>16</x:v>
      </x:c>
      <x:c r="D4" s="130" t="inlineStr">
        <x:is>
          <x:t xml:space="preserve">Resolved</x:t>
        </x:is>
      </x:c>
      <x:c r="E4" s="131" t="n">
        <x:f>SUM(M9:M200)</x:f>
        <x:v>12</x:v>
      </x:c>
      <x:c r="G4" s="130" t="inlineStr">
        <x:is>
          <x:t xml:space="preserve">Completion</x:t>
        </x:is>
      </x:c>
      <x:c r="H4" s="132" t="n">
        <x:f>IF(B4=0,0,E4/B4)</x:f>
        <x:v>0.75</x:v>
      </x:c>
      <x:c r="J4" s="130" t="inlineStr">
        <x:is>
          <x:t xml:space="preserve">Package gate</x:t>
        </x:is>
      </x:c>
      <x:c r="K4" s="131" t="str"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v>open</x:v>
      </x:c>
      <x:c r="D5" s="130" t="inlineStr">
        <x:is>
          <x:t xml:space="preserve">Consumer gate</x:t>
        </x:is>
      </x:c>
      <x:c r="E5" s="131" t="str">
        <x:v>open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42" customHeight="1">
      <x:c r="A9" s="125" t="inlineStr">
        <x:is>
          <x:t xml:space="preserve">A-01</x:t>
        </x:is>
      </x:c>
      <x:c r="B9" s="125" t="inlineStr">
        <x:is>
          <x:t xml:space="preserve">Implementation</x:t>
        </x:is>
      </x:c>
      <x:c r="C9" s="125" t="inlineStr">
        <x:is>
          <x:t xml:space="preserve">Avatar</x:t>
        </x:is>
      </x:c>
      <x:c r="D9" s="125" t="inlineStr">
        <x:is>
          <x:t xml:space="preserve">Public component implementation and Atom adapter exist.</x:t>
        </x:is>
      </x:c>
      <x:c r="E9" s="125" t="inlineStr">
        <x:is>
          <x:t xml:space="preserve">package</x:t>
        </x:is>
      </x:c>
      <x:c r="F9" s="125" t="inlineStr">
        <x:is>
          <x:t xml:space="preserve">source</x:t>
        </x:is>
      </x:c>
      <x:c r="G9" s="125" t="inlineStr">
        <x:is>
          <x:t xml:space="preserve">../src/components/avatar</x:t>
        </x:is>
      </x:c>
      <x:c r="H9" s="125" t="inlineStr">
        <x:is>
          <x:t xml:space="preserve">tested</x:t>
        </x:is>
      </x:c>
      <x:c r="I9" s="125" t="inlineStr">
        <x:is>
          <x:t xml:space="preserve">no</x:t>
        </x:is>
      </x:c>
      <x:c r="J9" s="141" t="n">
        <x:v>46227</x:v>
      </x:c>
      <x:c r="L9" s="125" t="n">
        <x:v>1</x:v>
      </x:c>
      <x:c r="M9" s="125" t="n">
        <x:f>IF(H9="not applicable",IF(K9&lt;&gt;"",1,0),IF(I9="yes",IF(H9="verified",1,0),IF(OR(H9="tested",H9="verified"),1,0)))</x:f>
        <x:v>1</x:v>
      </x:c>
    </x:row>
    <x:row r="10" s="127" customFormat="1" ht="42" customHeight="1">
      <x:c r="A10" s="125" t="inlineStr">
        <x:is>
          <x:t xml:space="preserve">A-02</x:t>
        </x:is>
      </x:c>
      <x:c r="B10" s="125" t="inlineStr">
        <x:is>
          <x:t xml:space="preserve">Exports</x:t>
        </x:is>
      </x:c>
      <x:c r="C10" s="125" t="inlineStr">
        <x:is>
          <x:t xml:space="preserve">Avatar</x:t>
        </x:is>
      </x:c>
      <x:c r="D10" s="125" t="inlineStr">
        <x:is>
          <x:t xml:space="preserve">Root and public subpath exports expose the component.</x:t>
        </x:is>
      </x:c>
      <x:c r="E10" s="125" t="inlineStr">
        <x:is>
          <x:t xml:space="preserve">package</x:t>
        </x:is>
      </x:c>
      <x:c r="F10" s="125" t="inlineStr">
        <x:is>
          <x:t xml:space="preserve">package</x:t>
        </x:is>
      </x:c>
      <x:c r="G10" s="125" t="inlineStr">
        <x:is>
          <x:t xml:space="preserve">../test/package/package.test.mjs</x:t>
        </x:is>
      </x:c>
      <x:c r="H10" s="125" t="inlineStr">
        <x:is>
          <x:t xml:space="preserve">tested</x:t>
        </x:is>
      </x:c>
      <x:c r="I10" s="125" t="inlineStr">
        <x:is>
          <x:t xml:space="preserve">no</x:t>
        </x:is>
      </x:c>
      <x:c r="J10" s="141" t="n">
        <x:v>46227</x:v>
      </x:c>
      <x:c r="L10" s="125" t="n">
        <x:v>1</x:v>
      </x:c>
      <x:c r="M10" s="125" t="n">
        <x:f>IF(H10="not applicable",IF(K10&lt;&gt;"",1,0),IF(I10="yes",IF(H10="verified",1,0),IF(OR(H10="tested",H10="verified"),1,0)))</x:f>
        <x:v>1</x:v>
      </x:c>
    </x:row>
    <x:row r="11" s="127" customFormat="1" ht="42" customHeight="1">
      <x:c r="A11" s="125" t="inlineStr">
        <x:is>
          <x:t xml:space="preserve">A-03</x:t>
        </x:is>
      </x:c>
      <x:c r="B11" s="125" t="inlineStr">
        <x:is>
          <x:t xml:space="preserve">Types</x:t>
        </x:is>
      </x:c>
      <x:c r="C11" s="125" t="inlineStr">
        <x:is>
          <x:t xml:space="preserve">Avatar</x:t>
        </x:is>
      </x:c>
      <x:c r="D11" s="125" t="inlineStr">
        <x:is>
          <x:t xml:space="preserve">Public props, refs, composition branches, and invalid cases type-check.</x:t>
        </x:is>
      </x:c>
      <x:c r="E11" s="125" t="inlineStr">
        <x:is>
          <x:t xml:space="preserve">package</x:t>
        </x:is>
      </x:c>
      <x:c r="F11" s="125" t="inlineStr">
        <x:is>
          <x:t xml:space="preserve">types</x:t>
        </x:is>
      </x:c>
      <x:c r="G11" s="125" t="inlineStr">
        <x:is>
          <x:t xml:space="preserve">../test/types/components/avatar.test.ts</x:t>
        </x:is>
      </x:c>
      <x:c r="H11" s="125" t="inlineStr">
        <x:is>
          <x:t xml:space="preserve">tested</x:t>
        </x:is>
      </x:c>
      <x:c r="I11" s="125" t="inlineStr">
        <x:is>
          <x:t xml:space="preserve">no</x:t>
        </x:is>
      </x:c>
      <x:c r="J11" s="141" t="n">
        <x:v>46227</x:v>
      </x:c>
      <x:c r="L11" s="125" t="n">
        <x:v>1</x:v>
      </x:c>
      <x:c r="M11" s="125" t="n">
        <x:f>IF(H11="not applicable",IF(K11&lt;&gt;"",1,0),IF(I11="yes",IF(H11="verified",1,0),IF(OR(H11="tested",H11="verified"),1,0)))</x:f>
        <x:v>1</x:v>
      </x:c>
    </x:row>
    <x:row r="12" s="127" customFormat="1" ht="42" customHeight="1">
      <x:c r="A12" s="125" t="inlineStr">
        <x:is>
          <x:t xml:space="preserve">A-04</x:t>
        </x:is>
      </x:c>
      <x:c r="B12" s="125" t="inlineStr">
        <x:is>
          <x:t xml:space="preserve">CSS</x:t>
        </x:is>
      </x:c>
      <x:c r="C12" s="125" t="inlineStr">
        <x:is>
          <x:t xml:space="preserve">Avatar</x:t>
        </x:is>
      </x:c>
      <x:c r="D12" s="125" t="inlineStr">
        <x:is>
          <x:t xml:space="preserve">Static public CSS, classes, slots, recipes, states, and tokens are present.</x:t>
        </x:is>
      </x:c>
      <x:c r="E12" s="125" t="inlineStr">
        <x:is>
          <x:t xml:space="preserve">package</x:t>
        </x:is>
      </x:c>
      <x:c r="F12" s="125" t="inlineStr">
        <x:is>
          <x:t xml:space="preserve">css</x:t>
        </x:is>
      </x:c>
      <x:c r="G12" s="125" t="inlineStr">
        <x:is>
          <x:t xml:space="preserve">../src/components/avatar/avatar.css</x:t>
        </x:is>
      </x:c>
      <x:c r="H12" s="125" t="inlineStr">
        <x:is>
          <x:t xml:space="preserve">tested</x:t>
        </x:is>
      </x:c>
      <x:c r="I12" s="125" t="inlineStr">
        <x:is>
          <x:t xml:space="preserve">no</x:t>
        </x:is>
      </x:c>
      <x:c r="J12" s="141" t="n">
        <x:v>46227</x:v>
      </x:c>
      <x:c r="L12" s="125" t="n">
        <x:v>1</x:v>
      </x:c>
      <x:c r="M12" s="125" t="n">
        <x:f>IF(H12="not applicable",IF(K12&lt;&gt;"",1,0),IF(I12="yes",IF(H12="verified",1,0),IF(OR(H12="tested",H12="verified"),1,0)))</x:f>
        <x:v>1</x:v>
      </x:c>
    </x:row>
    <x:row r="13" s="127" customFormat="1" ht="42" customHeight="1">
      <x:c r="A13" s="125" t="inlineStr">
        <x:is>
          <x:t xml:space="preserve">A-05</x:t>
        </x:is>
      </x:c>
      <x:c r="B13" s="125" t="inlineStr">
        <x:is>
          <x:t xml:space="preserve">Unit</x:t>
        </x:is>
      </x:c>
      <x:c r="C13" s="125" t="inlineStr">
        <x:is>
          <x:t xml:space="preserve">Avatar</x:t>
        </x:is>
      </x:c>
      <x:c r="D13" s="125" t="inlineStr">
        <x:is>
          <x:t xml:space="preserve">Brick-owned DOM, recipes, adapters, and public hooks pass focused tests.</x:t>
        </x:is>
      </x:c>
      <x:c r="E13" s="125" t="inlineStr">
        <x:is>
          <x:t xml:space="preserve">package</x:t>
        </x:is>
      </x:c>
      <x:c r="F13" s="125" t="inlineStr">
        <x:is>
          <x:t xml:space="preserve">component</x:t>
        </x:is>
      </x:c>
      <x:c r="G13" s="125" t="inlineStr">
        <x:is>
          <x:t xml:space="preserve">../test/components/avatar/avatar.test.tsx</x:t>
        </x:is>
      </x:c>
      <x:c r="H13" s="125" t="inlineStr">
        <x:is>
          <x:t xml:space="preserve">tested</x:t>
        </x:is>
      </x:c>
      <x:c r="I13" s="125" t="inlineStr">
        <x:is>
          <x:t xml:space="preserve">no</x:t>
        </x:is>
      </x:c>
      <x:c r="J13" s="141" t="n">
        <x:v>46227</x:v>
      </x:c>
      <x:c r="L13" s="125" t="n">
        <x:v>1</x:v>
      </x:c>
      <x:c r="M13" s="125" t="n">
        <x:f>IF(H13="not applicable",IF(K13&lt;&gt;"",1,0),IF(I13="yes",IF(H13="verified",1,0),IF(OR(H13="tested",H13="verified"),1,0)))</x:f>
        <x:v>1</x:v>
      </x:c>
    </x:row>
    <x:row r="14" s="127" customFormat="1" ht="42" customHeight="1">
      <x:c r="A14" s="125" t="inlineStr">
        <x:is>
          <x:t xml:space="preserve">A-06</x:t>
        </x:is>
      </x:c>
      <x:c r="B14" s="125" t="inlineStr">
        <x:is>
          <x:t xml:space="preserve">Browser</x:t>
        </x:is>
      </x:c>
      <x:c r="C14" s="125" t="inlineStr">
        <x:is>
          <x:t xml:space="preserve">Avatar</x:t>
        </x:is>
      </x:c>
      <x:c r="D14" s="125" t="inlineStr">
        <x:is>
          <x:t xml:space="preserve">Real-browser behavior and component contract checks pass.</x:t>
        </x:is>
      </x:c>
      <x:c r="E14" s="125" t="inlineStr">
        <x:is>
          <x:t xml:space="preserve">package</x:t>
        </x:is>
      </x:c>
      <x:c r="F14" s="125" t="inlineStr">
        <x:is>
          <x:t xml:space="preserve">browser</x:t>
        </x:is>
      </x:c>
      <x:c r="G14" s="125" t="inlineStr">
        <x:is>
          <x:t xml:space="preserve">tests/components/avatar/behavior.spec.ts</x:t>
        </x:is>
      </x:c>
      <x:c r="H14" s="125" t="inlineStr">
        <x:is>
          <x:t xml:space="preserve">tested</x:t>
        </x:is>
      </x:c>
      <x:c r="I14" s="125" t="inlineStr">
        <x:is>
          <x:t xml:space="preserve">no</x:t>
        </x:is>
      </x:c>
      <x:c r="J14" s="141" t="n">
        <x:v>46227</x:v>
      </x:c>
      <x:c r="L14" s="125" t="n">
        <x:v>1</x:v>
      </x:c>
      <x:c r="M14" s="125" t="n">
        <x:f>IF(H14="not applicable",IF(K14&lt;&gt;"",1,0),IF(I14="yes",IF(H14="verified",1,0),IF(OR(H14="tested",H14="verified"),1,0)))</x:f>
        <x:v>1</x:v>
      </x:c>
    </x:row>
    <x:row r="15" s="127" customFormat="1" ht="42" customHeight="1">
      <x:c r="A15" s="125" t="inlineStr">
        <x:is>
          <x:t xml:space="preserve">A-07</x:t>
        </x:is>
      </x:c>
      <x:c r="B15" s="125" t="inlineStr">
        <x:is>
          <x:t xml:space="preserve">Accessibility</x:t>
        </x:is>
      </x:c>
      <x:c r="C15" s="125" t="inlineStr">
        <x:is>
          <x:t xml:space="preserve">Avatar</x:t>
        </x:is>
      </x:c>
      <x:c r="D15" s="125" t="inlineStr">
        <x:is>
          <x:t xml:space="preserve">Automated semantics and accessibility checks pass in the browser evidence suite.</x:t>
        </x:is>
      </x:c>
      <x:c r="E15" s="125" t="inlineStr">
        <x:is>
          <x:t xml:space="preserve">package</x:t>
        </x:is>
      </x:c>
      <x:c r="F15" s="125" t="inlineStr">
        <x:is>
          <x:t xml:space="preserve">axe</x:t>
        </x:is>
      </x:c>
      <x:c r="G15" s="125" t="inlineStr">
        <x:is>
          <x:t xml:space="preserve">tests/components/avatar/behavior.spec.ts; tests/integration</x:t>
        </x:is>
      </x:c>
      <x:c r="H15" s="125" t="inlineStr">
        <x:is>
          <x:t xml:space="preserve">tested</x:t>
        </x:is>
      </x:c>
      <x:c r="I15" s="125" t="inlineStr">
        <x:is>
          <x:t xml:space="preserve">no</x:t>
        </x:is>
      </x:c>
      <x:c r="J15" s="141" t="n">
        <x:v>46227</x:v>
      </x:c>
      <x:c r="L15" s="125" t="n">
        <x:v>1</x:v>
      </x:c>
      <x:c r="M15" s="125" t="n">
        <x:f>IF(H15="not applicable",IF(K15&lt;&gt;"",1,0),IF(I15="yes",IF(H15="verified",1,0),IF(OR(H15="tested",H15="verified"),1,0)))</x:f>
        <x:v>1</x:v>
      </x:c>
    </x:row>
    <x:row r="16" s="127" customFormat="1" ht="42" customHeight="1">
      <x:c r="A16" s="125" t="inlineStr">
        <x:is>
          <x:t xml:space="preserve">A-08</x:t>
        </x:is>
      </x:c>
      <x:c r="B16" s="125" t="inlineStr">
        <x:is>
          <x:t xml:space="preserve">Visual</x:t>
        </x:is>
      </x:c>
      <x:c r="C16" s="125" t="inlineStr">
        <x:is>
          <x:t xml:space="preserve">Avatar</x:t>
        </x:is>
      </x:c>
      <x:c r="D16" s="125" t="inlineStr">
        <x:is>
          <x:t xml:space="preserve">Reviewed baselines cover the component's risk-selected recipes and states.</x:t>
        </x:is>
      </x:c>
      <x:c r="E16" s="125" t="inlineStr">
        <x:is>
          <x:t xml:space="preserve">package</x:t>
        </x:is>
      </x:c>
      <x:c r="F16" s="125" t="inlineStr">
        <x:is>
          <x:t xml:space="preserve">visual</x:t>
        </x:is>
      </x:c>
      <x:c r="G16" s="125" t="inlineStr">
        <x:is>
          <x:t xml:space="preserve">tests/components/avatar/visual.spec.ts</x:t>
        </x:is>
      </x:c>
      <x:c r="H16" s="125" t="inlineStr">
        <x:is>
          <x:t xml:space="preserve">verified</x:t>
        </x:is>
      </x:c>
      <x:c r="I16" s="125" t="inlineStr">
        <x:is>
          <x:t xml:space="preserve">yes</x:t>
        </x:is>
      </x:c>
      <x:c r="J16" s="141" t="n">
        <x:v>46227</x:v>
      </x:c>
      <x:c r="K16" s="125" t="inlineStr">
        <x:is>
          <x:t xml:space="preserve">Owner reviewed the current playground evidence.</x:t>
        </x:is>
      </x:c>
      <x:c r="L16" s="125" t="n">
        <x:v>1</x:v>
      </x:c>
      <x:c r="M16" s="125" t="n">
        <x:f>IF(H16="not applicable",IF(K16&lt;&gt;"",1,0),IF(I16="yes",IF(H16="verified",1,0),IF(OR(H16="tested",H16="verified"),1,0)))</x:f>
        <x:v>1</x:v>
      </x:c>
    </x:row>
    <x:row r="17" s="127" customFormat="1" ht="42" customHeight="1">
      <x:c r="A17" s="125" t="inlineStr">
        <x:is>
          <x:t xml:space="preserve">A-09</x:t>
        </x:is>
      </x:c>
      <x:c r="B17" s="125" t="inlineStr">
        <x:is>
          <x:t xml:space="preserve">Responsive</x:t>
        </x:is>
      </x:c>
      <x:c r="C17" s="125" t="inlineStr">
        <x:is>
          <x:t xml:space="preserve">Avatar</x:t>
        </x:is>
      </x:c>
      <x:c r="D17" s="125" t="inlineStr">
        <x:is>
          <x:t xml:space="preserve">Mobile, zoom/reflow, content stress, and RTL remain usable and contained.</x:t>
        </x:is>
      </x:c>
      <x:c r="E17" s="125" t="inlineStr">
        <x:is>
          <x:t xml:space="preserve">package</x:t>
        </x:is>
      </x:c>
      <x:c r="F17" s="125" t="inlineStr">
        <x:is>
          <x:t xml:space="preserve">manual</x:t>
        </x:is>
      </x:c>
      <x:c r="G17" s="125" t="inlineStr">
        <x:is>
          <x:t xml:space="preserve">manual-tests/avatar.md</x:t>
        </x:is>
      </x:c>
      <x:c r="H17" s="125" t="inlineStr">
        <x:is>
          <x:t xml:space="preserve">implemented</x:t>
        </x:is>
      </x:c>
      <x:c r="I17" s="125" t="inlineStr">
        <x:is>
          <x:t xml:space="preserve">yes</x:t>
        </x:is>
      </x:c>
      <x:c r="J17" s="141" t="n"/>
      <x:c r="K17" s="125" t="inlineStr">
        <x:is>
          <x:t xml:space="preserve">Human protocol remains pending. Automated and visual evidence stays in its owning tests and does not complete this human gate.</x:t>
        </x:is>
      </x:c>
      <x:c r="L17" s="125" t="n">
        <x:v>1</x:v>
      </x:c>
      <x:c r="M17" s="125" t="n">
        <x:f>IF(H17="not applicable",IF(K17&lt;&gt;"",1,0),IF(I17="yes",IF(H17="verified",1,0),IF(OR(H17="tested",H17="verified"),1,0)))</x:f>
        <x:v>0</x:v>
      </x:c>
    </x:row>
    <x:row r="18" s="127" customFormat="1" ht="42" customHeight="1">
      <x:c r="A18" s="125" t="inlineStr">
        <x:is>
          <x:t xml:space="preserve">A-10</x:t>
        </x:is>
      </x:c>
      <x:c r="B18" s="125" t="inlineStr">
        <x:is>
          <x:t xml:space="preserve">Theme</x:t>
        </x:is>
      </x:c>
      <x:c r="C18" s="125" t="inlineStr">
        <x:is>
          <x:t xml:space="preserve">Avatar</x:t>
        </x:is>
      </x:c>
      <x:c r="D18" s="125" t="inlineStr">
        <x:is>
          <x:t xml:space="preserve">Light, dark, focus, forced-colors, and relevant motion behavior remain perceivable.</x:t>
        </x:is>
      </x:c>
      <x:c r="E18" s="125" t="inlineStr">
        <x:is>
          <x:t xml:space="preserve">package</x:t>
        </x:is>
      </x:c>
      <x:c r="F18" s="125" t="inlineStr">
        <x:is>
          <x:t xml:space="preserve">manual</x:t>
        </x:is>
      </x:c>
      <x:c r="G18" s="125" t="inlineStr">
        <x:is>
          <x:t xml:space="preserve">manual-tests/avatar.md</x:t>
        </x:is>
      </x:c>
      <x:c r="H18" s="125" t="inlineStr">
        <x:is>
          <x:t xml:space="preserve">implemented</x:t>
        </x:is>
      </x:c>
      <x:c r="I18" s="125" t="inlineStr">
        <x:is>
          <x:t xml:space="preserve">yes</x:t>
        </x:is>
      </x:c>
      <x:c r="J18" s="141" t="n"/>
      <x:c r="K18" s="125" t="inlineStr">
        <x:is>
          <x:t xml:space="preserve">Human protocol remains pending. Automated and visual evidence stays in its owning tests and does not complete this human gate.</x:t>
        </x:is>
      </x:c>
      <x:c r="L18" s="125" t="n">
        <x:v>1</x:v>
      </x:c>
      <x:c r="M18" s="125" t="n">
        <x:f>IF(H18="not applicable",IF(K18&lt;&gt;"",1,0),IF(I18="yes",IF(H18="verified",1,0),IF(OR(H18="tested",H18="verified"),1,0)))</x:f>
        <x:v>0</x:v>
      </x:c>
    </x:row>
    <x:row r="19" s="127" customFormat="1" ht="42" customHeight="1">
      <x:c r="A19" s="125" t="inlineStr">
        <x:is>
          <x:t xml:space="preserve">A-11</x:t>
        </x:is>
      </x:c>
      <x:c r="B19" s="125" t="inlineStr">
        <x:is>
          <x:t xml:space="preserve">Composition</x:t>
        </x:is>
      </x:c>
      <x:c r="C19" s="125" t="inlineStr">
        <x:is>
          <x:t xml:space="preserve">Avatar</x:t>
        </x:is>
      </x:c>
      <x:c r="D19" s="125" t="inlineStr">
        <x:is>
          <x:t xml:space="preserve">Default, render, and asChild output preserve the intended element, slots, state, and relationships.</x:t>
        </x:is>
      </x:c>
      <x:c r="E19" s="125" t="inlineStr">
        <x:is>
          <x:t xml:space="preserve">package</x:t>
        </x:is>
      </x:c>
      <x:c r="F19" s="125" t="inlineStr">
        <x:is>
          <x:t xml:space="preserve">manual</x:t>
        </x:is>
      </x:c>
      <x:c r="G19" s="125" t="inlineStr">
        <x:is>
          <x:t xml:space="preserve">manual-tests/avatar.md; tests/components/avatar/behavior.spec.ts</x:t>
        </x:is>
      </x:c>
      <x:c r="H19" s="125" t="inlineStr">
        <x:is>
          <x:t xml:space="preserve">implemented</x:t>
        </x:is>
      </x:c>
      <x:c r="I19" s="125" t="inlineStr">
        <x:is>
          <x:t xml:space="preserve">yes</x:t>
        </x:is>
      </x:c>
      <x:c r="J19" s="141" t="n"/>
      <x:c r="K19" s="125" t="inlineStr">
        <x:is>
          <x:t xml:space="preserve">Human protocol remains pending. Automated and visual evidence stays in its owning tests and does not complete this human gate.</x:t>
        </x:is>
      </x:c>
      <x:c r="L19" s="125" t="n">
        <x:v>1</x:v>
      </x:c>
      <x:c r="M19" s="125" t="n">
        <x:f>IF(H19="not applicable",IF(K19&lt;&gt;"",1,0),IF(I19="yes",IF(H19="verified",1,0),IF(OR(H19="tested",H19="verified"),1,0)))</x:f>
        <x:v>0</x:v>
      </x:c>
    </x:row>
    <x:row r="20" s="127" customFormat="1" ht="42" customHeight="1">
      <x:c r="A20" s="125" t="inlineStr">
        <x:is>
          <x:t xml:space="preserve">A-12</x:t>
        </x:is>
      </x:c>
      <x:c r="B20" s="125" t="inlineStr">
        <x:is>
          <x:t xml:space="preserve">Manual</x:t>
        </x:is>
      </x:c>
      <x:c r="C20" s="125" t="inlineStr">
        <x:is>
          <x:t xml:space="preserve">Avatar</x:t>
        </x:is>
      </x:c>
      <x:c r="D20" s="125" t="inlineStr">
        <x:is>
          <x:t xml:space="preserve">The complete component-owned manual protocol passed against every playground scenario.</x:t>
        </x:is>
      </x:c>
      <x:c r="E20" s="125" t="inlineStr">
        <x:is>
          <x:t xml:space="preserve">package</x:t>
        </x:is>
      </x:c>
      <x:c r="F20" s="125" t="inlineStr">
        <x:is>
          <x:t xml:space="preserve">manual</x:t>
        </x:is>
      </x:c>
      <x:c r="G20" s="125" t="inlineStr">
        <x:is>
          <x:t xml:space="preserve">manual-tests/avatar.md</x:t>
        </x:is>
      </x:c>
      <x:c r="H20" s="125" t="inlineStr">
        <x:is>
          <x:t xml:space="preserve">implemented</x:t>
        </x:is>
      </x:c>
      <x:c r="I20" s="125" t="inlineStr">
        <x:is>
          <x:t xml:space="preserve">yes</x:t>
        </x:is>
      </x:c>
      <x:c r="J20" s="141" t="n"/>
      <x:c r="K20" s="125" t="inlineStr">
        <x:is>
          <x:t xml:space="preserve">Human protocol remains pending. Automated and visual evidence stays in its owning tests and does not complete this human gate.</x:t>
        </x:is>
      </x:c>
      <x:c r="L20" s="125" t="n">
        <x:v>1</x:v>
      </x:c>
      <x:c r="M20" s="125" t="n">
        <x:f>IF(H20="not applicable",IF(K20&lt;&gt;"",1,0),IF(I20="yes",IF(H20="verified",1,0),IF(OR(H20="tested",H20="verified"),1,0)))</x:f>
        <x:v>0</x:v>
      </x:c>
    </x:row>
    <x:row r="21" s="127" customFormat="1" ht="42" customHeight="1">
      <x:c r="A21" s="125" t="inlineStr">
        <x:is>
          <x:t xml:space="preserve">A-13</x:t>
        </x:is>
      </x:c>
      <x:c r="B21" s="125" t="inlineStr">
        <x:is>
          <x:t xml:space="preserve">Docs</x:t>
        </x:is>
      </x:c>
      <x:c r="C21" s="125" t="inlineStr">
        <x:is>
          <x:t xml:space="preserve">Avatar</x:t>
        </x:is>
      </x:c>
      <x:c r="D21" s="125" t="inlineStr">
        <x:is>
          <x:t xml:space="preserve">Public usage documentation exists at the component-owned path.</x:t>
        </x:is>
      </x:c>
      <x:c r="E21" s="125" t="inlineStr">
        <x:is>
          <x:t xml:space="preserve">package</x:t>
        </x:is>
      </x:c>
      <x:c r="F21" s="125" t="inlineStr">
        <x:is>
          <x:t xml:space="preserve">docs</x:t>
        </x:is>
      </x:c>
      <x:c r="G21" s="125" t="inlineStr">
        <x:is>
          <x:t xml:space="preserve">../docs/components/avatar/README.md</x:t>
        </x:is>
      </x:c>
      <x:c r="H21" s="125" t="inlineStr">
        <x:is>
          <x:t xml:space="preserve">tested</x:t>
        </x:is>
      </x:c>
      <x:c r="I21" s="125" t="inlineStr">
        <x:is>
          <x:t xml:space="preserve">no</x:t>
        </x:is>
      </x:c>
      <x:c r="J21" s="141" t="n">
        <x:v>46227</x:v>
      </x:c>
      <x:c r="L21" s="125" t="n">
        <x:v>1</x:v>
      </x:c>
      <x:c r="M21" s="125" t="n">
        <x:f>IF(H21="not applicable",IF(K21&lt;&gt;"",1,0),IF(I21="yes",IF(H21="verified",1,0),IF(OR(H21="tested",H21="verified"),1,0)))</x:f>
        <x:v>1</x:v>
      </x:c>
    </x:row>
    <x:row r="22" s="127" customFormat="1" ht="42" customHeight="1">
      <x:c r="A22" s="125" t="inlineStr">
        <x:is>
          <x:t xml:space="preserve">A-14</x:t>
        </x:is>
      </x:c>
      <x:c r="B22" s="125" t="inlineStr">
        <x:is>
          <x:t xml:space="preserve">Changelog</x:t>
        </x:is>
      </x:c>
      <x:c r="C22" s="125" t="inlineStr">
        <x:is>
          <x:t xml:space="preserve">Avatar</x:t>
        </x:is>
      </x:c>
      <x:c r="D22" s="125" t="inlineStr">
        <x:is>
          <x:t xml:space="preserve">The component owns a public changelog.</x:t>
        </x:is>
      </x:c>
      <x:c r="E22" s="125" t="inlineStr">
        <x:is>
          <x:t xml:space="preserve">package</x:t>
        </x:is>
      </x:c>
      <x:c r="F22" s="125" t="inlineStr">
        <x:is>
          <x:t xml:space="preserve">docs</x:t>
        </x:is>
      </x:c>
      <x:c r="G22" s="125" t="inlineStr">
        <x:is>
          <x:t xml:space="preserve">../docs/components/avatar/CHANGELOG.md</x:t>
        </x:is>
      </x:c>
      <x:c r="H22" s="125" t="inlineStr">
        <x:is>
          <x:t xml:space="preserve">tested</x:t>
        </x:is>
      </x:c>
      <x:c r="I22" s="125" t="inlineStr">
        <x:is>
          <x:t xml:space="preserve">no</x:t>
        </x:is>
      </x:c>
      <x:c r="J22" s="141" t="n">
        <x:v>46227</x:v>
      </x:c>
      <x:c r="L22" s="125" t="n">
        <x:v>1</x:v>
      </x:c>
      <x:c r="M22" s="125" t="n">
        <x:f>IF(H22="not applicable",IF(K22&lt;&gt;"",1,0),IF(I22="yes",IF(H22="verified",1,0),IF(OR(H22="tested",H22="verified"),1,0)))</x:f>
        <x:v>1</x:v>
      </x:c>
    </x:row>
    <x:row r="23" s="127" customFormat="1" ht="42" customHeight="1">
      <x:c r="A23" s="125" t="inlineStr">
        <x:is>
          <x:t xml:space="preserve">A-15</x:t>
        </x:is>
      </x:c>
      <x:c r="B23" s="125" t="inlineStr">
        <x:is>
          <x:t xml:space="preserve">Consumer</x:t>
        </x:is>
      </x:c>
      <x:c r="C23" s="125" t="inlineStr">
        <x:is>
          <x:t xml:space="preserve">Avatar</x:t>
        </x:is>
      </x:c>
      <x:c r="D23" s="125" t="inlineStr">
        <x:is>
          <x:t xml:space="preserve">The standalone consumer imports and exercises the public package component.</x:t>
        </x:is>
      </x:c>
      <x:c r="E23" s="125" t="inlineStr">
        <x:is>
          <x:t xml:space="preserve">consumer</x:t>
        </x:is>
      </x:c>
      <x:c r="F23" s="125" t="inlineStr">
        <x:is>
          <x:t xml:space="preserve">consumer</x:t>
        </x:is>
      </x:c>
      <x:c r="G23" s="125" t="inlineStr">
        <x:is>
          <x:t xml:space="preserve">../apps/consumer/src/App.tsx; ../apps/consumer/tests/consumer.spec.ts</x:t>
        </x:is>
      </x:c>
      <x:c r="H23" s="125" t="inlineStr">
        <x:is>
          <x:t xml:space="preserve">tested</x:t>
        </x:is>
      </x:c>
      <x:c r="I23" s="125" t="inlineStr">
        <x:is>
          <x:t xml:space="preserve">no</x:t>
        </x:is>
      </x:c>
      <x:c r="J23" s="141" t="n">
        <x:v>46227</x:v>
      </x:c>
      <x:c r="L23" s="125" t="n">
        <x:v>1</x:v>
      </x:c>
      <x:c r="M23" s="125" t="n">
        <x:f>IF(H23="not applicable",IF(K23&lt;&gt;"",1,0),IF(I23="yes",IF(H23="verified",1,0),IF(OR(H23="tested",H23="verified"),1,0)))</x:f>
        <x:v>1</x:v>
      </x:c>
    </x:row>
    <x:row r="24" s="127" customFormat="1" ht="42" customHeight="1">
      <x:c r="A24" s="125" t="inlineStr">
        <x:is>
          <x:t xml:space="preserve">A-16</x:t>
        </x:is>
      </x:c>
      <x:c r="B24" s="125" t="inlineStr">
        <x:is>
          <x:t xml:space="preserve">Package</x:t>
        </x:is>
      </x:c>
      <x:c r="C24" s="125" t="inlineStr">
        <x:is>
          <x:t xml:space="preserve">Avatar</x:t>
        </x:is>
      </x:c>
      <x:c r="D24" s="125" t="inlineStr">
        <x:is>
          <x:t xml:space="preserve">Build, exports, tarball, CSS, and consumer boundary verification pass.</x:t>
        </x:is>
      </x:c>
      <x:c r="E24" s="125" t="inlineStr">
        <x:is>
          <x:t xml:space="preserve">package</x:t>
        </x:is>
      </x:c>
      <x:c r="F24" s="125" t="inlineStr">
        <x:is>
          <x:t xml:space="preserve">package</x:t>
        </x:is>
      </x:c>
      <x:c r="G24" s="125" t="inlineStr">
        <x:is>
          <x:t xml:space="preserve">../scripts/verify-package.mjs; ../scripts/verify-consumers.mjs</x:t>
        </x:is>
      </x:c>
      <x:c r="H24" s="125" t="inlineStr">
        <x:is>
          <x:t xml:space="preserve">tested</x:t>
        </x:is>
      </x:c>
      <x:c r="I24" s="125" t="inlineStr">
        <x:is>
          <x:t xml:space="preserve">no</x:t>
        </x:is>
      </x:c>
      <x:c r="J24" s="141" t="n">
        <x:v>46227</x:v>
      </x:c>
      <x:c r="L24" s="125" t="n">
        <x:v>1</x:v>
      </x:c>
      <x:c r="M24" s="125" t="n">
        <x:f>IF(H24="not applicable",IF(K24&lt;&gt;"",1,0),IF(I24="yes",IF(H24="verified",1,0),IF(OR(H24="tested",H24="verified"),1,0)))</x:f>
        <x:v>1</x:v>
      </x:c>
    </x:row>
  </x:sheetData>
  <x:mergeCells>
    <x:mergeCell ref="A2:M2"/>
    <x:mergeCell ref="A1:M1"/>
  </x:mergeCells>
  <x:conditionalFormatting sqref="H9:H24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1" showDropDown="0" showInputMessage="1" showErrorMessage="1" sqref="H9:H24">
      <x:formula1>"not started,partial,implemented,tested,verified,blocked,not applicable"</x:formula1>
      <x:formula2>0</x:formula2>
    </x:dataValidation>
    <x:dataValidation type="list" errorStyle="stop" operator="between" allowBlank="1" showDropDown="0" showInputMessage="1" showErrorMessage="1" sqref="I9:I24">
      <x:formula1>"yes,no"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a81a3d544504a9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Badge Evidence</x:t>
        </x:is>
      </x:c>
    </x:row>
    <x:row r="2" s="127" customFormat="1" ht="27.75" customHeight="1">
      <x:c r="A2" s="129" t="inlineStr">
        <x:is>
          <x:t xml:space="preserve">Assertion-level package, browser, human-review, documentation, and consumer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COUNTA(A9:A200)</x:f>
        <x:v>16</x:v>
      </x:c>
      <x:c r="D4" s="130" t="inlineStr">
        <x:is>
          <x:t xml:space="preserve">Resolved</x:t>
        </x:is>
      </x:c>
      <x:c r="E4" s="131" t="n">
        <x:f>SUM(M9:M200)</x:f>
        <x:v>11</x:v>
      </x:c>
      <x:c r="G4" s="130" t="inlineStr">
        <x:is>
          <x:t xml:space="preserve">Completion</x:t>
        </x:is>
      </x:c>
      <x:c r="H4" s="132" t="n">
        <x:f>IF(B4=0,0,E4/B4)</x:f>
        <x:v>0.6875</x:v>
      </x:c>
      <x:c r="J4" s="130" t="inlineStr">
        <x:is>
          <x:t xml:space="preserve">Package gate</x:t>
        </x:is>
      </x:c>
      <x:c r="K4" s="131" t="inlineStr">
        <x:is>
          <x:t xml:space="preserve">open</x:t>
        </x:is>
      </x:c>
    </x:row>
    <x:row r="5" s="127" customFormat="1" ht="17.25" customHeight="1">
      <x:c r="A5" s="130" t="inlineStr">
        <x:is>
          <x:t xml:space="preserve">Manual review</x:t>
        </x:is>
      </x:c>
      <x:c r="B5" s="131" t="inlineStr">
        <x:is>
          <x:t xml:space="preserve">open</x:t>
        </x:is>
      </x:c>
      <x:c r="D5" s="130" t="inlineStr">
        <x:is>
          <x:t xml:space="preserve">Consumer gate</x:t>
        </x:is>
      </x:c>
      <x:c r="E5" s="131" t="inlineStr">
        <x:is>
          <x:t xml:space="preserve">complete</x:t>
        </x:is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42" customHeight="1">
      <x:c r="A9" s="125" t="inlineStr">
        <x:is>
          <x:t xml:space="preserve">B-01</x:t>
        </x:is>
      </x:c>
      <x:c r="B9" s="125" t="inlineStr">
        <x:is>
          <x:t xml:space="preserve">Implementation</x:t>
        </x:is>
      </x:c>
      <x:c r="C9" s="125" t="inlineStr">
        <x:is>
          <x:t xml:space="preserve">Badge</x:t>
        </x:is>
      </x:c>
      <x:c r="D9" s="125" t="inlineStr">
        <x:is>
          <x:t xml:space="preserve">Public component implementation and Atom adapter exist.</x:t>
        </x:is>
      </x:c>
      <x:c r="E9" s="125" t="inlineStr">
        <x:is>
          <x:t xml:space="preserve">package</x:t>
        </x:is>
      </x:c>
      <x:c r="F9" s="125" t="inlineStr">
        <x:is>
          <x:t xml:space="preserve">source</x:t>
        </x:is>
      </x:c>
      <x:c r="G9" s="125" t="inlineStr">
        <x:is>
          <x:t xml:space="preserve">../src/components/badge</x:t>
        </x:is>
      </x:c>
      <x:c r="H9" s="125" t="inlineStr">
        <x:is>
          <x:t xml:space="preserve">tested</x:t>
        </x:is>
      </x:c>
      <x:c r="I9" s="125" t="inlineStr">
        <x:is>
          <x:t xml:space="preserve">no</x:t>
        </x:is>
      </x:c>
      <x:c r="J9" s="141" t="n">
        <x:v>46227</x:v>
      </x:c>
      <x:c r="L9" s="125" t="n">
        <x:v>1</x:v>
      </x:c>
      <x:c r="M9" s="125" t="n">
        <x:f>IF(H9="not applicable",IF(K9&lt;&gt;"",1,0),IF(I9="yes",IF(H9="verified",1,0),IF(OR(H9="tested",H9="verified"),1,0)))</x:f>
        <x:v>1</x:v>
      </x:c>
    </x:row>
    <x:row r="10" s="127" customFormat="1" ht="42" customHeight="1">
      <x:c r="A10" s="125" t="inlineStr">
        <x:is>
          <x:t xml:space="preserve">B-02</x:t>
        </x:is>
      </x:c>
      <x:c r="B10" s="125" t="inlineStr">
        <x:is>
          <x:t xml:space="preserve">Exports</x:t>
        </x:is>
      </x:c>
      <x:c r="C10" s="125" t="inlineStr">
        <x:is>
          <x:t xml:space="preserve">Badge</x:t>
        </x:is>
      </x:c>
      <x:c r="D10" s="125" t="inlineStr">
        <x:is>
          <x:t xml:space="preserve">Root and public subpath exports expose the component.</x:t>
        </x:is>
      </x:c>
      <x:c r="E10" s="125" t="inlineStr">
        <x:is>
          <x:t xml:space="preserve">package</x:t>
        </x:is>
      </x:c>
      <x:c r="F10" s="125" t="inlineStr">
        <x:is>
          <x:t xml:space="preserve">package</x:t>
        </x:is>
      </x:c>
      <x:c r="G10" s="125" t="inlineStr">
        <x:is>
          <x:t xml:space="preserve">../test/package/package.test.mjs</x:t>
        </x:is>
      </x:c>
      <x:c r="H10" s="125" t="inlineStr">
        <x:is>
          <x:t xml:space="preserve">tested</x:t>
        </x:is>
      </x:c>
      <x:c r="I10" s="125" t="inlineStr">
        <x:is>
          <x:t xml:space="preserve">no</x:t>
        </x:is>
      </x:c>
      <x:c r="J10" s="141" t="n">
        <x:v>46227</x:v>
      </x:c>
      <x:c r="L10" s="125" t="n">
        <x:v>1</x:v>
      </x:c>
      <x:c r="M10" s="125" t="n">
        <x:f>IF(H10="not applicable",IF(K10&lt;&gt;"",1,0),IF(I10="yes",IF(H10="verified",1,0),IF(OR(H10="tested",H10="verified"),1,0)))</x:f>
        <x:v>1</x:v>
      </x:c>
    </x:row>
    <x:row r="11" s="127" customFormat="1" ht="42" customHeight="1">
      <x:c r="A11" s="125" t="inlineStr">
        <x:is>
          <x:t xml:space="preserve">B-03</x:t>
        </x:is>
      </x:c>
      <x:c r="B11" s="125" t="inlineStr">
        <x:is>
          <x:t xml:space="preserve">Types</x:t>
        </x:is>
      </x:c>
      <x:c r="C11" s="125" t="inlineStr">
        <x:is>
          <x:t xml:space="preserve">Badge</x:t>
        </x:is>
      </x:c>
      <x:c r="D11" s="125" t="inlineStr">
        <x:is>
          <x:t xml:space="preserve">Public props, refs, composition branches, and invalid cases type-check.</x:t>
        </x:is>
      </x:c>
      <x:c r="E11" s="125" t="inlineStr">
        <x:is>
          <x:t xml:space="preserve">package</x:t>
        </x:is>
      </x:c>
      <x:c r="F11" s="125" t="inlineStr">
        <x:is>
          <x:t xml:space="preserve">types</x:t>
        </x:is>
      </x:c>
      <x:c r="G11" s="125" t="inlineStr">
        <x:is>
          <x:t xml:space="preserve">../test/types/components/badge.test.ts</x:t>
        </x:is>
      </x:c>
      <x:c r="H11" s="125" t="inlineStr">
        <x:is>
          <x:t xml:space="preserve">tested</x:t>
        </x:is>
      </x:c>
      <x:c r="I11" s="125" t="inlineStr">
        <x:is>
          <x:t xml:space="preserve">no</x:t>
        </x:is>
      </x:c>
      <x:c r="J11" s="141" t="n">
        <x:v>46227</x:v>
      </x:c>
      <x:c r="L11" s="125" t="n">
        <x:v>1</x:v>
      </x:c>
      <x:c r="M11" s="125" t="n">
        <x:f>IF(H11="not applicable",IF(K11&lt;&gt;"",1,0),IF(I11="yes",IF(H11="verified",1,0),IF(OR(H11="tested",H11="verified"),1,0)))</x:f>
        <x:v>1</x:v>
      </x:c>
    </x:row>
    <x:row r="12" s="127" customFormat="1" ht="42" customHeight="1">
      <x:c r="A12" s="125" t="inlineStr">
        <x:is>
          <x:t xml:space="preserve">B-04</x:t>
        </x:is>
      </x:c>
      <x:c r="B12" s="125" t="inlineStr">
        <x:is>
          <x:t xml:space="preserve">CSS</x:t>
        </x:is>
      </x:c>
      <x:c r="C12" s="125" t="inlineStr">
        <x:is>
          <x:t xml:space="preserve">Badge</x:t>
        </x:is>
      </x:c>
      <x:c r="D12" s="125" t="inlineStr">
        <x:is>
          <x:t xml:space="preserve">Static public CSS includes the surface recipe with a soft semantic fill and visible semantic boundary.</x:t>
        </x:is>
      </x:c>
      <x:c r="E12" s="125" t="inlineStr">
        <x:is>
          <x:t xml:space="preserve">package</x:t>
        </x:is>
      </x:c>
      <x:c r="F12" s="125" t="inlineStr">
        <x:is>
          <x:t xml:space="preserve">css</x:t>
        </x:is>
      </x:c>
      <x:c r="G12" s="125" t="inlineStr">
        <x:is>
          <x:t xml:space="preserve">../src/components/badge/badge.css</x:t>
        </x:is>
      </x:c>
      <x:c r="H12" s="125" t="inlineStr">
        <x:is>
          <x:t xml:space="preserve">tested</x:t>
        </x:is>
      </x:c>
      <x:c r="I12" s="125" t="inlineStr">
        <x:is>
          <x:t xml:space="preserve">no</x:t>
        </x:is>
      </x:c>
      <x:c r="J12" s="141" t="n">
        <x:v>46227</x:v>
      </x:c>
      <x:c r="L12" s="125" t="n">
        <x:v>1</x:v>
      </x:c>
      <x:c r="M12" s="125" t="n">
        <x:f>IF(H12="not applicable",IF(K12&lt;&gt;"",1,0),IF(I12="yes",IF(H12="verified",1,0),IF(OR(H12="tested",H12="verified"),1,0)))</x:f>
        <x:v>1</x:v>
      </x:c>
    </x:row>
    <x:row r="13" s="127" customFormat="1" ht="42" customHeight="1">
      <x:c r="A13" s="125" t="inlineStr">
        <x:is>
          <x:t xml:space="preserve">B-05</x:t>
        </x:is>
      </x:c>
      <x:c r="B13" s="125" t="inlineStr">
        <x:is>
          <x:t xml:space="preserve">Unit</x:t>
        </x:is>
      </x:c>
      <x:c r="C13" s="125" t="inlineStr">
        <x:is>
          <x:t xml:space="preserve">Badge</x:t>
        </x:is>
      </x:c>
      <x:c r="D13" s="125" t="inlineStr">
        <x:is>
          <x:t xml:space="preserve">Brick-owned DOM, recipes, adapters, and public hooks pass focused tests.</x:t>
        </x:is>
      </x:c>
      <x:c r="E13" s="125" t="inlineStr">
        <x:is>
          <x:t xml:space="preserve">package</x:t>
        </x:is>
      </x:c>
      <x:c r="F13" s="125" t="inlineStr">
        <x:is>
          <x:t xml:space="preserve">component</x:t>
        </x:is>
      </x:c>
      <x:c r="G13" s="125" t="inlineStr">
        <x:is>
          <x:t xml:space="preserve">../test/components/badge/badge.test.tsx</x:t>
        </x:is>
      </x:c>
      <x:c r="H13" s="125" t="inlineStr">
        <x:is>
          <x:t xml:space="preserve">tested</x:t>
        </x:is>
      </x:c>
      <x:c r="I13" s="125" t="inlineStr">
        <x:is>
          <x:t xml:space="preserve">no</x:t>
        </x:is>
      </x:c>
      <x:c r="J13" s="141" t="n">
        <x:v>46227</x:v>
      </x:c>
      <x:c r="L13" s="125" t="n">
        <x:v>1</x:v>
      </x:c>
      <x:c r="M13" s="125" t="n">
        <x:f>IF(H13="not applicable",IF(K13&lt;&gt;"",1,0),IF(I13="yes",IF(H13="verified",1,0),IF(OR(H13="tested",H13="verified"),1,0)))</x:f>
        <x:v>1</x:v>
      </x:c>
    </x:row>
    <x:row r="14" s="127" customFormat="1" ht="42" customHeight="1">
      <x:c r="A14" s="125" t="inlineStr">
        <x:is>
          <x:t xml:space="preserve">B-06</x:t>
        </x:is>
      </x:c>
      <x:c r="B14" s="125" t="inlineStr">
        <x:is>
          <x:t xml:space="preserve">Browser</x:t>
        </x:is>
      </x:c>
      <x:c r="C14" s="125" t="inlineStr">
        <x:is>
          <x:t xml:space="preserve">Badge</x:t>
        </x:is>
      </x:c>
      <x:c r="D14" s="125" t="inlineStr">
        <x:is>
          <x:t xml:space="preserve">Real-browser behavior verifies every recipe, including surface fill and boundary, across light and dark themes.</x:t>
        </x:is>
      </x:c>
      <x:c r="E14" s="125" t="inlineStr">
        <x:is>
          <x:t xml:space="preserve">package</x:t>
        </x:is>
      </x:c>
      <x:c r="F14" s="125" t="inlineStr">
        <x:is>
          <x:t xml:space="preserve">browser</x:t>
        </x:is>
      </x:c>
      <x:c r="G14" s="125" t="inlineStr">
        <x:is>
          <x:t xml:space="preserve">tests/components/badge/behavior.spec.ts</x:t>
        </x:is>
      </x:c>
      <x:c r="H14" s="125" t="inlineStr">
        <x:is>
          <x:t xml:space="preserve">tested</x:t>
        </x:is>
      </x:c>
      <x:c r="I14" s="125" t="inlineStr">
        <x:is>
          <x:t xml:space="preserve">no</x:t>
        </x:is>
      </x:c>
      <x:c r="J14" s="141" t="n">
        <x:v>46227</x:v>
      </x:c>
      <x:c r="L14" s="125" t="n">
        <x:v>1</x:v>
      </x:c>
      <x:c r="M14" s="125" t="n">
        <x:f>IF(H14="not applicable",IF(K14&lt;&gt;"",1,0),IF(I14="yes",IF(H14="verified",1,0),IF(OR(H14="tested",H14="verified"),1,0)))</x:f>
        <x:v>1</x:v>
      </x:c>
    </x:row>
    <x:row r="15" s="127" customFormat="1" ht="42" customHeight="1">
      <x:c r="A15" s="125" t="inlineStr">
        <x:is>
          <x:t xml:space="preserve">B-07</x:t>
        </x:is>
      </x:c>
      <x:c r="B15" s="125" t="inlineStr">
        <x:is>
          <x:t xml:space="preserve">Accessibility</x:t>
        </x:is>
      </x:c>
      <x:c r="C15" s="125" t="inlineStr">
        <x:is>
          <x:t xml:space="preserve">Badge</x:t>
        </x:is>
      </x:c>
      <x:c r="D15" s="125" t="inlineStr">
        <x:is>
          <x:t xml:space="preserve">Automated semantics and accessibility checks pass in the browser evidence suite.</x:t>
        </x:is>
      </x:c>
      <x:c r="E15" s="125" t="inlineStr">
        <x:is>
          <x:t xml:space="preserve">package</x:t>
        </x:is>
      </x:c>
      <x:c r="F15" s="125" t="inlineStr">
        <x:is>
          <x:t xml:space="preserve">axe</x:t>
        </x:is>
      </x:c>
      <x:c r="G15" s="125" t="inlineStr">
        <x:is>
          <x:t xml:space="preserve">tests/components/badge/behavior.spec.ts; tests/integration</x:t>
        </x:is>
      </x:c>
      <x:c r="H15" s="125" t="inlineStr">
        <x:is>
          <x:t xml:space="preserve">tested</x:t>
        </x:is>
      </x:c>
      <x:c r="I15" s="125" t="inlineStr">
        <x:is>
          <x:t xml:space="preserve">no</x:t>
        </x:is>
      </x:c>
      <x:c r="J15" s="141" t="n">
        <x:v>46227</x:v>
      </x:c>
      <x:c r="L15" s="125" t="n">
        <x:v>1</x:v>
      </x:c>
      <x:c r="M15" s="125" t="n">
        <x:f>IF(H15="not applicable",IF(K15&lt;&gt;"",1,0),IF(I15="yes",IF(H15="verified",1,0),IF(OR(H15="tested",H15="verified"),1,0)))</x:f>
        <x:v>1</x:v>
      </x:c>
    </x:row>
    <x:row r="16" s="127" customFormat="1" ht="42" customHeight="1">
      <x:c r="A16" s="125" t="inlineStr">
        <x:is>
          <x:t xml:space="preserve">B-08</x:t>
        </x:is>
      </x:c>
      <x:c r="B16" s="125" t="inlineStr">
        <x:is>
          <x:t xml:space="preserve">Visual</x:t>
        </x:is>
      </x:c>
      <x:c r="C16" s="125" t="inlineStr">
        <x:is>
          <x:t xml:space="preserve">Badge</x:t>
        </x:is>
      </x:c>
      <x:c r="D16" s="125" t="inlineStr">
        <x:is>
          <x:t xml:space="preserve">Reviewed baselines cover the component's risk-selected recipes and states.</x:t>
        </x:is>
      </x:c>
      <x:c r="E16" s="125" t="inlineStr">
        <x:is>
          <x:t xml:space="preserve">package</x:t>
        </x:is>
      </x:c>
      <x:c r="F16" s="125" t="inlineStr">
        <x:is>
          <x:t xml:space="preserve">visual</x:t>
        </x:is>
      </x:c>
      <x:c r="G16" s="125" t="inlineStr">
        <x:is>
          <x:t xml:space="preserve">tests/components/badge/visual.spec.ts</x:t>
        </x:is>
      </x:c>
      <x:c r="H16" s="125" t="inlineStr">
        <x:is>
          <x:t xml:space="preserve">implemented</x:t>
        </x:is>
      </x:c>
      <x:c r="I16" s="125" t="inlineStr">
        <x:is>
          <x:t xml:space="preserve">yes</x:t>
        </x:is>
      </x:c>
      <x:c r="J16" s="141" t="n"/>
      <x:c r="K16" s="125" t="inlineStr">
        <x:is>
          <x:t xml:space="preserve">Surface recipe baseline added; owner human visual review remains pending.</x:t>
        </x:is>
      </x:c>
      <x:c r="L16" s="125" t="n">
        <x:v>1</x:v>
      </x:c>
      <x:c r="M16" s="125" t="n">
        <x:f>IF(H16="not applicable",IF(K16&lt;&gt;"",1,0),IF(I16="yes",IF(H16="verified",1,0),IF(OR(H16="tested",H16="verified"),1,0)))</x:f>
        <x:v>0</x:v>
      </x:c>
    </x:row>
    <x:row r="17" s="127" customFormat="1" ht="42" customHeight="1">
      <x:c r="A17" s="125" t="inlineStr">
        <x:is>
          <x:t xml:space="preserve">B-09</x:t>
        </x:is>
      </x:c>
      <x:c r="B17" s="125" t="inlineStr">
        <x:is>
          <x:t xml:space="preserve">Responsive</x:t>
        </x:is>
      </x:c>
      <x:c r="C17" s="125" t="inlineStr">
        <x:is>
          <x:t xml:space="preserve">Badge</x:t>
        </x:is>
      </x:c>
      <x:c r="D17" s="125" t="inlineStr">
        <x:is>
          <x:t xml:space="preserve">Mobile, zoom/reflow, content stress, and RTL remain usable and contained.</x:t>
        </x:is>
      </x:c>
      <x:c r="E17" s="125" t="inlineStr">
        <x:is>
          <x:t xml:space="preserve">package</x:t>
        </x:is>
      </x:c>
      <x:c r="F17" s="125" t="inlineStr">
        <x:is>
          <x:t xml:space="preserve">manual</x:t>
        </x:is>
      </x:c>
      <x:c r="G17" s="125" t="inlineStr">
        <x:is>
          <x:t xml:space="preserve">manual-tests/badge.md</x:t>
        </x:is>
      </x:c>
      <x:c r="H17" s="125" t="inlineStr">
        <x:is>
          <x:t xml:space="preserve">implemented</x:t>
        </x:is>
      </x:c>
      <x:c r="I17" s="125" t="inlineStr">
        <x:is>
          <x:t xml:space="preserve">yes</x:t>
        </x:is>
      </x:c>
      <x:c r="J17" s="141" t="n"/>
      <x:c r="K17" s="125" t="inlineStr">
        <x:is>
          <x:t xml:space="preserve">Human protocol remains pending. Automated and visual evidence stays in its owning tests and does not complete this human gate.</x:t>
        </x:is>
      </x:c>
      <x:c r="L17" s="125" t="n">
        <x:v>1</x:v>
      </x:c>
      <x:c r="M17" s="125" t="n">
        <x:f>IF(H17="not applicable",IF(K17&lt;&gt;"",1,0),IF(I17="yes",IF(H17="verified",1,0),IF(OR(H17="tested",H17="verified"),1,0)))</x:f>
        <x:v>0</x:v>
      </x:c>
    </x:row>
    <x:row r="18" s="127" customFormat="1" ht="42" customHeight="1">
      <x:c r="A18" s="125" t="inlineStr">
        <x:is>
          <x:t xml:space="preserve">B-10</x:t>
        </x:is>
      </x:c>
      <x:c r="B18" s="125" t="inlineStr">
        <x:is>
          <x:t xml:space="preserve">Theme</x:t>
        </x:is>
      </x:c>
      <x:c r="C18" s="125" t="inlineStr">
        <x:is>
          <x:t xml:space="preserve">Badge</x:t>
        </x:is>
      </x:c>
      <x:c r="D18" s="125" t="inlineStr">
        <x:is>
          <x:t xml:space="preserve">Light, dark, focus, forced-colors, and relevant motion behavior remain perceivable.</x:t>
        </x:is>
      </x:c>
      <x:c r="E18" s="125" t="inlineStr">
        <x:is>
          <x:t xml:space="preserve">package</x:t>
        </x:is>
      </x:c>
      <x:c r="F18" s="125" t="inlineStr">
        <x:is>
          <x:t xml:space="preserve">manual</x:t>
        </x:is>
      </x:c>
      <x:c r="G18" s="125" t="inlineStr">
        <x:is>
          <x:t xml:space="preserve">manual-tests/badge.md</x:t>
        </x:is>
      </x:c>
      <x:c r="H18" s="125" t="inlineStr">
        <x:is>
          <x:t xml:space="preserve">implemented</x:t>
        </x:is>
      </x:c>
      <x:c r="I18" s="125" t="inlineStr">
        <x:is>
          <x:t xml:space="preserve">yes</x:t>
        </x:is>
      </x:c>
      <x:c r="J18" s="141" t="n"/>
      <x:c r="K18" s="125" t="inlineStr">
        <x:is>
          <x:t xml:space="preserve">Human protocol remains pending. Automated and visual evidence stays in its owning tests and does not complete this human gate.</x:t>
        </x:is>
      </x:c>
      <x:c r="L18" s="125" t="n">
        <x:v>1</x:v>
      </x:c>
      <x:c r="M18" s="125" t="n">
        <x:f>IF(H18="not applicable",IF(K18&lt;&gt;"",1,0),IF(I18="yes",IF(H18="verified",1,0),IF(OR(H18="tested",H18="verified"),1,0)))</x:f>
        <x:v>0</x:v>
      </x:c>
    </x:row>
    <x:row r="19" s="127" customFormat="1" ht="42" customHeight="1">
      <x:c r="A19" s="125" t="inlineStr">
        <x:is>
          <x:t xml:space="preserve">B-11</x:t>
        </x:is>
      </x:c>
      <x:c r="B19" s="125" t="inlineStr">
        <x:is>
          <x:t xml:space="preserve">Composition</x:t>
        </x:is>
      </x:c>
      <x:c r="C19" s="125" t="inlineStr">
        <x:is>
          <x:t xml:space="preserve">Badge</x:t>
        </x:is>
      </x:c>
      <x:c r="D19" s="125" t="inlineStr">
        <x:is>
          <x:t xml:space="preserve">Default, render, and asChild output preserve the intended element, slots, state, and relationships.</x:t>
        </x:is>
      </x:c>
      <x:c r="E19" s="125" t="inlineStr">
        <x:is>
          <x:t xml:space="preserve">package</x:t>
        </x:is>
      </x:c>
      <x:c r="F19" s="125" t="inlineStr">
        <x:is>
          <x:t xml:space="preserve">manual</x:t>
        </x:is>
      </x:c>
      <x:c r="G19" s="125" t="inlineStr">
        <x:is>
          <x:t xml:space="preserve">manual-tests/badge.md; tests/components/badge/behavior.spec.ts</x:t>
        </x:is>
      </x:c>
      <x:c r="H19" s="125" t="inlineStr">
        <x:is>
          <x:t xml:space="preserve">implemented</x:t>
        </x:is>
      </x:c>
      <x:c r="I19" s="125" t="inlineStr">
        <x:is>
          <x:t xml:space="preserve">yes</x:t>
        </x:is>
      </x:c>
      <x:c r="J19" s="141" t="n"/>
      <x:c r="K19" s="125" t="inlineStr">
        <x:is>
          <x:t xml:space="preserve">Human protocol remains pending. Automated and visual evidence stays in its owning tests and does not complete this human gate.</x:t>
        </x:is>
      </x:c>
      <x:c r="L19" s="125" t="n">
        <x:v>1</x:v>
      </x:c>
      <x:c r="M19" s="125" t="n">
        <x:f>IF(H19="not applicable",IF(K19&lt;&gt;"",1,0),IF(I19="yes",IF(H19="verified",1,0),IF(OR(H19="tested",H19="verified"),1,0)))</x:f>
        <x:v>0</x:v>
      </x:c>
    </x:row>
    <x:row r="20" s="127" customFormat="1" ht="42" customHeight="1">
      <x:c r="A20" s="125" t="inlineStr">
        <x:is>
          <x:t xml:space="preserve">B-12</x:t>
        </x:is>
      </x:c>
      <x:c r="B20" s="125" t="inlineStr">
        <x:is>
          <x:t xml:space="preserve">Manual</x:t>
        </x:is>
      </x:c>
      <x:c r="C20" s="125" t="inlineStr">
        <x:is>
          <x:t xml:space="preserve">Badge</x:t>
        </x:is>
      </x:c>
      <x:c r="D20" s="125" t="inlineStr">
        <x:is>
          <x:t xml:space="preserve">The complete component-owned manual protocol passed against every playground scenario.</x:t>
        </x:is>
      </x:c>
      <x:c r="E20" s="125" t="inlineStr">
        <x:is>
          <x:t xml:space="preserve">package</x:t>
        </x:is>
      </x:c>
      <x:c r="F20" s="125" t="inlineStr">
        <x:is>
          <x:t xml:space="preserve">manual</x:t>
        </x:is>
      </x:c>
      <x:c r="G20" s="125" t="inlineStr">
        <x:is>
          <x:t xml:space="preserve">manual-tests/badge.md</x:t>
        </x:is>
      </x:c>
      <x:c r="H20" s="125" t="inlineStr">
        <x:is>
          <x:t xml:space="preserve">implemented</x:t>
        </x:is>
      </x:c>
      <x:c r="I20" s="125" t="inlineStr">
        <x:is>
          <x:t xml:space="preserve">yes</x:t>
        </x:is>
      </x:c>
      <x:c r="J20" s="141" t="n"/>
      <x:c r="K20" s="125" t="inlineStr">
        <x:is>
          <x:t xml:space="preserve">Human protocol remains pending. Automated and visual evidence stays in its owning tests and does not complete this human gate.</x:t>
        </x:is>
      </x:c>
      <x:c r="L20" s="125" t="n">
        <x:v>1</x:v>
      </x:c>
      <x:c r="M20" s="125" t="n">
        <x:f>IF(H20="not applicable",IF(K20&lt;&gt;"",1,0),IF(I20="yes",IF(H20="verified",1,0),IF(OR(H20="tested",H20="verified"),1,0)))</x:f>
        <x:v>0</x:v>
      </x:c>
    </x:row>
    <x:row r="21" s="127" customFormat="1" ht="42" customHeight="1">
      <x:c r="A21" s="125" t="inlineStr">
        <x:is>
          <x:t xml:space="preserve">B-13</x:t>
        </x:is>
      </x:c>
      <x:c r="B21" s="125" t="inlineStr">
        <x:is>
          <x:t xml:space="preserve">Docs</x:t>
        </x:is>
      </x:c>
      <x:c r="C21" s="125" t="inlineStr">
        <x:is>
          <x:t xml:space="preserve">Badge</x:t>
        </x:is>
      </x:c>
      <x:c r="D21" s="125" t="inlineStr">
        <x:is>
          <x:t xml:space="preserve">Public usage documentation exists at the component-owned path.</x:t>
        </x:is>
      </x:c>
      <x:c r="E21" s="125" t="inlineStr">
        <x:is>
          <x:t xml:space="preserve">package</x:t>
        </x:is>
      </x:c>
      <x:c r="F21" s="125" t="inlineStr">
        <x:is>
          <x:t xml:space="preserve">docs</x:t>
        </x:is>
      </x:c>
      <x:c r="G21" s="125" t="inlineStr">
        <x:is>
          <x:t xml:space="preserve">../docs/components/badge/README.md</x:t>
        </x:is>
      </x:c>
      <x:c r="H21" s="125" t="inlineStr">
        <x:is>
          <x:t xml:space="preserve">tested</x:t>
        </x:is>
      </x:c>
      <x:c r="I21" s="125" t="inlineStr">
        <x:is>
          <x:t xml:space="preserve">no</x:t>
        </x:is>
      </x:c>
      <x:c r="J21" s="141" t="n">
        <x:v>46227</x:v>
      </x:c>
      <x:c r="L21" s="125" t="n">
        <x:v>1</x:v>
      </x:c>
      <x:c r="M21" s="125" t="n">
        <x:f>IF(H21="not applicable",IF(K21&lt;&gt;"",1,0),IF(I21="yes",IF(H21="verified",1,0),IF(OR(H21="tested",H21="verified"),1,0)))</x:f>
        <x:v>1</x:v>
      </x:c>
    </x:row>
    <x:row r="22" s="127" customFormat="1" ht="42" customHeight="1">
      <x:c r="A22" s="125" t="inlineStr">
        <x:is>
          <x:t xml:space="preserve">B-14</x:t>
        </x:is>
      </x:c>
      <x:c r="B22" s="125" t="inlineStr">
        <x:is>
          <x:t xml:space="preserve">Changelog</x:t>
        </x:is>
      </x:c>
      <x:c r="C22" s="125" t="inlineStr">
        <x:is>
          <x:t xml:space="preserve">Badge</x:t>
        </x:is>
      </x:c>
      <x:c r="D22" s="125" t="inlineStr">
        <x:is>
          <x:t xml:space="preserve">The component owns a public changelog.</x:t>
        </x:is>
      </x:c>
      <x:c r="E22" s="125" t="inlineStr">
        <x:is>
          <x:t xml:space="preserve">package</x:t>
        </x:is>
      </x:c>
      <x:c r="F22" s="125" t="inlineStr">
        <x:is>
          <x:t xml:space="preserve">docs</x:t>
        </x:is>
      </x:c>
      <x:c r="G22" s="125" t="inlineStr">
        <x:is>
          <x:t xml:space="preserve">../docs/components/badge/CHANGELOG.md</x:t>
        </x:is>
      </x:c>
      <x:c r="H22" s="125" t="inlineStr">
        <x:is>
          <x:t xml:space="preserve">tested</x:t>
        </x:is>
      </x:c>
      <x:c r="I22" s="125" t="inlineStr">
        <x:is>
          <x:t xml:space="preserve">no</x:t>
        </x:is>
      </x:c>
      <x:c r="J22" s="141" t="n">
        <x:v>46227</x:v>
      </x:c>
      <x:c r="L22" s="125" t="n">
        <x:v>1</x:v>
      </x:c>
      <x:c r="M22" s="125" t="n">
        <x:f>IF(H22="not applicable",IF(K22&lt;&gt;"",1,0),IF(I22="yes",IF(H22="verified",1,0),IF(OR(H22="tested",H22="verified"),1,0)))</x:f>
        <x:v>1</x:v>
      </x:c>
    </x:row>
    <x:row r="23" s="127" customFormat="1" ht="42" customHeight="1">
      <x:c r="A23" s="125" t="inlineStr">
        <x:is>
          <x:t xml:space="preserve">B-15</x:t>
        </x:is>
      </x:c>
      <x:c r="B23" s="125" t="inlineStr">
        <x:is>
          <x:t xml:space="preserve">Consumer</x:t>
        </x:is>
      </x:c>
      <x:c r="C23" s="125" t="inlineStr">
        <x:is>
          <x:t xml:space="preserve">Badge</x:t>
        </x:is>
      </x:c>
      <x:c r="D23" s="125" t="inlineStr">
        <x:is>
          <x:t xml:space="preserve">The standalone consumer imports and exercises the public package component.</x:t>
        </x:is>
      </x:c>
      <x:c r="E23" s="125" t="inlineStr">
        <x:is>
          <x:t xml:space="preserve">consumer</x:t>
        </x:is>
      </x:c>
      <x:c r="F23" s="125" t="inlineStr">
        <x:is>
          <x:t xml:space="preserve">consumer</x:t>
        </x:is>
      </x:c>
      <x:c r="G23" s="125" t="inlineStr">
        <x:is>
          <x:t xml:space="preserve">../apps/consumer/src/App.tsx; ../apps/consumer/tests/consumer.spec.ts</x:t>
        </x:is>
      </x:c>
      <x:c r="H23" s="125" t="inlineStr">
        <x:is>
          <x:t xml:space="preserve">tested</x:t>
        </x:is>
      </x:c>
      <x:c r="I23" s="125" t="inlineStr">
        <x:is>
          <x:t xml:space="preserve">no</x:t>
        </x:is>
      </x:c>
      <x:c r="J23" s="141" t="n">
        <x:v>46227</x:v>
      </x:c>
      <x:c r="L23" s="125" t="n">
        <x:v>1</x:v>
      </x:c>
      <x:c r="M23" s="125" t="n">
        <x:f>IF(H23="not applicable",IF(K23&lt;&gt;"",1,0),IF(I23="yes",IF(H23="verified",1,0),IF(OR(H23="tested",H23="verified"),1,0)))</x:f>
        <x:v>1</x:v>
      </x:c>
    </x:row>
    <x:row r="24" s="127" customFormat="1" ht="42" customHeight="1">
      <x:c r="A24" s="125" t="inlineStr">
        <x:is>
          <x:t xml:space="preserve">B-16</x:t>
        </x:is>
      </x:c>
      <x:c r="B24" s="125" t="inlineStr">
        <x:is>
          <x:t xml:space="preserve">Package</x:t>
        </x:is>
      </x:c>
      <x:c r="C24" s="125" t="inlineStr">
        <x:is>
          <x:t xml:space="preserve">Badge</x:t>
        </x:is>
      </x:c>
      <x:c r="D24" s="125" t="inlineStr">
        <x:is>
          <x:t xml:space="preserve">Build, exports, tarball, CSS, and consumer boundary verification pass.</x:t>
        </x:is>
      </x:c>
      <x:c r="E24" s="125" t="inlineStr">
        <x:is>
          <x:t xml:space="preserve">package</x:t>
        </x:is>
      </x:c>
      <x:c r="F24" s="125" t="inlineStr">
        <x:is>
          <x:t xml:space="preserve">package</x:t>
        </x:is>
      </x:c>
      <x:c r="G24" s="125" t="inlineStr">
        <x:is>
          <x:t xml:space="preserve">../scripts/verify-package.mjs; ../scripts/verify-consumers.mjs</x:t>
        </x:is>
      </x:c>
      <x:c r="H24" s="125" t="inlineStr">
        <x:is>
          <x:t xml:space="preserve">tested</x:t>
        </x:is>
      </x:c>
      <x:c r="I24" s="125" t="inlineStr">
        <x:is>
          <x:t xml:space="preserve">no</x:t>
        </x:is>
      </x:c>
      <x:c r="J24" s="141" t="n">
        <x:v>46227</x:v>
      </x:c>
      <x:c r="L24" s="125" t="n">
        <x:v>1</x:v>
      </x:c>
      <x:c r="M24" s="125" t="n">
        <x:f>IF(H24="not applicable",IF(K24&lt;&gt;"",1,0),IF(I24="yes",IF(H24="verified",1,0),IF(OR(H24="tested",H24="verified"),1,0)))</x:f>
        <x:v>1</x:v>
      </x:c>
    </x:row>
  </x:sheetData>
  <x:mergeCells>
    <x:mergeCell ref="A2:M2"/>
    <x:mergeCell ref="A1:M1"/>
  </x:mergeCells>
  <x:conditionalFormatting sqref="H9:H24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1" showDropDown="0" showInputMessage="1" showErrorMessage="1" sqref="H9:H24">
      <x:formula1>"not started,partial,implemented,tested,verified,blocked,not applicable"</x:formula1>
      <x:formula2>0</x:formula2>
    </x:dataValidation>
    <x:dataValidation type="list" errorStyle="stop" operator="between" allowBlank="1" showDropDown="0" showInputMessage="1" showErrorMessage="1" sqref="I9:I24">
      <x:formula1>"yes,no"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21fd2956c5040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Button Evidence</x:t>
        </x:is>
      </x:c>
    </x:row>
    <x:row r="2" s="127" customFormat="1" ht="27.75" customHeight="1">
      <x:c r="A2" s="129" t="inlineStr">
        <x:is>
          <x:t xml:space="preserve">Assertion-level package, browser, human-review, documentation, and consumer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COUNTA(A9:A24)</x:f>
        <x:v>16</x:v>
      </x:c>
      <x:c r="D4" s="130" t="inlineStr">
        <x:is>
          <x:t xml:space="preserve">Resolved</x:t>
        </x:is>
      </x:c>
      <x:c r="E4" s="131" t="n">
        <x:f>SUM(M9:M24)</x:f>
        <x:v>9</x:v>
      </x:c>
      <x:c r="G4" s="130" t="inlineStr">
        <x:is>
          <x:t xml:space="preserve">Completion</x:t>
        </x:is>
      </x:c>
      <x:c r="H4" s="132" t="n">
        <x:f>IF(B4=0,0,E4/B4)</x:f>
        <x:v>0.5625</x:v>
      </x:c>
      <x:c r="J4" s="130" t="inlineStr">
        <x:is>
          <x:t xml:space="preserve">Package gate</x:t>
        </x:is>
      </x:c>
      <x:c r="K4" s="131" t="str">
        <x:f>IF(COUNTIFS(E9:E24,"package",M9:M24,0)&gt;0,"open","complete")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IF(COUNTIFS(I9:I24,"yes",M9:M24,0)&gt;0,"open","complete")</x:f>
        <x:v>open</x:v>
      </x:c>
      <x:c r="D5" s="130" t="inlineStr">
        <x:is>
          <x:t xml:space="preserve">Consumer gate</x:t>
        </x:is>
      </x:c>
      <x:c r="E5" s="131" t="str">
        <x:f>IF(COUNTIFS(E9:E24,"consumer",M9:M24,0)&gt;0,"open","complete")</x:f>
        <x:v>open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42" customHeight="1">
      <x:c r="A9" s="125" t="inlineStr">
        <x:is>
          <x:t xml:space="preserve">B-01</x:t>
        </x:is>
      </x:c>
      <x:c r="B9" s="125" t="inlineStr">
        <x:is>
          <x:t xml:space="preserve">Implementation</x:t>
        </x:is>
      </x:c>
      <x:c r="C9" s="125" t="inlineStr">
        <x:is>
          <x:t xml:space="preserve">Button</x:t>
        </x:is>
      </x:c>
      <x:c r="D9" s="125" t="inlineStr">
        <x:is>
          <x:t xml:space="preserve">Public component implementation and Atom adapter exist.</x:t>
        </x:is>
      </x:c>
      <x:c r="E9" s="125" t="inlineStr">
        <x:is>
          <x:t xml:space="preserve">package</x:t>
        </x:is>
      </x:c>
      <x:c r="F9" s="125" t="inlineStr">
        <x:is>
          <x:t xml:space="preserve">source</x:t>
        </x:is>
      </x:c>
      <x:c r="G9" s="125" t="inlineStr">
        <x:is>
          <x:t xml:space="preserve">../src/components/button</x:t>
        </x:is>
      </x:c>
      <x:c r="H9" s="125" t="inlineStr">
        <x:is>
          <x:t xml:space="preserve">tested</x:t>
        </x:is>
      </x:c>
      <x:c r="I9" s="125" t="inlineStr">
        <x:is>
          <x:t xml:space="preserve">no</x:t>
        </x:is>
      </x:c>
      <x:c r="J9" s="141" t="n">
        <x:v>46227</x:v>
      </x:c>
      <x:c r="L9" s="125" t="n">
        <x:v>1</x:v>
      </x:c>
      <x:c r="M9" s="125" t="n">
        <x:f>IF(OR(AND(I9="yes",H9="verified"),AND(I9="no",OR(H9="tested",H9="verified")),AND(H9="not applicable",K9&lt;&gt;"")),1,0)</x:f>
        <x:v>1</x:v>
      </x:c>
    </x:row>
    <x:row r="10" s="127" customFormat="1" ht="42" customHeight="1">
      <x:c r="A10" s="125" t="inlineStr">
        <x:is>
          <x:t xml:space="preserve">B-02</x:t>
        </x:is>
      </x:c>
      <x:c r="B10" s="125" t="inlineStr">
        <x:is>
          <x:t xml:space="preserve">Exports</x:t>
        </x:is>
      </x:c>
      <x:c r="C10" s="125" t="inlineStr">
        <x:is>
          <x:t xml:space="preserve">Button</x:t>
        </x:is>
      </x:c>
      <x:c r="D10" s="125" t="inlineStr">
        <x:is>
          <x:t xml:space="preserve">Root and public subpath exports expose the component.</x:t>
        </x:is>
      </x:c>
      <x:c r="E10" s="125" t="inlineStr">
        <x:is>
          <x:t xml:space="preserve">package</x:t>
        </x:is>
      </x:c>
      <x:c r="F10" s="125" t="inlineStr">
        <x:is>
          <x:t xml:space="preserve">package</x:t>
        </x:is>
      </x:c>
      <x:c r="G10" s="125" t="inlineStr">
        <x:is>
          <x:t xml:space="preserve">../test/package/package.test.mjs</x:t>
        </x:is>
      </x:c>
      <x:c r="H10" s="125" t="inlineStr">
        <x:is>
          <x:t xml:space="preserve">tested</x:t>
        </x:is>
      </x:c>
      <x:c r="I10" s="125" t="inlineStr">
        <x:is>
          <x:t xml:space="preserve">no</x:t>
        </x:is>
      </x:c>
      <x:c r="J10" s="141" t="n">
        <x:v>46227</x:v>
      </x:c>
      <x:c r="L10" s="125" t="n">
        <x:v>1</x:v>
      </x:c>
      <x:c r="M10" s="125" t="n">
        <x:f>IF(OR(AND(I10="yes",H10="verified"),AND(I10="no",OR(H10="tested",H10="verified")),AND(H10="not applicable",K10&lt;&gt;"")),1,0)</x:f>
        <x:v>1</x:v>
      </x:c>
    </x:row>
    <x:row r="11" s="127" customFormat="1" ht="42" customHeight="1">
      <x:c r="A11" s="125" t="inlineStr">
        <x:is>
          <x:t xml:space="preserve">B-03</x:t>
        </x:is>
      </x:c>
      <x:c r="B11" s="125" t="inlineStr">
        <x:is>
          <x:t xml:space="preserve">Types</x:t>
        </x:is>
      </x:c>
      <x:c r="C11" s="125" t="inlineStr">
        <x:is>
          <x:t xml:space="preserve">Button</x:t>
        </x:is>
      </x:c>
      <x:c r="D11" s="125" t="inlineStr">
        <x:is>
          <x:t xml:space="preserve">Public props, refs, composition branches, and invalid cases type-check.</x:t>
        </x:is>
      </x:c>
      <x:c r="E11" s="125" t="inlineStr">
        <x:is>
          <x:t xml:space="preserve">package</x:t>
        </x:is>
      </x:c>
      <x:c r="F11" s="125" t="inlineStr">
        <x:is>
          <x:t xml:space="preserve">types</x:t>
        </x:is>
      </x:c>
      <x:c r="G11" s="125" t="inlineStr">
        <x:is>
          <x:t xml:space="preserve">../test/types/components/button.test.ts</x:t>
        </x:is>
      </x:c>
      <x:c r="H11" s="125" t="inlineStr">
        <x:is>
          <x:t xml:space="preserve">tested</x:t>
        </x:is>
      </x:c>
      <x:c r="I11" s="125" t="inlineStr">
        <x:is>
          <x:t xml:space="preserve">no</x:t>
        </x:is>
      </x:c>
      <x:c r="J11" s="141" t="n">
        <x:v>46227</x:v>
      </x:c>
      <x:c r="L11" s="125" t="n">
        <x:v>1</x:v>
      </x:c>
      <x:c r="M11" s="125" t="n">
        <x:f>IF(OR(AND(I11="yes",H11="verified"),AND(I11="no",OR(H11="tested",H11="verified")),AND(H11="not applicable",K11&lt;&gt;"")),1,0)</x:f>
        <x:v>1</x:v>
      </x:c>
    </x:row>
    <x:row r="12" s="127" customFormat="1" ht="42" customHeight="1">
      <x:c r="A12" s="125" t="inlineStr">
        <x:is>
          <x:t xml:space="preserve">B-04</x:t>
        </x:is>
      </x:c>
      <x:c r="B12" s="125" t="inlineStr">
        <x:is>
          <x:t xml:space="preserve">CSS</x:t>
        </x:is>
      </x:c>
      <x:c r="C12" s="125" t="inlineStr">
        <x:is>
          <x:t xml:space="preserve">Button</x:t>
        </x:is>
      </x:c>
      <x:c r="D12" s="125" t="inlineStr">
        <x:is>
          <x:t xml:space="preserve">Static public CSS, classes, slots, recipes, states, and tokens are present.</x:t>
        </x:is>
      </x:c>
      <x:c r="E12" s="125" t="inlineStr">
        <x:is>
          <x:t xml:space="preserve">package</x:t>
        </x:is>
      </x:c>
      <x:c r="F12" s="125" t="inlineStr">
        <x:is>
          <x:t xml:space="preserve">css</x:t>
        </x:is>
      </x:c>
      <x:c r="G12" s="125" t="inlineStr">
        <x:is>
          <x:t xml:space="preserve">../src/components/button/button.css</x:t>
        </x:is>
      </x:c>
      <x:c r="H12" s="125" t="inlineStr">
        <x:is>
          <x:t xml:space="preserve">tested</x:t>
        </x:is>
      </x:c>
      <x:c r="I12" s="125" t="inlineStr">
        <x:is>
          <x:t xml:space="preserve">no</x:t>
        </x:is>
      </x:c>
      <x:c r="J12" s="141" t="n">
        <x:v>46227</x:v>
      </x:c>
      <x:c r="L12" s="125" t="n">
        <x:v>1</x:v>
      </x:c>
      <x:c r="M12" s="125" t="n">
        <x:f>IF(OR(AND(I12="yes",H12="verified"),AND(I12="no",OR(H12="tested",H12="verified")),AND(H12="not applicable",K12&lt;&gt;"")),1,0)</x:f>
        <x:v>1</x:v>
      </x:c>
    </x:row>
    <x:row r="13" s="127" customFormat="1" ht="42" customHeight="1">
      <x:c r="A13" s="125" t="inlineStr">
        <x:is>
          <x:t xml:space="preserve">B-05</x:t>
        </x:is>
      </x:c>
      <x:c r="B13" s="125" t="inlineStr">
        <x:is>
          <x:t xml:space="preserve">Unit</x:t>
        </x:is>
      </x:c>
      <x:c r="C13" s="125" t="inlineStr">
        <x:is>
          <x:t xml:space="preserve">Button</x:t>
        </x:is>
      </x:c>
      <x:c r="D13" s="125" t="inlineStr">
        <x:is>
          <x:t xml:space="preserve">Adapter, loading content and group defaults pass unit tests.</x:t>
        </x:is>
      </x:c>
      <x:c r="E13" s="125" t="inlineStr">
        <x:is>
          <x:t xml:space="preserve">package</x:t>
        </x:is>
      </x:c>
      <x:c r="F13" s="125" t="inlineStr">
        <x:is>
          <x:t xml:space="preserve">component</x:t>
        </x:is>
      </x:c>
      <x:c r="G13" s="125" t="inlineStr">
        <x:is>
          <x:t xml:space="preserve">../test/components/button/button.test.tsx; ../test/components/button/parity.test.tsx</x:t>
        </x:is>
      </x:c>
      <x:c r="H13" s="125" t="inlineStr">
        <x:is>
          <x:t xml:space="preserve">tested</x:t>
        </x:is>
      </x:c>
      <x:c r="I13" s="125" t="inlineStr">
        <x:is>
          <x:t xml:space="preserve">no</x:t>
        </x:is>
      </x:c>
      <x:c r="J13" s="141" t="n">
        <x:v>46277.5</x:v>
      </x:c>
      <x:c r="L13" s="125" t="n">
        <x:v>1</x:v>
      </x:c>
      <x:c r="M13" s="125" t="n">
        <x:f>IF(OR(AND(I13="yes",H13="verified"),AND(I13="no",OR(H13="tested",H13="verified")),AND(H13="not applicable",K13&lt;&gt;"")),1,0)</x:f>
        <x:v>1</x:v>
      </x:c>
    </x:row>
    <x:row r="14" s="127" customFormat="1" ht="42" customHeight="1">
      <x:c r="A14" s="125" t="inlineStr">
        <x:is>
          <x:t xml:space="preserve">B-06</x:t>
        </x:is>
      </x:c>
      <x:c r="B14" s="125" t="inlineStr">
        <x:is>
          <x:t xml:space="preserve">Browser</x:t>
        </x:is>
      </x:c>
      <x:c r="C14" s="125" t="inlineStr">
        <x:is>
          <x:t xml:space="preserve">Button</x:t>
        </x:is>
      </x:c>
      <x:c r="D14" s="125" t="inlineStr">
        <x:is>
          <x:t xml:space="preserve">Default behavior plus new recipes, loading and mixed groups pass browser tests.</x:t>
        </x:is>
      </x:c>
      <x:c r="E14" s="125" t="inlineStr">
        <x:is>
          <x:t xml:space="preserve">package</x:t>
        </x:is>
      </x:c>
      <x:c r="F14" s="125" t="inlineStr">
        <x:is>
          <x:t xml:space="preserve">browser</x:t>
        </x:is>
      </x:c>
      <x:c r="G14" s="125" t="inlineStr">
        <x:is>
          <x:t xml:space="preserve">tests/components/button/behavior.spec.ts; tests/components/button/parity.spec.ts</x:t>
        </x:is>
      </x:c>
      <x:c r="H14" s="125" t="inlineStr">
        <x:is>
          <x:t xml:space="preserve">tested</x:t>
        </x:is>
      </x:c>
      <x:c r="I14" s="125" t="inlineStr">
        <x:is>
          <x:t xml:space="preserve">no</x:t>
        </x:is>
      </x:c>
      <x:c r="J14" s="141" t="n">
        <x:v>46277.5</x:v>
      </x:c>
      <x:c r="L14" s="125" t="n">
        <x:v>1</x:v>
      </x:c>
      <x:c r="M14" s="125" t="n">
        <x:f>IF(OR(AND(I14="yes",H14="verified"),AND(I14="no",OR(H14="tested",H14="verified")),AND(H14="not applicable",K14&lt;&gt;"")),1,0)</x:f>
        <x:v>1</x:v>
      </x:c>
    </x:row>
    <x:row r="15" s="127" customFormat="1" ht="42" customHeight="1">
      <x:c r="A15" s="125" t="inlineStr">
        <x:is>
          <x:t xml:space="preserve">B-07</x:t>
        </x:is>
      </x:c>
      <x:c r="B15" s="125" t="inlineStr">
        <x:is>
          <x:t xml:space="preserve">Accessibility</x:t>
        </x:is>
      </x:c>
      <x:c r="C15" s="125" t="inlineStr">
        <x:is>
          <x:t xml:space="preserve">Button</x:t>
        </x:is>
      </x:c>
      <x:c r="D15" s="125" t="inlineStr">
        <x:is>
          <x:t xml:space="preserve">Automated semantics and accessibility checks pass in the browser evidence suite.</x:t>
        </x:is>
      </x:c>
      <x:c r="E15" s="125" t="inlineStr">
        <x:is>
          <x:t xml:space="preserve">package</x:t>
        </x:is>
      </x:c>
      <x:c r="F15" s="125" t="inlineStr">
        <x:is>
          <x:t xml:space="preserve">axe</x:t>
        </x:is>
      </x:c>
      <x:c r="G15" s="125" t="inlineStr">
        <x:is>
          <x:t xml:space="preserve">tests/components/button/behavior.spec.ts; tests/integration</x:t>
        </x:is>
      </x:c>
      <x:c r="H15" s="125" t="inlineStr">
        <x:is>
          <x:t xml:space="preserve">tested</x:t>
        </x:is>
      </x:c>
      <x:c r="I15" s="125" t="inlineStr">
        <x:is>
          <x:t xml:space="preserve">no</x:t>
        </x:is>
      </x:c>
      <x:c r="J15" s="141" t="n">
        <x:v>46227</x:v>
      </x:c>
      <x:c r="L15" s="125" t="n">
        <x:v>1</x:v>
      </x:c>
      <x:c r="M15" s="125" t="n">
        <x:f>IF(OR(AND(I15="yes",H15="verified"),AND(I15="no",OR(H15="tested",H15="verified")),AND(H15="not applicable",K15&lt;&gt;"")),1,0)</x:f>
        <x:v>1</x:v>
      </x:c>
    </x:row>
    <x:row r="16" s="127" customFormat="1" ht="42" customHeight="1">
      <x:c r="A16" s="125" t="inlineStr">
        <x:is>
          <x:t xml:space="preserve">B-08</x:t>
        </x:is>
      </x:c>
      <x:c r="B16" s="125" t="inlineStr">
        <x:is>
          <x:t xml:space="preserve">Visual</x:t>
        </x:is>
      </x:c>
      <x:c r="C16" s="125" t="inlineStr">
        <x:is>
          <x:t xml:space="preserve">Button</x:t>
        </x:is>
      </x:c>
      <x:c r="D16" s="125" t="inlineStr">
        <x:is>
          <x:t xml:space="preserve">Reviewed baselines cover the component's risk-selected recipes and states.</x:t>
        </x:is>
      </x:c>
      <x:c r="E16" s="125" t="inlineStr">
        <x:is>
          <x:t xml:space="preserve">package</x:t>
        </x:is>
      </x:c>
      <x:c r="F16" s="125" t="inlineStr">
        <x:is>
          <x:t xml:space="preserve">visual</x:t>
        </x:is>
      </x:c>
      <x:c r="G16" s="125" t="inlineStr">
        <x:is>
          <x:t xml:space="preserve">tests/components/button/visual.spec.ts</x:t>
        </x:is>
      </x:c>
      <x:c r="H16" s="125" t="inlineStr">
        <x:is>
          <x:t xml:space="preserve">tested</x:t>
        </x:is>
      </x:c>
      <x:c r="I16" s="125" t="inlineStr">
        <x:is>
          <x:t xml:space="preserve">yes</x:t>
        </x:is>
      </x:c>
      <x:c r="J16" s="141" t="n">
        <x:v>46227</x:v>
      </x:c>
      <x:c r="K16" s="125" t="inlineStr">
        <x:is>
          <x:t xml:space="preserve">Automated capture reviewed; owner review of new recipes pending.</x:t>
        </x:is>
      </x:c>
      <x:c r="L16" s="125" t="n">
        <x:v>1</x:v>
      </x:c>
      <x:c r="M16" s="125" t="n">
        <x:f>IF(OR(AND(I16="yes",H16="verified"),AND(I16="no",OR(H16="tested",H16="verified")),AND(H16="not applicable",K16&lt;&gt;"")),1,0)</x:f>
        <x:v>0</x:v>
      </x:c>
    </x:row>
    <x:row r="17" s="127" customFormat="1" ht="42" customHeight="1">
      <x:c r="A17" s="125" t="inlineStr">
        <x:is>
          <x:t xml:space="preserve">B-09</x:t>
        </x:is>
      </x:c>
      <x:c r="B17" s="125" t="inlineStr">
        <x:is>
          <x:t xml:space="preserve">Responsive</x:t>
        </x:is>
      </x:c>
      <x:c r="C17" s="125" t="inlineStr">
        <x:is>
          <x:t xml:space="preserve">Button</x:t>
        </x:is>
      </x:c>
      <x:c r="D17" s="125" t="inlineStr">
        <x:is>
          <x:t xml:space="preserve">Mobile, zoom/reflow, content stress, and RTL remain usable and contained.</x:t>
        </x:is>
      </x:c>
      <x:c r="E17" s="125" t="inlineStr">
        <x:is>
          <x:t xml:space="preserve">package</x:t>
        </x:is>
      </x:c>
      <x:c r="F17" s="125" t="inlineStr">
        <x:is>
          <x:t xml:space="preserve">manual</x:t>
        </x:is>
      </x:c>
      <x:c r="G17" s="125" t="inlineStr">
        <x:is>
          <x:t xml:space="preserve">manual-tests/button.md</x:t>
        </x:is>
      </x:c>
      <x:c r="H17" s="125" t="inlineStr">
        <x:is>
          <x:t xml:space="preserve">implemented</x:t>
        </x:is>
      </x:c>
      <x:c r="I17" s="125" t="inlineStr">
        <x:is>
          <x:t xml:space="preserve">yes</x:t>
        </x:is>
      </x:c>
      <x:c r="J17" s="141" t="n"/>
      <x:c r="K17" s="125" t="inlineStr">
        <x:is>
          <x:t xml:space="preserve">Human protocol remains pending. Automated and visual evidence stays in its owning tests and does not complete this human gate.</x:t>
        </x:is>
      </x:c>
      <x:c r="L17" s="125" t="n">
        <x:v>1</x:v>
      </x:c>
      <x:c r="M17" s="125" t="n">
        <x:f>IF(OR(AND(I17="yes",H17="verified"),AND(I17="no",OR(H17="tested",H17="verified")),AND(H17="not applicable",K17&lt;&gt;"")),1,0)</x:f>
        <x:v>0</x:v>
      </x:c>
    </x:row>
    <x:row r="18" s="127" customFormat="1" ht="90" customHeight="1">
      <x:c r="A18" s="125" t="inlineStr">
        <x:is>
          <x:t xml:space="preserve">B-10</x:t>
        </x:is>
      </x:c>
      <x:c r="B18" s="125" t="inlineStr">
        <x:is>
          <x:t xml:space="preserve">Theme</x:t>
        </x:is>
      </x:c>
      <x:c r="C18" s="125" t="inlineStr">
        <x:is>
          <x:t xml:space="preserve">Button</x:t>
        </x:is>
      </x:c>
      <x:c r="D18" s="125" t="inlineStr">
        <x:is>
          <x:t xml:space="preserve">Light, dark, focus, forced-colors, and relevant motion behavior remain perceivable.</x:t>
        </x:is>
      </x:c>
      <x:c r="E18" s="125" t="inlineStr">
        <x:is>
          <x:t xml:space="preserve">package</x:t>
        </x:is>
      </x:c>
      <x:c r="F18" s="125" t="inlineStr">
        <x:is>
          <x:t xml:space="preserve">manual</x:t>
        </x:is>
      </x:c>
      <x:c r="G18" s="125" t="inlineStr">
        <x:is>
          <x:t xml:space="preserve">manual-tests/button.md</x:t>
        </x:is>
      </x:c>
      <x:c r="H18" s="125" t="inlineStr">
        <x:is>
          <x:t xml:space="preserve">implemented</x:t>
        </x:is>
      </x:c>
      <x:c r="I18" s="125" t="inlineStr">
        <x:is>
          <x:t xml:space="preserve">yes</x:t>
        </x:is>
      </x:c>
      <x:c r="J18" s="141" t="n"/>
      <x:c r="K18" s="142" t="inlineStr">
        <x:is>
          <x:t xml:space="preserve">Human protocol remains pending. Automated and visual evidence stays in its owning tests and does not complete this human gate.
2026-09-09: Focus pass: inset placement, semantic fill contrast and forced-color outline. See focus-system/execution-report.md. Other qualification is not promoted.</x:t>
        </x:is>
      </x:c>
      <x:c r="L18" s="125" t="n">
        <x:v>1</x:v>
      </x:c>
      <x:c r="M18" s="125" t="n">
        <x:f>IF(OR(AND(I18="yes",H18="verified"),AND(I18="no",OR(H18="tested",H18="verified")),AND(H18="not applicable",K18&lt;&gt;"")),1,0)</x:f>
        <x:v>0</x:v>
      </x:c>
    </x:row>
    <x:row r="19" s="127" customFormat="1" ht="42" customHeight="1">
      <x:c r="A19" s="125" t="inlineStr">
        <x:is>
          <x:t xml:space="preserve">B-11</x:t>
        </x:is>
      </x:c>
      <x:c r="B19" s="125" t="inlineStr">
        <x:is>
          <x:t xml:space="preserve">Composition</x:t>
        </x:is>
      </x:c>
      <x:c r="C19" s="125" t="inlineStr">
        <x:is>
          <x:t xml:space="preserve">Button</x:t>
        </x:is>
      </x:c>
      <x:c r="D19" s="125" t="inlineStr">
        <x:is>
          <x:t xml:space="preserve">Default, render, and asChild output preserve the intended element, slots, state, and relationships.</x:t>
        </x:is>
      </x:c>
      <x:c r="E19" s="125" t="inlineStr">
        <x:is>
          <x:t xml:space="preserve">package</x:t>
        </x:is>
      </x:c>
      <x:c r="F19" s="125" t="inlineStr">
        <x:is>
          <x:t xml:space="preserve">manual</x:t>
        </x:is>
      </x:c>
      <x:c r="G19" s="125" t="inlineStr">
        <x:is>
          <x:t xml:space="preserve">manual-tests/button.md; tests/components/button/behavior.spec.ts</x:t>
        </x:is>
      </x:c>
      <x:c r="H19" s="125" t="inlineStr">
        <x:is>
          <x:t xml:space="preserve">implemented</x:t>
        </x:is>
      </x:c>
      <x:c r="I19" s="125" t="inlineStr">
        <x:is>
          <x:t xml:space="preserve">yes</x:t>
        </x:is>
      </x:c>
      <x:c r="J19" s="141" t="n"/>
      <x:c r="K19" s="125" t="inlineStr">
        <x:is>
          <x:t xml:space="preserve">Human protocol remains pending. Automated and visual evidence stays in its owning tests and does not complete this human gate.</x:t>
        </x:is>
      </x:c>
      <x:c r="L19" s="125" t="n">
        <x:v>1</x:v>
      </x:c>
      <x:c r="M19" s="125" t="n">
        <x:f>IF(OR(AND(I19="yes",H19="verified"),AND(I19="no",OR(H19="tested",H19="verified")),AND(H19="not applicable",K19&lt;&gt;"")),1,0)</x:f>
        <x:v>0</x:v>
      </x:c>
    </x:row>
    <x:row r="20" s="127" customFormat="1" ht="42" customHeight="1">
      <x:c r="A20" s="125" t="inlineStr">
        <x:is>
          <x:t xml:space="preserve">B-12</x:t>
        </x:is>
      </x:c>
      <x:c r="B20" s="125" t="inlineStr">
        <x:is>
          <x:t xml:space="preserve">Manual</x:t>
        </x:is>
      </x:c>
      <x:c r="C20" s="125" t="inlineStr">
        <x:is>
          <x:t xml:space="preserve">Button</x:t>
        </x:is>
      </x:c>
      <x:c r="D20" s="125" t="inlineStr">
        <x:is>
          <x:t xml:space="preserve">The complete component-owned manual protocol passed against every playground scenario.</x:t>
        </x:is>
      </x:c>
      <x:c r="E20" s="125" t="inlineStr">
        <x:is>
          <x:t xml:space="preserve">package</x:t>
        </x:is>
      </x:c>
      <x:c r="F20" s="125" t="inlineStr">
        <x:is>
          <x:t xml:space="preserve">manual</x:t>
        </x:is>
      </x:c>
      <x:c r="G20" s="125" t="inlineStr">
        <x:is>
          <x:t xml:space="preserve">manual-tests/button.md</x:t>
        </x:is>
      </x:c>
      <x:c r="H20" s="125" t="inlineStr">
        <x:is>
          <x:t xml:space="preserve">implemented</x:t>
        </x:is>
      </x:c>
      <x:c r="I20" s="125" t="inlineStr">
        <x:is>
          <x:t xml:space="preserve">yes</x:t>
        </x:is>
      </x:c>
      <x:c r="J20" s="141" t="n"/>
      <x:c r="K20" s="125" t="inlineStr">
        <x:is>
          <x:t xml:space="preserve">Human protocol remains pending. Automated and visual evidence stays in its owning tests and does not complete this human gate.</x:t>
        </x:is>
      </x:c>
      <x:c r="L20" s="125" t="n">
        <x:v>1</x:v>
      </x:c>
      <x:c r="M20" s="125" t="n">
        <x:f>IF(OR(AND(I20="yes",H20="verified"),AND(I20="no",OR(H20="tested",H20="verified")),AND(H20="not applicable",K20&lt;&gt;"")),1,0)</x:f>
        <x:v>0</x:v>
      </x:c>
    </x:row>
    <x:row r="21" s="127" customFormat="1" ht="42" customHeight="1">
      <x:c r="A21" s="125" t="inlineStr">
        <x:is>
          <x:t xml:space="preserve">B-13</x:t>
        </x:is>
      </x:c>
      <x:c r="B21" s="125" t="inlineStr">
        <x:is>
          <x:t xml:space="preserve">Docs</x:t>
        </x:is>
      </x:c>
      <x:c r="C21" s="125" t="inlineStr">
        <x:is>
          <x:t xml:space="preserve">Button</x:t>
        </x:is>
      </x:c>
      <x:c r="D21" s="125" t="inlineStr">
        <x:is>
          <x:t xml:space="preserve">Button recipes, loading and ButtonGroup are documented with Agent Knowledge.</x:t>
        </x:is>
      </x:c>
      <x:c r="E21" s="125" t="inlineStr">
        <x:is>
          <x:t xml:space="preserve">package</x:t>
        </x:is>
      </x:c>
      <x:c r="F21" s="125" t="inlineStr">
        <x:is>
          <x:t xml:space="preserve">docs</x:t>
        </x:is>
      </x:c>
      <x:c r="G21" s="125" t="inlineStr">
        <x:is>
          <x:t xml:space="preserve">../docs/components/button/README.md</x:t>
        </x:is>
      </x:c>
      <x:c r="H21" s="125" t="inlineStr">
        <x:is>
          <x:t xml:space="preserve">tested</x:t>
        </x:is>
      </x:c>
      <x:c r="I21" s="125" t="inlineStr">
        <x:is>
          <x:t xml:space="preserve">no</x:t>
        </x:is>
      </x:c>
      <x:c r="J21" s="141" t="n">
        <x:v>46277.5</x:v>
      </x:c>
      <x:c r="L21" s="125" t="n">
        <x:v>1</x:v>
      </x:c>
      <x:c r="M21" s="125" t="n">
        <x:f>IF(OR(AND(I21="yes",H21="verified"),AND(I21="no",OR(H21="tested",H21="verified")),AND(H21="not applicable",K21&lt;&gt;"")),1,0)</x:f>
        <x:v>1</x:v>
      </x:c>
    </x:row>
    <x:row r="22" s="127" customFormat="1" ht="42" customHeight="1">
      <x:c r="A22" s="125" t="inlineStr">
        <x:is>
          <x:t xml:space="preserve">B-14</x:t>
        </x:is>
      </x:c>
      <x:c r="B22" s="125" t="inlineStr">
        <x:is>
          <x:t xml:space="preserve">Changelog</x:t>
        </x:is>
      </x:c>
      <x:c r="C22" s="125" t="inlineStr">
        <x:is>
          <x:t xml:space="preserve">Button</x:t>
        </x:is>
      </x:c>
      <x:c r="D22" s="125" t="inlineStr">
        <x:is>
          <x:t xml:space="preserve">The component owns a public changelog.</x:t>
        </x:is>
      </x:c>
      <x:c r="E22" s="125" t="inlineStr">
        <x:is>
          <x:t xml:space="preserve">package</x:t>
        </x:is>
      </x:c>
      <x:c r="F22" s="125" t="inlineStr">
        <x:is>
          <x:t xml:space="preserve">docs</x:t>
        </x:is>
      </x:c>
      <x:c r="G22" s="125" t="inlineStr">
        <x:is>
          <x:t xml:space="preserve">../docs/components/button/CHANGELOG.md</x:t>
        </x:is>
      </x:c>
      <x:c r="H22" s="125" t="inlineStr">
        <x:is>
          <x:t xml:space="preserve">tested</x:t>
        </x:is>
      </x:c>
      <x:c r="I22" s="125" t="inlineStr">
        <x:is>
          <x:t xml:space="preserve">no</x:t>
        </x:is>
      </x:c>
      <x:c r="J22" s="141" t="n">
        <x:v>46227</x:v>
      </x:c>
      <x:c r="L22" s="125" t="n">
        <x:v>1</x:v>
      </x:c>
      <x:c r="M22" s="125" t="n">
        <x:f>IF(OR(AND(I22="yes",H22="verified"),AND(I22="no",OR(H22="tested",H22="verified")),AND(H22="not applicable",K22&lt;&gt;"")),1,0)</x:f>
        <x:v>1</x:v>
      </x:c>
    </x:row>
    <x:row r="23" s="127" customFormat="1" ht="42" customHeight="1">
      <x:c r="A23" s="125" t="inlineStr">
        <x:is>
          <x:t xml:space="preserve">B-15</x:t>
        </x:is>
      </x:c>
      <x:c r="B23" s="125" t="inlineStr">
        <x:is>
          <x:t xml:space="preserve">Consumer</x:t>
        </x:is>
      </x:c>
      <x:c r="C23" s="125" t="inlineStr">
        <x:is>
          <x:t xml:space="preserve">Button</x:t>
        </x:is>
      </x:c>
      <x:c r="D23" s="125" t="inlineStr">
        <x:is>
          <x:t xml:space="preserve">The standalone consumer imports and exercises the public package component.</x:t>
        </x:is>
      </x:c>
      <x:c r="E23" s="125" t="inlineStr">
        <x:is>
          <x:t xml:space="preserve">consumer</x:t>
        </x:is>
      </x:c>
      <x:c r="F23" s="125" t="inlineStr">
        <x:is>
          <x:t xml:space="preserve">consumer</x:t>
        </x:is>
      </x:c>
      <x:c r="G23" s="125" t="inlineStr">
        <x:is>
          <x:t xml:space="preserve">../apps/consumer/src/App.tsx; ../apps/consumer/tests/consumer.spec.ts</x:t>
        </x:is>
      </x:c>
      <x:c r="H23" s="125" t="inlineStr">
        <x:is>
          <x:t xml:space="preserve">partial</x:t>
        </x:is>
      </x:c>
      <x:c r="I23" s="125" t="inlineStr">
        <x:is>
          <x:t xml:space="preserve">no</x:t>
        </x:is>
      </x:c>
      <x:c r="J23" s="141" t="n">
        <x:v>46227</x:v>
      </x:c>
      <x:c r="K23" s="138" t="inlineStr">
        <x:is>
          <x:t xml:space="preserve">New group composition has not run in clean installed consumers.</x:t>
        </x:is>
      </x:c>
      <x:c r="L23" s="125" t="n">
        <x:v>1</x:v>
      </x:c>
      <x:c r="M23" s="125" t="n">
        <x:f>IF(OR(AND(I23="yes",H23="verified"),AND(I23="no",OR(H23="tested",H23="verified")),AND(H23="not applicable",K23&lt;&gt;"")),1,0)</x:f>
        <x:v>0</x:v>
      </x:c>
    </x:row>
    <x:row r="24" s="127" customFormat="1" ht="42" customHeight="1">
      <x:c r="A24" s="125" t="inlineStr">
        <x:is>
          <x:t xml:space="preserve">B-16</x:t>
        </x:is>
      </x:c>
      <x:c r="B24" s="125" t="inlineStr">
        <x:is>
          <x:t xml:space="preserve">Package</x:t>
        </x:is>
      </x:c>
      <x:c r="C24" s="125" t="inlineStr">
        <x:is>
          <x:t xml:space="preserve">Button</x:t>
        </x:is>
      </x:c>
      <x:c r="D24" s="125" t="inlineStr">
        <x:is>
          <x:t xml:space="preserve">Build, exports, tarball, CSS, and consumer boundary verification pass.</x:t>
        </x:is>
      </x:c>
      <x:c r="E24" s="125" t="inlineStr">
        <x:is>
          <x:t xml:space="preserve">package</x:t>
        </x:is>
      </x:c>
      <x:c r="F24" s="125" t="inlineStr">
        <x:is>
          <x:t xml:space="preserve">package</x:t>
        </x:is>
      </x:c>
      <x:c r="G24" s="125" t="inlineStr">
        <x:is>
          <x:t xml:space="preserve">../scripts/verify-package.mjs; ../scripts/verify-consumers.mjs</x:t>
        </x:is>
      </x:c>
      <x:c r="H24" s="125" t="inlineStr">
        <x:is>
          <x:t xml:space="preserve">partial</x:t>
        </x:is>
      </x:c>
      <x:c r="I24" s="125" t="inlineStr">
        <x:is>
          <x:t xml:space="preserve">no</x:t>
        </x:is>
      </x:c>
      <x:c r="J24" s="141" t="n">
        <x:v>46227</x:v>
      </x:c>
      <x:c r="K24" s="138" t="inlineStr">
        <x:is>
          <x:t xml:space="preserve">Local package checks pass; clean consumer and human gates remain open.</x:t>
        </x:is>
      </x:c>
      <x:c r="L24" s="125" t="n">
        <x:v>1</x:v>
      </x:c>
      <x:c r="M24" s="125" t="n">
        <x:f>IF(OR(AND(I24="yes",H24="verified"),AND(I24="no",OR(H24="tested",H24="verified")),AND(H24="not applicable",K24&lt;&gt;"")),1,0)</x:f>
        <x:v>0</x:v>
      </x:c>
    </x:row>
  </x:sheetData>
  <x:mergeCells>
    <x:mergeCell ref="A2:M2"/>
    <x:mergeCell ref="A1:M1"/>
  </x:mergeCells>
  <x:conditionalFormatting sqref="H9:H24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1" showDropDown="0" showInputMessage="1" showErrorMessage="1" sqref="H9:H24">
      <x:formula1>"not started,partial,implemented,tested,verified,blocked,not applicable"</x:formula1>
      <x:formula2>0</x:formula2>
    </x:dataValidation>
    <x:dataValidation type="list" errorStyle="stop" operator="between" allowBlank="1" showDropDown="0" showInputMessage="1" showErrorMessage="1" sqref="I9:I24">
      <x:formula1>"yes,no"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4783de90c45463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Card Evidence</x:t>
        </x:is>
      </x:c>
    </x:row>
    <x:row r="2" s="127" customFormat="1" ht="27.75" customHeight="1">
      <x:c r="A2" s="129" t="inlineStr">
        <x:is>
          <x:t xml:space="preserve">Assertion-level package, browser, human-review, documentation, and consumer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COUNTA(A9:A200)</x:f>
        <x:v>16</x:v>
      </x:c>
      <x:c r="D4" s="130" t="inlineStr">
        <x:is>
          <x:t xml:space="preserve">Resolved</x:t>
        </x:is>
      </x:c>
      <x:c r="E4" s="131" t="n">
        <x:f>SUM(M9:M200)</x:f>
        <x:v>10</x:v>
      </x:c>
      <x:c r="G4" s="130" t="inlineStr">
        <x:is>
          <x:t xml:space="preserve">Completion</x:t>
        </x:is>
      </x:c>
      <x:c r="H4" s="132" t="n">
        <x:f>IF(B4=0,0,E4/B4)</x:f>
        <x:v>0.625</x:v>
      </x:c>
      <x:c r="J4" s="130" t="inlineStr">
        <x:is>
          <x:t xml:space="preserve">Package gate</x:t>
        </x:is>
      </x:c>
      <x:c r="K4" s="131" t="str"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v>open</x:v>
      </x:c>
      <x:c r="D5" s="130" t="inlineStr">
        <x:is>
          <x:t xml:space="preserve">Consumer gate</x:t>
        </x:is>
      </x:c>
      <x:c r="E5" s="131" t="str">
        <x:v>open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42" customHeight="1">
      <x:c r="A9" s="125" t="inlineStr">
        <x:is>
          <x:t xml:space="preserve">C-01</x:t>
        </x:is>
      </x:c>
      <x:c r="B9" s="125" t="inlineStr">
        <x:is>
          <x:t xml:space="preserve">Implementation</x:t>
        </x:is>
      </x:c>
      <x:c r="C9" s="125" t="inlineStr">
        <x:is>
          <x:t xml:space="preserve">Card</x:t>
        </x:is>
      </x:c>
      <x:c r="D9" s="125" t="inlineStr">
        <x:is>
          <x:t xml:space="preserve">Public component implementation and Atom adapter exist.</x:t>
        </x:is>
      </x:c>
      <x:c r="E9" s="125" t="inlineStr">
        <x:is>
          <x:t xml:space="preserve">package</x:t>
        </x:is>
      </x:c>
      <x:c r="F9" s="125" t="inlineStr">
        <x:is>
          <x:t xml:space="preserve">source</x:t>
        </x:is>
      </x:c>
      <x:c r="G9" s="125" t="inlineStr">
        <x:is>
          <x:t xml:space="preserve">../src/components/card</x:t>
        </x:is>
      </x:c>
      <x:c r="H9" s="125" t="inlineStr">
        <x:is>
          <x:t xml:space="preserve">tested</x:t>
        </x:is>
      </x:c>
      <x:c r="I9" s="125" t="inlineStr">
        <x:is>
          <x:t xml:space="preserve">no</x:t>
        </x:is>
      </x:c>
      <x:c r="J9" s="141" t="n">
        <x:v>46227</x:v>
      </x:c>
      <x:c r="K9" s="138" t="inlineStr">
        <x:is>
          <x:t xml:space="preserve">Local Atom 0.26.1 candidate. Unpublished. Parity qualification September 11, 2026.</x:t>
        </x:is>
      </x:c>
      <x:c r="L9" s="125" t="n">
        <x:v>1</x:v>
      </x:c>
      <x:c r="M9" s="125" t="n">
        <x:f>IF(OR(H9="tested",H9="verified"),1,0)</x:f>
        <x:v>1</x:v>
      </x:c>
    </x:row>
    <x:row r="10" s="127" customFormat="1" ht="42" customHeight="1">
      <x:c r="A10" s="125" t="inlineStr">
        <x:is>
          <x:t xml:space="preserve">C-02</x:t>
        </x:is>
      </x:c>
      <x:c r="B10" s="125" t="inlineStr">
        <x:is>
          <x:t xml:space="preserve">Exports</x:t>
        </x:is>
      </x:c>
      <x:c r="C10" s="125" t="inlineStr">
        <x:is>
          <x:t xml:space="preserve">Card</x:t>
        </x:is>
      </x:c>
      <x:c r="D10" s="125" t="inlineStr">
        <x:is>
          <x:t xml:space="preserve">Root and public subpath exports expose the component.</x:t>
        </x:is>
      </x:c>
      <x:c r="E10" s="125" t="inlineStr">
        <x:is>
          <x:t xml:space="preserve">package</x:t>
        </x:is>
      </x:c>
      <x:c r="F10" s="125" t="inlineStr">
        <x:is>
          <x:t xml:space="preserve">package</x:t>
        </x:is>
      </x:c>
      <x:c r="G10" s="125" t="inlineStr">
        <x:is>
          <x:t xml:space="preserve">../test/package/package.test.mjs</x:t>
        </x:is>
      </x:c>
      <x:c r="H10" s="125" t="inlineStr">
        <x:is>
          <x:t xml:space="preserve">tested</x:t>
        </x:is>
      </x:c>
      <x:c r="I10" s="125" t="inlineStr">
        <x:is>
          <x:t xml:space="preserve">no</x:t>
        </x:is>
      </x:c>
      <x:c r="J10" s="141" t="n">
        <x:v>46227</x:v>
      </x:c>
      <x:c r="L10" s="125" t="n">
        <x:v>1</x:v>
      </x:c>
      <x:c r="M10" s="125" t="n">
        <x:f>IF(OR(H10="tested",H10="verified"),1,0)</x:f>
        <x:v>1</x:v>
      </x:c>
    </x:row>
    <x:row r="11" s="127" customFormat="1" ht="42" customHeight="1">
      <x:c r="A11" s="125" t="inlineStr">
        <x:is>
          <x:t xml:space="preserve">C-03</x:t>
        </x:is>
      </x:c>
      <x:c r="B11" s="125" t="inlineStr">
        <x:is>
          <x:t xml:space="preserve">Types</x:t>
        </x:is>
      </x:c>
      <x:c r="C11" s="125" t="inlineStr">
        <x:is>
          <x:t xml:space="preserve">Card</x:t>
        </x:is>
      </x:c>
      <x:c r="D11" s="125" t="inlineStr">
        <x:is>
          <x:t xml:space="preserve">Root asChild, overflow clip/visible and semantic hosts type-check.</x:t>
        </x:is>
      </x:c>
      <x:c r="E11" s="125" t="inlineStr">
        <x:is>
          <x:t xml:space="preserve">package</x:t>
        </x:is>
      </x:c>
      <x:c r="F11" s="125" t="inlineStr">
        <x:is>
          <x:t xml:space="preserve">types</x:t>
        </x:is>
      </x:c>
      <x:c r="G11" s="125" t="inlineStr">
        <x:is>
          <x:t xml:space="preserve">../test/types/components/card.test.ts</x:t>
        </x:is>
      </x:c>
      <x:c r="H11" s="125" t="inlineStr">
        <x:is>
          <x:t xml:space="preserve">tested</x:t>
        </x:is>
      </x:c>
      <x:c r="I11" s="125" t="inlineStr">
        <x:is>
          <x:t xml:space="preserve">no</x:t>
        </x:is>
      </x:c>
      <x:c r="J11" s="141" t="n">
        <x:v>46227</x:v>
      </x:c>
      <x:c r="L11" s="125" t="n">
        <x:v>1</x:v>
      </x:c>
      <x:c r="M11" s="125" t="n">
        <x:f>IF(OR(H11="tested",H11="verified"),1,0)</x:f>
        <x:v>1</x:v>
      </x:c>
    </x:row>
    <x:row r="12" s="127" customFormat="1" ht="42" customHeight="1">
      <x:c r="A12" s="125" t="inlineStr">
        <x:is>
          <x:t xml:space="preserve">C-04</x:t>
        </x:is>
      </x:c>
      <x:c r="B12" s="125" t="inlineStr">
        <x:is>
          <x:t xml:space="preserve">CSS</x:t>
        </x:is>
      </x:c>
      <x:c r="C12" s="125" t="inlineStr">
        <x:is>
          <x:t xml:space="preserve">Card</x:t>
        </x:is>
      </x:c>
      <x:c r="D12" s="125" t="inlineStr">
        <x:is>
          <x:t xml:space="preserve">Static public CSS, classes, slots, recipes, states, and tokens are present.</x:t>
        </x:is>
      </x:c>
      <x:c r="E12" s="125" t="inlineStr">
        <x:is>
          <x:t xml:space="preserve">package</x:t>
        </x:is>
      </x:c>
      <x:c r="F12" s="125" t="inlineStr">
        <x:is>
          <x:t xml:space="preserve">css</x:t>
        </x:is>
      </x:c>
      <x:c r="G12" s="125" t="inlineStr">
        <x:is>
          <x:t xml:space="preserve">../src/components/card/card.css</x:t>
        </x:is>
      </x:c>
      <x:c r="H12" s="125" t="inlineStr">
        <x:is>
          <x:t xml:space="preserve">tested</x:t>
        </x:is>
      </x:c>
      <x:c r="I12" s="125" t="inlineStr">
        <x:is>
          <x:t xml:space="preserve">no</x:t>
        </x:is>
      </x:c>
      <x:c r="J12" s="141" t="n">
        <x:v>46227</x:v>
      </x:c>
      <x:c r="L12" s="125" t="n">
        <x:v>1</x:v>
      </x:c>
      <x:c r="M12" s="125" t="n">
        <x:f>IF(OR(H12="tested",H12="verified"),1,0)</x:f>
        <x:v>1</x:v>
      </x:c>
    </x:row>
    <x:row r="13" s="127" customFormat="1" ht="42" customHeight="1">
      <x:c r="A13" s="125" t="inlineStr">
        <x:is>
          <x:t xml:space="preserve">C-05</x:t>
        </x:is>
      </x:c>
      <x:c r="B13" s="125" t="inlineStr">
        <x:is>
          <x:t xml:space="preserve">Unit</x:t>
        </x:is>
      </x:c>
      <x:c r="C13" s="125" t="inlineStr">
        <x:is>
          <x:t xml:space="preserve">Card</x:t>
        </x:is>
      </x:c>
      <x:c r="D13" s="125" t="inlineStr">
        <x:is>
          <x:t xml:space="preserve">Brick-owned DOM, recipes, adapters, and public hooks pass focused tests.</x:t>
        </x:is>
      </x:c>
      <x:c r="E13" s="125" t="inlineStr">
        <x:is>
          <x:t xml:space="preserve">package</x:t>
        </x:is>
      </x:c>
      <x:c r="F13" s="125" t="inlineStr">
        <x:is>
          <x:t xml:space="preserve">component</x:t>
        </x:is>
      </x:c>
      <x:c r="G13" s="125" t="inlineStr">
        <x:is>
          <x:t xml:space="preserve">../test/components/card/card.test.tsx</x:t>
        </x:is>
      </x:c>
      <x:c r="H13" s="125" t="inlineStr">
        <x:is>
          <x:t xml:space="preserve">tested</x:t>
        </x:is>
      </x:c>
      <x:c r="I13" s="125" t="inlineStr">
        <x:is>
          <x:t xml:space="preserve">no</x:t>
        </x:is>
      </x:c>
      <x:c r="J13" s="141" t="n">
        <x:v>46227</x:v>
      </x:c>
      <x:c r="L13" s="125" t="n">
        <x:v>1</x:v>
      </x:c>
      <x:c r="M13" s="125" t="n">
        <x:f>IF(OR(H13="tested",H13="verified"),1,0)</x:f>
        <x:v>1</x:v>
      </x:c>
    </x:row>
    <x:row r="14" s="127" customFormat="1" ht="42" customHeight="1">
      <x:c r="A14" s="125" t="inlineStr">
        <x:is>
          <x:t xml:space="preserve">C-06</x:t>
        </x:is>
      </x:c>
      <x:c r="B14" s="125" t="inlineStr">
        <x:is>
          <x:t xml:space="preserve">Browser</x:t>
        </x:is>
      </x:c>
      <x:c r="C14" s="125" t="inlineStr">
        <x:is>
          <x:t xml:space="preserve">Card</x:t>
        </x:is>
      </x:c>
      <x:c r="D14" s="125" t="inlineStr">
        <x:is>
          <x:t xml:space="preserve">Real-browser behavior and component contract checks pass.</x:t>
        </x:is>
      </x:c>
      <x:c r="E14" s="125" t="inlineStr">
        <x:is>
          <x:t xml:space="preserve">package</x:t>
        </x:is>
      </x:c>
      <x:c r="F14" s="125" t="inlineStr">
        <x:is>
          <x:t xml:space="preserve">browser</x:t>
        </x:is>
      </x:c>
      <x:c r="G14" s="125" t="inlineStr">
        <x:is>
          <x:t xml:space="preserve">tests/components/card/behavior.spec.ts</x:t>
        </x:is>
      </x:c>
      <x:c r="H14" s="125" t="inlineStr">
        <x:is>
          <x:t xml:space="preserve">tested</x:t>
        </x:is>
      </x:c>
      <x:c r="I14" s="125" t="inlineStr">
        <x:is>
          <x:t xml:space="preserve">no</x:t>
        </x:is>
      </x:c>
      <x:c r="J14" s="141" t="n">
        <x:v>46227</x:v>
      </x:c>
      <x:c r="L14" s="125" t="n">
        <x:v>1</x:v>
      </x:c>
      <x:c r="M14" s="125" t="n">
        <x:f>IF(OR(H14="tested",H14="verified"),1,0)</x:f>
        <x:v>1</x:v>
      </x:c>
    </x:row>
    <x:row r="15" s="127" customFormat="1" ht="42" customHeight="1">
      <x:c r="A15" s="125" t="inlineStr">
        <x:is>
          <x:t xml:space="preserve">C-07</x:t>
        </x:is>
      </x:c>
      <x:c r="B15" s="125" t="inlineStr">
        <x:is>
          <x:t xml:space="preserve">Accessibility</x:t>
        </x:is>
      </x:c>
      <x:c r="C15" s="125" t="inlineStr">
        <x:is>
          <x:t xml:space="preserve">Card</x:t>
        </x:is>
      </x:c>
      <x:c r="D15" s="125" t="inlineStr">
        <x:is>
          <x:t xml:space="preserve">Automated semantics and accessibility checks pass in the browser evidence suite.</x:t>
        </x:is>
      </x:c>
      <x:c r="E15" s="125" t="inlineStr">
        <x:is>
          <x:t xml:space="preserve">package</x:t>
        </x:is>
      </x:c>
      <x:c r="F15" s="125" t="inlineStr">
        <x:is>
          <x:t xml:space="preserve">axe</x:t>
        </x:is>
      </x:c>
      <x:c r="G15" s="125" t="inlineStr">
        <x:is>
          <x:t xml:space="preserve">tests/components/card/behavior.spec.ts; tests/integration</x:t>
        </x:is>
      </x:c>
      <x:c r="H15" s="125" t="inlineStr">
        <x:is>
          <x:t xml:space="preserve">tested</x:t>
        </x:is>
      </x:c>
      <x:c r="I15" s="125" t="inlineStr">
        <x:is>
          <x:t xml:space="preserve">no</x:t>
        </x:is>
      </x:c>
      <x:c r="J15" s="141" t="n">
        <x:v>46227</x:v>
      </x:c>
      <x:c r="L15" s="125" t="n">
        <x:v>1</x:v>
      </x:c>
      <x:c r="M15" s="125" t="n">
        <x:f>IF(OR(H15="tested",H15="verified"),1,0)</x:f>
        <x:v>1</x:v>
      </x:c>
    </x:row>
    <x:row r="16" s="127" customFormat="1" ht="42" customHeight="1">
      <x:c r="A16" s="125" t="inlineStr">
        <x:is>
          <x:t xml:space="preserve">C-08</x:t>
        </x:is>
      </x:c>
      <x:c r="B16" s="125" t="inlineStr">
        <x:is>
          <x:t xml:space="preserve">Visual</x:t>
        </x:is>
      </x:c>
      <x:c r="C16" s="125" t="inlineStr">
        <x:is>
          <x:t xml:space="preserve">Card</x:t>
        </x:is>
      </x:c>
      <x:c r="D16" s="125" t="inlineStr">
        <x:is>
          <x:t xml:space="preserve">Reviewed baselines cover the component's risk-selected recipes and states.</x:t>
        </x:is>
      </x:c>
      <x:c r="E16" s="125" t="inlineStr">
        <x:is>
          <x:t xml:space="preserve">package</x:t>
        </x:is>
      </x:c>
      <x:c r="F16" s="125" t="inlineStr">
        <x:is>
          <x:t xml:space="preserve">visual</x:t>
        </x:is>
      </x:c>
      <x:c r="G16" s="125" t="inlineStr">
        <x:is>
          <x:t xml:space="preserve">tests/components/card/visual.spec.ts</x:t>
        </x:is>
      </x:c>
      <x:c r="H16" s="125" t="inlineStr">
        <x:is>
          <x:t xml:space="preserve">implemented</x:t>
        </x:is>
      </x:c>
      <x:c r="I16" s="125" t="inlineStr">
        <x:is>
          <x:t xml:space="preserve">yes</x:t>
        </x:is>
      </x:c>
      <x:c r="J16" s="141" t="n">
        <x:v>46227</x:v>
      </x:c>
      <x:c r="K16" s="125" t="inlineStr">
        <x:is>
          <x:t xml:space="preserve">Requalification required for this local candidate. Historical evidence is not a current manual pass.</x:t>
        </x:is>
      </x:c>
      <x:c r="L16" s="125" t="n">
        <x:v>1</x:v>
      </x:c>
      <x:c r="M16" s="125" t="n">
        <x:f>IF(OR(H16="tested",H16="verified"),1,0)</x:f>
        <x:v>0</x:v>
      </x:c>
    </x:row>
    <x:row r="17" s="127" customFormat="1" ht="42" customHeight="1">
      <x:c r="A17" s="125" t="inlineStr">
        <x:is>
          <x:t xml:space="preserve">C-09</x:t>
        </x:is>
      </x:c>
      <x:c r="B17" s="125" t="inlineStr">
        <x:is>
          <x:t xml:space="preserve">Responsive</x:t>
        </x:is>
      </x:c>
      <x:c r="C17" s="125" t="inlineStr">
        <x:is>
          <x:t xml:space="preserve">Card</x:t>
        </x:is>
      </x:c>
      <x:c r="D17" s="125" t="inlineStr">
        <x:is>
          <x:t xml:space="preserve">Mobile, zoom/reflow, content stress, and RTL remain usable and contained.</x:t>
        </x:is>
      </x:c>
      <x:c r="E17" s="125" t="inlineStr">
        <x:is>
          <x:t xml:space="preserve">package</x:t>
        </x:is>
      </x:c>
      <x:c r="F17" s="125" t="inlineStr">
        <x:is>
          <x:t xml:space="preserve">manual</x:t>
        </x:is>
      </x:c>
      <x:c r="G17" s="125" t="inlineStr">
        <x:is>
          <x:t xml:space="preserve">manual-tests/card.md</x:t>
        </x:is>
      </x:c>
      <x:c r="H17" s="125" t="inlineStr">
        <x:is>
          <x:t xml:space="preserve">implemented</x:t>
        </x:is>
      </x:c>
      <x:c r="I17" s="125" t="inlineStr">
        <x:is>
          <x:t xml:space="preserve">yes</x:t>
        </x:is>
      </x:c>
      <x:c r="J17" s="141" t="n"/>
      <x:c r="K17" s="125" t="inlineStr">
        <x:is>
          <x:t xml:space="preserve">Human protocol remains pending. Automated and visual evidence stays in its owning tests and does not complete this human gate.</x:t>
        </x:is>
      </x:c>
      <x:c r="L17" s="125" t="n">
        <x:v>1</x:v>
      </x:c>
      <x:c r="M17" s="125" t="n">
        <x:f>IF(OR(H17="tested",H17="verified"),1,0)</x:f>
        <x:v>0</x:v>
      </x:c>
    </x:row>
    <x:row r="18" s="127" customFormat="1" ht="42" customHeight="1">
      <x:c r="A18" s="125" t="inlineStr">
        <x:is>
          <x:t xml:space="preserve">C-10</x:t>
        </x:is>
      </x:c>
      <x:c r="B18" s="125" t="inlineStr">
        <x:is>
          <x:t xml:space="preserve">Theme</x:t>
        </x:is>
      </x:c>
      <x:c r="C18" s="125" t="inlineStr">
        <x:is>
          <x:t xml:space="preserve">Card</x:t>
        </x:is>
      </x:c>
      <x:c r="D18" s="125" t="inlineStr">
        <x:is>
          <x:t xml:space="preserve">Light, dark, focus, forced-colors, and relevant motion behavior remain perceivable.</x:t>
        </x:is>
      </x:c>
      <x:c r="E18" s="125" t="inlineStr">
        <x:is>
          <x:t xml:space="preserve">package</x:t>
        </x:is>
      </x:c>
      <x:c r="F18" s="125" t="inlineStr">
        <x:is>
          <x:t xml:space="preserve">manual</x:t>
        </x:is>
      </x:c>
      <x:c r="G18" s="125" t="inlineStr">
        <x:is>
          <x:t xml:space="preserve">manual-tests/card.md</x:t>
        </x:is>
      </x:c>
      <x:c r="H18" s="125" t="inlineStr">
        <x:is>
          <x:t xml:space="preserve">implemented</x:t>
        </x:is>
      </x:c>
      <x:c r="I18" s="125" t="inlineStr">
        <x:is>
          <x:t xml:space="preserve">yes</x:t>
        </x:is>
      </x:c>
      <x:c r="J18" s="141" t="n"/>
      <x:c r="K18" s="125" t="inlineStr">
        <x:is>
          <x:t xml:space="preserve">Human protocol remains pending. Automated and visual evidence stays in its owning tests and does not complete this human gate.</x:t>
        </x:is>
      </x:c>
      <x:c r="L18" s="125" t="n">
        <x:v>1</x:v>
      </x:c>
      <x:c r="M18" s="125" t="n">
        <x:f>IF(OR(H18="tested",H18="verified"),1,0)</x:f>
        <x:v>0</x:v>
      </x:c>
    </x:row>
    <x:row r="19" s="127" customFormat="1" ht="42" customHeight="1">
      <x:c r="A19" s="125" t="inlineStr">
        <x:is>
          <x:t xml:space="preserve">C-11</x:t>
        </x:is>
      </x:c>
      <x:c r="B19" s="125" t="inlineStr">
        <x:is>
          <x:t xml:space="preserve">Composition</x:t>
        </x:is>
      </x:c>
      <x:c r="C19" s="125" t="inlineStr">
        <x:is>
          <x:t xml:space="preserve">Card</x:t>
        </x:is>
      </x:c>
      <x:c r="D19" s="125" t="inlineStr">
        <x:is>
          <x:t xml:space="preserve">Default, as and asChild output preserve the intended element, slots, state, and relationships.</x:t>
        </x:is>
      </x:c>
      <x:c r="E19" s="125" t="inlineStr">
        <x:is>
          <x:t xml:space="preserve">package</x:t>
        </x:is>
      </x:c>
      <x:c r="F19" s="125" t="inlineStr">
        <x:is>
          <x:t xml:space="preserve">manual</x:t>
        </x:is>
      </x:c>
      <x:c r="G19" s="125" t="inlineStr">
        <x:is>
          <x:t xml:space="preserve">manual-tests/card.md; tests/components/card/behavior.spec.ts</x:t>
        </x:is>
      </x:c>
      <x:c r="H19" s="125" t="inlineStr">
        <x:is>
          <x:t xml:space="preserve">implemented</x:t>
        </x:is>
      </x:c>
      <x:c r="I19" s="125" t="inlineStr">
        <x:is>
          <x:t xml:space="preserve">yes</x:t>
        </x:is>
      </x:c>
      <x:c r="J19" s="141" t="n"/>
      <x:c r="K19" s="125" t="inlineStr">
        <x:is>
          <x:t xml:space="preserve">Human protocol remains pending. Automated and visual evidence stays in its owning tests and does not complete this human gate.</x:t>
        </x:is>
      </x:c>
      <x:c r="L19" s="125" t="n">
        <x:v>1</x:v>
      </x:c>
      <x:c r="M19" s="125" t="n">
        <x:f>IF(OR(H19="tested",H19="verified"),1,0)</x:f>
        <x:v>0</x:v>
      </x:c>
    </x:row>
    <x:row r="20" s="127" customFormat="1" ht="42" customHeight="1">
      <x:c r="A20" s="125" t="inlineStr">
        <x:is>
          <x:t xml:space="preserve">C-12</x:t>
        </x:is>
      </x:c>
      <x:c r="B20" s="125" t="inlineStr">
        <x:is>
          <x:t xml:space="preserve">Manual</x:t>
        </x:is>
      </x:c>
      <x:c r="C20" s="125" t="inlineStr">
        <x:is>
          <x:t xml:space="preserve">Card</x:t>
        </x:is>
      </x:c>
      <x:c r="D20" s="125" t="inlineStr">
        <x:is>
          <x:t xml:space="preserve">The complete component-owned manual protocol passed against every playground scenario.</x:t>
        </x:is>
      </x:c>
      <x:c r="E20" s="125" t="inlineStr">
        <x:is>
          <x:t xml:space="preserve">package</x:t>
        </x:is>
      </x:c>
      <x:c r="F20" s="125" t="inlineStr">
        <x:is>
          <x:t xml:space="preserve">manual</x:t>
        </x:is>
      </x:c>
      <x:c r="G20" s="125" t="inlineStr">
        <x:is>
          <x:t xml:space="preserve">manual-tests/card.md</x:t>
        </x:is>
      </x:c>
      <x:c r="H20" s="125" t="inlineStr">
        <x:is>
          <x:t xml:space="preserve">implemented</x:t>
        </x:is>
      </x:c>
      <x:c r="I20" s="125" t="inlineStr">
        <x:is>
          <x:t xml:space="preserve">yes</x:t>
        </x:is>
      </x:c>
      <x:c r="J20" s="141" t="n"/>
      <x:c r="K20" s="125" t="inlineStr">
        <x:is>
          <x:t xml:space="preserve">Human protocol remains pending. Automated and visual evidence stays in its owning tests and does not complete this human gate.</x:t>
        </x:is>
      </x:c>
      <x:c r="L20" s="125" t="n">
        <x:v>1</x:v>
      </x:c>
      <x:c r="M20" s="125" t="n">
        <x:f>IF(OR(H20="tested",H20="verified"),1,0)</x:f>
        <x:v>0</x:v>
      </x:c>
    </x:row>
    <x:row r="21" s="127" customFormat="1" ht="42" customHeight="1">
      <x:c r="A21" s="125" t="inlineStr">
        <x:is>
          <x:t xml:space="preserve">C-13</x:t>
        </x:is>
      </x:c>
      <x:c r="B21" s="125" t="inlineStr">
        <x:is>
          <x:t xml:space="preserve">Docs</x:t>
        </x:is>
      </x:c>
      <x:c r="C21" s="125" t="inlineStr">
        <x:is>
          <x:t xml:space="preserve">Card</x:t>
        </x:is>
      </x:c>
      <x:c r="D21" s="125" t="inlineStr">
        <x:is>
          <x:t xml:space="preserve">Public usage documentation exists at the component-owned path.</x:t>
        </x:is>
      </x:c>
      <x:c r="E21" s="125" t="inlineStr">
        <x:is>
          <x:t xml:space="preserve">package</x:t>
        </x:is>
      </x:c>
      <x:c r="F21" s="125" t="inlineStr">
        <x:is>
          <x:t xml:space="preserve">docs</x:t>
        </x:is>
      </x:c>
      <x:c r="G21" s="125" t="inlineStr">
        <x:is>
          <x:t xml:space="preserve">../docs/components/card/README.md</x:t>
        </x:is>
      </x:c>
      <x:c r="H21" s="125" t="inlineStr">
        <x:is>
          <x:t xml:space="preserve">tested</x:t>
        </x:is>
      </x:c>
      <x:c r="I21" s="125" t="inlineStr">
        <x:is>
          <x:t xml:space="preserve">no</x:t>
        </x:is>
      </x:c>
      <x:c r="J21" s="141" t="n">
        <x:v>46227</x:v>
      </x:c>
      <x:c r="L21" s="125" t="n">
        <x:v>1</x:v>
      </x:c>
      <x:c r="M21" s="125" t="n">
        <x:f>IF(OR(H21="tested",H21="verified"),1,0)</x:f>
        <x:v>1</x:v>
      </x:c>
    </x:row>
    <x:row r="22" s="127" customFormat="1" ht="42" customHeight="1">
      <x:c r="A22" s="125" t="inlineStr">
        <x:is>
          <x:t xml:space="preserve">C-14</x:t>
        </x:is>
      </x:c>
      <x:c r="B22" s="125" t="inlineStr">
        <x:is>
          <x:t xml:space="preserve">Changelog</x:t>
        </x:is>
      </x:c>
      <x:c r="C22" s="125" t="inlineStr">
        <x:is>
          <x:t xml:space="preserve">Card</x:t>
        </x:is>
      </x:c>
      <x:c r="D22" s="125" t="inlineStr">
        <x:is>
          <x:t xml:space="preserve">The component owns a public changelog.</x:t>
        </x:is>
      </x:c>
      <x:c r="E22" s="125" t="inlineStr">
        <x:is>
          <x:t xml:space="preserve">package</x:t>
        </x:is>
      </x:c>
      <x:c r="F22" s="125" t="inlineStr">
        <x:is>
          <x:t xml:space="preserve">docs</x:t>
        </x:is>
      </x:c>
      <x:c r="G22" s="125" t="inlineStr">
        <x:is>
          <x:t xml:space="preserve">../docs/components/card/CHANGELOG.md</x:t>
        </x:is>
      </x:c>
      <x:c r="H22" s="125" t="inlineStr">
        <x:is>
          <x:t xml:space="preserve">tested</x:t>
        </x:is>
      </x:c>
      <x:c r="I22" s="125" t="inlineStr">
        <x:is>
          <x:t xml:space="preserve">no</x:t>
        </x:is>
      </x:c>
      <x:c r="J22" s="141" t="n">
        <x:v>46227</x:v>
      </x:c>
      <x:c r="L22" s="125" t="n">
        <x:v>1</x:v>
      </x:c>
      <x:c r="M22" s="125" t="n">
        <x:f>IF(OR(H22="tested",H22="verified"),1,0)</x:f>
        <x:v>1</x:v>
      </x:c>
    </x:row>
    <x:row r="23" s="127" customFormat="1" ht="42" customHeight="1">
      <x:c r="A23" s="125" t="inlineStr">
        <x:is>
          <x:t xml:space="preserve">C-15</x:t>
        </x:is>
      </x:c>
      <x:c r="B23" s="125" t="inlineStr">
        <x:is>
          <x:t xml:space="preserve">Consumer</x:t>
        </x:is>
      </x:c>
      <x:c r="C23" s="125" t="inlineStr">
        <x:is>
          <x:t xml:space="preserve">Card</x:t>
        </x:is>
      </x:c>
      <x:c r="D23" s="125" t="inlineStr">
        <x:is>
          <x:t xml:space="preserve">The standalone consumer imports and exercises the public package component.</x:t>
        </x:is>
      </x:c>
      <x:c r="E23" s="125" t="inlineStr">
        <x:is>
          <x:t xml:space="preserve">consumer</x:t>
        </x:is>
      </x:c>
      <x:c r="F23" s="125" t="inlineStr">
        <x:is>
          <x:t xml:space="preserve">consumer</x:t>
        </x:is>
      </x:c>
      <x:c r="G23" s="125" t="inlineStr">
        <x:is>
          <x:t xml:space="preserve">../apps/consumer/src/App.tsx; ../apps/consumer/tests/consumer.spec.ts</x:t>
        </x:is>
      </x:c>
      <x:c r="H23" s="125" t="inlineStr">
        <x:is>
          <x:t xml:space="preserve">tested</x:t>
        </x:is>
      </x:c>
      <x:c r="I23" s="125" t="inlineStr">
        <x:is>
          <x:t xml:space="preserve">no</x:t>
        </x:is>
      </x:c>
      <x:c r="J23" s="141" t="n">
        <x:v>46227</x:v>
      </x:c>
      <x:c r="L23" s="125" t="n">
        <x:v>1</x:v>
      </x:c>
      <x:c r="M23" s="125" t="n">
        <x:f>IF(OR(H23="tested",H23="verified"),1,0)</x:f>
        <x:v>1</x:v>
      </x:c>
    </x:row>
    <x:row r="24" s="127" customFormat="1" ht="42" customHeight="1">
      <x:c r="A24" s="125" t="inlineStr">
        <x:is>
          <x:t xml:space="preserve">C-16</x:t>
        </x:is>
      </x:c>
      <x:c r="B24" s="125" t="inlineStr">
        <x:is>
          <x:t xml:space="preserve">Package</x:t>
        </x:is>
      </x:c>
      <x:c r="C24" s="125" t="inlineStr">
        <x:is>
          <x:t xml:space="preserve">Card</x:t>
        </x:is>
      </x:c>
      <x:c r="D24" s="125" t="inlineStr">
        <x:is>
          <x:t xml:space="preserve">Build, exports, tarball, CSS, and consumer boundary verification pass.</x:t>
        </x:is>
      </x:c>
      <x:c r="E24" s="125" t="inlineStr">
        <x:is>
          <x:t xml:space="preserve">package</x:t>
        </x:is>
      </x:c>
      <x:c r="F24" s="125" t="inlineStr">
        <x:is>
          <x:t xml:space="preserve">package</x:t>
        </x:is>
      </x:c>
      <x:c r="G24" s="125" t="inlineStr">
        <x:is>
          <x:t xml:space="preserve">../scripts/verify-package.mjs; ../scripts/verify-consumers.mjs</x:t>
        </x:is>
      </x:c>
      <x:c r="H24" s="125" t="inlineStr">
        <x:is>
          <x:t xml:space="preserve">implemented</x:t>
        </x:is>
      </x:c>
      <x:c r="I24" s="125" t="inlineStr">
        <x:is>
          <x:t xml:space="preserve">no</x:t>
        </x:is>
      </x:c>
      <x:c r="J24" s="141" t="n">
        <x:v>46227</x:v>
      </x:c>
      <x:c r="K24" s="138" t="inlineStr">
        <x:is>
          <x:t xml:space="preserve">Requalification required for this local candidate. Historical evidence is not a current manual pass.</x:t>
        </x:is>
      </x:c>
      <x:c r="L24" s="125" t="n">
        <x:v>1</x:v>
      </x:c>
      <x:c r="M24" s="125" t="n">
        <x:f>IF(OR(H24="tested",H24="verified"),1,0)</x:f>
        <x:v>0</x:v>
      </x:c>
    </x:row>
  </x:sheetData>
  <x:mergeCells>
    <x:mergeCell ref="A2:M2"/>
    <x:mergeCell ref="A1:M1"/>
  </x:mergeCells>
  <x:conditionalFormatting sqref="H9:H24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1" showDropDown="0" showInputMessage="1" showErrorMessage="1" sqref="H9:H24">
      <x:formula1>"not started,partial,implemented,tested,verified,blocked,not applicable"</x:formula1>
      <x:formula2>0</x:formula2>
    </x:dataValidation>
    <x:dataValidation type="list" errorStyle="stop" operator="between" allowBlank="1" showDropDown="0" showInputMessage="1" showErrorMessage="1" sqref="I9:I24">
      <x:formula1>"yes,no"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5a6cbc02ef4490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Checkbox Evidence</x:t>
        </x:is>
      </x:c>
    </x:row>
    <x:row r="2" s="127" customFormat="1" ht="27.75" customHeight="1">
      <x:c r="A2" s="129" t="inlineStr">
        <x:is>
          <x:t xml:space="preserve">Assertion-level package, browser, human-review, documentation, and consumer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COUNTA(A9:A200)</x:f>
        <x:v>16</x:v>
      </x:c>
      <x:c r="D4" s="130" t="inlineStr">
        <x:is>
          <x:t xml:space="preserve">Resolved</x:t>
        </x:is>
      </x:c>
      <x:c r="E4" s="131" t="n">
        <x:f>SUM(M9:M200)</x:f>
        <x:v>12</x:v>
      </x:c>
      <x:c r="G4" s="130" t="inlineStr">
        <x:is>
          <x:t xml:space="preserve">Completion</x:t>
        </x:is>
      </x:c>
      <x:c r="H4" s="132" t="n">
        <x:f>IF(B4=0,0,E4/B4)</x:f>
        <x:v>0.75</x:v>
      </x:c>
      <x:c r="J4" s="130" t="inlineStr">
        <x:is>
          <x:t xml:space="preserve">Package gate</x:t>
        </x:is>
      </x:c>
      <x:c r="K4" s="131" t="str"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v>open</x:v>
      </x:c>
      <x:c r="D5" s="130" t="inlineStr">
        <x:is>
          <x:t xml:space="preserve">Consumer gate</x:t>
        </x:is>
      </x:c>
      <x:c r="E5" s="131" t="str">
        <x:v>open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42" customHeight="1">
      <x:c r="A9" s="125" t="inlineStr">
        <x:is>
          <x:t xml:space="preserve">C-01</x:t>
        </x:is>
      </x:c>
      <x:c r="B9" s="125" t="inlineStr">
        <x:is>
          <x:t xml:space="preserve">Implementation</x:t>
        </x:is>
      </x:c>
      <x:c r="C9" s="125" t="inlineStr">
        <x:is>
          <x:t xml:space="preserve">Checkbox</x:t>
        </x:is>
      </x:c>
      <x:c r="D9" s="125" t="inlineStr">
        <x:is>
          <x:t xml:space="preserve">Public component implementation and Atom adapter exist.</x:t>
        </x:is>
      </x:c>
      <x:c r="E9" s="125" t="inlineStr">
        <x:is>
          <x:t xml:space="preserve">package</x:t>
        </x:is>
      </x:c>
      <x:c r="F9" s="125" t="inlineStr">
        <x:is>
          <x:t xml:space="preserve">source</x:t>
        </x:is>
      </x:c>
      <x:c r="G9" s="125" t="inlineStr">
        <x:is>
          <x:t xml:space="preserve">../src/components/checkbox</x:t>
        </x:is>
      </x:c>
      <x:c r="H9" s="125" t="inlineStr">
        <x:is>
          <x:t xml:space="preserve">tested</x:t>
        </x:is>
      </x:c>
      <x:c r="I9" s="125" t="inlineStr">
        <x:is>
          <x:t xml:space="preserve">no</x:t>
        </x:is>
      </x:c>
      <x:c r="J9" s="141" t="n">
        <x:v>46227</x:v>
      </x:c>
      <x:c r="L9" s="125" t="n">
        <x:v>1</x:v>
      </x:c>
      <x:c r="M9" s="125" t="n">
        <x:f>IF(H9="not applicable",IF(K9&lt;&gt;"",1,0),IF(I9="yes",IF(H9="verified",1,0),IF(OR(H9="tested",H9="verified"),1,0)))</x:f>
        <x:v>1</x:v>
      </x:c>
    </x:row>
    <x:row r="10" s="127" customFormat="1" ht="42" customHeight="1">
      <x:c r="A10" s="125" t="inlineStr">
        <x:is>
          <x:t xml:space="preserve">C-02</x:t>
        </x:is>
      </x:c>
      <x:c r="B10" s="125" t="inlineStr">
        <x:is>
          <x:t xml:space="preserve">Exports</x:t>
        </x:is>
      </x:c>
      <x:c r="C10" s="125" t="inlineStr">
        <x:is>
          <x:t xml:space="preserve">Checkbox</x:t>
        </x:is>
      </x:c>
      <x:c r="D10" s="125" t="inlineStr">
        <x:is>
          <x:t xml:space="preserve">Root and public subpath exports expose the component.</x:t>
        </x:is>
      </x:c>
      <x:c r="E10" s="125" t="inlineStr">
        <x:is>
          <x:t xml:space="preserve">package</x:t>
        </x:is>
      </x:c>
      <x:c r="F10" s="125" t="inlineStr">
        <x:is>
          <x:t xml:space="preserve">package</x:t>
        </x:is>
      </x:c>
      <x:c r="G10" s="125" t="inlineStr">
        <x:is>
          <x:t xml:space="preserve">../test/package/package.test.mjs</x:t>
        </x:is>
      </x:c>
      <x:c r="H10" s="125" t="inlineStr">
        <x:is>
          <x:t xml:space="preserve">tested</x:t>
        </x:is>
      </x:c>
      <x:c r="I10" s="125" t="inlineStr">
        <x:is>
          <x:t xml:space="preserve">no</x:t>
        </x:is>
      </x:c>
      <x:c r="J10" s="141" t="n">
        <x:v>46227</x:v>
      </x:c>
      <x:c r="L10" s="125" t="n">
        <x:v>1</x:v>
      </x:c>
      <x:c r="M10" s="125" t="n">
        <x:f>IF(H10="not applicable",IF(K10&lt;&gt;"",1,0),IF(I10="yes",IF(H10="verified",1,0),IF(OR(H10="tested",H10="verified"),1,0)))</x:f>
        <x:v>1</x:v>
      </x:c>
    </x:row>
    <x:row r="11" s="127" customFormat="1" ht="42" customHeight="1">
      <x:c r="A11" s="125" t="inlineStr">
        <x:is>
          <x:t xml:space="preserve">C-03</x:t>
        </x:is>
      </x:c>
      <x:c r="B11" s="125" t="inlineStr">
        <x:is>
          <x:t xml:space="preserve">Types</x:t>
        </x:is>
      </x:c>
      <x:c r="C11" s="125" t="inlineStr">
        <x:is>
          <x:t xml:space="preserve">Checkbox</x:t>
        </x:is>
      </x:c>
      <x:c r="D11" s="125" t="inlineStr">
        <x:is>
          <x:t xml:space="preserve">Public props, refs, composition branches, and invalid cases type-check.</x:t>
        </x:is>
      </x:c>
      <x:c r="E11" s="125" t="inlineStr">
        <x:is>
          <x:t xml:space="preserve">package</x:t>
        </x:is>
      </x:c>
      <x:c r="F11" s="125" t="inlineStr">
        <x:is>
          <x:t xml:space="preserve">types</x:t>
        </x:is>
      </x:c>
      <x:c r="G11" s="125" t="inlineStr">
        <x:is>
          <x:t xml:space="preserve">../test/types/components/checkbox.test.ts</x:t>
        </x:is>
      </x:c>
      <x:c r="H11" s="125" t="inlineStr">
        <x:is>
          <x:t xml:space="preserve">tested</x:t>
        </x:is>
      </x:c>
      <x:c r="I11" s="125" t="inlineStr">
        <x:is>
          <x:t xml:space="preserve">no</x:t>
        </x:is>
      </x:c>
      <x:c r="J11" s="141" t="n">
        <x:v>46227</x:v>
      </x:c>
      <x:c r="L11" s="125" t="n">
        <x:v>1</x:v>
      </x:c>
      <x:c r="M11" s="125" t="n">
        <x:f>IF(H11="not applicable",IF(K11&lt;&gt;"",1,0),IF(I11="yes",IF(H11="verified",1,0),IF(OR(H11="tested",H11="verified"),1,0)))</x:f>
        <x:v>1</x:v>
      </x:c>
    </x:row>
    <x:row r="12" s="127" customFormat="1" ht="42" customHeight="1">
      <x:c r="A12" s="125" t="inlineStr">
        <x:is>
          <x:t xml:space="preserve">C-04</x:t>
        </x:is>
      </x:c>
      <x:c r="B12" s="125" t="inlineStr">
        <x:is>
          <x:t xml:space="preserve">CSS</x:t>
        </x:is>
      </x:c>
      <x:c r="C12" s="125" t="inlineStr">
        <x:is>
          <x:t xml:space="preserve">Checkbox</x:t>
        </x:is>
      </x:c>
      <x:c r="D12" s="125" t="inlineStr">
        <x:is>
          <x:t xml:space="preserve">Static public CSS, classes, slots, recipes, states, and tokens are present.</x:t>
        </x:is>
      </x:c>
      <x:c r="E12" s="125" t="inlineStr">
        <x:is>
          <x:t xml:space="preserve">package</x:t>
        </x:is>
      </x:c>
      <x:c r="F12" s="125" t="inlineStr">
        <x:is>
          <x:t xml:space="preserve">css</x:t>
        </x:is>
      </x:c>
      <x:c r="G12" s="125" t="inlineStr">
        <x:is>
          <x:t xml:space="preserve">../src/components/checkbox/checkbox.css</x:t>
        </x:is>
      </x:c>
      <x:c r="H12" s="125" t="inlineStr">
        <x:is>
          <x:t xml:space="preserve">tested</x:t>
        </x:is>
      </x:c>
      <x:c r="I12" s="125" t="inlineStr">
        <x:is>
          <x:t xml:space="preserve">no</x:t>
        </x:is>
      </x:c>
      <x:c r="J12" s="141" t="n">
        <x:v>46227</x:v>
      </x:c>
      <x:c r="L12" s="125" t="n">
        <x:v>1</x:v>
      </x:c>
      <x:c r="M12" s="125" t="n">
        <x:f>IF(H12="not applicable",IF(K12&lt;&gt;"",1,0),IF(I12="yes",IF(H12="verified",1,0),IF(OR(H12="tested",H12="verified"),1,0)))</x:f>
        <x:v>1</x:v>
      </x:c>
    </x:row>
    <x:row r="13" s="127" customFormat="1" ht="42" customHeight="1">
      <x:c r="A13" s="125" t="inlineStr">
        <x:is>
          <x:t xml:space="preserve">C-05</x:t>
        </x:is>
      </x:c>
      <x:c r="B13" s="125" t="inlineStr">
        <x:is>
          <x:t xml:space="preserve">Unit</x:t>
        </x:is>
      </x:c>
      <x:c r="C13" s="125" t="inlineStr">
        <x:is>
          <x:t xml:space="preserve">Checkbox</x:t>
        </x:is>
      </x:c>
      <x:c r="D13" s="125" t="inlineStr">
        <x:is>
          <x:t xml:space="preserve">Brick-owned DOM, recipes, adapters, and public hooks pass focused tests.</x:t>
        </x:is>
      </x:c>
      <x:c r="E13" s="125" t="inlineStr">
        <x:is>
          <x:t xml:space="preserve">package</x:t>
        </x:is>
      </x:c>
      <x:c r="F13" s="125" t="inlineStr">
        <x:is>
          <x:t xml:space="preserve">component</x:t>
        </x:is>
      </x:c>
      <x:c r="G13" s="125" t="inlineStr">
        <x:is>
          <x:t xml:space="preserve">../test/components/checkbox/checkbox.test.tsx</x:t>
        </x:is>
      </x:c>
      <x:c r="H13" s="125" t="inlineStr">
        <x:is>
          <x:t xml:space="preserve">tested</x:t>
        </x:is>
      </x:c>
      <x:c r="I13" s="125" t="inlineStr">
        <x:is>
          <x:t xml:space="preserve">no</x:t>
        </x:is>
      </x:c>
      <x:c r="J13" s="141" t="n">
        <x:v>46227</x:v>
      </x:c>
      <x:c r="L13" s="125" t="n">
        <x:v>1</x:v>
      </x:c>
      <x:c r="M13" s="125" t="n">
        <x:f>IF(H13="not applicable",IF(K13&lt;&gt;"",1,0),IF(I13="yes",IF(H13="verified",1,0),IF(OR(H13="tested",H13="verified"),1,0)))</x:f>
        <x:v>1</x:v>
      </x:c>
    </x:row>
    <x:row r="14" s="127" customFormat="1" ht="42" customHeight="1">
      <x:c r="A14" s="125" t="inlineStr">
        <x:is>
          <x:t xml:space="preserve">C-06</x:t>
        </x:is>
      </x:c>
      <x:c r="B14" s="125" t="inlineStr">
        <x:is>
          <x:t xml:space="preserve">Browser</x:t>
        </x:is>
      </x:c>
      <x:c r="C14" s="125" t="inlineStr">
        <x:is>
          <x:t xml:space="preserve">Checkbox</x:t>
        </x:is>
      </x:c>
      <x:c r="D14" s="125" t="inlineStr">
        <x:is>
          <x:t xml:space="preserve">Real-browser behavior and component contract checks pass.</x:t>
        </x:is>
      </x:c>
      <x:c r="E14" s="125" t="inlineStr">
        <x:is>
          <x:t xml:space="preserve">package</x:t>
        </x:is>
      </x:c>
      <x:c r="F14" s="125" t="inlineStr">
        <x:is>
          <x:t xml:space="preserve">browser</x:t>
        </x:is>
      </x:c>
      <x:c r="G14" s="125" t="inlineStr">
        <x:is>
          <x:t xml:space="preserve">tests/components/checkbox/behavior.spec.ts</x:t>
        </x:is>
      </x:c>
      <x:c r="H14" s="125" t="inlineStr">
        <x:is>
          <x:t xml:space="preserve">tested</x:t>
        </x:is>
      </x:c>
      <x:c r="I14" s="125" t="inlineStr">
        <x:is>
          <x:t xml:space="preserve">no</x:t>
        </x:is>
      </x:c>
      <x:c r="J14" s="141" t="n">
        <x:v>46227</x:v>
      </x:c>
      <x:c r="L14" s="125" t="n">
        <x:v>1</x:v>
      </x:c>
      <x:c r="M14" s="125" t="n">
        <x:f>IF(H14="not applicable",IF(K14&lt;&gt;"",1,0),IF(I14="yes",IF(H14="verified",1,0),IF(OR(H14="tested",H14="verified"),1,0)))</x:f>
        <x:v>1</x:v>
      </x:c>
    </x:row>
    <x:row r="15" s="127" customFormat="1" ht="42" customHeight="1">
      <x:c r="A15" s="125" t="inlineStr">
        <x:is>
          <x:t xml:space="preserve">C-07</x:t>
        </x:is>
      </x:c>
      <x:c r="B15" s="125" t="inlineStr">
        <x:is>
          <x:t xml:space="preserve">Accessibility</x:t>
        </x:is>
      </x:c>
      <x:c r="C15" s="125" t="inlineStr">
        <x:is>
          <x:t xml:space="preserve">Checkbox</x:t>
        </x:is>
      </x:c>
      <x:c r="D15" s="125" t="inlineStr">
        <x:is>
          <x:t xml:space="preserve">Automated semantics and accessibility checks pass in the browser evidence suite.</x:t>
        </x:is>
      </x:c>
      <x:c r="E15" s="125" t="inlineStr">
        <x:is>
          <x:t xml:space="preserve">package</x:t>
        </x:is>
      </x:c>
      <x:c r="F15" s="125" t="inlineStr">
        <x:is>
          <x:t xml:space="preserve">axe</x:t>
        </x:is>
      </x:c>
      <x:c r="G15" s="125" t="inlineStr">
        <x:is>
          <x:t xml:space="preserve">tests/components/checkbox/behavior.spec.ts; tests/integration</x:t>
        </x:is>
      </x:c>
      <x:c r="H15" s="125" t="inlineStr">
        <x:is>
          <x:t xml:space="preserve">tested</x:t>
        </x:is>
      </x:c>
      <x:c r="I15" s="125" t="inlineStr">
        <x:is>
          <x:t xml:space="preserve">no</x:t>
        </x:is>
      </x:c>
      <x:c r="J15" s="141" t="n">
        <x:v>46227</x:v>
      </x:c>
      <x:c r="L15" s="125" t="n">
        <x:v>1</x:v>
      </x:c>
      <x:c r="M15" s="125" t="n">
        <x:f>IF(H15="not applicable",IF(K15&lt;&gt;"",1,0),IF(I15="yes",IF(H15="verified",1,0),IF(OR(H15="tested",H15="verified"),1,0)))</x:f>
        <x:v>1</x:v>
      </x:c>
    </x:row>
    <x:row r="16" s="127" customFormat="1" ht="42" customHeight="1">
      <x:c r="A16" s="125" t="inlineStr">
        <x:is>
          <x:t xml:space="preserve">C-08</x:t>
        </x:is>
      </x:c>
      <x:c r="B16" s="125" t="inlineStr">
        <x:is>
          <x:t xml:space="preserve">Visual</x:t>
        </x:is>
      </x:c>
      <x:c r="C16" s="125" t="inlineStr">
        <x:is>
          <x:t xml:space="preserve">Checkbox</x:t>
        </x:is>
      </x:c>
      <x:c r="D16" s="125" t="inlineStr">
        <x:is>
          <x:t xml:space="preserve">Reviewed baselines cover the component's risk-selected recipes and states.</x:t>
        </x:is>
      </x:c>
      <x:c r="E16" s="125" t="inlineStr">
        <x:is>
          <x:t xml:space="preserve">package</x:t>
        </x:is>
      </x:c>
      <x:c r="F16" s="125" t="inlineStr">
        <x:is>
          <x:t xml:space="preserve">visual</x:t>
        </x:is>
      </x:c>
      <x:c r="G16" s="125" t="inlineStr">
        <x:is>
          <x:t xml:space="preserve">tests/components/checkbox/visual.spec.ts</x:t>
        </x:is>
      </x:c>
      <x:c r="H16" s="125" t="inlineStr">
        <x:is>
          <x:t xml:space="preserve">verified</x:t>
        </x:is>
      </x:c>
      <x:c r="I16" s="125" t="inlineStr">
        <x:is>
          <x:t xml:space="preserve">yes</x:t>
        </x:is>
      </x:c>
      <x:c r="J16" s="141" t="n">
        <x:v>46227</x:v>
      </x:c>
      <x:c r="K16" s="125" t="inlineStr">
        <x:is>
          <x:t xml:space="preserve">Owner reviewed the current playground evidence.</x:t>
        </x:is>
      </x:c>
      <x:c r="L16" s="125" t="n">
        <x:v>1</x:v>
      </x:c>
      <x:c r="M16" s="125" t="n">
        <x:f>IF(H16="not applicable",IF(K16&lt;&gt;"",1,0),IF(I16="yes",IF(H16="verified",1,0),IF(OR(H16="tested",H16="verified"),1,0)))</x:f>
        <x:v>1</x:v>
      </x:c>
    </x:row>
    <x:row r="17" s="127" customFormat="1" ht="42" customHeight="1">
      <x:c r="A17" s="125" t="inlineStr">
        <x:is>
          <x:t xml:space="preserve">C-09</x:t>
        </x:is>
      </x:c>
      <x:c r="B17" s="125" t="inlineStr">
        <x:is>
          <x:t xml:space="preserve">Responsive</x:t>
        </x:is>
      </x:c>
      <x:c r="C17" s="125" t="inlineStr">
        <x:is>
          <x:t xml:space="preserve">Checkbox</x:t>
        </x:is>
      </x:c>
      <x:c r="D17" s="125" t="inlineStr">
        <x:is>
          <x:t xml:space="preserve">Mobile, zoom/reflow, content stress, and RTL remain usable and contained.</x:t>
        </x:is>
      </x:c>
      <x:c r="E17" s="125" t="inlineStr">
        <x:is>
          <x:t xml:space="preserve">package</x:t>
        </x:is>
      </x:c>
      <x:c r="F17" s="125" t="inlineStr">
        <x:is>
          <x:t xml:space="preserve">manual</x:t>
        </x:is>
      </x:c>
      <x:c r="G17" s="125" t="inlineStr">
        <x:is>
          <x:t xml:space="preserve">manual-tests/checkbox.md</x:t>
        </x:is>
      </x:c>
      <x:c r="H17" s="125" t="inlineStr">
        <x:is>
          <x:t xml:space="preserve">implemented</x:t>
        </x:is>
      </x:c>
      <x:c r="I17" s="125" t="inlineStr">
        <x:is>
          <x:t xml:space="preserve">yes</x:t>
        </x:is>
      </x:c>
      <x:c r="J17" s="141" t="n"/>
      <x:c r="K17" s="125" t="inlineStr">
        <x:is>
          <x:t xml:space="preserve">Human protocol remains pending. Automated and visual evidence stays in its owning tests and does not complete this human gate.</x:t>
        </x:is>
      </x:c>
      <x:c r="L17" s="125" t="n">
        <x:v>1</x:v>
      </x:c>
      <x:c r="M17" s="125" t="n">
        <x:f>IF(H17="not applicable",IF(K17&lt;&gt;"",1,0),IF(I17="yes",IF(H17="verified",1,0),IF(OR(H17="tested",H17="verified"),1,0)))</x:f>
        <x:v>0</x:v>
      </x:c>
    </x:row>
    <x:row r="18" s="127" customFormat="1" ht="42" customHeight="1">
      <x:c r="A18" s="125" t="inlineStr">
        <x:is>
          <x:t xml:space="preserve">C-10</x:t>
        </x:is>
      </x:c>
      <x:c r="B18" s="125" t="inlineStr">
        <x:is>
          <x:t xml:space="preserve">Theme</x:t>
        </x:is>
      </x:c>
      <x:c r="C18" s="125" t="inlineStr">
        <x:is>
          <x:t xml:space="preserve">Checkbox</x:t>
        </x:is>
      </x:c>
      <x:c r="D18" s="125" t="inlineStr">
        <x:is>
          <x:t xml:space="preserve">Light, dark, focus, forced-colors, and relevant motion behavior remain perceivable.</x:t>
        </x:is>
      </x:c>
      <x:c r="E18" s="125" t="inlineStr">
        <x:is>
          <x:t xml:space="preserve">package</x:t>
        </x:is>
      </x:c>
      <x:c r="F18" s="125" t="inlineStr">
        <x:is>
          <x:t xml:space="preserve">manual</x:t>
        </x:is>
      </x:c>
      <x:c r="G18" s="125" t="inlineStr">
        <x:is>
          <x:t xml:space="preserve">manual-tests/checkbox.md</x:t>
        </x:is>
      </x:c>
      <x:c r="H18" s="125" t="inlineStr">
        <x:is>
          <x:t xml:space="preserve">implemented</x:t>
        </x:is>
      </x:c>
      <x:c r="I18" s="125" t="inlineStr">
        <x:is>
          <x:t xml:space="preserve">yes</x:t>
        </x:is>
      </x:c>
      <x:c r="J18" s="141" t="n"/>
      <x:c r="K18" s="125" t="inlineStr">
        <x:is>
          <x:t xml:space="preserve">Human protocol remains pending. Automated and visual evidence stays in its owning tests and does not complete this human gate.</x:t>
        </x:is>
      </x:c>
      <x:c r="L18" s="125" t="n">
        <x:v>1</x:v>
      </x:c>
      <x:c r="M18" s="125" t="n">
        <x:f>IF(H18="not applicable",IF(K18&lt;&gt;"",1,0),IF(I18="yes",IF(H18="verified",1,0),IF(OR(H18="tested",H18="verified"),1,0)))</x:f>
        <x:v>0</x:v>
      </x:c>
    </x:row>
    <x:row r="19" s="127" customFormat="1" ht="42" customHeight="1">
      <x:c r="A19" s="125" t="inlineStr">
        <x:is>
          <x:t xml:space="preserve">C-11</x:t>
        </x:is>
      </x:c>
      <x:c r="B19" s="125" t="inlineStr">
        <x:is>
          <x:t xml:space="preserve">Composition</x:t>
        </x:is>
      </x:c>
      <x:c r="C19" s="125" t="inlineStr">
        <x:is>
          <x:t xml:space="preserve">Checkbox</x:t>
        </x:is>
      </x:c>
      <x:c r="D19" s="125" t="inlineStr">
        <x:is>
          <x:t xml:space="preserve">Default, render, and asChild output preserve the intended element, slots, state, and relationships.</x:t>
        </x:is>
      </x:c>
      <x:c r="E19" s="125" t="inlineStr">
        <x:is>
          <x:t xml:space="preserve">package</x:t>
        </x:is>
      </x:c>
      <x:c r="F19" s="125" t="inlineStr">
        <x:is>
          <x:t xml:space="preserve">manual</x:t>
        </x:is>
      </x:c>
      <x:c r="G19" s="125" t="inlineStr">
        <x:is>
          <x:t xml:space="preserve">manual-tests/checkbox.md; tests/components/checkbox/behavior.spec.ts</x:t>
        </x:is>
      </x:c>
      <x:c r="H19" s="125" t="inlineStr">
        <x:is>
          <x:t xml:space="preserve">implemented</x:t>
        </x:is>
      </x:c>
      <x:c r="I19" s="125" t="inlineStr">
        <x:is>
          <x:t xml:space="preserve">yes</x:t>
        </x:is>
      </x:c>
      <x:c r="J19" s="141" t="n"/>
      <x:c r="K19" s="125" t="inlineStr">
        <x:is>
          <x:t xml:space="preserve">Human protocol remains pending. Automated and visual evidence stays in its owning tests and does not complete this human gate.</x:t>
        </x:is>
      </x:c>
      <x:c r="L19" s="125" t="n">
        <x:v>1</x:v>
      </x:c>
      <x:c r="M19" s="125" t="n">
        <x:f>IF(H19="not applicable",IF(K19&lt;&gt;"",1,0),IF(I19="yes",IF(H19="verified",1,0),IF(OR(H19="tested",H19="verified"),1,0)))</x:f>
        <x:v>0</x:v>
      </x:c>
    </x:row>
    <x:row r="20" s="127" customFormat="1" ht="42" customHeight="1">
      <x:c r="A20" s="125" t="inlineStr">
        <x:is>
          <x:t xml:space="preserve">C-12</x:t>
        </x:is>
      </x:c>
      <x:c r="B20" s="125" t="inlineStr">
        <x:is>
          <x:t xml:space="preserve">Manual</x:t>
        </x:is>
      </x:c>
      <x:c r="C20" s="125" t="inlineStr">
        <x:is>
          <x:t xml:space="preserve">Checkbox</x:t>
        </x:is>
      </x:c>
      <x:c r="D20" s="125" t="inlineStr">
        <x:is>
          <x:t xml:space="preserve">The complete component-owned manual protocol passed against every playground scenario.</x:t>
        </x:is>
      </x:c>
      <x:c r="E20" s="125" t="inlineStr">
        <x:is>
          <x:t xml:space="preserve">package</x:t>
        </x:is>
      </x:c>
      <x:c r="F20" s="125" t="inlineStr">
        <x:is>
          <x:t xml:space="preserve">manual</x:t>
        </x:is>
      </x:c>
      <x:c r="G20" s="125" t="inlineStr">
        <x:is>
          <x:t xml:space="preserve">manual-tests/checkbox.md</x:t>
        </x:is>
      </x:c>
      <x:c r="H20" s="125" t="inlineStr">
        <x:is>
          <x:t xml:space="preserve">implemented</x:t>
        </x:is>
      </x:c>
      <x:c r="I20" s="125" t="inlineStr">
        <x:is>
          <x:t xml:space="preserve">yes</x:t>
        </x:is>
      </x:c>
      <x:c r="J20" s="141" t="n"/>
      <x:c r="K20" s="125" t="inlineStr">
        <x:is>
          <x:t xml:space="preserve">Human protocol remains pending. Automated and visual evidence stays in its owning tests and does not complete this human gate.</x:t>
        </x:is>
      </x:c>
      <x:c r="L20" s="125" t="n">
        <x:v>1</x:v>
      </x:c>
      <x:c r="M20" s="125" t="n">
        <x:f>IF(H20="not applicable",IF(K20&lt;&gt;"",1,0),IF(I20="yes",IF(H20="verified",1,0),IF(OR(H20="tested",H20="verified"),1,0)))</x:f>
        <x:v>0</x:v>
      </x:c>
    </x:row>
    <x:row r="21" s="127" customFormat="1" ht="42" customHeight="1">
      <x:c r="A21" s="125" t="inlineStr">
        <x:is>
          <x:t xml:space="preserve">C-13</x:t>
        </x:is>
      </x:c>
      <x:c r="B21" s="125" t="inlineStr">
        <x:is>
          <x:t xml:space="preserve">Docs</x:t>
        </x:is>
      </x:c>
      <x:c r="C21" s="125" t="inlineStr">
        <x:is>
          <x:t xml:space="preserve">Checkbox</x:t>
        </x:is>
      </x:c>
      <x:c r="D21" s="125" t="inlineStr">
        <x:is>
          <x:t xml:space="preserve">Public usage documentation exists at the component-owned path.</x:t>
        </x:is>
      </x:c>
      <x:c r="E21" s="125" t="inlineStr">
        <x:is>
          <x:t xml:space="preserve">package</x:t>
        </x:is>
      </x:c>
      <x:c r="F21" s="125" t="inlineStr">
        <x:is>
          <x:t xml:space="preserve">docs</x:t>
        </x:is>
      </x:c>
      <x:c r="G21" s="125" t="inlineStr">
        <x:is>
          <x:t xml:space="preserve">../docs/components/checkbox/README.md</x:t>
        </x:is>
      </x:c>
      <x:c r="H21" s="125" t="inlineStr">
        <x:is>
          <x:t xml:space="preserve">tested</x:t>
        </x:is>
      </x:c>
      <x:c r="I21" s="125" t="inlineStr">
        <x:is>
          <x:t xml:space="preserve">no</x:t>
        </x:is>
      </x:c>
      <x:c r="J21" s="141" t="n">
        <x:v>46227</x:v>
      </x:c>
      <x:c r="L21" s="125" t="n">
        <x:v>1</x:v>
      </x:c>
      <x:c r="M21" s="125" t="n">
        <x:f>IF(H21="not applicable",IF(K21&lt;&gt;"",1,0),IF(I21="yes",IF(H21="verified",1,0),IF(OR(H21="tested",H21="verified"),1,0)))</x:f>
        <x:v>1</x:v>
      </x:c>
    </x:row>
    <x:row r="22" s="127" customFormat="1" ht="42" customHeight="1">
      <x:c r="A22" s="125" t="inlineStr">
        <x:is>
          <x:t xml:space="preserve">C-14</x:t>
        </x:is>
      </x:c>
      <x:c r="B22" s="125" t="inlineStr">
        <x:is>
          <x:t xml:space="preserve">Changelog</x:t>
        </x:is>
      </x:c>
      <x:c r="C22" s="125" t="inlineStr">
        <x:is>
          <x:t xml:space="preserve">Checkbox</x:t>
        </x:is>
      </x:c>
      <x:c r="D22" s="125" t="inlineStr">
        <x:is>
          <x:t xml:space="preserve">The component owns a public changelog.</x:t>
        </x:is>
      </x:c>
      <x:c r="E22" s="125" t="inlineStr">
        <x:is>
          <x:t xml:space="preserve">package</x:t>
        </x:is>
      </x:c>
      <x:c r="F22" s="125" t="inlineStr">
        <x:is>
          <x:t xml:space="preserve">docs</x:t>
        </x:is>
      </x:c>
      <x:c r="G22" s="125" t="inlineStr">
        <x:is>
          <x:t xml:space="preserve">../docs/components/checkbox/CHANGELOG.md</x:t>
        </x:is>
      </x:c>
      <x:c r="H22" s="125" t="inlineStr">
        <x:is>
          <x:t xml:space="preserve">tested</x:t>
        </x:is>
      </x:c>
      <x:c r="I22" s="125" t="inlineStr">
        <x:is>
          <x:t xml:space="preserve">no</x:t>
        </x:is>
      </x:c>
      <x:c r="J22" s="141" t="n">
        <x:v>46227</x:v>
      </x:c>
      <x:c r="L22" s="125" t="n">
        <x:v>1</x:v>
      </x:c>
      <x:c r="M22" s="125" t="n">
        <x:f>IF(H22="not applicable",IF(K22&lt;&gt;"",1,0),IF(I22="yes",IF(H22="verified",1,0),IF(OR(H22="tested",H22="verified"),1,0)))</x:f>
        <x:v>1</x:v>
      </x:c>
    </x:row>
    <x:row r="23" s="127" customFormat="1" ht="42" customHeight="1">
      <x:c r="A23" s="125" t="inlineStr">
        <x:is>
          <x:t xml:space="preserve">C-15</x:t>
        </x:is>
      </x:c>
      <x:c r="B23" s="125" t="inlineStr">
        <x:is>
          <x:t xml:space="preserve">Consumer</x:t>
        </x:is>
      </x:c>
      <x:c r="C23" s="125" t="inlineStr">
        <x:is>
          <x:t xml:space="preserve">Checkbox</x:t>
        </x:is>
      </x:c>
      <x:c r="D23" s="125" t="inlineStr">
        <x:is>
          <x:t xml:space="preserve">The standalone consumer imports and exercises the public package component.</x:t>
        </x:is>
      </x:c>
      <x:c r="E23" s="125" t="inlineStr">
        <x:is>
          <x:t xml:space="preserve">consumer</x:t>
        </x:is>
      </x:c>
      <x:c r="F23" s="125" t="inlineStr">
        <x:is>
          <x:t xml:space="preserve">consumer</x:t>
        </x:is>
      </x:c>
      <x:c r="G23" s="125" t="inlineStr">
        <x:is>
          <x:t xml:space="preserve">../apps/consumer/src/App.tsx; ../apps/consumer/tests/consumer.spec.ts</x:t>
        </x:is>
      </x:c>
      <x:c r="H23" s="125" t="inlineStr">
        <x:is>
          <x:t xml:space="preserve">tested</x:t>
        </x:is>
      </x:c>
      <x:c r="I23" s="125" t="inlineStr">
        <x:is>
          <x:t xml:space="preserve">no</x:t>
        </x:is>
      </x:c>
      <x:c r="J23" s="141" t="n">
        <x:v>46227</x:v>
      </x:c>
      <x:c r="L23" s="125" t="n">
        <x:v>1</x:v>
      </x:c>
      <x:c r="M23" s="125" t="n">
        <x:f>IF(H23="not applicable",IF(K23&lt;&gt;"",1,0),IF(I23="yes",IF(H23="verified",1,0),IF(OR(H23="tested",H23="verified"),1,0)))</x:f>
        <x:v>1</x:v>
      </x:c>
    </x:row>
    <x:row r="24" s="127" customFormat="1" ht="42" customHeight="1">
      <x:c r="A24" s="125" t="inlineStr">
        <x:is>
          <x:t xml:space="preserve">C-16</x:t>
        </x:is>
      </x:c>
      <x:c r="B24" s="125" t="inlineStr">
        <x:is>
          <x:t xml:space="preserve">Package</x:t>
        </x:is>
      </x:c>
      <x:c r="C24" s="125" t="inlineStr">
        <x:is>
          <x:t xml:space="preserve">Checkbox</x:t>
        </x:is>
      </x:c>
      <x:c r="D24" s="125" t="inlineStr">
        <x:is>
          <x:t xml:space="preserve">Build, exports, tarball, CSS, and consumer boundary verification pass.</x:t>
        </x:is>
      </x:c>
      <x:c r="E24" s="125" t="inlineStr">
        <x:is>
          <x:t xml:space="preserve">package</x:t>
        </x:is>
      </x:c>
      <x:c r="F24" s="125" t="inlineStr">
        <x:is>
          <x:t xml:space="preserve">package</x:t>
        </x:is>
      </x:c>
      <x:c r="G24" s="125" t="inlineStr">
        <x:is>
          <x:t xml:space="preserve">../scripts/verify-package.mjs; ../scripts/verify-consumers.mjs</x:t>
        </x:is>
      </x:c>
      <x:c r="H24" s="125" t="inlineStr">
        <x:is>
          <x:t xml:space="preserve">tested</x:t>
        </x:is>
      </x:c>
      <x:c r="I24" s="125" t="inlineStr">
        <x:is>
          <x:t xml:space="preserve">no</x:t>
        </x:is>
      </x:c>
      <x:c r="J24" s="141" t="n">
        <x:v>46227</x:v>
      </x:c>
      <x:c r="L24" s="125" t="n">
        <x:v>1</x:v>
      </x:c>
      <x:c r="M24" s="125" t="n">
        <x:f>IF(H24="not applicable",IF(K24&lt;&gt;"",1,0),IF(I24="yes",IF(H24="verified",1,0),IF(OR(H24="tested",H24="verified"),1,0)))</x:f>
        <x:v>1</x:v>
      </x:c>
    </x:row>
  </x:sheetData>
  <x:mergeCells>
    <x:mergeCell ref="A2:M2"/>
    <x:mergeCell ref="A1:M1"/>
  </x:mergeCells>
  <x:conditionalFormatting sqref="H9:H24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1" showDropDown="0" showInputMessage="1" showErrorMessage="1" sqref="H9:H24">
      <x:formula1>"not started,partial,implemented,tested,verified,blocked,not applicable"</x:formula1>
      <x:formula2>0</x:formula2>
    </x:dataValidation>
    <x:dataValidation type="list" errorStyle="stop" operator="between" allowBlank="1" showDropDown="0" showInputMessage="1" showErrorMessage="1" sqref="I9:I24">
      <x:formula1>"yes,no"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fc0e3008dd840e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Checkbox Group Evidence</x:t>
        </x:is>
      </x:c>
    </x:row>
    <x:row r="2" s="127" customFormat="1" ht="27.75" customHeight="1">
      <x:c r="A2" s="129" t="inlineStr">
        <x:is>
          <x:t xml:space="preserve">Assertion-level package, browser, human-review, documentation, and consumer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COUNTA(A9:A200)</x:f>
        <x:v>16</x:v>
      </x:c>
      <x:c r="D4" s="130" t="inlineStr">
        <x:is>
          <x:t xml:space="preserve">Resolved</x:t>
        </x:is>
      </x:c>
      <x:c r="E4" s="131" t="n">
        <x:f>SUM(M9:M200)</x:f>
        <x:v>12</x:v>
      </x:c>
      <x:c r="G4" s="130" t="inlineStr">
        <x:is>
          <x:t xml:space="preserve">Completion</x:t>
        </x:is>
      </x:c>
      <x:c r="H4" s="132" t="n">
        <x:f>IF(B4=0,0,E4/B4)</x:f>
        <x:v>0.75</x:v>
      </x:c>
      <x:c r="J4" s="130" t="inlineStr">
        <x:is>
          <x:t xml:space="preserve">Package gate</x:t>
        </x:is>
      </x:c>
      <x:c r="K4" s="131" t="str"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v>open</x:v>
      </x:c>
      <x:c r="D5" s="130" t="inlineStr">
        <x:is>
          <x:t xml:space="preserve">Consumer gate</x:t>
        </x:is>
      </x:c>
      <x:c r="E5" s="131" t="str">
        <x:v>open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42" customHeight="1">
      <x:c r="A9" s="125" t="inlineStr">
        <x:is>
          <x:t xml:space="preserve">CG-01</x:t>
        </x:is>
      </x:c>
      <x:c r="B9" s="125" t="inlineStr">
        <x:is>
          <x:t xml:space="preserve">Implementation</x:t>
        </x:is>
      </x:c>
      <x:c r="C9" s="125" t="inlineStr">
        <x:is>
          <x:t xml:space="preserve">CheckboxGroup</x:t>
        </x:is>
      </x:c>
      <x:c r="D9" s="125" t="inlineStr">
        <x:is>
          <x:t xml:space="preserve">Public component implementation and Atom adapter exist.</x:t>
        </x:is>
      </x:c>
      <x:c r="E9" s="125" t="inlineStr">
        <x:is>
          <x:t xml:space="preserve">package</x:t>
        </x:is>
      </x:c>
      <x:c r="F9" s="125" t="inlineStr">
        <x:is>
          <x:t xml:space="preserve">source</x:t>
        </x:is>
      </x:c>
      <x:c r="G9" s="125" t="inlineStr">
        <x:is>
          <x:t xml:space="preserve">../src/components/checkbox-group</x:t>
        </x:is>
      </x:c>
      <x:c r="H9" s="125" t="inlineStr">
        <x:is>
          <x:t xml:space="preserve">tested</x:t>
        </x:is>
      </x:c>
      <x:c r="I9" s="125" t="inlineStr">
        <x:is>
          <x:t xml:space="preserve">no</x:t>
        </x:is>
      </x:c>
      <x:c r="J9" s="141" t="n">
        <x:v>46227</x:v>
      </x:c>
      <x:c r="L9" s="125" t="n">
        <x:v>1</x:v>
      </x:c>
      <x:c r="M9" s="125" t="n">
        <x:f>IF(H9="not applicable",IF(K9&lt;&gt;"",1,0),IF(I9="yes",IF(H9="verified",1,0),IF(OR(H9="tested",H9="verified"),1,0)))</x:f>
        <x:v>1</x:v>
      </x:c>
    </x:row>
    <x:row r="10" s="127" customFormat="1" ht="42" customHeight="1">
      <x:c r="A10" s="125" t="inlineStr">
        <x:is>
          <x:t xml:space="preserve">CG-02</x:t>
        </x:is>
      </x:c>
      <x:c r="B10" s="125" t="inlineStr">
        <x:is>
          <x:t xml:space="preserve">Exports</x:t>
        </x:is>
      </x:c>
      <x:c r="C10" s="125" t="inlineStr">
        <x:is>
          <x:t xml:space="preserve">CheckboxGroup</x:t>
        </x:is>
      </x:c>
      <x:c r="D10" s="125" t="inlineStr">
        <x:is>
          <x:t xml:space="preserve">Root and public subpath exports expose the component.</x:t>
        </x:is>
      </x:c>
      <x:c r="E10" s="125" t="inlineStr">
        <x:is>
          <x:t xml:space="preserve">package</x:t>
        </x:is>
      </x:c>
      <x:c r="F10" s="125" t="inlineStr">
        <x:is>
          <x:t xml:space="preserve">package</x:t>
        </x:is>
      </x:c>
      <x:c r="G10" s="125" t="inlineStr">
        <x:is>
          <x:t xml:space="preserve">../test/package/package.test.mjs</x:t>
        </x:is>
      </x:c>
      <x:c r="H10" s="125" t="inlineStr">
        <x:is>
          <x:t xml:space="preserve">tested</x:t>
        </x:is>
      </x:c>
      <x:c r="I10" s="125" t="inlineStr">
        <x:is>
          <x:t xml:space="preserve">no</x:t>
        </x:is>
      </x:c>
      <x:c r="J10" s="141" t="n">
        <x:v>46227</x:v>
      </x:c>
      <x:c r="L10" s="125" t="n">
        <x:v>1</x:v>
      </x:c>
      <x:c r="M10" s="125" t="n">
        <x:f>IF(H10="not applicable",IF(K10&lt;&gt;"",1,0),IF(I10="yes",IF(H10="verified",1,0),IF(OR(H10="tested",H10="verified"),1,0)))</x:f>
        <x:v>1</x:v>
      </x:c>
    </x:row>
    <x:row r="11" s="127" customFormat="1" ht="42" customHeight="1">
      <x:c r="A11" s="125" t="inlineStr">
        <x:is>
          <x:t xml:space="preserve">CG-03</x:t>
        </x:is>
      </x:c>
      <x:c r="B11" s="125" t="inlineStr">
        <x:is>
          <x:t xml:space="preserve">Types</x:t>
        </x:is>
      </x:c>
      <x:c r="C11" s="125" t="inlineStr">
        <x:is>
          <x:t xml:space="preserve">CheckboxGroup</x:t>
        </x:is>
      </x:c>
      <x:c r="D11" s="125" t="inlineStr">
        <x:is>
          <x:t xml:space="preserve">Public props, refs, composition branches, and invalid cases type-check.</x:t>
        </x:is>
      </x:c>
      <x:c r="E11" s="125" t="inlineStr">
        <x:is>
          <x:t xml:space="preserve">package</x:t>
        </x:is>
      </x:c>
      <x:c r="F11" s="125" t="inlineStr">
        <x:is>
          <x:t xml:space="preserve">types</x:t>
        </x:is>
      </x:c>
      <x:c r="G11" s="125" t="inlineStr">
        <x:is>
          <x:t xml:space="preserve">../test/types/components/checkbox-group.test.ts</x:t>
        </x:is>
      </x:c>
      <x:c r="H11" s="125" t="inlineStr">
        <x:is>
          <x:t xml:space="preserve">tested</x:t>
        </x:is>
      </x:c>
      <x:c r="I11" s="125" t="inlineStr">
        <x:is>
          <x:t xml:space="preserve">no</x:t>
        </x:is>
      </x:c>
      <x:c r="J11" s="141" t="n">
        <x:v>46227</x:v>
      </x:c>
      <x:c r="L11" s="125" t="n">
        <x:v>1</x:v>
      </x:c>
      <x:c r="M11" s="125" t="n">
        <x:f>IF(H11="not applicable",IF(K11&lt;&gt;"",1,0),IF(I11="yes",IF(H11="verified",1,0),IF(OR(H11="tested",H11="verified"),1,0)))</x:f>
        <x:v>1</x:v>
      </x:c>
    </x:row>
    <x:row r="12" s="127" customFormat="1" ht="42" customHeight="1">
      <x:c r="A12" s="125" t="inlineStr">
        <x:is>
          <x:t xml:space="preserve">CG-04</x:t>
        </x:is>
      </x:c>
      <x:c r="B12" s="125" t="inlineStr">
        <x:is>
          <x:t xml:space="preserve">CSS</x:t>
        </x:is>
      </x:c>
      <x:c r="C12" s="125" t="inlineStr">
        <x:is>
          <x:t xml:space="preserve">CheckboxGroup</x:t>
        </x:is>
      </x:c>
      <x:c r="D12" s="125" t="inlineStr">
        <x:is>
          <x:t xml:space="preserve">Static public CSS, classes, slots, recipes, states, and tokens are present.</x:t>
        </x:is>
      </x:c>
      <x:c r="E12" s="125" t="inlineStr">
        <x:is>
          <x:t xml:space="preserve">package</x:t>
        </x:is>
      </x:c>
      <x:c r="F12" s="125" t="inlineStr">
        <x:is>
          <x:t xml:space="preserve">css</x:t>
        </x:is>
      </x:c>
      <x:c r="G12" s="125" t="inlineStr">
        <x:is>
          <x:t xml:space="preserve">../src/components/checkbox-group/checkbox-group.css</x:t>
        </x:is>
      </x:c>
      <x:c r="H12" s="125" t="inlineStr">
        <x:is>
          <x:t xml:space="preserve">tested</x:t>
        </x:is>
      </x:c>
      <x:c r="I12" s="125" t="inlineStr">
        <x:is>
          <x:t xml:space="preserve">no</x:t>
        </x:is>
      </x:c>
      <x:c r="J12" s="141" t="n">
        <x:v>46227</x:v>
      </x:c>
      <x:c r="L12" s="125" t="n">
        <x:v>1</x:v>
      </x:c>
      <x:c r="M12" s="125" t="n">
        <x:f>IF(H12="not applicable",IF(K12&lt;&gt;"",1,0),IF(I12="yes",IF(H12="verified",1,0),IF(OR(H12="tested",H12="verified"),1,0)))</x:f>
        <x:v>1</x:v>
      </x:c>
    </x:row>
    <x:row r="13" s="127" customFormat="1" ht="42" customHeight="1">
      <x:c r="A13" s="125" t="inlineStr">
        <x:is>
          <x:t xml:space="preserve">CG-05</x:t>
        </x:is>
      </x:c>
      <x:c r="B13" s="125" t="inlineStr">
        <x:is>
          <x:t xml:space="preserve">Unit</x:t>
        </x:is>
      </x:c>
      <x:c r="C13" s="125" t="inlineStr">
        <x:is>
          <x:t xml:space="preserve">CheckboxGroup</x:t>
        </x:is>
      </x:c>
      <x:c r="D13" s="125" t="inlineStr">
        <x:is>
          <x:t xml:space="preserve">Brick-owned DOM, recipes, adapters, and public hooks pass focused tests.</x:t>
        </x:is>
      </x:c>
      <x:c r="E13" s="125" t="inlineStr">
        <x:is>
          <x:t xml:space="preserve">package</x:t>
        </x:is>
      </x:c>
      <x:c r="F13" s="125" t="inlineStr">
        <x:is>
          <x:t xml:space="preserve">component</x:t>
        </x:is>
      </x:c>
      <x:c r="G13" s="125" t="inlineStr">
        <x:is>
          <x:t xml:space="preserve">../test/components/checkbox-group/checkbox-group.test.tsx</x:t>
        </x:is>
      </x:c>
      <x:c r="H13" s="125" t="inlineStr">
        <x:is>
          <x:t xml:space="preserve">tested</x:t>
        </x:is>
      </x:c>
      <x:c r="I13" s="125" t="inlineStr">
        <x:is>
          <x:t xml:space="preserve">no</x:t>
        </x:is>
      </x:c>
      <x:c r="J13" s="141" t="n">
        <x:v>46227</x:v>
      </x:c>
      <x:c r="L13" s="125" t="n">
        <x:v>1</x:v>
      </x:c>
      <x:c r="M13" s="125" t="n">
        <x:f>IF(H13="not applicable",IF(K13&lt;&gt;"",1,0),IF(I13="yes",IF(H13="verified",1,0),IF(OR(H13="tested",H13="verified"),1,0)))</x:f>
        <x:v>1</x:v>
      </x:c>
    </x:row>
    <x:row r="14" s="127" customFormat="1" ht="42" customHeight="1">
      <x:c r="A14" s="125" t="inlineStr">
        <x:is>
          <x:t xml:space="preserve">CG-06</x:t>
        </x:is>
      </x:c>
      <x:c r="B14" s="125" t="inlineStr">
        <x:is>
          <x:t xml:space="preserve">Browser</x:t>
        </x:is>
      </x:c>
      <x:c r="C14" s="125" t="inlineStr">
        <x:is>
          <x:t xml:space="preserve">CheckboxGroup</x:t>
        </x:is>
      </x:c>
      <x:c r="D14" s="125" t="inlineStr">
        <x:is>
          <x:t xml:space="preserve">Real-browser behavior and component contract checks pass.</x:t>
        </x:is>
      </x:c>
      <x:c r="E14" s="125" t="inlineStr">
        <x:is>
          <x:t xml:space="preserve">package</x:t>
        </x:is>
      </x:c>
      <x:c r="F14" s="125" t="inlineStr">
        <x:is>
          <x:t xml:space="preserve">browser</x:t>
        </x:is>
      </x:c>
      <x:c r="G14" s="125" t="inlineStr">
        <x:is>
          <x:t xml:space="preserve">tests/components/checkbox-group/behavior.spec.ts</x:t>
        </x:is>
      </x:c>
      <x:c r="H14" s="125" t="inlineStr">
        <x:is>
          <x:t xml:space="preserve">tested</x:t>
        </x:is>
      </x:c>
      <x:c r="I14" s="125" t="inlineStr">
        <x:is>
          <x:t xml:space="preserve">no</x:t>
        </x:is>
      </x:c>
      <x:c r="J14" s="141" t="n">
        <x:v>46227</x:v>
      </x:c>
      <x:c r="L14" s="125" t="n">
        <x:v>1</x:v>
      </x:c>
      <x:c r="M14" s="125" t="n">
        <x:f>IF(H14="not applicable",IF(K14&lt;&gt;"",1,0),IF(I14="yes",IF(H14="verified",1,0),IF(OR(H14="tested",H14="verified"),1,0)))</x:f>
        <x:v>1</x:v>
      </x:c>
    </x:row>
    <x:row r="15" s="127" customFormat="1" ht="42" customHeight="1">
      <x:c r="A15" s="125" t="inlineStr">
        <x:is>
          <x:t xml:space="preserve">CG-07</x:t>
        </x:is>
      </x:c>
      <x:c r="B15" s="125" t="inlineStr">
        <x:is>
          <x:t xml:space="preserve">Accessibility</x:t>
        </x:is>
      </x:c>
      <x:c r="C15" s="125" t="inlineStr">
        <x:is>
          <x:t xml:space="preserve">CheckboxGroup</x:t>
        </x:is>
      </x:c>
      <x:c r="D15" s="125" t="inlineStr">
        <x:is>
          <x:t xml:space="preserve">Automated semantics and accessibility checks pass in the browser evidence suite.</x:t>
        </x:is>
      </x:c>
      <x:c r="E15" s="125" t="inlineStr">
        <x:is>
          <x:t xml:space="preserve">package</x:t>
        </x:is>
      </x:c>
      <x:c r="F15" s="125" t="inlineStr">
        <x:is>
          <x:t xml:space="preserve">axe</x:t>
        </x:is>
      </x:c>
      <x:c r="G15" s="125" t="inlineStr">
        <x:is>
          <x:t xml:space="preserve">tests/components/checkbox-group/behavior.spec.ts; tests/integration</x:t>
        </x:is>
      </x:c>
      <x:c r="H15" s="125" t="inlineStr">
        <x:is>
          <x:t xml:space="preserve">tested</x:t>
        </x:is>
      </x:c>
      <x:c r="I15" s="125" t="inlineStr">
        <x:is>
          <x:t xml:space="preserve">no</x:t>
        </x:is>
      </x:c>
      <x:c r="J15" s="141" t="n">
        <x:v>46227</x:v>
      </x:c>
      <x:c r="L15" s="125" t="n">
        <x:v>1</x:v>
      </x:c>
      <x:c r="M15" s="125" t="n">
        <x:f>IF(H15="not applicable",IF(K15&lt;&gt;"",1,0),IF(I15="yes",IF(H15="verified",1,0),IF(OR(H15="tested",H15="verified"),1,0)))</x:f>
        <x:v>1</x:v>
      </x:c>
    </x:row>
    <x:row r="16" s="127" customFormat="1" ht="42" customHeight="1">
      <x:c r="A16" s="125" t="inlineStr">
        <x:is>
          <x:t xml:space="preserve">CG-08</x:t>
        </x:is>
      </x:c>
      <x:c r="B16" s="125" t="inlineStr">
        <x:is>
          <x:t xml:space="preserve">Visual</x:t>
        </x:is>
      </x:c>
      <x:c r="C16" s="125" t="inlineStr">
        <x:is>
          <x:t xml:space="preserve">CheckboxGroup</x:t>
        </x:is>
      </x:c>
      <x:c r="D16" s="125" t="inlineStr">
        <x:is>
          <x:t xml:space="preserve">Reviewed baselines cover the component's risk-selected recipes and states.</x:t>
        </x:is>
      </x:c>
      <x:c r="E16" s="125" t="inlineStr">
        <x:is>
          <x:t xml:space="preserve">package</x:t>
        </x:is>
      </x:c>
      <x:c r="F16" s="125" t="inlineStr">
        <x:is>
          <x:t xml:space="preserve">visual</x:t>
        </x:is>
      </x:c>
      <x:c r="G16" s="125" t="inlineStr">
        <x:is>
          <x:t xml:space="preserve">tests/components/checkbox-group/visual.spec.ts</x:t>
        </x:is>
      </x:c>
      <x:c r="H16" s="125" t="inlineStr">
        <x:is>
          <x:t xml:space="preserve">verified</x:t>
        </x:is>
      </x:c>
      <x:c r="I16" s="125" t="inlineStr">
        <x:is>
          <x:t xml:space="preserve">yes</x:t>
        </x:is>
      </x:c>
      <x:c r="J16" s="141" t="n">
        <x:v>46227</x:v>
      </x:c>
      <x:c r="K16" s="125" t="inlineStr">
        <x:is>
          <x:t xml:space="preserve">Owner reviewed the current playground evidence.</x:t>
        </x:is>
      </x:c>
      <x:c r="L16" s="125" t="n">
        <x:v>1</x:v>
      </x:c>
      <x:c r="M16" s="125" t="n">
        <x:f>IF(H16="not applicable",IF(K16&lt;&gt;"",1,0),IF(I16="yes",IF(H16="verified",1,0),IF(OR(H16="tested",H16="verified"),1,0)))</x:f>
        <x:v>1</x:v>
      </x:c>
    </x:row>
    <x:row r="17" s="127" customFormat="1" ht="42" customHeight="1">
      <x:c r="A17" s="125" t="inlineStr">
        <x:is>
          <x:t xml:space="preserve">CG-09</x:t>
        </x:is>
      </x:c>
      <x:c r="B17" s="125" t="inlineStr">
        <x:is>
          <x:t xml:space="preserve">Responsive</x:t>
        </x:is>
      </x:c>
      <x:c r="C17" s="125" t="inlineStr">
        <x:is>
          <x:t xml:space="preserve">CheckboxGroup</x:t>
        </x:is>
      </x:c>
      <x:c r="D17" s="125" t="inlineStr">
        <x:is>
          <x:t xml:space="preserve">Mobile, zoom/reflow, content stress, and RTL remain usable and contained.</x:t>
        </x:is>
      </x:c>
      <x:c r="E17" s="125" t="inlineStr">
        <x:is>
          <x:t xml:space="preserve">package</x:t>
        </x:is>
      </x:c>
      <x:c r="F17" s="125" t="inlineStr">
        <x:is>
          <x:t xml:space="preserve">manual</x:t>
        </x:is>
      </x:c>
      <x:c r="G17" s="125" t="inlineStr">
        <x:is>
          <x:t xml:space="preserve">manual-tests/checkbox-group.md</x:t>
        </x:is>
      </x:c>
      <x:c r="H17" s="125" t="inlineStr">
        <x:is>
          <x:t xml:space="preserve">implemented</x:t>
        </x:is>
      </x:c>
      <x:c r="I17" s="125" t="inlineStr">
        <x:is>
          <x:t xml:space="preserve">yes</x:t>
        </x:is>
      </x:c>
      <x:c r="J17" s="141" t="n"/>
      <x:c r="K17" s="125" t="inlineStr">
        <x:is>
          <x:t xml:space="preserve">Human protocol remains pending. Automated and visual evidence stays in its owning tests and does not complete this human gate.</x:t>
        </x:is>
      </x:c>
      <x:c r="L17" s="125" t="n">
        <x:v>1</x:v>
      </x:c>
      <x:c r="M17" s="125" t="n">
        <x:f>IF(H17="not applicable",IF(K17&lt;&gt;"",1,0),IF(I17="yes",IF(H17="verified",1,0),IF(OR(H17="tested",H17="verified"),1,0)))</x:f>
        <x:v>0</x:v>
      </x:c>
    </x:row>
    <x:row r="18" s="127" customFormat="1" ht="42" customHeight="1">
      <x:c r="A18" s="125" t="inlineStr">
        <x:is>
          <x:t xml:space="preserve">CG-10</x:t>
        </x:is>
      </x:c>
      <x:c r="B18" s="125" t="inlineStr">
        <x:is>
          <x:t xml:space="preserve">Theme</x:t>
        </x:is>
      </x:c>
      <x:c r="C18" s="125" t="inlineStr">
        <x:is>
          <x:t xml:space="preserve">CheckboxGroup</x:t>
        </x:is>
      </x:c>
      <x:c r="D18" s="125" t="inlineStr">
        <x:is>
          <x:t xml:space="preserve">Light, dark, focus, forced-colors, and relevant motion behavior remain perceivable.</x:t>
        </x:is>
      </x:c>
      <x:c r="E18" s="125" t="inlineStr">
        <x:is>
          <x:t xml:space="preserve">package</x:t>
        </x:is>
      </x:c>
      <x:c r="F18" s="125" t="inlineStr">
        <x:is>
          <x:t xml:space="preserve">manual</x:t>
        </x:is>
      </x:c>
      <x:c r="G18" s="125" t="inlineStr">
        <x:is>
          <x:t xml:space="preserve">manual-tests/checkbox-group.md</x:t>
        </x:is>
      </x:c>
      <x:c r="H18" s="125" t="inlineStr">
        <x:is>
          <x:t xml:space="preserve">implemented</x:t>
        </x:is>
      </x:c>
      <x:c r="I18" s="125" t="inlineStr">
        <x:is>
          <x:t xml:space="preserve">yes</x:t>
        </x:is>
      </x:c>
      <x:c r="J18" s="141" t="n"/>
      <x:c r="K18" s="125" t="inlineStr">
        <x:is>
          <x:t xml:space="preserve">Human protocol remains pending. Automated and visual evidence stays in its owning tests and does not complete this human gate.</x:t>
        </x:is>
      </x:c>
      <x:c r="L18" s="125" t="n">
        <x:v>1</x:v>
      </x:c>
      <x:c r="M18" s="125" t="n">
        <x:f>IF(H18="not applicable",IF(K18&lt;&gt;"",1,0),IF(I18="yes",IF(H18="verified",1,0),IF(OR(H18="tested",H18="verified"),1,0)))</x:f>
        <x:v>0</x:v>
      </x:c>
    </x:row>
    <x:row r="19" s="127" customFormat="1" ht="42" customHeight="1">
      <x:c r="A19" s="125" t="inlineStr">
        <x:is>
          <x:t xml:space="preserve">CG-11</x:t>
        </x:is>
      </x:c>
      <x:c r="B19" s="125" t="inlineStr">
        <x:is>
          <x:t xml:space="preserve">Composition</x:t>
        </x:is>
      </x:c>
      <x:c r="C19" s="125" t="inlineStr">
        <x:is>
          <x:t xml:space="preserve">CheckboxGroup</x:t>
        </x:is>
      </x:c>
      <x:c r="D19" s="125" t="inlineStr">
        <x:is>
          <x:t xml:space="preserve">Default, render, and asChild output preserve the intended element, slots, state, and relationships.</x:t>
        </x:is>
      </x:c>
      <x:c r="E19" s="125" t="inlineStr">
        <x:is>
          <x:t xml:space="preserve">package</x:t>
        </x:is>
      </x:c>
      <x:c r="F19" s="125" t="inlineStr">
        <x:is>
          <x:t xml:space="preserve">manual</x:t>
        </x:is>
      </x:c>
      <x:c r="G19" s="125" t="inlineStr">
        <x:is>
          <x:t xml:space="preserve">manual-tests/checkbox-group.md; tests/components/checkbox-group/behavior.spec.ts</x:t>
        </x:is>
      </x:c>
      <x:c r="H19" s="125" t="inlineStr">
        <x:is>
          <x:t xml:space="preserve">implemented</x:t>
        </x:is>
      </x:c>
      <x:c r="I19" s="125" t="inlineStr">
        <x:is>
          <x:t xml:space="preserve">yes</x:t>
        </x:is>
      </x:c>
      <x:c r="J19" s="141" t="n"/>
      <x:c r="K19" s="125" t="inlineStr">
        <x:is>
          <x:t xml:space="preserve">Human protocol remains pending. Automated and visual evidence stays in its owning tests and does not complete this human gate.</x:t>
        </x:is>
      </x:c>
      <x:c r="L19" s="125" t="n">
        <x:v>1</x:v>
      </x:c>
      <x:c r="M19" s="125" t="n">
        <x:f>IF(H19="not applicable",IF(K19&lt;&gt;"",1,0),IF(I19="yes",IF(H19="verified",1,0),IF(OR(H19="tested",H19="verified"),1,0)))</x:f>
        <x:v>0</x:v>
      </x:c>
    </x:row>
    <x:row r="20" s="127" customFormat="1" ht="42" customHeight="1">
      <x:c r="A20" s="125" t="inlineStr">
        <x:is>
          <x:t xml:space="preserve">CG-12</x:t>
        </x:is>
      </x:c>
      <x:c r="B20" s="125" t="inlineStr">
        <x:is>
          <x:t xml:space="preserve">Manual</x:t>
        </x:is>
      </x:c>
      <x:c r="C20" s="125" t="inlineStr">
        <x:is>
          <x:t xml:space="preserve">CheckboxGroup</x:t>
        </x:is>
      </x:c>
      <x:c r="D20" s="125" t="inlineStr">
        <x:is>
          <x:t xml:space="preserve">The complete component-owned manual protocol passed against every playground scenario.</x:t>
        </x:is>
      </x:c>
      <x:c r="E20" s="125" t="inlineStr">
        <x:is>
          <x:t xml:space="preserve">package</x:t>
        </x:is>
      </x:c>
      <x:c r="F20" s="125" t="inlineStr">
        <x:is>
          <x:t xml:space="preserve">manual</x:t>
        </x:is>
      </x:c>
      <x:c r="G20" s="125" t="inlineStr">
        <x:is>
          <x:t xml:space="preserve">manual-tests/checkbox-group.md</x:t>
        </x:is>
      </x:c>
      <x:c r="H20" s="125" t="inlineStr">
        <x:is>
          <x:t xml:space="preserve">implemented</x:t>
        </x:is>
      </x:c>
      <x:c r="I20" s="125" t="inlineStr">
        <x:is>
          <x:t xml:space="preserve">yes</x:t>
        </x:is>
      </x:c>
      <x:c r="J20" s="141" t="n"/>
      <x:c r="K20" s="125" t="inlineStr">
        <x:is>
          <x:t xml:space="preserve">Human protocol remains pending. Automated and visual evidence stays in its owning tests and does not complete this human gate.</x:t>
        </x:is>
      </x:c>
      <x:c r="L20" s="125" t="n">
        <x:v>1</x:v>
      </x:c>
      <x:c r="M20" s="125" t="n">
        <x:f>IF(H20="not applicable",IF(K20&lt;&gt;"",1,0),IF(I20="yes",IF(H20="verified",1,0),IF(OR(H20="tested",H20="verified"),1,0)))</x:f>
        <x:v>0</x:v>
      </x:c>
    </x:row>
    <x:row r="21" s="127" customFormat="1" ht="42" customHeight="1">
      <x:c r="A21" s="125" t="inlineStr">
        <x:is>
          <x:t xml:space="preserve">CG-13</x:t>
        </x:is>
      </x:c>
      <x:c r="B21" s="125" t="inlineStr">
        <x:is>
          <x:t xml:space="preserve">Docs</x:t>
        </x:is>
      </x:c>
      <x:c r="C21" s="125" t="inlineStr">
        <x:is>
          <x:t xml:space="preserve">CheckboxGroup</x:t>
        </x:is>
      </x:c>
      <x:c r="D21" s="125" t="inlineStr">
        <x:is>
          <x:t xml:space="preserve">Public usage documentation exists at the component-owned path.</x:t>
        </x:is>
      </x:c>
      <x:c r="E21" s="125" t="inlineStr">
        <x:is>
          <x:t xml:space="preserve">package</x:t>
        </x:is>
      </x:c>
      <x:c r="F21" s="125" t="inlineStr">
        <x:is>
          <x:t xml:space="preserve">docs</x:t>
        </x:is>
      </x:c>
      <x:c r="G21" s="125" t="inlineStr">
        <x:is>
          <x:t xml:space="preserve">../docs/components/checkbox-group/README.md</x:t>
        </x:is>
      </x:c>
      <x:c r="H21" s="125" t="inlineStr">
        <x:is>
          <x:t xml:space="preserve">tested</x:t>
        </x:is>
      </x:c>
      <x:c r="I21" s="125" t="inlineStr">
        <x:is>
          <x:t xml:space="preserve">no</x:t>
        </x:is>
      </x:c>
      <x:c r="J21" s="141" t="n">
        <x:v>46227</x:v>
      </x:c>
      <x:c r="L21" s="125" t="n">
        <x:v>1</x:v>
      </x:c>
      <x:c r="M21" s="125" t="n">
        <x:f>IF(H21="not applicable",IF(K21&lt;&gt;"",1,0),IF(I21="yes",IF(H21="verified",1,0),IF(OR(H21="tested",H21="verified"),1,0)))</x:f>
        <x:v>1</x:v>
      </x:c>
    </x:row>
    <x:row r="22" s="127" customFormat="1" ht="42" customHeight="1">
      <x:c r="A22" s="125" t="inlineStr">
        <x:is>
          <x:t xml:space="preserve">CG-14</x:t>
        </x:is>
      </x:c>
      <x:c r="B22" s="125" t="inlineStr">
        <x:is>
          <x:t xml:space="preserve">Changelog</x:t>
        </x:is>
      </x:c>
      <x:c r="C22" s="125" t="inlineStr">
        <x:is>
          <x:t xml:space="preserve">CheckboxGroup</x:t>
        </x:is>
      </x:c>
      <x:c r="D22" s="125" t="inlineStr">
        <x:is>
          <x:t xml:space="preserve">The component owns a public changelog.</x:t>
        </x:is>
      </x:c>
      <x:c r="E22" s="125" t="inlineStr">
        <x:is>
          <x:t xml:space="preserve">package</x:t>
        </x:is>
      </x:c>
      <x:c r="F22" s="125" t="inlineStr">
        <x:is>
          <x:t xml:space="preserve">docs</x:t>
        </x:is>
      </x:c>
      <x:c r="G22" s="125" t="inlineStr">
        <x:is>
          <x:t xml:space="preserve">../docs/components/checkbox-group/CHANGELOG.md</x:t>
        </x:is>
      </x:c>
      <x:c r="H22" s="125" t="inlineStr">
        <x:is>
          <x:t xml:space="preserve">tested</x:t>
        </x:is>
      </x:c>
      <x:c r="I22" s="125" t="inlineStr">
        <x:is>
          <x:t xml:space="preserve">no</x:t>
        </x:is>
      </x:c>
      <x:c r="J22" s="141" t="n">
        <x:v>46227</x:v>
      </x:c>
      <x:c r="L22" s="125" t="n">
        <x:v>1</x:v>
      </x:c>
      <x:c r="M22" s="125" t="n">
        <x:f>IF(H22="not applicable",IF(K22&lt;&gt;"",1,0),IF(I22="yes",IF(H22="verified",1,0),IF(OR(H22="tested",H22="verified"),1,0)))</x:f>
        <x:v>1</x:v>
      </x:c>
    </x:row>
    <x:row r="23" s="127" customFormat="1" ht="42" customHeight="1">
      <x:c r="A23" s="125" t="inlineStr">
        <x:is>
          <x:t xml:space="preserve">CG-15</x:t>
        </x:is>
      </x:c>
      <x:c r="B23" s="125" t="inlineStr">
        <x:is>
          <x:t xml:space="preserve">Consumer</x:t>
        </x:is>
      </x:c>
      <x:c r="C23" s="125" t="inlineStr">
        <x:is>
          <x:t xml:space="preserve">CheckboxGroup</x:t>
        </x:is>
      </x:c>
      <x:c r="D23" s="125" t="inlineStr">
        <x:is>
          <x:t xml:space="preserve">The standalone consumer imports and exercises the public package component.</x:t>
        </x:is>
      </x:c>
      <x:c r="E23" s="125" t="inlineStr">
        <x:is>
          <x:t xml:space="preserve">consumer</x:t>
        </x:is>
      </x:c>
      <x:c r="F23" s="125" t="inlineStr">
        <x:is>
          <x:t xml:space="preserve">consumer</x:t>
        </x:is>
      </x:c>
      <x:c r="G23" s="125" t="inlineStr">
        <x:is>
          <x:t xml:space="preserve">../apps/consumer/src/App.tsx; ../apps/consumer/tests/consumer.spec.ts</x:t>
        </x:is>
      </x:c>
      <x:c r="H23" s="125" t="inlineStr">
        <x:is>
          <x:t xml:space="preserve">tested</x:t>
        </x:is>
      </x:c>
      <x:c r="I23" s="125" t="inlineStr">
        <x:is>
          <x:t xml:space="preserve">no</x:t>
        </x:is>
      </x:c>
      <x:c r="J23" s="141" t="n">
        <x:v>46227</x:v>
      </x:c>
      <x:c r="L23" s="125" t="n">
        <x:v>1</x:v>
      </x:c>
      <x:c r="M23" s="125" t="n">
        <x:f>IF(H23="not applicable",IF(K23&lt;&gt;"",1,0),IF(I23="yes",IF(H23="verified",1,0),IF(OR(H23="tested",H23="verified"),1,0)))</x:f>
        <x:v>1</x:v>
      </x:c>
    </x:row>
    <x:row r="24" s="127" customFormat="1" ht="42" customHeight="1">
      <x:c r="A24" s="125" t="inlineStr">
        <x:is>
          <x:t xml:space="preserve">CG-16</x:t>
        </x:is>
      </x:c>
      <x:c r="B24" s="125" t="inlineStr">
        <x:is>
          <x:t xml:space="preserve">Package</x:t>
        </x:is>
      </x:c>
      <x:c r="C24" s="125" t="inlineStr">
        <x:is>
          <x:t xml:space="preserve">CheckboxGroup</x:t>
        </x:is>
      </x:c>
      <x:c r="D24" s="125" t="inlineStr">
        <x:is>
          <x:t xml:space="preserve">Build, exports, tarball, CSS, and consumer boundary verification pass.</x:t>
        </x:is>
      </x:c>
      <x:c r="E24" s="125" t="inlineStr">
        <x:is>
          <x:t xml:space="preserve">package</x:t>
        </x:is>
      </x:c>
      <x:c r="F24" s="125" t="inlineStr">
        <x:is>
          <x:t xml:space="preserve">package</x:t>
        </x:is>
      </x:c>
      <x:c r="G24" s="125" t="inlineStr">
        <x:is>
          <x:t xml:space="preserve">../scripts/verify-package.mjs; ../scripts/verify-consumers.mjs</x:t>
        </x:is>
      </x:c>
      <x:c r="H24" s="125" t="inlineStr">
        <x:is>
          <x:t xml:space="preserve">tested</x:t>
        </x:is>
      </x:c>
      <x:c r="I24" s="125" t="inlineStr">
        <x:is>
          <x:t xml:space="preserve">no</x:t>
        </x:is>
      </x:c>
      <x:c r="J24" s="141" t="n">
        <x:v>46227</x:v>
      </x:c>
      <x:c r="L24" s="125" t="n">
        <x:v>1</x:v>
      </x:c>
      <x:c r="M24" s="125" t="n">
        <x:f>IF(H24="not applicable",IF(K24&lt;&gt;"",1,0),IF(I24="yes",IF(H24="verified",1,0),IF(OR(H24="tested",H24="verified"),1,0)))</x:f>
        <x:v>1</x:v>
      </x:c>
    </x:row>
  </x:sheetData>
  <x:mergeCells>
    <x:mergeCell ref="A2:M2"/>
    <x:mergeCell ref="A1:M1"/>
  </x:mergeCells>
  <x:conditionalFormatting sqref="H9:H24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1" showDropDown="0" showInputMessage="1" showErrorMessage="1" sqref="H9:H24">
      <x:formula1>"not started,partial,implemented,tested,verified,blocked,not applicable"</x:formula1>
      <x:formula2>0</x:formula2>
    </x:dataValidation>
    <x:dataValidation type="list" errorStyle="stop" operator="between" allowBlank="1" showDropDown="0" showInputMessage="1" showErrorMessage="1" sqref="I9:I24">
      <x:formula1>"yes,no"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832d207916f46d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Dialog Evidence</x:t>
        </x:is>
      </x:c>
    </x:row>
    <x:row r="2" s="127" customFormat="1" ht="27.75" customHeight="1">
      <x:c r="A2" s="129" t="inlineStr">
        <x:is>
          <x:t xml:space="preserve">Assertion-level package, browser, human-review, documentation, and consumer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COUNTA(A9:A24)</x:f>
        <x:v>16</x:v>
      </x:c>
      <x:c r="D4" s="130" t="inlineStr">
        <x:is>
          <x:t xml:space="preserve">Resolved</x:t>
        </x:is>
      </x:c>
      <x:c r="E4" s="131" t="n">
        <x:f>SUM(M9:M24)</x:f>
        <x:v>9</x:v>
      </x:c>
      <x:c r="G4" s="130" t="inlineStr">
        <x:is>
          <x:t xml:space="preserve">Completion</x:t>
        </x:is>
      </x:c>
      <x:c r="H4" s="132" t="n">
        <x:f>IF(B4=0,0,E4/B4)</x:f>
        <x:v>0.5625</x:v>
      </x:c>
      <x:c r="J4" s="130" t="inlineStr">
        <x:is>
          <x:t xml:space="preserve">Package gate</x:t>
        </x:is>
      </x:c>
      <x:c r="K4" s="131" t="inlineStr">
        <x:is>
          <x:t xml:space="preserve">open</x:t>
        </x:is>
      </x:c>
    </x:row>
    <x:row r="5" s="127" customFormat="1" ht="17.25" customHeight="1">
      <x:c r="A5" s="130" t="inlineStr">
        <x:is>
          <x:t xml:space="preserve">Manual review</x:t>
        </x:is>
      </x:c>
      <x:c r="B5" s="131" t="inlineStr">
        <x:is>
          <x:t xml:space="preserve">pending</x:t>
        </x:is>
      </x:c>
      <x:c r="D5" s="130" t="inlineStr">
        <x:is>
          <x:t xml:space="preserve">Consumer gate</x:t>
        </x:is>
      </x:c>
      <x:c r="E5" s="131" t="inlineStr">
        <x:is>
          <x:t xml:space="preserve">open</x:t>
        </x:is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42" customHeight="1">
      <x:c r="A9" s="125" t="inlineStr">
        <x:is>
          <x:t xml:space="preserve">D-01</x:t>
        </x:is>
      </x:c>
      <x:c r="B9" s="125" t="inlineStr">
        <x:is>
          <x:t xml:space="preserve">Implementation</x:t>
        </x:is>
      </x:c>
      <x:c r="C9" s="125" t="inlineStr">
        <x:is>
          <x:t xml:space="preserve">Dialog</x:t>
        </x:is>
      </x:c>
      <x:c r="D9" s="125" t="inlineStr">
        <x:is>
          <x:t xml:space="preserve">Dialog Content and owned Positioner preserve modal semantics.</x:t>
        </x:is>
      </x:c>
      <x:c r="E9" s="125" t="inlineStr">
        <x:is>
          <x:t xml:space="preserve">package</x:t>
        </x:is>
      </x:c>
      <x:c r="F9" s="125" t="inlineStr">
        <x:is>
          <x:t xml:space="preserve">source</x:t>
        </x:is>
      </x:c>
      <x:c r="G9" s="125" t="inlineStr">
        <x:is>
          <x:t xml:space="preserve">../src/components/dialog</x:t>
        </x:is>
      </x:c>
      <x:c r="H9" s="125" t="inlineStr">
        <x:is>
          <x:t xml:space="preserve">tested</x:t>
        </x:is>
      </x:c>
      <x:c r="I9" s="125" t="inlineStr">
        <x:is>
          <x:t xml:space="preserve">no</x:t>
        </x:is>
      </x:c>
      <x:c r="J9" s="141" t="n">
        <x:v>46278</x:v>
      </x:c>
      <x:c r="L9" s="125" t="n">
        <x:v>1</x:v>
      </x:c>
      <x:c r="M9" s="125" t="n">
        <x:f>IF(H9="not applicable",1,IF(I9="yes",IF(H9="verified",1,0),IF(OR(H9="tested",H9="verified"),1,0)))</x:f>
        <x:v>1</x:v>
      </x:c>
    </x:row>
    <x:row r="10" s="127" customFormat="1" ht="42" customHeight="1">
      <x:c r="A10" s="125" t="inlineStr">
        <x:is>
          <x:t xml:space="preserve">D-02</x:t>
        </x:is>
      </x:c>
      <x:c r="B10" s="125" t="inlineStr">
        <x:is>
          <x:t xml:space="preserve">Exports</x:t>
        </x:is>
      </x:c>
      <x:c r="C10" s="125" t="inlineStr">
        <x:is>
          <x:t xml:space="preserve">Dialog</x:t>
        </x:is>
      </x:c>
      <x:c r="D10" s="125" t="inlineStr">
        <x:is>
          <x:t xml:space="preserve">Root and public subpath exports expose the component.</x:t>
        </x:is>
      </x:c>
      <x:c r="E10" s="125" t="inlineStr">
        <x:is>
          <x:t xml:space="preserve">package</x:t>
        </x:is>
      </x:c>
      <x:c r="F10" s="125" t="inlineStr">
        <x:is>
          <x:t xml:space="preserve">package</x:t>
        </x:is>
      </x:c>
      <x:c r="G10" s="125" t="inlineStr">
        <x:is>
          <x:t xml:space="preserve">../test/package/package.test.mjs</x:t>
        </x:is>
      </x:c>
      <x:c r="H10" s="125" t="inlineStr">
        <x:is>
          <x:t xml:space="preserve">tested</x:t>
        </x:is>
      </x:c>
      <x:c r="I10" s="125" t="inlineStr">
        <x:is>
          <x:t xml:space="preserve">no</x:t>
        </x:is>
      </x:c>
      <x:c r="J10" s="141" t="n">
        <x:v>46278</x:v>
      </x:c>
      <x:c r="L10" s="125" t="n">
        <x:v>1</x:v>
      </x:c>
      <x:c r="M10" s="125" t="n">
        <x:f>IF(H10="not applicable",1,IF(I10="yes",IF(H10="verified",1,0),IF(OR(H10="tested",H10="verified"),1,0)))</x:f>
        <x:v>1</x:v>
      </x:c>
    </x:row>
    <x:row r="11" s="127" customFormat="1" ht="42" customHeight="1">
      <x:c r="A11" s="125" t="inlineStr">
        <x:is>
          <x:t xml:space="preserve">D-03</x:t>
        </x:is>
      </x:c>
      <x:c r="B11" s="125" t="inlineStr">
        <x:is>
          <x:t xml:space="preserve">Types</x:t>
        </x:is>
      </x:c>
      <x:c r="C11" s="125" t="inlineStr">
        <x:is>
          <x:t xml:space="preserve">Dialog</x:t>
        </x:is>
      </x:c>
      <x:c r="D11" s="125" t="inlineStr">
        <x:is>
          <x:t xml:space="preserve">Public props, refs, composition branches, and invalid cases type-check.</x:t>
        </x:is>
      </x:c>
      <x:c r="E11" s="125" t="inlineStr">
        <x:is>
          <x:t xml:space="preserve">package</x:t>
        </x:is>
      </x:c>
      <x:c r="F11" s="125" t="inlineStr">
        <x:is>
          <x:t xml:space="preserve">types</x:t>
        </x:is>
      </x:c>
      <x:c r="G11" s="125" t="inlineStr">
        <x:is>
          <x:t xml:space="preserve">../test/types/components/dialog.test.ts</x:t>
        </x:is>
      </x:c>
      <x:c r="H11" s="125" t="inlineStr">
        <x:is>
          <x:t xml:space="preserve">tested</x:t>
        </x:is>
      </x:c>
      <x:c r="I11" s="125" t="inlineStr">
        <x:is>
          <x:t xml:space="preserve">no</x:t>
        </x:is>
      </x:c>
      <x:c r="J11" s="141" t="n">
        <x:v>46278</x:v>
      </x:c>
      <x:c r="L11" s="125" t="n">
        <x:v>1</x:v>
      </x:c>
      <x:c r="M11" s="125" t="n">
        <x:f>IF(H11="not applicable",1,IF(I11="yes",IF(H11="verified",1,0),IF(OR(H11="tested",H11="verified"),1,0)))</x:f>
        <x:v>1</x:v>
      </x:c>
    </x:row>
    <x:row r="12" s="127" customFormat="1" ht="42" customHeight="1">
      <x:c r="A12" s="125" t="inlineStr">
        <x:is>
          <x:t xml:space="preserve">D-04</x:t>
        </x:is>
      </x:c>
      <x:c r="B12" s="125" t="inlineStr">
        <x:is>
          <x:t xml:space="preserve">CSS</x:t>
        </x:is>
      </x:c>
      <x:c r="C12" s="125" t="inlineStr">
        <x:is>
          <x:t xml:space="preserve">Dialog</x:t>
        </x:is>
      </x:c>
      <x:c r="D12" s="125" t="inlineStr">
        <x:is>
          <x:t xml:space="preserve">Seven sizes, responsive resets, placement, scrolling and motion recipes.</x:t>
        </x:is>
      </x:c>
      <x:c r="E12" s="125" t="inlineStr">
        <x:is>
          <x:t xml:space="preserve">package</x:t>
        </x:is>
      </x:c>
      <x:c r="F12" s="125" t="inlineStr">
        <x:is>
          <x:t xml:space="preserve">css</x:t>
        </x:is>
      </x:c>
      <x:c r="G12" s="125" t="inlineStr">
        <x:is>
          <x:t xml:space="preserve">../src/components/dialog/dialog.css</x:t>
        </x:is>
      </x:c>
      <x:c r="H12" s="125" t="inlineStr">
        <x:is>
          <x:t xml:space="preserve">tested</x:t>
        </x:is>
      </x:c>
      <x:c r="I12" s="125" t="inlineStr">
        <x:is>
          <x:t xml:space="preserve">no</x:t>
        </x:is>
      </x:c>
      <x:c r="J12" s="141" t="n">
        <x:v>46278</x:v>
      </x:c>
      <x:c r="L12" s="125" t="n">
        <x:v>1</x:v>
      </x:c>
      <x:c r="M12" s="125" t="n">
        <x:f>IF(H12="not applicable",1,IF(I12="yes",IF(H12="verified",1,0),IF(OR(H12="tested",H12="verified"),1,0)))</x:f>
        <x:v>1</x:v>
      </x:c>
    </x:row>
    <x:row r="13" s="127" customFormat="1" ht="42" customHeight="1">
      <x:c r="A13" s="125" t="inlineStr">
        <x:is>
          <x:t xml:space="preserve">D-05</x:t>
        </x:is>
      </x:c>
      <x:c r="B13" s="125" t="inlineStr">
        <x:is>
          <x:t xml:space="preserve">Unit</x:t>
        </x:is>
      </x:c>
      <x:c r="C13" s="125" t="inlineStr">
        <x:is>
          <x:t xml:space="preserve">Dialog</x:t>
        </x:is>
      </x:c>
      <x:c r="D13" s="125" t="inlineStr">
        <x:is>
          <x:t xml:space="preserve">Brick-owned DOM, recipes, adapters, and public hooks pass focused tests.</x:t>
        </x:is>
      </x:c>
      <x:c r="E13" s="125" t="inlineStr">
        <x:is>
          <x:t xml:space="preserve">package</x:t>
        </x:is>
      </x:c>
      <x:c r="F13" s="125" t="inlineStr">
        <x:is>
          <x:t xml:space="preserve">component</x:t>
        </x:is>
      </x:c>
      <x:c r="G13" s="125" t="inlineStr">
        <x:is>
          <x:t xml:space="preserve">../test/components/dialog/dialog.test.tsx</x:t>
        </x:is>
      </x:c>
      <x:c r="H13" s="125" t="inlineStr">
        <x:is>
          <x:t xml:space="preserve">tested</x:t>
        </x:is>
      </x:c>
      <x:c r="I13" s="125" t="inlineStr">
        <x:is>
          <x:t xml:space="preserve">no</x:t>
        </x:is>
      </x:c>
      <x:c r="J13" s="141" t="n">
        <x:v>46278</x:v>
      </x:c>
      <x:c r="L13" s="125" t="n">
        <x:v>1</x:v>
      </x:c>
      <x:c r="M13" s="125" t="n">
        <x:f>IF(H13="not applicable",1,IF(I13="yes",IF(H13="verified",1,0),IF(OR(H13="tested",H13="verified"),1,0)))</x:f>
        <x:v>1</x:v>
      </x:c>
    </x:row>
    <x:row r="14" s="127" customFormat="1" ht="42" customHeight="1">
      <x:c r="A14" s="125" t="inlineStr">
        <x:is>
          <x:t xml:space="preserve">D-06</x:t>
        </x:is>
      </x:c>
      <x:c r="B14" s="125" t="inlineStr">
        <x:is>
          <x:t xml:space="preserve">Browser</x:t>
        </x:is>
      </x:c>
      <x:c r="C14" s="125" t="inlineStr">
        <x:is>
          <x:t xml:space="preserve">Dialog</x:t>
        </x:is>
      </x:c>
      <x:c r="D14" s="125" t="inlineStr">
        <x:is>
          <x:t xml:space="preserve">Retention, full action reachability and exact widths pass in three engines.</x:t>
        </x:is>
      </x:c>
      <x:c r="E14" s="125" t="inlineStr">
        <x:is>
          <x:t xml:space="preserve">package</x:t>
        </x:is>
      </x:c>
      <x:c r="F14" s="125" t="inlineStr">
        <x:is>
          <x:t xml:space="preserve">browser</x:t>
        </x:is>
      </x:c>
      <x:c r="G14" s="125" t="inlineStr">
        <x:is>
          <x:t xml:space="preserve">tests/components/dialog/behavior.spec.ts; tests/components/dialog/recipes.spec.ts</x:t>
        </x:is>
      </x:c>
      <x:c r="H14" s="125" t="inlineStr">
        <x:is>
          <x:t xml:space="preserve">tested</x:t>
        </x:is>
      </x:c>
      <x:c r="I14" s="125" t="inlineStr">
        <x:is>
          <x:t xml:space="preserve">no</x:t>
        </x:is>
      </x:c>
      <x:c r="J14" s="141" t="n">
        <x:v>46278</x:v>
      </x:c>
      <x:c r="L14" s="125" t="n">
        <x:v>1</x:v>
      </x:c>
      <x:c r="M14" s="125" t="n">
        <x:f>IF(H14="not applicable",1,IF(I14="yes",IF(H14="verified",1,0),IF(OR(H14="tested",H14="verified"),1,0)))</x:f>
        <x:v>1</x:v>
      </x:c>
    </x:row>
    <x:row r="15" s="127" customFormat="1" ht="42" customHeight="1">
      <x:c r="A15" s="125" t="inlineStr">
        <x:is>
          <x:t xml:space="preserve">D-07</x:t>
        </x:is>
      </x:c>
      <x:c r="B15" s="125" t="inlineStr">
        <x:is>
          <x:t xml:space="preserve">Accessibility</x:t>
        </x:is>
      </x:c>
      <x:c r="C15" s="125" t="inlineStr">
        <x:is>
          <x:t xml:space="preserve">Dialog</x:t>
        </x:is>
      </x:c>
      <x:c r="D15" s="125" t="inlineStr">
        <x:is>
          <x:t xml:space="preserve">Automated semantics and accessibility checks pass in the browser evidence suite.</x:t>
        </x:is>
      </x:c>
      <x:c r="E15" s="125" t="inlineStr">
        <x:is>
          <x:t xml:space="preserve">package</x:t>
        </x:is>
      </x:c>
      <x:c r="F15" s="125" t="inlineStr">
        <x:is>
          <x:t xml:space="preserve">axe</x:t>
        </x:is>
      </x:c>
      <x:c r="G15" s="125" t="inlineStr">
        <x:is>
          <x:t xml:space="preserve">tests/components/dialog/behavior.spec.ts; tests/integration</x:t>
        </x:is>
      </x:c>
      <x:c r="H15" s="125" t="inlineStr">
        <x:is>
          <x:t xml:space="preserve">tested</x:t>
        </x:is>
      </x:c>
      <x:c r="I15" s="125" t="inlineStr">
        <x:is>
          <x:t xml:space="preserve">no</x:t>
        </x:is>
      </x:c>
      <x:c r="J15" s="141" t="n">
        <x:v>46278</x:v>
      </x:c>
      <x:c r="L15" s="125" t="n">
        <x:v>1</x:v>
      </x:c>
      <x:c r="M15" s="125" t="n">
        <x:f>IF(H15="not applicable",1,IF(I15="yes",IF(H15="verified",1,0),IF(OR(H15="tested",H15="verified"),1,0)))</x:f>
        <x:v>1</x:v>
      </x:c>
    </x:row>
    <x:row r="16" s="127" customFormat="1" ht="42" customHeight="1">
      <x:c r="A16" s="125" t="inlineStr">
        <x:is>
          <x:t xml:space="preserve">D-08</x:t>
        </x:is>
      </x:c>
      <x:c r="B16" s="125" t="inlineStr">
        <x:is>
          <x:t xml:space="preserve">Visual</x:t>
        </x:is>
      </x:c>
      <x:c r="C16" s="125" t="inlineStr">
        <x:is>
          <x:t xml:space="preserve">Dialog</x:t>
        </x:is>
      </x:c>
      <x:c r="D16" s="125" t="inlineStr">
        <x:is>
          <x:t xml:space="preserve">Reviewed baselines cover the component's risk-selected recipes and states.</x:t>
        </x:is>
      </x:c>
      <x:c r="E16" s="125" t="inlineStr">
        <x:is>
          <x:t xml:space="preserve">package</x:t>
        </x:is>
      </x:c>
      <x:c r="F16" s="125" t="inlineStr">
        <x:is>
          <x:t xml:space="preserve">visual</x:t>
        </x:is>
      </x:c>
      <x:c r="G16" s="125" t="inlineStr">
        <x:is>
          <x:t xml:space="preserve">tests/components/dialog/visual.spec.ts</x:t>
        </x:is>
      </x:c>
      <x:c r="H16" s="125" t="inlineStr">
        <x:is>
          <x:t xml:space="preserve">tested</x:t>
        </x:is>
      </x:c>
      <x:c r="I16" s="125" t="inlineStr">
        <x:is>
          <x:t xml:space="preserve">yes</x:t>
        </x:is>
      </x:c>
      <x:c r="J16" s="141" t="n">
        <x:v>46278</x:v>
      </x:c>
      <x:c r="K16" s="125" t="inlineStr">
        <x:is>
          <x:t xml:space="preserve">Automated baselines reviewed; owner review of changed recipes remains pending.</x:t>
        </x:is>
      </x:c>
      <x:c r="L16" s="125" t="n">
        <x:v>1</x:v>
      </x:c>
      <x:c r="M16" s="125" t="n">
        <x:f>IF(H16="not applicable",1,IF(I16="yes",IF(H16="verified",1,0),IF(OR(H16="tested",H16="verified"),1,0)))</x:f>
        <x:v>0</x:v>
      </x:c>
    </x:row>
    <x:row r="17" s="127" customFormat="1" ht="42" customHeight="1">
      <x:c r="A17" s="125" t="inlineStr">
        <x:is>
          <x:t xml:space="preserve">D-09</x:t>
        </x:is>
      </x:c>
      <x:c r="B17" s="125" t="inlineStr">
        <x:is>
          <x:t xml:space="preserve">Responsive</x:t>
        </x:is>
      </x:c>
      <x:c r="C17" s="125" t="inlineStr">
        <x:is>
          <x:t xml:space="preserve">Dialog</x:t>
        </x:is>
      </x:c>
      <x:c r="D17" s="125" t="inlineStr">
        <x:is>
          <x:t xml:space="preserve">Mobile, zoom/reflow, content stress, and RTL remain usable and contained.</x:t>
        </x:is>
      </x:c>
      <x:c r="E17" s="125" t="inlineStr">
        <x:is>
          <x:t xml:space="preserve">package</x:t>
        </x:is>
      </x:c>
      <x:c r="F17" s="125" t="inlineStr">
        <x:is>
          <x:t xml:space="preserve">manual</x:t>
        </x:is>
      </x:c>
      <x:c r="G17" s="125" t="inlineStr">
        <x:is>
          <x:t xml:space="preserve">manual-tests/dialog.md</x:t>
        </x:is>
      </x:c>
      <x:c r="H17" s="125" t="inlineStr">
        <x:is>
          <x:t xml:space="preserve">implemented</x:t>
        </x:is>
      </x:c>
      <x:c r="I17" s="125" t="inlineStr">
        <x:is>
          <x:t xml:space="preserve">yes</x:t>
        </x:is>
      </x:c>
      <x:c r="J17" s="141" t="n"/>
      <x:c r="K17" s="125" t="inlineStr">
        <x:is>
          <x:t xml:space="preserve">Human protocol remains pending. Automated and visual evidence stays in its owning tests and does not complete this human gate.</x:t>
        </x:is>
      </x:c>
      <x:c r="L17" s="125" t="n">
        <x:v>1</x:v>
      </x:c>
      <x:c r="M17" s="125" t="n">
        <x:f>IF(H17="not applicable",1,IF(I17="yes",IF(H17="verified",1,0),IF(OR(H17="tested",H17="verified"),1,0)))</x:f>
        <x:v>0</x:v>
      </x:c>
    </x:row>
    <x:row r="18" s="127" customFormat="1" ht="42" customHeight="1">
      <x:c r="A18" s="125" t="inlineStr">
        <x:is>
          <x:t xml:space="preserve">D-10</x:t>
        </x:is>
      </x:c>
      <x:c r="B18" s="125" t="inlineStr">
        <x:is>
          <x:t xml:space="preserve">Theme</x:t>
        </x:is>
      </x:c>
      <x:c r="C18" s="125" t="inlineStr">
        <x:is>
          <x:t xml:space="preserve">Dialog</x:t>
        </x:is>
      </x:c>
      <x:c r="D18" s="125" t="inlineStr">
        <x:is>
          <x:t xml:space="preserve">Light, dark, focus, forced-colors, and relevant motion behavior remain perceivable.</x:t>
        </x:is>
      </x:c>
      <x:c r="E18" s="125" t="inlineStr">
        <x:is>
          <x:t xml:space="preserve">package</x:t>
        </x:is>
      </x:c>
      <x:c r="F18" s="125" t="inlineStr">
        <x:is>
          <x:t xml:space="preserve">manual</x:t>
        </x:is>
      </x:c>
      <x:c r="G18" s="125" t="inlineStr">
        <x:is>
          <x:t xml:space="preserve">manual-tests/dialog.md</x:t>
        </x:is>
      </x:c>
      <x:c r="H18" s="125" t="inlineStr">
        <x:is>
          <x:t xml:space="preserve">implemented</x:t>
        </x:is>
      </x:c>
      <x:c r="I18" s="125" t="inlineStr">
        <x:is>
          <x:t xml:space="preserve">yes</x:t>
        </x:is>
      </x:c>
      <x:c r="J18" s="141" t="n"/>
      <x:c r="K18" s="125" t="inlineStr">
        <x:is>
          <x:t xml:space="preserve">Human protocol remains pending. Automated and visual evidence stays in its owning tests and does not complete this human gate.</x:t>
        </x:is>
      </x:c>
      <x:c r="L18" s="125" t="n">
        <x:v>1</x:v>
      </x:c>
      <x:c r="M18" s="125" t="n">
        <x:f>IF(H18="not applicable",1,IF(I18="yes",IF(H18="verified",1,0),IF(OR(H18="tested",H18="verified"),1,0)))</x:f>
        <x:v>0</x:v>
      </x:c>
    </x:row>
    <x:row r="19" s="127" customFormat="1" ht="42" customHeight="1">
      <x:c r="A19" s="125" t="inlineStr">
        <x:is>
          <x:t xml:space="preserve">D-11</x:t>
        </x:is>
      </x:c>
      <x:c r="B19" s="125" t="inlineStr">
        <x:is>
          <x:t xml:space="preserve">Composition</x:t>
        </x:is>
      </x:c>
      <x:c r="C19" s="125" t="inlineStr">
        <x:is>
          <x:t xml:space="preserve">Dialog</x:t>
        </x:is>
      </x:c>
      <x:c r="D19" s="125" t="inlineStr">
        <x:is>
          <x:t xml:space="preserve">Default, render, and asChild output preserve the intended element, slots, state, and relationships.</x:t>
        </x:is>
      </x:c>
      <x:c r="E19" s="125" t="inlineStr">
        <x:is>
          <x:t xml:space="preserve">package</x:t>
        </x:is>
      </x:c>
      <x:c r="F19" s="125" t="inlineStr">
        <x:is>
          <x:t xml:space="preserve">manual</x:t>
        </x:is>
      </x:c>
      <x:c r="G19" s="125" t="inlineStr">
        <x:is>
          <x:t xml:space="preserve">manual-tests/dialog.md; tests/components/dialog/behavior.spec.ts</x:t>
        </x:is>
      </x:c>
      <x:c r="H19" s="125" t="inlineStr">
        <x:is>
          <x:t xml:space="preserve">implemented</x:t>
        </x:is>
      </x:c>
      <x:c r="I19" s="125" t="inlineStr">
        <x:is>
          <x:t xml:space="preserve">yes</x:t>
        </x:is>
      </x:c>
      <x:c r="J19" s="141" t="n"/>
      <x:c r="K19" s="125" t="inlineStr">
        <x:is>
          <x:t xml:space="preserve">Human protocol remains pending. Automated and visual evidence stays in its owning tests and does not complete this human gate.</x:t>
        </x:is>
      </x:c>
      <x:c r="L19" s="125" t="n">
        <x:v>1</x:v>
      </x:c>
      <x:c r="M19" s="125" t="n">
        <x:f>IF(H19="not applicable",1,IF(I19="yes",IF(H19="verified",1,0),IF(OR(H19="tested",H19="verified"),1,0)))</x:f>
        <x:v>0</x:v>
      </x:c>
    </x:row>
    <x:row r="20" s="127" customFormat="1" ht="42" customHeight="1">
      <x:c r="A20" s="125" t="inlineStr">
        <x:is>
          <x:t xml:space="preserve">D-12</x:t>
        </x:is>
      </x:c>
      <x:c r="B20" s="125" t="inlineStr">
        <x:is>
          <x:t xml:space="preserve">Manual</x:t>
        </x:is>
      </x:c>
      <x:c r="C20" s="125" t="inlineStr">
        <x:is>
          <x:t xml:space="preserve">Dialog</x:t>
        </x:is>
      </x:c>
      <x:c r="D20" s="125" t="inlineStr">
        <x:is>
          <x:t xml:space="preserve">The complete component-owned manual protocol passed against every playground scenario.</x:t>
        </x:is>
      </x:c>
      <x:c r="E20" s="125" t="inlineStr">
        <x:is>
          <x:t xml:space="preserve">package</x:t>
        </x:is>
      </x:c>
      <x:c r="F20" s="125" t="inlineStr">
        <x:is>
          <x:t xml:space="preserve">manual</x:t>
        </x:is>
      </x:c>
      <x:c r="G20" s="125" t="inlineStr">
        <x:is>
          <x:t xml:space="preserve">manual-tests/dialog.md</x:t>
        </x:is>
      </x:c>
      <x:c r="H20" s="125" t="inlineStr">
        <x:is>
          <x:t xml:space="preserve">implemented</x:t>
        </x:is>
      </x:c>
      <x:c r="I20" s="125" t="inlineStr">
        <x:is>
          <x:t xml:space="preserve">yes</x:t>
        </x:is>
      </x:c>
      <x:c r="J20" s="141" t="n"/>
      <x:c r="K20" s="125" t="inlineStr">
        <x:is>
          <x:t xml:space="preserve">Human protocol remains pending. Automated and visual evidence stays in its owning tests and does not complete this human gate.</x:t>
        </x:is>
      </x:c>
      <x:c r="L20" s="125" t="n">
        <x:v>1</x:v>
      </x:c>
      <x:c r="M20" s="125" t="n">
        <x:f>IF(H20="not applicable",1,IF(I20="yes",IF(H20="verified",1,0),IF(OR(H20="tested",H20="verified"),1,0)))</x:f>
        <x:v>0</x:v>
      </x:c>
    </x:row>
    <x:row r="21" s="127" customFormat="1" ht="42" customHeight="1">
      <x:c r="A21" s="125" t="inlineStr">
        <x:is>
          <x:t xml:space="preserve">D-13</x:t>
        </x:is>
      </x:c>
      <x:c r="B21" s="125" t="inlineStr">
        <x:is>
          <x:t xml:space="preserve">Docs</x:t>
        </x:is>
      </x:c>
      <x:c r="C21" s="125" t="inlineStr">
        <x:is>
          <x:t xml:space="preserve">Dialog</x:t>
        </x:is>
      </x:c>
      <x:c r="D21" s="125" t="inlineStr">
        <x:is>
          <x:t xml:space="preserve">Public usage documentation exists at the component-owned path.</x:t>
        </x:is>
      </x:c>
      <x:c r="E21" s="125" t="inlineStr">
        <x:is>
          <x:t xml:space="preserve">package</x:t>
        </x:is>
      </x:c>
      <x:c r="F21" s="125" t="inlineStr">
        <x:is>
          <x:t xml:space="preserve">docs</x:t>
        </x:is>
      </x:c>
      <x:c r="G21" s="125" t="inlineStr">
        <x:is>
          <x:t xml:space="preserve">../docs/components/dialog/README.md</x:t>
        </x:is>
      </x:c>
      <x:c r="H21" s="125" t="inlineStr">
        <x:is>
          <x:t xml:space="preserve">tested</x:t>
        </x:is>
      </x:c>
      <x:c r="I21" s="125" t="inlineStr">
        <x:is>
          <x:t xml:space="preserve">no</x:t>
        </x:is>
      </x:c>
      <x:c r="J21" s="141" t="n">
        <x:v>46278</x:v>
      </x:c>
      <x:c r="L21" s="125" t="n">
        <x:v>1</x:v>
      </x:c>
      <x:c r="M21" s="125" t="n">
        <x:f>IF(H21="not applicable",1,IF(I21="yes",IF(H21="verified",1,0),IF(OR(H21="tested",H21="verified"),1,0)))</x:f>
        <x:v>1</x:v>
      </x:c>
    </x:row>
    <x:row r="22" s="127" customFormat="1" ht="42" customHeight="1">
      <x:c r="A22" s="125" t="inlineStr">
        <x:is>
          <x:t xml:space="preserve">D-14</x:t>
        </x:is>
      </x:c>
      <x:c r="B22" s="125" t="inlineStr">
        <x:is>
          <x:t xml:space="preserve">Changelog</x:t>
        </x:is>
      </x:c>
      <x:c r="C22" s="125" t="inlineStr">
        <x:is>
          <x:t xml:space="preserve">Dialog</x:t>
        </x:is>
      </x:c>
      <x:c r="D22" s="125" t="inlineStr">
        <x:is>
          <x:t xml:space="preserve">The component owns a public changelog.</x:t>
        </x:is>
      </x:c>
      <x:c r="E22" s="125" t="inlineStr">
        <x:is>
          <x:t xml:space="preserve">package</x:t>
        </x:is>
      </x:c>
      <x:c r="F22" s="125" t="inlineStr">
        <x:is>
          <x:t xml:space="preserve">docs</x:t>
        </x:is>
      </x:c>
      <x:c r="G22" s="125" t="inlineStr">
        <x:is>
          <x:t xml:space="preserve">../docs/components/dialog/CHANGELOG.md</x:t>
        </x:is>
      </x:c>
      <x:c r="H22" s="125" t="inlineStr">
        <x:is>
          <x:t xml:space="preserve">tested</x:t>
        </x:is>
      </x:c>
      <x:c r="I22" s="125" t="inlineStr">
        <x:is>
          <x:t xml:space="preserve">no</x:t>
        </x:is>
      </x:c>
      <x:c r="J22" s="141" t="n">
        <x:v>46278</x:v>
      </x:c>
      <x:c r="L22" s="125" t="n">
        <x:v>1</x:v>
      </x:c>
      <x:c r="M22" s="125" t="n">
        <x:f>IF(H22="not applicable",1,IF(I22="yes",IF(H22="verified",1,0),IF(OR(H22="tested",H22="verified"),1,0)))</x:f>
        <x:v>1</x:v>
      </x:c>
    </x:row>
    <x:row r="23" s="127" customFormat="1" ht="42" customHeight="1">
      <x:c r="A23" s="125" t="inlineStr">
        <x:is>
          <x:t xml:space="preserve">D-15</x:t>
        </x:is>
      </x:c>
      <x:c r="B23" s="125" t="inlineStr">
        <x:is>
          <x:t xml:space="preserve">Consumer</x:t>
        </x:is>
      </x:c>
      <x:c r="C23" s="125" t="inlineStr">
        <x:is>
          <x:t xml:space="preserve">Dialog</x:t>
        </x:is>
      </x:c>
      <x:c r="D23" s="125" t="inlineStr">
        <x:is>
          <x:t xml:space="preserve">The standalone consumer imports and exercises the public package component.</x:t>
        </x:is>
      </x:c>
      <x:c r="E23" s="125" t="inlineStr">
        <x:is>
          <x:t xml:space="preserve">consumer</x:t>
        </x:is>
      </x:c>
      <x:c r="F23" s="125" t="inlineStr">
        <x:is>
          <x:t xml:space="preserve">consumer</x:t>
        </x:is>
      </x:c>
      <x:c r="G23" s="125" t="inlineStr">
        <x:is>
          <x:t xml:space="preserve">../apps/consumer/src/App.tsx; ../apps/consumer/tests/consumer.spec.ts</x:t>
        </x:is>
      </x:c>
      <x:c r="H23" s="125" t="inlineStr">
        <x:is>
          <x:t xml:space="preserve">partial</x:t>
        </x:is>
      </x:c>
      <x:c r="I23" s="125" t="inlineStr">
        <x:is>
          <x:t xml:space="preserve">no</x:t>
        </x:is>
      </x:c>
      <x:c r="J23" s="141" t="n">
        <x:v>46227</x:v>
      </x:c>
      <x:c r="K23" s="138" t="inlineStr">
        <x:is>
          <x:t xml:space="preserve">Build and package check passed; clean consumer and release qualification not repeated.</x:t>
        </x:is>
      </x:c>
      <x:c r="L23" s="125" t="n">
        <x:v>1</x:v>
      </x:c>
      <x:c r="M23" s="125" t="n">
        <x:f>IF(H23="not applicable",1,IF(I23="yes",IF(H23="verified",1,0),IF(OR(H23="tested",H23="verified"),1,0)))</x:f>
        <x:v>0</x:v>
      </x:c>
    </x:row>
    <x:row r="24" s="127" customFormat="1" ht="42" customHeight="1">
      <x:c r="A24" s="125" t="inlineStr">
        <x:is>
          <x:t xml:space="preserve">D-16</x:t>
        </x:is>
      </x:c>
      <x:c r="B24" s="125" t="inlineStr">
        <x:is>
          <x:t xml:space="preserve">Package</x:t>
        </x:is>
      </x:c>
      <x:c r="C24" s="125" t="inlineStr">
        <x:is>
          <x:t xml:space="preserve">Dialog</x:t>
        </x:is>
      </x:c>
      <x:c r="D24" s="125" t="inlineStr">
        <x:is>
          <x:t xml:space="preserve">Build, exports, tarball, CSS, and consumer boundary verification pass.</x:t>
        </x:is>
      </x:c>
      <x:c r="E24" s="125" t="inlineStr">
        <x:is>
          <x:t xml:space="preserve">package</x:t>
        </x:is>
      </x:c>
      <x:c r="F24" s="125" t="inlineStr">
        <x:is>
          <x:t xml:space="preserve">package</x:t>
        </x:is>
      </x:c>
      <x:c r="G24" s="125" t="inlineStr">
        <x:is>
          <x:t xml:space="preserve">../scripts/verify-package.mjs; ../scripts/verify-consumers.mjs</x:t>
        </x:is>
      </x:c>
      <x:c r="H24" s="125" t="inlineStr">
        <x:is>
          <x:t xml:space="preserve">partial</x:t>
        </x:is>
      </x:c>
      <x:c r="I24" s="125" t="inlineStr">
        <x:is>
          <x:t xml:space="preserve">no</x:t>
        </x:is>
      </x:c>
      <x:c r="J24" s="141" t="n">
        <x:v>46227</x:v>
      </x:c>
      <x:c r="K24" s="138" t="inlineStr">
        <x:is>
          <x:t xml:space="preserve">Build and package check passed; clean consumer and release qualification not repeated.</x:t>
        </x:is>
      </x:c>
      <x:c r="L24" s="125" t="n">
        <x:v>1</x:v>
      </x:c>
      <x:c r="M24" s="125" t="n">
        <x:f>IF(H24="not applicable",1,IF(I24="yes",IF(H24="verified",1,0),IF(OR(H24="tested",H24="verified"),1,0)))</x:f>
        <x:v>0</x:v>
      </x:c>
    </x:row>
  </x:sheetData>
  <x:mergeCells>
    <x:mergeCell ref="A2:M2"/>
    <x:mergeCell ref="A1:M1"/>
  </x:mergeCells>
  <x:conditionalFormatting sqref="H9:H24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1" showDropDown="0" showInputMessage="1" showErrorMessage="1" sqref="H9:H24">
      <x:formula1>"not started,partial,implemented,tested,verified,blocked,not applicable"</x:formula1>
      <x:formula2>0</x:formula2>
    </x:dataValidation>
    <x:dataValidation type="list" errorStyle="stop" operator="between" allowBlank="1" showDropDown="0" showInputMessage="1" showErrorMessage="1" sqref="I9:I24">
      <x:formula1>"yes,no"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bd6078dd2dc41c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Drawer Evidence</x:t>
        </x:is>
      </x:c>
    </x:row>
    <x:row r="2" s="127" customFormat="1" ht="27.75" customHeight="1">
      <x:c r="A2" s="129" t="inlineStr">
        <x:is>
          <x:t xml:space="preserve">Assertion-level package, browser, human-review, documentation, and consumer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COUNTA(A9:A24)</x:f>
        <x:v>16</x:v>
      </x:c>
      <x:c r="D4" s="130" t="inlineStr">
        <x:is>
          <x:t xml:space="preserve">Resolved</x:t>
        </x:is>
      </x:c>
      <x:c r="E4" s="131" t="n">
        <x:f>SUM(M9:M24)</x:f>
        <x:v>11</x:v>
      </x:c>
      <x:c r="G4" s="130" t="inlineStr">
        <x:is>
          <x:t xml:space="preserve">Completion</x:t>
        </x:is>
      </x:c>
      <x:c r="H4" s="132" t="n">
        <x:f>IF(B4=0,0,E4/B4)</x:f>
        <x:v>0.6875</x:v>
      </x:c>
      <x:c r="J4" s="130" t="inlineStr">
        <x:is>
          <x:t xml:space="preserve">Package gate</x:t>
        </x:is>
      </x:c>
      <x:c r="K4" s="131" t="inlineStr">
        <x:is>
          <x:t xml:space="preserve">open</x:t>
        </x:is>
      </x:c>
    </x:row>
    <x:row r="5" s="127" customFormat="1" ht="17.25" customHeight="1">
      <x:c r="A5" s="130" t="inlineStr">
        <x:is>
          <x:t xml:space="preserve">Manual review</x:t>
        </x:is>
      </x:c>
      <x:c r="B5" s="131" t="inlineStr">
        <x:is>
          <x:t xml:space="preserve">pending</x:t>
        </x:is>
      </x:c>
      <x:c r="D5" s="130" t="inlineStr">
        <x:is>
          <x:t xml:space="preserve">Consumer gate</x:t>
        </x:is>
      </x:c>
      <x:c r="E5" s="131" t="inlineStr">
        <x:is>
          <x:t xml:space="preserve">open</x:t>
        </x:is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60" customHeight="1">
      <x:c r="A9" s="125" t="inlineStr">
        <x:is>
          <x:t xml:space="preserve">D-01</x:t>
        </x:is>
      </x:c>
      <x:c r="B9" s="125" t="inlineStr">
        <x:is>
          <x:t xml:space="preserve">Implementation</x:t>
        </x:is>
      </x:c>
      <x:c r="C9" s="125" t="inlineStr">
        <x:is>
          <x:t xml:space="preserve">Drawer</x:t>
        </x:is>
      </x:c>
      <x:c r="D9" s="144" t="inlineStr">
        <x:is>
          <x:t xml:space="preserve">Positioner, Context, retained state and nonmodal policies.</x:t>
        </x:is>
      </x:c>
      <x:c r="E9" s="144" t="inlineStr">
        <x:is>
          <x:t xml:space="preserve">package</x:t>
        </x:is>
      </x:c>
      <x:c r="F9" s="144" t="inlineStr">
        <x:is>
          <x:t xml:space="preserve">source</x:t>
        </x:is>
      </x:c>
      <x:c r="G9" s="144" t="inlineStr">
        <x:is>
          <x:t xml:space="preserve">../src/components/drawer</x:t>
        </x:is>
      </x:c>
      <x:c r="H9" s="144" t="inlineStr">
        <x:is>
          <x:t xml:space="preserve">tested</x:t>
        </x:is>
      </x:c>
      <x:c r="I9" s="144" t="inlineStr">
        <x:is>
          <x:t xml:space="preserve">no</x:t>
        </x:is>
      </x:c>
      <x:c r="J9" s="145" t="n">
        <x:v>46278</x:v>
      </x:c>
      <x:c r="K9" s="146" t="n"/>
      <x:c r="L9" s="144" t="n">
        <x:v>1</x:v>
      </x:c>
      <x:c r="M9" s="144" t="n">
        <x:f>IF(H9="not applicable",1,IF(I9="yes",IF(H9="verified",1,0),IF(OR(H9="tested",H9="verified"),1,0)))</x:f>
        <x:v>1</x:v>
      </x:c>
    </x:row>
    <x:row r="10" s="127" customFormat="1" ht="60" customHeight="1">
      <x:c r="A10" s="125" t="inlineStr">
        <x:is>
          <x:t xml:space="preserve">D-02</x:t>
        </x:is>
      </x:c>
      <x:c r="B10" s="125" t="inlineStr">
        <x:is>
          <x:t xml:space="preserve">Exports</x:t>
        </x:is>
      </x:c>
      <x:c r="C10" s="125" t="inlineStr">
        <x:is>
          <x:t xml:space="preserve">Drawer</x:t>
        </x:is>
      </x:c>
      <x:c r="D10" s="144" t="inlineStr">
        <x:is>
          <x:t xml:space="preserve">Root and public subpath exports expose the component.</x:t>
        </x:is>
      </x:c>
      <x:c r="E10" s="144" t="inlineStr">
        <x:is>
          <x:t xml:space="preserve">package</x:t>
        </x:is>
      </x:c>
      <x:c r="F10" s="144" t="inlineStr">
        <x:is>
          <x:t xml:space="preserve">package</x:t>
        </x:is>
      </x:c>
      <x:c r="G10" s="144" t="inlineStr">
        <x:is>
          <x:t xml:space="preserve">../test/package/package.test.mjs</x:t>
        </x:is>
      </x:c>
      <x:c r="H10" s="144" t="inlineStr">
        <x:is>
          <x:t xml:space="preserve">tested</x:t>
        </x:is>
      </x:c>
      <x:c r="I10" s="144" t="inlineStr">
        <x:is>
          <x:t xml:space="preserve">no</x:t>
        </x:is>
      </x:c>
      <x:c r="J10" s="145" t="n">
        <x:v>46278</x:v>
      </x:c>
      <x:c r="K10" s="146" t="n"/>
      <x:c r="L10" s="144" t="n">
        <x:v>1</x:v>
      </x:c>
      <x:c r="M10" s="144" t="n">
        <x:f>IF(H10="not applicable",1,IF(I10="yes",IF(H10="verified",1,0),IF(OR(H10="tested",H10="verified"),1,0)))</x:f>
        <x:v>1</x:v>
      </x:c>
    </x:row>
    <x:row r="11" s="127" customFormat="1" ht="60" customHeight="1">
      <x:c r="A11" s="125" t="inlineStr">
        <x:is>
          <x:t xml:space="preserve">D-03</x:t>
        </x:is>
      </x:c>
      <x:c r="B11" s="125" t="inlineStr">
        <x:is>
          <x:t xml:space="preserve">Types</x:t>
        </x:is>
      </x:c>
      <x:c r="C11" s="125" t="inlineStr">
        <x:is>
          <x:t xml:space="preserve">Drawer</x:t>
        </x:is>
      </x:c>
      <x:c r="D11" s="144" t="inlineStr">
        <x:is>
          <x:t xml:space="preserve">Public props, refs, composition branches, and invalid cases type-check.</x:t>
        </x:is>
      </x:c>
      <x:c r="E11" s="144" t="inlineStr">
        <x:is>
          <x:t xml:space="preserve">package</x:t>
        </x:is>
      </x:c>
      <x:c r="F11" s="144" t="inlineStr">
        <x:is>
          <x:t xml:space="preserve">types</x:t>
        </x:is>
      </x:c>
      <x:c r="G11" s="144" t="inlineStr">
        <x:is>
          <x:t xml:space="preserve">../test/types/components/drawer.test.ts</x:t>
        </x:is>
      </x:c>
      <x:c r="H11" s="144" t="inlineStr">
        <x:is>
          <x:t xml:space="preserve">tested</x:t>
        </x:is>
      </x:c>
      <x:c r="I11" s="144" t="inlineStr">
        <x:is>
          <x:t xml:space="preserve">no</x:t>
        </x:is>
      </x:c>
      <x:c r="J11" s="145" t="n">
        <x:v>46278</x:v>
      </x:c>
      <x:c r="K11" s="146" t="n"/>
      <x:c r="L11" s="144" t="n">
        <x:v>1</x:v>
      </x:c>
      <x:c r="M11" s="144" t="n">
        <x:f>IF(H11="not applicable",1,IF(I11="yes",IF(H11="verified",1,0),IF(OR(H11="tested",H11="verified"),1,0)))</x:f>
        <x:v>1</x:v>
      </x:c>
    </x:row>
    <x:row r="12" s="127" customFormat="1" ht="60" customHeight="1">
      <x:c r="A12" s="125" t="inlineStr">
        <x:is>
          <x:t xml:space="preserve">D-04</x:t>
        </x:is>
      </x:c>
      <x:c r="B12" s="125" t="inlineStr">
        <x:is>
          <x:t xml:space="preserve">CSS</x:t>
        </x:is>
      </x:c>
      <x:c r="C12" s="125" t="inlineStr">
        <x:is>
          <x:t xml:space="preserve">Drawer</x:t>
        </x:is>
      </x:c>
      <x:c r="D12" s="144" t="inlineStr">
        <x:is>
          <x:t xml:space="preserve">Six sizes, responsive edges, inset and shared dialog styling.</x:t>
        </x:is>
      </x:c>
      <x:c r="E12" s="144" t="inlineStr">
        <x:is>
          <x:t xml:space="preserve">package</x:t>
        </x:is>
      </x:c>
      <x:c r="F12" s="144" t="inlineStr">
        <x:is>
          <x:t xml:space="preserve">css</x:t>
        </x:is>
      </x:c>
      <x:c r="G12" s="144" t="inlineStr">
        <x:is>
          <x:t xml:space="preserve">../src/components/drawer/drawer.css</x:t>
        </x:is>
      </x:c>
      <x:c r="H12" s="144" t="inlineStr">
        <x:is>
          <x:t xml:space="preserve">tested</x:t>
        </x:is>
      </x:c>
      <x:c r="I12" s="144" t="inlineStr">
        <x:is>
          <x:t xml:space="preserve">no</x:t>
        </x:is>
      </x:c>
      <x:c r="J12" s="145" t="n">
        <x:v>46278</x:v>
      </x:c>
      <x:c r="K12" s="146" t="n"/>
      <x:c r="L12" s="144" t="n">
        <x:v>1</x:v>
      </x:c>
      <x:c r="M12" s="144" t="n">
        <x:f>IF(H12="not applicable",1,IF(I12="yes",IF(H12="verified",1,0),IF(OR(H12="tested",H12="verified"),1,0)))</x:f>
        <x:v>1</x:v>
      </x:c>
    </x:row>
    <x:row r="13" s="127" customFormat="1" ht="60" customHeight="1">
      <x:c r="A13" s="125" t="inlineStr">
        <x:is>
          <x:t xml:space="preserve">D-05</x:t>
        </x:is>
      </x:c>
      <x:c r="B13" s="125" t="inlineStr">
        <x:is>
          <x:t xml:space="preserve">Unit</x:t>
        </x:is>
      </x:c>
      <x:c r="C13" s="125" t="inlineStr">
        <x:is>
          <x:t xml:space="preserve">Drawer</x:t>
        </x:is>
      </x:c>
      <x:c r="D13" s="144" t="inlineStr">
        <x:is>
          <x:t xml:space="preserve">Brick-owned DOM, recipes, adapters, and public hooks pass focused tests.</x:t>
        </x:is>
      </x:c>
      <x:c r="E13" s="144" t="inlineStr">
        <x:is>
          <x:t xml:space="preserve">package</x:t>
        </x:is>
      </x:c>
      <x:c r="F13" s="144" t="inlineStr">
        <x:is>
          <x:t xml:space="preserve">component</x:t>
        </x:is>
      </x:c>
      <x:c r="G13" s="144" t="inlineStr">
        <x:is>
          <x:t xml:space="preserve">../test/components/drawer/drawer.test.tsx</x:t>
        </x:is>
      </x:c>
      <x:c r="H13" s="144" t="inlineStr">
        <x:is>
          <x:t xml:space="preserve">tested</x:t>
        </x:is>
      </x:c>
      <x:c r="I13" s="144" t="inlineStr">
        <x:is>
          <x:t xml:space="preserve">no</x:t>
        </x:is>
      </x:c>
      <x:c r="J13" s="145" t="n">
        <x:v>46278</x:v>
      </x:c>
      <x:c r="K13" s="146" t="n"/>
      <x:c r="L13" s="144" t="n">
        <x:v>1</x:v>
      </x:c>
      <x:c r="M13" s="144" t="n">
        <x:f>IF(H13="not applicable",1,IF(I13="yes",IF(H13="verified",1,0),IF(OR(H13="tested",H13="verified"),1,0)))</x:f>
        <x:v>1</x:v>
      </x:c>
    </x:row>
    <x:row r="14" s="127" customFormat="1" ht="60" customHeight="1">
      <x:c r="A14" s="125" t="inlineStr">
        <x:is>
          <x:t xml:space="preserve">D-06</x:t>
        </x:is>
      </x:c>
      <x:c r="B14" s="125" t="inlineStr">
        <x:is>
          <x:t xml:space="preserve">Browser</x:t>
        </x:is>
      </x:c>
      <x:c r="C14" s="125" t="inlineStr">
        <x:is>
          <x:t xml:space="preserve">Drawer</x:t>
        </x:is>
      </x:c>
      <x:c r="D14" s="144" t="inlineStr">
        <x:is>
          <x:t xml:space="preserve">Real-browser behavior and component contract checks pass.</x:t>
        </x:is>
      </x:c>
      <x:c r="E14" s="144" t="inlineStr">
        <x:is>
          <x:t xml:space="preserve">package</x:t>
        </x:is>
      </x:c>
      <x:c r="F14" s="144" t="inlineStr">
        <x:is>
          <x:t xml:space="preserve">browser</x:t>
        </x:is>
      </x:c>
      <x:c r="G14" s="144" t="inlineStr">
        <x:is>
          <x:t xml:space="preserve">tests/components/drawer/behavior.spec.ts; tests/components/drawer/parity.spec.ts</x:t>
        </x:is>
      </x:c>
      <x:c r="H14" s="144" t="inlineStr">
        <x:is>
          <x:t xml:space="preserve">tested</x:t>
        </x:is>
      </x:c>
      <x:c r="I14" s="144" t="inlineStr">
        <x:is>
          <x:t xml:space="preserve">no</x:t>
        </x:is>
      </x:c>
      <x:c r="J14" s="145" t="n">
        <x:v>46278</x:v>
      </x:c>
      <x:c r="K14" s="146" t="n"/>
      <x:c r="L14" s="144" t="n">
        <x:v>1</x:v>
      </x:c>
      <x:c r="M14" s="144" t="n">
        <x:f>IF(H14="not applicable",1,IF(I14="yes",IF(H14="verified",1,0),IF(OR(H14="tested",H14="verified"),1,0)))</x:f>
        <x:v>1</x:v>
      </x:c>
    </x:row>
    <x:row r="15" s="127" customFormat="1" ht="60" customHeight="1">
      <x:c r="A15" s="125" t="inlineStr">
        <x:is>
          <x:t xml:space="preserve">D-07</x:t>
        </x:is>
      </x:c>
      <x:c r="B15" s="125" t="inlineStr">
        <x:is>
          <x:t xml:space="preserve">Accessibility</x:t>
        </x:is>
      </x:c>
      <x:c r="C15" s="125" t="inlineStr">
        <x:is>
          <x:t xml:space="preserve">Drawer</x:t>
        </x:is>
      </x:c>
      <x:c r="D15" s="144" t="inlineStr">
        <x:is>
          <x:t xml:space="preserve">Automated semantics and accessibility checks pass in the browser evidence suite.</x:t>
        </x:is>
      </x:c>
      <x:c r="E15" s="144" t="inlineStr">
        <x:is>
          <x:t xml:space="preserve">package</x:t>
        </x:is>
      </x:c>
      <x:c r="F15" s="144" t="inlineStr">
        <x:is>
          <x:t xml:space="preserve">axe</x:t>
        </x:is>
      </x:c>
      <x:c r="G15" s="144" t="inlineStr">
        <x:is>
          <x:t xml:space="preserve">tests/components/drawer/behavior.spec.ts; tests/integration</x:t>
        </x:is>
      </x:c>
      <x:c r="H15" s="144" t="inlineStr">
        <x:is>
          <x:t xml:space="preserve">tested</x:t>
        </x:is>
      </x:c>
      <x:c r="I15" s="144" t="inlineStr">
        <x:is>
          <x:t xml:space="preserve">no</x:t>
        </x:is>
      </x:c>
      <x:c r="J15" s="145" t="n">
        <x:v>46278</x:v>
      </x:c>
      <x:c r="K15" s="146" t="n"/>
      <x:c r="L15" s="144" t="n">
        <x:v>1</x:v>
      </x:c>
      <x:c r="M15" s="144" t="n">
        <x:f>IF(H15="not applicable",1,IF(I15="yes",IF(H15="verified",1,0),IF(OR(H15="tested",H15="verified"),1,0)))</x:f>
        <x:v>1</x:v>
      </x:c>
    </x:row>
    <x:row r="16" s="127" customFormat="1" ht="60" customHeight="1">
      <x:c r="A16" s="125" t="inlineStr">
        <x:is>
          <x:t xml:space="preserve">D-08</x:t>
        </x:is>
      </x:c>
      <x:c r="B16" s="125" t="inlineStr">
        <x:is>
          <x:t xml:space="preserve">Visual</x:t>
        </x:is>
      </x:c>
      <x:c r="C16" s="125" t="inlineStr">
        <x:is>
          <x:t xml:space="preserve">Drawer</x:t>
        </x:is>
      </x:c>
      <x:c r="D16" s="144" t="inlineStr">
        <x:is>
          <x:t xml:space="preserve">Reviewed baselines cover the component's risk-selected recipes and states.</x:t>
        </x:is>
      </x:c>
      <x:c r="E16" s="144" t="inlineStr">
        <x:is>
          <x:t xml:space="preserve">package</x:t>
        </x:is>
      </x:c>
      <x:c r="F16" s="144" t="inlineStr">
        <x:is>
          <x:t xml:space="preserve">visual</x:t>
        </x:is>
      </x:c>
      <x:c r="G16" s="144" t="inlineStr">
        <x:is>
          <x:t xml:space="preserve">tests/components/drawer/visual.spec.ts</x:t>
        </x:is>
      </x:c>
      <x:c r="H16" s="144" t="inlineStr">
        <x:is>
          <x:t xml:space="preserve">tested</x:t>
        </x:is>
      </x:c>
      <x:c r="I16" s="144" t="inlineStr">
        <x:is>
          <x:t xml:space="preserve">yes</x:t>
        </x:is>
      </x:c>
      <x:c r="J16" s="145" t="n">
        <x:v>46278</x:v>
      </x:c>
      <x:c r="K16" s="144" t="inlineStr">
        <x:is>
          <x:t xml:space="preserve">Changed recipes need owner visual approval; prior approval does not transfer.</x:t>
        </x:is>
      </x:c>
      <x:c r="L16" s="144" t="n">
        <x:v>1</x:v>
      </x:c>
      <x:c r="M16" s="144" t="n">
        <x:f>IF(H16="not applicable",1,IF(I16="yes",IF(H16="verified",1,0),IF(OR(H16="tested",H16="verified"),1,0)))</x:f>
        <x:v>0</x:v>
      </x:c>
    </x:row>
    <x:row r="17" s="127" customFormat="1" ht="60" customHeight="1">
      <x:c r="A17" s="125" t="inlineStr">
        <x:is>
          <x:t xml:space="preserve">D-09</x:t>
        </x:is>
      </x:c>
      <x:c r="B17" s="125" t="inlineStr">
        <x:is>
          <x:t xml:space="preserve">Responsive</x:t>
        </x:is>
      </x:c>
      <x:c r="C17" s="125" t="inlineStr">
        <x:is>
          <x:t xml:space="preserve">Drawer</x:t>
        </x:is>
      </x:c>
      <x:c r="D17" s="144" t="inlineStr">
        <x:is>
          <x:t xml:space="preserve">Mobile, zoom/reflow, content stress, and RTL remain usable and contained.</x:t>
        </x:is>
      </x:c>
      <x:c r="E17" s="144" t="inlineStr">
        <x:is>
          <x:t xml:space="preserve">package</x:t>
        </x:is>
      </x:c>
      <x:c r="F17" s="144" t="inlineStr">
        <x:is>
          <x:t xml:space="preserve">manual</x:t>
        </x:is>
      </x:c>
      <x:c r="G17" s="144" t="inlineStr">
        <x:is>
          <x:t xml:space="preserve">manual-tests/drawer.md</x:t>
        </x:is>
      </x:c>
      <x:c r="H17" s="144" t="inlineStr">
        <x:is>
          <x:t xml:space="preserve">implemented</x:t>
        </x:is>
      </x:c>
      <x:c r="I17" s="144" t="inlineStr">
        <x:is>
          <x:t xml:space="preserve">yes</x:t>
        </x:is>
      </x:c>
      <x:c r="J17" s="145" t="n"/>
      <x:c r="K17" s="144" t="inlineStr">
        <x:is>
          <x:t xml:space="preserve">Human protocol remains pending. Automated and visual evidence stays in its owning tests and does not complete this human gate.</x:t>
        </x:is>
      </x:c>
      <x:c r="L17" s="144" t="n">
        <x:v>1</x:v>
      </x:c>
      <x:c r="M17" s="144" t="n">
        <x:f>IF(H17="not applicable",1,IF(I17="yes",IF(H17="verified",1,0),IF(OR(H17="tested",H17="verified"),1,0)))</x:f>
        <x:v>0</x:v>
      </x:c>
    </x:row>
    <x:row r="18" s="127" customFormat="1" ht="60" customHeight="1">
      <x:c r="A18" s="125" t="inlineStr">
        <x:is>
          <x:t xml:space="preserve">D-10</x:t>
        </x:is>
      </x:c>
      <x:c r="B18" s="125" t="inlineStr">
        <x:is>
          <x:t xml:space="preserve">Theme</x:t>
        </x:is>
      </x:c>
      <x:c r="C18" s="125" t="inlineStr">
        <x:is>
          <x:t xml:space="preserve">Drawer</x:t>
        </x:is>
      </x:c>
      <x:c r="D18" s="144" t="inlineStr">
        <x:is>
          <x:t xml:space="preserve">Light, dark, focus, forced-colors, and relevant motion behavior remain perceivable.</x:t>
        </x:is>
      </x:c>
      <x:c r="E18" s="144" t="inlineStr">
        <x:is>
          <x:t xml:space="preserve">package</x:t>
        </x:is>
      </x:c>
      <x:c r="F18" s="144" t="inlineStr">
        <x:is>
          <x:t xml:space="preserve">manual</x:t>
        </x:is>
      </x:c>
      <x:c r="G18" s="144" t="inlineStr">
        <x:is>
          <x:t xml:space="preserve">manual-tests/drawer.md</x:t>
        </x:is>
      </x:c>
      <x:c r="H18" s="144" t="inlineStr">
        <x:is>
          <x:t xml:space="preserve">implemented</x:t>
        </x:is>
      </x:c>
      <x:c r="I18" s="144" t="inlineStr">
        <x:is>
          <x:t xml:space="preserve">yes</x:t>
        </x:is>
      </x:c>
      <x:c r="J18" s="145" t="n"/>
      <x:c r="K18" s="144" t="inlineStr">
        <x:is>
          <x:t xml:space="preserve">Human protocol remains pending. Automated and visual evidence stays in its owning tests and does not complete this human gate.</x:t>
        </x:is>
      </x:c>
      <x:c r="L18" s="144" t="n">
        <x:v>1</x:v>
      </x:c>
      <x:c r="M18" s="144" t="n">
        <x:f>IF(H18="not applicable",1,IF(I18="yes",IF(H18="verified",1,0),IF(OR(H18="tested",H18="verified"),1,0)))</x:f>
        <x:v>0</x:v>
      </x:c>
    </x:row>
    <x:row r="19" s="127" customFormat="1" ht="60" customHeight="1">
      <x:c r="A19" s="125" t="inlineStr">
        <x:is>
          <x:t xml:space="preserve">D-11</x:t>
        </x:is>
      </x:c>
      <x:c r="B19" s="125" t="inlineStr">
        <x:is>
          <x:t xml:space="preserve">Composition</x:t>
        </x:is>
      </x:c>
      <x:c r="C19" s="125" t="inlineStr">
        <x:is>
          <x:t xml:space="preserve">Drawer</x:t>
        </x:is>
      </x:c>
      <x:c r="D19" s="144" t="inlineStr">
        <x:is>
          <x:t xml:space="preserve">Default, render, and asChild output preserve the intended element, slots, state, and relationships.</x:t>
        </x:is>
      </x:c>
      <x:c r="E19" s="144" t="inlineStr">
        <x:is>
          <x:t xml:space="preserve">package</x:t>
        </x:is>
      </x:c>
      <x:c r="F19" s="144" t="inlineStr">
        <x:is>
          <x:t xml:space="preserve">manual</x:t>
        </x:is>
      </x:c>
      <x:c r="G19" s="144" t="inlineStr">
        <x:is>
          <x:t xml:space="preserve">manual-tests/drawer.md; tests/components/drawer/behavior.spec.ts</x:t>
        </x:is>
      </x:c>
      <x:c r="H19" s="144" t="inlineStr">
        <x:is>
          <x:t xml:space="preserve">implemented</x:t>
        </x:is>
      </x:c>
      <x:c r="I19" s="144" t="inlineStr">
        <x:is>
          <x:t xml:space="preserve">yes</x:t>
        </x:is>
      </x:c>
      <x:c r="J19" s="145" t="n"/>
      <x:c r="K19" s="144" t="inlineStr">
        <x:is>
          <x:t xml:space="preserve">Human protocol remains pending. Automated and visual evidence stays in its owning tests and does not complete this human gate.</x:t>
        </x:is>
      </x:c>
      <x:c r="L19" s="144" t="n">
        <x:v>1</x:v>
      </x:c>
      <x:c r="M19" s="144" t="n">
        <x:f>IF(H19="not applicable",1,IF(I19="yes",IF(H19="verified",1,0),IF(OR(H19="tested",H19="verified"),1,0)))</x:f>
        <x:v>0</x:v>
      </x:c>
    </x:row>
    <x:row r="20" s="127" customFormat="1" ht="60" customHeight="1">
      <x:c r="A20" s="125" t="inlineStr">
        <x:is>
          <x:t xml:space="preserve">D-12</x:t>
        </x:is>
      </x:c>
      <x:c r="B20" s="125" t="inlineStr">
        <x:is>
          <x:t xml:space="preserve">Manual</x:t>
        </x:is>
      </x:c>
      <x:c r="C20" s="125" t="inlineStr">
        <x:is>
          <x:t xml:space="preserve">Drawer</x:t>
        </x:is>
      </x:c>
      <x:c r="D20" s="144" t="inlineStr">
        <x:is>
          <x:t xml:space="preserve">The complete component-owned manual protocol passed against every playground scenario.</x:t>
        </x:is>
      </x:c>
      <x:c r="E20" s="144" t="inlineStr">
        <x:is>
          <x:t xml:space="preserve">package</x:t>
        </x:is>
      </x:c>
      <x:c r="F20" s="144" t="inlineStr">
        <x:is>
          <x:t xml:space="preserve">manual</x:t>
        </x:is>
      </x:c>
      <x:c r="G20" s="144" t="inlineStr">
        <x:is>
          <x:t xml:space="preserve">manual-tests/drawer.md</x:t>
        </x:is>
      </x:c>
      <x:c r="H20" s="144" t="inlineStr">
        <x:is>
          <x:t xml:space="preserve">implemented</x:t>
        </x:is>
      </x:c>
      <x:c r="I20" s="144" t="inlineStr">
        <x:is>
          <x:t xml:space="preserve">yes</x:t>
        </x:is>
      </x:c>
      <x:c r="J20" s="145" t="n"/>
      <x:c r="K20" s="144" t="inlineStr">
        <x:is>
          <x:t xml:space="preserve">Human protocol remains pending. Automated and visual evidence stays in its owning tests and does not complete this human gate.</x:t>
        </x:is>
      </x:c>
      <x:c r="L20" s="144" t="n">
        <x:v>1</x:v>
      </x:c>
      <x:c r="M20" s="144" t="n">
        <x:f>IF(H20="not applicable",1,IF(I20="yes",IF(H20="verified",1,0),IF(OR(H20="tested",H20="verified"),1,0)))</x:f>
        <x:v>0</x:v>
      </x:c>
    </x:row>
    <x:row r="21" s="127" customFormat="1" ht="60" customHeight="1">
      <x:c r="A21" s="125" t="inlineStr">
        <x:is>
          <x:t xml:space="preserve">D-13</x:t>
        </x:is>
      </x:c>
      <x:c r="B21" s="125" t="inlineStr">
        <x:is>
          <x:t xml:space="preserve">Docs</x:t>
        </x:is>
      </x:c>
      <x:c r="C21" s="125" t="inlineStr">
        <x:is>
          <x:t xml:space="preserve">Drawer</x:t>
        </x:is>
      </x:c>
      <x:c r="D21" s="144" t="inlineStr">
        <x:is>
          <x:t xml:space="preserve">Public usage documentation exists at the component-owned path.</x:t>
        </x:is>
      </x:c>
      <x:c r="E21" s="144" t="inlineStr">
        <x:is>
          <x:t xml:space="preserve">package</x:t>
        </x:is>
      </x:c>
      <x:c r="F21" s="144" t="inlineStr">
        <x:is>
          <x:t xml:space="preserve">docs</x:t>
        </x:is>
      </x:c>
      <x:c r="G21" s="144" t="inlineStr">
        <x:is>
          <x:t xml:space="preserve">../docs/components/drawer/README.md</x:t>
        </x:is>
      </x:c>
      <x:c r="H21" s="144" t="inlineStr">
        <x:is>
          <x:t xml:space="preserve">tested</x:t>
        </x:is>
      </x:c>
      <x:c r="I21" s="144" t="inlineStr">
        <x:is>
          <x:t xml:space="preserve">no</x:t>
        </x:is>
      </x:c>
      <x:c r="J21" s="145" t="n">
        <x:v>46278</x:v>
      </x:c>
      <x:c r="K21" s="146" t="n"/>
      <x:c r="L21" s="144" t="n">
        <x:v>1</x:v>
      </x:c>
      <x:c r="M21" s="144" t="n">
        <x:f>IF(H21="not applicable",1,IF(I21="yes",IF(H21="verified",1,0),IF(OR(H21="tested",H21="verified"),1,0)))</x:f>
        <x:v>1</x:v>
      </x:c>
    </x:row>
    <x:row r="22" s="127" customFormat="1" ht="60" customHeight="1">
      <x:c r="A22" s="125" t="inlineStr">
        <x:is>
          <x:t xml:space="preserve">D-14</x:t>
        </x:is>
      </x:c>
      <x:c r="B22" s="125" t="inlineStr">
        <x:is>
          <x:t xml:space="preserve">Changelog</x:t>
        </x:is>
      </x:c>
      <x:c r="C22" s="125" t="inlineStr">
        <x:is>
          <x:t xml:space="preserve">Drawer</x:t>
        </x:is>
      </x:c>
      <x:c r="D22" s="144" t="inlineStr">
        <x:is>
          <x:t xml:space="preserve">The component owns a public changelog.</x:t>
        </x:is>
      </x:c>
      <x:c r="E22" s="144" t="inlineStr">
        <x:is>
          <x:t xml:space="preserve">package</x:t>
        </x:is>
      </x:c>
      <x:c r="F22" s="144" t="inlineStr">
        <x:is>
          <x:t xml:space="preserve">docs</x:t>
        </x:is>
      </x:c>
      <x:c r="G22" s="144" t="inlineStr">
        <x:is>
          <x:t xml:space="preserve">../docs/components/drawer/CHANGELOG.md</x:t>
        </x:is>
      </x:c>
      <x:c r="H22" s="144" t="inlineStr">
        <x:is>
          <x:t xml:space="preserve">tested</x:t>
        </x:is>
      </x:c>
      <x:c r="I22" s="144" t="inlineStr">
        <x:is>
          <x:t xml:space="preserve">no</x:t>
        </x:is>
      </x:c>
      <x:c r="J22" s="145" t="n">
        <x:v>46278</x:v>
      </x:c>
      <x:c r="K22" s="146" t="n"/>
      <x:c r="L22" s="144" t="n">
        <x:v>1</x:v>
      </x:c>
      <x:c r="M22" s="144" t="n">
        <x:f>IF(H22="not applicable",1,IF(I22="yes",IF(H22="verified",1,0),IF(OR(H22="tested",H22="verified"),1,0)))</x:f>
        <x:v>1</x:v>
      </x:c>
    </x:row>
    <x:row r="23" s="127" customFormat="1" ht="60" customHeight="1">
      <x:c r="A23" s="125" t="inlineStr">
        <x:is>
          <x:t xml:space="preserve">D-15</x:t>
        </x:is>
      </x:c>
      <x:c r="B23" s="125" t="inlineStr">
        <x:is>
          <x:t xml:space="preserve">Consumer</x:t>
        </x:is>
      </x:c>
      <x:c r="C23" s="125" t="inlineStr">
        <x:is>
          <x:t xml:space="preserve">Drawer</x:t>
        </x:is>
      </x:c>
      <x:c r="D23" s="144" t="inlineStr">
        <x:is>
          <x:t xml:space="preserve">The standalone consumer imports and exercises the public package component.</x:t>
        </x:is>
      </x:c>
      <x:c r="E23" s="144" t="inlineStr">
        <x:is>
          <x:t xml:space="preserve">consumer</x:t>
        </x:is>
      </x:c>
      <x:c r="F23" s="144" t="inlineStr">
        <x:is>
          <x:t xml:space="preserve">consumer</x:t>
        </x:is>
      </x:c>
      <x:c r="G23" s="144" t="inlineStr">
        <x:is>
          <x:t xml:space="preserve">../apps/consumer/src/App.tsx; ../apps/consumer/tests/consumer.spec.ts</x:t>
        </x:is>
      </x:c>
      <x:c r="H23" s="144" t="inlineStr">
        <x:is>
          <x:t xml:space="preserve">tested</x:t>
        </x:is>
      </x:c>
      <x:c r="I23" s="144" t="inlineStr">
        <x:is>
          <x:t xml:space="preserve">no</x:t>
        </x:is>
      </x:c>
      <x:c r="J23" s="145" t="n">
        <x:v>46278</x:v>
      </x:c>
      <x:c r="K23" s="146" t="inlineStr">
        <x:is>
          <x:t xml:space="preserve">Standalone application Consumer passed against the packed local candidate.</x:t>
        </x:is>
      </x:c>
      <x:c r="L23" s="144" t="n">
        <x:v>1</x:v>
      </x:c>
      <x:c r="M23" s="144" t="n">
        <x:f>IF(H23="not applicable",1,IF(I23="yes",IF(H23="verified",1,0),IF(OR(H23="tested",H23="verified"),1,0)))</x:f>
        <x:v>1</x:v>
      </x:c>
    </x:row>
    <x:row r="24" s="127" customFormat="1" ht="60" customHeight="1">
      <x:c r="A24" s="125" t="inlineStr">
        <x:is>
          <x:t xml:space="preserve">D-16</x:t>
        </x:is>
      </x:c>
      <x:c r="B24" s="125" t="inlineStr">
        <x:is>
          <x:t xml:space="preserve">Package</x:t>
        </x:is>
      </x:c>
      <x:c r="C24" s="125" t="inlineStr">
        <x:is>
          <x:t xml:space="preserve">Drawer</x:t>
        </x:is>
      </x:c>
      <x:c r="D24" s="144" t="inlineStr">
        <x:is>
          <x:t xml:space="preserve">Build, exports, tarball, CSS, and consumer boundary verification pass.</x:t>
        </x:is>
      </x:c>
      <x:c r="E24" s="144" t="inlineStr">
        <x:is>
          <x:t xml:space="preserve">package</x:t>
        </x:is>
      </x:c>
      <x:c r="F24" s="144" t="inlineStr">
        <x:is>
          <x:t xml:space="preserve">package</x:t>
        </x:is>
      </x:c>
      <x:c r="G24" s="144" t="inlineStr">
        <x:is>
          <x:t xml:space="preserve">../scripts/verify-package.mjs; ../scripts/verify-consumers.mjs</x:t>
        </x:is>
      </x:c>
      <x:c r="H24" s="144" t="inlineStr">
        <x:is>
          <x:t xml:space="preserve">tested</x:t>
        </x:is>
      </x:c>
      <x:c r="I24" s="144" t="inlineStr">
        <x:is>
          <x:t xml:space="preserve">no</x:t>
        </x:is>
      </x:c>
      <x:c r="J24" s="145" t="n">
        <x:v>46278</x:v>
      </x:c>
      <x:c r="K24" s="146" t="inlineStr">
        <x:is>
          <x:t xml:space="preserve">Build, package checks and clean React 18/19 consumers passed with local Atom. Unpublished.</x:t>
        </x:is>
      </x:c>
      <x:c r="L24" s="144" t="n">
        <x:v>1</x:v>
      </x:c>
      <x:c r="M24" s="144" t="n">
        <x:f>IF(H24="not applicable",1,IF(I24="yes",IF(H24="verified",1,0),IF(OR(H24="tested",H24="verified"),1,0)))</x:f>
        <x:v>1</x:v>
      </x:c>
    </x:row>
  </x:sheetData>
  <x:mergeCells>
    <x:mergeCell ref="A2:M2"/>
    <x:mergeCell ref="A1:M1"/>
  </x:mergeCells>
  <x:conditionalFormatting sqref="H9:H24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1" showDropDown="0" showInputMessage="1" showErrorMessage="1" sqref="H9:H24">
      <x:formula1>"not started,partial,implemented,tested,verified,blocked,not applicable"</x:formula1>
      <x:formula2>0</x:formula2>
    </x:dataValidation>
    <x:dataValidation type="list" errorStyle="stop" operator="between" allowBlank="1" showDropDown="0" showInputMessage="1" showErrorMessage="1" sqref="I9:I24">
      <x:formula1>"yes,no"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dce50be4f964fc7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Field Evidence</x:t>
        </x:is>
      </x:c>
    </x:row>
    <x:row r="2" s="127" customFormat="1" ht="27.75" customHeight="1">
      <x:c r="A2" s="129" t="inlineStr">
        <x:is>
          <x:t xml:space="preserve">Assertion-level package, browser, human-review, documentation, and consumer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COUNTA(A9:A200)</x:f>
        <x:v>16</x:v>
      </x:c>
      <x:c r="D4" s="130" t="inlineStr">
        <x:is>
          <x:t xml:space="preserve">Resolved</x:t>
        </x:is>
      </x:c>
      <x:c r="E4" s="131" t="n">
        <x:f>SUM(M9:M200)</x:f>
        <x:v>12</x:v>
      </x:c>
      <x:c r="G4" s="130" t="inlineStr">
        <x:is>
          <x:t xml:space="preserve">Completion</x:t>
        </x:is>
      </x:c>
      <x:c r="H4" s="132" t="n">
        <x:f>IF(B4=0,0,E4/B4)</x:f>
        <x:v>0.75</x:v>
      </x:c>
      <x:c r="J4" s="130" t="inlineStr">
        <x:is>
          <x:t xml:space="preserve">Package gate</x:t>
        </x:is>
      </x:c>
      <x:c r="K4" s="131" t="str"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v>open</x:v>
      </x:c>
      <x:c r="D5" s="130" t="inlineStr">
        <x:is>
          <x:t xml:space="preserve">Consumer gate</x:t>
        </x:is>
      </x:c>
      <x:c r="E5" s="131" t="str">
        <x:v>open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42" customHeight="1">
      <x:c r="A9" s="125" t="inlineStr">
        <x:is>
          <x:t xml:space="preserve">F-01</x:t>
        </x:is>
      </x:c>
      <x:c r="B9" s="125" t="inlineStr">
        <x:is>
          <x:t xml:space="preserve">Implementation</x:t>
        </x:is>
      </x:c>
      <x:c r="C9" s="125" t="inlineStr">
        <x:is>
          <x:t xml:space="preserve">Field</x:t>
        </x:is>
      </x:c>
      <x:c r="D9" s="125" t="inlineStr">
        <x:is>
          <x:t xml:space="preserve">Public component implementation and Atom adapter exist.</x:t>
        </x:is>
      </x:c>
      <x:c r="E9" s="125" t="inlineStr">
        <x:is>
          <x:t xml:space="preserve">package</x:t>
        </x:is>
      </x:c>
      <x:c r="F9" s="125" t="inlineStr">
        <x:is>
          <x:t xml:space="preserve">source</x:t>
        </x:is>
      </x:c>
      <x:c r="G9" s="125" t="inlineStr">
        <x:is>
          <x:t xml:space="preserve">../src/components/field</x:t>
        </x:is>
      </x:c>
      <x:c r="H9" s="125" t="inlineStr">
        <x:is>
          <x:t xml:space="preserve">tested</x:t>
        </x:is>
      </x:c>
      <x:c r="I9" s="125" t="inlineStr">
        <x:is>
          <x:t xml:space="preserve">no</x:t>
        </x:is>
      </x:c>
      <x:c r="J9" s="141" t="n">
        <x:v>46227</x:v>
      </x:c>
      <x:c r="L9" s="125" t="n">
        <x:v>1</x:v>
      </x:c>
      <x:c r="M9" s="125" t="n">
        <x:f>IF(H9="not applicable",IF(K9&lt;&gt;"",1,0),IF(I9="yes",IF(H9="verified",1,0),IF(OR(H9="tested",H9="verified"),1,0)))</x:f>
        <x:v>1</x:v>
      </x:c>
    </x:row>
    <x:row r="10" s="127" customFormat="1" ht="42" customHeight="1">
      <x:c r="A10" s="125" t="inlineStr">
        <x:is>
          <x:t xml:space="preserve">F-02</x:t>
        </x:is>
      </x:c>
      <x:c r="B10" s="125" t="inlineStr">
        <x:is>
          <x:t xml:space="preserve">Exports</x:t>
        </x:is>
      </x:c>
      <x:c r="C10" s="125" t="inlineStr">
        <x:is>
          <x:t xml:space="preserve">Field</x:t>
        </x:is>
      </x:c>
      <x:c r="D10" s="125" t="inlineStr">
        <x:is>
          <x:t xml:space="preserve">Root and public subpath exports expose the component.</x:t>
        </x:is>
      </x:c>
      <x:c r="E10" s="125" t="inlineStr">
        <x:is>
          <x:t xml:space="preserve">package</x:t>
        </x:is>
      </x:c>
      <x:c r="F10" s="125" t="inlineStr">
        <x:is>
          <x:t xml:space="preserve">package</x:t>
        </x:is>
      </x:c>
      <x:c r="G10" s="125" t="inlineStr">
        <x:is>
          <x:t xml:space="preserve">../test/package/package.test.mjs</x:t>
        </x:is>
      </x:c>
      <x:c r="H10" s="125" t="inlineStr">
        <x:is>
          <x:t xml:space="preserve">tested</x:t>
        </x:is>
      </x:c>
      <x:c r="I10" s="125" t="inlineStr">
        <x:is>
          <x:t xml:space="preserve">no</x:t>
        </x:is>
      </x:c>
      <x:c r="J10" s="141" t="n">
        <x:v>46227</x:v>
      </x:c>
      <x:c r="L10" s="125" t="n">
        <x:v>1</x:v>
      </x:c>
      <x:c r="M10" s="125" t="n">
        <x:f>IF(H10="not applicable",IF(K10&lt;&gt;"",1,0),IF(I10="yes",IF(H10="verified",1,0),IF(OR(H10="tested",H10="verified"),1,0)))</x:f>
        <x:v>1</x:v>
      </x:c>
    </x:row>
    <x:row r="11" s="127" customFormat="1" ht="42" customHeight="1">
      <x:c r="A11" s="125" t="inlineStr">
        <x:is>
          <x:t xml:space="preserve">F-03</x:t>
        </x:is>
      </x:c>
      <x:c r="B11" s="125" t="inlineStr">
        <x:is>
          <x:t xml:space="preserve">Types</x:t>
        </x:is>
      </x:c>
      <x:c r="C11" s="125" t="inlineStr">
        <x:is>
          <x:t xml:space="preserve">Field</x:t>
        </x:is>
      </x:c>
      <x:c r="D11" s="125" t="inlineStr">
        <x:is>
          <x:t xml:space="preserve">Public props, refs, composition branches, and invalid cases type-check.</x:t>
        </x:is>
      </x:c>
      <x:c r="E11" s="125" t="inlineStr">
        <x:is>
          <x:t xml:space="preserve">package</x:t>
        </x:is>
      </x:c>
      <x:c r="F11" s="125" t="inlineStr">
        <x:is>
          <x:t xml:space="preserve">types</x:t>
        </x:is>
      </x:c>
      <x:c r="G11" s="125" t="inlineStr">
        <x:is>
          <x:t xml:space="preserve">../test/types/components/field.test.ts</x:t>
        </x:is>
      </x:c>
      <x:c r="H11" s="125" t="inlineStr">
        <x:is>
          <x:t xml:space="preserve">tested</x:t>
        </x:is>
      </x:c>
      <x:c r="I11" s="125" t="inlineStr">
        <x:is>
          <x:t xml:space="preserve">no</x:t>
        </x:is>
      </x:c>
      <x:c r="J11" s="141" t="n">
        <x:v>46227</x:v>
      </x:c>
      <x:c r="L11" s="125" t="n">
        <x:v>1</x:v>
      </x:c>
      <x:c r="M11" s="125" t="n">
        <x:f>IF(H11="not applicable",IF(K11&lt;&gt;"",1,0),IF(I11="yes",IF(H11="verified",1,0),IF(OR(H11="tested",H11="verified"),1,0)))</x:f>
        <x:v>1</x:v>
      </x:c>
    </x:row>
    <x:row r="12" s="127" customFormat="1" ht="42" customHeight="1">
      <x:c r="A12" s="125" t="inlineStr">
        <x:is>
          <x:t xml:space="preserve">F-04</x:t>
        </x:is>
      </x:c>
      <x:c r="B12" s="125" t="inlineStr">
        <x:is>
          <x:t xml:space="preserve">CSS</x:t>
        </x:is>
      </x:c>
      <x:c r="C12" s="125" t="inlineStr">
        <x:is>
          <x:t xml:space="preserve">Field</x:t>
        </x:is>
      </x:c>
      <x:c r="D12" s="125" t="inlineStr">
        <x:is>
          <x:t xml:space="preserve">Static public CSS, classes, slots, recipes, states, and tokens are present.</x:t>
        </x:is>
      </x:c>
      <x:c r="E12" s="125" t="inlineStr">
        <x:is>
          <x:t xml:space="preserve">package</x:t>
        </x:is>
      </x:c>
      <x:c r="F12" s="125" t="inlineStr">
        <x:is>
          <x:t xml:space="preserve">css</x:t>
        </x:is>
      </x:c>
      <x:c r="G12" s="125" t="inlineStr">
        <x:is>
          <x:t xml:space="preserve">../src/components/field/field.css</x:t>
        </x:is>
      </x:c>
      <x:c r="H12" s="125" t="inlineStr">
        <x:is>
          <x:t xml:space="preserve">tested</x:t>
        </x:is>
      </x:c>
      <x:c r="I12" s="125" t="inlineStr">
        <x:is>
          <x:t xml:space="preserve">no</x:t>
        </x:is>
      </x:c>
      <x:c r="J12" s="141" t="n">
        <x:v>46227</x:v>
      </x:c>
      <x:c r="L12" s="125" t="n">
        <x:v>1</x:v>
      </x:c>
      <x:c r="M12" s="125" t="n">
        <x:f>IF(H12="not applicable",IF(K12&lt;&gt;"",1,0),IF(I12="yes",IF(H12="verified",1,0),IF(OR(H12="tested",H12="verified"),1,0)))</x:f>
        <x:v>1</x:v>
      </x:c>
    </x:row>
    <x:row r="13" s="127" customFormat="1" ht="42" customHeight="1">
      <x:c r="A13" s="125" t="inlineStr">
        <x:is>
          <x:t xml:space="preserve">F-05</x:t>
        </x:is>
      </x:c>
      <x:c r="B13" s="125" t="inlineStr">
        <x:is>
          <x:t xml:space="preserve">Unit</x:t>
        </x:is>
      </x:c>
      <x:c r="C13" s="125" t="inlineStr">
        <x:is>
          <x:t xml:space="preserve">Field</x:t>
        </x:is>
      </x:c>
      <x:c r="D13" s="125" t="inlineStr">
        <x:is>
          <x:t xml:space="preserve">Brick-owned DOM, recipes, adapters, and public hooks pass focused tests.</x:t>
        </x:is>
      </x:c>
      <x:c r="E13" s="125" t="inlineStr">
        <x:is>
          <x:t xml:space="preserve">package</x:t>
        </x:is>
      </x:c>
      <x:c r="F13" s="125" t="inlineStr">
        <x:is>
          <x:t xml:space="preserve">component</x:t>
        </x:is>
      </x:c>
      <x:c r="G13" s="125" t="inlineStr">
        <x:is>
          <x:t xml:space="preserve">../test/components/field/field.test.tsx</x:t>
        </x:is>
      </x:c>
      <x:c r="H13" s="125" t="inlineStr">
        <x:is>
          <x:t xml:space="preserve">tested</x:t>
        </x:is>
      </x:c>
      <x:c r="I13" s="125" t="inlineStr">
        <x:is>
          <x:t xml:space="preserve">no</x:t>
        </x:is>
      </x:c>
      <x:c r="J13" s="141" t="n">
        <x:v>46227</x:v>
      </x:c>
      <x:c r="L13" s="125" t="n">
        <x:v>1</x:v>
      </x:c>
      <x:c r="M13" s="125" t="n">
        <x:f>IF(H13="not applicable",IF(K13&lt;&gt;"",1,0),IF(I13="yes",IF(H13="verified",1,0),IF(OR(H13="tested",H13="verified"),1,0)))</x:f>
        <x:v>1</x:v>
      </x:c>
    </x:row>
    <x:row r="14" s="127" customFormat="1" ht="42" customHeight="1">
      <x:c r="A14" s="125" t="inlineStr">
        <x:is>
          <x:t xml:space="preserve">F-06</x:t>
        </x:is>
      </x:c>
      <x:c r="B14" s="125" t="inlineStr">
        <x:is>
          <x:t xml:space="preserve">Browser</x:t>
        </x:is>
      </x:c>
      <x:c r="C14" s="125" t="inlineStr">
        <x:is>
          <x:t xml:space="preserve">Field</x:t>
        </x:is>
      </x:c>
      <x:c r="D14" s="125" t="inlineStr">
        <x:is>
          <x:t xml:space="preserve">Real-browser behavior and component contract checks pass.</x:t>
        </x:is>
      </x:c>
      <x:c r="E14" s="125" t="inlineStr">
        <x:is>
          <x:t xml:space="preserve">package</x:t>
        </x:is>
      </x:c>
      <x:c r="F14" s="125" t="inlineStr">
        <x:is>
          <x:t xml:space="preserve">browser</x:t>
        </x:is>
      </x:c>
      <x:c r="G14" s="125" t="inlineStr">
        <x:is>
          <x:t xml:space="preserve">tests/components/field/behavior.spec.ts</x:t>
        </x:is>
      </x:c>
      <x:c r="H14" s="125" t="inlineStr">
        <x:is>
          <x:t xml:space="preserve">tested</x:t>
        </x:is>
      </x:c>
      <x:c r="I14" s="125" t="inlineStr">
        <x:is>
          <x:t xml:space="preserve">no</x:t>
        </x:is>
      </x:c>
      <x:c r="J14" s="141" t="n">
        <x:v>46227</x:v>
      </x:c>
      <x:c r="L14" s="125" t="n">
        <x:v>1</x:v>
      </x:c>
      <x:c r="M14" s="125" t="n">
        <x:f>IF(H14="not applicable",IF(K14&lt;&gt;"",1,0),IF(I14="yes",IF(H14="verified",1,0),IF(OR(H14="tested",H14="verified"),1,0)))</x:f>
        <x:v>1</x:v>
      </x:c>
    </x:row>
    <x:row r="15" s="127" customFormat="1" ht="42" customHeight="1">
      <x:c r="A15" s="125" t="inlineStr">
        <x:is>
          <x:t xml:space="preserve">F-07</x:t>
        </x:is>
      </x:c>
      <x:c r="B15" s="125" t="inlineStr">
        <x:is>
          <x:t xml:space="preserve">Accessibility</x:t>
        </x:is>
      </x:c>
      <x:c r="C15" s="125" t="inlineStr">
        <x:is>
          <x:t xml:space="preserve">Field</x:t>
        </x:is>
      </x:c>
      <x:c r="D15" s="125" t="inlineStr">
        <x:is>
          <x:t xml:space="preserve">Automated semantics and accessibility checks pass in the browser evidence suite.</x:t>
        </x:is>
      </x:c>
      <x:c r="E15" s="125" t="inlineStr">
        <x:is>
          <x:t xml:space="preserve">package</x:t>
        </x:is>
      </x:c>
      <x:c r="F15" s="125" t="inlineStr">
        <x:is>
          <x:t xml:space="preserve">axe</x:t>
        </x:is>
      </x:c>
      <x:c r="G15" s="125" t="inlineStr">
        <x:is>
          <x:t xml:space="preserve">tests/components/field/behavior.spec.ts; tests/integration</x:t>
        </x:is>
      </x:c>
      <x:c r="H15" s="125" t="inlineStr">
        <x:is>
          <x:t xml:space="preserve">tested</x:t>
        </x:is>
      </x:c>
      <x:c r="I15" s="125" t="inlineStr">
        <x:is>
          <x:t xml:space="preserve">no</x:t>
        </x:is>
      </x:c>
      <x:c r="J15" s="141" t="n">
        <x:v>46227</x:v>
      </x:c>
      <x:c r="L15" s="125" t="n">
        <x:v>1</x:v>
      </x:c>
      <x:c r="M15" s="125" t="n">
        <x:f>IF(H15="not applicable",IF(K15&lt;&gt;"",1,0),IF(I15="yes",IF(H15="verified",1,0),IF(OR(H15="tested",H15="verified"),1,0)))</x:f>
        <x:v>1</x:v>
      </x:c>
    </x:row>
    <x:row r="16" s="127" customFormat="1" ht="42" customHeight="1">
      <x:c r="A16" s="125" t="inlineStr">
        <x:is>
          <x:t xml:space="preserve">F-08</x:t>
        </x:is>
      </x:c>
      <x:c r="B16" s="125" t="inlineStr">
        <x:is>
          <x:t xml:space="preserve">Visual</x:t>
        </x:is>
      </x:c>
      <x:c r="C16" s="125" t="inlineStr">
        <x:is>
          <x:t xml:space="preserve">Field</x:t>
        </x:is>
      </x:c>
      <x:c r="D16" s="125" t="inlineStr">
        <x:is>
          <x:t xml:space="preserve">Reviewed baselines cover the component's risk-selected recipes and states.</x:t>
        </x:is>
      </x:c>
      <x:c r="E16" s="125" t="inlineStr">
        <x:is>
          <x:t xml:space="preserve">package</x:t>
        </x:is>
      </x:c>
      <x:c r="F16" s="125" t="inlineStr">
        <x:is>
          <x:t xml:space="preserve">visual</x:t>
        </x:is>
      </x:c>
      <x:c r="G16" s="125" t="inlineStr">
        <x:is>
          <x:t xml:space="preserve">tests/components/field/visual.spec.ts</x:t>
        </x:is>
      </x:c>
      <x:c r="H16" s="125" t="inlineStr">
        <x:is>
          <x:t xml:space="preserve">verified</x:t>
        </x:is>
      </x:c>
      <x:c r="I16" s="125" t="inlineStr">
        <x:is>
          <x:t xml:space="preserve">yes</x:t>
        </x:is>
      </x:c>
      <x:c r="J16" s="141" t="n">
        <x:v>46227</x:v>
      </x:c>
      <x:c r="K16" s="125" t="inlineStr">
        <x:is>
          <x:t xml:space="preserve">Owner reviewed the current playground evidence.</x:t>
        </x:is>
      </x:c>
      <x:c r="L16" s="125" t="n">
        <x:v>1</x:v>
      </x:c>
      <x:c r="M16" s="125" t="n">
        <x:f>IF(H16="not applicable",IF(K16&lt;&gt;"",1,0),IF(I16="yes",IF(H16="verified",1,0),IF(OR(H16="tested",H16="verified"),1,0)))</x:f>
        <x:v>1</x:v>
      </x:c>
    </x:row>
    <x:row r="17" s="127" customFormat="1" ht="42" customHeight="1">
      <x:c r="A17" s="125" t="inlineStr">
        <x:is>
          <x:t xml:space="preserve">F-09</x:t>
        </x:is>
      </x:c>
      <x:c r="B17" s="125" t="inlineStr">
        <x:is>
          <x:t xml:space="preserve">Responsive</x:t>
        </x:is>
      </x:c>
      <x:c r="C17" s="125" t="inlineStr">
        <x:is>
          <x:t xml:space="preserve">Field</x:t>
        </x:is>
      </x:c>
      <x:c r="D17" s="125" t="inlineStr">
        <x:is>
          <x:t xml:space="preserve">Mobile, zoom/reflow, content stress, and RTL remain usable and contained.</x:t>
        </x:is>
      </x:c>
      <x:c r="E17" s="125" t="inlineStr">
        <x:is>
          <x:t xml:space="preserve">package</x:t>
        </x:is>
      </x:c>
      <x:c r="F17" s="125" t="inlineStr">
        <x:is>
          <x:t xml:space="preserve">manual</x:t>
        </x:is>
      </x:c>
      <x:c r="G17" s="125" t="inlineStr">
        <x:is>
          <x:t xml:space="preserve">manual-tests/field.md</x:t>
        </x:is>
      </x:c>
      <x:c r="H17" s="125" t="inlineStr">
        <x:is>
          <x:t xml:space="preserve">implemented</x:t>
        </x:is>
      </x:c>
      <x:c r="I17" s="125" t="inlineStr">
        <x:is>
          <x:t xml:space="preserve">yes</x:t>
        </x:is>
      </x:c>
      <x:c r="J17" s="141" t="n"/>
      <x:c r="K17" s="125" t="inlineStr">
        <x:is>
          <x:t xml:space="preserve">Human protocol remains pending. Automated and visual evidence stays in its owning tests and does not complete this human gate.</x:t>
        </x:is>
      </x:c>
      <x:c r="L17" s="125" t="n">
        <x:v>1</x:v>
      </x:c>
      <x:c r="M17" s="125" t="n">
        <x:f>IF(H17="not applicable",IF(K17&lt;&gt;"",1,0),IF(I17="yes",IF(H17="verified",1,0),IF(OR(H17="tested",H17="verified"),1,0)))</x:f>
        <x:v>0</x:v>
      </x:c>
    </x:row>
    <x:row r="18" s="127" customFormat="1" ht="42" customHeight="1">
      <x:c r="A18" s="125" t="inlineStr">
        <x:is>
          <x:t xml:space="preserve">F-10</x:t>
        </x:is>
      </x:c>
      <x:c r="B18" s="125" t="inlineStr">
        <x:is>
          <x:t xml:space="preserve">Theme</x:t>
        </x:is>
      </x:c>
      <x:c r="C18" s="125" t="inlineStr">
        <x:is>
          <x:t xml:space="preserve">Field</x:t>
        </x:is>
      </x:c>
      <x:c r="D18" s="125" t="inlineStr">
        <x:is>
          <x:t xml:space="preserve">Light, dark, focus, forced-colors, and relevant motion behavior remain perceivable.</x:t>
        </x:is>
      </x:c>
      <x:c r="E18" s="125" t="inlineStr">
        <x:is>
          <x:t xml:space="preserve">package</x:t>
        </x:is>
      </x:c>
      <x:c r="F18" s="125" t="inlineStr">
        <x:is>
          <x:t xml:space="preserve">manual</x:t>
        </x:is>
      </x:c>
      <x:c r="G18" s="125" t="inlineStr">
        <x:is>
          <x:t xml:space="preserve">manual-tests/field.md</x:t>
        </x:is>
      </x:c>
      <x:c r="H18" s="125" t="inlineStr">
        <x:is>
          <x:t xml:space="preserve">implemented</x:t>
        </x:is>
      </x:c>
      <x:c r="I18" s="125" t="inlineStr">
        <x:is>
          <x:t xml:space="preserve">yes</x:t>
        </x:is>
      </x:c>
      <x:c r="J18" s="141" t="n"/>
      <x:c r="K18" s="125" t="inlineStr">
        <x:is>
          <x:t xml:space="preserve">Human protocol remains pending. Automated and visual evidence stays in its owning tests and does not complete this human gate.</x:t>
        </x:is>
      </x:c>
      <x:c r="L18" s="125" t="n">
        <x:v>1</x:v>
      </x:c>
      <x:c r="M18" s="125" t="n">
        <x:f>IF(H18="not applicable",IF(K18&lt;&gt;"",1,0),IF(I18="yes",IF(H18="verified",1,0),IF(OR(H18="tested",H18="verified"),1,0)))</x:f>
        <x:v>0</x:v>
      </x:c>
    </x:row>
    <x:row r="19" s="127" customFormat="1" ht="42" customHeight="1">
      <x:c r="A19" s="125" t="inlineStr">
        <x:is>
          <x:t xml:space="preserve">F-11</x:t>
        </x:is>
      </x:c>
      <x:c r="B19" s="125" t="inlineStr">
        <x:is>
          <x:t xml:space="preserve">Composition</x:t>
        </x:is>
      </x:c>
      <x:c r="C19" s="125" t="inlineStr">
        <x:is>
          <x:t xml:space="preserve">Field</x:t>
        </x:is>
      </x:c>
      <x:c r="D19" s="125" t="inlineStr">
        <x:is>
          <x:t xml:space="preserve">Default, render, and asChild output preserve the intended element, slots, state, and relationships.</x:t>
        </x:is>
      </x:c>
      <x:c r="E19" s="125" t="inlineStr">
        <x:is>
          <x:t xml:space="preserve">package</x:t>
        </x:is>
      </x:c>
      <x:c r="F19" s="125" t="inlineStr">
        <x:is>
          <x:t xml:space="preserve">manual</x:t>
        </x:is>
      </x:c>
      <x:c r="G19" s="125" t="inlineStr">
        <x:is>
          <x:t xml:space="preserve">manual-tests/field.md; tests/components/field/behavior.spec.ts</x:t>
        </x:is>
      </x:c>
      <x:c r="H19" s="125" t="inlineStr">
        <x:is>
          <x:t xml:space="preserve">implemented</x:t>
        </x:is>
      </x:c>
      <x:c r="I19" s="125" t="inlineStr">
        <x:is>
          <x:t xml:space="preserve">yes</x:t>
        </x:is>
      </x:c>
      <x:c r="J19" s="141" t="n"/>
      <x:c r="K19" s="125" t="inlineStr">
        <x:is>
          <x:t xml:space="preserve">Human protocol remains pending. Automated and visual evidence stays in its owning tests and does not complete this human gate.</x:t>
        </x:is>
      </x:c>
      <x:c r="L19" s="125" t="n">
        <x:v>1</x:v>
      </x:c>
      <x:c r="M19" s="125" t="n">
        <x:f>IF(H19="not applicable",IF(K19&lt;&gt;"",1,0),IF(I19="yes",IF(H19="verified",1,0),IF(OR(H19="tested",H19="verified"),1,0)))</x:f>
        <x:v>0</x:v>
      </x:c>
    </x:row>
    <x:row r="20" s="127" customFormat="1" ht="42" customHeight="1">
      <x:c r="A20" s="125" t="inlineStr">
        <x:is>
          <x:t xml:space="preserve">F-12</x:t>
        </x:is>
      </x:c>
      <x:c r="B20" s="125" t="inlineStr">
        <x:is>
          <x:t xml:space="preserve">Manual</x:t>
        </x:is>
      </x:c>
      <x:c r="C20" s="125" t="inlineStr">
        <x:is>
          <x:t xml:space="preserve">Field</x:t>
        </x:is>
      </x:c>
      <x:c r="D20" s="125" t="inlineStr">
        <x:is>
          <x:t xml:space="preserve">The complete component-owned manual protocol passed against every playground scenario.</x:t>
        </x:is>
      </x:c>
      <x:c r="E20" s="125" t="inlineStr">
        <x:is>
          <x:t xml:space="preserve">package</x:t>
        </x:is>
      </x:c>
      <x:c r="F20" s="125" t="inlineStr">
        <x:is>
          <x:t xml:space="preserve">manual</x:t>
        </x:is>
      </x:c>
      <x:c r="G20" s="125" t="inlineStr">
        <x:is>
          <x:t xml:space="preserve">manual-tests/field.md</x:t>
        </x:is>
      </x:c>
      <x:c r="H20" s="125" t="inlineStr">
        <x:is>
          <x:t xml:space="preserve">implemented</x:t>
        </x:is>
      </x:c>
      <x:c r="I20" s="125" t="inlineStr">
        <x:is>
          <x:t xml:space="preserve">yes</x:t>
        </x:is>
      </x:c>
      <x:c r="J20" s="141" t="n"/>
      <x:c r="K20" s="125" t="inlineStr">
        <x:is>
          <x:t xml:space="preserve">Human protocol remains pending. Automated and visual evidence stays in its owning tests and does not complete this human gate.</x:t>
        </x:is>
      </x:c>
      <x:c r="L20" s="125" t="n">
        <x:v>1</x:v>
      </x:c>
      <x:c r="M20" s="125" t="n">
        <x:f>IF(H20="not applicable",IF(K20&lt;&gt;"",1,0),IF(I20="yes",IF(H20="verified",1,0),IF(OR(H20="tested",H20="verified"),1,0)))</x:f>
        <x:v>0</x:v>
      </x:c>
    </x:row>
    <x:row r="21" s="127" customFormat="1" ht="42" customHeight="1">
      <x:c r="A21" s="125" t="inlineStr">
        <x:is>
          <x:t xml:space="preserve">F-13</x:t>
        </x:is>
      </x:c>
      <x:c r="B21" s="125" t="inlineStr">
        <x:is>
          <x:t xml:space="preserve">Docs</x:t>
        </x:is>
      </x:c>
      <x:c r="C21" s="125" t="inlineStr">
        <x:is>
          <x:t xml:space="preserve">Field</x:t>
        </x:is>
      </x:c>
      <x:c r="D21" s="125" t="inlineStr">
        <x:is>
          <x:t xml:space="preserve">Public usage documentation exists at the component-owned path.</x:t>
        </x:is>
      </x:c>
      <x:c r="E21" s="125" t="inlineStr">
        <x:is>
          <x:t xml:space="preserve">package</x:t>
        </x:is>
      </x:c>
      <x:c r="F21" s="125" t="inlineStr">
        <x:is>
          <x:t xml:space="preserve">docs</x:t>
        </x:is>
      </x:c>
      <x:c r="G21" s="125" t="inlineStr">
        <x:is>
          <x:t xml:space="preserve">../docs/components/field/README.md</x:t>
        </x:is>
      </x:c>
      <x:c r="H21" s="125" t="inlineStr">
        <x:is>
          <x:t xml:space="preserve">tested</x:t>
        </x:is>
      </x:c>
      <x:c r="I21" s="125" t="inlineStr">
        <x:is>
          <x:t xml:space="preserve">no</x:t>
        </x:is>
      </x:c>
      <x:c r="J21" s="141" t="n">
        <x:v>46227</x:v>
      </x:c>
      <x:c r="L21" s="125" t="n">
        <x:v>1</x:v>
      </x:c>
      <x:c r="M21" s="125" t="n">
        <x:f>IF(H21="not applicable",IF(K21&lt;&gt;"",1,0),IF(I21="yes",IF(H21="verified",1,0),IF(OR(H21="tested",H21="verified"),1,0)))</x:f>
        <x:v>1</x:v>
      </x:c>
    </x:row>
    <x:row r="22" s="127" customFormat="1" ht="42" customHeight="1">
      <x:c r="A22" s="125" t="inlineStr">
        <x:is>
          <x:t xml:space="preserve">F-14</x:t>
        </x:is>
      </x:c>
      <x:c r="B22" s="125" t="inlineStr">
        <x:is>
          <x:t xml:space="preserve">Changelog</x:t>
        </x:is>
      </x:c>
      <x:c r="C22" s="125" t="inlineStr">
        <x:is>
          <x:t xml:space="preserve">Field</x:t>
        </x:is>
      </x:c>
      <x:c r="D22" s="125" t="inlineStr">
        <x:is>
          <x:t xml:space="preserve">The component owns a public changelog.</x:t>
        </x:is>
      </x:c>
      <x:c r="E22" s="125" t="inlineStr">
        <x:is>
          <x:t xml:space="preserve">package</x:t>
        </x:is>
      </x:c>
      <x:c r="F22" s="125" t="inlineStr">
        <x:is>
          <x:t xml:space="preserve">docs</x:t>
        </x:is>
      </x:c>
      <x:c r="G22" s="125" t="inlineStr">
        <x:is>
          <x:t xml:space="preserve">../docs/components/field/CHANGELOG.md</x:t>
        </x:is>
      </x:c>
      <x:c r="H22" s="125" t="inlineStr">
        <x:is>
          <x:t xml:space="preserve">tested</x:t>
        </x:is>
      </x:c>
      <x:c r="I22" s="125" t="inlineStr">
        <x:is>
          <x:t xml:space="preserve">no</x:t>
        </x:is>
      </x:c>
      <x:c r="J22" s="141" t="n">
        <x:v>46227</x:v>
      </x:c>
      <x:c r="L22" s="125" t="n">
        <x:v>1</x:v>
      </x:c>
      <x:c r="M22" s="125" t="n">
        <x:f>IF(H22="not applicable",IF(K22&lt;&gt;"",1,0),IF(I22="yes",IF(H22="verified",1,0),IF(OR(H22="tested",H22="verified"),1,0)))</x:f>
        <x:v>1</x:v>
      </x:c>
    </x:row>
    <x:row r="23" s="127" customFormat="1" ht="42" customHeight="1">
      <x:c r="A23" s="125" t="inlineStr">
        <x:is>
          <x:t xml:space="preserve">F-15</x:t>
        </x:is>
      </x:c>
      <x:c r="B23" s="125" t="inlineStr">
        <x:is>
          <x:t xml:space="preserve">Consumer</x:t>
        </x:is>
      </x:c>
      <x:c r="C23" s="125" t="inlineStr">
        <x:is>
          <x:t xml:space="preserve">Field</x:t>
        </x:is>
      </x:c>
      <x:c r="D23" s="125" t="inlineStr">
        <x:is>
          <x:t xml:space="preserve">The standalone consumer imports and exercises the public package component.</x:t>
        </x:is>
      </x:c>
      <x:c r="E23" s="125" t="inlineStr">
        <x:is>
          <x:t xml:space="preserve">consumer</x:t>
        </x:is>
      </x:c>
      <x:c r="F23" s="125" t="inlineStr">
        <x:is>
          <x:t xml:space="preserve">consumer</x:t>
        </x:is>
      </x:c>
      <x:c r="G23" s="125" t="inlineStr">
        <x:is>
          <x:t xml:space="preserve">../apps/consumer/src/App.tsx; ../apps/consumer/tests/consumer.spec.ts</x:t>
        </x:is>
      </x:c>
      <x:c r="H23" s="125" t="inlineStr">
        <x:is>
          <x:t xml:space="preserve">tested</x:t>
        </x:is>
      </x:c>
      <x:c r="I23" s="125" t="inlineStr">
        <x:is>
          <x:t xml:space="preserve">no</x:t>
        </x:is>
      </x:c>
      <x:c r="J23" s="141" t="n">
        <x:v>46227</x:v>
      </x:c>
      <x:c r="L23" s="125" t="n">
        <x:v>1</x:v>
      </x:c>
      <x:c r="M23" s="125" t="n">
        <x:f>IF(H23="not applicable",IF(K23&lt;&gt;"",1,0),IF(I23="yes",IF(H23="verified",1,0),IF(OR(H23="tested",H23="verified"),1,0)))</x:f>
        <x:v>1</x:v>
      </x:c>
    </x:row>
    <x:row r="24" s="127" customFormat="1" ht="42" customHeight="1">
      <x:c r="A24" s="125" t="inlineStr">
        <x:is>
          <x:t xml:space="preserve">F-16</x:t>
        </x:is>
      </x:c>
      <x:c r="B24" s="125" t="inlineStr">
        <x:is>
          <x:t xml:space="preserve">Package</x:t>
        </x:is>
      </x:c>
      <x:c r="C24" s="125" t="inlineStr">
        <x:is>
          <x:t xml:space="preserve">Field</x:t>
        </x:is>
      </x:c>
      <x:c r="D24" s="125" t="inlineStr">
        <x:is>
          <x:t xml:space="preserve">Build, exports, tarball, CSS, and consumer boundary verification pass.</x:t>
        </x:is>
      </x:c>
      <x:c r="E24" s="125" t="inlineStr">
        <x:is>
          <x:t xml:space="preserve">package</x:t>
        </x:is>
      </x:c>
      <x:c r="F24" s="125" t="inlineStr">
        <x:is>
          <x:t xml:space="preserve">package</x:t>
        </x:is>
      </x:c>
      <x:c r="G24" s="125" t="inlineStr">
        <x:is>
          <x:t xml:space="preserve">../scripts/verify-package.mjs; ../scripts/verify-consumers.mjs</x:t>
        </x:is>
      </x:c>
      <x:c r="H24" s="125" t="inlineStr">
        <x:is>
          <x:t xml:space="preserve">tested</x:t>
        </x:is>
      </x:c>
      <x:c r="I24" s="125" t="inlineStr">
        <x:is>
          <x:t xml:space="preserve">no</x:t>
        </x:is>
      </x:c>
      <x:c r="J24" s="141" t="n">
        <x:v>46227</x:v>
      </x:c>
      <x:c r="L24" s="125" t="n">
        <x:v>1</x:v>
      </x:c>
      <x:c r="M24" s="125" t="n">
        <x:f>IF(H24="not applicable",IF(K24&lt;&gt;"",1,0),IF(I24="yes",IF(H24="verified",1,0),IF(OR(H24="tested",H24="verified"),1,0)))</x:f>
        <x:v>1</x:v>
      </x:c>
    </x:row>
  </x:sheetData>
  <x:mergeCells>
    <x:mergeCell ref="A2:M2"/>
    <x:mergeCell ref="A1:M1"/>
  </x:mergeCells>
  <x:conditionalFormatting sqref="H9:H24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1" showDropDown="0" showInputMessage="1" showErrorMessage="1" sqref="H9:H24">
      <x:formula1>"not started,partial,implemented,tested,verified,blocked,not applicable"</x:formula1>
      <x:formula2>0</x:formula2>
    </x:dataValidation>
    <x:dataValidation type="list" errorStyle="stop" operator="between" allowBlank="1" showDropDown="0" showInputMessage="1" showErrorMessage="1" sqref="I9:I24">
      <x:formula1>"yes,no"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598d4bb055a44b5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Fieldset Evidence</x:t>
        </x:is>
      </x:c>
    </x:row>
    <x:row r="2" s="127" customFormat="1" ht="27.75" customHeight="1">
      <x:c r="A2" s="129" t="inlineStr">
        <x:is>
          <x:t xml:space="preserve">Assertion-level package, browser, human-review, documentation, and consumer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COUNTA(A9:A200)</x:f>
        <x:v>16</x:v>
      </x:c>
      <x:c r="D4" s="130" t="inlineStr">
        <x:is>
          <x:t xml:space="preserve">Resolved</x:t>
        </x:is>
      </x:c>
      <x:c r="E4" s="131" t="n">
        <x:f>SUM(M9:M200)</x:f>
        <x:v>12</x:v>
      </x:c>
      <x:c r="G4" s="130" t="inlineStr">
        <x:is>
          <x:t xml:space="preserve">Completion</x:t>
        </x:is>
      </x:c>
      <x:c r="H4" s="132" t="n">
        <x:f>IF(B4=0,0,E4/B4)</x:f>
        <x:v>0.75</x:v>
      </x:c>
      <x:c r="J4" s="130" t="inlineStr">
        <x:is>
          <x:t xml:space="preserve">Package gate</x:t>
        </x:is>
      </x:c>
      <x:c r="K4" s="131" t="str"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v>open</x:v>
      </x:c>
      <x:c r="D5" s="130" t="inlineStr">
        <x:is>
          <x:t xml:space="preserve">Consumer gate</x:t>
        </x:is>
      </x:c>
      <x:c r="E5" s="131" t="str">
        <x:v>open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42" customHeight="1">
      <x:c r="A9" s="125" t="inlineStr">
        <x:is>
          <x:t xml:space="preserve">F-01</x:t>
        </x:is>
      </x:c>
      <x:c r="B9" s="125" t="inlineStr">
        <x:is>
          <x:t xml:space="preserve">Implementation</x:t>
        </x:is>
      </x:c>
      <x:c r="C9" s="125" t="inlineStr">
        <x:is>
          <x:t xml:space="preserve">Fieldset</x:t>
        </x:is>
      </x:c>
      <x:c r="D9" s="125" t="inlineStr">
        <x:is>
          <x:t xml:space="preserve">Public component implementation and Atom adapter exist.</x:t>
        </x:is>
      </x:c>
      <x:c r="E9" s="125" t="inlineStr">
        <x:is>
          <x:t xml:space="preserve">package</x:t>
        </x:is>
      </x:c>
      <x:c r="F9" s="125" t="inlineStr">
        <x:is>
          <x:t xml:space="preserve">source</x:t>
        </x:is>
      </x:c>
      <x:c r="G9" s="125" t="inlineStr">
        <x:is>
          <x:t xml:space="preserve">../src/components/fieldset</x:t>
        </x:is>
      </x:c>
      <x:c r="H9" s="125" t="inlineStr">
        <x:is>
          <x:t xml:space="preserve">tested</x:t>
        </x:is>
      </x:c>
      <x:c r="I9" s="125" t="inlineStr">
        <x:is>
          <x:t xml:space="preserve">no</x:t>
        </x:is>
      </x:c>
      <x:c r="J9" s="141" t="n">
        <x:v>46227</x:v>
      </x:c>
      <x:c r="L9" s="125" t="n">
        <x:v>1</x:v>
      </x:c>
      <x:c r="M9" s="125" t="n">
        <x:f>IF(H9="not applicable",IF(K9&lt;&gt;"",1,0),IF(I9="yes",IF(H9="verified",1,0),IF(OR(H9="tested",H9="verified"),1,0)))</x:f>
        <x:v>1</x:v>
      </x:c>
    </x:row>
    <x:row r="10" s="127" customFormat="1" ht="42" customHeight="1">
      <x:c r="A10" s="125" t="inlineStr">
        <x:is>
          <x:t xml:space="preserve">F-02</x:t>
        </x:is>
      </x:c>
      <x:c r="B10" s="125" t="inlineStr">
        <x:is>
          <x:t xml:space="preserve">Exports</x:t>
        </x:is>
      </x:c>
      <x:c r="C10" s="125" t="inlineStr">
        <x:is>
          <x:t xml:space="preserve">Fieldset</x:t>
        </x:is>
      </x:c>
      <x:c r="D10" s="125" t="inlineStr">
        <x:is>
          <x:t xml:space="preserve">Root and public subpath exports expose the component.</x:t>
        </x:is>
      </x:c>
      <x:c r="E10" s="125" t="inlineStr">
        <x:is>
          <x:t xml:space="preserve">package</x:t>
        </x:is>
      </x:c>
      <x:c r="F10" s="125" t="inlineStr">
        <x:is>
          <x:t xml:space="preserve">package</x:t>
        </x:is>
      </x:c>
      <x:c r="G10" s="125" t="inlineStr">
        <x:is>
          <x:t xml:space="preserve">../test/package/package.test.mjs</x:t>
        </x:is>
      </x:c>
      <x:c r="H10" s="125" t="inlineStr">
        <x:is>
          <x:t xml:space="preserve">tested</x:t>
        </x:is>
      </x:c>
      <x:c r="I10" s="125" t="inlineStr">
        <x:is>
          <x:t xml:space="preserve">no</x:t>
        </x:is>
      </x:c>
      <x:c r="J10" s="141" t="n">
        <x:v>46227</x:v>
      </x:c>
      <x:c r="L10" s="125" t="n">
        <x:v>1</x:v>
      </x:c>
      <x:c r="M10" s="125" t="n">
        <x:f>IF(H10="not applicable",IF(K10&lt;&gt;"",1,0),IF(I10="yes",IF(H10="verified",1,0),IF(OR(H10="tested",H10="verified"),1,0)))</x:f>
        <x:v>1</x:v>
      </x:c>
    </x:row>
    <x:row r="11" s="127" customFormat="1" ht="42" customHeight="1">
      <x:c r="A11" s="125" t="inlineStr">
        <x:is>
          <x:t xml:space="preserve">F-03</x:t>
        </x:is>
      </x:c>
      <x:c r="B11" s="125" t="inlineStr">
        <x:is>
          <x:t xml:space="preserve">Types</x:t>
        </x:is>
      </x:c>
      <x:c r="C11" s="125" t="inlineStr">
        <x:is>
          <x:t xml:space="preserve">Fieldset</x:t>
        </x:is>
      </x:c>
      <x:c r="D11" s="125" t="inlineStr">
        <x:is>
          <x:t xml:space="preserve">Public props, refs, composition branches, and invalid cases type-check.</x:t>
        </x:is>
      </x:c>
      <x:c r="E11" s="125" t="inlineStr">
        <x:is>
          <x:t xml:space="preserve">package</x:t>
        </x:is>
      </x:c>
      <x:c r="F11" s="125" t="inlineStr">
        <x:is>
          <x:t xml:space="preserve">types</x:t>
        </x:is>
      </x:c>
      <x:c r="G11" s="125" t="inlineStr">
        <x:is>
          <x:t xml:space="preserve">../test/types/components/fieldset.test.ts</x:t>
        </x:is>
      </x:c>
      <x:c r="H11" s="125" t="inlineStr">
        <x:is>
          <x:t xml:space="preserve">tested</x:t>
        </x:is>
      </x:c>
      <x:c r="I11" s="125" t="inlineStr">
        <x:is>
          <x:t xml:space="preserve">no</x:t>
        </x:is>
      </x:c>
      <x:c r="J11" s="141" t="n">
        <x:v>46227</x:v>
      </x:c>
      <x:c r="L11" s="125" t="n">
        <x:v>1</x:v>
      </x:c>
      <x:c r="M11" s="125" t="n">
        <x:f>IF(H11="not applicable",IF(K11&lt;&gt;"",1,0),IF(I11="yes",IF(H11="verified",1,0),IF(OR(H11="tested",H11="verified"),1,0)))</x:f>
        <x:v>1</x:v>
      </x:c>
    </x:row>
    <x:row r="12" s="127" customFormat="1" ht="42" customHeight="1">
      <x:c r="A12" s="125" t="inlineStr">
        <x:is>
          <x:t xml:space="preserve">F-04</x:t>
        </x:is>
      </x:c>
      <x:c r="B12" s="125" t="inlineStr">
        <x:is>
          <x:t xml:space="preserve">CSS</x:t>
        </x:is>
      </x:c>
      <x:c r="C12" s="125" t="inlineStr">
        <x:is>
          <x:t xml:space="preserve">Fieldset</x:t>
        </x:is>
      </x:c>
      <x:c r="D12" s="125" t="inlineStr">
        <x:is>
          <x:t xml:space="preserve">Static public CSS, classes, slots, recipes, states, and tokens are present.</x:t>
        </x:is>
      </x:c>
      <x:c r="E12" s="125" t="inlineStr">
        <x:is>
          <x:t xml:space="preserve">package</x:t>
        </x:is>
      </x:c>
      <x:c r="F12" s="125" t="inlineStr">
        <x:is>
          <x:t xml:space="preserve">css</x:t>
        </x:is>
      </x:c>
      <x:c r="G12" s="125" t="inlineStr">
        <x:is>
          <x:t xml:space="preserve">../src/components/fieldset/fieldset.css</x:t>
        </x:is>
      </x:c>
      <x:c r="H12" s="125" t="inlineStr">
        <x:is>
          <x:t xml:space="preserve">tested</x:t>
        </x:is>
      </x:c>
      <x:c r="I12" s="125" t="inlineStr">
        <x:is>
          <x:t xml:space="preserve">no</x:t>
        </x:is>
      </x:c>
      <x:c r="J12" s="141" t="n">
        <x:v>46227</x:v>
      </x:c>
      <x:c r="L12" s="125" t="n">
        <x:v>1</x:v>
      </x:c>
      <x:c r="M12" s="125" t="n">
        <x:f>IF(H12="not applicable",IF(K12&lt;&gt;"",1,0),IF(I12="yes",IF(H12="verified",1,0),IF(OR(H12="tested",H12="verified"),1,0)))</x:f>
        <x:v>1</x:v>
      </x:c>
    </x:row>
    <x:row r="13" s="127" customFormat="1" ht="42" customHeight="1">
      <x:c r="A13" s="125" t="inlineStr">
        <x:is>
          <x:t xml:space="preserve">F-05</x:t>
        </x:is>
      </x:c>
      <x:c r="B13" s="125" t="inlineStr">
        <x:is>
          <x:t xml:space="preserve">Unit</x:t>
        </x:is>
      </x:c>
      <x:c r="C13" s="125" t="inlineStr">
        <x:is>
          <x:t xml:space="preserve">Fieldset</x:t>
        </x:is>
      </x:c>
      <x:c r="D13" s="125" t="inlineStr">
        <x:is>
          <x:t xml:space="preserve">Brick-owned DOM, recipes, adapters, and public hooks pass focused tests.</x:t>
        </x:is>
      </x:c>
      <x:c r="E13" s="125" t="inlineStr">
        <x:is>
          <x:t xml:space="preserve">package</x:t>
        </x:is>
      </x:c>
      <x:c r="F13" s="125" t="inlineStr">
        <x:is>
          <x:t xml:space="preserve">component</x:t>
        </x:is>
      </x:c>
      <x:c r="G13" s="125" t="inlineStr">
        <x:is>
          <x:t xml:space="preserve">../test/components/fieldset/fieldset.test.tsx</x:t>
        </x:is>
      </x:c>
      <x:c r="H13" s="125" t="inlineStr">
        <x:is>
          <x:t xml:space="preserve">tested</x:t>
        </x:is>
      </x:c>
      <x:c r="I13" s="125" t="inlineStr">
        <x:is>
          <x:t xml:space="preserve">no</x:t>
        </x:is>
      </x:c>
      <x:c r="J13" s="141" t="n">
        <x:v>46227</x:v>
      </x:c>
      <x:c r="L13" s="125" t="n">
        <x:v>1</x:v>
      </x:c>
      <x:c r="M13" s="125" t="n">
        <x:f>IF(H13="not applicable",IF(K13&lt;&gt;"",1,0),IF(I13="yes",IF(H13="verified",1,0),IF(OR(H13="tested",H13="verified"),1,0)))</x:f>
        <x:v>1</x:v>
      </x:c>
    </x:row>
    <x:row r="14" s="127" customFormat="1" ht="42" customHeight="1">
      <x:c r="A14" s="125" t="inlineStr">
        <x:is>
          <x:t xml:space="preserve">F-06</x:t>
        </x:is>
      </x:c>
      <x:c r="B14" s="125" t="inlineStr">
        <x:is>
          <x:t xml:space="preserve">Browser</x:t>
        </x:is>
      </x:c>
      <x:c r="C14" s="125" t="inlineStr">
        <x:is>
          <x:t xml:space="preserve">Fieldset</x:t>
        </x:is>
      </x:c>
      <x:c r="D14" s="125" t="inlineStr">
        <x:is>
          <x:t xml:space="preserve">Real-browser behavior and component contract checks pass.</x:t>
        </x:is>
      </x:c>
      <x:c r="E14" s="125" t="inlineStr">
        <x:is>
          <x:t xml:space="preserve">package</x:t>
        </x:is>
      </x:c>
      <x:c r="F14" s="125" t="inlineStr">
        <x:is>
          <x:t xml:space="preserve">browser</x:t>
        </x:is>
      </x:c>
      <x:c r="G14" s="125" t="inlineStr">
        <x:is>
          <x:t xml:space="preserve">tests/components/fieldset/behavior.spec.ts</x:t>
        </x:is>
      </x:c>
      <x:c r="H14" s="125" t="inlineStr">
        <x:is>
          <x:t xml:space="preserve">tested</x:t>
        </x:is>
      </x:c>
      <x:c r="I14" s="125" t="inlineStr">
        <x:is>
          <x:t xml:space="preserve">no</x:t>
        </x:is>
      </x:c>
      <x:c r="J14" s="141" t="n">
        <x:v>46227</x:v>
      </x:c>
      <x:c r="L14" s="125" t="n">
        <x:v>1</x:v>
      </x:c>
      <x:c r="M14" s="125" t="n">
        <x:f>IF(H14="not applicable",IF(K14&lt;&gt;"",1,0),IF(I14="yes",IF(H14="verified",1,0),IF(OR(H14="tested",H14="verified"),1,0)))</x:f>
        <x:v>1</x:v>
      </x:c>
    </x:row>
    <x:row r="15" s="127" customFormat="1" ht="42" customHeight="1">
      <x:c r="A15" s="125" t="inlineStr">
        <x:is>
          <x:t xml:space="preserve">F-07</x:t>
        </x:is>
      </x:c>
      <x:c r="B15" s="125" t="inlineStr">
        <x:is>
          <x:t xml:space="preserve">Accessibility</x:t>
        </x:is>
      </x:c>
      <x:c r="C15" s="125" t="inlineStr">
        <x:is>
          <x:t xml:space="preserve">Fieldset</x:t>
        </x:is>
      </x:c>
      <x:c r="D15" s="125" t="inlineStr">
        <x:is>
          <x:t xml:space="preserve">Automated semantics and accessibility checks pass in the browser evidence suite.</x:t>
        </x:is>
      </x:c>
      <x:c r="E15" s="125" t="inlineStr">
        <x:is>
          <x:t xml:space="preserve">package</x:t>
        </x:is>
      </x:c>
      <x:c r="F15" s="125" t="inlineStr">
        <x:is>
          <x:t xml:space="preserve">axe</x:t>
        </x:is>
      </x:c>
      <x:c r="G15" s="125" t="inlineStr">
        <x:is>
          <x:t xml:space="preserve">tests/components/fieldset/behavior.spec.ts; tests/integration</x:t>
        </x:is>
      </x:c>
      <x:c r="H15" s="125" t="inlineStr">
        <x:is>
          <x:t xml:space="preserve">tested</x:t>
        </x:is>
      </x:c>
      <x:c r="I15" s="125" t="inlineStr">
        <x:is>
          <x:t xml:space="preserve">no</x:t>
        </x:is>
      </x:c>
      <x:c r="J15" s="141" t="n">
        <x:v>46227</x:v>
      </x:c>
      <x:c r="L15" s="125" t="n">
        <x:v>1</x:v>
      </x:c>
      <x:c r="M15" s="125" t="n">
        <x:f>IF(H15="not applicable",IF(K15&lt;&gt;"",1,0),IF(I15="yes",IF(H15="verified",1,0),IF(OR(H15="tested",H15="verified"),1,0)))</x:f>
        <x:v>1</x:v>
      </x:c>
    </x:row>
    <x:row r="16" s="127" customFormat="1" ht="42" customHeight="1">
      <x:c r="A16" s="125" t="inlineStr">
        <x:is>
          <x:t xml:space="preserve">F-08</x:t>
        </x:is>
      </x:c>
      <x:c r="B16" s="125" t="inlineStr">
        <x:is>
          <x:t xml:space="preserve">Visual</x:t>
        </x:is>
      </x:c>
      <x:c r="C16" s="125" t="inlineStr">
        <x:is>
          <x:t xml:space="preserve">Fieldset</x:t>
        </x:is>
      </x:c>
      <x:c r="D16" s="125" t="inlineStr">
        <x:is>
          <x:t xml:space="preserve">Reviewed baselines cover the component's risk-selected recipes and states.</x:t>
        </x:is>
      </x:c>
      <x:c r="E16" s="125" t="inlineStr">
        <x:is>
          <x:t xml:space="preserve">package</x:t>
        </x:is>
      </x:c>
      <x:c r="F16" s="125" t="inlineStr">
        <x:is>
          <x:t xml:space="preserve">visual</x:t>
        </x:is>
      </x:c>
      <x:c r="G16" s="125" t="inlineStr">
        <x:is>
          <x:t xml:space="preserve">tests/components/fieldset/visual.spec.ts</x:t>
        </x:is>
      </x:c>
      <x:c r="H16" s="125" t="inlineStr">
        <x:is>
          <x:t xml:space="preserve">verified</x:t>
        </x:is>
      </x:c>
      <x:c r="I16" s="125" t="inlineStr">
        <x:is>
          <x:t xml:space="preserve">yes</x:t>
        </x:is>
      </x:c>
      <x:c r="J16" s="141" t="n">
        <x:v>46227</x:v>
      </x:c>
      <x:c r="K16" s="125" t="inlineStr">
        <x:is>
          <x:t xml:space="preserve">Owner reviewed the current playground evidence.</x:t>
        </x:is>
      </x:c>
      <x:c r="L16" s="125" t="n">
        <x:v>1</x:v>
      </x:c>
      <x:c r="M16" s="125" t="n">
        <x:f>IF(H16="not applicable",IF(K16&lt;&gt;"",1,0),IF(I16="yes",IF(H16="verified",1,0),IF(OR(H16="tested",H16="verified"),1,0)))</x:f>
        <x:v>1</x:v>
      </x:c>
    </x:row>
    <x:row r="17" s="127" customFormat="1" ht="42" customHeight="1">
      <x:c r="A17" s="125" t="inlineStr">
        <x:is>
          <x:t xml:space="preserve">F-09</x:t>
        </x:is>
      </x:c>
      <x:c r="B17" s="125" t="inlineStr">
        <x:is>
          <x:t xml:space="preserve">Responsive</x:t>
        </x:is>
      </x:c>
      <x:c r="C17" s="125" t="inlineStr">
        <x:is>
          <x:t xml:space="preserve">Fieldset</x:t>
        </x:is>
      </x:c>
      <x:c r="D17" s="125" t="inlineStr">
        <x:is>
          <x:t xml:space="preserve">Mobile, zoom/reflow, content stress, and RTL remain usable and contained.</x:t>
        </x:is>
      </x:c>
      <x:c r="E17" s="125" t="inlineStr">
        <x:is>
          <x:t xml:space="preserve">package</x:t>
        </x:is>
      </x:c>
      <x:c r="F17" s="125" t="inlineStr">
        <x:is>
          <x:t xml:space="preserve">manual</x:t>
        </x:is>
      </x:c>
      <x:c r="G17" s="125" t="inlineStr">
        <x:is>
          <x:t xml:space="preserve">manual-tests/fieldset.md</x:t>
        </x:is>
      </x:c>
      <x:c r="H17" s="125" t="inlineStr">
        <x:is>
          <x:t xml:space="preserve">implemented</x:t>
        </x:is>
      </x:c>
      <x:c r="I17" s="125" t="inlineStr">
        <x:is>
          <x:t xml:space="preserve">yes</x:t>
        </x:is>
      </x:c>
      <x:c r="J17" s="141" t="n"/>
      <x:c r="K17" s="125" t="inlineStr">
        <x:is>
          <x:t xml:space="preserve">Human protocol remains pending. Automated and visual evidence stays in its owning tests and does not complete this human gate.</x:t>
        </x:is>
      </x:c>
      <x:c r="L17" s="125" t="n">
        <x:v>1</x:v>
      </x:c>
      <x:c r="M17" s="125" t="n">
        <x:f>IF(H17="not applicable",IF(K17&lt;&gt;"",1,0),IF(I17="yes",IF(H17="verified",1,0),IF(OR(H17="tested",H17="verified"),1,0)))</x:f>
        <x:v>0</x:v>
      </x:c>
    </x:row>
    <x:row r="18" s="127" customFormat="1" ht="42" customHeight="1">
      <x:c r="A18" s="125" t="inlineStr">
        <x:is>
          <x:t xml:space="preserve">F-10</x:t>
        </x:is>
      </x:c>
      <x:c r="B18" s="125" t="inlineStr">
        <x:is>
          <x:t xml:space="preserve">Theme</x:t>
        </x:is>
      </x:c>
      <x:c r="C18" s="125" t="inlineStr">
        <x:is>
          <x:t xml:space="preserve">Fieldset</x:t>
        </x:is>
      </x:c>
      <x:c r="D18" s="125" t="inlineStr">
        <x:is>
          <x:t xml:space="preserve">Light, dark, focus, forced-colors, and relevant motion behavior remain perceivable.</x:t>
        </x:is>
      </x:c>
      <x:c r="E18" s="125" t="inlineStr">
        <x:is>
          <x:t xml:space="preserve">package</x:t>
        </x:is>
      </x:c>
      <x:c r="F18" s="125" t="inlineStr">
        <x:is>
          <x:t xml:space="preserve">manual</x:t>
        </x:is>
      </x:c>
      <x:c r="G18" s="125" t="inlineStr">
        <x:is>
          <x:t xml:space="preserve">manual-tests/fieldset.md</x:t>
        </x:is>
      </x:c>
      <x:c r="H18" s="125" t="inlineStr">
        <x:is>
          <x:t xml:space="preserve">implemented</x:t>
        </x:is>
      </x:c>
      <x:c r="I18" s="125" t="inlineStr">
        <x:is>
          <x:t xml:space="preserve">yes</x:t>
        </x:is>
      </x:c>
      <x:c r="J18" s="141" t="n"/>
      <x:c r="K18" s="125" t="inlineStr">
        <x:is>
          <x:t xml:space="preserve">Human protocol remains pending. Automated and visual evidence stays in its owning tests and does not complete this human gate.</x:t>
        </x:is>
      </x:c>
      <x:c r="L18" s="125" t="n">
        <x:v>1</x:v>
      </x:c>
      <x:c r="M18" s="125" t="n">
        <x:f>IF(H18="not applicable",IF(K18&lt;&gt;"",1,0),IF(I18="yes",IF(H18="verified",1,0),IF(OR(H18="tested",H18="verified"),1,0)))</x:f>
        <x:v>0</x:v>
      </x:c>
    </x:row>
    <x:row r="19" s="127" customFormat="1" ht="42" customHeight="1">
      <x:c r="A19" s="125" t="inlineStr">
        <x:is>
          <x:t xml:space="preserve">F-11</x:t>
        </x:is>
      </x:c>
      <x:c r="B19" s="125" t="inlineStr">
        <x:is>
          <x:t xml:space="preserve">Composition</x:t>
        </x:is>
      </x:c>
      <x:c r="C19" s="125" t="inlineStr">
        <x:is>
          <x:t xml:space="preserve">Fieldset</x:t>
        </x:is>
      </x:c>
      <x:c r="D19" s="125" t="inlineStr">
        <x:is>
          <x:t xml:space="preserve">Default, render, and asChild output preserve the intended element, slots, state, and relationships.</x:t>
        </x:is>
      </x:c>
      <x:c r="E19" s="125" t="inlineStr">
        <x:is>
          <x:t xml:space="preserve">package</x:t>
        </x:is>
      </x:c>
      <x:c r="F19" s="125" t="inlineStr">
        <x:is>
          <x:t xml:space="preserve">manual</x:t>
        </x:is>
      </x:c>
      <x:c r="G19" s="125" t="inlineStr">
        <x:is>
          <x:t xml:space="preserve">manual-tests/fieldset.md; tests/components/fieldset/behavior.spec.ts</x:t>
        </x:is>
      </x:c>
      <x:c r="H19" s="125" t="inlineStr">
        <x:is>
          <x:t xml:space="preserve">implemented</x:t>
        </x:is>
      </x:c>
      <x:c r="I19" s="125" t="inlineStr">
        <x:is>
          <x:t xml:space="preserve">yes</x:t>
        </x:is>
      </x:c>
      <x:c r="J19" s="141" t="n"/>
      <x:c r="K19" s="125" t="inlineStr">
        <x:is>
          <x:t xml:space="preserve">Human protocol remains pending. Automated and visual evidence stays in its owning tests and does not complete this human gate.</x:t>
        </x:is>
      </x:c>
      <x:c r="L19" s="125" t="n">
        <x:v>1</x:v>
      </x:c>
      <x:c r="M19" s="125" t="n">
        <x:f>IF(H19="not applicable",IF(K19&lt;&gt;"",1,0),IF(I19="yes",IF(H19="verified",1,0),IF(OR(H19="tested",H19="verified"),1,0)))</x:f>
        <x:v>0</x:v>
      </x:c>
    </x:row>
    <x:row r="20" s="127" customFormat="1" ht="42" customHeight="1">
      <x:c r="A20" s="125" t="inlineStr">
        <x:is>
          <x:t xml:space="preserve">F-12</x:t>
        </x:is>
      </x:c>
      <x:c r="B20" s="125" t="inlineStr">
        <x:is>
          <x:t xml:space="preserve">Manual</x:t>
        </x:is>
      </x:c>
      <x:c r="C20" s="125" t="inlineStr">
        <x:is>
          <x:t xml:space="preserve">Fieldset</x:t>
        </x:is>
      </x:c>
      <x:c r="D20" s="125" t="inlineStr">
        <x:is>
          <x:t xml:space="preserve">The complete component-owned manual protocol passed against every playground scenario.</x:t>
        </x:is>
      </x:c>
      <x:c r="E20" s="125" t="inlineStr">
        <x:is>
          <x:t xml:space="preserve">package</x:t>
        </x:is>
      </x:c>
      <x:c r="F20" s="125" t="inlineStr">
        <x:is>
          <x:t xml:space="preserve">manual</x:t>
        </x:is>
      </x:c>
      <x:c r="G20" s="125" t="inlineStr">
        <x:is>
          <x:t xml:space="preserve">manual-tests/fieldset.md</x:t>
        </x:is>
      </x:c>
      <x:c r="H20" s="125" t="inlineStr">
        <x:is>
          <x:t xml:space="preserve">implemented</x:t>
        </x:is>
      </x:c>
      <x:c r="I20" s="125" t="inlineStr">
        <x:is>
          <x:t xml:space="preserve">yes</x:t>
        </x:is>
      </x:c>
      <x:c r="J20" s="141" t="n"/>
      <x:c r="K20" s="125" t="inlineStr">
        <x:is>
          <x:t xml:space="preserve">Human protocol remains pending. Automated and visual evidence stays in its owning tests and does not complete this human gate.</x:t>
        </x:is>
      </x:c>
      <x:c r="L20" s="125" t="n">
        <x:v>1</x:v>
      </x:c>
      <x:c r="M20" s="125" t="n">
        <x:f>IF(H20="not applicable",IF(K20&lt;&gt;"",1,0),IF(I20="yes",IF(H20="verified",1,0),IF(OR(H20="tested",H20="verified"),1,0)))</x:f>
        <x:v>0</x:v>
      </x:c>
    </x:row>
    <x:row r="21" s="127" customFormat="1" ht="42" customHeight="1">
      <x:c r="A21" s="125" t="inlineStr">
        <x:is>
          <x:t xml:space="preserve">F-13</x:t>
        </x:is>
      </x:c>
      <x:c r="B21" s="125" t="inlineStr">
        <x:is>
          <x:t xml:space="preserve">Docs</x:t>
        </x:is>
      </x:c>
      <x:c r="C21" s="125" t="inlineStr">
        <x:is>
          <x:t xml:space="preserve">Fieldset</x:t>
        </x:is>
      </x:c>
      <x:c r="D21" s="125" t="inlineStr">
        <x:is>
          <x:t xml:space="preserve">Public usage documentation exists at the component-owned path.</x:t>
        </x:is>
      </x:c>
      <x:c r="E21" s="125" t="inlineStr">
        <x:is>
          <x:t xml:space="preserve">package</x:t>
        </x:is>
      </x:c>
      <x:c r="F21" s="125" t="inlineStr">
        <x:is>
          <x:t xml:space="preserve">docs</x:t>
        </x:is>
      </x:c>
      <x:c r="G21" s="125" t="inlineStr">
        <x:is>
          <x:t xml:space="preserve">../docs/components/fieldset/README.md</x:t>
        </x:is>
      </x:c>
      <x:c r="H21" s="125" t="inlineStr">
        <x:is>
          <x:t xml:space="preserve">tested</x:t>
        </x:is>
      </x:c>
      <x:c r="I21" s="125" t="inlineStr">
        <x:is>
          <x:t xml:space="preserve">no</x:t>
        </x:is>
      </x:c>
      <x:c r="J21" s="141" t="n">
        <x:v>46227</x:v>
      </x:c>
      <x:c r="L21" s="125" t="n">
        <x:v>1</x:v>
      </x:c>
      <x:c r="M21" s="125" t="n">
        <x:f>IF(H21="not applicable",IF(K21&lt;&gt;"",1,0),IF(I21="yes",IF(H21="verified",1,0),IF(OR(H21="tested",H21="verified"),1,0)))</x:f>
        <x:v>1</x:v>
      </x:c>
    </x:row>
    <x:row r="22" s="127" customFormat="1" ht="42" customHeight="1">
      <x:c r="A22" s="125" t="inlineStr">
        <x:is>
          <x:t xml:space="preserve">F-14</x:t>
        </x:is>
      </x:c>
      <x:c r="B22" s="125" t="inlineStr">
        <x:is>
          <x:t xml:space="preserve">Changelog</x:t>
        </x:is>
      </x:c>
      <x:c r="C22" s="125" t="inlineStr">
        <x:is>
          <x:t xml:space="preserve">Fieldset</x:t>
        </x:is>
      </x:c>
      <x:c r="D22" s="125" t="inlineStr">
        <x:is>
          <x:t xml:space="preserve">The component owns a public changelog.</x:t>
        </x:is>
      </x:c>
      <x:c r="E22" s="125" t="inlineStr">
        <x:is>
          <x:t xml:space="preserve">package</x:t>
        </x:is>
      </x:c>
      <x:c r="F22" s="125" t="inlineStr">
        <x:is>
          <x:t xml:space="preserve">docs</x:t>
        </x:is>
      </x:c>
      <x:c r="G22" s="125" t="inlineStr">
        <x:is>
          <x:t xml:space="preserve">../docs/components/fieldset/CHANGELOG.md</x:t>
        </x:is>
      </x:c>
      <x:c r="H22" s="125" t="inlineStr">
        <x:is>
          <x:t xml:space="preserve">tested</x:t>
        </x:is>
      </x:c>
      <x:c r="I22" s="125" t="inlineStr">
        <x:is>
          <x:t xml:space="preserve">no</x:t>
        </x:is>
      </x:c>
      <x:c r="J22" s="141" t="n">
        <x:v>46227</x:v>
      </x:c>
      <x:c r="L22" s="125" t="n">
        <x:v>1</x:v>
      </x:c>
      <x:c r="M22" s="125" t="n">
        <x:f>IF(H22="not applicable",IF(K22&lt;&gt;"",1,0),IF(I22="yes",IF(H22="verified",1,0),IF(OR(H22="tested",H22="verified"),1,0)))</x:f>
        <x:v>1</x:v>
      </x:c>
    </x:row>
    <x:row r="23" s="127" customFormat="1" ht="42" customHeight="1">
      <x:c r="A23" s="125" t="inlineStr">
        <x:is>
          <x:t xml:space="preserve">F-15</x:t>
        </x:is>
      </x:c>
      <x:c r="B23" s="125" t="inlineStr">
        <x:is>
          <x:t xml:space="preserve">Consumer</x:t>
        </x:is>
      </x:c>
      <x:c r="C23" s="125" t="inlineStr">
        <x:is>
          <x:t xml:space="preserve">Fieldset</x:t>
        </x:is>
      </x:c>
      <x:c r="D23" s="125" t="inlineStr">
        <x:is>
          <x:t xml:space="preserve">The standalone consumer imports and exercises the public package component.</x:t>
        </x:is>
      </x:c>
      <x:c r="E23" s="125" t="inlineStr">
        <x:is>
          <x:t xml:space="preserve">consumer</x:t>
        </x:is>
      </x:c>
      <x:c r="F23" s="125" t="inlineStr">
        <x:is>
          <x:t xml:space="preserve">consumer</x:t>
        </x:is>
      </x:c>
      <x:c r="G23" s="125" t="inlineStr">
        <x:is>
          <x:t xml:space="preserve">../apps/consumer/src/App.tsx; ../apps/consumer/tests/consumer.spec.ts</x:t>
        </x:is>
      </x:c>
      <x:c r="H23" s="125" t="inlineStr">
        <x:is>
          <x:t xml:space="preserve">tested</x:t>
        </x:is>
      </x:c>
      <x:c r="I23" s="125" t="inlineStr">
        <x:is>
          <x:t xml:space="preserve">no</x:t>
        </x:is>
      </x:c>
      <x:c r="J23" s="141" t="n">
        <x:v>46227</x:v>
      </x:c>
      <x:c r="L23" s="125" t="n">
        <x:v>1</x:v>
      </x:c>
      <x:c r="M23" s="125" t="n">
        <x:f>IF(H23="not applicable",IF(K23&lt;&gt;"",1,0),IF(I23="yes",IF(H23="verified",1,0),IF(OR(H23="tested",H23="verified"),1,0)))</x:f>
        <x:v>1</x:v>
      </x:c>
    </x:row>
    <x:row r="24" s="127" customFormat="1" ht="42" customHeight="1">
      <x:c r="A24" s="125" t="inlineStr">
        <x:is>
          <x:t xml:space="preserve">F-16</x:t>
        </x:is>
      </x:c>
      <x:c r="B24" s="125" t="inlineStr">
        <x:is>
          <x:t xml:space="preserve">Package</x:t>
        </x:is>
      </x:c>
      <x:c r="C24" s="125" t="inlineStr">
        <x:is>
          <x:t xml:space="preserve">Fieldset</x:t>
        </x:is>
      </x:c>
      <x:c r="D24" s="125" t="inlineStr">
        <x:is>
          <x:t xml:space="preserve">Build, exports, tarball, CSS, and consumer boundary verification pass.</x:t>
        </x:is>
      </x:c>
      <x:c r="E24" s="125" t="inlineStr">
        <x:is>
          <x:t xml:space="preserve">package</x:t>
        </x:is>
      </x:c>
      <x:c r="F24" s="125" t="inlineStr">
        <x:is>
          <x:t xml:space="preserve">package</x:t>
        </x:is>
      </x:c>
      <x:c r="G24" s="125" t="inlineStr">
        <x:is>
          <x:t xml:space="preserve">../scripts/verify-package.mjs; ../scripts/verify-consumers.mjs</x:t>
        </x:is>
      </x:c>
      <x:c r="H24" s="125" t="inlineStr">
        <x:is>
          <x:t xml:space="preserve">tested</x:t>
        </x:is>
      </x:c>
      <x:c r="I24" s="125" t="inlineStr">
        <x:is>
          <x:t xml:space="preserve">no</x:t>
        </x:is>
      </x:c>
      <x:c r="J24" s="141" t="n">
        <x:v>46227</x:v>
      </x:c>
      <x:c r="L24" s="125" t="n">
        <x:v>1</x:v>
      </x:c>
      <x:c r="M24" s="125" t="n">
        <x:f>IF(H24="not applicable",IF(K24&lt;&gt;"",1,0),IF(I24="yes",IF(H24="verified",1,0),IF(OR(H24="tested",H24="verified"),1,0)))</x:f>
        <x:v>1</x:v>
      </x:c>
    </x:row>
  </x:sheetData>
  <x:mergeCells>
    <x:mergeCell ref="A2:M2"/>
    <x:mergeCell ref="A1:M1"/>
  </x:mergeCells>
  <x:conditionalFormatting sqref="H9:H24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1" showDropDown="0" showInputMessage="1" showErrorMessage="1" sqref="H9:H24">
      <x:formula1>"not started,partial,implemented,tested,verified,blocked,not applicable"</x:formula1>
      <x:formula2>0</x:formula2>
    </x:dataValidation>
    <x:dataValidation type="list" errorStyle="stop" operator="between" allowBlank="1" showDropDown="0" showInputMessage="1" showErrorMessage="1" sqref="I9:I24">
      <x:formula1>"yes,no"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70beb47ef4645ea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Form Evidence</x:t>
        </x:is>
      </x:c>
    </x:row>
    <x:row r="2" s="127" customFormat="1" ht="27.75" customHeight="1">
      <x:c r="A2" s="129" t="inlineStr">
        <x:is>
          <x:t xml:space="preserve">Assertion-level package, browser, human-review, documentation, and consumer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COUNTA(A9:A200)</x:f>
        <x:v>16</x:v>
      </x:c>
      <x:c r="D4" s="130" t="inlineStr">
        <x:is>
          <x:t xml:space="preserve">Resolved</x:t>
        </x:is>
      </x:c>
      <x:c r="E4" s="131" t="n">
        <x:f>SUM(M9:M200)</x:f>
        <x:v>12</x:v>
      </x:c>
      <x:c r="G4" s="130" t="inlineStr">
        <x:is>
          <x:t xml:space="preserve">Completion</x:t>
        </x:is>
      </x:c>
      <x:c r="H4" s="132" t="n">
        <x:f>IF(B4=0,0,E4/B4)</x:f>
        <x:v>0.75</x:v>
      </x:c>
      <x:c r="J4" s="130" t="inlineStr">
        <x:is>
          <x:t xml:space="preserve">Package gate</x:t>
        </x:is>
      </x:c>
      <x:c r="K4" s="131" t="str"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v>open</x:v>
      </x:c>
      <x:c r="D5" s="130" t="inlineStr">
        <x:is>
          <x:t xml:space="preserve">Consumer gate</x:t>
        </x:is>
      </x:c>
      <x:c r="E5" s="131" t="str">
        <x:v>open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42" customHeight="1">
      <x:c r="A9" s="125" t="inlineStr">
        <x:is>
          <x:t xml:space="preserve">F-01</x:t>
        </x:is>
      </x:c>
      <x:c r="B9" s="125" t="inlineStr">
        <x:is>
          <x:t xml:space="preserve">Implementation</x:t>
        </x:is>
      </x:c>
      <x:c r="C9" s="125" t="inlineStr">
        <x:is>
          <x:t xml:space="preserve">Form</x:t>
        </x:is>
      </x:c>
      <x:c r="D9" s="125" t="inlineStr">
        <x:is>
          <x:t xml:space="preserve">Public component implementation and Atom adapter exist.</x:t>
        </x:is>
      </x:c>
      <x:c r="E9" s="125" t="inlineStr">
        <x:is>
          <x:t xml:space="preserve">package</x:t>
        </x:is>
      </x:c>
      <x:c r="F9" s="125" t="inlineStr">
        <x:is>
          <x:t xml:space="preserve">source</x:t>
        </x:is>
      </x:c>
      <x:c r="G9" s="125" t="inlineStr">
        <x:is>
          <x:t xml:space="preserve">../src/components/form</x:t>
        </x:is>
      </x:c>
      <x:c r="H9" s="125" t="inlineStr">
        <x:is>
          <x:t xml:space="preserve">tested</x:t>
        </x:is>
      </x:c>
      <x:c r="I9" s="125" t="inlineStr">
        <x:is>
          <x:t xml:space="preserve">no</x:t>
        </x:is>
      </x:c>
      <x:c r="J9" s="141" t="n">
        <x:v>46227</x:v>
      </x:c>
      <x:c r="L9" s="125" t="n">
        <x:v>1</x:v>
      </x:c>
      <x:c r="M9" s="125" t="n">
        <x:f>IF(H9="not applicable",IF(K9&lt;&gt;"",1,0),IF(I9="yes",IF(H9="verified",1,0),IF(OR(H9="tested",H9="verified"),1,0)))</x:f>
        <x:v>1</x:v>
      </x:c>
    </x:row>
    <x:row r="10" s="127" customFormat="1" ht="42" customHeight="1">
      <x:c r="A10" s="125" t="inlineStr">
        <x:is>
          <x:t xml:space="preserve">F-02</x:t>
        </x:is>
      </x:c>
      <x:c r="B10" s="125" t="inlineStr">
        <x:is>
          <x:t xml:space="preserve">Exports</x:t>
        </x:is>
      </x:c>
      <x:c r="C10" s="125" t="inlineStr">
        <x:is>
          <x:t xml:space="preserve">Form</x:t>
        </x:is>
      </x:c>
      <x:c r="D10" s="125" t="inlineStr">
        <x:is>
          <x:t xml:space="preserve">Root and public subpath exports expose the component.</x:t>
        </x:is>
      </x:c>
      <x:c r="E10" s="125" t="inlineStr">
        <x:is>
          <x:t xml:space="preserve">package</x:t>
        </x:is>
      </x:c>
      <x:c r="F10" s="125" t="inlineStr">
        <x:is>
          <x:t xml:space="preserve">package</x:t>
        </x:is>
      </x:c>
      <x:c r="G10" s="125" t="inlineStr">
        <x:is>
          <x:t xml:space="preserve">../test/package/package.test.mjs</x:t>
        </x:is>
      </x:c>
      <x:c r="H10" s="125" t="inlineStr">
        <x:is>
          <x:t xml:space="preserve">tested</x:t>
        </x:is>
      </x:c>
      <x:c r="I10" s="125" t="inlineStr">
        <x:is>
          <x:t xml:space="preserve">no</x:t>
        </x:is>
      </x:c>
      <x:c r="J10" s="141" t="n">
        <x:v>46227</x:v>
      </x:c>
      <x:c r="L10" s="125" t="n">
        <x:v>1</x:v>
      </x:c>
      <x:c r="M10" s="125" t="n">
        <x:f>IF(H10="not applicable",IF(K10&lt;&gt;"",1,0),IF(I10="yes",IF(H10="verified",1,0),IF(OR(H10="tested",H10="verified"),1,0)))</x:f>
        <x:v>1</x:v>
      </x:c>
    </x:row>
    <x:row r="11" s="127" customFormat="1" ht="42" customHeight="1">
      <x:c r="A11" s="125" t="inlineStr">
        <x:is>
          <x:t xml:space="preserve">F-03</x:t>
        </x:is>
      </x:c>
      <x:c r="B11" s="125" t="inlineStr">
        <x:is>
          <x:t xml:space="preserve">Types</x:t>
        </x:is>
      </x:c>
      <x:c r="C11" s="125" t="inlineStr">
        <x:is>
          <x:t xml:space="preserve">Form</x:t>
        </x:is>
      </x:c>
      <x:c r="D11" s="125" t="inlineStr">
        <x:is>
          <x:t xml:space="preserve">Public props, refs, composition branches, and invalid cases type-check.</x:t>
        </x:is>
      </x:c>
      <x:c r="E11" s="125" t="inlineStr">
        <x:is>
          <x:t xml:space="preserve">package</x:t>
        </x:is>
      </x:c>
      <x:c r="F11" s="125" t="inlineStr">
        <x:is>
          <x:t xml:space="preserve">types</x:t>
        </x:is>
      </x:c>
      <x:c r="G11" s="125" t="inlineStr">
        <x:is>
          <x:t xml:space="preserve">../test/types/components/form.test.ts</x:t>
        </x:is>
      </x:c>
      <x:c r="H11" s="125" t="inlineStr">
        <x:is>
          <x:t xml:space="preserve">tested</x:t>
        </x:is>
      </x:c>
      <x:c r="I11" s="125" t="inlineStr">
        <x:is>
          <x:t xml:space="preserve">no</x:t>
        </x:is>
      </x:c>
      <x:c r="J11" s="141" t="n">
        <x:v>46227</x:v>
      </x:c>
      <x:c r="L11" s="125" t="n">
        <x:v>1</x:v>
      </x:c>
      <x:c r="M11" s="125" t="n">
        <x:f>IF(H11="not applicable",IF(K11&lt;&gt;"",1,0),IF(I11="yes",IF(H11="verified",1,0),IF(OR(H11="tested",H11="verified"),1,0)))</x:f>
        <x:v>1</x:v>
      </x:c>
    </x:row>
    <x:row r="12" s="127" customFormat="1" ht="42" customHeight="1">
      <x:c r="A12" s="125" t="inlineStr">
        <x:is>
          <x:t xml:space="preserve">F-04</x:t>
        </x:is>
      </x:c>
      <x:c r="B12" s="125" t="inlineStr">
        <x:is>
          <x:t xml:space="preserve">CSS</x:t>
        </x:is>
      </x:c>
      <x:c r="C12" s="125" t="inlineStr">
        <x:is>
          <x:t xml:space="preserve">Form</x:t>
        </x:is>
      </x:c>
      <x:c r="D12" s="125" t="inlineStr">
        <x:is>
          <x:t xml:space="preserve">Static public CSS, classes, slots, recipes, states, and tokens are present.</x:t>
        </x:is>
      </x:c>
      <x:c r="E12" s="125" t="inlineStr">
        <x:is>
          <x:t xml:space="preserve">package</x:t>
        </x:is>
      </x:c>
      <x:c r="F12" s="125" t="inlineStr">
        <x:is>
          <x:t xml:space="preserve">css</x:t>
        </x:is>
      </x:c>
      <x:c r="G12" s="125" t="inlineStr">
        <x:is>
          <x:t xml:space="preserve">../src/components/form/form.css</x:t>
        </x:is>
      </x:c>
      <x:c r="H12" s="125" t="inlineStr">
        <x:is>
          <x:t xml:space="preserve">tested</x:t>
        </x:is>
      </x:c>
      <x:c r="I12" s="125" t="inlineStr">
        <x:is>
          <x:t xml:space="preserve">no</x:t>
        </x:is>
      </x:c>
      <x:c r="J12" s="141" t="n">
        <x:v>46227</x:v>
      </x:c>
      <x:c r="L12" s="125" t="n">
        <x:v>1</x:v>
      </x:c>
      <x:c r="M12" s="125" t="n">
        <x:f>IF(H12="not applicable",IF(K12&lt;&gt;"",1,0),IF(I12="yes",IF(H12="verified",1,0),IF(OR(H12="tested",H12="verified"),1,0)))</x:f>
        <x:v>1</x:v>
      </x:c>
    </x:row>
    <x:row r="13" s="127" customFormat="1" ht="42" customHeight="1">
      <x:c r="A13" s="125" t="inlineStr">
        <x:is>
          <x:t xml:space="preserve">F-05</x:t>
        </x:is>
      </x:c>
      <x:c r="B13" s="125" t="inlineStr">
        <x:is>
          <x:t xml:space="preserve">Unit</x:t>
        </x:is>
      </x:c>
      <x:c r="C13" s="125" t="inlineStr">
        <x:is>
          <x:t xml:space="preserve">Form</x:t>
        </x:is>
      </x:c>
      <x:c r="D13" s="125" t="inlineStr">
        <x:is>
          <x:t xml:space="preserve">Brick-owned DOM, recipes, adapters, and public hooks pass focused tests.</x:t>
        </x:is>
      </x:c>
      <x:c r="E13" s="125" t="inlineStr">
        <x:is>
          <x:t xml:space="preserve">package</x:t>
        </x:is>
      </x:c>
      <x:c r="F13" s="125" t="inlineStr">
        <x:is>
          <x:t xml:space="preserve">component</x:t>
        </x:is>
      </x:c>
      <x:c r="G13" s="125" t="inlineStr">
        <x:is>
          <x:t xml:space="preserve">../test/components/form/form.test.tsx</x:t>
        </x:is>
      </x:c>
      <x:c r="H13" s="125" t="inlineStr">
        <x:is>
          <x:t xml:space="preserve">tested</x:t>
        </x:is>
      </x:c>
      <x:c r="I13" s="125" t="inlineStr">
        <x:is>
          <x:t xml:space="preserve">no</x:t>
        </x:is>
      </x:c>
      <x:c r="J13" s="141" t="n">
        <x:v>46227</x:v>
      </x:c>
      <x:c r="L13" s="125" t="n">
        <x:v>1</x:v>
      </x:c>
      <x:c r="M13" s="125" t="n">
        <x:f>IF(H13="not applicable",IF(K13&lt;&gt;"",1,0),IF(I13="yes",IF(H13="verified",1,0),IF(OR(H13="tested",H13="verified"),1,0)))</x:f>
        <x:v>1</x:v>
      </x:c>
    </x:row>
    <x:row r="14" s="127" customFormat="1" ht="42" customHeight="1">
      <x:c r="A14" s="125" t="inlineStr">
        <x:is>
          <x:t xml:space="preserve">F-06</x:t>
        </x:is>
      </x:c>
      <x:c r="B14" s="125" t="inlineStr">
        <x:is>
          <x:t xml:space="preserve">Browser</x:t>
        </x:is>
      </x:c>
      <x:c r="C14" s="125" t="inlineStr">
        <x:is>
          <x:t xml:space="preserve">Form</x:t>
        </x:is>
      </x:c>
      <x:c r="D14" s="125" t="inlineStr">
        <x:is>
          <x:t xml:space="preserve">Real-browser behavior and component contract checks pass.</x:t>
        </x:is>
      </x:c>
      <x:c r="E14" s="125" t="inlineStr">
        <x:is>
          <x:t xml:space="preserve">package</x:t>
        </x:is>
      </x:c>
      <x:c r="F14" s="125" t="inlineStr">
        <x:is>
          <x:t xml:space="preserve">browser</x:t>
        </x:is>
      </x:c>
      <x:c r="G14" s="125" t="inlineStr">
        <x:is>
          <x:t xml:space="preserve">tests/components/form/behavior.spec.ts</x:t>
        </x:is>
      </x:c>
      <x:c r="H14" s="125" t="inlineStr">
        <x:is>
          <x:t xml:space="preserve">tested</x:t>
        </x:is>
      </x:c>
      <x:c r="I14" s="125" t="inlineStr">
        <x:is>
          <x:t xml:space="preserve">no</x:t>
        </x:is>
      </x:c>
      <x:c r="J14" s="141" t="n">
        <x:v>46227</x:v>
      </x:c>
      <x:c r="L14" s="125" t="n">
        <x:v>1</x:v>
      </x:c>
      <x:c r="M14" s="125" t="n">
        <x:f>IF(H14="not applicable",IF(K14&lt;&gt;"",1,0),IF(I14="yes",IF(H14="verified",1,0),IF(OR(H14="tested",H14="verified"),1,0)))</x:f>
        <x:v>1</x:v>
      </x:c>
    </x:row>
    <x:row r="15" s="127" customFormat="1" ht="42" customHeight="1">
      <x:c r="A15" s="125" t="inlineStr">
        <x:is>
          <x:t xml:space="preserve">F-07</x:t>
        </x:is>
      </x:c>
      <x:c r="B15" s="125" t="inlineStr">
        <x:is>
          <x:t xml:space="preserve">Accessibility</x:t>
        </x:is>
      </x:c>
      <x:c r="C15" s="125" t="inlineStr">
        <x:is>
          <x:t xml:space="preserve">Form</x:t>
        </x:is>
      </x:c>
      <x:c r="D15" s="125" t="inlineStr">
        <x:is>
          <x:t xml:space="preserve">Automated semantics and accessibility checks pass in the browser evidence suite.</x:t>
        </x:is>
      </x:c>
      <x:c r="E15" s="125" t="inlineStr">
        <x:is>
          <x:t xml:space="preserve">package</x:t>
        </x:is>
      </x:c>
      <x:c r="F15" s="125" t="inlineStr">
        <x:is>
          <x:t xml:space="preserve">axe</x:t>
        </x:is>
      </x:c>
      <x:c r="G15" s="125" t="inlineStr">
        <x:is>
          <x:t xml:space="preserve">tests/components/form/behavior.spec.ts; tests/integration</x:t>
        </x:is>
      </x:c>
      <x:c r="H15" s="125" t="inlineStr">
        <x:is>
          <x:t xml:space="preserve">tested</x:t>
        </x:is>
      </x:c>
      <x:c r="I15" s="125" t="inlineStr">
        <x:is>
          <x:t xml:space="preserve">no</x:t>
        </x:is>
      </x:c>
      <x:c r="J15" s="141" t="n">
        <x:v>46227</x:v>
      </x:c>
      <x:c r="L15" s="125" t="n">
        <x:v>1</x:v>
      </x:c>
      <x:c r="M15" s="125" t="n">
        <x:f>IF(H15="not applicable",IF(K15&lt;&gt;"",1,0),IF(I15="yes",IF(H15="verified",1,0),IF(OR(H15="tested",H15="verified"),1,0)))</x:f>
        <x:v>1</x:v>
      </x:c>
    </x:row>
    <x:row r="16" s="127" customFormat="1" ht="42" customHeight="1">
      <x:c r="A16" s="125" t="inlineStr">
        <x:is>
          <x:t xml:space="preserve">F-08</x:t>
        </x:is>
      </x:c>
      <x:c r="B16" s="125" t="inlineStr">
        <x:is>
          <x:t xml:space="preserve">Visual</x:t>
        </x:is>
      </x:c>
      <x:c r="C16" s="125" t="inlineStr">
        <x:is>
          <x:t xml:space="preserve">Form</x:t>
        </x:is>
      </x:c>
      <x:c r="D16" s="125" t="inlineStr">
        <x:is>
          <x:t xml:space="preserve">Reviewed baselines cover the component's risk-selected recipes and states.</x:t>
        </x:is>
      </x:c>
      <x:c r="E16" s="125" t="inlineStr">
        <x:is>
          <x:t xml:space="preserve">package</x:t>
        </x:is>
      </x:c>
      <x:c r="F16" s="125" t="inlineStr">
        <x:is>
          <x:t xml:space="preserve">visual</x:t>
        </x:is>
      </x:c>
      <x:c r="G16" s="125" t="inlineStr">
        <x:is>
          <x:t xml:space="preserve">tests/components/form/visual.spec.ts</x:t>
        </x:is>
      </x:c>
      <x:c r="H16" s="125" t="inlineStr">
        <x:is>
          <x:t xml:space="preserve">verified</x:t>
        </x:is>
      </x:c>
      <x:c r="I16" s="125" t="inlineStr">
        <x:is>
          <x:t xml:space="preserve">yes</x:t>
        </x:is>
      </x:c>
      <x:c r="J16" s="141" t="n">
        <x:v>46227</x:v>
      </x:c>
      <x:c r="K16" s="125" t="inlineStr">
        <x:is>
          <x:t xml:space="preserve">Owner reviewed the current playground evidence.</x:t>
        </x:is>
      </x:c>
      <x:c r="L16" s="125" t="n">
        <x:v>1</x:v>
      </x:c>
      <x:c r="M16" s="125" t="n">
        <x:f>IF(H16="not applicable",IF(K16&lt;&gt;"",1,0),IF(I16="yes",IF(H16="verified",1,0),IF(OR(H16="tested",H16="verified"),1,0)))</x:f>
        <x:v>1</x:v>
      </x:c>
    </x:row>
    <x:row r="17" s="127" customFormat="1" ht="42" customHeight="1">
      <x:c r="A17" s="125" t="inlineStr">
        <x:is>
          <x:t xml:space="preserve">F-09</x:t>
        </x:is>
      </x:c>
      <x:c r="B17" s="125" t="inlineStr">
        <x:is>
          <x:t xml:space="preserve">Responsive</x:t>
        </x:is>
      </x:c>
      <x:c r="C17" s="125" t="inlineStr">
        <x:is>
          <x:t xml:space="preserve">Form</x:t>
        </x:is>
      </x:c>
      <x:c r="D17" s="125" t="inlineStr">
        <x:is>
          <x:t xml:space="preserve">Mobile, zoom/reflow, content stress, and RTL remain usable and contained.</x:t>
        </x:is>
      </x:c>
      <x:c r="E17" s="125" t="inlineStr">
        <x:is>
          <x:t xml:space="preserve">package</x:t>
        </x:is>
      </x:c>
      <x:c r="F17" s="125" t="inlineStr">
        <x:is>
          <x:t xml:space="preserve">manual</x:t>
        </x:is>
      </x:c>
      <x:c r="G17" s="125" t="inlineStr">
        <x:is>
          <x:t xml:space="preserve">manual-tests/form.md</x:t>
        </x:is>
      </x:c>
      <x:c r="H17" s="125" t="inlineStr">
        <x:is>
          <x:t xml:space="preserve">implemented</x:t>
        </x:is>
      </x:c>
      <x:c r="I17" s="125" t="inlineStr">
        <x:is>
          <x:t xml:space="preserve">yes</x:t>
        </x:is>
      </x:c>
      <x:c r="J17" s="141" t="n"/>
      <x:c r="K17" s="125" t="inlineStr">
        <x:is>
          <x:t xml:space="preserve">Human protocol remains pending. Automated and visual evidence stays in its owning tests and does not complete this human gate.</x:t>
        </x:is>
      </x:c>
      <x:c r="L17" s="125" t="n">
        <x:v>1</x:v>
      </x:c>
      <x:c r="M17" s="125" t="n">
        <x:f>IF(H17="not applicable",IF(K17&lt;&gt;"",1,0),IF(I17="yes",IF(H17="verified",1,0),IF(OR(H17="tested",H17="verified"),1,0)))</x:f>
        <x:v>0</x:v>
      </x:c>
    </x:row>
    <x:row r="18" s="127" customFormat="1" ht="42" customHeight="1">
      <x:c r="A18" s="125" t="inlineStr">
        <x:is>
          <x:t xml:space="preserve">F-10</x:t>
        </x:is>
      </x:c>
      <x:c r="B18" s="125" t="inlineStr">
        <x:is>
          <x:t xml:space="preserve">Theme</x:t>
        </x:is>
      </x:c>
      <x:c r="C18" s="125" t="inlineStr">
        <x:is>
          <x:t xml:space="preserve">Form</x:t>
        </x:is>
      </x:c>
      <x:c r="D18" s="125" t="inlineStr">
        <x:is>
          <x:t xml:space="preserve">Light, dark, focus, forced-colors, and relevant motion behavior remain perceivable.</x:t>
        </x:is>
      </x:c>
      <x:c r="E18" s="125" t="inlineStr">
        <x:is>
          <x:t xml:space="preserve">package</x:t>
        </x:is>
      </x:c>
      <x:c r="F18" s="125" t="inlineStr">
        <x:is>
          <x:t xml:space="preserve">manual</x:t>
        </x:is>
      </x:c>
      <x:c r="G18" s="125" t="inlineStr">
        <x:is>
          <x:t xml:space="preserve">manual-tests/form.md</x:t>
        </x:is>
      </x:c>
      <x:c r="H18" s="125" t="inlineStr">
        <x:is>
          <x:t xml:space="preserve">implemented</x:t>
        </x:is>
      </x:c>
      <x:c r="I18" s="125" t="inlineStr">
        <x:is>
          <x:t xml:space="preserve">yes</x:t>
        </x:is>
      </x:c>
      <x:c r="J18" s="141" t="n"/>
      <x:c r="K18" s="125" t="inlineStr">
        <x:is>
          <x:t xml:space="preserve">Human protocol remains pending. Automated and visual evidence stays in its owning tests and does not complete this human gate.</x:t>
        </x:is>
      </x:c>
      <x:c r="L18" s="125" t="n">
        <x:v>1</x:v>
      </x:c>
      <x:c r="M18" s="125" t="n">
        <x:f>IF(H18="not applicable",IF(K18&lt;&gt;"",1,0),IF(I18="yes",IF(H18="verified",1,0),IF(OR(H18="tested",H18="verified"),1,0)))</x:f>
        <x:v>0</x:v>
      </x:c>
    </x:row>
    <x:row r="19" s="127" customFormat="1" ht="42" customHeight="1">
      <x:c r="A19" s="125" t="inlineStr">
        <x:is>
          <x:t xml:space="preserve">F-11</x:t>
        </x:is>
      </x:c>
      <x:c r="B19" s="125" t="inlineStr">
        <x:is>
          <x:t xml:space="preserve">Composition</x:t>
        </x:is>
      </x:c>
      <x:c r="C19" s="125" t="inlineStr">
        <x:is>
          <x:t xml:space="preserve">Form</x:t>
        </x:is>
      </x:c>
      <x:c r="D19" s="125" t="inlineStr">
        <x:is>
          <x:t xml:space="preserve">Default, render, and asChild output preserve the intended element, slots, state, and relationships.</x:t>
        </x:is>
      </x:c>
      <x:c r="E19" s="125" t="inlineStr">
        <x:is>
          <x:t xml:space="preserve">package</x:t>
        </x:is>
      </x:c>
      <x:c r="F19" s="125" t="inlineStr">
        <x:is>
          <x:t xml:space="preserve">manual</x:t>
        </x:is>
      </x:c>
      <x:c r="G19" s="125" t="inlineStr">
        <x:is>
          <x:t xml:space="preserve">manual-tests/form.md; tests/components/form/behavior.spec.ts</x:t>
        </x:is>
      </x:c>
      <x:c r="H19" s="125" t="inlineStr">
        <x:is>
          <x:t xml:space="preserve">implemented</x:t>
        </x:is>
      </x:c>
      <x:c r="I19" s="125" t="inlineStr">
        <x:is>
          <x:t xml:space="preserve">yes</x:t>
        </x:is>
      </x:c>
      <x:c r="J19" s="141" t="n"/>
      <x:c r="K19" s="125" t="inlineStr">
        <x:is>
          <x:t xml:space="preserve">Human protocol remains pending. Automated and visual evidence stays in its owning tests and does not complete this human gate.</x:t>
        </x:is>
      </x:c>
      <x:c r="L19" s="125" t="n">
        <x:v>1</x:v>
      </x:c>
      <x:c r="M19" s="125" t="n">
        <x:f>IF(H19="not applicable",IF(K19&lt;&gt;"",1,0),IF(I19="yes",IF(H19="verified",1,0),IF(OR(H19="tested",H19="verified"),1,0)))</x:f>
        <x:v>0</x:v>
      </x:c>
    </x:row>
    <x:row r="20" s="127" customFormat="1" ht="42" customHeight="1">
      <x:c r="A20" s="125" t="inlineStr">
        <x:is>
          <x:t xml:space="preserve">F-12</x:t>
        </x:is>
      </x:c>
      <x:c r="B20" s="125" t="inlineStr">
        <x:is>
          <x:t xml:space="preserve">Manual</x:t>
        </x:is>
      </x:c>
      <x:c r="C20" s="125" t="inlineStr">
        <x:is>
          <x:t xml:space="preserve">Form</x:t>
        </x:is>
      </x:c>
      <x:c r="D20" s="125" t="inlineStr">
        <x:is>
          <x:t xml:space="preserve">The complete component-owned manual protocol passed against every playground scenario.</x:t>
        </x:is>
      </x:c>
      <x:c r="E20" s="125" t="inlineStr">
        <x:is>
          <x:t xml:space="preserve">package</x:t>
        </x:is>
      </x:c>
      <x:c r="F20" s="125" t="inlineStr">
        <x:is>
          <x:t xml:space="preserve">manual</x:t>
        </x:is>
      </x:c>
      <x:c r="G20" s="125" t="inlineStr">
        <x:is>
          <x:t xml:space="preserve">manual-tests/form.md</x:t>
        </x:is>
      </x:c>
      <x:c r="H20" s="125" t="inlineStr">
        <x:is>
          <x:t xml:space="preserve">implemented</x:t>
        </x:is>
      </x:c>
      <x:c r="I20" s="125" t="inlineStr">
        <x:is>
          <x:t xml:space="preserve">yes</x:t>
        </x:is>
      </x:c>
      <x:c r="J20" s="141" t="n"/>
      <x:c r="K20" s="125" t="inlineStr">
        <x:is>
          <x:t xml:space="preserve">Human protocol remains pending. Automated and visual evidence stays in its owning tests and does not complete this human gate.</x:t>
        </x:is>
      </x:c>
      <x:c r="L20" s="125" t="n">
        <x:v>1</x:v>
      </x:c>
      <x:c r="M20" s="125" t="n">
        <x:f>IF(H20="not applicable",IF(K20&lt;&gt;"",1,0),IF(I20="yes",IF(H20="verified",1,0),IF(OR(H20="tested",H20="verified"),1,0)))</x:f>
        <x:v>0</x:v>
      </x:c>
    </x:row>
    <x:row r="21" s="127" customFormat="1" ht="42" customHeight="1">
      <x:c r="A21" s="125" t="inlineStr">
        <x:is>
          <x:t xml:space="preserve">F-13</x:t>
        </x:is>
      </x:c>
      <x:c r="B21" s="125" t="inlineStr">
        <x:is>
          <x:t xml:space="preserve">Docs</x:t>
        </x:is>
      </x:c>
      <x:c r="C21" s="125" t="inlineStr">
        <x:is>
          <x:t xml:space="preserve">Form</x:t>
        </x:is>
      </x:c>
      <x:c r="D21" s="125" t="inlineStr">
        <x:is>
          <x:t xml:space="preserve">Public usage documentation exists at the component-owned path.</x:t>
        </x:is>
      </x:c>
      <x:c r="E21" s="125" t="inlineStr">
        <x:is>
          <x:t xml:space="preserve">package</x:t>
        </x:is>
      </x:c>
      <x:c r="F21" s="125" t="inlineStr">
        <x:is>
          <x:t xml:space="preserve">docs</x:t>
        </x:is>
      </x:c>
      <x:c r="G21" s="125" t="inlineStr">
        <x:is>
          <x:t xml:space="preserve">../docs/components/form/README.md</x:t>
        </x:is>
      </x:c>
      <x:c r="H21" s="125" t="inlineStr">
        <x:is>
          <x:t xml:space="preserve">tested</x:t>
        </x:is>
      </x:c>
      <x:c r="I21" s="125" t="inlineStr">
        <x:is>
          <x:t xml:space="preserve">no</x:t>
        </x:is>
      </x:c>
      <x:c r="J21" s="141" t="n">
        <x:v>46227</x:v>
      </x:c>
      <x:c r="L21" s="125" t="n">
        <x:v>1</x:v>
      </x:c>
      <x:c r="M21" s="125" t="n">
        <x:f>IF(H21="not applicable",IF(K21&lt;&gt;"",1,0),IF(I21="yes",IF(H21="verified",1,0),IF(OR(H21="tested",H21="verified"),1,0)))</x:f>
        <x:v>1</x:v>
      </x:c>
    </x:row>
    <x:row r="22" s="127" customFormat="1" ht="42" customHeight="1">
      <x:c r="A22" s="125" t="inlineStr">
        <x:is>
          <x:t xml:space="preserve">F-14</x:t>
        </x:is>
      </x:c>
      <x:c r="B22" s="125" t="inlineStr">
        <x:is>
          <x:t xml:space="preserve">Changelog</x:t>
        </x:is>
      </x:c>
      <x:c r="C22" s="125" t="inlineStr">
        <x:is>
          <x:t xml:space="preserve">Form</x:t>
        </x:is>
      </x:c>
      <x:c r="D22" s="125" t="inlineStr">
        <x:is>
          <x:t xml:space="preserve">The component owns a public changelog.</x:t>
        </x:is>
      </x:c>
      <x:c r="E22" s="125" t="inlineStr">
        <x:is>
          <x:t xml:space="preserve">package</x:t>
        </x:is>
      </x:c>
      <x:c r="F22" s="125" t="inlineStr">
        <x:is>
          <x:t xml:space="preserve">docs</x:t>
        </x:is>
      </x:c>
      <x:c r="G22" s="125" t="inlineStr">
        <x:is>
          <x:t xml:space="preserve">../docs/components/form/CHANGELOG.md</x:t>
        </x:is>
      </x:c>
      <x:c r="H22" s="125" t="inlineStr">
        <x:is>
          <x:t xml:space="preserve">tested</x:t>
        </x:is>
      </x:c>
      <x:c r="I22" s="125" t="inlineStr">
        <x:is>
          <x:t xml:space="preserve">no</x:t>
        </x:is>
      </x:c>
      <x:c r="J22" s="141" t="n">
        <x:v>46227</x:v>
      </x:c>
      <x:c r="L22" s="125" t="n">
        <x:v>1</x:v>
      </x:c>
      <x:c r="M22" s="125" t="n">
        <x:f>IF(H22="not applicable",IF(K22&lt;&gt;"",1,0),IF(I22="yes",IF(H22="verified",1,0),IF(OR(H22="tested",H22="verified"),1,0)))</x:f>
        <x:v>1</x:v>
      </x:c>
    </x:row>
    <x:row r="23" s="127" customFormat="1" ht="42" customHeight="1">
      <x:c r="A23" s="125" t="inlineStr">
        <x:is>
          <x:t xml:space="preserve">F-15</x:t>
        </x:is>
      </x:c>
      <x:c r="B23" s="125" t="inlineStr">
        <x:is>
          <x:t xml:space="preserve">Consumer</x:t>
        </x:is>
      </x:c>
      <x:c r="C23" s="125" t="inlineStr">
        <x:is>
          <x:t xml:space="preserve">Form</x:t>
        </x:is>
      </x:c>
      <x:c r="D23" s="125" t="inlineStr">
        <x:is>
          <x:t xml:space="preserve">The standalone consumer imports and exercises the public package component.</x:t>
        </x:is>
      </x:c>
      <x:c r="E23" s="125" t="inlineStr">
        <x:is>
          <x:t xml:space="preserve">consumer</x:t>
        </x:is>
      </x:c>
      <x:c r="F23" s="125" t="inlineStr">
        <x:is>
          <x:t xml:space="preserve">consumer</x:t>
        </x:is>
      </x:c>
      <x:c r="G23" s="125" t="inlineStr">
        <x:is>
          <x:t xml:space="preserve">../apps/consumer/src/App.tsx; ../apps/consumer/tests/consumer.spec.ts</x:t>
        </x:is>
      </x:c>
      <x:c r="H23" s="125" t="inlineStr">
        <x:is>
          <x:t xml:space="preserve">tested</x:t>
        </x:is>
      </x:c>
      <x:c r="I23" s="125" t="inlineStr">
        <x:is>
          <x:t xml:space="preserve">no</x:t>
        </x:is>
      </x:c>
      <x:c r="J23" s="141" t="n">
        <x:v>46227</x:v>
      </x:c>
      <x:c r="L23" s="125" t="n">
        <x:v>1</x:v>
      </x:c>
      <x:c r="M23" s="125" t="n">
        <x:f>IF(H23="not applicable",IF(K23&lt;&gt;"",1,0),IF(I23="yes",IF(H23="verified",1,0),IF(OR(H23="tested",H23="verified"),1,0)))</x:f>
        <x:v>1</x:v>
      </x:c>
    </x:row>
    <x:row r="24" s="127" customFormat="1" ht="42" customHeight="1">
      <x:c r="A24" s="125" t="inlineStr">
        <x:is>
          <x:t xml:space="preserve">F-16</x:t>
        </x:is>
      </x:c>
      <x:c r="B24" s="125" t="inlineStr">
        <x:is>
          <x:t xml:space="preserve">Package</x:t>
        </x:is>
      </x:c>
      <x:c r="C24" s="125" t="inlineStr">
        <x:is>
          <x:t xml:space="preserve">Form</x:t>
        </x:is>
      </x:c>
      <x:c r="D24" s="125" t="inlineStr">
        <x:is>
          <x:t xml:space="preserve">Build, exports, tarball, CSS, and consumer boundary verification pass.</x:t>
        </x:is>
      </x:c>
      <x:c r="E24" s="125" t="inlineStr">
        <x:is>
          <x:t xml:space="preserve">package</x:t>
        </x:is>
      </x:c>
      <x:c r="F24" s="125" t="inlineStr">
        <x:is>
          <x:t xml:space="preserve">package</x:t>
        </x:is>
      </x:c>
      <x:c r="G24" s="125" t="inlineStr">
        <x:is>
          <x:t xml:space="preserve">../scripts/verify-package.mjs; ../scripts/verify-consumers.mjs</x:t>
        </x:is>
      </x:c>
      <x:c r="H24" s="125" t="inlineStr">
        <x:is>
          <x:t xml:space="preserve">tested</x:t>
        </x:is>
      </x:c>
      <x:c r="I24" s="125" t="inlineStr">
        <x:is>
          <x:t xml:space="preserve">no</x:t>
        </x:is>
      </x:c>
      <x:c r="J24" s="141" t="n">
        <x:v>46227</x:v>
      </x:c>
      <x:c r="L24" s="125" t="n">
        <x:v>1</x:v>
      </x:c>
      <x:c r="M24" s="125" t="n">
        <x:f>IF(H24="not applicable",IF(K24&lt;&gt;"",1,0),IF(I24="yes",IF(H24="verified",1,0),IF(OR(H24="tested",H24="verified"),1,0)))</x:f>
        <x:v>1</x:v>
      </x:c>
    </x:row>
  </x:sheetData>
  <x:mergeCells>
    <x:mergeCell ref="A2:M2"/>
    <x:mergeCell ref="A1:M1"/>
  </x:mergeCells>
  <x:conditionalFormatting sqref="H9:H24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1" showDropDown="0" showInputMessage="1" showErrorMessage="1" sqref="H9:H24">
      <x:formula1>"not started,partial,implemented,tested,verified,blocked,not applicable"</x:formula1>
      <x:formula2>0</x:formula2>
    </x:dataValidation>
    <x:dataValidation type="list" errorStyle="stop" operator="between" allowBlank="1" showDropDown="0" showInputMessage="1" showErrorMessage="1" sqref="I9:I24">
      <x:formula1>"yes,no"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138b96fc1d94a21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Hover Card Evidence</x:t>
        </x:is>
      </x:c>
    </x:row>
    <x:row r="2" s="127" customFormat="1" ht="27.75" customHeight="1">
      <x:c r="A2" s="129" t="inlineStr">
        <x:is>
          <x:t xml:space="preserve">Assertion-level package, browser, human-review, documentation, and consumer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COUNTA(A9:A24)</x:f>
        <x:v>16</x:v>
      </x:c>
      <x:c r="D4" s="130" t="inlineStr">
        <x:is>
          <x:t xml:space="preserve">Resolved</x:t>
        </x:is>
      </x:c>
      <x:c r="E4" s="131" t="n">
        <x:f>SUM(M9:M24)</x:f>
        <x:v>11</x:v>
      </x:c>
      <x:c r="G4" s="130" t="inlineStr">
        <x:is>
          <x:t xml:space="preserve">Completion</x:t>
        </x:is>
      </x:c>
      <x:c r="H4" s="132" t="n">
        <x:f>E4/B4</x:f>
        <x:v>0.6875</x:v>
      </x:c>
      <x:c r="J4" s="130" t="inlineStr">
        <x:is>
          <x:t xml:space="preserve">Package gate</x:t>
        </x:is>
      </x:c>
      <x:c r="K4" s="131" t="inlineStr">
        <x:is>
          <x:t xml:space="preserve">open</x:t>
        </x:is>
      </x:c>
    </x:row>
    <x:row r="5" s="127" customFormat="1" ht="17.25" customHeight="1">
      <x:c r="A5" s="130" t="inlineStr">
        <x:is>
          <x:t xml:space="preserve">Manual review</x:t>
        </x:is>
      </x:c>
      <x:c r="B5" s="131" t="inlineStr">
        <x:is>
          <x:t xml:space="preserve">pending</x:t>
        </x:is>
      </x:c>
      <x:c r="D5" s="130" t="inlineStr">
        <x:is>
          <x:t xml:space="preserve">Consumer gate</x:t>
        </x:is>
      </x:c>
      <x:c r="E5" s="131" t="inlineStr">
        <x:is>
          <x:t xml:space="preserve">complete</x:t>
        </x:is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69.75" customHeight="1">
      <x:c r="A9" s="125" t="inlineStr">
        <x:is>
          <x:t xml:space="preserve">HC-01</x:t>
        </x:is>
      </x:c>
      <x:c r="B9" s="125" t="inlineStr">
        <x:is>
          <x:t xml:space="preserve">Implementation</x:t>
        </x:is>
      </x:c>
      <x:c r="C9" s="125" t="inlineStr">
        <x:is>
          <x:t xml:space="preserve">HoverCard</x:t>
        </x:is>
      </x:c>
      <x:c r="D9" s="142" t="inlineStr">
        <x:is>
          <x:t xml:space="preserve">Public component implementation and Atom adapter exist.</x:t>
        </x:is>
      </x:c>
      <x:c r="E9" s="142" t="inlineStr">
        <x:is>
          <x:t xml:space="preserve">package</x:t>
        </x:is>
      </x:c>
      <x:c r="F9" s="142" t="inlineStr">
        <x:is>
          <x:t xml:space="preserve">source</x:t>
        </x:is>
      </x:c>
      <x:c r="G9" s="142" t="inlineStr">
        <x:is>
          <x:t xml:space="preserve">../src/components/hover-card</x:t>
        </x:is>
      </x:c>
      <x:c r="H9" s="142" t="inlineStr">
        <x:is>
          <x:t xml:space="preserve">tested</x:t>
        </x:is>
      </x:c>
      <x:c r="I9" s="142" t="inlineStr">
        <x:is>
          <x:t xml:space="preserve">no</x:t>
        </x:is>
      </x:c>
      <x:c r="J9" s="147" t="n">
        <x:v>46278</x:v>
      </x:c>
      <x:c r="K9" s="143" t="n"/>
      <x:c r="L9" s="125" t="n">
        <x:v>1</x:v>
      </x:c>
      <x:c r="M9" s="125" t="n">
        <x:f>IF(H9="not applicable",1,IF(I9="yes",IF(H9="verified",1,0),IF(OR(H9="tested",H9="verified"),1,0)))</x:f>
        <x:v>1</x:v>
      </x:c>
    </x:row>
    <x:row r="10" s="127" customFormat="1" ht="69.75" customHeight="1">
      <x:c r="A10" s="125" t="inlineStr">
        <x:is>
          <x:t xml:space="preserve">HC-02</x:t>
        </x:is>
      </x:c>
      <x:c r="B10" s="125" t="inlineStr">
        <x:is>
          <x:t xml:space="preserve">Exports</x:t>
        </x:is>
      </x:c>
      <x:c r="C10" s="125" t="inlineStr">
        <x:is>
          <x:t xml:space="preserve">HoverCard</x:t>
        </x:is>
      </x:c>
      <x:c r="D10" s="142" t="inlineStr">
        <x:is>
          <x:t xml:space="preserve">Root and subpath expose seven parts and useHoverCard.</x:t>
        </x:is>
      </x:c>
      <x:c r="E10" s="142" t="inlineStr">
        <x:is>
          <x:t xml:space="preserve">package</x:t>
        </x:is>
      </x:c>
      <x:c r="F10" s="142" t="inlineStr">
        <x:is>
          <x:t xml:space="preserve">package</x:t>
        </x:is>
      </x:c>
      <x:c r="G10" s="142" t="inlineStr">
        <x:is>
          <x:t xml:space="preserve">../test/package/package.test.mjs</x:t>
        </x:is>
      </x:c>
      <x:c r="H10" s="142" t="inlineStr">
        <x:is>
          <x:t xml:space="preserve">tested</x:t>
        </x:is>
      </x:c>
      <x:c r="I10" s="142" t="inlineStr">
        <x:is>
          <x:t xml:space="preserve">no</x:t>
        </x:is>
      </x:c>
      <x:c r="J10" s="147" t="n">
        <x:v>46278</x:v>
      </x:c>
      <x:c r="K10" s="143" t="n"/>
      <x:c r="L10" s="125" t="n">
        <x:v>1</x:v>
      </x:c>
      <x:c r="M10" s="125" t="n">
        <x:f>IF(H10="not applicable",1,IF(I10="yes",IF(H10="verified",1,0),IF(OR(H10="tested",H10="verified"),1,0)))</x:f>
        <x:v>1</x:v>
      </x:c>
    </x:row>
    <x:row r="11" s="127" customFormat="1" ht="69.75" customHeight="1">
      <x:c r="A11" s="125" t="inlineStr">
        <x:is>
          <x:t xml:space="preserve">HC-03</x:t>
        </x:is>
      </x:c>
      <x:c r="B11" s="125" t="inlineStr">
        <x:is>
          <x:t xml:space="preserve">Types</x:t>
        </x:is>
      </x:c>
      <x:c r="C11" s="125" t="inlineStr">
        <x:is>
          <x:t xml:space="preserve">HoverCard</x:t>
        </x:is>
      </x:c>
      <x:c r="D11" s="142" t="inlineStr">
        <x:is>
          <x:t xml:space="preserve">Public props, refs, composition branches, and invalid cases type-check.</x:t>
        </x:is>
      </x:c>
      <x:c r="E11" s="142" t="inlineStr">
        <x:is>
          <x:t xml:space="preserve">package</x:t>
        </x:is>
      </x:c>
      <x:c r="F11" s="142" t="inlineStr">
        <x:is>
          <x:t xml:space="preserve">types</x:t>
        </x:is>
      </x:c>
      <x:c r="G11" s="142" t="inlineStr">
        <x:is>
          <x:t xml:space="preserve">../test/types/components/hover-card.test.ts</x:t>
        </x:is>
      </x:c>
      <x:c r="H11" s="142" t="inlineStr">
        <x:is>
          <x:t xml:space="preserve">tested</x:t>
        </x:is>
      </x:c>
      <x:c r="I11" s="142" t="inlineStr">
        <x:is>
          <x:t xml:space="preserve">no</x:t>
        </x:is>
      </x:c>
      <x:c r="J11" s="147" t="n">
        <x:v>46278</x:v>
      </x:c>
      <x:c r="K11" s="143" t="n"/>
      <x:c r="L11" s="125" t="n">
        <x:v>1</x:v>
      </x:c>
      <x:c r="M11" s="125" t="n">
        <x:f>IF(H11="not applicable",1,IF(I11="yes",IF(H11="verified",1,0),IF(OR(H11="tested",H11="verified"),1,0)))</x:f>
        <x:v>1</x:v>
      </x:c>
    </x:row>
    <x:row r="12" s="127" customFormat="1" ht="69.75" customHeight="1">
      <x:c r="A12" s="125" t="inlineStr">
        <x:is>
          <x:t xml:space="preserve">HC-04</x:t>
        </x:is>
      </x:c>
      <x:c r="B12" s="125" t="inlineStr">
        <x:is>
          <x:t xml:space="preserve">CSS</x:t>
        </x:is>
      </x:c>
      <x:c r="C12" s="125" t="inlineStr">
        <x:is>
          <x:t xml:space="preserve">HoverCard</x:t>
        </x:is>
      </x:c>
      <x:c r="D12" s="142" t="inlineStr">
        <x:is>
          <x:t xml:space="preserve">Static public CSS, classes, slots, recipes, states, and tokens are present.</x:t>
        </x:is>
      </x:c>
      <x:c r="E12" s="142" t="inlineStr">
        <x:is>
          <x:t xml:space="preserve">package</x:t>
        </x:is>
      </x:c>
      <x:c r="F12" s="142" t="inlineStr">
        <x:is>
          <x:t xml:space="preserve">css</x:t>
        </x:is>
      </x:c>
      <x:c r="G12" s="142" t="inlineStr">
        <x:is>
          <x:t xml:space="preserve">../src/components/hover-card/hover-card.css</x:t>
        </x:is>
      </x:c>
      <x:c r="H12" s="142" t="inlineStr">
        <x:is>
          <x:t xml:space="preserve">tested</x:t>
        </x:is>
      </x:c>
      <x:c r="I12" s="142" t="inlineStr">
        <x:is>
          <x:t xml:space="preserve">no</x:t>
        </x:is>
      </x:c>
      <x:c r="J12" s="147" t="n">
        <x:v>46278</x:v>
      </x:c>
      <x:c r="K12" s="143" t="n"/>
      <x:c r="L12" s="125" t="n">
        <x:v>1</x:v>
      </x:c>
      <x:c r="M12" s="125" t="n">
        <x:f>IF(H12="not applicable",1,IF(I12="yes",IF(H12="verified",1,0),IF(OR(H12="tested",H12="verified"),1,0)))</x:f>
        <x:v>1</x:v>
      </x:c>
    </x:row>
    <x:row r="13" s="127" customFormat="1" ht="69.75" customHeight="1">
      <x:c r="A13" s="125" t="inlineStr">
        <x:is>
          <x:t xml:space="preserve">HC-05</x:t>
        </x:is>
      </x:c>
      <x:c r="B13" s="125" t="inlineStr">
        <x:is>
          <x:t xml:space="preserve">Unit</x:t>
        </x:is>
      </x:c>
      <x:c r="C13" s="125" t="inlineStr">
        <x:is>
          <x:t xml:space="preserve">HoverCard</x:t>
        </x:is>
      </x:c>
      <x:c r="D13" s="142" t="inlineStr">
        <x:is>
          <x:t xml:space="preserve">Brick-owned DOM, recipes, adapters, and public hooks pass focused tests.</x:t>
        </x:is>
      </x:c>
      <x:c r="E13" s="142" t="inlineStr">
        <x:is>
          <x:t xml:space="preserve">package</x:t>
        </x:is>
      </x:c>
      <x:c r="F13" s="142" t="inlineStr">
        <x:is>
          <x:t xml:space="preserve">component</x:t>
        </x:is>
      </x:c>
      <x:c r="G13" s="142" t="inlineStr">
        <x:is>
          <x:t xml:space="preserve">../test/components/hover-card/hover-card.test.tsx</x:t>
        </x:is>
      </x:c>
      <x:c r="H13" s="142" t="inlineStr">
        <x:is>
          <x:t xml:space="preserve">tested</x:t>
        </x:is>
      </x:c>
      <x:c r="I13" s="142" t="inlineStr">
        <x:is>
          <x:t xml:space="preserve">no</x:t>
        </x:is>
      </x:c>
      <x:c r="J13" s="147" t="n">
        <x:v>46278</x:v>
      </x:c>
      <x:c r="K13" s="143" t="n"/>
      <x:c r="L13" s="125" t="n">
        <x:v>1</x:v>
      </x:c>
      <x:c r="M13" s="125" t="n">
        <x:f>IF(H13="not applicable",1,IF(I13="yes",IF(H13="verified",1,0),IF(OR(H13="tested",H13="verified"),1,0)))</x:f>
        <x:v>1</x:v>
      </x:c>
    </x:row>
    <x:row r="14" s="127" customFormat="1" ht="69.75" customHeight="1">
      <x:c r="A14" s="125" t="inlineStr">
        <x:is>
          <x:t xml:space="preserve">HC-06</x:t>
        </x:is>
      </x:c>
      <x:c r="B14" s="125" t="inlineStr">
        <x:is>
          <x:t xml:space="preserve">Browser</x:t>
        </x:is>
      </x:c>
      <x:c r="C14" s="125" t="inlineStr">
        <x:is>
          <x:t xml:space="preserve">HoverCard</x:t>
        </x:is>
      </x:c>
      <x:c r="D14" s="142" t="inlineStr">
        <x:is>
          <x:t xml:space="preserve">Real-browser behavior and component contract checks pass.</x:t>
        </x:is>
      </x:c>
      <x:c r="E14" s="142" t="inlineStr">
        <x:is>
          <x:t xml:space="preserve">package</x:t>
        </x:is>
      </x:c>
      <x:c r="F14" s="142" t="inlineStr">
        <x:is>
          <x:t xml:space="preserve">browser</x:t>
        </x:is>
      </x:c>
      <x:c r="G14" s="142" t="inlineStr">
        <x:is>
          <x:t xml:space="preserve">tests/components/hover-card/behavior.spec.ts; tests/components/hover-card/documentation.spec.ts</x:t>
        </x:is>
      </x:c>
      <x:c r="H14" s="142" t="inlineStr">
        <x:is>
          <x:t xml:space="preserve">tested</x:t>
        </x:is>
      </x:c>
      <x:c r="I14" s="142" t="inlineStr">
        <x:is>
          <x:t xml:space="preserve">no</x:t>
        </x:is>
      </x:c>
      <x:c r="J14" s="147" t="n">
        <x:v>46278</x:v>
      </x:c>
      <x:c r="K14" s="143" t="n"/>
      <x:c r="L14" s="125" t="n">
        <x:v>1</x:v>
      </x:c>
      <x:c r="M14" s="125" t="n">
        <x:f>IF(H14="not applicable",1,IF(I14="yes",IF(H14="verified",1,0),IF(OR(H14="tested",H14="verified"),1,0)))</x:f>
        <x:v>1</x:v>
      </x:c>
    </x:row>
    <x:row r="15" s="127" customFormat="1" ht="69.75" customHeight="1">
      <x:c r="A15" s="125" t="inlineStr">
        <x:is>
          <x:t xml:space="preserve">HC-07</x:t>
        </x:is>
      </x:c>
      <x:c r="B15" s="125" t="inlineStr">
        <x:is>
          <x:t xml:space="preserve">Accessibility</x:t>
        </x:is>
      </x:c>
      <x:c r="C15" s="125" t="inlineStr">
        <x:is>
          <x:t xml:space="preserve">HoverCard</x:t>
        </x:is>
      </x:c>
      <x:c r="D15" s="142" t="inlineStr">
        <x:is>
          <x:t xml:space="preserve">Automated semantics and accessibility checks pass in the browser evidence suite.</x:t>
        </x:is>
      </x:c>
      <x:c r="E15" s="142" t="inlineStr">
        <x:is>
          <x:t xml:space="preserve">package</x:t>
        </x:is>
      </x:c>
      <x:c r="F15" s="142" t="inlineStr">
        <x:is>
          <x:t xml:space="preserve">axe</x:t>
        </x:is>
      </x:c>
      <x:c r="G15" s="142" t="inlineStr">
        <x:is>
          <x:t xml:space="preserve">tests/components/hover-card/behavior.spec.ts; tests/integration</x:t>
        </x:is>
      </x:c>
      <x:c r="H15" s="142" t="inlineStr">
        <x:is>
          <x:t xml:space="preserve">tested</x:t>
        </x:is>
      </x:c>
      <x:c r="I15" s="142" t="inlineStr">
        <x:is>
          <x:t xml:space="preserve">no</x:t>
        </x:is>
      </x:c>
      <x:c r="J15" s="147" t="n">
        <x:v>46278</x:v>
      </x:c>
      <x:c r="K15" s="143" t="n"/>
      <x:c r="L15" s="125" t="n">
        <x:v>1</x:v>
      </x:c>
      <x:c r="M15" s="125" t="n">
        <x:f>IF(H15="not applicable",1,IF(I15="yes",IF(H15="verified",1,0),IF(OR(H15="tested",H15="verified"),1,0)))</x:f>
        <x:v>1</x:v>
      </x:c>
    </x:row>
    <x:row r="16" s="127" customFormat="1" ht="69.75" customHeight="1">
      <x:c r="A16" s="125" t="inlineStr">
        <x:is>
          <x:t xml:space="preserve">HC-08</x:t>
        </x:is>
      </x:c>
      <x:c r="B16" s="125" t="inlineStr">
        <x:is>
          <x:t xml:space="preserve">Visual</x:t>
        </x:is>
      </x:c>
      <x:c r="C16" s="125" t="inlineStr">
        <x:is>
          <x:t xml:space="preserve">HoverCard</x:t>
        </x:is>
      </x:c>
      <x:c r="D16" s="142" t="inlineStr">
        <x:is>
          <x:t xml:space="preserve">Reviewed baselines cover the component's risk-selected recipes and states.</x:t>
        </x:is>
      </x:c>
      <x:c r="E16" s="142" t="inlineStr">
        <x:is>
          <x:t xml:space="preserve">package</x:t>
        </x:is>
      </x:c>
      <x:c r="F16" s="142" t="inlineStr">
        <x:is>
          <x:t xml:space="preserve">visual</x:t>
        </x:is>
      </x:c>
      <x:c r="G16" s="142" t="inlineStr">
        <x:is>
          <x:t xml:space="preserve">tests/components/hover-card/visual.spec.ts</x:t>
        </x:is>
      </x:c>
      <x:c r="H16" s="142" t="inlineStr">
        <x:is>
          <x:t xml:space="preserve">tested</x:t>
        </x:is>
      </x:c>
      <x:c r="I16" s="142" t="inlineStr">
        <x:is>
          <x:t xml:space="preserve">yes</x:t>
        </x:is>
      </x:c>
      <x:c r="J16" s="147" t="n">
        <x:v>46278</x:v>
      </x:c>
      <x:c r="K16" s="142" t="inlineStr">
        <x:is>
          <x:t xml:space="preserve">Automated baselines and agent image inspection passed; owner visual review remains pending.</x:t>
        </x:is>
      </x:c>
      <x:c r="L16" s="125" t="n">
        <x:v>1</x:v>
      </x:c>
      <x:c r="M16" s="125" t="n">
        <x:f>IF(H16="not applicable",1,IF(I16="yes",IF(H16="verified",1,0),IF(OR(H16="tested",H16="verified"),1,0)))</x:f>
        <x:v>0</x:v>
      </x:c>
    </x:row>
    <x:row r="17" s="127" customFormat="1" ht="69.75" customHeight="1">
      <x:c r="A17" s="125" t="inlineStr">
        <x:is>
          <x:t xml:space="preserve">HC-09</x:t>
        </x:is>
      </x:c>
      <x:c r="B17" s="125" t="inlineStr">
        <x:is>
          <x:t xml:space="preserve">Responsive</x:t>
        </x:is>
      </x:c>
      <x:c r="C17" s="125" t="inlineStr">
        <x:is>
          <x:t xml:space="preserve">HoverCard</x:t>
        </x:is>
      </x:c>
      <x:c r="D17" s="142" t="inlineStr">
        <x:is>
          <x:t xml:space="preserve">Mobile, zoom/reflow, content stress, and RTL remain usable and contained.</x:t>
        </x:is>
      </x:c>
      <x:c r="E17" s="142" t="inlineStr">
        <x:is>
          <x:t xml:space="preserve">package</x:t>
        </x:is>
      </x:c>
      <x:c r="F17" s="142" t="inlineStr">
        <x:is>
          <x:t xml:space="preserve">manual</x:t>
        </x:is>
      </x:c>
      <x:c r="G17" s="142" t="inlineStr">
        <x:is>
          <x:t xml:space="preserve">manual-tests/hover-card.md</x:t>
        </x:is>
      </x:c>
      <x:c r="H17" s="142" t="inlineStr">
        <x:is>
          <x:t xml:space="preserve">implemented</x:t>
        </x:is>
      </x:c>
      <x:c r="I17" s="142" t="inlineStr">
        <x:is>
          <x:t xml:space="preserve">yes</x:t>
        </x:is>
      </x:c>
      <x:c r="J17" s="147" t="n"/>
      <x:c r="K17" s="142" t="inlineStr">
        <x:is>
          <x:t xml:space="preserve">Human protocol remains pending. Automated and visual evidence stays in its owning tests and does not complete this human gate.</x:t>
        </x:is>
      </x:c>
      <x:c r="L17" s="125" t="n">
        <x:v>1</x:v>
      </x:c>
      <x:c r="M17" s="125" t="n">
        <x:f>IF(H17="not applicable",1,IF(I17="yes",IF(H17="verified",1,0),IF(OR(H17="tested",H17="verified"),1,0)))</x:f>
        <x:v>0</x:v>
      </x:c>
    </x:row>
    <x:row r="18" s="127" customFormat="1" ht="69.75" customHeight="1">
      <x:c r="A18" s="125" t="inlineStr">
        <x:is>
          <x:t xml:space="preserve">HC-10</x:t>
        </x:is>
      </x:c>
      <x:c r="B18" s="125" t="inlineStr">
        <x:is>
          <x:t xml:space="preserve">Theme</x:t>
        </x:is>
      </x:c>
      <x:c r="C18" s="125" t="inlineStr">
        <x:is>
          <x:t xml:space="preserve">HoverCard</x:t>
        </x:is>
      </x:c>
      <x:c r="D18" s="142" t="inlineStr">
        <x:is>
          <x:t xml:space="preserve">Light, dark, focus, forced-colors, and relevant motion behavior remain perceivable.</x:t>
        </x:is>
      </x:c>
      <x:c r="E18" s="142" t="inlineStr">
        <x:is>
          <x:t xml:space="preserve">package</x:t>
        </x:is>
      </x:c>
      <x:c r="F18" s="142" t="inlineStr">
        <x:is>
          <x:t xml:space="preserve">manual</x:t>
        </x:is>
      </x:c>
      <x:c r="G18" s="142" t="inlineStr">
        <x:is>
          <x:t xml:space="preserve">manual-tests/hover-card.md</x:t>
        </x:is>
      </x:c>
      <x:c r="H18" s="142" t="inlineStr">
        <x:is>
          <x:t xml:space="preserve">implemented</x:t>
        </x:is>
      </x:c>
      <x:c r="I18" s="142" t="inlineStr">
        <x:is>
          <x:t xml:space="preserve">yes</x:t>
        </x:is>
      </x:c>
      <x:c r="J18" s="147" t="n"/>
      <x:c r="K18" s="142" t="inlineStr">
        <x:is>
          <x:t xml:space="preserve">Human protocol remains pending. Automated and visual evidence stays in its owning tests and does not complete this human gate.</x:t>
        </x:is>
      </x:c>
      <x:c r="L18" s="125" t="n">
        <x:v>1</x:v>
      </x:c>
      <x:c r="M18" s="125" t="n">
        <x:f>IF(H18="not applicable",1,IF(I18="yes",IF(H18="verified",1,0),IF(OR(H18="tested",H18="verified"),1,0)))</x:f>
        <x:v>0</x:v>
      </x:c>
    </x:row>
    <x:row r="19" s="127" customFormat="1" ht="69.75" customHeight="1">
      <x:c r="A19" s="125" t="inlineStr">
        <x:is>
          <x:t xml:space="preserve">HC-11</x:t>
        </x:is>
      </x:c>
      <x:c r="B19" s="125" t="inlineStr">
        <x:is>
          <x:t xml:space="preserve">Composition</x:t>
        </x:is>
      </x:c>
      <x:c r="C19" s="125" t="inlineStr">
        <x:is>
          <x:t xml:space="preserve">HoverCard</x:t>
        </x:is>
      </x:c>
      <x:c r="D19" s="142" t="inlineStr">
        <x:is>
          <x:t xml:space="preserve">Default, render, and asChild output preserve the intended element, slots, state, and relationships.</x:t>
        </x:is>
      </x:c>
      <x:c r="E19" s="142" t="inlineStr">
        <x:is>
          <x:t xml:space="preserve">package</x:t>
        </x:is>
      </x:c>
      <x:c r="F19" s="142" t="inlineStr">
        <x:is>
          <x:t xml:space="preserve">manual</x:t>
        </x:is>
      </x:c>
      <x:c r="G19" s="142" t="inlineStr">
        <x:is>
          <x:t xml:space="preserve">manual-tests/hover-card.md; tests/components/hover-card/behavior.spec.ts</x:t>
        </x:is>
      </x:c>
      <x:c r="H19" s="142" t="inlineStr">
        <x:is>
          <x:t xml:space="preserve">implemented</x:t>
        </x:is>
      </x:c>
      <x:c r="I19" s="142" t="inlineStr">
        <x:is>
          <x:t xml:space="preserve">yes</x:t>
        </x:is>
      </x:c>
      <x:c r="J19" s="147" t="n"/>
      <x:c r="K19" s="142" t="inlineStr">
        <x:is>
          <x:t xml:space="preserve">Human protocol remains pending. Automated and visual evidence stays in its owning tests and does not complete this human gate.</x:t>
        </x:is>
      </x:c>
      <x:c r="L19" s="125" t="n">
        <x:v>1</x:v>
      </x:c>
      <x:c r="M19" s="125" t="n">
        <x:f>IF(H19="not applicable",1,IF(I19="yes",IF(H19="verified",1,0),IF(OR(H19="tested",H19="verified"),1,0)))</x:f>
        <x:v>0</x:v>
      </x:c>
    </x:row>
    <x:row r="20" s="127" customFormat="1" ht="69.75" customHeight="1">
      <x:c r="A20" s="125" t="inlineStr">
        <x:is>
          <x:t xml:space="preserve">HC-12</x:t>
        </x:is>
      </x:c>
      <x:c r="B20" s="125" t="inlineStr">
        <x:is>
          <x:t xml:space="preserve">Manual</x:t>
        </x:is>
      </x:c>
      <x:c r="C20" s="125" t="inlineStr">
        <x:is>
          <x:t xml:space="preserve">HoverCard</x:t>
        </x:is>
      </x:c>
      <x:c r="D20" s="142" t="inlineStr">
        <x:is>
          <x:t xml:space="preserve">The complete component-owned manual protocol passed against every playground scenario.</x:t>
        </x:is>
      </x:c>
      <x:c r="E20" s="142" t="inlineStr">
        <x:is>
          <x:t xml:space="preserve">package</x:t>
        </x:is>
      </x:c>
      <x:c r="F20" s="142" t="inlineStr">
        <x:is>
          <x:t xml:space="preserve">manual</x:t>
        </x:is>
      </x:c>
      <x:c r="G20" s="142" t="inlineStr">
        <x:is>
          <x:t xml:space="preserve">manual-tests/hover-card.md</x:t>
        </x:is>
      </x:c>
      <x:c r="H20" s="142" t="inlineStr">
        <x:is>
          <x:t xml:space="preserve">implemented</x:t>
        </x:is>
      </x:c>
      <x:c r="I20" s="142" t="inlineStr">
        <x:is>
          <x:t xml:space="preserve">yes</x:t>
        </x:is>
      </x:c>
      <x:c r="J20" s="147" t="n"/>
      <x:c r="K20" s="142" t="inlineStr">
        <x:is>
          <x:t xml:space="preserve">Human protocol remains pending. Automated and visual evidence stays in its owning tests and does not complete this human gate.</x:t>
        </x:is>
      </x:c>
      <x:c r="L20" s="125" t="n">
        <x:v>1</x:v>
      </x:c>
      <x:c r="M20" s="125" t="n">
        <x:f>IF(H20="not applicable",1,IF(I20="yes",IF(H20="verified",1,0),IF(OR(H20="tested",H20="verified"),1,0)))</x:f>
        <x:v>0</x:v>
      </x:c>
    </x:row>
    <x:row r="21" s="127" customFormat="1" ht="69.75" customHeight="1">
      <x:c r="A21" s="125" t="inlineStr">
        <x:is>
          <x:t xml:space="preserve">HC-13</x:t>
        </x:is>
      </x:c>
      <x:c r="B21" s="125" t="inlineStr">
        <x:is>
          <x:t xml:space="preserve">Docs</x:t>
        </x:is>
      </x:c>
      <x:c r="C21" s="125" t="inlineStr">
        <x:is>
          <x:t xml:space="preserve">HoverCard</x:t>
        </x:is>
      </x:c>
      <x:c r="D21" s="142" t="inlineStr">
        <x:is>
          <x:t xml:space="preserve">Public usage documentation exists at the component-owned path.</x:t>
        </x:is>
      </x:c>
      <x:c r="E21" s="142" t="inlineStr">
        <x:is>
          <x:t xml:space="preserve">package</x:t>
        </x:is>
      </x:c>
      <x:c r="F21" s="142" t="inlineStr">
        <x:is>
          <x:t xml:space="preserve">docs</x:t>
        </x:is>
      </x:c>
      <x:c r="G21" s="142" t="inlineStr">
        <x:is>
          <x:t xml:space="preserve">../docs/components/hover-card/README.md</x:t>
        </x:is>
      </x:c>
      <x:c r="H21" s="142" t="inlineStr">
        <x:is>
          <x:t xml:space="preserve">tested</x:t>
        </x:is>
      </x:c>
      <x:c r="I21" s="142" t="inlineStr">
        <x:is>
          <x:t xml:space="preserve">no</x:t>
        </x:is>
      </x:c>
      <x:c r="J21" s="147" t="n">
        <x:v>46278</x:v>
      </x:c>
      <x:c r="K21" s="143" t="n"/>
      <x:c r="L21" s="125" t="n">
        <x:v>1</x:v>
      </x:c>
      <x:c r="M21" s="125" t="n">
        <x:f>IF(H21="not applicable",1,IF(I21="yes",IF(H21="verified",1,0),IF(OR(H21="tested",H21="verified"),1,0)))</x:f>
        <x:v>1</x:v>
      </x:c>
    </x:row>
    <x:row r="22" s="127" customFormat="1" ht="69.75" customHeight="1">
      <x:c r="A22" s="125" t="inlineStr">
        <x:is>
          <x:t xml:space="preserve">HC-14</x:t>
        </x:is>
      </x:c>
      <x:c r="B22" s="125" t="inlineStr">
        <x:is>
          <x:t xml:space="preserve">Changelog</x:t>
        </x:is>
      </x:c>
      <x:c r="C22" s="125" t="inlineStr">
        <x:is>
          <x:t xml:space="preserve">HoverCard</x:t>
        </x:is>
      </x:c>
      <x:c r="D22" s="142" t="inlineStr">
        <x:is>
          <x:t xml:space="preserve">The component owns a public changelog.</x:t>
        </x:is>
      </x:c>
      <x:c r="E22" s="142" t="inlineStr">
        <x:is>
          <x:t xml:space="preserve">package</x:t>
        </x:is>
      </x:c>
      <x:c r="F22" s="142" t="inlineStr">
        <x:is>
          <x:t xml:space="preserve">docs</x:t>
        </x:is>
      </x:c>
      <x:c r="G22" s="142" t="inlineStr">
        <x:is>
          <x:t xml:space="preserve">../docs/components/hover-card/CHANGELOG.md</x:t>
        </x:is>
      </x:c>
      <x:c r="H22" s="142" t="inlineStr">
        <x:is>
          <x:t xml:space="preserve">tested</x:t>
        </x:is>
      </x:c>
      <x:c r="I22" s="142" t="inlineStr">
        <x:is>
          <x:t xml:space="preserve">no</x:t>
        </x:is>
      </x:c>
      <x:c r="J22" s="147" t="n">
        <x:v>46278</x:v>
      </x:c>
      <x:c r="K22" s="143" t="n"/>
      <x:c r="L22" s="125" t="n">
        <x:v>1</x:v>
      </x:c>
      <x:c r="M22" s="125" t="n">
        <x:f>IF(H22="not applicable",1,IF(I22="yes",IF(H22="verified",1,0),IF(OR(H22="tested",H22="verified"),1,0)))</x:f>
        <x:v>1</x:v>
      </x:c>
    </x:row>
    <x:row r="23" s="127" customFormat="1" ht="69.75" customHeight="1">
      <x:c r="A23" s="125" t="inlineStr">
        <x:is>
          <x:t xml:space="preserve">HC-15</x:t>
        </x:is>
      </x:c>
      <x:c r="B23" s="125" t="inlineStr">
        <x:is>
          <x:t xml:space="preserve">Consumer</x:t>
        </x:is>
      </x:c>
      <x:c r="C23" s="125" t="inlineStr">
        <x:is>
          <x:t xml:space="preserve">HoverCard</x:t>
        </x:is>
      </x:c>
      <x:c r="D23" s="142" t="inlineStr">
        <x:is>
          <x:t xml:space="preserve">Clean React 18 and React 19 consumers import and type-check the packed public API.</x:t>
        </x:is>
      </x:c>
      <x:c r="E23" s="142" t="inlineStr">
        <x:is>
          <x:t xml:space="preserve">consumer</x:t>
        </x:is>
      </x:c>
      <x:c r="F23" s="142" t="inlineStr">
        <x:is>
          <x:t xml:space="preserve">consumer</x:t>
        </x:is>
      </x:c>
      <x:c r="G23" s="142" t="inlineStr">
        <x:is>
          <x:t xml:space="preserve">../scripts/verify-consumers.mjs</x:t>
        </x:is>
      </x:c>
      <x:c r="H23" s="142" t="inlineStr">
        <x:is>
          <x:t xml:space="preserve">tested</x:t>
        </x:is>
      </x:c>
      <x:c r="I23" s="142" t="inlineStr">
        <x:is>
          <x:t xml:space="preserve">no</x:t>
        </x:is>
      </x:c>
      <x:c r="J23" s="147" t="n">
        <x:v>46278</x:v>
      </x:c>
      <x:c r="K23" s="143" t="n"/>
      <x:c r="L23" s="125" t="n">
        <x:v>1</x:v>
      </x:c>
      <x:c r="M23" s="125" t="n">
        <x:f>IF(H23="not applicable",1,IF(I23="yes",IF(H23="verified",1,0),IF(OR(H23="tested",H23="verified"),1,0)))</x:f>
        <x:v>1</x:v>
      </x:c>
    </x:row>
    <x:row r="24" s="127" customFormat="1" ht="69.75" customHeight="1">
      <x:c r="A24" s="125" t="inlineStr">
        <x:is>
          <x:t xml:space="preserve">HC-16</x:t>
        </x:is>
      </x:c>
      <x:c r="B24" s="125" t="inlineStr">
        <x:is>
          <x:t xml:space="preserve">Package</x:t>
        </x:is>
      </x:c>
      <x:c r="C24" s="125" t="inlineStr">
        <x:is>
          <x:t xml:space="preserve">HoverCard</x:t>
        </x:is>
      </x:c>
      <x:c r="D24" s="142" t="inlineStr">
        <x:is>
          <x:t xml:space="preserve">Build, exports, tarball, CSS, and consumer boundary verification pass.</x:t>
        </x:is>
      </x:c>
      <x:c r="E24" s="142" t="inlineStr">
        <x:is>
          <x:t xml:space="preserve">package</x:t>
        </x:is>
      </x:c>
      <x:c r="F24" s="142" t="inlineStr">
        <x:is>
          <x:t xml:space="preserve">package</x:t>
        </x:is>
      </x:c>
      <x:c r="G24" s="142" t="inlineStr">
        <x:is>
          <x:t xml:space="preserve">../scripts/verify-package.mjs; ../scripts/verify-consumers.mjs</x:t>
        </x:is>
      </x:c>
      <x:c r="H24" s="142" t="inlineStr">
        <x:is>
          <x:t xml:space="preserve">tested</x:t>
        </x:is>
      </x:c>
      <x:c r="I24" s="142" t="inlineStr">
        <x:is>
          <x:t xml:space="preserve">no</x:t>
        </x:is>
      </x:c>
      <x:c r="J24" s="147" t="n">
        <x:v>46278</x:v>
      </x:c>
      <x:c r="K24" s="143" t="n"/>
      <x:c r="L24" s="125" t="n">
        <x:v>1</x:v>
      </x:c>
      <x:c r="M24" s="125" t="n">
        <x:f>IF(H24="not applicable",1,IF(I24="yes",IF(H24="verified",1,0),IF(OR(H24="tested",H24="verified"),1,0)))</x:f>
        <x:v>1</x:v>
      </x:c>
    </x:row>
  </x:sheetData>
  <x:mergeCells>
    <x:mergeCell ref="A2:M2"/>
    <x:mergeCell ref="A1:M1"/>
  </x:mergeCells>
  <x:conditionalFormatting sqref="H9:H24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1" showDropDown="0" showInputMessage="1" showErrorMessage="1" sqref="H9:H24">
      <x:formula1>"not started,partial,implemented,tested,verified,blocked,not applicable"</x:formula1>
      <x:formula2>0</x:formula2>
    </x:dataValidation>
    <x:dataValidation type="list" errorStyle="stop" operator="between" allowBlank="1" showDropDown="0" showInputMessage="1" showErrorMessage="1" sqref="I9:I24">
      <x:formula1>"yes,no"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b285523faff4a08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Icon Button Evidence</x:t>
        </x:is>
      </x:c>
    </x:row>
    <x:row r="2" s="127" customFormat="1" ht="27.75" customHeight="1">
      <x:c r="A2" s="129" t="inlineStr">
        <x:is>
          <x:t xml:space="preserve">Assertion-level package, browser, human-review, documentation, and consumer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COUNTA(A9:A200)</x:f>
        <x:v>17</x:v>
      </x:c>
      <x:c r="D4" s="130" t="inlineStr">
        <x:is>
          <x:t xml:space="preserve">Resolved</x:t>
        </x:is>
      </x:c>
      <x:c r="E4" s="131" t="n">
        <x:f>SUM(M9:M200)</x:f>
        <x:v>10</x:v>
      </x:c>
      <x:c r="G4" s="130" t="inlineStr">
        <x:is>
          <x:t xml:space="preserve">Completion</x:t>
        </x:is>
      </x:c>
      <x:c r="H4" s="132" t="n">
        <x:f>IF(B4=0,0,E4/B4)</x:f>
        <x:v>0.5882352941176471</x:v>
      </x:c>
      <x:c r="J4" s="130" t="inlineStr">
        <x:is>
          <x:t xml:space="preserve">Package gate</x:t>
        </x:is>
      </x:c>
      <x:c r="K4" s="131" t="str"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v>open</x:v>
      </x:c>
      <x:c r="D5" s="130" t="inlineStr">
        <x:is>
          <x:t xml:space="preserve">Consumer gate</x:t>
        </x:is>
      </x:c>
      <x:c r="E5" s="131" t="str">
        <x:v>open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42" customHeight="1">
      <x:c r="A9" s="125" t="inlineStr">
        <x:is>
          <x:t xml:space="preserve">IB-01</x:t>
        </x:is>
      </x:c>
      <x:c r="B9" s="125" t="inlineStr">
        <x:is>
          <x:t xml:space="preserve">Implementation</x:t>
        </x:is>
      </x:c>
      <x:c r="C9" s="125" t="inlineStr">
        <x:is>
          <x:t xml:space="preserve">IconButton</x:t>
        </x:is>
      </x:c>
      <x:c r="D9" s="125" t="inlineStr">
        <x:is>
          <x:t xml:space="preserve">Public component implementation and Atom adapter exist.</x:t>
        </x:is>
      </x:c>
      <x:c r="E9" s="125" t="inlineStr">
        <x:is>
          <x:t xml:space="preserve">package</x:t>
        </x:is>
      </x:c>
      <x:c r="F9" s="125" t="inlineStr">
        <x:is>
          <x:t xml:space="preserve">source</x:t>
        </x:is>
      </x:c>
      <x:c r="G9" s="125" t="inlineStr">
        <x:is>
          <x:t xml:space="preserve">../src/components/icon-button</x:t>
        </x:is>
      </x:c>
      <x:c r="H9" s="125" t="inlineStr">
        <x:is>
          <x:t xml:space="preserve">tested</x:t>
        </x:is>
      </x:c>
      <x:c r="I9" s="125" t="inlineStr">
        <x:is>
          <x:t xml:space="preserve">no</x:t>
        </x:is>
      </x:c>
      <x:c r="J9" s="141" t="n">
        <x:v>46227</x:v>
      </x:c>
      <x:c r="L9" s="125" t="n">
        <x:v>1</x:v>
      </x:c>
      <x:c r="M9" s="125" t="n">
        <x:f>IF(H9="not applicable",IF(K9&lt;&gt;"",1,0),IF(I9="yes",IF(H9="verified",1,0),IF(OR(H9="tested",H9="verified"),1,0)))</x:f>
        <x:v>1</x:v>
      </x:c>
    </x:row>
    <x:row r="10" s="127" customFormat="1" ht="42" customHeight="1">
      <x:c r="A10" s="125" t="inlineStr">
        <x:is>
          <x:t xml:space="preserve">IB-02</x:t>
        </x:is>
      </x:c>
      <x:c r="B10" s="125" t="inlineStr">
        <x:is>
          <x:t xml:space="preserve">Exports</x:t>
        </x:is>
      </x:c>
      <x:c r="C10" s="125" t="inlineStr">
        <x:is>
          <x:t xml:space="preserve">IconButton</x:t>
        </x:is>
      </x:c>
      <x:c r="D10" s="125" t="inlineStr">
        <x:is>
          <x:t xml:space="preserve">Root and public subpath exports expose the component.</x:t>
        </x:is>
      </x:c>
      <x:c r="E10" s="125" t="inlineStr">
        <x:is>
          <x:t xml:space="preserve">package</x:t>
        </x:is>
      </x:c>
      <x:c r="F10" s="125" t="inlineStr">
        <x:is>
          <x:t xml:space="preserve">package</x:t>
        </x:is>
      </x:c>
      <x:c r="G10" s="125" t="inlineStr">
        <x:is>
          <x:t xml:space="preserve">../test/package/package.test.mjs</x:t>
        </x:is>
      </x:c>
      <x:c r="H10" s="125" t="inlineStr">
        <x:is>
          <x:t xml:space="preserve">tested</x:t>
        </x:is>
      </x:c>
      <x:c r="I10" s="125" t="inlineStr">
        <x:is>
          <x:t xml:space="preserve">no</x:t>
        </x:is>
      </x:c>
      <x:c r="J10" s="141" t="n">
        <x:v>46227</x:v>
      </x:c>
      <x:c r="L10" s="125" t="n">
        <x:v>1</x:v>
      </x:c>
      <x:c r="M10" s="125" t="n">
        <x:f>IF(H10="not applicable",IF(K10&lt;&gt;"",1,0),IF(I10="yes",IF(H10="verified",1,0),IF(OR(H10="tested",H10="verified"),1,0)))</x:f>
        <x:v>1</x:v>
      </x:c>
    </x:row>
    <x:row r="11" s="127" customFormat="1" ht="42" customHeight="1">
      <x:c r="A11" s="125" t="inlineStr">
        <x:is>
          <x:t xml:space="preserve">IB-03</x:t>
        </x:is>
      </x:c>
      <x:c r="B11" s="125" t="inlineStr">
        <x:is>
          <x:t xml:space="preserve">Types</x:t>
        </x:is>
      </x:c>
      <x:c r="C11" s="125" t="inlineStr">
        <x:is>
          <x:t xml:space="preserve">IconButton</x:t>
        </x:is>
      </x:c>
      <x:c r="D11" s="125" t="inlineStr">
        <x:is>
          <x:t xml:space="preserve">Public props, refs, composition branches, and invalid cases type-check.</x:t>
        </x:is>
      </x:c>
      <x:c r="E11" s="125" t="inlineStr">
        <x:is>
          <x:t xml:space="preserve">package</x:t>
        </x:is>
      </x:c>
      <x:c r="F11" s="125" t="inlineStr">
        <x:is>
          <x:t xml:space="preserve">types</x:t>
        </x:is>
      </x:c>
      <x:c r="G11" s="125" t="inlineStr">
        <x:is>
          <x:t xml:space="preserve">../test/types/components/icon-button.test.ts</x:t>
        </x:is>
      </x:c>
      <x:c r="H11" s="125" t="inlineStr">
        <x:is>
          <x:t xml:space="preserve">tested</x:t>
        </x:is>
      </x:c>
      <x:c r="I11" s="125" t="inlineStr">
        <x:is>
          <x:t xml:space="preserve">no</x:t>
        </x:is>
      </x:c>
      <x:c r="J11" s="141" t="n">
        <x:v>46227</x:v>
      </x:c>
      <x:c r="L11" s="125" t="n">
        <x:v>1</x:v>
      </x:c>
      <x:c r="M11" s="125" t="n">
        <x:f>IF(H11="not applicable",IF(K11&lt;&gt;"",1,0),IF(I11="yes",IF(H11="verified",1,0),IF(OR(H11="tested",H11="verified"),1,0)))</x:f>
        <x:v>1</x:v>
      </x:c>
    </x:row>
    <x:row r="12" s="127" customFormat="1" ht="42" customHeight="1">
      <x:c r="A12" s="125" t="inlineStr">
        <x:is>
          <x:t xml:space="preserve">IB-04</x:t>
        </x:is>
      </x:c>
      <x:c r="B12" s="125" t="inlineStr">
        <x:is>
          <x:t xml:space="preserve">CSS</x:t>
        </x:is>
      </x:c>
      <x:c r="C12" s="125" t="inlineStr">
        <x:is>
          <x:t xml:space="preserve">IconButton</x:t>
        </x:is>
      </x:c>
      <x:c r="D12" s="125" t="inlineStr">
        <x:is>
          <x:t xml:space="preserve">Static public CSS, classes, slots, recipes, states, and tokens are present.</x:t>
        </x:is>
      </x:c>
      <x:c r="E12" s="125" t="inlineStr">
        <x:is>
          <x:t xml:space="preserve">package</x:t>
        </x:is>
      </x:c>
      <x:c r="F12" s="125" t="inlineStr">
        <x:is>
          <x:t xml:space="preserve">css</x:t>
        </x:is>
      </x:c>
      <x:c r="G12" s="125" t="inlineStr">
        <x:is>
          <x:t xml:space="preserve">../src/components/icon-button/icon-button.css</x:t>
        </x:is>
      </x:c>
      <x:c r="H12" s="125" t="inlineStr">
        <x:is>
          <x:t xml:space="preserve">tested</x:t>
        </x:is>
      </x:c>
      <x:c r="I12" s="125" t="inlineStr">
        <x:is>
          <x:t xml:space="preserve">no</x:t>
        </x:is>
      </x:c>
      <x:c r="J12" s="141" t="n">
        <x:v>46227</x:v>
      </x:c>
      <x:c r="L12" s="125" t="n">
        <x:v>1</x:v>
      </x:c>
      <x:c r="M12" s="125" t="n">
        <x:f>IF(H12="not applicable",IF(K12&lt;&gt;"",1,0),IF(I12="yes",IF(H12="verified",1,0),IF(OR(H12="tested",H12="verified"),1,0)))</x:f>
        <x:v>1</x:v>
      </x:c>
    </x:row>
    <x:row r="13" s="127" customFormat="1" ht="42" customHeight="1">
      <x:c r="A13" s="125" t="inlineStr">
        <x:is>
          <x:t xml:space="preserve">IB-05</x:t>
        </x:is>
      </x:c>
      <x:c r="B13" s="125" t="inlineStr">
        <x:is>
          <x:t xml:space="preserve">Unit</x:t>
        </x:is>
      </x:c>
      <x:c r="C13" s="125" t="inlineStr">
        <x:is>
          <x:t xml:space="preserve">IconButton</x:t>
        </x:is>
      </x:c>
      <x:c r="D13" s="125" t="inlineStr">
        <x:is>
          <x:t xml:space="preserve">Shared rendering and custom loading pass.</x:t>
        </x:is>
      </x:c>
      <x:c r="E13" s="125" t="inlineStr">
        <x:is>
          <x:t xml:space="preserve">package</x:t>
        </x:is>
      </x:c>
      <x:c r="F13" s="125" t="inlineStr">
        <x:is>
          <x:t xml:space="preserve">component</x:t>
        </x:is>
      </x:c>
      <x:c r="G13" s="125" t="inlineStr">
        <x:is>
          <x:t xml:space="preserve">../test/components/icon-button/action-family.test.tsx</x:t>
        </x:is>
      </x:c>
      <x:c r="H13" s="125" t="inlineStr">
        <x:is>
          <x:t xml:space="preserve">tested</x:t>
        </x:is>
      </x:c>
      <x:c r="I13" s="125" t="inlineStr">
        <x:is>
          <x:t xml:space="preserve">no</x:t>
        </x:is>
      </x:c>
      <x:c r="J13" s="141" t="n">
        <x:v>46227</x:v>
      </x:c>
      <x:c r="L13" s="125" t="n">
        <x:v>1</x:v>
      </x:c>
      <x:c r="M13" s="125" t="n">
        <x:f>IF(H13="not applicable",IF(K13&lt;&gt;"",1,0),IF(I13="yes",IF(H13="verified",1,0),IF(OR(H13="tested",H13="verified"),1,0)))</x:f>
        <x:v>1</x:v>
      </x:c>
    </x:row>
    <x:row r="14" s="127" customFormat="1" ht="42" customHeight="1">
      <x:c r="A14" s="125" t="inlineStr">
        <x:is>
          <x:t xml:space="preserve">IB-06</x:t>
        </x:is>
      </x:c>
      <x:c r="B14" s="125" t="inlineStr">
        <x:is>
          <x:t xml:space="preserve">Browser</x:t>
        </x:is>
      </x:c>
      <x:c r="C14" s="125" t="inlineStr">
        <x:is>
          <x:t xml:space="preserve">IconButton</x:t>
        </x:is>
      </x:c>
      <x:c r="D14" s="125" t="inlineStr">
        <x:is>
          <x:t xml:space="preserve">Square sizes, states, links and shared paint pass.</x:t>
        </x:is>
      </x:c>
      <x:c r="E14" s="125" t="inlineStr">
        <x:is>
          <x:t xml:space="preserve">package</x:t>
        </x:is>
      </x:c>
      <x:c r="F14" s="125" t="inlineStr">
        <x:is>
          <x:t xml:space="preserve">browser</x:t>
        </x:is>
      </x:c>
      <x:c r="G14" s="125" t="inlineStr">
        <x:is>
          <x:t xml:space="preserve">tests/components/icon-button/family.spec.ts; behavior.spec.ts</x:t>
        </x:is>
      </x:c>
      <x:c r="H14" s="125" t="inlineStr">
        <x:is>
          <x:t xml:space="preserve">tested</x:t>
        </x:is>
      </x:c>
      <x:c r="I14" s="125" t="inlineStr">
        <x:is>
          <x:t xml:space="preserve">no</x:t>
        </x:is>
      </x:c>
      <x:c r="J14" s="141" t="n">
        <x:v>46227</x:v>
      </x:c>
      <x:c r="L14" s="125" t="n">
        <x:v>1</x:v>
      </x:c>
      <x:c r="M14" s="125" t="n">
        <x:f>IF(H14="not applicable",IF(K14&lt;&gt;"",1,0),IF(I14="yes",IF(H14="verified",1,0),IF(OR(H14="tested",H14="verified"),1,0)))</x:f>
        <x:v>1</x:v>
      </x:c>
    </x:row>
    <x:row r="15" s="127" customFormat="1" ht="42" customHeight="1">
      <x:c r="A15" s="125" t="inlineStr">
        <x:is>
          <x:t xml:space="preserve">IB-07</x:t>
        </x:is>
      </x:c>
      <x:c r="B15" s="125" t="inlineStr">
        <x:is>
          <x:t xml:space="preserve">Accessibility</x:t>
        </x:is>
      </x:c>
      <x:c r="C15" s="125" t="inlineStr">
        <x:is>
          <x:t xml:space="preserve">IconButton</x:t>
        </x:is>
      </x:c>
      <x:c r="D15" s="125" t="inlineStr">
        <x:is>
          <x:t xml:space="preserve">Automated semantics and accessibility checks pass in the browser evidence suite.</x:t>
        </x:is>
      </x:c>
      <x:c r="E15" s="125" t="inlineStr">
        <x:is>
          <x:t xml:space="preserve">package</x:t>
        </x:is>
      </x:c>
      <x:c r="F15" s="125" t="inlineStr">
        <x:is>
          <x:t xml:space="preserve">axe</x:t>
        </x:is>
      </x:c>
      <x:c r="G15" s="125" t="inlineStr">
        <x:is>
          <x:t xml:space="preserve">tests/components/icon-button/behavior.spec.ts; tests/integration</x:t>
        </x:is>
      </x:c>
      <x:c r="H15" s="125" t="inlineStr">
        <x:is>
          <x:t xml:space="preserve">tested</x:t>
        </x:is>
      </x:c>
      <x:c r="I15" s="125" t="inlineStr">
        <x:is>
          <x:t xml:space="preserve">no</x:t>
        </x:is>
      </x:c>
      <x:c r="J15" s="141" t="n">
        <x:v>46227</x:v>
      </x:c>
      <x:c r="L15" s="125" t="n">
        <x:v>1</x:v>
      </x:c>
      <x:c r="M15" s="125" t="n">
        <x:f>IF(H15="not applicable",IF(K15&lt;&gt;"",1,0),IF(I15="yes",IF(H15="verified",1,0),IF(OR(H15="tested",H15="verified"),1,0)))</x:f>
        <x:v>1</x:v>
      </x:c>
    </x:row>
    <x:row r="16" s="127" customFormat="1" ht="42" customHeight="1">
      <x:c r="A16" s="125" t="inlineStr">
        <x:is>
          <x:t xml:space="preserve">IB-08</x:t>
        </x:is>
      </x:c>
      <x:c r="B16" s="125" t="inlineStr">
        <x:is>
          <x:t xml:space="preserve">Visual</x:t>
        </x:is>
      </x:c>
      <x:c r="C16" s="125" t="inlineStr">
        <x:is>
          <x:t xml:space="preserve">IconButton</x:t>
        </x:is>
      </x:c>
      <x:c r="D16" s="125" t="inlineStr">
        <x:is>
          <x:t xml:space="preserve">Reviewed baselines cover the component's risk-selected recipes and states.</x:t>
        </x:is>
      </x:c>
      <x:c r="E16" s="125" t="inlineStr">
        <x:is>
          <x:t xml:space="preserve">package</x:t>
        </x:is>
      </x:c>
      <x:c r="F16" s="125" t="inlineStr">
        <x:is>
          <x:t xml:space="preserve">visual</x:t>
        </x:is>
      </x:c>
      <x:c r="G16" s="125" t="inlineStr">
        <x:is>
          <x:t xml:space="preserve">tests/components/icon-button/visual.spec.ts</x:t>
        </x:is>
      </x:c>
      <x:c r="H16" s="125" t="inlineStr">
        <x:is>
          <x:t xml:space="preserve">partial</x:t>
        </x:is>
      </x:c>
      <x:c r="I16" s="125" t="inlineStr">
        <x:is>
          <x:t xml:space="preserve">yes</x:t>
        </x:is>
      </x:c>
      <x:c r="J16" s="141" t="n">
        <x:v>46227</x:v>
      </x:c>
      <x:c r="K16" s="125" t="inlineStr">
        <x:is>
          <x:t xml:space="preserve">New recipe baselines need owner review.</x:t>
        </x:is>
      </x:c>
      <x:c r="L16" s="125" t="n">
        <x:v>1</x:v>
      </x:c>
      <x:c r="M16" s="125" t="n">
        <x:f>IF(H16="not applicable",IF(K16&lt;&gt;"",1,0),IF(I16="yes",IF(H16="verified",1,0),IF(OR(H16="tested",H16="verified"),1,0)))</x:f>
        <x:v>0</x:v>
      </x:c>
    </x:row>
    <x:row r="17" s="127" customFormat="1" ht="42" customHeight="1">
      <x:c r="A17" s="125" t="inlineStr">
        <x:is>
          <x:t xml:space="preserve">IB-09</x:t>
        </x:is>
      </x:c>
      <x:c r="B17" s="125" t="inlineStr">
        <x:is>
          <x:t xml:space="preserve">Responsive</x:t>
        </x:is>
      </x:c>
      <x:c r="C17" s="125" t="inlineStr">
        <x:is>
          <x:t xml:space="preserve">IconButton</x:t>
        </x:is>
      </x:c>
      <x:c r="D17" s="125" t="inlineStr">
        <x:is>
          <x:t xml:space="preserve">Mobile, zoom/reflow, content stress, and RTL remain usable and contained.</x:t>
        </x:is>
      </x:c>
      <x:c r="E17" s="125" t="inlineStr">
        <x:is>
          <x:t xml:space="preserve">package</x:t>
        </x:is>
      </x:c>
      <x:c r="F17" s="125" t="inlineStr">
        <x:is>
          <x:t xml:space="preserve">manual</x:t>
        </x:is>
      </x:c>
      <x:c r="G17" s="125" t="inlineStr">
        <x:is>
          <x:t xml:space="preserve">manual-tests/icon-button.md</x:t>
        </x:is>
      </x:c>
      <x:c r="H17" s="125" t="inlineStr">
        <x:is>
          <x:t xml:space="preserve">implemented</x:t>
        </x:is>
      </x:c>
      <x:c r="I17" s="125" t="inlineStr">
        <x:is>
          <x:t xml:space="preserve">yes</x:t>
        </x:is>
      </x:c>
      <x:c r="J17" s="141" t="n"/>
      <x:c r="K17" s="125" t="inlineStr">
        <x:is>
          <x:t xml:space="preserve">Human protocol remains pending. Automated and visual evidence stays in its owning tests and does not complete this human gate.</x:t>
        </x:is>
      </x:c>
      <x:c r="L17" s="125" t="n">
        <x:v>1</x:v>
      </x:c>
      <x:c r="M17" s="125" t="n">
        <x:f>IF(H17="not applicable",IF(K17&lt;&gt;"",1,0),IF(I17="yes",IF(H17="verified",1,0),IF(OR(H17="tested",H17="verified"),1,0)))</x:f>
        <x:v>0</x:v>
      </x:c>
    </x:row>
    <x:row r="18" s="127" customFormat="1" ht="90" customHeight="1">
      <x:c r="A18" s="125" t="inlineStr">
        <x:is>
          <x:t xml:space="preserve">IB-10</x:t>
        </x:is>
      </x:c>
      <x:c r="B18" s="125" t="inlineStr">
        <x:is>
          <x:t xml:space="preserve">Theme</x:t>
        </x:is>
      </x:c>
      <x:c r="C18" s="125" t="inlineStr">
        <x:is>
          <x:t xml:space="preserve">IconButton</x:t>
        </x:is>
      </x:c>
      <x:c r="D18" s="125" t="inlineStr">
        <x:is>
          <x:t xml:space="preserve">Light, dark, focus, forced-colors, and relevant motion behavior remain perceivable.</x:t>
        </x:is>
      </x:c>
      <x:c r="E18" s="125" t="inlineStr">
        <x:is>
          <x:t xml:space="preserve">package</x:t>
        </x:is>
      </x:c>
      <x:c r="F18" s="125" t="inlineStr">
        <x:is>
          <x:t xml:space="preserve">manual</x:t>
        </x:is>
      </x:c>
      <x:c r="G18" s="125" t="inlineStr">
        <x:is>
          <x:t xml:space="preserve">manual-tests/icon-button.md</x:t>
        </x:is>
      </x:c>
      <x:c r="H18" s="125" t="inlineStr">
        <x:is>
          <x:t xml:space="preserve">implemented</x:t>
        </x:is>
      </x:c>
      <x:c r="I18" s="125" t="inlineStr">
        <x:is>
          <x:t xml:space="preserve">yes</x:t>
        </x:is>
      </x:c>
      <x:c r="J18" s="141" t="n"/>
      <x:c r="K18" s="142" t="inlineStr">
        <x:is>
          <x:t xml:space="preserve">Human protocol remains pending. Automated and visual evidence stays in its owning tests and does not complete this human gate.
2026-09-09: Focus pass: inset placement, semantic fill contrast and forced-color outline. See focus-system/execution-report.md. Other qualification is not promoted.</x:t>
        </x:is>
      </x:c>
      <x:c r="L18" s="125" t="n">
        <x:v>1</x:v>
      </x:c>
      <x:c r="M18" s="125" t="n">
        <x:f>IF(H18="not applicable",IF(K18&lt;&gt;"",1,0),IF(I18="yes",IF(H18="verified",1,0),IF(OR(H18="tested",H18="verified"),1,0)))</x:f>
        <x:v>0</x:v>
      </x:c>
    </x:row>
    <x:row r="19" s="127" customFormat="1" ht="42" customHeight="1">
      <x:c r="A19" s="125" t="inlineStr">
        <x:is>
          <x:t xml:space="preserve">IB-11</x:t>
        </x:is>
      </x:c>
      <x:c r="B19" s="125" t="inlineStr">
        <x:is>
          <x:t xml:space="preserve">Composition</x:t>
        </x:is>
      </x:c>
      <x:c r="C19" s="125" t="inlineStr">
        <x:is>
          <x:t xml:space="preserve">IconButton</x:t>
        </x:is>
      </x:c>
      <x:c r="D19" s="125" t="inlineStr">
        <x:is>
          <x:t xml:space="preserve">Default, render, and asChild output preserve the intended element, slots, state, and relationships.</x:t>
        </x:is>
      </x:c>
      <x:c r="E19" s="125" t="inlineStr">
        <x:is>
          <x:t xml:space="preserve">package</x:t>
        </x:is>
      </x:c>
      <x:c r="F19" s="125" t="inlineStr">
        <x:is>
          <x:t xml:space="preserve">manual</x:t>
        </x:is>
      </x:c>
      <x:c r="G19" s="125" t="inlineStr">
        <x:is>
          <x:t xml:space="preserve">manual-tests/icon-button.md; tests/components/icon-button/behavior.spec.ts</x:t>
        </x:is>
      </x:c>
      <x:c r="H19" s="125" t="inlineStr">
        <x:is>
          <x:t xml:space="preserve">implemented</x:t>
        </x:is>
      </x:c>
      <x:c r="I19" s="125" t="inlineStr">
        <x:is>
          <x:t xml:space="preserve">yes</x:t>
        </x:is>
      </x:c>
      <x:c r="J19" s="141" t="n"/>
      <x:c r="K19" s="125" t="inlineStr">
        <x:is>
          <x:t xml:space="preserve">Human protocol remains pending. Automated and visual evidence stays in its owning tests and does not complete this human gate.</x:t>
        </x:is>
      </x:c>
      <x:c r="L19" s="125" t="n">
        <x:v>1</x:v>
      </x:c>
      <x:c r="M19" s="125" t="n">
        <x:f>IF(H19="not applicable",IF(K19&lt;&gt;"",1,0),IF(I19="yes",IF(H19="verified",1,0),IF(OR(H19="tested",H19="verified"),1,0)))</x:f>
        <x:v>0</x:v>
      </x:c>
    </x:row>
    <x:row r="20" s="127" customFormat="1" ht="42" customHeight="1">
      <x:c r="A20" s="125" t="inlineStr">
        <x:is>
          <x:t xml:space="preserve">IB-12</x:t>
        </x:is>
      </x:c>
      <x:c r="B20" s="125" t="inlineStr">
        <x:is>
          <x:t xml:space="preserve">Manual</x:t>
        </x:is>
      </x:c>
      <x:c r="C20" s="125" t="inlineStr">
        <x:is>
          <x:t xml:space="preserve">IconButton</x:t>
        </x:is>
      </x:c>
      <x:c r="D20" s="125" t="inlineStr">
        <x:is>
          <x:t xml:space="preserve">The complete component-owned manual protocol passed against every playground scenario.</x:t>
        </x:is>
      </x:c>
      <x:c r="E20" s="125" t="inlineStr">
        <x:is>
          <x:t xml:space="preserve">package</x:t>
        </x:is>
      </x:c>
      <x:c r="F20" s="125" t="inlineStr">
        <x:is>
          <x:t xml:space="preserve">manual</x:t>
        </x:is>
      </x:c>
      <x:c r="G20" s="125" t="inlineStr">
        <x:is>
          <x:t xml:space="preserve">manual-tests/icon-button.md</x:t>
        </x:is>
      </x:c>
      <x:c r="H20" s="125" t="inlineStr">
        <x:is>
          <x:t xml:space="preserve">implemented</x:t>
        </x:is>
      </x:c>
      <x:c r="I20" s="125" t="inlineStr">
        <x:is>
          <x:t xml:space="preserve">yes</x:t>
        </x:is>
      </x:c>
      <x:c r="J20" s="141" t="n"/>
      <x:c r="K20" s="125" t="inlineStr">
        <x:is>
          <x:t xml:space="preserve">Human protocol remains pending. Automated and visual evidence stays in its owning tests and does not complete this human gate.</x:t>
        </x:is>
      </x:c>
      <x:c r="L20" s="125" t="n">
        <x:v>1</x:v>
      </x:c>
      <x:c r="M20" s="125" t="n">
        <x:f>IF(H20="not applicable",IF(K20&lt;&gt;"",1,0),IF(I20="yes",IF(H20="verified",1,0),IF(OR(H20="tested",H20="verified"),1,0)))</x:f>
        <x:v>0</x:v>
      </x:c>
    </x:row>
    <x:row r="21" s="127" customFormat="1" ht="42" customHeight="1">
      <x:c r="A21" s="125" t="inlineStr">
        <x:is>
          <x:t xml:space="preserve">IB-13</x:t>
        </x:is>
      </x:c>
      <x:c r="B21" s="125" t="inlineStr">
        <x:is>
          <x:t xml:space="preserve">Docs</x:t>
        </x:is>
      </x:c>
      <x:c r="C21" s="125" t="inlineStr">
        <x:is>
          <x:t xml:space="preserve">IconButton</x:t>
        </x:is>
      </x:c>
      <x:c r="D21" s="125" t="inlineStr">
        <x:is>
          <x:t xml:space="preserve">Public usage documentation exists at the component-owned path.</x:t>
        </x:is>
      </x:c>
      <x:c r="E21" s="125" t="inlineStr">
        <x:is>
          <x:t xml:space="preserve">package</x:t>
        </x:is>
      </x:c>
      <x:c r="F21" s="125" t="inlineStr">
        <x:is>
          <x:t xml:space="preserve">docs</x:t>
        </x:is>
      </x:c>
      <x:c r="G21" s="125" t="inlineStr">
        <x:is>
          <x:t xml:space="preserve">../docs/components/icon-button/README.md</x:t>
        </x:is>
      </x:c>
      <x:c r="H21" s="125" t="inlineStr">
        <x:is>
          <x:t xml:space="preserve">tested</x:t>
        </x:is>
      </x:c>
      <x:c r="I21" s="125" t="inlineStr">
        <x:is>
          <x:t xml:space="preserve">no</x:t>
        </x:is>
      </x:c>
      <x:c r="J21" s="141" t="n">
        <x:v>46227</x:v>
      </x:c>
      <x:c r="L21" s="125" t="n">
        <x:v>1</x:v>
      </x:c>
      <x:c r="M21" s="125" t="n">
        <x:f>IF(H21="not applicable",IF(K21&lt;&gt;"",1,0),IF(I21="yes",IF(H21="verified",1,0),IF(OR(H21="tested",H21="verified"),1,0)))</x:f>
        <x:v>1</x:v>
      </x:c>
    </x:row>
    <x:row r="22" s="127" customFormat="1" ht="42" customHeight="1">
      <x:c r="A22" s="125" t="inlineStr">
        <x:is>
          <x:t xml:space="preserve">IB-14</x:t>
        </x:is>
      </x:c>
      <x:c r="B22" s="125" t="inlineStr">
        <x:is>
          <x:t xml:space="preserve">Changelog</x:t>
        </x:is>
      </x:c>
      <x:c r="C22" s="125" t="inlineStr">
        <x:is>
          <x:t xml:space="preserve">IconButton</x:t>
        </x:is>
      </x:c>
      <x:c r="D22" s="125" t="inlineStr">
        <x:is>
          <x:t xml:space="preserve">The component owns a public changelog.</x:t>
        </x:is>
      </x:c>
      <x:c r="E22" s="125" t="inlineStr">
        <x:is>
          <x:t xml:space="preserve">package</x:t>
        </x:is>
      </x:c>
      <x:c r="F22" s="125" t="inlineStr">
        <x:is>
          <x:t xml:space="preserve">docs</x:t>
        </x:is>
      </x:c>
      <x:c r="G22" s="125" t="inlineStr">
        <x:is>
          <x:t xml:space="preserve">../docs/components/icon-button/CHANGELOG.md</x:t>
        </x:is>
      </x:c>
      <x:c r="H22" s="125" t="inlineStr">
        <x:is>
          <x:t xml:space="preserve">tested</x:t>
        </x:is>
      </x:c>
      <x:c r="I22" s="125" t="inlineStr">
        <x:is>
          <x:t xml:space="preserve">no</x:t>
        </x:is>
      </x:c>
      <x:c r="J22" s="141" t="n">
        <x:v>46227</x:v>
      </x:c>
      <x:c r="L22" s="125" t="n">
        <x:v>1</x:v>
      </x:c>
      <x:c r="M22" s="125" t="n">
        <x:f>IF(H22="not applicable",IF(K22&lt;&gt;"",1,0),IF(I22="yes",IF(H22="verified",1,0),IF(OR(H22="tested",H22="verified"),1,0)))</x:f>
        <x:v>1</x:v>
      </x:c>
    </x:row>
    <x:row r="23" s="127" customFormat="1" ht="42" customHeight="1">
      <x:c r="A23" s="125" t="inlineStr">
        <x:is>
          <x:t xml:space="preserve">IB-15</x:t>
        </x:is>
      </x:c>
      <x:c r="B23" s="125" t="inlineStr">
        <x:is>
          <x:t xml:space="preserve">Consumer</x:t>
        </x:is>
      </x:c>
      <x:c r="C23" s="125" t="inlineStr">
        <x:is>
          <x:t xml:space="preserve">IconButton</x:t>
        </x:is>
      </x:c>
      <x:c r="D23" s="125" t="inlineStr">
        <x:is>
          <x:t xml:space="preserve">The standalone consumer imports and exercises the public package component.</x:t>
        </x:is>
      </x:c>
      <x:c r="E23" s="125" t="inlineStr">
        <x:is>
          <x:t xml:space="preserve">consumer</x:t>
        </x:is>
      </x:c>
      <x:c r="F23" s="125" t="inlineStr">
        <x:is>
          <x:t xml:space="preserve">consumer</x:t>
        </x:is>
      </x:c>
      <x:c r="G23" s="125" t="inlineStr">
        <x:is>
          <x:t xml:space="preserve">../apps/consumer/src/App.tsx; ../apps/consumer/tests/consumer.spec.ts</x:t>
        </x:is>
      </x:c>
      <x:c r="H23" s="125" t="inlineStr">
        <x:is>
          <x:t xml:space="preserve">partial</x:t>
        </x:is>
      </x:c>
      <x:c r="I23" s="125" t="inlineStr">
        <x:is>
          <x:t xml:space="preserve">no</x:t>
        </x:is>
      </x:c>
      <x:c r="J23" s="141" t="n">
        <x:v>46227</x:v>
      </x:c>
      <x:c r="K23" s="138" t="inlineStr">
        <x:is>
          <x:t xml:space="preserve">Updated clean consumer not qualified.</x:t>
        </x:is>
      </x:c>
      <x:c r="L23" s="125" t="n">
        <x:v>1</x:v>
      </x:c>
      <x:c r="M23" s="125" t="n">
        <x:f>IF(H23="not applicable",IF(K23&lt;&gt;"",1,0),IF(I23="yes",IF(H23="verified",1,0),IF(OR(H23="tested",H23="verified"),1,0)))</x:f>
        <x:v>0</x:v>
      </x:c>
    </x:row>
    <x:row r="24" s="127" customFormat="1" ht="42" customHeight="1">
      <x:c r="A24" s="125" t="inlineStr">
        <x:is>
          <x:t xml:space="preserve">IB-16</x:t>
        </x:is>
      </x:c>
      <x:c r="B24" s="125" t="inlineStr">
        <x:is>
          <x:t xml:space="preserve">Package</x:t>
        </x:is>
      </x:c>
      <x:c r="C24" s="125" t="inlineStr">
        <x:is>
          <x:t xml:space="preserve">IconButton</x:t>
        </x:is>
      </x:c>
      <x:c r="D24" s="125" t="inlineStr">
        <x:is>
          <x:t xml:space="preserve">Build, exports, tarball, CSS, and consumer boundary verification pass.</x:t>
        </x:is>
      </x:c>
      <x:c r="E24" s="125" t="inlineStr">
        <x:is>
          <x:t xml:space="preserve">package</x:t>
        </x:is>
      </x:c>
      <x:c r="F24" s="125" t="inlineStr">
        <x:is>
          <x:t xml:space="preserve">package</x:t>
        </x:is>
      </x:c>
      <x:c r="G24" s="125" t="inlineStr">
        <x:is>
          <x:t xml:space="preserve">../scripts/verify-package.mjs; ../scripts/verify-consumers.mjs</x:t>
        </x:is>
      </x:c>
      <x:c r="H24" s="125" t="inlineStr">
        <x:is>
          <x:t xml:space="preserve">partial</x:t>
        </x:is>
      </x:c>
      <x:c r="I24" s="125" t="inlineStr">
        <x:is>
          <x:t xml:space="preserve">no</x:t>
        </x:is>
      </x:c>
      <x:c r="J24" s="141" t="n">
        <x:v>46227</x:v>
      </x:c>
      <x:c r="K24" s="138" t="inlineStr">
        <x:is>
          <x:t xml:space="preserve">Pack passed; consumer and manual gates open.</x:t>
        </x:is>
      </x:c>
      <x:c r="L24" s="125" t="n">
        <x:v>1</x:v>
      </x:c>
      <x:c r="M24" s="125" t="n">
        <x:f>IF(H24="not applicable",IF(K24&lt;&gt;"",1,0),IF(I24="yes",IF(H24="verified",1,0),IF(OR(H24="tested",H24="verified"),1,0)))</x:f>
        <x:v>0</x:v>
      </x:c>
    </x:row>
    <x:row r="25" s="135" customFormat="1" ht="63.75" customHeight="1">
      <x:c r="A25" s="148" t="inlineStr">
        <x:is>
          <x:t xml:space="preserve">iconbutton-inventory</x:t>
        </x:is>
      </x:c>
      <x:c r="B25" s="148" t="inlineStr">
        <x:is>
          <x:t xml:space="preserve">Playground</x:t>
        </x:is>
      </x:c>
      <x:c r="C25" s="148" t="inlineStr">
        <x:is>
          <x:t xml:space="preserve">Icon Button</x:t>
        </x:is>
      </x:c>
      <x:c r="D25" s="148" t="inlineStr">
        <x:is>
          <x:t xml:space="preserve">Every declared scenario renders in order at 390px and 1280px without page overflow or runtime exceptions.</x:t>
        </x:is>
      </x:c>
      <x:c r="E25" s="148" t="inlineStr">
        <x:is>
          <x:t xml:space="preserve">component</x:t>
        </x:is>
      </x:c>
      <x:c r="F25" s="148" t="inlineStr">
        <x:is>
          <x:t xml:space="preserve">browser</x:t>
        </x:is>
      </x:c>
      <x:c r="G25" s="148" t="inlineStr">
        <x:is>
          <x:t xml:space="preserve">playground/tests/integration/recent-component-capabilities.spec.ts</x:t>
        </x:is>
      </x:c>
      <x:c r="H25" s="148" t="inlineStr">
        <x:is>
          <x:t xml:space="preserve">tested</x:t>
        </x:is>
      </x:c>
      <x:c r="I25" s="148" t="inlineStr">
        <x:is>
          <x:t xml:space="preserve">no</x:t>
        </x:is>
      </x:c>
      <x:c r="J25" s="148" t="inlineStr">
        <x:is>
          <x:t xml:space="preserve">2026-09-05</x:t>
        </x:is>
      </x:c>
      <x:c r="K25" s="148" t="inlineStr">
        <x:is>
          <x:t xml:space="preserve">This assertion does not establish full behavioral or manual qualification.</x:t>
        </x:is>
      </x:c>
      <x:c r="L25" s="148" t="n">
        <x:v>1</x:v>
      </x:c>
      <x:c r="M25" s="148" t="n">
        <x:f>IF(OR(H25="tested",H25="verified"),1,0)</x:f>
        <x:v>1</x:v>
      </x:c>
    </x:row>
  </x:sheetData>
  <x:mergeCells>
    <x:mergeCell ref="A2:M2"/>
    <x:mergeCell ref="A1:M1"/>
  </x:mergeCells>
  <x:conditionalFormatting sqref="H9:H24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3">
    <x:dataValidation type="list" errorStyle="stop" operator="between" allowBlank="1" showDropDown="0" showInputMessage="1" showErrorMessage="1" sqref="H9:H24">
      <x:formula1>"not started,partial,implemented,tested,verified,blocked,not applicable"</x:formula1>
      <x:formula2>0</x:formula2>
    </x:dataValidation>
    <x:dataValidation type="list" errorStyle="stop" operator="between" allowBlank="1" showDropDown="0" showInputMessage="1" showErrorMessage="1" sqref="I9:I24">
      <x:formula1>"yes,no"</x:formula1>
      <x:formula2>0</x:formula2>
    </x:dataValidation>
    <x:dataValidation type="list" errorStyle="stop" operator="between" allowBlank="0" showDropDown="0" showInputMessage="0" showErrorMessage="0" sqref="H25">
      <x:formula1>_Lists!$A$1:$A$7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3cc9355e35b4c10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Input Evidence</x:t>
        </x:is>
      </x:c>
    </x:row>
    <x:row r="2" s="127" customFormat="1" ht="27.75" customHeight="1">
      <x:c r="A2" s="129" t="inlineStr">
        <x:is>
          <x:t xml:space="preserve">Assertion-level package, browser, human-review, documentation, and consumer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COUNTA(A9:A24)</x:f>
        <x:v>16</x:v>
      </x:c>
      <x:c r="D4" s="130" t="inlineStr">
        <x:is>
          <x:t xml:space="preserve">Resolved</x:t>
        </x:is>
      </x:c>
      <x:c r="E4" s="131" t="n">
        <x:f>SUM(M9:M24)</x:f>
        <x:v>12</x:v>
      </x:c>
      <x:c r="G4" s="130" t="inlineStr">
        <x:is>
          <x:t xml:space="preserve">Completion</x:t>
        </x:is>
      </x:c>
      <x:c r="H4" s="132" t="n">
        <x:f>IF(B4=0,0,E4/B4)</x:f>
        <x:v>0.75</x:v>
      </x:c>
      <x:c r="J4" s="130" t="inlineStr">
        <x:is>
          <x:t xml:space="preserve">Package gate</x:t>
        </x:is>
      </x:c>
      <x:c r="K4" s="131" t="str">
        <x:f>IF(COUNTIFS(E9:E24,"package",M9:M24,0)&gt;0,"open","complete")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IF(COUNTIFS(I9:I24,"yes",M9:M24,0)&gt;0,"open","complete")</x:f>
        <x:v>open</x:v>
      </x:c>
      <x:c r="D5" s="130" t="inlineStr">
        <x:is>
          <x:t xml:space="preserve">Consumer gate</x:t>
        </x:is>
      </x:c>
      <x:c r="E5" s="131" t="str">
        <x:f>IF(COUNTIFS(E9:E24,"consumer",M9:M24,0)&gt;0,"open","complete")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I-01</x:t>
        </x:is>
      </x:c>
      <x:c r="B9" s="149" t="inlineStr">
        <x:is>
          <x:t xml:space="preserve">Implementation</x:t>
        </x:is>
      </x:c>
      <x:c r="C9" s="149" t="inlineStr">
        <x:is>
          <x:t xml:space="preserve">Input</x:t>
        </x:is>
      </x:c>
      <x:c r="D9" s="150" t="inlineStr">
        <x:is>
          <x:t xml:space="preserve">Brick wrapper, native input ref, adornments, and Atom-powered Clear are implemented.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../src/components/input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46227</x:v>
      </x:c>
      <x:c r="K9" s="150" t="n"/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I-02</x:t>
        </x:is>
      </x:c>
      <x:c r="B10" s="149" t="inlineStr">
        <x:is>
          <x:t xml:space="preserve">Exports</x:t>
        </x:is>
      </x:c>
      <x:c r="C10" s="149" t="inlineStr">
        <x:is>
          <x:t xml:space="preserve">Input</x:t>
        </x:is>
      </x:c>
      <x:c r="D10" s="150" t="inlineStr">
        <x:is>
          <x:t xml:space="preserve">Root and public Input subpath exports expose runtime and type surfaces.</x:t>
        </x:is>
      </x:c>
      <x:c r="E10" s="149" t="inlineStr">
        <x:is>
          <x:t xml:space="preserve">package</x:t>
        </x:is>
      </x:c>
      <x:c r="F10" s="149" t="inlineStr">
        <x:is>
          <x:t xml:space="preserve">package</x:t>
        </x:is>
      </x:c>
      <x:c r="G10" s="150" t="inlineStr">
        <x:is>
          <x:t xml:space="preserve">../test/package/package.test.mjs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46227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I-03</x:t>
        </x:is>
      </x:c>
      <x:c r="B11" s="149" t="inlineStr">
        <x:is>
          <x:t xml:space="preserve">Types</x:t>
        </x:is>
      </x:c>
      <x:c r="C11" s="149" t="inlineStr">
        <x:is>
          <x:t xml:space="preserve">Input</x:t>
        </x:is>
      </x:c>
      <x:c r="D11" s="150" t="inlineStr">
        <x:is>
          <x:t xml:space="preserve">Recipes, native text types, ref, underline shape exclusion, and native size collision type-check.</x:t>
        </x:is>
      </x:c>
      <x:c r="E11" s="149" t="inlineStr">
        <x:is>
          <x:t xml:space="preserve">package</x:t>
        </x:is>
      </x:c>
      <x:c r="F11" s="149" t="inlineStr">
        <x:is>
          <x:t xml:space="preserve">types</x:t>
        </x:is>
      </x:c>
      <x:c r="G11" s="150" t="inlineStr">
        <x:is>
          <x:t xml:space="preserve">../test/types/components/input.test.ts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46227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I-04</x:t>
        </x:is>
      </x:c>
      <x:c r="B12" s="149" t="inlineStr">
        <x:is>
          <x:t xml:space="preserve">CSS</x:t>
        </x:is>
      </x:c>
      <x:c r="C12" s="149" t="inlineStr">
        <x:is>
          <x:t xml:space="preserve">Input</x:t>
        </x:is>
      </x:c>
      <x:c r="D12" s="150" t="inlineStr">
        <x:is>
          <x:t xml:space="preserve">Recipes, sizes, shapes, states, adornment geometry, logical layout, and public tokens ship as static CSS.</x:t>
        </x:is>
      </x:c>
      <x:c r="E12" s="149" t="inlineStr">
        <x:is>
          <x:t xml:space="preserve">package</x:t>
        </x:is>
      </x:c>
      <x:c r="F12" s="149" t="inlineStr">
        <x:is>
          <x:t xml:space="preserve">css</x:t>
        </x:is>
      </x:c>
      <x:c r="G12" s="150" t="inlineStr">
        <x:is>
          <x:t xml:space="preserve">../src/components/input/input.css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46227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I-05</x:t>
        </x:is>
      </x:c>
      <x:c r="B13" s="149" t="inlineStr">
        <x:is>
          <x:t xml:space="preserve">Unit</x:t>
        </x:is>
      </x:c>
      <x:c r="C13" s="149" t="inlineStr">
        <x:is>
          <x:t xml:space="preserve">Input</x:t>
        </x:is>
      </x:c>
      <x:c r="D13" s="150" t="inlineStr">
        <x:is>
          <x:t xml:space="preserve">Defaults, DOM order, refs, hooks, Clear delegation, prop filtering, and state adaptation pass focused tests.</x:t>
        </x:is>
      </x:c>
      <x:c r="E13" s="149" t="inlineStr">
        <x:is>
          <x:t xml:space="preserve">package</x:t>
        </x:is>
      </x:c>
      <x:c r="F13" s="149" t="inlineStr">
        <x:is>
          <x:t xml:space="preserve">component</x:t>
        </x:is>
      </x:c>
      <x:c r="G13" s="150" t="inlineStr">
        <x:is>
          <x:t xml:space="preserve">../test/components/input/input.test.tsx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46227</x:v>
      </x:c>
      <x:c r="K13" s="150" t="n"/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I-06</x:t>
        </x:is>
      </x:c>
      <x:c r="B14" s="149" t="inlineStr">
        <x:is>
          <x:t xml:space="preserve">Browser</x:t>
        </x:is>
      </x:c>
      <x:c r="C14" s="149" t="inlineStr">
        <x:is>
          <x:t xml:space="preserve">Input</x:t>
        </x:is>
      </x:c>
      <x:c r="D14" s="150" t="inlineStr">
        <x:is>
          <x:t xml:space="preserve">Real-browser recipes, geometry, ownership, native form behavior, output, adornments, and Clear checks pass.</x:t>
        </x:is>
      </x:c>
      <x:c r="E14" s="149" t="inlineStr">
        <x:is>
          <x:t xml:space="preserve">package</x:t>
        </x:is>
      </x:c>
      <x:c r="F14" s="149" t="inlineStr">
        <x:is>
          <x:t xml:space="preserve">browser</x:t>
        </x:is>
      </x:c>
      <x:c r="G14" s="150" t="inlineStr">
        <x:is>
          <x:t xml:space="preserve">tests/components/input/behavior.spec.ts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46227</x:v>
      </x:c>
      <x:c r="K14" s="144" t="inlineStr">
        <x:is>
          <x:t xml:space="preserve">Surface pass: outline/rest/hover and surface fill checked in light/dark. Full owner review remains separate; see form-surface-recipes assertions in the owner browser suite.</x:t>
        </x:is>
      </x:c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I-07</x:t>
        </x:is>
      </x:c>
      <x:c r="B15" s="149" t="inlineStr">
        <x:is>
          <x:t xml:space="preserve">Accessibility</x:t>
        </x:is>
      </x:c>
      <x:c r="C15" s="149" t="inlineStr">
        <x:is>
          <x:t xml:space="preserve">Input</x:t>
        </x:is>
      </x:c>
      <x:c r="D15" s="150" t="inlineStr">
        <x:is>
          <x:t xml:space="preserve">Field naming and relationships, native availability states, focus restoration, and axe checks pass.</x:t>
        </x:is>
      </x:c>
      <x:c r="E15" s="149" t="inlineStr">
        <x:is>
          <x:t xml:space="preserve">package</x:t>
        </x:is>
      </x:c>
      <x:c r="F15" s="149" t="inlineStr">
        <x:is>
          <x:t xml:space="preserve">axe</x:t>
        </x:is>
      </x:c>
      <x:c r="G15" s="150" t="inlineStr">
        <x:is>
          <x:t xml:space="preserve">tests/components/input/behavior.spec.ts; tests/integration/form-foundation.spec.ts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46227</x:v>
      </x:c>
      <x:c r="K15" s="150" t="n"/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I-08</x:t>
        </x:is>
      </x:c>
      <x:c r="B16" s="149" t="inlineStr">
        <x:is>
          <x:t xml:space="preserve">Visual</x:t>
        </x:is>
      </x:c>
      <x:c r="C16" s="149" t="inlineStr">
        <x:is>
          <x:t xml:space="preserve">Input</x:t>
        </x:is>
      </x:c>
      <x:c r="D16" s="150" t="inlineStr">
        <x:is>
          <x:t xml:space="preserve">Reviewed baselines cover defaults, recipes, geometry, adornments, states, appearance, RTL, and forced colors.</x:t>
        </x:is>
      </x:c>
      <x:c r="E16" s="149" t="inlineStr">
        <x:is>
          <x:t xml:space="preserve">package</x:t>
        </x:is>
      </x:c>
      <x:c r="F16" s="149" t="inlineStr">
        <x:is>
          <x:t xml:space="preserve">visual</x:t>
        </x:is>
      </x:c>
      <x:c r="G16" s="150" t="inlineStr">
        <x:is>
          <x:t xml:space="preserve">tests/components/input/visual.spec.ts</x:t>
        </x:is>
      </x:c>
      <x:c r="H16" s="149" t="inlineStr">
        <x:is>
          <x:t xml:space="preserve">verified</x:t>
        </x:is>
      </x:c>
      <x:c r="I16" s="149" t="inlineStr">
        <x:is>
          <x:t xml:space="preserve">yes</x:t>
        </x:is>
      </x:c>
      <x:c r="J16" s="151" t="n">
        <x:v>46227</x:v>
      </x:c>
      <x:c r="K16" s="150" t="inlineStr">
        <x:is>
          <x:t xml:space="preserve">Owner reviewed and corrected the current Input playground evidence.</x:t>
        </x:is>
      </x:c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I-09</x:t>
        </x:is>
      </x:c>
      <x:c r="B17" s="149" t="inlineStr">
        <x:is>
          <x:t xml:space="preserve">Responsive</x:t>
        </x:is>
      </x:c>
      <x:c r="C17" s="149" t="inlineStr">
        <x:is>
          <x:t xml:space="preserve">Input</x:t>
        </x:is>
      </x:c>
      <x:c r="D17" s="150" t="inlineStr">
        <x:is>
          <x:t xml:space="preserve">Physical mobile, 200%/400% zoom, long-value stress, and RTL remain usable and contained.</x:t>
        </x:is>
      </x:c>
      <x:c r="E17" s="149" t="inlineStr">
        <x:is>
          <x:t xml:space="preserve">package</x:t>
        </x:is>
      </x:c>
      <x:c r="F17" s="149" t="inlineStr">
        <x:is>
          <x:t xml:space="preserve">manual</x:t>
        </x:is>
      </x:c>
      <x:c r="G17" s="150" t="inlineStr">
        <x:is>
          <x:t xml:space="preserve">manual-tests/input.md</x:t>
        </x:is>
      </x:c>
      <x:c r="H17" s="149" t="inlineStr">
        <x:is>
          <x:t xml:space="preserve">implemented</x:t>
        </x:is>
      </x:c>
      <x:c r="I17" s="149" t="inlineStr">
        <x:is>
          <x:t xml:space="preserve">yes</x:t>
        </x:is>
      </x:c>
      <x:c r="J17" s="151" t="n"/>
      <x:c r="K17" s="150" t="inlineStr">
        <x:is>
          <x:t xml:space="preserve">Manual protocol exists; physical device and zoom review have not been recorded.</x:t>
        </x:is>
      </x:c>
      <x:c r="L17" s="149" t="n">
        <x:v>1</x:v>
      </x:c>
      <x:c r="M17" s="149" t="n">
        <x:f>IF(OR(AND(I17="yes",H17="verified"),AND(I17="no",OR(H17="tested",H17="verified")),AND(H17="not applicable",K17&lt;&gt;"")),1,0)</x:f>
        <x:v>0</x:v>
      </x:c>
    </x:row>
    <x:row r="18" s="127" customFormat="1" ht="54" customHeight="1">
      <x:c r="A18" s="149" t="inlineStr">
        <x:is>
          <x:t xml:space="preserve">I-10</x:t>
        </x:is>
      </x:c>
      <x:c r="B18" s="149" t="inlineStr">
        <x:is>
          <x:t xml:space="preserve">Theme</x:t>
        </x:is>
      </x:c>
      <x:c r="C18" s="149" t="inlineStr">
        <x:is>
          <x:t xml:space="preserve">Input</x:t>
        </x:is>
      </x:c>
      <x:c r="D18" s="150" t="inlineStr">
        <x:is>
          <x:t xml:space="preserve">Light, dark, focus, invalid, forced-colors, and reduced-motion treatment remain perceivable.</x:t>
        </x:is>
      </x:c>
      <x:c r="E18" s="149" t="inlineStr">
        <x:is>
          <x:t xml:space="preserve">package</x:t>
        </x:is>
      </x:c>
      <x:c r="F18" s="149" t="inlineStr">
        <x:is>
          <x:t xml:space="preserve">manual</x:t>
        </x:is>
      </x:c>
      <x:c r="G18" s="150" t="inlineStr">
        <x:is>
          <x:t xml:space="preserve">manual-tests/input.md; tests/components/input/visual.spec.ts</x:t>
        </x:is>
      </x:c>
      <x:c r="H18" s="149" t="inlineStr">
        <x:is>
          <x:t xml:space="preserve">implemented</x:t>
        </x:is>
      </x:c>
      <x:c r="I18" s="149" t="inlineStr">
        <x:is>
          <x:t xml:space="preserve">yes</x:t>
        </x:is>
      </x:c>
      <x:c r="J18" s="151" t="n"/>
      <x:c r="K18" s="150" t="inlineStr">
        <x:is>
          <x:t xml:space="preserve">Automated evidence passes; human appearance review is not fully recorded.</x:t>
        </x:is>
      </x:c>
      <x:c r="L18" s="149" t="n">
        <x:v>1</x:v>
      </x:c>
      <x:c r="M18" s="149" t="n">
        <x:f>IF(OR(AND(I18="yes",H18="verified"),AND(I18="no",OR(H18="tested",H18="verified")),AND(H18="not applicable",K18&lt;&gt;"")),1,0)</x:f>
        <x:v>0</x:v>
      </x:c>
    </x:row>
    <x:row r="19" s="127" customFormat="1" ht="54" customHeight="1">
      <x:c r="A19" s="149" t="inlineStr">
        <x:is>
          <x:t xml:space="preserve">I-11</x:t>
        </x:is>
      </x:c>
      <x:c r="B19" s="149" t="inlineStr">
        <x:is>
          <x:t xml:space="preserve">Composition</x:t>
        </x:is>
      </x:c>
      <x:c r="C19" s="149" t="inlineStr">
        <x:is>
          <x:t xml:space="preserve">Input</x:t>
        </x:is>
      </x:c>
      <x:c r="D19" s="150" t="inlineStr">
        <x:is>
          <x:t xml:space="preserve">Field/Form labels, descriptions, errors, external ownership, generated IDs, and rendered HTML match.</x:t>
        </x:is>
      </x:c>
      <x:c r="E19" s="149" t="inlineStr">
        <x:is>
          <x:t xml:space="preserve">package</x:t>
        </x:is>
      </x:c>
      <x:c r="F19" s="149" t="inlineStr">
        <x:is>
          <x:t xml:space="preserve">manual</x:t>
        </x:is>
      </x:c>
      <x:c r="G19" s="150" t="inlineStr">
        <x:is>
          <x:t xml:space="preserve">manual-tests/input.md; tests/components/input/behavior.spec.ts</x:t>
        </x:is>
      </x:c>
      <x:c r="H19" s="149" t="inlineStr">
        <x:is>
          <x:t xml:space="preserve">implemented</x:t>
        </x:is>
      </x:c>
      <x:c r="I19" s="149" t="inlineStr">
        <x:is>
          <x:t xml:space="preserve">yes</x:t>
        </x:is>
      </x:c>
      <x:c r="J19" s="151" t="n"/>
      <x:c r="K19" s="150" t="inlineStr">
        <x:is>
          <x:t xml:space="preserve">Automated relationships pass; the complete human output review is pending.</x:t>
        </x:is>
      </x:c>
      <x:c r="L19" s="149" t="n">
        <x:v>1</x:v>
      </x:c>
      <x:c r="M19" s="149" t="n">
        <x:f>IF(OR(AND(I19="yes",H19="verified"),AND(I19="no",OR(H19="tested",H19="verified")),AND(H19="not applicable",K19&lt;&gt;"")),1,0)</x:f>
        <x:v>0</x:v>
      </x:c>
    </x:row>
    <x:row r="20" s="127" customFormat="1" ht="54" customHeight="1">
      <x:c r="A20" s="149" t="inlineStr">
        <x:is>
          <x:t xml:space="preserve">I-12</x:t>
        </x:is>
      </x:c>
      <x:c r="B20" s="149" t="inlineStr">
        <x:is>
          <x:t xml:space="preserve">Manual</x:t>
        </x:is>
      </x:c>
      <x:c r="C20" s="149" t="inlineStr">
        <x:is>
          <x:t xml:space="preserve">Input</x:t>
        </x:is>
      </x:c>
      <x:c r="D20" s="150" t="inlineStr">
        <x:is>
          <x:t xml:space="preserve">The component-owned manual protocol passes every Input playground scenario.</x:t>
        </x:is>
      </x:c>
      <x:c r="E20" s="149" t="inlineStr">
        <x:is>
          <x:t xml:space="preserve">package</x:t>
        </x:is>
      </x:c>
      <x:c r="F20" s="149" t="inlineStr">
        <x:is>
          <x:t xml:space="preserve">manual</x:t>
        </x:is>
      </x:c>
      <x:c r="G20" s="150" t="inlineStr">
        <x:is>
          <x:t xml:space="preserve">manual-tests/input.md</x:t>
        </x:is>
      </x:c>
      <x:c r="H20" s="149" t="inlineStr">
        <x:is>
          <x:t xml:space="preserve">implemented</x:t>
        </x:is>
      </x:c>
      <x:c r="I20" s="149" t="inlineStr">
        <x:is>
          <x:t xml:space="preserve">yes</x:t>
        </x:is>
      </x:c>
      <x:c r="J20" s="151" t="n"/>
      <x:c r="K20" s="150" t="inlineStr">
        <x:is>
          <x:t xml:space="preserve">Protocol is intentionally unrun and contains no claimed result.</x:t>
        </x:is>
      </x:c>
      <x:c r="L20" s="149" t="n">
        <x:v>1</x:v>
      </x:c>
      <x:c r="M20" s="149" t="n">
        <x:f>IF(OR(AND(I20="yes",H20="verified"),AND(I20="no",OR(H20="tested",H20="verified")),AND(H20="not applicable",K20&lt;&gt;"")),1,0)</x:f>
        <x:v>0</x:v>
      </x:c>
    </x:row>
    <x:row r="21" s="127" customFormat="1" ht="54" customHeight="1">
      <x:c r="A21" s="149" t="inlineStr">
        <x:is>
          <x:t xml:space="preserve">I-13</x:t>
        </x:is>
      </x:c>
      <x:c r="B21" s="149" t="inlineStr">
        <x:is>
          <x:t xml:space="preserve">Docs</x:t>
        </x:is>
      </x:c>
      <x:c r="C21" s="149" t="inlineStr">
        <x:is>
          <x:t xml:space="preserve">Input</x:t>
        </x:is>
      </x:c>
      <x:c r="D21" s="150" t="inlineStr">
        <x:is>
          <x:t xml:space="preserve">Source-backed public usage and API documentation passes component documentation checks.</x:t>
        </x:is>
      </x:c>
      <x:c r="E21" s="149" t="inlineStr">
        <x:is>
          <x:t xml:space="preserve">package</x:t>
        </x:is>
      </x:c>
      <x:c r="F21" s="149" t="inlineStr">
        <x:is>
          <x:t xml:space="preserve">docs</x:t>
        </x:is>
      </x:c>
      <x:c r="G21" s="150" t="inlineStr">
        <x:is>
          <x:t xml:space="preserve">../docs/components/input/README.md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46227</x:v>
      </x:c>
      <x:c r="K21" s="150" t="n"/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I-14</x:t>
        </x:is>
      </x:c>
      <x:c r="B22" s="149" t="inlineStr">
        <x:is>
          <x:t xml:space="preserve">Changelog</x:t>
        </x:is>
      </x:c>
      <x:c r="C22" s="149" t="inlineStr">
        <x:is>
          <x:t xml:space="preserve">Input</x:t>
        </x:is>
      </x:c>
      <x:c r="D22" s="150" t="inlineStr">
        <x:is>
          <x:t xml:space="preserve">Input owns a public component changelog and the package changelog records its addition.</x:t>
        </x:is>
      </x:c>
      <x:c r="E22" s="149" t="inlineStr">
        <x:is>
          <x:t xml:space="preserve">package</x:t>
        </x:is>
      </x:c>
      <x:c r="F22" s="149" t="inlineStr">
        <x:is>
          <x:t xml:space="preserve">docs</x:t>
        </x:is>
      </x:c>
      <x:c r="G22" s="150" t="inlineStr">
        <x:is>
          <x:t xml:space="preserve">../docs/components/input/CHANGELOG.md; ../CHANGELOG.md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46227</x:v>
      </x:c>
      <x:c r="K22" s="150" t="n"/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I-15</x:t>
        </x:is>
      </x:c>
      <x:c r="B23" s="149" t="inlineStr">
        <x:is>
          <x:t xml:space="preserve">Consumer</x:t>
        </x:is>
      </x:c>
      <x:c r="C23" s="149" t="inlineStr">
        <x:is>
          <x:t xml:space="preserve">Input</x:t>
        </x:is>
      </x:c>
      <x:c r="D23" s="150" t="inlineStr">
        <x:is>
          <x:t xml:space="preserve">The packed Consumer proves Field, adornment, Clear, validation, submit, and reset through public imports.</x:t>
        </x:is>
      </x:c>
      <x:c r="E23" s="149" t="inlineStr">
        <x:is>
          <x:t xml:space="preserve">consumer</x:t>
        </x:is>
      </x:c>
      <x:c r="F23" s="149" t="inlineStr">
        <x:is>
          <x:t xml:space="preserve">consumer</x:t>
        </x:is>
      </x:c>
      <x:c r="G23" s="150" t="inlineStr">
        <x:is>
          <x:t xml:space="preserve">../apps/consumer/src/App.tsx; ../apps/consumer/tests/consumer.spec.ts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>
        <x:v>46227</x:v>
      </x:c>
      <x:c r="K23" s="150" t="n"/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I-16</x:t>
        </x:is>
      </x:c>
      <x:c r="B24" s="149" t="inlineStr">
        <x:is>
          <x:t xml:space="preserve">Package</x:t>
        </x:is>
      </x:c>
      <x:c r="C24" s="149" t="inlineStr">
        <x:is>
          <x:t xml:space="preserve">Input</x:t>
        </x:is>
      </x:c>
      <x:c r="D24" s="150" t="inlineStr">
        <x:is>
          <x:t xml:space="preserve">Build, SSR, exports, CSS, tarball, React 18/19, and packed-consumer verification pass.</x:t>
        </x:is>
      </x:c>
      <x:c r="E24" s="149" t="inlineStr">
        <x:is>
          <x:t xml:space="preserve">package</x:t>
        </x:is>
      </x:c>
      <x:c r="F24" s="149" t="inlineStr">
        <x:is>
          <x:t xml:space="preserve">package</x:t>
        </x:is>
      </x:c>
      <x:c r="G24" s="150" t="inlineStr">
        <x:is>
          <x:t xml:space="preserve">../test/package; ../scripts/verify-package.mjs; ../scripts/verify-consumers.mjs</x:t>
        </x:is>
      </x:c>
      <x:c r="H24" s="149" t="inlineStr">
        <x:is>
          <x:t xml:space="preserve">tested</x:t>
        </x:is>
      </x:c>
      <x:c r="I24" s="149" t="inlineStr">
        <x:is>
          <x:t xml:space="preserve">no</x:t>
        </x:is>
      </x:c>
      <x:c r="J24" s="151" t="n">
        <x:v>46227</x:v>
      </x:c>
      <x:c r="K24" s="150" t="n"/>
      <x:c r="L24" s="149" t="n">
        <x:v>1</x:v>
      </x:c>
      <x:c r="M24" s="149" t="n">
        <x:f>IF(OR(AND(I24="yes",H24="verified"),AND(I24="no",OR(H24="tested",H24="verified")),AND(H24="not applicable",K24&lt;&gt;"")),1,0)</x:f>
        <x:v>1</x:v>
      </x:c>
    </x:row>
  </x:sheetData>
  <x:mergeCells>
    <x:mergeCell ref="A2:M2"/>
    <x:mergeCell ref="A1:M1"/>
  </x:mergeCells>
  <x:conditionalFormatting sqref="H9:H24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1" showDropDown="0" showInputMessage="1" showErrorMessage="1" sqref="H9:H24">
      <x:formula1>"not started,partial,implemented,tested,verified,blocked,not applicable"</x:formula1>
      <x:formula2>0</x:formula2>
    </x:dataValidation>
    <x:dataValidation type="list" errorStyle="stop" operator="between" allowBlank="1" showDropDown="0" showInputMessage="1" showErrorMessage="1" sqref="I9:I24">
      <x:formula1>"yes,no"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4f2da127dc248f2"/>
  </x:tableParts>
</x:worksheet>
</file>

<file path=xl/worksheets/sheet20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Link Evidence</x:t>
        </x:is>
      </x:c>
    </x:row>
    <x:row r="2" s="127" customFormat="1" ht="27.75" customHeight="1">
      <x:c r="A2" s="129" t="inlineStr">
        <x:is>
          <x:t xml:space="preserve">Assertion-level Atom-backed package, browser, human-review, documentation, Consumer, and composition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COUNTA(A9:A25)</x:f>
        <x:v>17</x:v>
      </x:c>
      <x:c r="D4" s="130" t="inlineStr">
        <x:is>
          <x:t xml:space="preserve">Resolved</x:t>
        </x:is>
      </x:c>
      <x:c r="E4" s="131" t="n">
        <x:f>SUM(M9:M25)</x:f>
        <x:v>13</x:v>
      </x:c>
      <x:c r="G4" s="130" t="inlineStr">
        <x:is>
          <x:t xml:space="preserve">Completion</x:t>
        </x:is>
      </x:c>
      <x:c r="H4" s="132" t="n">
        <x:f>IF(B4=0,0,E4/B4)</x:f>
        <x:v>0.7647058823529411</x:v>
      </x:c>
      <x:c r="J4" s="130" t="inlineStr">
        <x:is>
          <x:t xml:space="preserve">Package gate</x:t>
        </x:is>
      </x:c>
      <x:c r="K4" s="131" t="str">
        <x:f>IF(COUNTIFS(E9:E25,"package",M9:M25,0)&gt;0,"open","complete")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IF(COUNTIFS(I9:I25,"yes",M9:M25,0)&gt;0,"open","complete")</x:f>
        <x:v>open</x:v>
      </x:c>
      <x:c r="D5" s="130" t="inlineStr">
        <x:is>
          <x:t xml:space="preserve">Consumer gate</x:t>
        </x:is>
      </x:c>
      <x:c r="E5" s="131" t="str">
        <x:f>IF(COUNTIFS(E9:E25,"consumer",M9:M25,0)&gt;0,"open","complete")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L-01</x:t>
        </x:is>
      </x:c>
      <x:c r="B9" s="149" t="inlineStr">
        <x:is>
          <x:t xml:space="preserve">Implementation</x:t>
        </x:is>
      </x:c>
      <x:c r="C9" s="149" t="inlineStr">
        <x:is>
          <x:t xml:space="preserve">Link</x:t>
        </x:is>
      </x:c>
      <x:c r="D9" s="150" t="inlineStr">
        <x:is>
          <x:t xml:space="preserve">Atom-backed anchor, responsive typography and parent-href composition are implemented.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../src/components/link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46228</x:v>
      </x:c>
      <x:c r="K9" s="150" t="n"/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L-02</x:t>
        </x:is>
      </x:c>
      <x:c r="B10" s="149" t="inlineStr">
        <x:is>
          <x:t xml:space="preserve">Exports</x:t>
        </x:is>
      </x:c>
      <x:c r="C10" s="149" t="inlineStr">
        <x:is>
          <x:t xml:space="preserve">Link</x:t>
        </x:is>
      </x:c>
      <x:c r="D10" s="150" t="inlineStr">
        <x:is>
          <x:t xml:space="preserve">Root and public Link subpath exports expose runtime and complete public types.</x:t>
        </x:is>
      </x:c>
      <x:c r="E10" s="149" t="inlineStr">
        <x:is>
          <x:t xml:space="preserve">package</x:t>
        </x:is>
      </x:c>
      <x:c r="F10" s="149" t="inlineStr">
        <x:is>
          <x:t xml:space="preserve">package</x:t>
        </x:is>
      </x:c>
      <x:c r="G10" s="150" t="inlineStr">
        <x:is>
          <x:t xml:space="preserve">../test/package/package.test.mjs; ../test/package/ssr.test.mjs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46228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L-03</x:t>
        </x:is>
      </x:c>
      <x:c r="B11" s="149" t="inlineStr">
        <x:is>
          <x:t xml:space="preserve">Types</x:t>
        </x:is>
      </x:c>
      <x:c r="C11" s="149" t="inlineStr">
        <x:is>
          <x:t xml:space="preserve">Link</x:t>
        </x:is>
      </x:c>
      <x:c r="D11" s="150" t="inlineStr">
        <x:is>
          <x:t xml:space="preserve">Required native href, router composition, recipes, icon exclusion, native props, and ref contracts type-check.</x:t>
        </x:is>
      </x:c>
      <x:c r="E11" s="149" t="inlineStr">
        <x:is>
          <x:t xml:space="preserve">package</x:t>
        </x:is>
      </x:c>
      <x:c r="F11" s="149" t="inlineStr">
        <x:is>
          <x:t xml:space="preserve">types</x:t>
        </x:is>
      </x:c>
      <x:c r="G11" s="150" t="inlineStr">
        <x:is>
          <x:t xml:space="preserve">../test/types/components/link.test.ts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46228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L-04</x:t>
        </x:is>
      </x:c>
      <x:c r="B12" s="149" t="inlineStr">
        <x:is>
          <x:t xml:space="preserve">CSS</x:t>
        </x:is>
      </x:c>
      <x:c r="C12" s="149" t="inlineStr">
        <x:is>
          <x:t xml:space="preserve">Link</x:t>
        </x:is>
      </x:c>
      <x:c r="D12" s="150" t="inlineStr">
        <x:is>
          <x:t xml:space="preserve">Static CSS ships decoration, tones, typography, focus, current, icon, appearance, and forced-color behavior.</x:t>
        </x:is>
      </x:c>
      <x:c r="E12" s="149" t="inlineStr">
        <x:is>
          <x:t xml:space="preserve">package</x:t>
        </x:is>
      </x:c>
      <x:c r="F12" s="149" t="inlineStr">
        <x:is>
          <x:t xml:space="preserve">css</x:t>
        </x:is>
      </x:c>
      <x:c r="G12" s="150" t="inlineStr">
        <x:is>
          <x:t xml:space="preserve">../src/components/link/link.css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46228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L-05</x:t>
        </x:is>
      </x:c>
      <x:c r="B13" s="149" t="inlineStr">
        <x:is>
          <x:t xml:space="preserve">Unit</x:t>
        </x:is>
      </x:c>
      <x:c r="C13" s="149" t="inlineStr">
        <x:is>
          <x:t xml:space="preserve">Link</x:t>
        </x:is>
      </x:c>
      <x:c r="D13" s="150" t="inlineStr">
        <x:is>
          <x:t xml:space="preserve">Defaults, recipes, icon anatomy, native forwarding, refs, render, and asChild pass focused tests.</x:t>
        </x:is>
      </x:c>
      <x:c r="E13" s="149" t="inlineStr">
        <x:is>
          <x:t xml:space="preserve">package</x:t>
        </x:is>
      </x:c>
      <x:c r="F13" s="149" t="inlineStr">
        <x:is>
          <x:t xml:space="preserve">component</x:t>
        </x:is>
      </x:c>
      <x:c r="G13" s="150" t="inlineStr">
        <x:is>
          <x:t xml:space="preserve">../test/components/link/link.test.tsx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46228</x:v>
      </x:c>
      <x:c r="K13" s="150" t="n"/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L-06</x:t>
        </x:is>
      </x:c>
      <x:c r="B14" s="149" t="inlineStr">
        <x:is>
          <x:t xml:space="preserve">Browser</x:t>
        </x:is>
      </x:c>
      <x:c r="C14" s="149" t="inlineStr">
        <x:is>
          <x:t xml:space="preserve">Link</x:t>
        </x:is>
      </x:c>
      <x:c r="D14" s="150" t="inlineStr">
        <x:is>
          <x:t xml:space="preserve">Native output, focus, controlled recipes, typography, icon geometry, RTL, composition, and customization pass.</x:t>
        </x:is>
      </x:c>
      <x:c r="E14" s="149" t="inlineStr">
        <x:is>
          <x:t xml:space="preserve">package</x:t>
        </x:is>
      </x:c>
      <x:c r="F14" s="149" t="inlineStr">
        <x:is>
          <x:t xml:space="preserve">browser</x:t>
        </x:is>
      </x:c>
      <x:c r="G14" s="150" t="inlineStr">
        <x:is>
          <x:t xml:space="preserve">tests/components/link/behavior.spec.ts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46228</x:v>
      </x:c>
      <x:c r="K14" s="150" t="inlineStr">
        <x:is>
          <x:t xml:space="preserve">September 12: focused unit, type and three-engine browser checks pass. Documentation examples and qualification scenarios remain separate.</x:t>
        </x:is>
      </x:c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L-07</x:t>
        </x:is>
      </x:c>
      <x:c r="B15" s="149" t="inlineStr">
        <x:is>
          <x:t xml:space="preserve">Accessibility</x:t>
        </x:is>
      </x:c>
      <x:c r="C15" s="149" t="inlineStr">
        <x:is>
          <x:t xml:space="preserve">Link</x:t>
        </x:is>
      </x:c>
      <x:c r="D15" s="150" t="inlineStr">
        <x:is>
          <x:t xml:space="preserve">Native role/name/current state, focus affordance, responsive containment, decorative icons, and axe pass.</x:t>
        </x:is>
      </x:c>
      <x:c r="E15" s="149" t="inlineStr">
        <x:is>
          <x:t xml:space="preserve">package</x:t>
        </x:is>
      </x:c>
      <x:c r="F15" s="149" t="inlineStr">
        <x:is>
          <x:t xml:space="preserve">axe</x:t>
        </x:is>
      </x:c>
      <x:c r="G15" s="150" t="inlineStr">
        <x:is>
          <x:t xml:space="preserve">tests/components/link/behavior.spec.ts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46228</x:v>
      </x:c>
      <x:c r="K15" s="150" t="n"/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L-08</x:t>
        </x:is>
      </x:c>
      <x:c r="B16" s="149" t="inlineStr">
        <x:is>
          <x:t xml:space="preserve">Visual</x:t>
        </x:is>
      </x:c>
      <x:c r="C16" s="149" t="inlineStr">
        <x:is>
          <x:t xml:space="preserve">Link</x:t>
        </x:is>
      </x:c>
      <x:c r="D16" s="150" t="inlineStr">
        <x:is>
          <x:t xml:space="preserve">Baselines cover default, recipes, content, composition, dark appearance, mobile RTL, and forced colors.</x:t>
        </x:is>
      </x:c>
      <x:c r="E16" s="149" t="inlineStr">
        <x:is>
          <x:t xml:space="preserve">package</x:t>
        </x:is>
      </x:c>
      <x:c r="F16" s="149" t="inlineStr">
        <x:is>
          <x:t xml:space="preserve">visual</x:t>
        </x:is>
      </x:c>
      <x:c r="G16" s="150" t="inlineStr">
        <x:is>
          <x:t xml:space="preserve">tests/components/link/visual.spec.ts</x:t>
        </x:is>
      </x:c>
      <x:c r="H16" s="149" t="inlineStr">
        <x:is>
          <x:t xml:space="preserve">verified</x:t>
        </x:is>
      </x:c>
      <x:c r="I16" s="149" t="inlineStr">
        <x:is>
          <x:t xml:space="preserve">yes</x:t>
        </x:is>
      </x:c>
      <x:c r="J16" s="151" t="n"/>
      <x:c r="K16" s="150" t="n"/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L-09</x:t>
        </x:is>
      </x:c>
      <x:c r="B17" s="149" t="inlineStr">
        <x:is>
          <x:t xml:space="preserve">Responsive</x:t>
        </x:is>
      </x:c>
      <x:c r="C17" s="149" t="inlineStr">
        <x:is>
          <x:t xml:space="preserve">Link</x:t>
        </x:is>
      </x:c>
      <x:c r="D17" s="150" t="inlineStr">
        <x:is>
          <x:t xml:space="preserve">Physical mobile, 200%/400% zoom, text spacing, long content, and RTL remain readable and contained.</x:t>
        </x:is>
      </x:c>
      <x:c r="E17" s="149" t="inlineStr">
        <x:is>
          <x:t xml:space="preserve">package</x:t>
        </x:is>
      </x:c>
      <x:c r="F17" s="149" t="inlineStr">
        <x:is>
          <x:t xml:space="preserve">manual</x:t>
        </x:is>
      </x:c>
      <x:c r="G17" s="150" t="inlineStr">
        <x:is>
          <x:t xml:space="preserve">manual-tests/link.md</x:t>
        </x:is>
      </x:c>
      <x:c r="H17" s="149" t="inlineStr">
        <x:is>
          <x:t xml:space="preserve">implemented</x:t>
        </x:is>
      </x:c>
      <x:c r="I17" s="149" t="inlineStr">
        <x:is>
          <x:t xml:space="preserve">yes</x:t>
        </x:is>
      </x:c>
      <x:c r="J17" s="151" t="n"/>
      <x:c r="K17" s="150" t="inlineStr">
        <x:is>
          <x:t xml:space="preserve">Automated reflow passes; human device and zoom review is pending.</x:t>
        </x:is>
      </x:c>
      <x:c r="L17" s="149" t="n">
        <x:v>1</x:v>
      </x:c>
      <x:c r="M17" s="149" t="n">
        <x:f>IF(OR(AND(I17="yes",H17="verified"),AND(I17="no",OR(H17="tested",H17="verified")),AND(H17="not applicable",K17&lt;&gt;"")),1,0)</x:f>
        <x:v>0</x:v>
      </x:c>
    </x:row>
    <x:row r="18" s="127" customFormat="1" ht="54" customHeight="1">
      <x:c r="A18" s="149" t="inlineStr">
        <x:is>
          <x:t xml:space="preserve">L-10</x:t>
        </x:is>
      </x:c>
      <x:c r="B18" s="149" t="inlineStr">
        <x:is>
          <x:t xml:space="preserve">Theme</x:t>
        </x:is>
      </x:c>
      <x:c r="C18" s="149" t="inlineStr">
        <x:is>
          <x:t xml:space="preserve">Link</x:t>
        </x:is>
      </x:c>
      <x:c r="D18" s="150" t="inlineStr">
        <x:is>
          <x:t xml:space="preserve">Light, dark, forced colors, focus, decoration, and customized variables remain perceivable.</x:t>
        </x:is>
      </x:c>
      <x:c r="E18" s="149" t="inlineStr">
        <x:is>
          <x:t xml:space="preserve">package</x:t>
        </x:is>
      </x:c>
      <x:c r="F18" s="149" t="inlineStr">
        <x:is>
          <x:t xml:space="preserve">manual</x:t>
        </x:is>
      </x:c>
      <x:c r="G18" s="150" t="inlineStr">
        <x:is>
          <x:t xml:space="preserve">manual-tests/link.md; tests/components/link/visual.spec.ts</x:t>
        </x:is>
      </x:c>
      <x:c r="H18" s="149" t="inlineStr">
        <x:is>
          <x:t xml:space="preserve">implemented</x:t>
        </x:is>
      </x:c>
      <x:c r="I18" s="149" t="inlineStr">
        <x:is>
          <x:t xml:space="preserve">yes</x:t>
        </x:is>
      </x:c>
      <x:c r="J18" s="151" t="n"/>
      <x:c r="K18" s="150" t="inlineStr">
        <x:is>
          <x:t xml:space="preserve">Automated appearance evidence exists; human appearance review is pending.</x:t>
        </x:is>
      </x:c>
      <x:c r="L18" s="149" t="n">
        <x:v>1</x:v>
      </x:c>
      <x:c r="M18" s="149" t="n">
        <x:f>IF(OR(AND(I18="yes",H18="verified"),AND(I18="no",OR(H18="tested",H18="verified")),AND(H18="not applicable",K18&lt;&gt;"")),1,0)</x:f>
        <x:v>0</x:v>
      </x:c>
    </x:row>
    <x:row r="19" s="127" customFormat="1" ht="54" customHeight="1">
      <x:c r="A19" s="149" t="inlineStr">
        <x:is>
          <x:t xml:space="preserve">L-11</x:t>
        </x:is>
      </x:c>
      <x:c r="B19" s="149" t="inlineStr">
        <x:is>
          <x:t xml:space="preserve">Composition</x:t>
        </x:is>
      </x:c>
      <x:c r="C19" s="149" t="inlineStr">
        <x:is>
          <x:t xml:space="preserve">Link</x:t>
        </x:is>
      </x:c>
      <x:c r="D19" s="150" t="inlineStr">
        <x:is>
          <x:t xml:space="preserve">Native, current, download, render, and asChild examples produce one inspectable final anchor.</x:t>
        </x:is>
      </x:c>
      <x:c r="E19" s="149" t="inlineStr">
        <x:is>
          <x:t xml:space="preserve">package</x:t>
        </x:is>
      </x:c>
      <x:c r="F19" s="149" t="inlineStr">
        <x:is>
          <x:t xml:space="preserve">browser</x:t>
        </x:is>
      </x:c>
      <x:c r="G19" s="150" t="inlineStr">
        <x:is>
          <x:t xml:space="preserve">tests/components/link/behavior.spec.ts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46228</x:v>
      </x:c>
      <x:c r="K19" s="150" t="n"/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L-12</x:t>
        </x:is>
      </x:c>
      <x:c r="B20" s="149" t="inlineStr">
        <x:is>
          <x:t xml:space="preserve">Manual</x:t>
        </x:is>
      </x:c>
      <x:c r="C20" s="149" t="inlineStr">
        <x:is>
          <x:t xml:space="preserve">Link</x:t>
        </x:is>
      </x:c>
      <x:c r="D20" s="150" t="inlineStr">
        <x:is>
          <x:t xml:space="preserve">The concise component-owned protocol passes every Link playground scenario.</x:t>
        </x:is>
      </x:c>
      <x:c r="E20" s="149" t="inlineStr">
        <x:is>
          <x:t xml:space="preserve">package</x:t>
        </x:is>
      </x:c>
      <x:c r="F20" s="149" t="inlineStr">
        <x:is>
          <x:t xml:space="preserve">manual</x:t>
        </x:is>
      </x:c>
      <x:c r="G20" s="150" t="inlineStr">
        <x:is>
          <x:t xml:space="preserve">manual-tests/link.md</x:t>
        </x:is>
      </x:c>
      <x:c r="H20" s="149" t="inlineStr">
        <x:is>
          <x:t xml:space="preserve">implemented</x:t>
        </x:is>
      </x:c>
      <x:c r="I20" s="149" t="inlineStr">
        <x:is>
          <x:t xml:space="preserve">yes</x:t>
        </x:is>
      </x:c>
      <x:c r="J20" s="151" t="n"/>
      <x:c r="K20" s="150" t="inlineStr">
        <x:is>
          <x:t xml:space="preserve">Protocol exists; the owner has not run it.</x:t>
        </x:is>
      </x:c>
      <x:c r="L20" s="149" t="n">
        <x:v>1</x:v>
      </x:c>
      <x:c r="M20" s="149" t="n">
        <x:f>IF(OR(AND(I20="yes",H20="verified"),AND(I20="no",OR(H20="tested",H20="verified")),AND(H20="not applicable",K20&lt;&gt;"")),1,0)</x:f>
        <x:v>0</x:v>
      </x:c>
    </x:row>
    <x:row r="21" s="127" customFormat="1" ht="54" customHeight="1">
      <x:c r="A21" s="149" t="inlineStr">
        <x:is>
          <x:t xml:space="preserve">L-13</x:t>
        </x:is>
      </x:c>
      <x:c r="B21" s="149" t="inlineStr">
        <x:is>
          <x:t xml:space="preserve">Docs</x:t>
        </x:is>
      </x:c>
      <x:c r="C21" s="149" t="inlineStr">
        <x:is>
          <x:t xml:space="preserve">Link</x:t>
        </x:is>
      </x:c>
      <x:c r="D21" s="150" t="inlineStr">
        <x:is>
          <x:t xml:space="preserve">Source-backed use, exclusions, recipes, anatomy, accessibility, native props, composition, and API docs pass.</x:t>
        </x:is>
      </x:c>
      <x:c r="E21" s="149" t="inlineStr">
        <x:is>
          <x:t xml:space="preserve">package</x:t>
        </x:is>
      </x:c>
      <x:c r="F21" s="149" t="inlineStr">
        <x:is>
          <x:t xml:space="preserve">docs</x:t>
        </x:is>
      </x:c>
      <x:c r="G21" s="150" t="inlineStr">
        <x:is>
          <x:t xml:space="preserve">../docs/components/link/README.md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46228</x:v>
      </x:c>
      <x:c r="K21" s="150" t="n"/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L-14</x:t>
        </x:is>
      </x:c>
      <x:c r="B22" s="149" t="inlineStr">
        <x:is>
          <x:t xml:space="preserve">Changelog</x:t>
        </x:is>
      </x:c>
      <x:c r="C22" s="149" t="inlineStr">
        <x:is>
          <x:t xml:space="preserve">Link</x:t>
        </x:is>
      </x:c>
      <x:c r="D22" s="150" t="inlineStr">
        <x:is>
          <x:t xml:space="preserve">Link owns a public changelog and the package changelog records its addition.</x:t>
        </x:is>
      </x:c>
      <x:c r="E22" s="149" t="inlineStr">
        <x:is>
          <x:t xml:space="preserve">package</x:t>
        </x:is>
      </x:c>
      <x:c r="F22" s="149" t="inlineStr">
        <x:is>
          <x:t xml:space="preserve">docs</x:t>
        </x:is>
      </x:c>
      <x:c r="G22" s="150" t="inlineStr">
        <x:is>
          <x:t xml:space="preserve">../docs/components/link/CHANGELOG.md; ../CHANGELOG.md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46228</x:v>
      </x:c>
      <x:c r="K22" s="150" t="n"/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L-15</x:t>
        </x:is>
      </x:c>
      <x:c r="B23" s="149" t="inlineStr">
        <x:is>
          <x:t xml:space="preserve">Consumer</x:t>
        </x:is>
      </x:c>
      <x:c r="C23" s="149" t="inlineStr">
        <x:is>
          <x:t xml:space="preserve">Link</x:t>
        </x:is>
      </x:c>
      <x:c r="D23" s="150" t="inlineStr">
        <x:is>
          <x:t xml:space="preserve">The Consumer uses the public Link subpath for site navigation and a standalone destination.</x:t>
        </x:is>
      </x:c>
      <x:c r="E23" s="149" t="inlineStr">
        <x:is>
          <x:t xml:space="preserve">consumer</x:t>
        </x:is>
      </x:c>
      <x:c r="F23" s="149" t="inlineStr">
        <x:is>
          <x:t xml:space="preserve">consumer</x:t>
        </x:is>
      </x:c>
      <x:c r="G23" s="150" t="inlineStr">
        <x:is>
          <x:t xml:space="preserve">../apps/consumer/src/App.tsx; ../apps/consumer/tests/consumer.spec.ts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>
        <x:v>46228</x:v>
      </x:c>
      <x:c r="K23" s="150" t="n"/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L-16</x:t>
        </x:is>
      </x:c>
      <x:c r="B24" s="149" t="inlineStr">
        <x:is>
          <x:t xml:space="preserve">Playground</x:t>
        </x:is>
      </x:c>
      <x:c r="C24" s="149" t="inlineStr">
        <x:is>
          <x:t xml:space="preserve">Link</x:t>
        </x:is>
      </x:c>
      <x:c r="D24" s="150" t="inlineStr">
        <x:is>
          <x:t xml:space="preserve">One navigable component route exposes every adopted recipe, content, composition, appearance, and stress scenario.</x:t>
        </x:is>
      </x:c>
      <x:c r="E24" s="149" t="inlineStr">
        <x:is>
          <x:t xml:space="preserve">package</x:t>
        </x:is>
      </x:c>
      <x:c r="F24" s="149" t="inlineStr">
        <x:is>
          <x:t xml:space="preserve">playground</x:t>
        </x:is>
      </x:c>
      <x:c r="G24" s="150" t="inlineStr">
        <x:is>
          <x:t xml:space="preserve">src/components/link/LinkPage.tsx</x:t>
        </x:is>
      </x:c>
      <x:c r="H24" s="149" t="inlineStr">
        <x:is>
          <x:t xml:space="preserve">tested</x:t>
        </x:is>
      </x:c>
      <x:c r="I24" s="149" t="inlineStr">
        <x:is>
          <x:t xml:space="preserve">no</x:t>
        </x:is>
      </x:c>
      <x:c r="J24" s="151" t="n">
        <x:v>46228</x:v>
      </x:c>
      <x:c r="K24" s="150" t="n"/>
      <x:c r="L24" s="149" t="n">
        <x:v>1</x:v>
      </x:c>
      <x:c r="M24" s="149" t="n">
        <x:f>IF(OR(AND(I24="yes",H24="verified"),AND(I24="no",OR(H24="tested",H24="verified")),AND(H24="not applicable",K24&lt;&gt;"")),1,0)</x:f>
        <x:v>1</x:v>
      </x:c>
    </x:row>
    <x:row r="25" s="127" customFormat="1" ht="54" customHeight="1">
      <x:c r="A25" s="149" t="inlineStr">
        <x:is>
          <x:t xml:space="preserve">L-17</x:t>
        </x:is>
      </x:c>
      <x:c r="B25" s="149" t="inlineStr">
        <x:is>
          <x:t xml:space="preserve">Package</x:t>
        </x:is>
      </x:c>
      <x:c r="C25" s="149" t="inlineStr">
        <x:is>
          <x:t xml:space="preserve">Link</x:t>
        </x:is>
      </x:c>
      <x:c r="D25" s="150" t="inlineStr">
        <x:is>
          <x:t xml:space="preserve">Build, SSR, exports, CSS, tarball, consumers, browser matrix, and exact Atom 0.20.11 dependency pass.</x:t>
        </x:is>
      </x:c>
      <x:c r="E25" s="149" t="inlineStr">
        <x:is>
          <x:t xml:space="preserve">package</x:t>
        </x:is>
      </x:c>
      <x:c r="F25" s="149" t="inlineStr">
        <x:is>
          <x:t xml:space="preserve">package</x:t>
        </x:is>
      </x:c>
      <x:c r="G25" s="150" t="inlineStr">
        <x:is>
          <x:t xml:space="preserve">../test/package; ../scripts/verify-consumers.mjs</x:t>
        </x:is>
      </x:c>
      <x:c r="H25" s="149" t="inlineStr">
        <x:is>
          <x:t xml:space="preserve">partial</x:t>
        </x:is>
      </x:c>
      <x:c r="I25" s="149" t="inlineStr">
        <x:is>
          <x:t xml:space="preserve">no</x:t>
        </x:is>
      </x:c>
      <x:c r="J25" s="151" t="n">
        <x:v>46264</x:v>
      </x:c>
      <x:c r="K25" s="150" t="inlineStr">
        <x:is>
          <x:t xml:space="preserve">September 12 parity pass: scoped automated checks pass. Full release matrix and manual device, screen-reader and OS browser-convention checks were not rerun. Nothing released.</x:t>
        </x:is>
      </x:c>
      <x:c r="L25" s="149" t="n">
        <x:v>1</x:v>
      </x:c>
      <x:c r="M25" s="149" t="n">
        <x:f>IF(OR(AND(I25="yes",H25="verified"),AND(I25="no",OR(H25="tested",H25="verified")),AND(H25="not applicable",K25&lt;&gt;"")),1,0)</x:f>
        <x:v>0</x:v>
      </x:c>
    </x:row>
  </x:sheetData>
  <x:mergeCells>
    <x:mergeCell ref="A2:M2"/>
    <x:mergeCell ref="A1:M1"/>
  </x:mergeCells>
  <x:conditionalFormatting sqref="H9:H25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1" showDropDown="0" showInputMessage="1" showErrorMessage="1" sqref="H9:H25">
      <x:formula1>"not started,partial,implemented,tested,verified,blocked,not applicable"</x:formula1>
      <x:formula2>0</x:formula2>
    </x:dataValidation>
    <x:dataValidation type="list" errorStyle="stop" operator="between" allowBlank="1" showDropDown="0" showInputMessage="1" showErrorMessage="1" sqref="I9:I25">
      <x:formula1>"yes,no"</x:formula1>
      <x:formula2>0</x:formula2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Text Evidence</x:t>
        </x:is>
      </x:c>
    </x:row>
    <x:row r="2" s="127" customFormat="1" ht="27.75" customHeight="1">
      <x:c r="A2" s="129" t="inlineStr">
        <x:is>
          <x:t xml:space="preserve">Assertion-level package, browser, human-review, documentation, and consumer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COUNTA(A9:A24)</x:f>
        <x:v>16</x:v>
      </x:c>
      <x:c r="D4" s="130" t="inlineStr">
        <x:is>
          <x:t xml:space="preserve">Resolved</x:t>
        </x:is>
      </x:c>
      <x:c r="E4" s="131" t="n">
        <x:f>SUM(M9:M24)</x:f>
        <x:v>12</x:v>
      </x:c>
      <x:c r="G4" s="130" t="inlineStr">
        <x:is>
          <x:t xml:space="preserve">Completion</x:t>
        </x:is>
      </x:c>
      <x:c r="H4" s="132" t="n">
        <x:f>IF(B4=0,0,E4/B4)</x:f>
        <x:v>0.75</x:v>
      </x:c>
      <x:c r="J4" s="130" t="inlineStr">
        <x:is>
          <x:t xml:space="preserve">Package gate</x:t>
        </x:is>
      </x:c>
      <x:c r="K4" s="131" t="str">
        <x:f>IF(COUNTIFS(E9:E24,"package",M9:M24,0)&gt;0,"open","complete")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IF(COUNTIFS(I9:I24,"yes",M9:M24,0)&gt;0,"open","complete")</x:f>
        <x:v>open</x:v>
      </x:c>
      <x:c r="D5" s="130" t="inlineStr">
        <x:is>
          <x:t xml:space="preserve">Consumer gate</x:t>
        </x:is>
      </x:c>
      <x:c r="E5" s="131" t="str">
        <x:f>IF(COUNTIFS(E9:E24,"consumer",M9:M24,0)&gt;0,"open","complete")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T-01</x:t>
        </x:is>
      </x:c>
      <x:c r="B9" s="149" t="inlineStr">
        <x:is>
          <x:t xml:space="preserve">Implementation</x:t>
        </x:is>
      </x:c>
      <x:c r="C9" s="149" t="inlineStr">
        <x:is>
          <x:t xml:space="preserve">Text</x:t>
        </x:is>
      </x:c>
      <x:c r="D9" s="150" t="inlineStr">
        <x:is>
          <x:t xml:space="preserve">Text family supports presentation controls and responsive positive-integer clamping.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../src/components/text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46227</x:v>
      </x:c>
      <x:c r="K9" s="150" t="n"/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T-02</x:t>
        </x:is>
      </x:c>
      <x:c r="B10" s="149" t="inlineStr">
        <x:is>
          <x:t xml:space="preserve">Exports</x:t>
        </x:is>
      </x:c>
      <x:c r="C10" s="149" t="inlineStr">
        <x:is>
          <x:t xml:space="preserve">Text</x:t>
        </x:is>
      </x:c>
      <x:c r="D10" s="150" t="inlineStr">
        <x:is>
          <x:t xml:space="preserve">Root and public Text subpath exports expose runtime and type surfaces.</x:t>
        </x:is>
      </x:c>
      <x:c r="E10" s="149" t="inlineStr">
        <x:is>
          <x:t xml:space="preserve">package</x:t>
        </x:is>
      </x:c>
      <x:c r="F10" s="149" t="inlineStr">
        <x:is>
          <x:t xml:space="preserve">package</x:t>
        </x:is>
      </x:c>
      <x:c r="G10" s="150" t="inlineStr">
        <x:is>
          <x:t xml:space="preserve">../test/package/package.test.mjs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46227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T-03</x:t>
        </x:is>
      </x:c>
      <x:c r="B11" s="149" t="inlineStr">
        <x:is>
          <x:t xml:space="preserve">Types</x:t>
        </x:is>
      </x:c>
      <x:c r="C11" s="149" t="inlineStr">
        <x:is>
          <x:t xml:space="preserve">Text</x:t>
        </x:is>
      </x:c>
      <x:c r="D11" s="150" t="inlineStr">
        <x:is>
          <x:t xml:space="preserve">Hosts, variants, tones, weights, alignment, wrapping, overflow rules, props, and refs type-check.</x:t>
        </x:is>
      </x:c>
      <x:c r="E11" s="149" t="inlineStr">
        <x:is>
          <x:t xml:space="preserve">package</x:t>
        </x:is>
      </x:c>
      <x:c r="F11" s="149" t="inlineStr">
        <x:is>
          <x:t xml:space="preserve">types</x:t>
        </x:is>
      </x:c>
      <x:c r="G11" s="150" t="inlineStr">
        <x:is>
          <x:t xml:space="preserve">../test/types/components/text.test.ts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46227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T-04</x:t>
        </x:is>
      </x:c>
      <x:c r="B12" s="149" t="inlineStr">
        <x:is>
          <x:t xml:space="preserve">CSS</x:t>
        </x:is>
      </x:c>
      <x:c r="C12" s="149" t="inlineStr">
        <x:is>
          <x:t xml:space="preserve">Text</x:t>
        </x:is>
      </x:c>
      <x:c r="D12" s="150" t="inlineStr">
        <x:is>
          <x:t xml:space="preserve">Static CSS ships recipe, tone, alignment, wrapping, truncation, clamp, and preference behavior.</x:t>
        </x:is>
      </x:c>
      <x:c r="E12" s="149" t="inlineStr">
        <x:is>
          <x:t xml:space="preserve">package</x:t>
        </x:is>
      </x:c>
      <x:c r="F12" s="149" t="inlineStr">
        <x:is>
          <x:t xml:space="preserve">css</x:t>
        </x:is>
      </x:c>
      <x:c r="G12" s="150" t="inlineStr">
        <x:is>
          <x:t xml:space="preserve">../src/components/text/text.css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46227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T-05</x:t>
        </x:is>
      </x:c>
      <x:c r="B13" s="149" t="inlineStr">
        <x:is>
          <x:t xml:space="preserve">Unit</x:t>
        </x:is>
      </x:c>
      <x:c r="C13" s="149" t="inlineStr">
        <x:is>
          <x:t xml:space="preserve">Text</x:t>
        </x:is>
      </x:c>
      <x:c r="D13" s="150" t="inlineStr">
        <x:is>
          <x:t xml:space="preserve">Defaults, host selection, hooks, refs, native props, and overflow precedence pass focused tests.</x:t>
        </x:is>
      </x:c>
      <x:c r="E13" s="149" t="inlineStr">
        <x:is>
          <x:t xml:space="preserve">package</x:t>
        </x:is>
      </x:c>
      <x:c r="F13" s="149" t="inlineStr">
        <x:is>
          <x:t xml:space="preserve">component</x:t>
        </x:is>
      </x:c>
      <x:c r="G13" s="150" t="inlineStr">
        <x:is>
          <x:t xml:space="preserve">../test/components/text/text.test.tsx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46227</x:v>
      </x:c>
      <x:c r="K13" s="150" t="n"/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T-06</x:t>
        </x:is>
      </x:c>
      <x:c r="B14" s="149" t="inlineStr">
        <x:is>
          <x:t xml:space="preserve">Browser</x:t>
        </x:is>
      </x:c>
      <x:c r="C14" s="149" t="inlineStr">
        <x:is>
          <x:t xml:space="preserve">Text</x:t>
        </x:is>
      </x:c>
      <x:c r="D14" s="150" t="inlineStr">
        <x:is>
          <x:t xml:space="preserve">Real-browser defaults, scale, tones, geometry, semantics, output, refs, and overflow checks pass.</x:t>
        </x:is>
      </x:c>
      <x:c r="E14" s="149" t="inlineStr">
        <x:is>
          <x:t xml:space="preserve">package</x:t>
        </x:is>
      </x:c>
      <x:c r="F14" s="149" t="inlineStr">
        <x:is>
          <x:t xml:space="preserve">browser</x:t>
        </x:is>
      </x:c>
      <x:c r="G14" s="150" t="inlineStr">
        <x:is>
          <x:t xml:space="preserve">tests/components/text/behavior.spec.ts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46227</x:v>
      </x:c>
      <x:c r="K14" s="150" t="n"/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T-07</x:t>
        </x:is>
      </x:c>
      <x:c r="B15" s="149" t="inlineStr">
        <x:is>
          <x:t xml:space="preserve">Accessibility</x:t>
        </x:is>
      </x:c>
      <x:c r="C15" s="149" t="inlineStr">
        <x:is>
          <x:t xml:space="preserve">Text</x:t>
        </x:is>
      </x:c>
      <x:c r="D15" s="150" t="inlineStr">
        <x:is>
          <x:t xml:space="preserve">Semantic host output, contrast, text spacing, zoom resilience, and axe checks pass.</x:t>
        </x:is>
      </x:c>
      <x:c r="E15" s="149" t="inlineStr">
        <x:is>
          <x:t xml:space="preserve">package</x:t>
        </x:is>
      </x:c>
      <x:c r="F15" s="149" t="inlineStr">
        <x:is>
          <x:t xml:space="preserve">axe</x:t>
        </x:is>
      </x:c>
      <x:c r="G15" s="150" t="inlineStr">
        <x:is>
          <x:t xml:space="preserve">tests/components/text/behavior.spec.ts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46227</x:v>
      </x:c>
      <x:c r="K15" s="150" t="n"/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T-08</x:t>
        </x:is>
      </x:c>
      <x:c r="B16" s="149" t="inlineStr">
        <x:is>
          <x:t xml:space="preserve">Visual</x:t>
        </x:is>
      </x:c>
      <x:c r="C16" s="149" t="inlineStr">
        <x:is>
          <x:t xml:space="preserve">Text</x:t>
        </x:is>
      </x:c>
      <x:c r="D16" s="150" t="inlineStr">
        <x:is>
          <x:t xml:space="preserve">Reviewed baselines cover recipes, tones, semantics, overflow, customization, dark mode, RTL, and mobile stress.</x:t>
        </x:is>
      </x:c>
      <x:c r="E16" s="149" t="inlineStr">
        <x:is>
          <x:t xml:space="preserve">package</x:t>
        </x:is>
      </x:c>
      <x:c r="F16" s="149" t="inlineStr">
        <x:is>
          <x:t xml:space="preserve">visual</x:t>
        </x:is>
      </x:c>
      <x:c r="G16" s="150" t="inlineStr">
        <x:is>
          <x:t xml:space="preserve">tests/components/text/visual.spec.ts</x:t>
        </x:is>
      </x:c>
      <x:c r="H16" s="149" t="inlineStr">
        <x:is>
          <x:t xml:space="preserve">verified</x:t>
        </x:is>
      </x:c>
      <x:c r="I16" s="149" t="inlineStr">
        <x:is>
          <x:t xml:space="preserve">yes</x:t>
        </x:is>
      </x:c>
      <x:c r="J16" s="151" t="n">
        <x:v>46227</x:v>
      </x:c>
      <x:c r="K16" s="150" t="inlineStr">
        <x:is>
          <x:t xml:space="preserve">Agent-reviewed baselines; owner acceptance remains available during manual review.</x:t>
        </x:is>
      </x:c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T-09</x:t>
        </x:is>
      </x:c>
      <x:c r="B17" s="149" t="inlineStr">
        <x:is>
          <x:t xml:space="preserve">Responsive</x:t>
        </x:is>
      </x:c>
      <x:c r="C17" s="149" t="inlineStr">
        <x:is>
          <x:t xml:space="preserve">Text</x:t>
        </x:is>
      </x:c>
      <x:c r="D17" s="150" t="inlineStr">
        <x:is>
          <x:t xml:space="preserve">Narrow layout, long localized content, 200%/400% zoom, and RTL remain contained and readable.</x:t>
        </x:is>
      </x:c>
      <x:c r="E17" s="149" t="inlineStr">
        <x:is>
          <x:t xml:space="preserve">package</x:t>
        </x:is>
      </x:c>
      <x:c r="F17" s="149" t="inlineStr">
        <x:is>
          <x:t xml:space="preserve">manual</x:t>
        </x:is>
      </x:c>
      <x:c r="G17" s="150" t="inlineStr">
        <x:is>
          <x:t xml:space="preserve">manual-tests/text.md</x:t>
        </x:is>
      </x:c>
      <x:c r="H17" s="149" t="inlineStr">
        <x:is>
          <x:t xml:space="preserve">implemented</x:t>
        </x:is>
      </x:c>
      <x:c r="I17" s="149" t="inlineStr">
        <x:is>
          <x:t xml:space="preserve">yes</x:t>
        </x:is>
      </x:c>
      <x:c r="J17" s="151" t="n"/>
      <x:c r="K17" s="150" t="inlineStr">
        <x:is>
          <x:t xml:space="preserve">Automated evidence passes; physical-device and human zoom review are not recorded.</x:t>
        </x:is>
      </x:c>
      <x:c r="L17" s="149" t="n">
        <x:v>1</x:v>
      </x:c>
      <x:c r="M17" s="149" t="n">
        <x:f>IF(OR(AND(I17="yes",H17="verified"),AND(I17="no",OR(H17="tested",H17="verified")),AND(H17="not applicable",K17&lt;&gt;"")),1,0)</x:f>
        <x:v>0</x:v>
      </x:c>
    </x:row>
    <x:row r="18" s="127" customFormat="1" ht="54" customHeight="1">
      <x:c r="A18" s="149" t="inlineStr">
        <x:is>
          <x:t xml:space="preserve">T-10</x:t>
        </x:is>
      </x:c>
      <x:c r="B18" s="149" t="inlineStr">
        <x:is>
          <x:t xml:space="preserve">Theme</x:t>
        </x:is>
      </x:c>
      <x:c r="C18" s="149" t="inlineStr">
        <x:is>
          <x:t xml:space="preserve">Text</x:t>
        </x:is>
      </x:c>
      <x:c r="D18" s="150" t="inlineStr">
        <x:is>
          <x:t xml:space="preserve">Light, dark, semantic tones, forced colors, and reduced motion retain readable output.</x:t>
        </x:is>
      </x:c>
      <x:c r="E18" s="149" t="inlineStr">
        <x:is>
          <x:t xml:space="preserve">package</x:t>
        </x:is>
      </x:c>
      <x:c r="F18" s="149" t="inlineStr">
        <x:is>
          <x:t xml:space="preserve">manual</x:t>
        </x:is>
      </x:c>
      <x:c r="G18" s="150" t="inlineStr">
        <x:is>
          <x:t xml:space="preserve">manual-tests/text.md; tests/components/text/visual.spec.ts</x:t>
        </x:is>
      </x:c>
      <x:c r="H18" s="149" t="inlineStr">
        <x:is>
          <x:t xml:space="preserve">implemented</x:t>
        </x:is>
      </x:c>
      <x:c r="I18" s="149" t="inlineStr">
        <x:is>
          <x:t xml:space="preserve">yes</x:t>
        </x:is>
      </x:c>
      <x:c r="J18" s="151" t="n"/>
      <x:c r="K18" s="150" t="inlineStr">
        <x:is>
          <x:t xml:space="preserve">Automated evidence passes; complete human appearance review is pending.</x:t>
        </x:is>
      </x:c>
      <x:c r="L18" s="149" t="n">
        <x:v>1</x:v>
      </x:c>
      <x:c r="M18" s="149" t="n">
        <x:f>IF(OR(AND(I18="yes",H18="verified"),AND(I18="no",OR(H18="tested",H18="verified")),AND(H18="not applicable",K18&lt;&gt;"")),1,0)</x:f>
        <x:v>0</x:v>
      </x:c>
    </x:row>
    <x:row r="19" s="127" customFormat="1" ht="54" customHeight="1">
      <x:c r="A19" s="149" t="inlineStr">
        <x:is>
          <x:t xml:space="preserve">T-11</x:t>
        </x:is>
      </x:c>
      <x:c r="B19" s="149" t="inlineStr">
        <x:is>
          <x:t xml:space="preserve">Semantics</x:t>
        </x:is>
      </x:c>
      <x:c r="C19" s="149" t="inlineStr">
        <x:is>
          <x:t xml:space="preserve">Text</x:t>
        </x:is>
      </x:c>
      <x:c r="D19" s="150" t="inlineStr">
        <x:is>
          <x:t xml:space="preserve">Every supported semantic host and rendered output example match the public contract.</x:t>
        </x:is>
      </x:c>
      <x:c r="E19" s="149" t="inlineStr">
        <x:is>
          <x:t xml:space="preserve">package</x:t>
        </x:is>
      </x:c>
      <x:c r="F19" s="149" t="inlineStr">
        <x:is>
          <x:t xml:space="preserve">browser</x:t>
        </x:is>
      </x:c>
      <x:c r="G19" s="150" t="inlineStr">
        <x:is>
          <x:t xml:space="preserve">tests/components/text/behavior.spec.ts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46227</x:v>
      </x:c>
      <x:c r="K19" s="150" t="inlineStr">
        <x:is>
          <x:t xml:space="preserve">Automated relationships pass; the complete human output review is pending.</x:t>
        </x:is>
      </x:c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T-12</x:t>
        </x:is>
      </x:c>
      <x:c r="B20" s="149" t="inlineStr">
        <x:is>
          <x:t xml:space="preserve">Manual</x:t>
        </x:is>
      </x:c>
      <x:c r="C20" s="149" t="inlineStr">
        <x:is>
          <x:t xml:space="preserve">Text</x:t>
        </x:is>
      </x:c>
      <x:c r="D20" s="150" t="inlineStr">
        <x:is>
          <x:t xml:space="preserve">The component-owned manual protocol passes every Text playground scenario.</x:t>
        </x:is>
      </x:c>
      <x:c r="E20" s="149" t="inlineStr">
        <x:is>
          <x:t xml:space="preserve">package</x:t>
        </x:is>
      </x:c>
      <x:c r="F20" s="149" t="inlineStr">
        <x:is>
          <x:t xml:space="preserve">manual</x:t>
        </x:is>
      </x:c>
      <x:c r="G20" s="150" t="inlineStr">
        <x:is>
          <x:t xml:space="preserve">manual-tests/text.md</x:t>
        </x:is>
      </x:c>
      <x:c r="H20" s="149" t="inlineStr">
        <x:is>
          <x:t xml:space="preserve">implemented</x:t>
        </x:is>
      </x:c>
      <x:c r="I20" s="149" t="inlineStr">
        <x:is>
          <x:t xml:space="preserve">yes</x:t>
        </x:is>
      </x:c>
      <x:c r="J20" s="151" t="n"/>
      <x:c r="K20" s="150" t="inlineStr">
        <x:is>
          <x:t xml:space="preserve">Protocol is intentionally unrun and contains no claimed result.</x:t>
        </x:is>
      </x:c>
      <x:c r="L20" s="149" t="n">
        <x:v>1</x:v>
      </x:c>
      <x:c r="M20" s="149" t="n">
        <x:f>IF(OR(AND(I20="yes",H20="verified"),AND(I20="no",OR(H20="tested",H20="verified")),AND(H20="not applicable",K20&lt;&gt;"")),1,0)</x:f>
        <x:v>0</x:v>
      </x:c>
    </x:row>
    <x:row r="21" s="127" customFormat="1" ht="54" customHeight="1">
      <x:c r="A21" s="149" t="inlineStr">
        <x:is>
          <x:t xml:space="preserve">T-13</x:t>
        </x:is>
      </x:c>
      <x:c r="B21" s="149" t="inlineStr">
        <x:is>
          <x:t xml:space="preserve">Docs</x:t>
        </x:is>
      </x:c>
      <x:c r="C21" s="149" t="inlineStr">
        <x:is>
          <x:t xml:space="preserve">Text</x:t>
        </x:is>
      </x:c>
      <x:c r="D21" s="150" t="inlineStr">
        <x:is>
          <x:t xml:space="preserve">Source-backed public usage and API documentation passes component documentation checks.</x:t>
        </x:is>
      </x:c>
      <x:c r="E21" s="149" t="inlineStr">
        <x:is>
          <x:t xml:space="preserve">package</x:t>
        </x:is>
      </x:c>
      <x:c r="F21" s="149" t="inlineStr">
        <x:is>
          <x:t xml:space="preserve">docs</x:t>
        </x:is>
      </x:c>
      <x:c r="G21" s="150" t="inlineStr">
        <x:is>
          <x:t xml:space="preserve">../docs/components/text/README.md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46227</x:v>
      </x:c>
      <x:c r="K21" s="150" t="n"/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T-14</x:t>
        </x:is>
      </x:c>
      <x:c r="B22" s="149" t="inlineStr">
        <x:is>
          <x:t xml:space="preserve">Changelog</x:t>
        </x:is>
      </x:c>
      <x:c r="C22" s="149" t="inlineStr">
        <x:is>
          <x:t xml:space="preserve">Text</x:t>
        </x:is>
      </x:c>
      <x:c r="D22" s="150" t="inlineStr">
        <x:is>
          <x:t xml:space="preserve">Text owns a public component changelog and the package changelog records its addition.</x:t>
        </x:is>
      </x:c>
      <x:c r="E22" s="149" t="inlineStr">
        <x:is>
          <x:t xml:space="preserve">package</x:t>
        </x:is>
      </x:c>
      <x:c r="F22" s="149" t="inlineStr">
        <x:is>
          <x:t xml:space="preserve">docs</x:t>
        </x:is>
      </x:c>
      <x:c r="G22" s="150" t="inlineStr">
        <x:is>
          <x:t xml:space="preserve">../docs/components/text/CHANGELOG.md; ../CHANGELOG.md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46227</x:v>
      </x:c>
      <x:c r="K22" s="150" t="n"/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T-15</x:t>
        </x:is>
      </x:c>
      <x:c r="B23" s="149" t="inlineStr">
        <x:is>
          <x:t xml:space="preserve">Consumer</x:t>
        </x:is>
      </x:c>
      <x:c r="C23" s="149" t="inlineStr">
        <x:is>
          <x:t xml:space="preserve">Text</x:t>
        </x:is>
      </x:c>
      <x:c r="D23" s="150" t="inlineStr">
        <x:is>
          <x:t xml:space="preserve">The packed Consumer proves root and subpath Text usage through public imports.</x:t>
        </x:is>
      </x:c>
      <x:c r="E23" s="149" t="inlineStr">
        <x:is>
          <x:t xml:space="preserve">consumer</x:t>
        </x:is>
      </x:c>
      <x:c r="F23" s="149" t="inlineStr">
        <x:is>
          <x:t xml:space="preserve">consumer</x:t>
        </x:is>
      </x:c>
      <x:c r="G23" s="150" t="inlineStr">
        <x:is>
          <x:t xml:space="preserve">../apps/consumer/src/App.tsx; ../apps/consumer/tests/consumer.spec.ts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>
        <x:v>46227</x:v>
      </x:c>
      <x:c r="K23" s="150" t="n"/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T-16</x:t>
        </x:is>
      </x:c>
      <x:c r="B24" s="149" t="inlineStr">
        <x:is>
          <x:t xml:space="preserve">Package</x:t>
        </x:is>
      </x:c>
      <x:c r="C24" s="149" t="inlineStr">
        <x:is>
          <x:t xml:space="preserve">Text</x:t>
        </x:is>
      </x:c>
      <x:c r="D24" s="150" t="inlineStr">
        <x:is>
          <x:t xml:space="preserve">Build, SSR, exports, CSS, tarball, React 18/19, and packed-consumer verification pass.</x:t>
        </x:is>
      </x:c>
      <x:c r="E24" s="149" t="inlineStr">
        <x:is>
          <x:t xml:space="preserve">package</x:t>
        </x:is>
      </x:c>
      <x:c r="F24" s="149" t="inlineStr">
        <x:is>
          <x:t xml:space="preserve">package</x:t>
        </x:is>
      </x:c>
      <x:c r="G24" s="150" t="inlineStr">
        <x:is>
          <x:t xml:space="preserve">../test/package; ../scripts/verify-package.mjs; ../scripts/verify-consumers.mjs</x:t>
        </x:is>
      </x:c>
      <x:c r="H24" s="149" t="inlineStr">
        <x:is>
          <x:t xml:space="preserve">partial</x:t>
        </x:is>
      </x:c>
      <x:c r="I24" s="149" t="inlineStr">
        <x:is>
          <x:t xml:space="preserve">yes</x:t>
        </x:is>
      </x:c>
      <x:c r="J24" s="151" t="n">
        <x:v>46264</x:v>
      </x:c>
      <x:c r="K24" s="150" t="inlineStr">
        <x:is>
          <x:t xml:space="preserve">September 12: focused parity checks pass; broader theme-contract gate reports IconButton token failure. Full candidate and manual qualification remain open.</x:t>
        </x:is>
      </x:c>
      <x:c r="L24" s="149" t="n">
        <x:v>1</x:v>
      </x:c>
      <x:c r="M24" s="149" t="n">
        <x:f>IF(OR(AND(I24="yes",H24="verified"),AND(I24="no",OR(H24="tested",H24="verified")),AND(H24="not applicable",K24&lt;&gt;"")),1,0)</x:f>
        <x:v>0</x:v>
      </x:c>
    </x:row>
  </x:sheetData>
  <x:mergeCells>
    <x:mergeCell ref="A2:M2"/>
    <x:mergeCell ref="A1:M1"/>
  </x:mergeCells>
  <x:conditionalFormatting sqref="H9:H24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1" showDropDown="0" showInputMessage="1" showErrorMessage="1" sqref="H9:H24">
      <x:formula1>"not started,partial,implemented,tested,verified,blocked,not applicable"</x:formula1>
      <x:formula2>0</x:formula2>
    </x:dataValidation>
    <x:dataValidation type="list" errorStyle="stop" operator="between" allowBlank="1" showDropDown="0" showInputMessage="1" showErrorMessage="1" sqref="I9:I24">
      <x:formula1>"yes,no"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95ea960c0a24765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Notification Badge Evidence</x:t>
        </x:is>
      </x:c>
    </x:row>
    <x:row r="2" s="127" customFormat="1" ht="27.75" customHeight="1">
      <x:c r="A2" s="129" t="inlineStr">
        <x:is>
          <x:t xml:space="preserve">Assertion-level package, browser, human-review, documentation, and consumer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COUNTA(A9:A24)</x:f>
        <x:v>16</x:v>
      </x:c>
      <x:c r="D4" s="130" t="inlineStr">
        <x:is>
          <x:t xml:space="preserve">Resolved</x:t>
        </x:is>
      </x:c>
      <x:c r="E4" s="131" t="n">
        <x:f>SUM(M9:M24)</x:f>
        <x:v>9</x:v>
      </x:c>
      <x:c r="G4" s="130" t="inlineStr">
        <x:is>
          <x:t xml:space="preserve">Completion</x:t>
        </x:is>
      </x:c>
      <x:c r="H4" s="132" t="n">
        <x:f>E4/B4</x:f>
        <x:v>0.5625</x:v>
      </x:c>
      <x:c r="J4" s="130" t="inlineStr">
        <x:is>
          <x:t xml:space="preserve">Package gate</x:t>
        </x:is>
      </x:c>
      <x:c r="K4" s="131" t="str">
        <x:f>H24</x:f>
        <x:v>blocked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v>open</x:v>
      </x:c>
      <x:c r="D5" s="130" t="inlineStr">
        <x:is>
          <x:t xml:space="preserve">Consumer gate</x:t>
        </x:is>
      </x:c>
      <x:c r="E5" s="131" t="str">
        <x:f>H23</x:f>
        <x:v>partial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42" customHeight="1">
      <x:c r="A9" s="125" t="inlineStr">
        <x:is>
          <x:t xml:space="preserve">NB-01</x:t>
        </x:is>
      </x:c>
      <x:c r="B9" s="125" t="inlineStr">
        <x:is>
          <x:t xml:space="preserve">Implementation</x:t>
        </x:is>
      </x:c>
      <x:c r="C9" s="125" t="inlineStr">
        <x:is>
          <x:t xml:space="preserve">NotificationBadge</x:t>
        </x:is>
      </x:c>
      <x:c r="D9" s="142" t="inlineStr">
        <x:is>
          <x:t xml:space="preserve">Count/dot wrapper reuses Float placement and inherited number formatting.</x:t>
        </x:is>
      </x:c>
      <x:c r="E9" s="125" t="inlineStr">
        <x:is>
          <x:t xml:space="preserve">package</x:t>
        </x:is>
      </x:c>
      <x:c r="F9" s="125" t="inlineStr">
        <x:is>
          <x:t xml:space="preserve">source</x:t>
        </x:is>
      </x:c>
      <x:c r="G9" s="125" t="inlineStr">
        <x:is>
          <x:t xml:space="preserve">../src/components/badge</x:t>
        </x:is>
      </x:c>
      <x:c r="H9" s="125" t="inlineStr">
        <x:is>
          <x:t xml:space="preserve">tested</x:t>
        </x:is>
      </x:c>
      <x:c r="I9" s="125" t="inlineStr">
        <x:is>
          <x:t xml:space="preserve">no</x:t>
        </x:is>
      </x:c>
      <x:c r="J9" s="141" t="n">
        <x:v>46280</x:v>
      </x:c>
      <x:c r="L9" s="125" t="n">
        <x:v>1</x:v>
      </x:c>
      <x:c r="M9" s="125" t="n">
        <x:f>IF(OR(H9="not applicable",H9="verified",AND(I9="no",H9="tested")),1,0)</x:f>
        <x:v>1</x:v>
      </x:c>
    </x:row>
    <x:row r="10" s="127" customFormat="1" ht="42" customHeight="1">
      <x:c r="A10" s="125" t="inlineStr">
        <x:is>
          <x:t xml:space="preserve">NB-02</x:t>
        </x:is>
      </x:c>
      <x:c r="B10" s="125" t="inlineStr">
        <x:is>
          <x:t xml:space="preserve">Exports</x:t>
        </x:is>
      </x:c>
      <x:c r="C10" s="125" t="inlineStr">
        <x:is>
          <x:t xml:space="preserve">NotificationBadge</x:t>
        </x:is>
      </x:c>
      <x:c r="D10" s="125" t="inlineStr">
        <x:is>
          <x:t xml:space="preserve">Root and public subpath exports expose the component.</x:t>
        </x:is>
      </x:c>
      <x:c r="E10" s="125" t="inlineStr">
        <x:is>
          <x:t xml:space="preserve">package</x:t>
        </x:is>
      </x:c>
      <x:c r="F10" s="125" t="inlineStr">
        <x:is>
          <x:t xml:space="preserve">package</x:t>
        </x:is>
      </x:c>
      <x:c r="G10" s="125" t="inlineStr">
        <x:is>
          <x:t xml:space="preserve">../test/package/package.test.mjs</x:t>
        </x:is>
      </x:c>
      <x:c r="H10" s="125" t="inlineStr">
        <x:is>
          <x:t xml:space="preserve">tested</x:t>
        </x:is>
      </x:c>
      <x:c r="I10" s="125" t="inlineStr">
        <x:is>
          <x:t xml:space="preserve">no</x:t>
        </x:is>
      </x:c>
      <x:c r="J10" s="141" t="n">
        <x:v>46280</x:v>
      </x:c>
      <x:c r="L10" s="125" t="n">
        <x:v>1</x:v>
      </x:c>
      <x:c r="M10" s="125" t="n">
        <x:f>IF(OR(H10="not applicable",H10="verified",AND(I10="no",H10="tested")),1,0)</x:f>
        <x:v>1</x:v>
      </x:c>
    </x:row>
    <x:row r="11" s="127" customFormat="1" ht="42" customHeight="1">
      <x:c r="A11" s="125" t="inlineStr">
        <x:is>
          <x:t xml:space="preserve">NB-03</x:t>
        </x:is>
      </x:c>
      <x:c r="B11" s="125" t="inlineStr">
        <x:is>
          <x:t xml:space="preserve">Types</x:t>
        </x:is>
      </x:c>
      <x:c r="C11" s="125" t="inlineStr">
        <x:is>
          <x:t xml:space="preserve">NotificationBadge</x:t>
        </x:is>
      </x:c>
      <x:c r="D11" s="142" t="inlineStr">
        <x:is>
          <x:t xml:space="preserve">Responsive xs–xl sizes, corner placement, logical offsets, border and locale props.</x:t>
        </x:is>
      </x:c>
      <x:c r="E11" s="125" t="inlineStr">
        <x:is>
          <x:t xml:space="preserve">package</x:t>
        </x:is>
      </x:c>
      <x:c r="F11" s="125" t="inlineStr">
        <x:is>
          <x:t xml:space="preserve">types</x:t>
        </x:is>
      </x:c>
      <x:c r="G11" s="125" t="inlineStr">
        <x:is>
          <x:t xml:space="preserve">../test/types/components/notification-badge.test.ts</x:t>
        </x:is>
      </x:c>
      <x:c r="H11" s="125" t="inlineStr">
        <x:is>
          <x:t xml:space="preserve">tested</x:t>
        </x:is>
      </x:c>
      <x:c r="I11" s="125" t="inlineStr">
        <x:is>
          <x:t xml:space="preserve">no</x:t>
        </x:is>
      </x:c>
      <x:c r="J11" s="141" t="n">
        <x:v>46280</x:v>
      </x:c>
      <x:c r="L11" s="125" t="n">
        <x:v>1</x:v>
      </x:c>
      <x:c r="M11" s="125" t="n">
        <x:f>IF(OR(H11="not applicable",H11="verified",AND(I11="no",H11="tested")),1,0)</x:f>
        <x:v>1</x:v>
      </x:c>
    </x:row>
    <x:row r="12" s="127" customFormat="1" ht="42" customHeight="1">
      <x:c r="A12" s="125" t="inlineStr">
        <x:is>
          <x:t xml:space="preserve">NB-04</x:t>
        </x:is>
      </x:c>
      <x:c r="B12" s="125" t="inlineStr">
        <x:is>
          <x:t xml:space="preserve">CSS</x:t>
        </x:is>
      </x:c>
      <x:c r="C12" s="125" t="inlineStr">
        <x:is>
          <x:t xml:space="preserve">NotificationBadge</x:t>
        </x:is>
      </x:c>
      <x:c r="D12" s="142" t="inlineStr">
        <x:is>
          <x:t xml:space="preserve">Five badge sizes. Contrast tone. Optional seam keeps dimensions.</x:t>
        </x:is>
      </x:c>
      <x:c r="E12" s="125" t="inlineStr">
        <x:is>
          <x:t xml:space="preserve">package</x:t>
        </x:is>
      </x:c>
      <x:c r="F12" s="125" t="inlineStr">
        <x:is>
          <x:t xml:space="preserve">css</x:t>
        </x:is>
      </x:c>
      <x:c r="G12" s="125" t="inlineStr">
        <x:is>
          <x:t xml:space="preserve">../src/components/badge/badge.css</x:t>
        </x:is>
      </x:c>
      <x:c r="H12" s="125" t="inlineStr">
        <x:is>
          <x:t xml:space="preserve">tested</x:t>
        </x:is>
      </x:c>
      <x:c r="I12" s="125" t="inlineStr">
        <x:is>
          <x:t xml:space="preserve">no</x:t>
        </x:is>
      </x:c>
      <x:c r="J12" s="141" t="n">
        <x:v>46280</x:v>
      </x:c>
      <x:c r="L12" s="125" t="n">
        <x:v>1</x:v>
      </x:c>
      <x:c r="M12" s="125" t="n">
        <x:f>IF(OR(H12="not applicable",H12="verified",AND(I12="no",H12="tested")),1,0)</x:f>
        <x:v>1</x:v>
      </x:c>
    </x:row>
    <x:row r="13" s="127" customFormat="1" ht="42" customHeight="1">
      <x:c r="A13" s="125" t="inlineStr">
        <x:is>
          <x:t xml:space="preserve">NB-05</x:t>
        </x:is>
      </x:c>
      <x:c r="B13" s="125" t="inlineStr">
        <x:is>
          <x:t xml:space="preserve">Unit</x:t>
        </x:is>
      </x:c>
      <x:c r="C13" s="125" t="inlineStr">
        <x:is>
          <x:t xml:space="preserve">NotificationBadge</x:t>
        </x:is>
      </x:c>
      <x:c r="D13" s="125" t="inlineStr">
        <x:is>
          <x:t xml:space="preserve">Brick-owned DOM, recipes, adapters, and public hooks pass focused tests.</x:t>
        </x:is>
      </x:c>
      <x:c r="E13" s="125" t="inlineStr">
        <x:is>
          <x:t xml:space="preserve">package</x:t>
        </x:is>
      </x:c>
      <x:c r="F13" s="125" t="inlineStr">
        <x:is>
          <x:t xml:space="preserve">component</x:t>
        </x:is>
      </x:c>
      <x:c r="G13" s="125" t="inlineStr">
        <x:is>
          <x:t xml:space="preserve">../test/components/notification-badge/notification-badge.test.tsx</x:t>
        </x:is>
      </x:c>
      <x:c r="H13" s="125" t="inlineStr">
        <x:is>
          <x:t xml:space="preserve">tested</x:t>
        </x:is>
      </x:c>
      <x:c r="I13" s="125" t="inlineStr">
        <x:is>
          <x:t xml:space="preserve">no</x:t>
        </x:is>
      </x:c>
      <x:c r="J13" s="141" t="n">
        <x:v>46280</x:v>
      </x:c>
      <x:c r="L13" s="125" t="n">
        <x:v>1</x:v>
      </x:c>
      <x:c r="M13" s="125" t="n">
        <x:f>IF(OR(H13="not applicable",H13="verified",AND(I13="no",H13="tested")),1,0)</x:f>
        <x:v>1</x:v>
      </x:c>
    </x:row>
    <x:row r="14" s="127" customFormat="1" ht="42" customHeight="1">
      <x:c r="A14" s="125" t="inlineStr">
        <x:is>
          <x:t xml:space="preserve">NB-06</x:t>
        </x:is>
      </x:c>
      <x:c r="B14" s="125" t="inlineStr">
        <x:is>
          <x:t xml:space="preserve">Browser</x:t>
        </x:is>
      </x:c>
      <x:c r="C14" s="125" t="inlineStr">
        <x:is>
          <x:t xml:space="preserve">NotificationBadge</x:t>
        </x:is>
      </x:c>
      <x:c r="D14" s="142" t="inlineStr">
        <x:is>
          <x:t xml:space="preserve">Inner and outer anchor geometry, all action sizes and responsive RTL offsets.</x:t>
        </x:is>
      </x:c>
      <x:c r="E14" s="125" t="inlineStr">
        <x:is>
          <x:t xml:space="preserve">package</x:t>
        </x:is>
      </x:c>
      <x:c r="F14" s="125" t="inlineStr">
        <x:is>
          <x:t xml:space="preserve">browser</x:t>
        </x:is>
      </x:c>
      <x:c r="G14" s="142" t="inlineStr">
        <x:is>
          <x:t xml:space="preserve">tests/components/notification-badge/docs.spec.ts; tests/components/notification-badge/behavior.spec.ts</x:t>
        </x:is>
      </x:c>
      <x:c r="H14" s="125" t="inlineStr">
        <x:is>
          <x:t xml:space="preserve">tested</x:t>
        </x:is>
      </x:c>
      <x:c r="I14" s="125" t="inlineStr">
        <x:is>
          <x:t xml:space="preserve">no</x:t>
        </x:is>
      </x:c>
      <x:c r="J14" s="141" t="n">
        <x:v>46280</x:v>
      </x:c>
      <x:c r="L14" s="125" t="n">
        <x:v>1</x:v>
      </x:c>
      <x:c r="M14" s="125" t="n">
        <x:f>IF(OR(H14="not applicable",H14="verified",AND(I14="no",H14="tested")),1,0)</x:f>
        <x:v>1</x:v>
      </x:c>
    </x:row>
    <x:row r="15" s="127" customFormat="1" ht="42" customHeight="1">
      <x:c r="A15" s="125" t="inlineStr">
        <x:is>
          <x:t xml:space="preserve">NB-07</x:t>
        </x:is>
      </x:c>
      <x:c r="B15" s="125" t="inlineStr">
        <x:is>
          <x:t xml:space="preserve">Accessibility</x:t>
        </x:is>
      </x:c>
      <x:c r="C15" s="125" t="inlineStr">
        <x:is>
          <x:t xml:space="preserve">NotificationBadge</x:t>
        </x:is>
      </x:c>
      <x:c r="D15" s="125" t="inlineStr">
        <x:is>
          <x:t xml:space="preserve">Automated semantics and accessibility checks pass in the browser evidence suite.</x:t>
        </x:is>
      </x:c>
      <x:c r="E15" s="125" t="inlineStr">
        <x:is>
          <x:t xml:space="preserve">package</x:t>
        </x:is>
      </x:c>
      <x:c r="F15" s="125" t="inlineStr">
        <x:is>
          <x:t xml:space="preserve">axe</x:t>
        </x:is>
      </x:c>
      <x:c r="G15" s="125" t="inlineStr">
        <x:is>
          <x:t xml:space="preserve">tests/components/notification-badge/behavior.spec.ts; tests/integration</x:t>
        </x:is>
      </x:c>
      <x:c r="H15" s="125" t="inlineStr">
        <x:is>
          <x:t xml:space="preserve">tested</x:t>
        </x:is>
      </x:c>
      <x:c r="I15" s="125" t="inlineStr">
        <x:is>
          <x:t xml:space="preserve">no</x:t>
        </x:is>
      </x:c>
      <x:c r="J15" s="141" t="n">
        <x:v>46280</x:v>
      </x:c>
      <x:c r="L15" s="125" t="n">
        <x:v>1</x:v>
      </x:c>
      <x:c r="M15" s="125" t="n">
        <x:f>IF(OR(H15="not applicable",H15="verified",AND(I15="no",H15="tested")),1,0)</x:f>
        <x:v>1</x:v>
      </x:c>
    </x:row>
    <x:row r="16" s="127" customFormat="1" ht="42" customHeight="1">
      <x:c r="A16" s="125" t="inlineStr">
        <x:is>
          <x:t xml:space="preserve">NB-08</x:t>
        </x:is>
      </x:c>
      <x:c r="B16" s="125" t="inlineStr">
        <x:is>
          <x:t xml:space="preserve">Visual</x:t>
        </x:is>
      </x:c>
      <x:c r="C16" s="125" t="inlineStr">
        <x:is>
          <x:t xml:space="preserve">NotificationBadge</x:t>
        </x:is>
      </x:c>
      <x:c r="D16" s="125" t="inlineStr">
        <x:is>
          <x:t xml:space="preserve">Reviewed baselines cover the component's risk-selected recipes and states.</x:t>
        </x:is>
      </x:c>
      <x:c r="E16" s="125" t="inlineStr">
        <x:is>
          <x:t xml:space="preserve">package</x:t>
        </x:is>
      </x:c>
      <x:c r="F16" s="125" t="inlineStr">
        <x:is>
          <x:t xml:space="preserve">visual</x:t>
        </x:is>
      </x:c>
      <x:c r="G16" s="125" t="inlineStr">
        <x:is>
          <x:t xml:space="preserve">tests/components/notification-badge/visual.spec.ts</x:t>
        </x:is>
      </x:c>
      <x:c r="H16" s="125" t="inlineStr">
        <x:is>
          <x:t xml:space="preserve">tested</x:t>
        </x:is>
      </x:c>
      <x:c r="I16" s="125" t="inlineStr">
        <x:is>
          <x:t xml:space="preserve">yes</x:t>
        </x:is>
      </x:c>
      <x:c r="J16" s="141" t="n">
        <x:v>46280</x:v>
      </x:c>
      <x:c r="K16" s="142" t="inlineStr">
        <x:is>
          <x:t xml:space="preserve">Automated snapshots and agent visual review. Human sign-off pending.</x:t>
        </x:is>
      </x:c>
      <x:c r="L16" s="125" t="n">
        <x:v>1</x:v>
      </x:c>
      <x:c r="M16" s="125" t="n">
        <x:f>IF(OR(H16="not applicable",H16="verified",AND(I16="no",H16="tested")),1,0)</x:f>
        <x:v>0</x:v>
      </x:c>
    </x:row>
    <x:row r="17" s="127" customFormat="1" ht="42" customHeight="1">
      <x:c r="A17" s="125" t="inlineStr">
        <x:is>
          <x:t xml:space="preserve">NB-09</x:t>
        </x:is>
      </x:c>
      <x:c r="B17" s="125" t="inlineStr">
        <x:is>
          <x:t xml:space="preserve">Responsive</x:t>
        </x:is>
      </x:c>
      <x:c r="C17" s="125" t="inlineStr">
        <x:is>
          <x:t xml:space="preserve">NotificationBadge</x:t>
        </x:is>
      </x:c>
      <x:c r="D17" s="125" t="inlineStr">
        <x:is>
          <x:t xml:space="preserve">Mobile, zoom/reflow, content stress, and RTL remain usable and contained.</x:t>
        </x:is>
      </x:c>
      <x:c r="E17" s="125" t="inlineStr">
        <x:is>
          <x:t xml:space="preserve">package</x:t>
        </x:is>
      </x:c>
      <x:c r="F17" s="125" t="inlineStr">
        <x:is>
          <x:t xml:space="preserve">manual</x:t>
        </x:is>
      </x:c>
      <x:c r="G17" s="125" t="inlineStr">
        <x:is>
          <x:t xml:space="preserve">manual-tests/notification-badge.md</x:t>
        </x:is>
      </x:c>
      <x:c r="H17" s="125" t="inlineStr">
        <x:is>
          <x:t xml:space="preserve">implemented</x:t>
        </x:is>
      </x:c>
      <x:c r="I17" s="125" t="inlineStr">
        <x:is>
          <x:t xml:space="preserve">yes</x:t>
        </x:is>
      </x:c>
      <x:c r="J17" s="141" t="n"/>
      <x:c r="K17" s="125" t="inlineStr">
        <x:is>
          <x:t xml:space="preserve">Human protocol remains pending. Automated and visual evidence stays in its owning tests and does not complete this human gate.</x:t>
        </x:is>
      </x:c>
      <x:c r="L17" s="125" t="n">
        <x:v>1</x:v>
      </x:c>
      <x:c r="M17" s="125" t="n">
        <x:f>IF(OR(H17="not applicable",H17="verified",AND(I17="no",H17="tested")),1,0)</x:f>
        <x:v>0</x:v>
      </x:c>
    </x:row>
    <x:row r="18" s="127" customFormat="1" ht="42" customHeight="1">
      <x:c r="A18" s="125" t="inlineStr">
        <x:is>
          <x:t xml:space="preserve">NB-10</x:t>
        </x:is>
      </x:c>
      <x:c r="B18" s="125" t="inlineStr">
        <x:is>
          <x:t xml:space="preserve">Theme</x:t>
        </x:is>
      </x:c>
      <x:c r="C18" s="125" t="inlineStr">
        <x:is>
          <x:t xml:space="preserve">NotificationBadge</x:t>
        </x:is>
      </x:c>
      <x:c r="D18" s="125" t="inlineStr">
        <x:is>
          <x:t xml:space="preserve">Light, dark, focus, forced-colors, and relevant motion behavior remain perceivable.</x:t>
        </x:is>
      </x:c>
      <x:c r="E18" s="125" t="inlineStr">
        <x:is>
          <x:t xml:space="preserve">package</x:t>
        </x:is>
      </x:c>
      <x:c r="F18" s="125" t="inlineStr">
        <x:is>
          <x:t xml:space="preserve">manual</x:t>
        </x:is>
      </x:c>
      <x:c r="G18" s="125" t="inlineStr">
        <x:is>
          <x:t xml:space="preserve">manual-tests/notification-badge.md</x:t>
        </x:is>
      </x:c>
      <x:c r="H18" s="125" t="inlineStr">
        <x:is>
          <x:t xml:space="preserve">implemented</x:t>
        </x:is>
      </x:c>
      <x:c r="I18" s="125" t="inlineStr">
        <x:is>
          <x:t xml:space="preserve">yes</x:t>
        </x:is>
      </x:c>
      <x:c r="J18" s="141" t="n"/>
      <x:c r="K18" s="125" t="inlineStr">
        <x:is>
          <x:t xml:space="preserve">Human protocol remains pending. Automated and visual evidence stays in its owning tests and does not complete this human gate.</x:t>
        </x:is>
      </x:c>
      <x:c r="L18" s="125" t="n">
        <x:v>1</x:v>
      </x:c>
      <x:c r="M18" s="125" t="n">
        <x:f>IF(OR(H18="not applicable",H18="verified",AND(I18="no",H18="tested")),1,0)</x:f>
        <x:v>0</x:v>
      </x:c>
    </x:row>
    <x:row r="19" s="127" customFormat="1" ht="42" customHeight="1">
      <x:c r="A19" s="125" t="inlineStr">
        <x:is>
          <x:t xml:space="preserve">NB-11</x:t>
        </x:is>
      </x:c>
      <x:c r="B19" s="125" t="inlineStr">
        <x:is>
          <x:t xml:space="preserve">Composition</x:t>
        </x:is>
      </x:c>
      <x:c r="C19" s="125" t="inlineStr">
        <x:is>
          <x:t xml:space="preserve">NotificationBadge</x:t>
        </x:is>
      </x:c>
      <x:c r="D19" s="142" t="inlineStr">
        <x:is>
          <x:t xml:space="preserve">Outer-target and inner-artwork anchors preserve native target, icon sizing and accessible meaning. No asChild on NotificationBadge.</x:t>
        </x:is>
      </x:c>
      <x:c r="E19" s="125" t="inlineStr">
        <x:is>
          <x:t xml:space="preserve">package</x:t>
        </x:is>
      </x:c>
      <x:c r="F19" s="125" t="inlineStr">
        <x:is>
          <x:t xml:space="preserve">manual</x:t>
        </x:is>
      </x:c>
      <x:c r="G19" s="125" t="inlineStr">
        <x:is>
          <x:t xml:space="preserve">manual-tests/notification-badge.md; tests/components/notification-badge/behavior.spec.ts</x:t>
        </x:is>
      </x:c>
      <x:c r="H19" s="125" t="inlineStr">
        <x:is>
          <x:t xml:space="preserve">implemented</x:t>
        </x:is>
      </x:c>
      <x:c r="I19" s="125" t="inlineStr">
        <x:is>
          <x:t xml:space="preserve">yes</x:t>
        </x:is>
      </x:c>
      <x:c r="J19" s="141" t="n"/>
      <x:c r="K19" s="125" t="inlineStr">
        <x:is>
          <x:t xml:space="preserve">Human protocol remains pending. Automated and visual evidence stays in its owning tests and does not complete this human gate.</x:t>
        </x:is>
      </x:c>
      <x:c r="L19" s="125" t="n">
        <x:v>1</x:v>
      </x:c>
      <x:c r="M19" s="125" t="n">
        <x:f>IF(OR(H19="not applicable",H19="verified",AND(I19="no",H19="tested")),1,0)</x:f>
        <x:v>0</x:v>
      </x:c>
    </x:row>
    <x:row r="20" s="127" customFormat="1" ht="42" customHeight="1">
      <x:c r="A20" s="125" t="inlineStr">
        <x:is>
          <x:t xml:space="preserve">NB-12</x:t>
        </x:is>
      </x:c>
      <x:c r="B20" s="125" t="inlineStr">
        <x:is>
          <x:t xml:space="preserve">Manual</x:t>
        </x:is>
      </x:c>
      <x:c r="C20" s="125" t="inlineStr">
        <x:is>
          <x:t xml:space="preserve">NotificationBadge</x:t>
        </x:is>
      </x:c>
      <x:c r="D20" s="125" t="inlineStr">
        <x:is>
          <x:t xml:space="preserve">The complete component-owned manual protocol passed against every playground scenario.</x:t>
        </x:is>
      </x:c>
      <x:c r="E20" s="125" t="inlineStr">
        <x:is>
          <x:t xml:space="preserve">package</x:t>
        </x:is>
      </x:c>
      <x:c r="F20" s="125" t="inlineStr">
        <x:is>
          <x:t xml:space="preserve">manual</x:t>
        </x:is>
      </x:c>
      <x:c r="G20" s="125" t="inlineStr">
        <x:is>
          <x:t xml:space="preserve">manual-tests/notification-badge.md</x:t>
        </x:is>
      </x:c>
      <x:c r="H20" s="125" t="inlineStr">
        <x:is>
          <x:t xml:space="preserve">implemented</x:t>
        </x:is>
      </x:c>
      <x:c r="I20" s="125" t="inlineStr">
        <x:is>
          <x:t xml:space="preserve">yes</x:t>
        </x:is>
      </x:c>
      <x:c r="J20" s="141" t="n"/>
      <x:c r="K20" s="125" t="inlineStr">
        <x:is>
          <x:t xml:space="preserve">Human protocol remains pending. Automated and visual evidence stays in its owning tests and does not complete this human gate.</x:t>
        </x:is>
      </x:c>
      <x:c r="L20" s="125" t="n">
        <x:v>1</x:v>
      </x:c>
      <x:c r="M20" s="125" t="n">
        <x:f>IF(OR(H20="not applicable",H20="verified",AND(I20="no",H20="tested")),1,0)</x:f>
        <x:v>0</x:v>
      </x:c>
    </x:row>
    <x:row r="21" s="127" customFormat="1" ht="42" customHeight="1">
      <x:c r="A21" s="125" t="inlineStr">
        <x:is>
          <x:t xml:space="preserve">NB-13</x:t>
        </x:is>
      </x:c>
      <x:c r="B21" s="125" t="inlineStr">
        <x:is>
          <x:t xml:space="preserve">Docs</x:t>
        </x:is>
      </x:c>
      <x:c r="C21" s="125" t="inlineStr">
        <x:is>
          <x:t xml:space="preserve">NotificationBadge</x:t>
        </x:is>
      </x:c>
      <x:c r="D21" s="142" t="inlineStr">
        <x:is>
          <x:t xml:space="preserve">Focused docs examples, complete props, locale/offset guidance and both anchor choices.</x:t>
        </x:is>
      </x:c>
      <x:c r="E21" s="125" t="inlineStr">
        <x:is>
          <x:t xml:space="preserve">package</x:t>
        </x:is>
      </x:c>
      <x:c r="F21" s="125" t="inlineStr">
        <x:is>
          <x:t xml:space="preserve">docs</x:t>
        </x:is>
      </x:c>
      <x:c r="G21" s="125" t="inlineStr">
        <x:is>
          <x:t xml:space="preserve">../docs/components/notification-badge/README.md</x:t>
        </x:is>
      </x:c>
      <x:c r="H21" s="125" t="inlineStr">
        <x:is>
          <x:t xml:space="preserve">tested</x:t>
        </x:is>
      </x:c>
      <x:c r="I21" s="125" t="inlineStr">
        <x:is>
          <x:t xml:space="preserve">no</x:t>
        </x:is>
      </x:c>
      <x:c r="J21" s="141" t="n">
        <x:v>46280</x:v>
      </x:c>
      <x:c r="L21" s="125" t="n">
        <x:v>1</x:v>
      </x:c>
      <x:c r="M21" s="125" t="n">
        <x:f>IF(OR(H21="not applicable",H21="verified",AND(I21="no",H21="tested")),1,0)</x:f>
        <x:v>1</x:v>
      </x:c>
    </x:row>
    <x:row r="22" s="127" customFormat="1" ht="42" customHeight="1">
      <x:c r="A22" s="125" t="inlineStr">
        <x:is>
          <x:t xml:space="preserve">NB-14</x:t>
        </x:is>
      </x:c>
      <x:c r="B22" s="125" t="inlineStr">
        <x:is>
          <x:t xml:space="preserve">Changelog</x:t>
        </x:is>
      </x:c>
      <x:c r="C22" s="125" t="inlineStr">
        <x:is>
          <x:t xml:space="preserve">NotificationBadge</x:t>
        </x:is>
      </x:c>
      <x:c r="D22" s="125" t="inlineStr">
        <x:is>
          <x:t xml:space="preserve">The component owns a public changelog.</x:t>
        </x:is>
      </x:c>
      <x:c r="E22" s="125" t="inlineStr">
        <x:is>
          <x:t xml:space="preserve">package</x:t>
        </x:is>
      </x:c>
      <x:c r="F22" s="125" t="inlineStr">
        <x:is>
          <x:t xml:space="preserve">docs</x:t>
        </x:is>
      </x:c>
      <x:c r="G22" s="125" t="inlineStr">
        <x:is>
          <x:t xml:space="preserve">../docs/components/notification-badge/CHANGELOG.md</x:t>
        </x:is>
      </x:c>
      <x:c r="H22" s="125" t="inlineStr">
        <x:is>
          <x:t xml:space="preserve">tested</x:t>
        </x:is>
      </x:c>
      <x:c r="I22" s="125" t="inlineStr">
        <x:is>
          <x:t xml:space="preserve">no</x:t>
        </x:is>
      </x:c>
      <x:c r="J22" s="141" t="n">
        <x:v>46280</x:v>
      </x:c>
      <x:c r="L22" s="125" t="n">
        <x:v>1</x:v>
      </x:c>
      <x:c r="M22" s="125" t="n">
        <x:f>IF(OR(H22="not applicable",H22="verified",AND(I22="no",H22="tested")),1,0)</x:f>
        <x:v>1</x:v>
      </x:c>
    </x:row>
    <x:row r="23" s="127" customFormat="1" ht="42" customHeight="1">
      <x:c r="A23" s="125" t="inlineStr">
        <x:is>
          <x:t xml:space="preserve">NB-15</x:t>
        </x:is>
      </x:c>
      <x:c r="B23" s="125" t="inlineStr">
        <x:is>
          <x:t xml:space="preserve">Consumer</x:t>
        </x:is>
      </x:c>
      <x:c r="C23" s="125" t="inlineStr">
        <x:is>
          <x:t xml:space="preserve">NotificationBadge</x:t>
        </x:is>
      </x:c>
      <x:c r="D23" s="125" t="inlineStr">
        <x:is>
          <x:t xml:space="preserve">The standalone consumer imports and exercises the public package component.</x:t>
        </x:is>
      </x:c>
      <x:c r="E23" s="125" t="inlineStr">
        <x:is>
          <x:t xml:space="preserve">consumer</x:t>
        </x:is>
      </x:c>
      <x:c r="F23" s="125" t="inlineStr">
        <x:is>
          <x:t xml:space="preserve">consumer</x:t>
        </x:is>
      </x:c>
      <x:c r="G23" s="125" t="inlineStr">
        <x:is>
          <x:t xml:space="preserve">../apps/consumer/src/App.tsx; ../apps/consumer/tests/consumer.spec.ts</x:t>
        </x:is>
      </x:c>
      <x:c r="H23" s="125" t="inlineStr">
        <x:is>
          <x:t xml:space="preserve">partial</x:t>
        </x:is>
      </x:c>
      <x:c r="I23" s="125" t="inlineStr">
        <x:is>
          <x:t xml:space="preserve">no</x:t>
        </x:is>
      </x:c>
      <x:c r="J23" s="141" t="n">
        <x:v>46280</x:v>
      </x:c>
      <x:c r="K23" s="143" t="inlineStr">
        <x:is>
          <x:t xml:space="preserve">React 18/19 packed checks passed. Live consumer review pending.</x:t>
        </x:is>
      </x:c>
      <x:c r="L23" s="125" t="n">
        <x:v>1</x:v>
      </x:c>
      <x:c r="M23" s="125" t="n">
        <x:f>IF(OR(H23="not applicable",H23="verified",AND(I23="no",H23="tested")),1,0)</x:f>
        <x:v>0</x:v>
      </x:c>
    </x:row>
    <x:row r="24" s="127" customFormat="1" ht="42" customHeight="1">
      <x:c r="A24" s="125" t="inlineStr">
        <x:is>
          <x:t xml:space="preserve">NB-16</x:t>
        </x:is>
      </x:c>
      <x:c r="B24" s="125" t="inlineStr">
        <x:is>
          <x:t xml:space="preserve">Package</x:t>
        </x:is>
      </x:c>
      <x:c r="C24" s="125" t="inlineStr">
        <x:is>
          <x:t xml:space="preserve">NotificationBadge</x:t>
        </x:is>
      </x:c>
      <x:c r="D24" s="125" t="inlineStr">
        <x:is>
          <x:t xml:space="preserve">Build, exports, tarball, CSS, and consumer boundary verification pass.</x:t>
        </x:is>
      </x:c>
      <x:c r="E24" s="125" t="inlineStr">
        <x:is>
          <x:t xml:space="preserve">package</x:t>
        </x:is>
      </x:c>
      <x:c r="F24" s="125" t="inlineStr">
        <x:is>
          <x:t xml:space="preserve">package</x:t>
        </x:is>
      </x:c>
      <x:c r="G24" s="125" t="inlineStr">
        <x:is>
          <x:t xml:space="preserve">../scripts/verify-package.mjs; ../scripts/verify-consumers.mjs</x:t>
        </x:is>
      </x:c>
      <x:c r="H24" s="125" t="inlineStr">
        <x:is>
          <x:t xml:space="preserve">blocked</x:t>
        </x:is>
      </x:c>
      <x:c r="I24" s="125" t="inlineStr">
        <x:is>
          <x:t xml:space="preserve">no</x:t>
        </x:is>
      </x:c>
      <x:c r="J24" s="141" t="n">
        <x:v>46280</x:v>
      </x:c>
      <x:c r="K24" s="143" t="inlineStr">
        <x:is>
          <x:t xml:space="preserve">Owner changes remain unpublished; broader repository gates and manual qualification remain open.</x:t>
        </x:is>
      </x:c>
      <x:c r="L24" s="125" t="n">
        <x:v>1</x:v>
      </x:c>
      <x:c r="M24" s="125" t="n">
        <x:f>IF(OR(H24="not applicable",H24="verified",AND(I24="no",H24="tested")),1,0)</x:f>
        <x:v>0</x:v>
      </x:c>
    </x:row>
  </x:sheetData>
  <x:mergeCells>
    <x:mergeCell ref="A2:M2"/>
    <x:mergeCell ref="A1:M1"/>
  </x:mergeCells>
  <x:conditionalFormatting sqref="H9:H24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1" showDropDown="0" showInputMessage="1" showErrorMessage="1" sqref="H9:H24">
      <x:formula1>"not started,partial,implemented,tested,verified,blocked,not applicable"</x:formula1>
      <x:formula2>0</x:formula2>
    </x:dataValidation>
    <x:dataValidation type="list" errorStyle="stop" operator="between" allowBlank="1" showDropDown="0" showInputMessage="1" showErrorMessage="1" sqref="I9:I24">
      <x:formula1>"yes,no"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ba3cf82cdea4789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Popover Evidence</x:t>
        </x:is>
      </x:c>
    </x:row>
    <x:row r="2" s="127" customFormat="1" ht="27.75" customHeight="1">
      <x:c r="A2" s="129" t="inlineStr">
        <x:is>
          <x:t xml:space="preserve">Popover parity: expanded API and 60 browser checks pass. Manual requalification and clean-consumer gate remain separate.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COUNTA(A9:A200)</x:f>
        <x:v>16</x:v>
      </x:c>
      <x:c r="D4" s="130" t="inlineStr">
        <x:is>
          <x:t xml:space="preserve">Resolved</x:t>
        </x:is>
      </x:c>
      <x:c r="E4" s="131" t="n">
        <x:f>SUM(M9:M200)</x:f>
        <x:v>11</x:v>
      </x:c>
      <x:c r="G4" s="130" t="inlineStr">
        <x:is>
          <x:t xml:space="preserve">Completion</x:t>
        </x:is>
      </x:c>
      <x:c r="H4" s="132" t="n">
        <x:f>IF(B4=0,0,E4/B4)</x:f>
        <x:v>0.6875</x:v>
      </x:c>
      <x:c r="J4" s="130" t="inlineStr">
        <x:is>
          <x:t xml:space="preserve">Package gate</x:t>
        </x:is>
      </x:c>
      <x:c r="K4" s="131" t="str">
        <x:f>IF(E4=B4,"complete","pending")</x:f>
        <x:v>pending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IF(COUNTIFS(I9:I24,"yes",H9:H24,"&lt;&gt;verified",H9:H24,"&lt;&gt;not applicable")=0,"complete","pending")</x:f>
        <x:v>pending</x:v>
      </x:c>
      <x:c r="D5" s="130" t="inlineStr">
        <x:is>
          <x:t xml:space="preserve">Consumer gate</x:t>
        </x:is>
      </x:c>
      <x:c r="E5" s="131" t="str">
        <x:f>H23</x:f>
        <x:v>tested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42" customHeight="1">
      <x:c r="A9" s="125" t="inlineStr">
        <x:is>
          <x:t xml:space="preserve">P-01</x:t>
        </x:is>
      </x:c>
      <x:c r="B9" s="125" t="inlineStr">
        <x:is>
          <x:t xml:space="preserve">Implementation</x:t>
        </x:is>
      </x:c>
      <x:c r="C9" s="125" t="inlineStr">
        <x:is>
          <x:t xml:space="preserve">Popover</x:t>
        </x:is>
      </x:c>
      <x:c r="D9" s="125" t="inlineStr">
        <x:is>
          <x:t xml:space="preserve">Public component implementation and Atom adapter exist.</x:t>
        </x:is>
      </x:c>
      <x:c r="E9" s="125" t="inlineStr">
        <x:is>
          <x:t xml:space="preserve">package</x:t>
        </x:is>
      </x:c>
      <x:c r="F9" s="125" t="inlineStr">
        <x:is>
          <x:t xml:space="preserve">source</x:t>
        </x:is>
      </x:c>
      <x:c r="G9" s="125" t="inlineStr">
        <x:is>
          <x:t xml:space="preserve">../src/components/popover</x:t>
        </x:is>
      </x:c>
      <x:c r="H9" s="125" t="inlineStr">
        <x:is>
          <x:t xml:space="preserve">tested</x:t>
        </x:is>
      </x:c>
      <x:c r="I9" s="125" t="inlineStr">
        <x:is>
          <x:t xml:space="preserve">no</x:t>
        </x:is>
      </x:c>
      <x:c r="J9" s="141" t="n">
        <x:v>46277</x:v>
      </x:c>
      <x:c r="L9" s="125" t="n">
        <x:v>1</x:v>
      </x:c>
      <x:c r="M9" s="125" t="n">
        <x:f>IF(H9="not applicable",IF(K9&lt;&gt;"",1,0),IF(I9="yes",IF(H9="verified",1,0),IF(OR(H9="tested",H9="verified"),1,0)))</x:f>
        <x:v>1</x:v>
      </x:c>
    </x:row>
    <x:row r="10" s="127" customFormat="1" ht="42" customHeight="1">
      <x:c r="A10" s="125" t="inlineStr">
        <x:is>
          <x:t xml:space="preserve">P-02</x:t>
        </x:is>
      </x:c>
      <x:c r="B10" s="125" t="inlineStr">
        <x:is>
          <x:t xml:space="preserve">Exports</x:t>
        </x:is>
      </x:c>
      <x:c r="C10" s="125" t="inlineStr">
        <x:is>
          <x:t xml:space="preserve">Popover</x:t>
        </x:is>
      </x:c>
      <x:c r="D10" s="125" t="inlineStr">
        <x:is>
          <x:t xml:space="preserve">Root and public subpath exports expose the component.</x:t>
        </x:is>
      </x:c>
      <x:c r="E10" s="125" t="inlineStr">
        <x:is>
          <x:t xml:space="preserve">package</x:t>
        </x:is>
      </x:c>
      <x:c r="F10" s="125" t="inlineStr">
        <x:is>
          <x:t xml:space="preserve">package</x:t>
        </x:is>
      </x:c>
      <x:c r="G10" s="125" t="inlineStr">
        <x:is>
          <x:t xml:space="preserve">../test/package/package.test.mjs</x:t>
        </x:is>
      </x:c>
      <x:c r="H10" s="125" t="inlineStr">
        <x:is>
          <x:t xml:space="preserve">tested</x:t>
        </x:is>
      </x:c>
      <x:c r="I10" s="125" t="inlineStr">
        <x:is>
          <x:t xml:space="preserve">no</x:t>
        </x:is>
      </x:c>
      <x:c r="J10" s="141" t="n">
        <x:v>46277</x:v>
      </x:c>
      <x:c r="L10" s="125" t="n">
        <x:v>1</x:v>
      </x:c>
      <x:c r="M10" s="125" t="n">
        <x:f>IF(H10="not applicable",IF(K10&lt;&gt;"",1,0),IF(I10="yes",IF(H10="verified",1,0),IF(OR(H10="tested",H10="verified"),1,0)))</x:f>
        <x:v>1</x:v>
      </x:c>
    </x:row>
    <x:row r="11" s="127" customFormat="1" ht="42" customHeight="1">
      <x:c r="A11" s="125" t="inlineStr">
        <x:is>
          <x:t xml:space="preserve">P-03</x:t>
        </x:is>
      </x:c>
      <x:c r="B11" s="125" t="inlineStr">
        <x:is>
          <x:t xml:space="preserve">Types</x:t>
        </x:is>
      </x:c>
      <x:c r="C11" s="125" t="inlineStr">
        <x:is>
          <x:t xml:space="preserve">Popover</x:t>
        </x:is>
      </x:c>
      <x:c r="D11" s="125" t="inlineStr">
        <x:is>
          <x:t xml:space="preserve">Public props, refs, composition branches, and invalid cases type-check.</x:t>
        </x:is>
      </x:c>
      <x:c r="E11" s="125" t="inlineStr">
        <x:is>
          <x:t xml:space="preserve">package</x:t>
        </x:is>
      </x:c>
      <x:c r="F11" s="125" t="inlineStr">
        <x:is>
          <x:t xml:space="preserve">types</x:t>
        </x:is>
      </x:c>
      <x:c r="G11" s="125" t="inlineStr">
        <x:is>
          <x:t xml:space="preserve">../test/types/components/popover.test.ts</x:t>
        </x:is>
      </x:c>
      <x:c r="H11" s="125" t="inlineStr">
        <x:is>
          <x:t xml:space="preserve">tested</x:t>
        </x:is>
      </x:c>
      <x:c r="I11" s="125" t="inlineStr">
        <x:is>
          <x:t xml:space="preserve">no</x:t>
        </x:is>
      </x:c>
      <x:c r="J11" s="141" t="n">
        <x:v>46277</x:v>
      </x:c>
      <x:c r="L11" s="125" t="n">
        <x:v>1</x:v>
      </x:c>
      <x:c r="M11" s="125" t="n">
        <x:f>IF(H11="not applicable",IF(K11&lt;&gt;"",1,0),IF(I11="yes",IF(H11="verified",1,0),IF(OR(H11="tested",H11="verified"),1,0)))</x:f>
        <x:v>1</x:v>
      </x:c>
    </x:row>
    <x:row r="12" s="127" customFormat="1" ht="42" customHeight="1">
      <x:c r="A12" s="125" t="inlineStr">
        <x:is>
          <x:t xml:space="preserve">P-04</x:t>
        </x:is>
      </x:c>
      <x:c r="B12" s="125" t="inlineStr">
        <x:is>
          <x:t xml:space="preserve">CSS</x:t>
        </x:is>
      </x:c>
      <x:c r="C12" s="125" t="inlineStr">
        <x:is>
          <x:t xml:space="preserve">Popover</x:t>
        </x:is>
      </x:c>
      <x:c r="D12" s="125" t="inlineStr">
        <x:is>
          <x:t xml:space="preserve">Static public CSS, classes, slots, recipes, states, and tokens are present.</x:t>
        </x:is>
      </x:c>
      <x:c r="E12" s="125" t="inlineStr">
        <x:is>
          <x:t xml:space="preserve">package</x:t>
        </x:is>
      </x:c>
      <x:c r="F12" s="125" t="inlineStr">
        <x:is>
          <x:t xml:space="preserve">css</x:t>
        </x:is>
      </x:c>
      <x:c r="G12" s="125" t="inlineStr">
        <x:is>
          <x:t xml:space="preserve">../src/components/popover/popover.css</x:t>
        </x:is>
      </x:c>
      <x:c r="H12" s="125" t="inlineStr">
        <x:is>
          <x:t xml:space="preserve">tested</x:t>
        </x:is>
      </x:c>
      <x:c r="I12" s="125" t="inlineStr">
        <x:is>
          <x:t xml:space="preserve">no</x:t>
        </x:is>
      </x:c>
      <x:c r="J12" s="141" t="n">
        <x:v>46277</x:v>
      </x:c>
      <x:c r="L12" s="125" t="n">
        <x:v>1</x:v>
      </x:c>
      <x:c r="M12" s="125" t="n">
        <x:f>IF(H12="not applicable",IF(K12&lt;&gt;"",1,0),IF(I12="yes",IF(H12="verified",1,0),IF(OR(H12="tested",H12="verified"),1,0)))</x:f>
        <x:v>1</x:v>
      </x:c>
    </x:row>
    <x:row r="13" s="127" customFormat="1" ht="42" customHeight="1">
      <x:c r="A13" s="125" t="inlineStr">
        <x:is>
          <x:t xml:space="preserve">P-05</x:t>
        </x:is>
      </x:c>
      <x:c r="B13" s="125" t="inlineStr">
        <x:is>
          <x:t xml:space="preserve">Unit</x:t>
        </x:is>
      </x:c>
      <x:c r="C13" s="125" t="inlineStr">
        <x:is>
          <x:t xml:space="preserve">Popover</x:t>
        </x:is>
      </x:c>
      <x:c r="D13" s="125" t="inlineStr">
        <x:is>
          <x:t xml:space="preserve">Brick-owned DOM, recipes, adapters, and public hooks pass focused tests.</x:t>
        </x:is>
      </x:c>
      <x:c r="E13" s="125" t="inlineStr">
        <x:is>
          <x:t xml:space="preserve">package</x:t>
        </x:is>
      </x:c>
      <x:c r="F13" s="125" t="inlineStr">
        <x:is>
          <x:t xml:space="preserve">component</x:t>
        </x:is>
      </x:c>
      <x:c r="G13" s="125" t="inlineStr">
        <x:is>
          <x:t xml:space="preserve">../test/components/popover/popover.test.tsx</x:t>
        </x:is>
      </x:c>
      <x:c r="H13" s="125" t="inlineStr">
        <x:is>
          <x:t xml:space="preserve">tested</x:t>
        </x:is>
      </x:c>
      <x:c r="I13" s="125" t="inlineStr">
        <x:is>
          <x:t xml:space="preserve">no</x:t>
        </x:is>
      </x:c>
      <x:c r="J13" s="141" t="n">
        <x:v>46277</x:v>
      </x:c>
      <x:c r="L13" s="125" t="n">
        <x:v>1</x:v>
      </x:c>
      <x:c r="M13" s="125" t="n">
        <x:f>IF(H13="not applicable",IF(K13&lt;&gt;"",1,0),IF(I13="yes",IF(H13="verified",1,0),IF(OR(H13="tested",H13="verified"),1,0)))</x:f>
        <x:v>1</x:v>
      </x:c>
    </x:row>
    <x:row r="14" s="127" customFormat="1" ht="42" customHeight="1">
      <x:c r="A14" s="125" t="inlineStr">
        <x:is>
          <x:t xml:space="preserve">P-06</x:t>
        </x:is>
      </x:c>
      <x:c r="B14" s="125" t="inlineStr">
        <x:is>
          <x:t xml:space="preserve">Browser</x:t>
        </x:is>
      </x:c>
      <x:c r="C14" s="125" t="inlineStr">
        <x:is>
          <x:t xml:space="preserve">Popover</x:t>
        </x:is>
      </x:c>
      <x:c r="D14" s="125" t="inlineStr">
        <x:is>
          <x:t xml:space="preserve">Real-browser behavior and component contract checks pass.</x:t>
        </x:is>
      </x:c>
      <x:c r="E14" s="125" t="inlineStr">
        <x:is>
          <x:t xml:space="preserve">package</x:t>
        </x:is>
      </x:c>
      <x:c r="F14" s="125" t="inlineStr">
        <x:is>
          <x:t xml:space="preserve">browser</x:t>
        </x:is>
      </x:c>
      <x:c r="G14" s="125" t="inlineStr">
        <x:is>
          <x:t xml:space="preserve">tests/components/popover/behavior.spec.ts</x:t>
        </x:is>
      </x:c>
      <x:c r="H14" s="125" t="inlineStr">
        <x:is>
          <x:t xml:space="preserve">tested</x:t>
        </x:is>
      </x:c>
      <x:c r="I14" s="125" t="inlineStr">
        <x:is>
          <x:t xml:space="preserve">no</x:t>
        </x:is>
      </x:c>
      <x:c r="J14" s="141" t="n">
        <x:v>46277</x:v>
      </x:c>
      <x:c r="L14" s="125" t="n">
        <x:v>1</x:v>
      </x:c>
      <x:c r="M14" s="125" t="n">
        <x:f>IF(H14="not applicable",IF(K14&lt;&gt;"",1,0),IF(I14="yes",IF(H14="verified",1,0),IF(OR(H14="tested",H14="verified"),1,0)))</x:f>
        <x:v>1</x:v>
      </x:c>
    </x:row>
    <x:row r="15" s="127" customFormat="1" ht="42" customHeight="1">
      <x:c r="A15" s="125" t="inlineStr">
        <x:is>
          <x:t xml:space="preserve">P-07</x:t>
        </x:is>
      </x:c>
      <x:c r="B15" s="125" t="inlineStr">
        <x:is>
          <x:t xml:space="preserve">Accessibility</x:t>
        </x:is>
      </x:c>
      <x:c r="C15" s="125" t="inlineStr">
        <x:is>
          <x:t xml:space="preserve">Popover</x:t>
        </x:is>
      </x:c>
      <x:c r="D15" s="125" t="inlineStr">
        <x:is>
          <x:t xml:space="preserve">Automated semantics and accessibility checks pass in the browser evidence suite.</x:t>
        </x:is>
      </x:c>
      <x:c r="E15" s="125" t="inlineStr">
        <x:is>
          <x:t xml:space="preserve">package</x:t>
        </x:is>
      </x:c>
      <x:c r="F15" s="125" t="inlineStr">
        <x:is>
          <x:t xml:space="preserve">axe</x:t>
        </x:is>
      </x:c>
      <x:c r="G15" s="125" t="inlineStr">
        <x:is>
          <x:t xml:space="preserve">tests/components/popover/behavior.spec.ts; tests/integration</x:t>
        </x:is>
      </x:c>
      <x:c r="H15" s="125" t="inlineStr">
        <x:is>
          <x:t xml:space="preserve">tested</x:t>
        </x:is>
      </x:c>
      <x:c r="I15" s="125" t="inlineStr">
        <x:is>
          <x:t xml:space="preserve">no</x:t>
        </x:is>
      </x:c>
      <x:c r="J15" s="141" t="n">
        <x:v>46277</x:v>
      </x:c>
      <x:c r="L15" s="125" t="n">
        <x:v>1</x:v>
      </x:c>
      <x:c r="M15" s="125" t="n">
        <x:f>IF(H15="not applicable",IF(K15&lt;&gt;"",1,0),IF(I15="yes",IF(H15="verified",1,0),IF(OR(H15="tested",H15="verified"),1,0)))</x:f>
        <x:v>1</x:v>
      </x:c>
    </x:row>
    <x:row r="16" s="127" customFormat="1" ht="42" customHeight="1">
      <x:c r="A16" s="125" t="inlineStr">
        <x:is>
          <x:t xml:space="preserve">P-08</x:t>
        </x:is>
      </x:c>
      <x:c r="B16" s="125" t="inlineStr">
        <x:is>
          <x:t xml:space="preserve">Visual</x:t>
        </x:is>
      </x:c>
      <x:c r="C16" s="125" t="inlineStr">
        <x:is>
          <x:t xml:space="preserve">Popover</x:t>
        </x:is>
      </x:c>
      <x:c r="D16" s="125" t="inlineStr">
        <x:is>
          <x:t xml:space="preserve">Reviewed baselines cover the component's risk-selected recipes and states.</x:t>
        </x:is>
      </x:c>
      <x:c r="E16" s="125" t="inlineStr">
        <x:is>
          <x:t xml:space="preserve">package</x:t>
        </x:is>
      </x:c>
      <x:c r="F16" s="125" t="inlineStr">
        <x:is>
          <x:t xml:space="preserve">visual</x:t>
        </x:is>
      </x:c>
      <x:c r="G16" s="125" t="inlineStr">
        <x:is>
          <x:t xml:space="preserve">tests/components/popover/visual.spec.ts</x:t>
        </x:is>
      </x:c>
      <x:c r="H16" s="125" t="inlineStr">
        <x:is>
          <x:t xml:space="preserve">partial</x:t>
        </x:is>
      </x:c>
      <x:c r="I16" s="125" t="inlineStr">
        <x:is>
          <x:t xml:space="preserve">yes</x:t>
        </x:is>
      </x:c>
      <x:c r="J16" s="141" t="n"/>
      <x:c r="K16" s="142" t="inlineStr">
        <x:is>
          <x:t xml:space="preserve">Updated browser screenshots reviewed by the implementation agent; owner reinspection pending.</x:t>
        </x:is>
      </x:c>
      <x:c r="L16" s="125" t="n">
        <x:v>1</x:v>
      </x:c>
      <x:c r="M16" s="125" t="n">
        <x:f>IF(H16="not applicable",IF(K16&lt;&gt;"",1,0),IF(I16="yes",IF(H16="verified",1,0),IF(OR(H16="tested",H16="verified"),1,0)))</x:f>
        <x:v>0</x:v>
      </x:c>
    </x:row>
    <x:row r="17" s="127" customFormat="1" ht="42" customHeight="1">
      <x:c r="A17" s="125" t="inlineStr">
        <x:is>
          <x:t xml:space="preserve">P-09</x:t>
        </x:is>
      </x:c>
      <x:c r="B17" s="125" t="inlineStr">
        <x:is>
          <x:t xml:space="preserve">Responsive</x:t>
        </x:is>
      </x:c>
      <x:c r="C17" s="125" t="inlineStr">
        <x:is>
          <x:t xml:space="preserve">Popover</x:t>
        </x:is>
      </x:c>
      <x:c r="D17" s="125" t="inlineStr">
        <x:is>
          <x:t xml:space="preserve">Mobile, zoom/reflow, content stress, and RTL remain usable and contained.</x:t>
        </x:is>
      </x:c>
      <x:c r="E17" s="125" t="inlineStr">
        <x:is>
          <x:t xml:space="preserve">package</x:t>
        </x:is>
      </x:c>
      <x:c r="F17" s="125" t="inlineStr">
        <x:is>
          <x:t xml:space="preserve">manual</x:t>
        </x:is>
      </x:c>
      <x:c r="G17" s="125" t="inlineStr">
        <x:is>
          <x:t xml:space="preserve">manual-tests/popover.md</x:t>
        </x:is>
      </x:c>
      <x:c r="H17" s="125" t="inlineStr">
        <x:is>
          <x:t xml:space="preserve">implemented</x:t>
        </x:is>
      </x:c>
      <x:c r="I17" s="125" t="inlineStr">
        <x:is>
          <x:t xml:space="preserve">yes</x:t>
        </x:is>
      </x:c>
      <x:c r="J17" s="141" t="n"/>
      <x:c r="K17" s="125" t="inlineStr">
        <x:is>
          <x:t xml:space="preserve">Human protocol remains pending. Automated and visual evidence stays in its owning tests and does not complete this human gate.</x:t>
        </x:is>
      </x:c>
      <x:c r="L17" s="125" t="n">
        <x:v>1</x:v>
      </x:c>
      <x:c r="M17" s="125" t="n">
        <x:f>IF(H17="not applicable",IF(K17&lt;&gt;"",1,0),IF(I17="yes",IF(H17="verified",1,0),IF(OR(H17="tested",H17="verified"),1,0)))</x:f>
        <x:v>0</x:v>
      </x:c>
    </x:row>
    <x:row r="18" s="127" customFormat="1" ht="42" customHeight="1">
      <x:c r="A18" s="125" t="inlineStr">
        <x:is>
          <x:t xml:space="preserve">P-10</x:t>
        </x:is>
      </x:c>
      <x:c r="B18" s="125" t="inlineStr">
        <x:is>
          <x:t xml:space="preserve">Theme</x:t>
        </x:is>
      </x:c>
      <x:c r="C18" s="125" t="inlineStr">
        <x:is>
          <x:t xml:space="preserve">Popover</x:t>
        </x:is>
      </x:c>
      <x:c r="D18" s="125" t="inlineStr">
        <x:is>
          <x:t xml:space="preserve">Light, dark, focus, forced-colors, and relevant motion behavior remain perceivable.</x:t>
        </x:is>
      </x:c>
      <x:c r="E18" s="125" t="inlineStr">
        <x:is>
          <x:t xml:space="preserve">package</x:t>
        </x:is>
      </x:c>
      <x:c r="F18" s="125" t="inlineStr">
        <x:is>
          <x:t xml:space="preserve">manual</x:t>
        </x:is>
      </x:c>
      <x:c r="G18" s="125" t="inlineStr">
        <x:is>
          <x:t xml:space="preserve">manual-tests/popover.md</x:t>
        </x:is>
      </x:c>
      <x:c r="H18" s="125" t="inlineStr">
        <x:is>
          <x:t xml:space="preserve">implemented</x:t>
        </x:is>
      </x:c>
      <x:c r="I18" s="125" t="inlineStr">
        <x:is>
          <x:t xml:space="preserve">yes</x:t>
        </x:is>
      </x:c>
      <x:c r="J18" s="141" t="n"/>
      <x:c r="K18" s="125" t="inlineStr">
        <x:is>
          <x:t xml:space="preserve">Human protocol remains pending. Automated and visual evidence stays in its owning tests and does not complete this human gate.</x:t>
        </x:is>
      </x:c>
      <x:c r="L18" s="125" t="n">
        <x:v>1</x:v>
      </x:c>
      <x:c r="M18" s="125" t="n">
        <x:f>IF(H18="not applicable",IF(K18&lt;&gt;"",1,0),IF(I18="yes",IF(H18="verified",1,0),IF(OR(H18="tested",H18="verified"),1,0)))</x:f>
        <x:v>0</x:v>
      </x:c>
    </x:row>
    <x:row r="19" s="127" customFormat="1" ht="42" customHeight="1">
      <x:c r="A19" s="125" t="inlineStr">
        <x:is>
          <x:t xml:space="preserve">P-11</x:t>
        </x:is>
      </x:c>
      <x:c r="B19" s="125" t="inlineStr">
        <x:is>
          <x:t xml:space="preserve">Composition</x:t>
        </x:is>
      </x:c>
      <x:c r="C19" s="125" t="inlineStr">
        <x:is>
          <x:t xml:space="preserve">Popover</x:t>
        </x:is>
      </x:c>
      <x:c r="D19" s="125" t="inlineStr">
        <x:is>
          <x:t xml:space="preserve">Default, render, and asChild output preserve the intended element, slots, state, and relationships.</x:t>
        </x:is>
      </x:c>
      <x:c r="E19" s="125" t="inlineStr">
        <x:is>
          <x:t xml:space="preserve">package</x:t>
        </x:is>
      </x:c>
      <x:c r="F19" s="125" t="inlineStr">
        <x:is>
          <x:t xml:space="preserve">manual</x:t>
        </x:is>
      </x:c>
      <x:c r="G19" s="125" t="inlineStr">
        <x:is>
          <x:t xml:space="preserve">manual-tests/popover.md; tests/components/popover/behavior.spec.ts</x:t>
        </x:is>
      </x:c>
      <x:c r="H19" s="125" t="inlineStr">
        <x:is>
          <x:t xml:space="preserve">implemented</x:t>
        </x:is>
      </x:c>
      <x:c r="I19" s="125" t="inlineStr">
        <x:is>
          <x:t xml:space="preserve">yes</x:t>
        </x:is>
      </x:c>
      <x:c r="J19" s="141" t="n"/>
      <x:c r="K19" s="125" t="inlineStr">
        <x:is>
          <x:t xml:space="preserve">Human protocol remains pending. Automated and visual evidence stays in its owning tests and does not complete this human gate.</x:t>
        </x:is>
      </x:c>
      <x:c r="L19" s="125" t="n">
        <x:v>1</x:v>
      </x:c>
      <x:c r="M19" s="125" t="n">
        <x:f>IF(H19="not applicable",IF(K19&lt;&gt;"",1,0),IF(I19="yes",IF(H19="verified",1,0),IF(OR(H19="tested",H19="verified"),1,0)))</x:f>
        <x:v>0</x:v>
      </x:c>
    </x:row>
    <x:row r="20" s="127" customFormat="1" ht="42" customHeight="1">
      <x:c r="A20" s="125" t="inlineStr">
        <x:is>
          <x:t xml:space="preserve">P-12</x:t>
        </x:is>
      </x:c>
      <x:c r="B20" s="125" t="inlineStr">
        <x:is>
          <x:t xml:space="preserve">Manual</x:t>
        </x:is>
      </x:c>
      <x:c r="C20" s="125" t="inlineStr">
        <x:is>
          <x:t xml:space="preserve">Popover</x:t>
        </x:is>
      </x:c>
      <x:c r="D20" s="125" t="inlineStr">
        <x:is>
          <x:t xml:space="preserve">The complete component-owned manual protocol passed against every playground scenario.</x:t>
        </x:is>
      </x:c>
      <x:c r="E20" s="125" t="inlineStr">
        <x:is>
          <x:t xml:space="preserve">package</x:t>
        </x:is>
      </x:c>
      <x:c r="F20" s="125" t="inlineStr">
        <x:is>
          <x:t xml:space="preserve">manual</x:t>
        </x:is>
      </x:c>
      <x:c r="G20" s="125" t="inlineStr">
        <x:is>
          <x:t xml:space="preserve">manual-tests/popover.md</x:t>
        </x:is>
      </x:c>
      <x:c r="H20" s="125" t="inlineStr">
        <x:is>
          <x:t xml:space="preserve">implemented</x:t>
        </x:is>
      </x:c>
      <x:c r="I20" s="125" t="inlineStr">
        <x:is>
          <x:t xml:space="preserve">yes</x:t>
        </x:is>
      </x:c>
      <x:c r="J20" s="141" t="n"/>
      <x:c r="K20" s="125" t="inlineStr">
        <x:is>
          <x:t xml:space="preserve">Human protocol remains pending. Automated and visual evidence stays in its owning tests and does not complete this human gate.</x:t>
        </x:is>
      </x:c>
      <x:c r="L20" s="125" t="n">
        <x:v>1</x:v>
      </x:c>
      <x:c r="M20" s="125" t="n">
        <x:f>IF(H20="not applicable",IF(K20&lt;&gt;"",1,0),IF(I20="yes",IF(H20="verified",1,0),IF(OR(H20="tested",H20="verified"),1,0)))</x:f>
        <x:v>0</x:v>
      </x:c>
    </x:row>
    <x:row r="21" s="127" customFormat="1" ht="42" customHeight="1">
      <x:c r="A21" s="125" t="inlineStr">
        <x:is>
          <x:t xml:space="preserve">P-13</x:t>
        </x:is>
      </x:c>
      <x:c r="B21" s="125" t="inlineStr">
        <x:is>
          <x:t xml:space="preserve">Docs</x:t>
        </x:is>
      </x:c>
      <x:c r="C21" s="125" t="inlineStr">
        <x:is>
          <x:t xml:space="preserve">Popover</x:t>
        </x:is>
      </x:c>
      <x:c r="D21" s="125" t="inlineStr">
        <x:is>
          <x:t xml:space="preserve">Public usage documentation exists at the component-owned path.</x:t>
        </x:is>
      </x:c>
      <x:c r="E21" s="125" t="inlineStr">
        <x:is>
          <x:t xml:space="preserve">package</x:t>
        </x:is>
      </x:c>
      <x:c r="F21" s="125" t="inlineStr">
        <x:is>
          <x:t xml:space="preserve">docs</x:t>
        </x:is>
      </x:c>
      <x:c r="G21" s="125" t="inlineStr">
        <x:is>
          <x:t xml:space="preserve">../docs/components/popover/README.md</x:t>
        </x:is>
      </x:c>
      <x:c r="H21" s="125" t="inlineStr">
        <x:is>
          <x:t xml:space="preserve">tested</x:t>
        </x:is>
      </x:c>
      <x:c r="I21" s="125" t="inlineStr">
        <x:is>
          <x:t xml:space="preserve">no</x:t>
        </x:is>
      </x:c>
      <x:c r="J21" s="141" t="n">
        <x:v>46277</x:v>
      </x:c>
      <x:c r="L21" s="125" t="n">
        <x:v>1</x:v>
      </x:c>
      <x:c r="M21" s="125" t="n">
        <x:f>IF(H21="not applicable",IF(K21&lt;&gt;"",1,0),IF(I21="yes",IF(H21="verified",1,0),IF(OR(H21="tested",H21="verified"),1,0)))</x:f>
        <x:v>1</x:v>
      </x:c>
    </x:row>
    <x:row r="22" s="127" customFormat="1" ht="42" customHeight="1">
      <x:c r="A22" s="125" t="inlineStr">
        <x:is>
          <x:t xml:space="preserve">P-14</x:t>
        </x:is>
      </x:c>
      <x:c r="B22" s="125" t="inlineStr">
        <x:is>
          <x:t xml:space="preserve">Changelog</x:t>
        </x:is>
      </x:c>
      <x:c r="C22" s="125" t="inlineStr">
        <x:is>
          <x:t xml:space="preserve">Popover</x:t>
        </x:is>
      </x:c>
      <x:c r="D22" s="125" t="inlineStr">
        <x:is>
          <x:t xml:space="preserve">The component owns a public changelog.</x:t>
        </x:is>
      </x:c>
      <x:c r="E22" s="125" t="inlineStr">
        <x:is>
          <x:t xml:space="preserve">package</x:t>
        </x:is>
      </x:c>
      <x:c r="F22" s="125" t="inlineStr">
        <x:is>
          <x:t xml:space="preserve">docs</x:t>
        </x:is>
      </x:c>
      <x:c r="G22" s="125" t="inlineStr">
        <x:is>
          <x:t xml:space="preserve">../docs/components/popover/CHANGELOG.md</x:t>
        </x:is>
      </x:c>
      <x:c r="H22" s="125" t="inlineStr">
        <x:is>
          <x:t xml:space="preserve">tested</x:t>
        </x:is>
      </x:c>
      <x:c r="I22" s="125" t="inlineStr">
        <x:is>
          <x:t xml:space="preserve">no</x:t>
        </x:is>
      </x:c>
      <x:c r="J22" s="141" t="n">
        <x:v>46277</x:v>
      </x:c>
      <x:c r="L22" s="125" t="n">
        <x:v>1</x:v>
      </x:c>
      <x:c r="M22" s="125" t="n">
        <x:f>IF(H22="not applicable",IF(K22&lt;&gt;"",1,0),IF(I22="yes",IF(H22="verified",1,0),IF(OR(H22="tested",H22="verified"),1,0)))</x:f>
        <x:v>1</x:v>
      </x:c>
    </x:row>
    <x:row r="23" s="127" customFormat="1" ht="42" customHeight="1">
      <x:c r="A23" s="125" t="inlineStr">
        <x:is>
          <x:t xml:space="preserve">P-15</x:t>
        </x:is>
      </x:c>
      <x:c r="B23" s="125" t="inlineStr">
        <x:is>
          <x:t xml:space="preserve">Consumer</x:t>
        </x:is>
      </x:c>
      <x:c r="C23" s="125" t="inlineStr">
        <x:is>
          <x:t xml:space="preserve">Popover</x:t>
        </x:is>
      </x:c>
      <x:c r="D23" s="125" t="inlineStr">
        <x:is>
          <x:t xml:space="preserve">The standalone consumer imports and exercises the public package component.</x:t>
        </x:is>
      </x:c>
      <x:c r="E23" s="125" t="inlineStr">
        <x:is>
          <x:t xml:space="preserve">consumer</x:t>
        </x:is>
      </x:c>
      <x:c r="F23" s="125" t="inlineStr">
        <x:is>
          <x:t xml:space="preserve">consumer</x:t>
        </x:is>
      </x:c>
      <x:c r="G23" s="125" t="inlineStr">
        <x:is>
          <x:t xml:space="preserve">../apps/consumer/src/App.tsx; ../apps/consumer/tests/consumer.spec.ts</x:t>
        </x:is>
      </x:c>
      <x:c r="H23" s="125" t="inlineStr">
        <x:is>
          <x:t xml:space="preserve">tested</x:t>
        </x:is>
      </x:c>
      <x:c r="I23" s="125" t="inlineStr">
        <x:is>
          <x:t xml:space="preserve">no</x:t>
        </x:is>
      </x:c>
      <x:c r="J23" s="141" t="n">
        <x:v>46277</x:v>
      </x:c>
      <x:c r="K23" s="143" t="inlineStr">
        <x:is>
          <x:t xml:space="preserve">Clean React 18 and 19 checks passed with the locked local Atom candidate. Nothing released.</x:t>
        </x:is>
      </x:c>
      <x:c r="L23" s="125" t="n">
        <x:v>1</x:v>
      </x:c>
      <x:c r="M23" s="125" t="n">
        <x:f>IF(H23="not applicable",IF(K23&lt;&gt;"",1,0),IF(I23="yes",IF(H23="verified",1,0),IF(OR(H23="tested",H23="verified"),1,0)))</x:f>
        <x:v>1</x:v>
      </x:c>
    </x:row>
    <x:row r="24" s="127" customFormat="1" ht="42" customHeight="1">
      <x:c r="A24" s="125" t="inlineStr">
        <x:is>
          <x:t xml:space="preserve">P-16</x:t>
        </x:is>
      </x:c>
      <x:c r="B24" s="125" t="inlineStr">
        <x:is>
          <x:t xml:space="preserve">Package</x:t>
        </x:is>
      </x:c>
      <x:c r="C24" s="125" t="inlineStr">
        <x:is>
          <x:t xml:space="preserve">Popover</x:t>
        </x:is>
      </x:c>
      <x:c r="D24" s="125" t="inlineStr">
        <x:is>
          <x:t xml:space="preserve">Build, exports, tarball, CSS, and consumer boundary verification pass.</x:t>
        </x:is>
      </x:c>
      <x:c r="E24" s="125" t="inlineStr">
        <x:is>
          <x:t xml:space="preserve">package</x:t>
        </x:is>
      </x:c>
      <x:c r="F24" s="125" t="inlineStr">
        <x:is>
          <x:t xml:space="preserve">package</x:t>
        </x:is>
      </x:c>
      <x:c r="G24" s="125" t="inlineStr">
        <x:is>
          <x:t xml:space="preserve">../scripts/verify-package.mjs; ../scripts/verify-consumers.mjs</x:t>
        </x:is>
      </x:c>
      <x:c r="H24" s="125" t="inlineStr">
        <x:is>
          <x:t xml:space="preserve">tested</x:t>
        </x:is>
      </x:c>
      <x:c r="I24" s="125" t="inlineStr">
        <x:is>
          <x:t xml:space="preserve">no</x:t>
        </x:is>
      </x:c>
      <x:c r="J24" s="141" t="n">
        <x:v>46277</x:v>
      </x:c>
      <x:c r="K24" s="143" t="inlineStr">
        <x:is>
          <x:t xml:space="preserve">Clean React 18 and 19 checks passed with the locked local Atom candidate. Nothing released.</x:t>
        </x:is>
      </x:c>
      <x:c r="L24" s="125" t="n">
        <x:v>1</x:v>
      </x:c>
      <x:c r="M24" s="125" t="n">
        <x:f>IF(H24="not applicable",IF(K24&lt;&gt;"",1,0),IF(I24="yes",IF(H24="verified",1,0),IF(OR(H24="tested",H24="verified"),1,0)))</x:f>
        <x:v>1</x:v>
      </x:c>
    </x:row>
  </x:sheetData>
  <x:mergeCells>
    <x:mergeCell ref="A2:M2"/>
    <x:mergeCell ref="A1:M1"/>
  </x:mergeCells>
  <x:conditionalFormatting sqref="H9:H24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1" showDropDown="0" showInputMessage="1" showErrorMessage="1" sqref="H9:H24">
      <x:formula1>"not started,partial,implemented,tested,verified,blocked,not applicable"</x:formula1>
      <x:formula2>0</x:formula2>
    </x:dataValidation>
    <x:dataValidation type="list" errorStyle="stop" operator="between" allowBlank="1" showDropDown="0" showInputMessage="1" showErrorMessage="1" sqref="I9:I24">
      <x:formula1>"yes,no"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2a6b1b9d47d6434d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Toggle Evidence</x:t>
        </x:is>
      </x:c>
    </x:row>
    <x:row r="2" s="127" customFormat="1" ht="27.75" customHeight="1">
      <x:c r="A2" s="129" t="inlineStr">
        <x:is>
          <x:t xml:space="preserve">Assertion-level package, browser, human-review, documentation, and consumer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COUNTA(A9:A200)</x:f>
        <x:v>16</x:v>
      </x:c>
      <x:c r="D4" s="130" t="inlineStr">
        <x:is>
          <x:t xml:space="preserve">Resolved</x:t>
        </x:is>
      </x:c>
      <x:c r="E4" s="131" t="n">
        <x:f>SUM(M9:M200)</x:f>
        <x:v>9</x:v>
      </x:c>
      <x:c r="G4" s="130" t="inlineStr">
        <x:is>
          <x:t xml:space="preserve">Completion</x:t>
        </x:is>
      </x:c>
      <x:c r="H4" s="132" t="n">
        <x:f>IF(B4=0,0,E4/B4)</x:f>
        <x:v>0.5625</x:v>
      </x:c>
      <x:c r="J4" s="130" t="inlineStr">
        <x:is>
          <x:t xml:space="preserve">Package gate</x:t>
        </x:is>
      </x:c>
      <x:c r="K4" s="131" t="str">
        <x:f>IF(COUNTIFS(E9:E200,"package",H9:H200,"not applicable")+COUNTIFS(E9:E200,"package",H9:H200,"verified")+COUNTIFS(E9:E200,"package",H9:H200,"tested",I9:I200,"no")=COUNTIF(E9:E200,"package"),"complete","open")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IF(COUNTIFS(I9:I200,"yes",H9:H200,"verified")+COUNTIFS(I9:I200,"yes",H9:H200,"not applicable")=COUNTIF(I9:I200,"yes"),"complete","open")</x:f>
        <x:v>open</x:v>
      </x:c>
      <x:c r="D5" s="130" t="inlineStr">
        <x:is>
          <x:t xml:space="preserve">Consumer gate</x:t>
        </x:is>
      </x:c>
      <x:c r="E5" s="131" t="str">
        <x:f>IF(COUNTIFS(E9:E200,"consumer",H9:H200,"tested",I9:I200,"no")+COUNTIFS(E9:E200,"consumer",H9:H200,"verified")+COUNTIFS(E9:E200,"consumer",H9:H200,"not applicable")=COUNTIF(E9:E200,"consumer"),"complete","open")</x:f>
        <x:v>open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42" customHeight="1">
      <x:c r="A9" s="125" t="inlineStr">
        <x:is>
          <x:t xml:space="preserve">T-01</x:t>
        </x:is>
      </x:c>
      <x:c r="B9" s="125" t="inlineStr">
        <x:is>
          <x:t xml:space="preserve">Implementation</x:t>
        </x:is>
      </x:c>
      <x:c r="C9" s="125" t="inlineStr">
        <x:is>
          <x:t xml:space="preserve">Toggle</x:t>
        </x:is>
      </x:c>
      <x:c r="D9" s="125" t="inlineStr">
        <x:is>
          <x:t xml:space="preserve">Public component implementation and Atom adapter exist.</x:t>
        </x:is>
      </x:c>
      <x:c r="E9" s="125" t="inlineStr">
        <x:is>
          <x:t xml:space="preserve">package</x:t>
        </x:is>
      </x:c>
      <x:c r="F9" s="125" t="inlineStr">
        <x:is>
          <x:t xml:space="preserve">source</x:t>
        </x:is>
      </x:c>
      <x:c r="G9" s="125" t="inlineStr">
        <x:is>
          <x:t xml:space="preserve">../src/components/toggle</x:t>
        </x:is>
      </x:c>
      <x:c r="H9" s="125" t="inlineStr">
        <x:is>
          <x:t xml:space="preserve">tested</x:t>
        </x:is>
      </x:c>
      <x:c r="I9" s="125" t="inlineStr">
        <x:is>
          <x:t xml:space="preserve">no</x:t>
        </x:is>
      </x:c>
      <x:c r="J9" s="141" t="n">
        <x:v>46273</x:v>
      </x:c>
      <x:c r="L9" s="125" t="n">
        <x:v>1</x:v>
      </x:c>
      <x:c r="M9" s="125" t="n">
        <x:f>IF(H9="not applicable",IF(K9&lt;&gt;"",1,0),IF(I9="yes",IF(H9="verified",1,0),IF(OR(H9="tested",H9="verified"),1,0)))</x:f>
        <x:v>1</x:v>
      </x:c>
    </x:row>
    <x:row r="10" s="127" customFormat="1" ht="42" customHeight="1">
      <x:c r="A10" s="125" t="inlineStr">
        <x:is>
          <x:t xml:space="preserve">T-02</x:t>
        </x:is>
      </x:c>
      <x:c r="B10" s="125" t="inlineStr">
        <x:is>
          <x:t xml:space="preserve">Exports</x:t>
        </x:is>
      </x:c>
      <x:c r="C10" s="125" t="inlineStr">
        <x:is>
          <x:t xml:space="preserve">Toggle</x:t>
        </x:is>
      </x:c>
      <x:c r="D10" s="125" t="inlineStr">
        <x:is>
          <x:t xml:space="preserve">Root and public subpath exports expose the component.</x:t>
        </x:is>
      </x:c>
      <x:c r="E10" s="125" t="inlineStr">
        <x:is>
          <x:t xml:space="preserve">package</x:t>
        </x:is>
      </x:c>
      <x:c r="F10" s="125" t="inlineStr">
        <x:is>
          <x:t xml:space="preserve">package</x:t>
        </x:is>
      </x:c>
      <x:c r="G10" s="125" t="inlineStr">
        <x:is>
          <x:t xml:space="preserve">../test/package/package.test.mjs</x:t>
        </x:is>
      </x:c>
      <x:c r="H10" s="125" t="inlineStr">
        <x:is>
          <x:t xml:space="preserve">tested</x:t>
        </x:is>
      </x:c>
      <x:c r="I10" s="125" t="inlineStr">
        <x:is>
          <x:t xml:space="preserve">no</x:t>
        </x:is>
      </x:c>
      <x:c r="J10" s="141" t="n">
        <x:v>46227</x:v>
      </x:c>
      <x:c r="L10" s="125" t="n">
        <x:v>1</x:v>
      </x:c>
      <x:c r="M10" s="125" t="n">
        <x:f>IF(H10="not applicable",IF(K10&lt;&gt;"",1,0),IF(I10="yes",IF(H10="verified",1,0),IF(OR(H10="tested",H10="verified"),1,0)))</x:f>
        <x:v>1</x:v>
      </x:c>
    </x:row>
    <x:row r="11" s="127" customFormat="1" ht="42" customHeight="1">
      <x:c r="A11" s="125" t="inlineStr">
        <x:is>
          <x:t xml:space="preserve">T-03</x:t>
        </x:is>
      </x:c>
      <x:c r="B11" s="125" t="inlineStr">
        <x:is>
          <x:t xml:space="preserve">Types</x:t>
        </x:is>
      </x:c>
      <x:c r="C11" s="125" t="inlineStr">
        <x:is>
          <x:t xml:space="preserve">Toggle</x:t>
        </x:is>
      </x:c>
      <x:c r="D11" s="125" t="inlineStr">
        <x:is>
          <x:t xml:space="preserve">Public props, refs, composition branches, and invalid cases type-check.</x:t>
        </x:is>
      </x:c>
      <x:c r="E11" s="125" t="inlineStr">
        <x:is>
          <x:t xml:space="preserve">package</x:t>
        </x:is>
      </x:c>
      <x:c r="F11" s="125" t="inlineStr">
        <x:is>
          <x:t xml:space="preserve">types</x:t>
        </x:is>
      </x:c>
      <x:c r="G11" s="125" t="inlineStr">
        <x:is>
          <x:t xml:space="preserve">../test/types/components/toggle.test.ts</x:t>
        </x:is>
      </x:c>
      <x:c r="H11" s="125" t="inlineStr">
        <x:is>
          <x:t xml:space="preserve">tested</x:t>
        </x:is>
      </x:c>
      <x:c r="I11" s="125" t="inlineStr">
        <x:is>
          <x:t xml:space="preserve">no</x:t>
        </x:is>
      </x:c>
      <x:c r="J11" s="141" t="n">
        <x:v>46273</x:v>
      </x:c>
      <x:c r="L11" s="125" t="n">
        <x:v>1</x:v>
      </x:c>
      <x:c r="M11" s="125" t="n">
        <x:f>IF(H11="not applicable",IF(K11&lt;&gt;"",1,0),IF(I11="yes",IF(H11="verified",1,0),IF(OR(H11="tested",H11="verified"),1,0)))</x:f>
        <x:v>1</x:v>
      </x:c>
    </x:row>
    <x:row r="12" s="127" customFormat="1" ht="42" customHeight="1">
      <x:c r="A12" s="125" t="inlineStr">
        <x:is>
          <x:t xml:space="preserve">T-04</x:t>
        </x:is>
      </x:c>
      <x:c r="B12" s="125" t="inlineStr">
        <x:is>
          <x:t xml:space="preserve">CSS</x:t>
        </x:is>
      </x:c>
      <x:c r="C12" s="125" t="inlineStr">
        <x:is>
          <x:t xml:space="preserve">Toggle</x:t>
        </x:is>
      </x:c>
      <x:c r="D12" s="125" t="inlineStr">
        <x:is>
          <x:t xml:space="preserve">Neutral ghost defaults, flat soft selection and shared state precedence.</x:t>
        </x:is>
      </x:c>
      <x:c r="E12" s="125" t="inlineStr">
        <x:is>
          <x:t xml:space="preserve">package</x:t>
        </x:is>
      </x:c>
      <x:c r="F12" s="125" t="inlineStr">
        <x:is>
          <x:t xml:space="preserve">css</x:t>
        </x:is>
      </x:c>
      <x:c r="G12" s="125" t="inlineStr">
        <x:is>
          <x:t xml:space="preserve">../src/components/toggle/toggle.css</x:t>
        </x:is>
      </x:c>
      <x:c r="H12" s="125" t="inlineStr">
        <x:is>
          <x:t xml:space="preserve">tested</x:t>
        </x:is>
      </x:c>
      <x:c r="I12" s="125" t="inlineStr">
        <x:is>
          <x:t xml:space="preserve">no</x:t>
        </x:is>
      </x:c>
      <x:c r="J12" s="141" t="n">
        <x:v>46273</x:v>
      </x:c>
      <x:c r="L12" s="125" t="n">
        <x:v>1</x:v>
      </x:c>
      <x:c r="M12" s="125" t="n">
        <x:f>IF(H12="not applicable",IF(K12&lt;&gt;"",1,0),IF(I12="yes",IF(H12="verified",1,0),IF(OR(H12="tested",H12="verified"),1,0)))</x:f>
        <x:v>1</x:v>
      </x:c>
    </x:row>
    <x:row r="13" s="127" customFormat="1" ht="42" customHeight="1">
      <x:c r="A13" s="125" t="inlineStr">
        <x:is>
          <x:t xml:space="preserve">T-05</x:t>
        </x:is>
      </x:c>
      <x:c r="B13" s="125" t="inlineStr">
        <x:is>
          <x:t xml:space="preserve">Unit</x:t>
        </x:is>
      </x:c>
      <x:c r="C13" s="125" t="inlineStr">
        <x:is>
          <x:t xml:space="preserve">Toggle</x:t>
        </x:is>
      </x:c>
      <x:c r="D13" s="125" t="inlineStr">
        <x:is>
          <x:t xml:space="preserve">Atom state and Brick action props pass.</x:t>
        </x:is>
      </x:c>
      <x:c r="E13" s="125" t="inlineStr">
        <x:is>
          <x:t xml:space="preserve">package</x:t>
        </x:is>
      </x:c>
      <x:c r="F13" s="125" t="inlineStr">
        <x:is>
          <x:t xml:space="preserve">component</x:t>
        </x:is>
      </x:c>
      <x:c r="G13" s="125" t="inlineStr">
        <x:is>
          <x:t xml:space="preserve">../test/components/toggle/toggle.test.tsx</x:t>
        </x:is>
      </x:c>
      <x:c r="H13" s="125" t="inlineStr">
        <x:is>
          <x:t xml:space="preserve">tested</x:t>
        </x:is>
      </x:c>
      <x:c r="I13" s="125" t="inlineStr">
        <x:is>
          <x:t xml:space="preserve">no</x:t>
        </x:is>
      </x:c>
      <x:c r="J13" s="141" t="n">
        <x:v>46273</x:v>
      </x:c>
      <x:c r="L13" s="125" t="n">
        <x:v>1</x:v>
      </x:c>
      <x:c r="M13" s="125" t="n">
        <x:f>IF(H13="not applicable",IF(K13&lt;&gt;"",1,0),IF(I13="yes",IF(H13="verified",1,0),IF(OR(H13="tested",H13="verified"),1,0)))</x:f>
        <x:v>1</x:v>
      </x:c>
    </x:row>
    <x:row r="14" s="127" customFormat="1" ht="42" customHeight="1">
      <x:c r="A14" s="125" t="inlineStr">
        <x:is>
          <x:t xml:space="preserve">T-06</x:t>
        </x:is>
      </x:c>
      <x:c r="B14" s="125" t="inlineStr">
        <x:is>
          <x:t xml:space="preserve">Browser</x:t>
        </x:is>
      </x:c>
      <x:c r="C14" s="125" t="inlineStr">
        <x:is>
          <x:t xml:space="preserve">Toggle</x:t>
        </x:is>
      </x:c>
      <x:c r="D14" s="125" t="inlineStr">
        <x:is>
          <x:t xml:space="preserve">Seven-size geometry and keyboard checks pass.</x:t>
        </x:is>
      </x:c>
      <x:c r="E14" s="125" t="inlineStr">
        <x:is>
          <x:t xml:space="preserve">package</x:t>
        </x:is>
      </x:c>
      <x:c r="F14" s="125" t="inlineStr">
        <x:is>
          <x:t xml:space="preserve">browser</x:t>
        </x:is>
      </x:c>
      <x:c r="G14" s="125" t="inlineStr">
        <x:is>
          <x:t xml:space="preserve">tests/components/toggle/action-alignment.spec.ts</x:t>
        </x:is>
      </x:c>
      <x:c r="H14" s="125" t="inlineStr">
        <x:is>
          <x:t xml:space="preserve">tested</x:t>
        </x:is>
      </x:c>
      <x:c r="I14" s="125" t="inlineStr">
        <x:is>
          <x:t xml:space="preserve">no</x:t>
        </x:is>
      </x:c>
      <x:c r="J14" s="141" t="n">
        <x:v>46273</x:v>
      </x:c>
      <x:c r="L14" s="125" t="n">
        <x:v>1</x:v>
      </x:c>
      <x:c r="M14" s="125" t="n">
        <x:f>IF(H14="not applicable",IF(K14&lt;&gt;"",1,0),IF(I14="yes",IF(H14="verified",1,0),IF(OR(H14="tested",H14="verified"),1,0)))</x:f>
        <x:v>1</x:v>
      </x:c>
    </x:row>
    <x:row r="15" s="127" customFormat="1" ht="42" customHeight="1">
      <x:c r="A15" s="125" t="inlineStr">
        <x:is>
          <x:t xml:space="preserve">T-07</x:t>
        </x:is>
      </x:c>
      <x:c r="B15" s="125" t="inlineStr">
        <x:is>
          <x:t xml:space="preserve">Accessibility</x:t>
        </x:is>
      </x:c>
      <x:c r="C15" s="125" t="inlineStr">
        <x:is>
          <x:t xml:space="preserve">Toggle</x:t>
        </x:is>
      </x:c>
      <x:c r="D15" s="125" t="inlineStr">
        <x:is>
          <x:t xml:space="preserve">Automated semantics and accessibility checks pass in the browser evidence suite.</x:t>
        </x:is>
      </x:c>
      <x:c r="E15" s="125" t="inlineStr">
        <x:is>
          <x:t xml:space="preserve">package</x:t>
        </x:is>
      </x:c>
      <x:c r="F15" s="125" t="inlineStr">
        <x:is>
          <x:t xml:space="preserve">axe</x:t>
        </x:is>
      </x:c>
      <x:c r="G15" s="125" t="inlineStr">
        <x:is>
          <x:t xml:space="preserve">tests/components/toggle/behavior.spec.ts; tests/integration</x:t>
        </x:is>
      </x:c>
      <x:c r="H15" s="125" t="inlineStr">
        <x:is>
          <x:t xml:space="preserve">tested</x:t>
        </x:is>
      </x:c>
      <x:c r="I15" s="125" t="inlineStr">
        <x:is>
          <x:t xml:space="preserve">no</x:t>
        </x:is>
      </x:c>
      <x:c r="J15" s="141" t="n">
        <x:v>46273</x:v>
      </x:c>
      <x:c r="L15" s="125" t="n">
        <x:v>1</x:v>
      </x:c>
      <x:c r="M15" s="125" t="n">
        <x:f>IF(H15="not applicable",IF(K15&lt;&gt;"",1,0),IF(I15="yes",IF(H15="verified",1,0),IF(OR(H15="tested",H15="verified"),1,0)))</x:f>
        <x:v>1</x:v>
      </x:c>
    </x:row>
    <x:row r="16" s="127" customFormat="1" ht="42" customHeight="1">
      <x:c r="A16" s="125" t="inlineStr">
        <x:is>
          <x:t xml:space="preserve">T-08</x:t>
        </x:is>
      </x:c>
      <x:c r="B16" s="125" t="inlineStr">
        <x:is>
          <x:t xml:space="preserve">Visual</x:t>
        </x:is>
      </x:c>
      <x:c r="C16" s="125" t="inlineStr">
        <x:is>
          <x:t xml:space="preserve">Toggle</x:t>
        </x:is>
      </x:c>
      <x:c r="D16" s="125" t="inlineStr">
        <x:is>
          <x:t xml:space="preserve">Reviewed baselines cover the component's risk-selected recipes and states.</x:t>
        </x:is>
      </x:c>
      <x:c r="E16" s="125" t="inlineStr">
        <x:is>
          <x:t xml:space="preserve">package</x:t>
        </x:is>
      </x:c>
      <x:c r="F16" s="125" t="inlineStr">
        <x:is>
          <x:t xml:space="preserve">visual</x:t>
        </x:is>
      </x:c>
      <x:c r="G16" s="125" t="inlineStr">
        <x:is>
          <x:t xml:space="preserve">tests/components/toggle/visual.spec.ts</x:t>
        </x:is>
      </x:c>
      <x:c r="H16" s="125" t="inlineStr">
        <x:is>
          <x:t xml:space="preserve">partial</x:t>
        </x:is>
      </x:c>
      <x:c r="I16" s="125" t="inlineStr">
        <x:is>
          <x:t xml:space="preserve">yes</x:t>
        </x:is>
      </x:c>
      <x:c r="J16" s="141" t="n">
        <x:v>46273</x:v>
      </x:c>
      <x:c r="K16" s="142" t="inlineStr">
        <x:is>
          <x:t xml:space="preserve">Revised recipes await owner review.</x:t>
        </x:is>
      </x:c>
      <x:c r="L16" s="125" t="n">
        <x:v>1</x:v>
      </x:c>
      <x:c r="M16" s="125" t="n">
        <x:f>IF(H16="not applicable",IF(K16&lt;&gt;"",1,0),IF(I16="yes",IF(H16="verified",1,0),IF(OR(H16="tested",H16="verified"),1,0)))</x:f>
        <x:v>0</x:v>
      </x:c>
    </x:row>
    <x:row r="17" s="127" customFormat="1" ht="42" customHeight="1">
      <x:c r="A17" s="125" t="inlineStr">
        <x:is>
          <x:t xml:space="preserve">T-09</x:t>
        </x:is>
      </x:c>
      <x:c r="B17" s="125" t="inlineStr">
        <x:is>
          <x:t xml:space="preserve">Responsive</x:t>
        </x:is>
      </x:c>
      <x:c r="C17" s="125" t="inlineStr">
        <x:is>
          <x:t xml:space="preserve">Toggle</x:t>
        </x:is>
      </x:c>
      <x:c r="D17" s="125" t="inlineStr">
        <x:is>
          <x:t xml:space="preserve">Mobile, zoom/reflow, content stress, and RTL remain usable and contained.</x:t>
        </x:is>
      </x:c>
      <x:c r="E17" s="125" t="inlineStr">
        <x:is>
          <x:t xml:space="preserve">package</x:t>
        </x:is>
      </x:c>
      <x:c r="F17" s="125" t="inlineStr">
        <x:is>
          <x:t xml:space="preserve">manual</x:t>
        </x:is>
      </x:c>
      <x:c r="G17" s="125" t="inlineStr">
        <x:is>
          <x:t xml:space="preserve">manual-tests/toggle.md</x:t>
        </x:is>
      </x:c>
      <x:c r="H17" s="125" t="inlineStr">
        <x:is>
          <x:t xml:space="preserve">implemented</x:t>
        </x:is>
      </x:c>
      <x:c r="I17" s="125" t="inlineStr">
        <x:is>
          <x:t xml:space="preserve">yes</x:t>
        </x:is>
      </x:c>
      <x:c r="J17" s="141" t="n"/>
      <x:c r="K17" s="125" t="inlineStr">
        <x:is>
          <x:t xml:space="preserve">Human protocol remains pending. Automated and visual evidence stays in its owning tests and does not complete this human gate.</x:t>
        </x:is>
      </x:c>
      <x:c r="L17" s="125" t="n">
        <x:v>1</x:v>
      </x:c>
      <x:c r="M17" s="125" t="n">
        <x:f>IF(H17="not applicable",IF(K17&lt;&gt;"",1,0),IF(I17="yes",IF(H17="verified",1,0),IF(OR(H17="tested",H17="verified"),1,0)))</x:f>
        <x:v>0</x:v>
      </x:c>
    </x:row>
    <x:row r="18" s="127" customFormat="1" ht="42" customHeight="1">
      <x:c r="A18" s="125" t="inlineStr">
        <x:is>
          <x:t xml:space="preserve">T-10</x:t>
        </x:is>
      </x:c>
      <x:c r="B18" s="125" t="inlineStr">
        <x:is>
          <x:t xml:space="preserve">Theme</x:t>
        </x:is>
      </x:c>
      <x:c r="C18" s="125" t="inlineStr">
        <x:is>
          <x:t xml:space="preserve">Toggle</x:t>
        </x:is>
      </x:c>
      <x:c r="D18" s="125" t="inlineStr">
        <x:is>
          <x:t xml:space="preserve">Light, dark, focus, forced-colors, and relevant motion behavior remain perceivable.</x:t>
        </x:is>
      </x:c>
      <x:c r="E18" s="125" t="inlineStr">
        <x:is>
          <x:t xml:space="preserve">package</x:t>
        </x:is>
      </x:c>
      <x:c r="F18" s="125" t="inlineStr">
        <x:is>
          <x:t xml:space="preserve">manual</x:t>
        </x:is>
      </x:c>
      <x:c r="G18" s="125" t="inlineStr">
        <x:is>
          <x:t xml:space="preserve">manual-tests/toggle.md</x:t>
        </x:is>
      </x:c>
      <x:c r="H18" s="125" t="inlineStr">
        <x:is>
          <x:t xml:space="preserve">implemented</x:t>
        </x:is>
      </x:c>
      <x:c r="I18" s="125" t="inlineStr">
        <x:is>
          <x:t xml:space="preserve">yes</x:t>
        </x:is>
      </x:c>
      <x:c r="J18" s="141" t="n"/>
      <x:c r="K18" s="125" t="inlineStr">
        <x:is>
          <x:t xml:space="preserve">Human protocol remains pending. Automated and visual evidence stays in its owning tests and does not complete this human gate.</x:t>
        </x:is>
      </x:c>
      <x:c r="L18" s="125" t="n">
        <x:v>1</x:v>
      </x:c>
      <x:c r="M18" s="125" t="n">
        <x:f>IF(H18="not applicable",IF(K18&lt;&gt;"",1,0),IF(I18="yes",IF(H18="verified",1,0),IF(OR(H18="tested",H18="verified"),1,0)))</x:f>
        <x:v>0</x:v>
      </x:c>
    </x:row>
    <x:row r="19" s="127" customFormat="1" ht="42" customHeight="1">
      <x:c r="A19" s="125" t="inlineStr">
        <x:is>
          <x:t xml:space="preserve">T-11</x:t>
        </x:is>
      </x:c>
      <x:c r="B19" s="125" t="inlineStr">
        <x:is>
          <x:t xml:space="preserve">Composition</x:t>
        </x:is>
      </x:c>
      <x:c r="C19" s="125" t="inlineStr">
        <x:is>
          <x:t xml:space="preserve">Toggle</x:t>
        </x:is>
      </x:c>
      <x:c r="D19" s="125" t="inlineStr">
        <x:is>
          <x:t xml:space="preserve">Default, render, and asChild output preserve the intended element, slots, state, and relationships.</x:t>
        </x:is>
      </x:c>
      <x:c r="E19" s="125" t="inlineStr">
        <x:is>
          <x:t xml:space="preserve">package</x:t>
        </x:is>
      </x:c>
      <x:c r="F19" s="125" t="inlineStr">
        <x:is>
          <x:t xml:space="preserve">manual</x:t>
        </x:is>
      </x:c>
      <x:c r="G19" s="125" t="inlineStr">
        <x:is>
          <x:t xml:space="preserve">manual-tests/toggle.md; tests/components/toggle/behavior.spec.ts</x:t>
        </x:is>
      </x:c>
      <x:c r="H19" s="125" t="inlineStr">
        <x:is>
          <x:t xml:space="preserve">implemented</x:t>
        </x:is>
      </x:c>
      <x:c r="I19" s="125" t="inlineStr">
        <x:is>
          <x:t xml:space="preserve">yes</x:t>
        </x:is>
      </x:c>
      <x:c r="J19" s="141" t="n"/>
      <x:c r="K19" s="125" t="inlineStr">
        <x:is>
          <x:t xml:space="preserve">Human protocol remains pending. Automated and visual evidence stays in its owning tests and does not complete this human gate.</x:t>
        </x:is>
      </x:c>
      <x:c r="L19" s="125" t="n">
        <x:v>1</x:v>
      </x:c>
      <x:c r="M19" s="125" t="n">
        <x:f>IF(H19="not applicable",IF(K19&lt;&gt;"",1,0),IF(I19="yes",IF(H19="verified",1,0),IF(OR(H19="tested",H19="verified"),1,0)))</x:f>
        <x:v>0</x:v>
      </x:c>
    </x:row>
    <x:row r="20" s="127" customFormat="1" ht="42" customHeight="1">
      <x:c r="A20" s="125" t="inlineStr">
        <x:is>
          <x:t xml:space="preserve">T-12</x:t>
        </x:is>
      </x:c>
      <x:c r="B20" s="125" t="inlineStr">
        <x:is>
          <x:t xml:space="preserve">Manual</x:t>
        </x:is>
      </x:c>
      <x:c r="C20" s="125" t="inlineStr">
        <x:is>
          <x:t xml:space="preserve">Toggle</x:t>
        </x:is>
      </x:c>
      <x:c r="D20" s="125" t="inlineStr">
        <x:is>
          <x:t xml:space="preserve">The complete component-owned manual protocol passed against every playground scenario.</x:t>
        </x:is>
      </x:c>
      <x:c r="E20" s="125" t="inlineStr">
        <x:is>
          <x:t xml:space="preserve">package</x:t>
        </x:is>
      </x:c>
      <x:c r="F20" s="125" t="inlineStr">
        <x:is>
          <x:t xml:space="preserve">manual</x:t>
        </x:is>
      </x:c>
      <x:c r="G20" s="125" t="inlineStr">
        <x:is>
          <x:t xml:space="preserve">manual-tests/toggle.md</x:t>
        </x:is>
      </x:c>
      <x:c r="H20" s="125" t="inlineStr">
        <x:is>
          <x:t xml:space="preserve">implemented</x:t>
        </x:is>
      </x:c>
      <x:c r="I20" s="125" t="inlineStr">
        <x:is>
          <x:t xml:space="preserve">yes</x:t>
        </x:is>
      </x:c>
      <x:c r="J20" s="141" t="n"/>
      <x:c r="K20" s="125" t="inlineStr">
        <x:is>
          <x:t xml:space="preserve">Human protocol remains pending. Automated and visual evidence stays in its owning tests and does not complete this human gate.</x:t>
        </x:is>
      </x:c>
      <x:c r="L20" s="125" t="n">
        <x:v>1</x:v>
      </x:c>
      <x:c r="M20" s="125" t="n">
        <x:f>IF(H20="not applicable",IF(K20&lt;&gt;"",1,0),IF(I20="yes",IF(H20="verified",1,0),IF(OR(H20="tested",H20="verified"),1,0)))</x:f>
        <x:v>0</x:v>
      </x:c>
    </x:row>
    <x:row r="21" s="127" customFormat="1" ht="42" customHeight="1">
      <x:c r="A21" s="125" t="inlineStr">
        <x:is>
          <x:t xml:space="preserve">T-13</x:t>
        </x:is>
      </x:c>
      <x:c r="B21" s="125" t="inlineStr">
        <x:is>
          <x:t xml:space="preserve">Docs</x:t>
        </x:is>
      </x:c>
      <x:c r="C21" s="125" t="inlineStr">
        <x:is>
          <x:t xml:space="preserve">Toggle</x:t>
        </x:is>
      </x:c>
      <x:c r="D21" s="125" t="inlineStr">
        <x:is>
          <x:t xml:space="preserve">Public usage documentation exists at the component-owned path.</x:t>
        </x:is>
      </x:c>
      <x:c r="E21" s="125" t="inlineStr">
        <x:is>
          <x:t xml:space="preserve">package</x:t>
        </x:is>
      </x:c>
      <x:c r="F21" s="125" t="inlineStr">
        <x:is>
          <x:t xml:space="preserve">docs</x:t>
        </x:is>
      </x:c>
      <x:c r="G21" s="125" t="inlineStr">
        <x:is>
          <x:t xml:space="preserve">../docs/components/toggle/README.md</x:t>
        </x:is>
      </x:c>
      <x:c r="H21" s="125" t="inlineStr">
        <x:is>
          <x:t xml:space="preserve">tested</x:t>
        </x:is>
      </x:c>
      <x:c r="I21" s="125" t="inlineStr">
        <x:is>
          <x:t xml:space="preserve">no</x:t>
        </x:is>
      </x:c>
      <x:c r="J21" s="141" t="n">
        <x:v>46273</x:v>
      </x:c>
      <x:c r="L21" s="125" t="n">
        <x:v>1</x:v>
      </x:c>
      <x:c r="M21" s="125" t="n">
        <x:f>IF(H21="not applicable",IF(K21&lt;&gt;"",1,0),IF(I21="yes",IF(H21="verified",1,0),IF(OR(H21="tested",H21="verified"),1,0)))</x:f>
        <x:v>1</x:v>
      </x:c>
    </x:row>
    <x:row r="22" s="127" customFormat="1" ht="42" customHeight="1">
      <x:c r="A22" s="125" t="inlineStr">
        <x:is>
          <x:t xml:space="preserve">T-14</x:t>
        </x:is>
      </x:c>
      <x:c r="B22" s="125" t="inlineStr">
        <x:is>
          <x:t xml:space="preserve">Changelog</x:t>
        </x:is>
      </x:c>
      <x:c r="C22" s="125" t="inlineStr">
        <x:is>
          <x:t xml:space="preserve">Toggle</x:t>
        </x:is>
      </x:c>
      <x:c r="D22" s="125" t="inlineStr">
        <x:is>
          <x:t xml:space="preserve">The component owns a public changelog.</x:t>
        </x:is>
      </x:c>
      <x:c r="E22" s="125" t="inlineStr">
        <x:is>
          <x:t xml:space="preserve">package</x:t>
        </x:is>
      </x:c>
      <x:c r="F22" s="125" t="inlineStr">
        <x:is>
          <x:t xml:space="preserve">docs</x:t>
        </x:is>
      </x:c>
      <x:c r="G22" s="125" t="inlineStr">
        <x:is>
          <x:t xml:space="preserve">../docs/components/toggle/CHANGELOG.md</x:t>
        </x:is>
      </x:c>
      <x:c r="H22" s="125" t="inlineStr">
        <x:is>
          <x:t xml:space="preserve">tested</x:t>
        </x:is>
      </x:c>
      <x:c r="I22" s="125" t="inlineStr">
        <x:is>
          <x:t xml:space="preserve">no</x:t>
        </x:is>
      </x:c>
      <x:c r="J22" s="141" t="n">
        <x:v>46273</x:v>
      </x:c>
      <x:c r="L22" s="125" t="n">
        <x:v>1</x:v>
      </x:c>
      <x:c r="M22" s="125" t="n">
        <x:f>IF(H22="not applicable",IF(K22&lt;&gt;"",1,0),IF(I22="yes",IF(H22="verified",1,0),IF(OR(H22="tested",H22="verified"),1,0)))</x:f>
        <x:v>1</x:v>
      </x:c>
    </x:row>
    <x:row r="23" s="127" customFormat="1" ht="42" customHeight="1">
      <x:c r="A23" s="125" t="inlineStr">
        <x:is>
          <x:t xml:space="preserve">T-15</x:t>
        </x:is>
      </x:c>
      <x:c r="B23" s="125" t="inlineStr">
        <x:is>
          <x:t xml:space="preserve">Consumer</x:t>
        </x:is>
      </x:c>
      <x:c r="C23" s="125" t="inlineStr">
        <x:is>
          <x:t xml:space="preserve">Toggle</x:t>
        </x:is>
      </x:c>
      <x:c r="D23" s="125" t="inlineStr">
        <x:is>
          <x:t xml:space="preserve">The standalone consumer imports and exercises the public package component.</x:t>
        </x:is>
      </x:c>
      <x:c r="E23" s="125" t="inlineStr">
        <x:is>
          <x:t xml:space="preserve">consumer</x:t>
        </x:is>
      </x:c>
      <x:c r="F23" s="125" t="inlineStr">
        <x:is>
          <x:t xml:space="preserve">consumer</x:t>
        </x:is>
      </x:c>
      <x:c r="G23" s="125" t="inlineStr">
        <x:is>
          <x:t xml:space="preserve">../apps/consumer/src/App.tsx; ../apps/consumer/tests/consumer.spec.ts</x:t>
        </x:is>
      </x:c>
      <x:c r="H23" s="125" t="inlineStr">
        <x:is>
          <x:t xml:space="preserve">partial</x:t>
        </x:is>
      </x:c>
      <x:c r="I23" s="125" t="inlineStr">
        <x:is>
          <x:t xml:space="preserve">no</x:t>
        </x:is>
      </x:c>
      <x:c r="J23" s="141" t="n">
        <x:v>46227</x:v>
      </x:c>
      <x:c r="K23" s="143" t="inlineStr">
        <x:is>
          <x:t xml:space="preserve">Existing consumer evidence predates revised defaults.</x:t>
        </x:is>
      </x:c>
      <x:c r="L23" s="125" t="n">
        <x:v>1</x:v>
      </x:c>
      <x:c r="M23" s="125" t="n">
        <x:f>IF(H23="not applicable",IF(K23&lt;&gt;"",1,0),IF(I23="yes",IF(H23="verified",1,0),IF(OR(H23="tested",H23="verified"),1,0)))</x:f>
        <x:v>0</x:v>
      </x:c>
    </x:row>
    <x:row r="24" s="127" customFormat="1" ht="42" customHeight="1">
      <x:c r="A24" s="125" t="inlineStr">
        <x:is>
          <x:t xml:space="preserve">T-16</x:t>
        </x:is>
      </x:c>
      <x:c r="B24" s="125" t="inlineStr">
        <x:is>
          <x:t xml:space="preserve">Package</x:t>
        </x:is>
      </x:c>
      <x:c r="C24" s="125" t="inlineStr">
        <x:is>
          <x:t xml:space="preserve">Toggle</x:t>
        </x:is>
      </x:c>
      <x:c r="D24" s="125" t="inlineStr">
        <x:is>
          <x:t xml:space="preserve">Build, exports, tarball, CSS, and consumer boundary verification pass.</x:t>
        </x:is>
      </x:c>
      <x:c r="E24" s="125" t="inlineStr">
        <x:is>
          <x:t xml:space="preserve">package</x:t>
        </x:is>
      </x:c>
      <x:c r="F24" s="125" t="inlineStr">
        <x:is>
          <x:t xml:space="preserve">package</x:t>
        </x:is>
      </x:c>
      <x:c r="G24" s="125" t="inlineStr">
        <x:is>
          <x:t xml:space="preserve">../scripts/verify-package.mjs; ../scripts/verify-consumers.mjs</x:t>
        </x:is>
      </x:c>
      <x:c r="H24" s="125" t="inlineStr">
        <x:is>
          <x:t xml:space="preserve">partial</x:t>
        </x:is>
      </x:c>
      <x:c r="I24" s="125" t="inlineStr">
        <x:is>
          <x:t xml:space="preserve">no</x:t>
        </x:is>
      </x:c>
      <x:c r="J24" s="141" t="n">
        <x:v>46227</x:v>
      </x:c>
      <x:c r="K24" s="143" t="inlineStr">
        <x:is>
          <x:t xml:space="preserve">Focused checks pass; packed-consumer release qualification pending.</x:t>
        </x:is>
      </x:c>
      <x:c r="L24" s="125" t="n">
        <x:v>1</x:v>
      </x:c>
      <x:c r="M24" s="125" t="n">
        <x:f>IF(H24="not applicable",IF(K24&lt;&gt;"",1,0),IF(I24="yes",IF(H24="verified",1,0),IF(OR(H24="tested",H24="verified"),1,0)))</x:f>
        <x:v>0</x:v>
      </x:c>
    </x:row>
  </x:sheetData>
  <x:mergeCells>
    <x:mergeCell ref="A2:M2"/>
    <x:mergeCell ref="A1:M1"/>
  </x:mergeCells>
  <x:conditionalFormatting sqref="H9:H24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1" showDropDown="0" showInputMessage="1" showErrorMessage="1" sqref="H9:H24">
      <x:formula1>"not started,partial,implemented,tested,verified,blocked,not applicable"</x:formula1>
      <x:formula2>0</x:formula2>
    </x:dataValidation>
    <x:dataValidation type="list" errorStyle="stop" operator="between" allowBlank="1" showDropDown="0" showInputMessage="1" showErrorMessage="1" sqref="I9:I24">
      <x:formula1>"yes,no"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308e48b3cd44c67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Toggle Group Evidence</x:t>
        </x:is>
      </x:c>
    </x:row>
    <x:row r="2" s="127" customFormat="1" ht="27.75" customHeight="1">
      <x:c r="A2" s="129" t="inlineStr">
        <x:is>
          <x:t xml:space="preserve">Assertion-level package, browser, human-review, documentation, and consumer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COUNTA(A9:A200)</x:f>
        <x:v>16</x:v>
      </x:c>
      <x:c r="D4" s="130" t="inlineStr">
        <x:is>
          <x:t xml:space="preserve">Resolved</x:t>
        </x:is>
      </x:c>
      <x:c r="E4" s="131" t="n">
        <x:f>SUM(M9:M200)</x:f>
        <x:v>9</x:v>
      </x:c>
      <x:c r="G4" s="130" t="inlineStr">
        <x:is>
          <x:t xml:space="preserve">Completion</x:t>
        </x:is>
      </x:c>
      <x:c r="H4" s="132" t="n">
        <x:f>IF(B4=0,0,E4/B4)</x:f>
        <x:v>0.5625</x:v>
      </x:c>
      <x:c r="J4" s="130" t="inlineStr">
        <x:is>
          <x:t xml:space="preserve">Package gate</x:t>
        </x:is>
      </x:c>
      <x:c r="K4" s="131" t="str">
        <x:f>IF(COUNTIFS(E9:E200,"package",H9:H200,"not applicable")+COUNTIFS(E9:E200,"package",H9:H200,"verified")+COUNTIFS(E9:E200,"package",H9:H200,"tested",I9:I200,"no")=COUNTIF(E9:E200,"package"),"complete","open")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IF(COUNTIFS(I9:I200,"yes",H9:H200,"verified")+COUNTIFS(I9:I200,"yes",H9:H200,"not applicable")=COUNTIF(I9:I200,"yes"),"complete","open")</x:f>
        <x:v>open</x:v>
      </x:c>
      <x:c r="D5" s="130" t="inlineStr">
        <x:is>
          <x:t xml:space="preserve">Consumer gate</x:t>
        </x:is>
      </x:c>
      <x:c r="E5" s="131" t="str">
        <x:f>IF(COUNTIFS(E9:E200,"consumer",H9:H200,"tested",I9:I200,"no")+COUNTIFS(E9:E200,"consumer",H9:H200,"verified")+COUNTIFS(E9:E200,"consumer",H9:H200,"not applicable")=COUNTIF(E9:E200,"consumer"),"complete","open")</x:f>
        <x:v>open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42" customHeight="1">
      <x:c r="A9" s="125" t="inlineStr">
        <x:is>
          <x:t xml:space="preserve">TG-01</x:t>
        </x:is>
      </x:c>
      <x:c r="B9" s="125" t="inlineStr">
        <x:is>
          <x:t xml:space="preserve">Implementation</x:t>
        </x:is>
      </x:c>
      <x:c r="C9" s="125" t="inlineStr">
        <x:is>
          <x:t xml:space="preserve">ToggleGroup</x:t>
        </x:is>
      </x:c>
      <x:c r="D9" s="125" t="inlineStr">
        <x:is>
          <x:t xml:space="preserve">Public component implementation and Atom adapter exist.</x:t>
        </x:is>
      </x:c>
      <x:c r="E9" s="125" t="inlineStr">
        <x:is>
          <x:t xml:space="preserve">package</x:t>
        </x:is>
      </x:c>
      <x:c r="F9" s="125" t="inlineStr">
        <x:is>
          <x:t xml:space="preserve">source</x:t>
        </x:is>
      </x:c>
      <x:c r="G9" s="125" t="inlineStr">
        <x:is>
          <x:t xml:space="preserve">../src/components/toggle-group</x:t>
        </x:is>
      </x:c>
      <x:c r="H9" s="125" t="inlineStr">
        <x:is>
          <x:t xml:space="preserve">tested</x:t>
        </x:is>
      </x:c>
      <x:c r="I9" s="125" t="inlineStr">
        <x:is>
          <x:t xml:space="preserve">no</x:t>
        </x:is>
      </x:c>
      <x:c r="J9" s="141" t="n">
        <x:v>46273</x:v>
      </x:c>
      <x:c r="L9" s="125" t="n">
        <x:v>1</x:v>
      </x:c>
      <x:c r="M9" s="125" t="n">
        <x:f>IF(H9="not applicable",IF(K9&lt;&gt;"",1,0),IF(I9="yes",IF(H9="verified",1,0),IF(OR(H9="tested",H9="verified"),1,0)))</x:f>
        <x:v>1</x:v>
      </x:c>
    </x:row>
    <x:row r="10" s="127" customFormat="1" ht="42" customHeight="1">
      <x:c r="A10" s="125" t="inlineStr">
        <x:is>
          <x:t xml:space="preserve">TG-02</x:t>
        </x:is>
      </x:c>
      <x:c r="B10" s="125" t="inlineStr">
        <x:is>
          <x:t xml:space="preserve">Exports</x:t>
        </x:is>
      </x:c>
      <x:c r="C10" s="125" t="inlineStr">
        <x:is>
          <x:t xml:space="preserve">ToggleGroup</x:t>
        </x:is>
      </x:c>
      <x:c r="D10" s="125" t="inlineStr">
        <x:is>
          <x:t xml:space="preserve">Root and public subpath exports expose the component.</x:t>
        </x:is>
      </x:c>
      <x:c r="E10" s="125" t="inlineStr">
        <x:is>
          <x:t xml:space="preserve">package</x:t>
        </x:is>
      </x:c>
      <x:c r="F10" s="125" t="inlineStr">
        <x:is>
          <x:t xml:space="preserve">package</x:t>
        </x:is>
      </x:c>
      <x:c r="G10" s="125" t="inlineStr">
        <x:is>
          <x:t xml:space="preserve">../test/package/package.test.mjs</x:t>
        </x:is>
      </x:c>
      <x:c r="H10" s="125" t="inlineStr">
        <x:is>
          <x:t xml:space="preserve">tested</x:t>
        </x:is>
      </x:c>
      <x:c r="I10" s="125" t="inlineStr">
        <x:is>
          <x:t xml:space="preserve">no</x:t>
        </x:is>
      </x:c>
      <x:c r="J10" s="141" t="n">
        <x:v>46227</x:v>
      </x:c>
      <x:c r="L10" s="125" t="n">
        <x:v>1</x:v>
      </x:c>
      <x:c r="M10" s="125" t="n">
        <x:f>IF(H10="not applicable",IF(K10&lt;&gt;"",1,0),IF(I10="yes",IF(H10="verified",1,0),IF(OR(H10="tested",H10="verified"),1,0)))</x:f>
        <x:v>1</x:v>
      </x:c>
    </x:row>
    <x:row r="11" s="127" customFormat="1" ht="42" customHeight="1">
      <x:c r="A11" s="125" t="inlineStr">
        <x:is>
          <x:t xml:space="preserve">TG-03</x:t>
        </x:is>
      </x:c>
      <x:c r="B11" s="125" t="inlineStr">
        <x:is>
          <x:t xml:space="preserve">Types</x:t>
        </x:is>
      </x:c>
      <x:c r="C11" s="125" t="inlineStr">
        <x:is>
          <x:t xml:space="preserve">ToggleGroup</x:t>
        </x:is>
      </x:c>
      <x:c r="D11" s="125" t="inlineStr">
        <x:is>
          <x:t xml:space="preserve">Public props, refs, composition branches, and invalid cases type-check.</x:t>
        </x:is>
      </x:c>
      <x:c r="E11" s="125" t="inlineStr">
        <x:is>
          <x:t xml:space="preserve">package</x:t>
        </x:is>
      </x:c>
      <x:c r="F11" s="125" t="inlineStr">
        <x:is>
          <x:t xml:space="preserve">types</x:t>
        </x:is>
      </x:c>
      <x:c r="G11" s="125" t="inlineStr">
        <x:is>
          <x:t xml:space="preserve">../test/types/components/toggle-group.test.ts</x:t>
        </x:is>
      </x:c>
      <x:c r="H11" s="125" t="inlineStr">
        <x:is>
          <x:t xml:space="preserve">tested</x:t>
        </x:is>
      </x:c>
      <x:c r="I11" s="125" t="inlineStr">
        <x:is>
          <x:t xml:space="preserve">no</x:t>
        </x:is>
      </x:c>
      <x:c r="J11" s="141" t="n">
        <x:v>46273</x:v>
      </x:c>
      <x:c r="L11" s="125" t="n">
        <x:v>1</x:v>
      </x:c>
      <x:c r="M11" s="125" t="n">
        <x:f>IF(H11="not applicable",IF(K11&lt;&gt;"",1,0),IF(I11="yes",IF(H11="verified",1,0),IF(OR(H11="tested",H11="verified"),1,0)))</x:f>
        <x:v>1</x:v>
      </x:c>
    </x:row>
    <x:row r="12" s="127" customFormat="1" ht="42" customHeight="1">
      <x:c r="A12" s="125" t="inlineStr">
        <x:is>
          <x:t xml:space="preserve">TG-04</x:t>
        </x:is>
      </x:c>
      <x:c r="B12" s="125" t="inlineStr">
        <x:is>
          <x:t xml:space="preserve">CSS</x:t>
        </x:is>
      </x:c>
      <x:c r="C12" s="125" t="inlineStr">
        <x:is>
          <x:t xml:space="preserve">ToggleGroup</x:t>
        </x:is>
      </x:c>
      <x:c r="D12" s="125" t="inlineStr">
        <x:is>
          <x:t xml:space="preserve">Neutral ghost defaults, flat soft selection and shared state precedence.</x:t>
        </x:is>
      </x:c>
      <x:c r="E12" s="125" t="inlineStr">
        <x:is>
          <x:t xml:space="preserve">package</x:t>
        </x:is>
      </x:c>
      <x:c r="F12" s="125" t="inlineStr">
        <x:is>
          <x:t xml:space="preserve">css</x:t>
        </x:is>
      </x:c>
      <x:c r="G12" s="125" t="inlineStr">
        <x:is>
          <x:t xml:space="preserve">../src/components/toggle-group/toggle-group.css</x:t>
        </x:is>
      </x:c>
      <x:c r="H12" s="125" t="inlineStr">
        <x:is>
          <x:t xml:space="preserve">tested</x:t>
        </x:is>
      </x:c>
      <x:c r="I12" s="125" t="inlineStr">
        <x:is>
          <x:t xml:space="preserve">no</x:t>
        </x:is>
      </x:c>
      <x:c r="J12" s="141" t="n">
        <x:v>46273</x:v>
      </x:c>
      <x:c r="L12" s="125" t="n">
        <x:v>1</x:v>
      </x:c>
      <x:c r="M12" s="125" t="n">
        <x:f>IF(H12="not applicable",IF(K12&lt;&gt;"",1,0),IF(I12="yes",IF(H12="verified",1,0),IF(OR(H12="tested",H12="verified"),1,0)))</x:f>
        <x:v>1</x:v>
      </x:c>
    </x:row>
    <x:row r="13" s="127" customFormat="1" ht="42" customHeight="1">
      <x:c r="A13" s="125" t="inlineStr">
        <x:is>
          <x:t xml:space="preserve">TG-05</x:t>
        </x:is>
      </x:c>
      <x:c r="B13" s="125" t="inlineStr">
        <x:is>
          <x:t xml:space="preserve">Unit</x:t>
        </x:is>
      </x:c>
      <x:c r="C13" s="125" t="inlineStr">
        <x:is>
          <x:t xml:space="preserve">ToggleGroup</x:t>
        </x:is>
      </x:c>
      <x:c r="D13" s="125" t="inlineStr">
        <x:is>
          <x:t xml:space="preserve">Atom state and Brick action props pass.</x:t>
        </x:is>
      </x:c>
      <x:c r="E13" s="125" t="inlineStr">
        <x:is>
          <x:t xml:space="preserve">package</x:t>
        </x:is>
      </x:c>
      <x:c r="F13" s="125" t="inlineStr">
        <x:is>
          <x:t xml:space="preserve">component</x:t>
        </x:is>
      </x:c>
      <x:c r="G13" s="125" t="inlineStr">
        <x:is>
          <x:t xml:space="preserve">../test/components/toggle-group/toggle-group.test.tsx</x:t>
        </x:is>
      </x:c>
      <x:c r="H13" s="125" t="inlineStr">
        <x:is>
          <x:t xml:space="preserve">tested</x:t>
        </x:is>
      </x:c>
      <x:c r="I13" s="125" t="inlineStr">
        <x:is>
          <x:t xml:space="preserve">no</x:t>
        </x:is>
      </x:c>
      <x:c r="J13" s="141" t="n">
        <x:v>46273</x:v>
      </x:c>
      <x:c r="L13" s="125" t="n">
        <x:v>1</x:v>
      </x:c>
      <x:c r="M13" s="125" t="n">
        <x:f>IF(H13="not applicable",IF(K13&lt;&gt;"",1,0),IF(I13="yes",IF(H13="verified",1,0),IF(OR(H13="tested",H13="verified"),1,0)))</x:f>
        <x:v>1</x:v>
      </x:c>
    </x:row>
    <x:row r="14" s="127" customFormat="1" ht="42" customHeight="1">
      <x:c r="A14" s="125" t="inlineStr">
        <x:is>
          <x:t xml:space="preserve">TG-06</x:t>
        </x:is>
      </x:c>
      <x:c r="B14" s="125" t="inlineStr">
        <x:is>
          <x:t xml:space="preserve">Browser</x:t>
        </x:is>
      </x:c>
      <x:c r="C14" s="125" t="inlineStr">
        <x:is>
          <x:t xml:space="preserve">ToggleGroup</x:t>
        </x:is>
      </x:c>
      <x:c r="D14" s="125" t="inlineStr">
        <x:is>
          <x:t xml:space="preserve">Seven-size geometry and keyboard checks pass.</x:t>
        </x:is>
      </x:c>
      <x:c r="E14" s="125" t="inlineStr">
        <x:is>
          <x:t xml:space="preserve">package</x:t>
        </x:is>
      </x:c>
      <x:c r="F14" s="125" t="inlineStr">
        <x:is>
          <x:t xml:space="preserve">browser</x:t>
        </x:is>
      </x:c>
      <x:c r="G14" s="125" t="inlineStr">
        <x:is>
          <x:t xml:space="preserve">tests/components/toggle/action-alignment.spec.ts</x:t>
        </x:is>
      </x:c>
      <x:c r="H14" s="125" t="inlineStr">
        <x:is>
          <x:t xml:space="preserve">tested</x:t>
        </x:is>
      </x:c>
      <x:c r="I14" s="125" t="inlineStr">
        <x:is>
          <x:t xml:space="preserve">no</x:t>
        </x:is>
      </x:c>
      <x:c r="J14" s="141" t="n">
        <x:v>46273</x:v>
      </x:c>
      <x:c r="L14" s="125" t="n">
        <x:v>1</x:v>
      </x:c>
      <x:c r="M14" s="125" t="n">
        <x:f>IF(H14="not applicable",IF(K14&lt;&gt;"",1,0),IF(I14="yes",IF(H14="verified",1,0),IF(OR(H14="tested",H14="verified"),1,0)))</x:f>
        <x:v>1</x:v>
      </x:c>
    </x:row>
    <x:row r="15" s="127" customFormat="1" ht="42" customHeight="1">
      <x:c r="A15" s="125" t="inlineStr">
        <x:is>
          <x:t xml:space="preserve">TG-07</x:t>
        </x:is>
      </x:c>
      <x:c r="B15" s="125" t="inlineStr">
        <x:is>
          <x:t xml:space="preserve">Accessibility</x:t>
        </x:is>
      </x:c>
      <x:c r="C15" s="125" t="inlineStr">
        <x:is>
          <x:t xml:space="preserve">ToggleGroup</x:t>
        </x:is>
      </x:c>
      <x:c r="D15" s="125" t="inlineStr">
        <x:is>
          <x:t xml:space="preserve">Automated semantics and accessibility checks pass in the browser evidence suite.</x:t>
        </x:is>
      </x:c>
      <x:c r="E15" s="125" t="inlineStr">
        <x:is>
          <x:t xml:space="preserve">package</x:t>
        </x:is>
      </x:c>
      <x:c r="F15" s="125" t="inlineStr">
        <x:is>
          <x:t xml:space="preserve">axe</x:t>
        </x:is>
      </x:c>
      <x:c r="G15" s="125" t="inlineStr">
        <x:is>
          <x:t xml:space="preserve">tests/components/toggle-group/behavior.spec.ts; tests/integration</x:t>
        </x:is>
      </x:c>
      <x:c r="H15" s="125" t="inlineStr">
        <x:is>
          <x:t xml:space="preserve">tested</x:t>
        </x:is>
      </x:c>
      <x:c r="I15" s="125" t="inlineStr">
        <x:is>
          <x:t xml:space="preserve">no</x:t>
        </x:is>
      </x:c>
      <x:c r="J15" s="141" t="n">
        <x:v>46273</x:v>
      </x:c>
      <x:c r="L15" s="125" t="n">
        <x:v>1</x:v>
      </x:c>
      <x:c r="M15" s="125" t="n">
        <x:f>IF(H15="not applicable",IF(K15&lt;&gt;"",1,0),IF(I15="yes",IF(H15="verified",1,0),IF(OR(H15="tested",H15="verified"),1,0)))</x:f>
        <x:v>1</x:v>
      </x:c>
    </x:row>
    <x:row r="16" s="127" customFormat="1" ht="42" customHeight="1">
      <x:c r="A16" s="125" t="inlineStr">
        <x:is>
          <x:t xml:space="preserve">TG-08</x:t>
        </x:is>
      </x:c>
      <x:c r="B16" s="125" t="inlineStr">
        <x:is>
          <x:t xml:space="preserve">Visual</x:t>
        </x:is>
      </x:c>
      <x:c r="C16" s="125" t="inlineStr">
        <x:is>
          <x:t xml:space="preserve">ToggleGroup</x:t>
        </x:is>
      </x:c>
      <x:c r="D16" s="125" t="inlineStr">
        <x:is>
          <x:t xml:space="preserve">Reviewed baselines cover the component's risk-selected recipes and states.</x:t>
        </x:is>
      </x:c>
      <x:c r="E16" s="125" t="inlineStr">
        <x:is>
          <x:t xml:space="preserve">package</x:t>
        </x:is>
      </x:c>
      <x:c r="F16" s="125" t="inlineStr">
        <x:is>
          <x:t xml:space="preserve">visual</x:t>
        </x:is>
      </x:c>
      <x:c r="G16" s="125" t="inlineStr">
        <x:is>
          <x:t xml:space="preserve">tests/components/toggle-group/visual.spec.ts</x:t>
        </x:is>
      </x:c>
      <x:c r="H16" s="125" t="inlineStr">
        <x:is>
          <x:t xml:space="preserve">partial</x:t>
        </x:is>
      </x:c>
      <x:c r="I16" s="125" t="inlineStr">
        <x:is>
          <x:t xml:space="preserve">yes</x:t>
        </x:is>
      </x:c>
      <x:c r="J16" s="141" t="n">
        <x:v>46273</x:v>
      </x:c>
      <x:c r="K16" s="142" t="inlineStr">
        <x:is>
          <x:t xml:space="preserve">Revised recipes await owner review.</x:t>
        </x:is>
      </x:c>
      <x:c r="L16" s="125" t="n">
        <x:v>1</x:v>
      </x:c>
      <x:c r="M16" s="125" t="n">
        <x:f>IF(H16="not applicable",IF(K16&lt;&gt;"",1,0),IF(I16="yes",IF(H16="verified",1,0),IF(OR(H16="tested",H16="verified"),1,0)))</x:f>
        <x:v>0</x:v>
      </x:c>
    </x:row>
    <x:row r="17" s="127" customFormat="1" ht="42" customHeight="1">
      <x:c r="A17" s="125" t="inlineStr">
        <x:is>
          <x:t xml:space="preserve">TG-09</x:t>
        </x:is>
      </x:c>
      <x:c r="B17" s="125" t="inlineStr">
        <x:is>
          <x:t xml:space="preserve">Responsive</x:t>
        </x:is>
      </x:c>
      <x:c r="C17" s="125" t="inlineStr">
        <x:is>
          <x:t xml:space="preserve">ToggleGroup</x:t>
        </x:is>
      </x:c>
      <x:c r="D17" s="125" t="inlineStr">
        <x:is>
          <x:t xml:space="preserve">Mobile, zoom/reflow, content stress, and RTL remain usable and contained.</x:t>
        </x:is>
      </x:c>
      <x:c r="E17" s="125" t="inlineStr">
        <x:is>
          <x:t xml:space="preserve">package</x:t>
        </x:is>
      </x:c>
      <x:c r="F17" s="125" t="inlineStr">
        <x:is>
          <x:t xml:space="preserve">manual</x:t>
        </x:is>
      </x:c>
      <x:c r="G17" s="125" t="inlineStr">
        <x:is>
          <x:t xml:space="preserve">manual-tests/toggle-group.md</x:t>
        </x:is>
      </x:c>
      <x:c r="H17" s="125" t="inlineStr">
        <x:is>
          <x:t xml:space="preserve">implemented</x:t>
        </x:is>
      </x:c>
      <x:c r="I17" s="125" t="inlineStr">
        <x:is>
          <x:t xml:space="preserve">yes</x:t>
        </x:is>
      </x:c>
      <x:c r="J17" s="141" t="n"/>
      <x:c r="K17" s="125" t="inlineStr">
        <x:is>
          <x:t xml:space="preserve">Human protocol remains pending. Automated and visual evidence stays in its owning tests and does not complete this human gate.</x:t>
        </x:is>
      </x:c>
      <x:c r="L17" s="125" t="n">
        <x:v>1</x:v>
      </x:c>
      <x:c r="M17" s="125" t="n">
        <x:f>IF(H17="not applicable",IF(K17&lt;&gt;"",1,0),IF(I17="yes",IF(H17="verified",1,0),IF(OR(H17="tested",H17="verified"),1,0)))</x:f>
        <x:v>0</x:v>
      </x:c>
    </x:row>
    <x:row r="18" s="127" customFormat="1" ht="42" customHeight="1">
      <x:c r="A18" s="125" t="inlineStr">
        <x:is>
          <x:t xml:space="preserve">TG-10</x:t>
        </x:is>
      </x:c>
      <x:c r="B18" s="125" t="inlineStr">
        <x:is>
          <x:t xml:space="preserve">Theme</x:t>
        </x:is>
      </x:c>
      <x:c r="C18" s="125" t="inlineStr">
        <x:is>
          <x:t xml:space="preserve">ToggleGroup</x:t>
        </x:is>
      </x:c>
      <x:c r="D18" s="125" t="inlineStr">
        <x:is>
          <x:t xml:space="preserve">Light, dark, focus, forced-colors, and relevant motion behavior remain perceivable.</x:t>
        </x:is>
      </x:c>
      <x:c r="E18" s="125" t="inlineStr">
        <x:is>
          <x:t xml:space="preserve">package</x:t>
        </x:is>
      </x:c>
      <x:c r="F18" s="125" t="inlineStr">
        <x:is>
          <x:t xml:space="preserve">manual</x:t>
        </x:is>
      </x:c>
      <x:c r="G18" s="125" t="inlineStr">
        <x:is>
          <x:t xml:space="preserve">manual-tests/toggle-group.md</x:t>
        </x:is>
      </x:c>
      <x:c r="H18" s="125" t="inlineStr">
        <x:is>
          <x:t xml:space="preserve">implemented</x:t>
        </x:is>
      </x:c>
      <x:c r="I18" s="125" t="inlineStr">
        <x:is>
          <x:t xml:space="preserve">yes</x:t>
        </x:is>
      </x:c>
      <x:c r="J18" s="141" t="n"/>
      <x:c r="K18" s="125" t="inlineStr">
        <x:is>
          <x:t xml:space="preserve">Human protocol remains pending. Automated and visual evidence stays in its owning tests and does not complete this human gate.</x:t>
        </x:is>
      </x:c>
      <x:c r="L18" s="125" t="n">
        <x:v>1</x:v>
      </x:c>
      <x:c r="M18" s="125" t="n">
        <x:f>IF(H18="not applicable",IF(K18&lt;&gt;"",1,0),IF(I18="yes",IF(H18="verified",1,0),IF(OR(H18="tested",H18="verified"),1,0)))</x:f>
        <x:v>0</x:v>
      </x:c>
    </x:row>
    <x:row r="19" s="127" customFormat="1" ht="42" customHeight="1">
      <x:c r="A19" s="125" t="inlineStr">
        <x:is>
          <x:t xml:space="preserve">TG-11</x:t>
        </x:is>
      </x:c>
      <x:c r="B19" s="125" t="inlineStr">
        <x:is>
          <x:t xml:space="preserve">Composition</x:t>
        </x:is>
      </x:c>
      <x:c r="C19" s="125" t="inlineStr">
        <x:is>
          <x:t xml:space="preserve">ToggleGroup</x:t>
        </x:is>
      </x:c>
      <x:c r="D19" s="125" t="inlineStr">
        <x:is>
          <x:t xml:space="preserve">Default, render, and asChild output preserve the intended element, slots, state, and relationships.</x:t>
        </x:is>
      </x:c>
      <x:c r="E19" s="125" t="inlineStr">
        <x:is>
          <x:t xml:space="preserve">package</x:t>
        </x:is>
      </x:c>
      <x:c r="F19" s="125" t="inlineStr">
        <x:is>
          <x:t xml:space="preserve">manual</x:t>
        </x:is>
      </x:c>
      <x:c r="G19" s="125" t="inlineStr">
        <x:is>
          <x:t xml:space="preserve">manual-tests/toggle-group.md; tests/components/toggle-group/behavior.spec.ts</x:t>
        </x:is>
      </x:c>
      <x:c r="H19" s="125" t="inlineStr">
        <x:is>
          <x:t xml:space="preserve">implemented</x:t>
        </x:is>
      </x:c>
      <x:c r="I19" s="125" t="inlineStr">
        <x:is>
          <x:t xml:space="preserve">yes</x:t>
        </x:is>
      </x:c>
      <x:c r="J19" s="141" t="n"/>
      <x:c r="K19" s="125" t="inlineStr">
        <x:is>
          <x:t xml:space="preserve">Human protocol remains pending. Automated and visual evidence stays in its owning tests and does not complete this human gate.</x:t>
        </x:is>
      </x:c>
      <x:c r="L19" s="125" t="n">
        <x:v>1</x:v>
      </x:c>
      <x:c r="M19" s="125" t="n">
        <x:f>IF(H19="not applicable",IF(K19&lt;&gt;"",1,0),IF(I19="yes",IF(H19="verified",1,0),IF(OR(H19="tested",H19="verified"),1,0)))</x:f>
        <x:v>0</x:v>
      </x:c>
    </x:row>
    <x:row r="20" s="127" customFormat="1" ht="42" customHeight="1">
      <x:c r="A20" s="125" t="inlineStr">
        <x:is>
          <x:t xml:space="preserve">TG-12</x:t>
        </x:is>
      </x:c>
      <x:c r="B20" s="125" t="inlineStr">
        <x:is>
          <x:t xml:space="preserve">Manual</x:t>
        </x:is>
      </x:c>
      <x:c r="C20" s="125" t="inlineStr">
        <x:is>
          <x:t xml:space="preserve">ToggleGroup</x:t>
        </x:is>
      </x:c>
      <x:c r="D20" s="125" t="inlineStr">
        <x:is>
          <x:t xml:space="preserve">The complete component-owned manual protocol passed against every playground scenario.</x:t>
        </x:is>
      </x:c>
      <x:c r="E20" s="125" t="inlineStr">
        <x:is>
          <x:t xml:space="preserve">package</x:t>
        </x:is>
      </x:c>
      <x:c r="F20" s="125" t="inlineStr">
        <x:is>
          <x:t xml:space="preserve">manual</x:t>
        </x:is>
      </x:c>
      <x:c r="G20" s="125" t="inlineStr">
        <x:is>
          <x:t xml:space="preserve">manual-tests/toggle-group.md</x:t>
        </x:is>
      </x:c>
      <x:c r="H20" s="125" t="inlineStr">
        <x:is>
          <x:t xml:space="preserve">implemented</x:t>
        </x:is>
      </x:c>
      <x:c r="I20" s="125" t="inlineStr">
        <x:is>
          <x:t xml:space="preserve">yes</x:t>
        </x:is>
      </x:c>
      <x:c r="J20" s="141" t="n"/>
      <x:c r="K20" s="125" t="inlineStr">
        <x:is>
          <x:t xml:space="preserve">Human protocol remains pending. Automated and visual evidence stays in its owning tests and does not complete this human gate.</x:t>
        </x:is>
      </x:c>
      <x:c r="L20" s="125" t="n">
        <x:v>1</x:v>
      </x:c>
      <x:c r="M20" s="125" t="n">
        <x:f>IF(H20="not applicable",IF(K20&lt;&gt;"",1,0),IF(I20="yes",IF(H20="verified",1,0),IF(OR(H20="tested",H20="verified"),1,0)))</x:f>
        <x:v>0</x:v>
      </x:c>
    </x:row>
    <x:row r="21" s="127" customFormat="1" ht="42" customHeight="1">
      <x:c r="A21" s="125" t="inlineStr">
        <x:is>
          <x:t xml:space="preserve">TG-13</x:t>
        </x:is>
      </x:c>
      <x:c r="B21" s="125" t="inlineStr">
        <x:is>
          <x:t xml:space="preserve">Docs</x:t>
        </x:is>
      </x:c>
      <x:c r="C21" s="125" t="inlineStr">
        <x:is>
          <x:t xml:space="preserve">ToggleGroup</x:t>
        </x:is>
      </x:c>
      <x:c r="D21" s="125" t="inlineStr">
        <x:is>
          <x:t xml:space="preserve">Public usage documentation exists at the component-owned path.</x:t>
        </x:is>
      </x:c>
      <x:c r="E21" s="125" t="inlineStr">
        <x:is>
          <x:t xml:space="preserve">package</x:t>
        </x:is>
      </x:c>
      <x:c r="F21" s="125" t="inlineStr">
        <x:is>
          <x:t xml:space="preserve">docs</x:t>
        </x:is>
      </x:c>
      <x:c r="G21" s="125" t="inlineStr">
        <x:is>
          <x:t xml:space="preserve">../docs/components/toggle-group/README.md</x:t>
        </x:is>
      </x:c>
      <x:c r="H21" s="125" t="inlineStr">
        <x:is>
          <x:t xml:space="preserve">tested</x:t>
        </x:is>
      </x:c>
      <x:c r="I21" s="125" t="inlineStr">
        <x:is>
          <x:t xml:space="preserve">no</x:t>
        </x:is>
      </x:c>
      <x:c r="J21" s="141" t="n">
        <x:v>46273</x:v>
      </x:c>
      <x:c r="L21" s="125" t="n">
        <x:v>1</x:v>
      </x:c>
      <x:c r="M21" s="125" t="n">
        <x:f>IF(H21="not applicable",IF(K21&lt;&gt;"",1,0),IF(I21="yes",IF(H21="verified",1,0),IF(OR(H21="tested",H21="verified"),1,0)))</x:f>
        <x:v>1</x:v>
      </x:c>
    </x:row>
    <x:row r="22" s="127" customFormat="1" ht="42" customHeight="1">
      <x:c r="A22" s="125" t="inlineStr">
        <x:is>
          <x:t xml:space="preserve">TG-14</x:t>
        </x:is>
      </x:c>
      <x:c r="B22" s="125" t="inlineStr">
        <x:is>
          <x:t xml:space="preserve">Changelog</x:t>
        </x:is>
      </x:c>
      <x:c r="C22" s="125" t="inlineStr">
        <x:is>
          <x:t xml:space="preserve">ToggleGroup</x:t>
        </x:is>
      </x:c>
      <x:c r="D22" s="125" t="inlineStr">
        <x:is>
          <x:t xml:space="preserve">The component owns a public changelog.</x:t>
        </x:is>
      </x:c>
      <x:c r="E22" s="125" t="inlineStr">
        <x:is>
          <x:t xml:space="preserve">package</x:t>
        </x:is>
      </x:c>
      <x:c r="F22" s="125" t="inlineStr">
        <x:is>
          <x:t xml:space="preserve">docs</x:t>
        </x:is>
      </x:c>
      <x:c r="G22" s="125" t="inlineStr">
        <x:is>
          <x:t xml:space="preserve">../docs/components/toggle-group/CHANGELOG.md</x:t>
        </x:is>
      </x:c>
      <x:c r="H22" s="125" t="inlineStr">
        <x:is>
          <x:t xml:space="preserve">tested</x:t>
        </x:is>
      </x:c>
      <x:c r="I22" s="125" t="inlineStr">
        <x:is>
          <x:t xml:space="preserve">no</x:t>
        </x:is>
      </x:c>
      <x:c r="J22" s="141" t="n">
        <x:v>46273</x:v>
      </x:c>
      <x:c r="L22" s="125" t="n">
        <x:v>1</x:v>
      </x:c>
      <x:c r="M22" s="125" t="n">
        <x:f>IF(H22="not applicable",IF(K22&lt;&gt;"",1,0),IF(I22="yes",IF(H22="verified",1,0),IF(OR(H22="tested",H22="verified"),1,0)))</x:f>
        <x:v>1</x:v>
      </x:c>
    </x:row>
    <x:row r="23" s="127" customFormat="1" ht="42" customHeight="1">
      <x:c r="A23" s="125" t="inlineStr">
        <x:is>
          <x:t xml:space="preserve">TG-15</x:t>
        </x:is>
      </x:c>
      <x:c r="B23" s="125" t="inlineStr">
        <x:is>
          <x:t xml:space="preserve">Consumer</x:t>
        </x:is>
      </x:c>
      <x:c r="C23" s="125" t="inlineStr">
        <x:is>
          <x:t xml:space="preserve">ToggleGroup</x:t>
        </x:is>
      </x:c>
      <x:c r="D23" s="125" t="inlineStr">
        <x:is>
          <x:t xml:space="preserve">The standalone consumer imports and exercises the public package component.</x:t>
        </x:is>
      </x:c>
      <x:c r="E23" s="125" t="inlineStr">
        <x:is>
          <x:t xml:space="preserve">consumer</x:t>
        </x:is>
      </x:c>
      <x:c r="F23" s="125" t="inlineStr">
        <x:is>
          <x:t xml:space="preserve">consumer</x:t>
        </x:is>
      </x:c>
      <x:c r="G23" s="125" t="inlineStr">
        <x:is>
          <x:t xml:space="preserve">../apps/consumer/src/App.tsx; ../apps/consumer/tests/consumer.spec.ts</x:t>
        </x:is>
      </x:c>
      <x:c r="H23" s="125" t="inlineStr">
        <x:is>
          <x:t xml:space="preserve">partial</x:t>
        </x:is>
      </x:c>
      <x:c r="I23" s="125" t="inlineStr">
        <x:is>
          <x:t xml:space="preserve">no</x:t>
        </x:is>
      </x:c>
      <x:c r="J23" s="141" t="n">
        <x:v>46227</x:v>
      </x:c>
      <x:c r="K23" s="143" t="inlineStr">
        <x:is>
          <x:t xml:space="preserve">Existing consumer evidence predates revised defaults.</x:t>
        </x:is>
      </x:c>
      <x:c r="L23" s="125" t="n">
        <x:v>1</x:v>
      </x:c>
      <x:c r="M23" s="125" t="n">
        <x:f>IF(H23="not applicable",IF(K23&lt;&gt;"",1,0),IF(I23="yes",IF(H23="verified",1,0),IF(OR(H23="tested",H23="verified"),1,0)))</x:f>
        <x:v>0</x:v>
      </x:c>
    </x:row>
    <x:row r="24" s="127" customFormat="1" ht="42" customHeight="1">
      <x:c r="A24" s="125" t="inlineStr">
        <x:is>
          <x:t xml:space="preserve">TG-16</x:t>
        </x:is>
      </x:c>
      <x:c r="B24" s="125" t="inlineStr">
        <x:is>
          <x:t xml:space="preserve">Package</x:t>
        </x:is>
      </x:c>
      <x:c r="C24" s="125" t="inlineStr">
        <x:is>
          <x:t xml:space="preserve">ToggleGroup</x:t>
        </x:is>
      </x:c>
      <x:c r="D24" s="125" t="inlineStr">
        <x:is>
          <x:t xml:space="preserve">Build, exports, tarball, CSS, and consumer boundary verification pass.</x:t>
        </x:is>
      </x:c>
      <x:c r="E24" s="125" t="inlineStr">
        <x:is>
          <x:t xml:space="preserve">package</x:t>
        </x:is>
      </x:c>
      <x:c r="F24" s="125" t="inlineStr">
        <x:is>
          <x:t xml:space="preserve">package</x:t>
        </x:is>
      </x:c>
      <x:c r="G24" s="125" t="inlineStr">
        <x:is>
          <x:t xml:space="preserve">../scripts/verify-package.mjs; ../scripts/verify-consumers.mjs</x:t>
        </x:is>
      </x:c>
      <x:c r="H24" s="125" t="inlineStr">
        <x:is>
          <x:t xml:space="preserve">partial</x:t>
        </x:is>
      </x:c>
      <x:c r="I24" s="125" t="inlineStr">
        <x:is>
          <x:t xml:space="preserve">no</x:t>
        </x:is>
      </x:c>
      <x:c r="J24" s="141" t="n">
        <x:v>46227</x:v>
      </x:c>
      <x:c r="K24" s="143" t="inlineStr">
        <x:is>
          <x:t xml:space="preserve">Focused checks pass; packed-consumer release qualification pending.</x:t>
        </x:is>
      </x:c>
      <x:c r="L24" s="125" t="n">
        <x:v>1</x:v>
      </x:c>
      <x:c r="M24" s="125" t="n">
        <x:f>IF(H24="not applicable",IF(K24&lt;&gt;"",1,0),IF(I24="yes",IF(H24="verified",1,0),IF(OR(H24="tested",H24="verified"),1,0)))</x:f>
        <x:v>0</x:v>
      </x:c>
    </x:row>
  </x:sheetData>
  <x:mergeCells>
    <x:mergeCell ref="A2:M2"/>
    <x:mergeCell ref="A1:M1"/>
  </x:mergeCells>
  <x:conditionalFormatting sqref="H9:H24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1" showDropDown="0" showInputMessage="1" showErrorMessage="1" sqref="H9:H24">
      <x:formula1>"not started,partial,implemented,tested,verified,blocked,not applicable"</x:formula1>
      <x:formula2>0</x:formula2>
    </x:dataValidation>
    <x:dataValidation type="list" errorStyle="stop" operator="between" allowBlank="1" showDropDown="0" showInputMessage="1" showErrorMessage="1" sqref="I9:I24">
      <x:formula1>"yes,no"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90205da0fe84176"/>
  </x:tableParts>
</x:worksheet>
</file>

<file path=xl/worksheets/sheet26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Stack Evidence</x:t>
        </x:is>
      </x:c>
    </x:row>
    <x:row r="2" s="127" customFormat="1" ht="27.75" customHeight="1">
      <x:c r="A2" s="129" t="inlineStr">
        <x:is>
          <x:t xml:space="preserve">Assertion-level package, browser, human-review, documentation, and consumer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COUNTA(A9:A24)</x:f>
        <x:v>16</x:v>
      </x:c>
      <x:c r="D4" s="130" t="inlineStr">
        <x:is>
          <x:t xml:space="preserve">Resolved</x:t>
        </x:is>
      </x:c>
      <x:c r="E4" s="131" t="n">
        <x:f>SUM(M9:M24)</x:f>
        <x:v>11</x:v>
      </x:c>
      <x:c r="G4" s="130" t="inlineStr">
        <x:is>
          <x:t xml:space="preserve">Completion</x:t>
        </x:is>
      </x:c>
      <x:c r="H4" s="132" t="n">
        <x:f>IF(B4=0,0,E4/B4)</x:f>
        <x:v>0.6875</x:v>
      </x:c>
      <x:c r="J4" s="130" t="inlineStr">
        <x:is>
          <x:t xml:space="preserve">Package gate</x:t>
        </x:is>
      </x:c>
      <x:c r="K4" s="131" t="str">
        <x:f>IF(COUNTIFS(E9:E24,"package",M9:M24,0)&gt;0,"open","complete")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IF(COUNTIFS(I9:I24,"yes",M9:M24,0)&gt;0,"open","complete")</x:f>
        <x:v>open</x:v>
      </x:c>
      <x:c r="D5" s="130" t="inlineStr">
        <x:is>
          <x:t xml:space="preserve">Consumer gate</x:t>
        </x:is>
      </x:c>
      <x:c r="E5" s="131" t="str">
        <x:f>IF(COUNTIFS(E9:E24,"consumer",M9:M24,0)&gt;0,"open","complete")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S-01</x:t>
        </x:is>
      </x:c>
      <x:c r="B9" s="149" t="inlineStr">
        <x:is>
          <x:t xml:space="preserve">Implementation</x:t>
        </x:is>
      </x:c>
      <x:c r="C9" s="149" t="inlineStr">
        <x:is>
          <x:t xml:space="preserve">Stack</x:t>
        </x:is>
      </x:c>
      <x:c r="D9" s="150" t="inlineStr">
        <x:is>
          <x:t xml:space="preserve">Stack, HStack, and VStack share one semantic root implementation with stable hooks and refs.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../src/components/stack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46227</x:v>
      </x:c>
      <x:c r="K9" s="150" t="n"/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S-02</x:t>
        </x:is>
      </x:c>
      <x:c r="B10" s="149" t="inlineStr">
        <x:is>
          <x:t xml:space="preserve">Exports</x:t>
        </x:is>
      </x:c>
      <x:c r="C10" s="149" t="inlineStr">
        <x:is>
          <x:t xml:space="preserve">Stack family</x:t>
        </x:is>
      </x:c>
      <x:c r="D10" s="150" t="inlineStr">
        <x:is>
          <x:t xml:space="preserve">Root and public Stack subpath exports expose all three runtimes and public types.</x:t>
        </x:is>
      </x:c>
      <x:c r="E10" s="149" t="inlineStr">
        <x:is>
          <x:t xml:space="preserve">package</x:t>
        </x:is>
      </x:c>
      <x:c r="F10" s="149" t="inlineStr">
        <x:is>
          <x:t xml:space="preserve">package</x:t>
        </x:is>
      </x:c>
      <x:c r="G10" s="150" t="inlineStr">
        <x:is>
          <x:t xml:space="preserve">../test/package/package.test.mjs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46227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S-03</x:t>
        </x:is>
      </x:c>
      <x:c r="B11" s="149" t="inlineStr">
        <x:is>
          <x:t xml:space="preserve">Types</x:t>
        </x:is>
      </x:c>
      <x:c r="C11" s="149" t="inlineStr">
        <x:is>
          <x:t xml:space="preserve">Stack family, Item and Separator</x:t>
        </x:is>
      </x:c>
      <x:c r="D11" s="150" t="inlineStr">
        <x:is>
          <x:t xml:space="preserve">Typed reverse directions, independent gaps, line alignment, inline display, root asChild, and Item grow/shrink/basis/order/logical margins; existing defaults remain unchanged.</x:t>
        </x:is>
      </x:c>
      <x:c r="E11" s="149" t="inlineStr">
        <x:is>
          <x:t xml:space="preserve">package</x:t>
        </x:is>
      </x:c>
      <x:c r="F11" s="149" t="inlineStr">
        <x:is>
          <x:t xml:space="preserve">types</x:t>
        </x:is>
      </x:c>
      <x:c r="G11" s="150" t="inlineStr">
        <x:is>
          <x:t xml:space="preserve">../test/types/components/stack.test.ts; ../test/types/components/stack-separator.test.tsx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46277.5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S-04</x:t>
        </x:is>
      </x:c>
      <x:c r="B12" s="149" t="inlineStr">
        <x:is>
          <x:t xml:space="preserve">CSS</x:t>
        </x:is>
      </x:c>
      <x:c r="C12" s="149" t="inlineStr">
        <x:is>
          <x:t xml:space="preserve">Root and Item</x:t>
        </x:is>
      </x:c>
      <x:c r="D12" s="150" t="inlineStr">
        <x:is>
          <x:t xml:space="preserve">Property-level responsive CSS preserves explicit longhands across recipe changes; same-host root/Item alignment and Surface inset remain independent.</x:t>
        </x:is>
      </x:c>
      <x:c r="E12" s="149" t="inlineStr">
        <x:is>
          <x:t xml:space="preserve">package</x:t>
        </x:is>
      </x:c>
      <x:c r="F12" s="149" t="inlineStr">
        <x:is>
          <x:t xml:space="preserve">css</x:t>
        </x:is>
      </x:c>
      <x:c r="G12" s="150" t="inlineStr">
        <x:is>
          <x:t xml:space="preserve">../src/components/stack/stack.css; ../src/styles/tokens.tokens.json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46275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S-05</x:t>
        </x:is>
      </x:c>
      <x:c r="B13" s="149" t="inlineStr">
        <x:is>
          <x:t xml:space="preserve">Unit</x:t>
        </x:is>
      </x:c>
      <x:c r="C13" s="149" t="inlineStr">
        <x:is>
          <x:t xml:space="preserve">Stack family and Item</x:t>
        </x:is>
      </x:c>
      <x:c r="D13" s="150" t="inlineStr">
        <x:is>
          <x:t xml:space="preserve">Defaults, refs, keyed state, separator counts, opaque peers and text/zero preservation pass 24 unit tests.</x:t>
        </x:is>
      </x:c>
      <x:c r="E13" s="149" t="inlineStr">
        <x:is>
          <x:t xml:space="preserve">package</x:t>
        </x:is>
      </x:c>
      <x:c r="F13" s="149" t="inlineStr">
        <x:is>
          <x:t xml:space="preserve">component</x:t>
        </x:is>
      </x:c>
      <x:c r="G13" s="150" t="inlineStr">
        <x:is>
          <x:t xml:space="preserve">../test/components/stack/stack.test.tsx; ../test/components/stack/separator.test.tsx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46277.5</x:v>
      </x:c>
      <x:c r="K13" s="150" t="n"/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S-06</x:t>
        </x:is>
      </x:c>
      <x:c r="B14" s="149" t="inlineStr">
        <x:is>
          <x:t xml:space="preserve">Browser</x:t>
        </x:is>
      </x:c>
      <x:c r="C14" s="149" t="inlineStr">
        <x:is>
          <x:t xml:space="preserve">Stack family and Item</x:t>
        </x:is>
      </x:c>
      <x:c r="D14" s="150" t="inlineStr">
        <x:is>
          <x:t xml:space="preserve">Existing geometry plus separator axes, two-sided gaps, longhand precedence and nested resets pass browser checks.</x:t>
        </x:is>
      </x:c>
      <x:c r="E14" s="149" t="inlineStr">
        <x:is>
          <x:t xml:space="preserve">package</x:t>
        </x:is>
      </x:c>
      <x:c r="F14" s="149" t="inlineStr">
        <x:is>
          <x:t xml:space="preserve">browser</x:t>
        </x:is>
      </x:c>
      <x:c r="G14" s="150" t="inlineStr">
        <x:is>
          <x:t xml:space="preserve">tests/components/stack/behavior.spec.ts; tests/components/stack/engine.spec.ts; tests/components/stack/separator.spec.ts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46277.5</x:v>
      </x:c>
      <x:c r="K14" s="150" t="n"/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S-07</x:t>
        </x:is>
      </x:c>
      <x:c r="B15" s="149" t="inlineStr">
        <x:is>
          <x:t xml:space="preserve">Accessibility</x:t>
        </x:is>
      </x:c>
      <x:c r="C15" s="149" t="inlineStr">
        <x:is>
          <x:t xml:space="preserve">Root and Item</x:t>
        </x:is>
      </x:c>
      <x:c r="D15" s="150" t="inlineStr">
        <x:is>
          <x:t xml:space="preserve">Fifteen docs previews pass axe and narrow reflow. Source and keyboard order are preserved.</x:t>
        </x:is>
      </x:c>
      <x:c r="E15" s="149" t="inlineStr">
        <x:is>
          <x:t xml:space="preserve">package</x:t>
        </x:is>
      </x:c>
      <x:c r="F15" s="149" t="inlineStr">
        <x:is>
          <x:t xml:space="preserve">axe</x:t>
        </x:is>
      </x:c>
      <x:c r="G15" s="150" t="inlineStr">
        <x:is>
          <x:t xml:space="preserve">tests/components/stack/docs.spec.ts; tests/components/stack/engine.spec.ts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46277.5</x:v>
      </x:c>
      <x:c r="K15" s="150" t="n"/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S-08</x:t>
        </x:is>
      </x:c>
      <x:c r="B16" s="149" t="inlineStr">
        <x:is>
          <x:t xml:space="preserve">Visual</x:t>
        </x:is>
      </x:c>
      <x:c r="C16" s="149" t="inlineStr">
        <x:is>
          <x:t xml:space="preserve">Stack family</x:t>
        </x:is>
      </x:c>
      <x:c r="D16" s="150" t="inlineStr">
        <x:is>
          <x:t xml:space="preserve">Reviewed baselines cover defaults, family directions, gaps, alignment, wrapping, dark appearance, mobile RTL, and forced colors.</x:t>
        </x:is>
      </x:c>
      <x:c r="E16" s="149" t="inlineStr">
        <x:is>
          <x:t xml:space="preserve">package</x:t>
        </x:is>
      </x:c>
      <x:c r="F16" s="149" t="inlineStr">
        <x:is>
          <x:t xml:space="preserve">visual</x:t>
        </x:is>
      </x:c>
      <x:c r="G16" s="150" t="inlineStr">
        <x:is>
          <x:t xml:space="preserve">tests/components/stack/visual.spec.ts</x:t>
        </x:is>
      </x:c>
      <x:c r="H16" s="149" t="inlineStr">
        <x:is>
          <x:t xml:space="preserve">tested</x:t>
        </x:is>
      </x:c>
      <x:c r="I16" s="149" t="inlineStr">
        <x:is>
          <x:t xml:space="preserve">yes</x:t>
        </x:is>
      </x:c>
      <x:c r="J16" s="151" t="n">
        <x:v>46275</x:v>
      </x:c>
      <x:c r="K16" s="150" t="inlineStr">
        <x:is>
          <x:t xml:space="preserve">Automated snapshots updated for the current docs shell; expanded human appearance protocol remains pending.</x:t>
        </x:is>
      </x:c>
      <x:c r="L16" s="149" t="n">
        <x:v>1</x:v>
      </x:c>
      <x:c r="M16" s="149" t="n">
        <x:f>IF(OR(AND(I16="yes",H16="verified"),AND(I16="no",OR(H16="tested",H16="verified")),AND(H16="not applicable",K16&lt;&gt;"")),1,0)</x:f>
        <x:v>0</x:v>
      </x:c>
    </x:row>
    <x:row r="17" s="127" customFormat="1" ht="54" customHeight="1">
      <x:c r="A17" s="149" t="inlineStr">
        <x:is>
          <x:t xml:space="preserve">S-09</x:t>
        </x:is>
      </x:c>
      <x:c r="B17" s="149" t="inlineStr">
        <x:is>
          <x:t xml:space="preserve">Responsive</x:t>
        </x:is>
      </x:c>
      <x:c r="C17" s="149" t="inlineStr">
        <x:is>
          <x:t xml:space="preserve">Stack family</x:t>
        </x:is>
      </x:c>
      <x:c r="D17" s="150" t="inlineStr">
        <x:is>
          <x:t xml:space="preserve">Physical mobile, 200%/400% zoom, constrained wrapping, long content, and RTL remain readable and contained.</x:t>
        </x:is>
      </x:c>
      <x:c r="E17" s="149" t="inlineStr">
        <x:is>
          <x:t xml:space="preserve">package</x:t>
        </x:is>
      </x:c>
      <x:c r="F17" s="149" t="inlineStr">
        <x:is>
          <x:t xml:space="preserve">manual</x:t>
        </x:is>
      </x:c>
      <x:c r="G17" s="150" t="inlineStr">
        <x:is>
          <x:t xml:space="preserve">manual-tests/stack.md</x:t>
        </x:is>
      </x:c>
      <x:c r="H17" s="149" t="inlineStr">
        <x:is>
          <x:t xml:space="preserve">implemented</x:t>
        </x:is>
      </x:c>
      <x:c r="I17" s="149" t="inlineStr">
        <x:is>
          <x:t xml:space="preserve">yes</x:t>
        </x:is>
      </x:c>
      <x:c r="J17" s="151" t="n"/>
      <x:c r="K17" s="150" t="inlineStr">
        <x:is>
          <x:t xml:space="preserve">Automated reflow and RTL evidence passes; the human manual run is intentionally pending.</x:t>
        </x:is>
      </x:c>
      <x:c r="L17" s="149" t="n">
        <x:v>1</x:v>
      </x:c>
      <x:c r="M17" s="149" t="n">
        <x:f>IF(OR(AND(I17="yes",H17="verified"),AND(I17="no",OR(H17="tested",H17="verified")),AND(H17="not applicable",K17&lt;&gt;"")),1,0)</x:f>
        <x:v>0</x:v>
      </x:c>
    </x:row>
    <x:row r="18" s="127" customFormat="1" ht="54" customHeight="1">
      <x:c r="A18" s="149" t="inlineStr">
        <x:is>
          <x:t xml:space="preserve">S-10</x:t>
        </x:is>
      </x:c>
      <x:c r="B18" s="149" t="inlineStr">
        <x:is>
          <x:t xml:space="preserve">Theme</x:t>
        </x:is>
      </x:c>
      <x:c r="C18" s="149" t="inlineStr">
        <x:is>
          <x:t xml:space="preserve">Root</x:t>
        </x:is>
      </x:c>
      <x:c r="D18" s="150" t="inlineStr">
        <x:is>
          <x:t xml:space="preserve">Light, dark, forced-colors, focus-bearing children, and text-spacing stress retain understandable layout.</x:t>
        </x:is>
      </x:c>
      <x:c r="E18" s="149" t="inlineStr">
        <x:is>
          <x:t xml:space="preserve">package</x:t>
        </x:is>
      </x:c>
      <x:c r="F18" s="149" t="inlineStr">
        <x:is>
          <x:t xml:space="preserve">manual</x:t>
        </x:is>
      </x:c>
      <x:c r="G18" s="150" t="inlineStr">
        <x:is>
          <x:t xml:space="preserve">manual-tests/stack.md; tests/components/stack/visual.spec.ts</x:t>
        </x:is>
      </x:c>
      <x:c r="H18" s="149" t="inlineStr">
        <x:is>
          <x:t xml:space="preserve">implemented</x:t>
        </x:is>
      </x:c>
      <x:c r="I18" s="149" t="inlineStr">
        <x:is>
          <x:t xml:space="preserve">yes</x:t>
        </x:is>
      </x:c>
      <x:c r="J18" s="151" t="n"/>
      <x:c r="K18" s="150" t="inlineStr">
        <x:is>
          <x:t xml:space="preserve">Automated appearance evidence passes; complete human appearance review is pending.</x:t>
        </x:is>
      </x:c>
      <x:c r="L18" s="149" t="n">
        <x:v>1</x:v>
      </x:c>
      <x:c r="M18" s="149" t="n">
        <x:f>IF(OR(AND(I18="yes",H18="verified"),AND(I18="no",OR(H18="tested",H18="verified")),AND(H18="not applicable",K18&lt;&gt;"")),1,0)</x:f>
        <x:v>0</x:v>
      </x:c>
    </x:row>
    <x:row r="19" s="127" customFormat="1" ht="54" customHeight="1">
      <x:c r="A19" s="149" t="inlineStr">
        <x:is>
          <x:t xml:space="preserve">S-11</x:t>
        </x:is>
      </x:c>
      <x:c r="B19" s="149" t="inlineStr">
        <x:is>
          <x:t xml:space="preserve">Semantics</x:t>
        </x:is>
      </x:c>
      <x:c r="C19" s="149" t="inlineStr">
        <x:is>
          <x:t xml:space="preserve">Root and Item</x:t>
        </x:is>
      </x:c>
      <x:c r="D19" s="150" t="inlineStr">
        <x:is>
          <x:t xml:space="preserve">Every supported host, authored native attribute, DOM order, composed Item host, and rendered-output example match the public contract.</x:t>
        </x:is>
      </x:c>
      <x:c r="E19" s="149" t="inlineStr">
        <x:is>
          <x:t xml:space="preserve">package</x:t>
        </x:is>
      </x:c>
      <x:c r="F19" s="149" t="inlineStr">
        <x:is>
          <x:t xml:space="preserve">browser</x:t>
        </x:is>
      </x:c>
      <x:c r="G19" s="150" t="inlineStr">
        <x:is>
          <x:t xml:space="preserve">../test/components/stack/stack.test.tsx; tests/components/stack/behavior.spec.ts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46244</x:v>
      </x:c>
      <x:c r="K19" s="150" t="n"/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S-12</x:t>
        </x:is>
      </x:c>
      <x:c r="B20" s="149" t="inlineStr">
        <x:is>
          <x:t xml:space="preserve">Manual</x:t>
        </x:is>
      </x:c>
      <x:c r="C20" s="149" t="inlineStr">
        <x:is>
          <x:t xml:space="preserve">Stack family</x:t>
        </x:is>
      </x:c>
      <x:c r="D20" s="150" t="inlineStr">
        <x:is>
          <x:t xml:space="preserve">The component-owned manual protocol passes every Stack playground scenario.</x:t>
        </x:is>
      </x:c>
      <x:c r="E20" s="149" t="inlineStr">
        <x:is>
          <x:t xml:space="preserve">package</x:t>
        </x:is>
      </x:c>
      <x:c r="F20" s="149" t="inlineStr">
        <x:is>
          <x:t xml:space="preserve">manual</x:t>
        </x:is>
      </x:c>
      <x:c r="G20" s="150" t="inlineStr">
        <x:is>
          <x:t xml:space="preserve">manual-tests/stack.md</x:t>
        </x:is>
      </x:c>
      <x:c r="H20" s="149" t="inlineStr">
        <x:is>
          <x:t xml:space="preserve">implemented</x:t>
        </x:is>
      </x:c>
      <x:c r="I20" s="149" t="inlineStr">
        <x:is>
          <x:t xml:space="preserve">yes</x:t>
        </x:is>
      </x:c>
      <x:c r="J20" s="151" t="n"/>
      <x:c r="K20" s="150" t="inlineStr">
        <x:is>
          <x:t xml:space="preserve">Protocol exists but the owner has deferred the human run.</x:t>
        </x:is>
      </x:c>
      <x:c r="L20" s="149" t="n">
        <x:v>1</x:v>
      </x:c>
      <x:c r="M20" s="149" t="n">
        <x:f>IF(OR(AND(I20="yes",H20="verified"),AND(I20="no",OR(H20="tested",H20="verified")),AND(H20="not applicable",K20&lt;&gt;"")),1,0)</x:f>
        <x:v>0</x:v>
      </x:c>
    </x:row>
    <x:row r="21" s="127" customFormat="1" ht="54" customHeight="1">
      <x:c r="A21" s="149" t="inlineStr">
        <x:is>
          <x:t xml:space="preserve">S-13</x:t>
        </x:is>
      </x:c>
      <x:c r="B21" s="149" t="inlineStr">
        <x:is>
          <x:t xml:space="preserve">Docs</x:t>
        </x:is>
      </x:c>
      <x:c r="C21" s="149" t="inlineStr">
        <x:is>
          <x:t xml:space="preserve">Stack family and Item</x:t>
        </x:is>
      </x:c>
      <x:c r="D21" s="150" t="inlineStr">
        <x:is>
          <x:t xml:space="preserve">Public usage and Agent Knowledge document separators, responsive spacing, composition limits and existing layout props.</x:t>
        </x:is>
      </x:c>
      <x:c r="E21" s="149" t="inlineStr">
        <x:is>
          <x:t xml:space="preserve">package</x:t>
        </x:is>
      </x:c>
      <x:c r="F21" s="149" t="inlineStr">
        <x:is>
          <x:t xml:space="preserve">docs</x:t>
        </x:is>
      </x:c>
      <x:c r="G21" s="150" t="inlineStr">
        <x:is>
          <x:t xml:space="preserve">../docs/components/stack/README.md; ../src/components/stack/agent.md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46277.5</x:v>
      </x:c>
      <x:c r="K21" s="150" t="n"/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S-14</x:t>
        </x:is>
      </x:c>
      <x:c r="B22" s="149" t="inlineStr">
        <x:is>
          <x:t xml:space="preserve">Changelog</x:t>
        </x:is>
      </x:c>
      <x:c r="C22" s="149" t="inlineStr">
        <x:is>
          <x:t xml:space="preserve">Stack family and Item</x:t>
        </x:is>
      </x:c>
      <x:c r="D22" s="150" t="inlineStr">
        <x:is>
          <x:t xml:space="preserve">Stack owns a public component changelog and the package changelog records responsive layout and Item additions.</x:t>
        </x:is>
      </x:c>
      <x:c r="E22" s="149" t="inlineStr">
        <x:is>
          <x:t xml:space="preserve">package</x:t>
        </x:is>
      </x:c>
      <x:c r="F22" s="149" t="inlineStr">
        <x:is>
          <x:t xml:space="preserve">docs</x:t>
        </x:is>
      </x:c>
      <x:c r="G22" s="150" t="inlineStr">
        <x:is>
          <x:t xml:space="preserve">../docs/components/stack/CHANGELOG.md; ../CHANGELOG.md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46244</x:v>
      </x:c>
      <x:c r="K22" s="150" t="n"/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S-15</x:t>
        </x:is>
      </x:c>
      <x:c r="B23" s="149" t="inlineStr">
        <x:is>
          <x:t xml:space="preserve">Consumer</x:t>
        </x:is>
      </x:c>
      <x:c r="C23" s="149" t="inlineStr">
        <x:is>
          <x:t xml:space="preserve">HStack / VStack</x:t>
        </x:is>
      </x:c>
      <x:c r="D23" s="150" t="inlineStr">
        <x:is>
          <x:t xml:space="preserve">The packed Consumer proves realistic content and action composition through the public Stack subpath.</x:t>
        </x:is>
      </x:c>
      <x:c r="E23" s="149" t="inlineStr">
        <x:is>
          <x:t xml:space="preserve">consumer</x:t>
        </x:is>
      </x:c>
      <x:c r="F23" s="149" t="inlineStr">
        <x:is>
          <x:t xml:space="preserve">consumer</x:t>
        </x:is>
      </x:c>
      <x:c r="G23" s="150" t="inlineStr">
        <x:is>
          <x:t xml:space="preserve">../apps/consumer/src/App.tsx; ../apps/consumer/tests/consumer.spec.ts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>
        <x:v>46227</x:v>
      </x:c>
      <x:c r="K23" s="150" t="n"/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S-16</x:t>
        </x:is>
      </x:c>
      <x:c r="B24" s="149" t="inlineStr">
        <x:is>
          <x:t xml:space="preserve">Package</x:t>
        </x:is>
      </x:c>
      <x:c r="C24" s="149" t="inlineStr">
        <x:is>
          <x:t xml:space="preserve">Stack family and Item</x:t>
        </x:is>
      </x:c>
      <x:c r="D24" s="150" t="inlineStr">
        <x:is>
          <x:t xml:space="preserve">Build, SSR, exports, CSS, tarball, React 18/19, packed consumers, browser evidence, and playground Stack-adoption checks pass.</x:t>
        </x:is>
      </x:c>
      <x:c r="E24" s="149" t="inlineStr">
        <x:is>
          <x:t xml:space="preserve">package</x:t>
        </x:is>
      </x:c>
      <x:c r="F24" s="149" t="inlineStr">
        <x:is>
          <x:t xml:space="preserve">package</x:t>
        </x:is>
      </x:c>
      <x:c r="G24" s="150" t="inlineStr">
        <x:is>
          <x:t xml:space="preserve">../test/package; ../scripts/verify-package.mjs; ../scripts/verify-consumers.mjs; ../scripts/verify-playground-stack.mjs</x:t>
        </x:is>
      </x:c>
      <x:c r="H24" s="149" t="inlineStr">
        <x:is>
          <x:t xml:space="preserve">partial</x:t>
        </x:is>
      </x:c>
      <x:c r="I24" s="149" t="inlineStr">
        <x:is>
          <x:t xml:space="preserve">yes</x:t>
        </x:is>
      </x:c>
      <x:c r="J24" s="151" t="n">
        <x:v>46227</x:v>
      </x:c>
      <x:c r="K24" s="150" t="inlineStr">
        <x:is>
          <x:t xml:space="preserve">Published Atom lacks action-delegate; clean consumer gate is blocked. Manual gates remain open.</x:t>
        </x:is>
      </x:c>
      <x:c r="L24" s="149" t="n">
        <x:v>1</x:v>
      </x:c>
      <x:c r="M24" s="149" t="n">
        <x:f>IF(OR(AND(I24="yes",H24="verified"),AND(I24="no",OR(H24="tested",H24="verified")),AND(H24="not applicable",K24&lt;&gt;"")),1,0)</x:f>
        <x:v>0</x:v>
      </x:c>
    </x:row>
  </x:sheetData>
  <x:mergeCells>
    <x:mergeCell ref="A2:M2"/>
    <x:mergeCell ref="A1:M1"/>
  </x:mergeCells>
  <x:conditionalFormatting sqref="H9:H24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1" showDropDown="0" showInputMessage="1" showErrorMessage="1" sqref="H9:H24">
      <x:formula1>"not started,partial,implemented,tested,verified,blocked,not applicable"</x:formula1>
      <x:formula2>0</x:formula2>
    </x:dataValidation>
    <x:dataValidation type="list" errorStyle="stop" operator="between" allowBlank="1" showDropDown="0" showInputMessage="1" showErrorMessage="1" sqref="I9:I24">
      <x:formula1>"yes,no"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53ee237638084c83"/>
  </x:tableParts>
</x:worksheet>
</file>

<file path=xl/worksheets/sheet27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Group Evidence</x:t>
        </x:is>
      </x:c>
    </x:row>
    <x:row r="2" s="127" customFormat="1" ht="27.75" customHeight="1">
      <x:c r="A2" s="129" t="inlineStr">
        <x:is>
          <x:t xml:space="preserve">Assertion-level package, browser, human-review, documentation, and consumer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COUNTA(A9:A24)</x:f>
        <x:v>16</x:v>
      </x:c>
      <x:c r="D4" s="130" t="inlineStr">
        <x:is>
          <x:t xml:space="preserve">Resolved</x:t>
        </x:is>
      </x:c>
      <x:c r="E4" s="131" t="n">
        <x:f>SUM(M9:M24)</x:f>
        <x:v>9</x:v>
      </x:c>
      <x:c r="G4" s="130" t="inlineStr">
        <x:is>
          <x:t xml:space="preserve">Completion</x:t>
        </x:is>
      </x:c>
      <x:c r="H4" s="132" t="n">
        <x:f>IF(B4=0,0,E4/B4)</x:f>
        <x:v>0.5625</x:v>
      </x:c>
      <x:c r="J4" s="130" t="inlineStr">
        <x:is>
          <x:t xml:space="preserve">Package gate</x:t>
        </x:is>
      </x:c>
      <x:c r="K4" s="131" t="str">
        <x:f>IF(COUNTIFS(E9:E24,"package",M9:M24,0)&gt;0,"open","complete")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IF(COUNTIFS(I9:I24,"yes",M9:M24,0)&gt;0,"open","complete")</x:f>
        <x:v>open</x:v>
      </x:c>
      <x:c r="D5" s="130" t="inlineStr">
        <x:is>
          <x:t xml:space="preserve">Consumer gate</x:t>
        </x:is>
      </x:c>
      <x:c r="E5" s="131" t="str">
        <x:f>IF(COUNTIFS(E9:E24,"consumer",M9:M24,0)&gt;0,"open","complete")</x:f>
        <x:v>open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G-01</x:t>
        </x:is>
      </x:c>
      <x:c r="B9" s="149" t="inlineStr">
        <x:is>
          <x:t xml:space="preserve">Implementation</x:t>
        </x:is>
      </x:c>
      <x:c r="C9" s="149" t="inlineStr">
        <x:is>
          <x:t xml:space="preserve">Group</x:t>
        </x:is>
      </x:c>
      <x:c r="D9" s="150" t="inlineStr">
        <x:is>
          <x:t xml:space="preserve">Default direct-child grouping and managed skip/stacking preserve content; asChild supports one existing host.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../src/components/group/Group.tsx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46260</x:v>
      </x:c>
      <x:c r="K9" s="150" t="n"/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G-02</x:t>
        </x:is>
      </x:c>
      <x:c r="B10" s="149" t="inlineStr">
        <x:is>
          <x:t xml:space="preserve">Exports</x:t>
        </x:is>
      </x:c>
      <x:c r="C10" s="149" t="inlineStr">
        <x:is>
          <x:t xml:space="preserve">Group</x:t>
        </x:is>
      </x:c>
      <x:c r="D10" s="150" t="inlineStr">
        <x:is>
          <x:t xml:space="preserve">Root and public group subpath exports expose the runtime and public types.</x:t>
        </x:is>
      </x:c>
      <x:c r="E10" s="149" t="inlineStr">
        <x:is>
          <x:t xml:space="preserve">package</x:t>
        </x:is>
      </x:c>
      <x:c r="F10" s="149" t="inlineStr">
        <x:is>
          <x:t xml:space="preserve">package</x:t>
        </x:is>
      </x:c>
      <x:c r="G10" s="150" t="inlineStr">
        <x:is>
          <x:t xml:space="preserve">../src/group.ts; ../src/index.ts; ../package.json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46260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G-03</x:t>
        </x:is>
      </x:c>
      <x:c r="B11" s="149" t="inlineStr">
        <x:is>
          <x:t xml:space="preserve">Types</x:t>
        </x:is>
      </x:c>
      <x:c r="C11" s="149" t="inlineStr">
        <x:is>
          <x:t xml:space="preserve">Group</x:t>
        </x:is>
      </x:c>
      <x:c r="D11" s="150" t="inlineStr">
        <x:is>
          <x:t xml:space="preserve">Responsive orientation, gap, grow, align, justify, wrap and single-host composition types compile.</x:t>
        </x:is>
      </x:c>
      <x:c r="E11" s="149" t="inlineStr">
        <x:is>
          <x:t xml:space="preserve">package</x:t>
        </x:is>
      </x:c>
      <x:c r="F11" s="149" t="inlineStr">
        <x:is>
          <x:t xml:space="preserve">types</x:t>
        </x:is>
      </x:c>
      <x:c r="G11" s="150" t="inlineStr">
        <x:is>
          <x:t xml:space="preserve">../test/types/components/group.test.ts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46260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G-04</x:t>
        </x:is>
      </x:c>
      <x:c r="B12" s="149" t="inlineStr">
        <x:is>
          <x:t xml:space="preserve">CSS</x:t>
        </x:is>
      </x:c>
      <x:c r="C12" s="149" t="inlineStr">
        <x:is>
          <x:t xml:space="preserve">Group and direct children</x:t>
        </x:is>
      </x:c>
      <x:c r="D12" s="150" t="inlineStr">
        <x:is>
          <x:t xml:space="preserve">Logical attachment preserves outside corners; responsive growth, wrapping and focus-priority stacking use static CSS.</x:t>
        </x:is>
      </x:c>
      <x:c r="E12" s="149" t="inlineStr">
        <x:is>
          <x:t xml:space="preserve">package</x:t>
        </x:is>
      </x:c>
      <x:c r="F12" s="149" t="inlineStr">
        <x:is>
          <x:t xml:space="preserve">css</x:t>
        </x:is>
      </x:c>
      <x:c r="G12" s="150" t="inlineStr">
        <x:is>
          <x:t xml:space="preserve">../src/components/group/group.css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46260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G-05</x:t>
        </x:is>
      </x:c>
      <x:c r="B13" s="149" t="inlineStr">
        <x:is>
          <x:t xml:space="preserve">Unit</x:t>
        </x:is>
      </x:c>
      <x:c r="C13" s="149" t="inlineStr">
        <x:is>
          <x:t xml:space="preserve">Group</x:t>
        </x:is>
      </x:c>
      <x:c r="D13" s="150" t="inlineStr">
        <x:is>
          <x:t xml:space="preserve">Unit tests cover default compatibility, fragment participation, skipped children, stacking and composed host refs.</x:t>
        </x:is>
      </x:c>
      <x:c r="E13" s="149" t="inlineStr">
        <x:is>
          <x:t xml:space="preserve">package</x:t>
        </x:is>
      </x:c>
      <x:c r="F13" s="149" t="inlineStr">
        <x:is>
          <x:t xml:space="preserve">component</x:t>
        </x:is>
      </x:c>
      <x:c r="G13" s="150" t="inlineStr">
        <x:is>
          <x:t xml:space="preserve">../test/components/group/group.test.tsx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46260</x:v>
      </x:c>
      <x:c r="K13" s="150" t="n"/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G-06</x:t>
        </x:is>
      </x:c>
      <x:c r="B14" s="149" t="inlineStr">
        <x:is>
          <x:t xml:space="preserve">Browser</x:t>
        </x:is>
      </x:c>
      <x:c r="C14" s="149" t="inlineStr">
        <x:is>
          <x:t xml:space="preserve">Group and direct children</x:t>
        </x:is>
      </x:c>
      <x:c r="D14" s="150" t="inlineStr">
        <x:is>
          <x:t xml:space="preserve">Browser tests verify responsive attachment, shared seams, skip, stacking, growth and narrow mixed-control containment.</x:t>
        </x:is>
      </x:c>
      <x:c r="E14" s="149" t="inlineStr">
        <x:is>
          <x:t xml:space="preserve">package</x:t>
        </x:is>
      </x:c>
      <x:c r="F14" s="149" t="inlineStr">
        <x:is>
          <x:t xml:space="preserve">browser</x:t>
        </x:is>
      </x:c>
      <x:c r="G14" s="150" t="inlineStr">
        <x:is>
          <x:t xml:space="preserve">tests/components/group/behavior.spec.ts; tests/components/group/docs.spec.ts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46260</x:v>
      </x:c>
      <x:c r="K14" s="150" t="n"/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G-07</x:t>
        </x:is>
      </x:c>
      <x:c r="B15" s="149" t="inlineStr">
        <x:is>
          <x:t xml:space="preserve">Accessibility</x:t>
        </x:is>
      </x:c>
      <x:c r="C15" s="149" t="inlineStr">
        <x:is>
          <x:t xml:space="preserve">Group and controls</x:t>
        </x:is>
      </x:c>
      <x:c r="D15" s="150" t="inlineStr">
        <x:is>
          <x:t xml:space="preserve">Authored roles and names, independent Tab stops, source order, RTL logic, visible focus, containment, and axe pass without implicit semantics.</x:t>
        </x:is>
      </x:c>
      <x:c r="E15" s="149" t="inlineStr">
        <x:is>
          <x:t xml:space="preserve">package</x:t>
        </x:is>
      </x:c>
      <x:c r="F15" s="149" t="inlineStr">
        <x:is>
          <x:t xml:space="preserve">axe</x:t>
        </x:is>
      </x:c>
      <x:c r="G15" s="150" t="inlineStr">
        <x:is>
          <x:t xml:space="preserve">tests/components/group/behavior.spec.ts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46260</x:v>
      </x:c>
      <x:c r="K15" s="150" t="n"/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G-08</x:t>
        </x:is>
      </x:c>
      <x:c r="B16" s="149" t="inlineStr">
        <x:is>
          <x:t xml:space="preserve">Visual</x:t>
        </x:is>
      </x:c>
      <x:c r="C16" s="149" t="inlineStr">
        <x:is>
          <x:t xml:space="preserve">Group and direct children</x:t>
        </x:is>
      </x:c>
      <x:c r="D16" s="150" t="inlineStr">
        <x:is>
          <x:t xml:space="preserve">Reviewed docs snapshots cover mixed controls, dark stacking and mobile orientation; broader manual review remains open.</x:t>
        </x:is>
      </x:c>
      <x:c r="E16" s="149" t="inlineStr">
        <x:is>
          <x:t xml:space="preserve">package</x:t>
        </x:is>
      </x:c>
      <x:c r="F16" s="149" t="inlineStr">
        <x:is>
          <x:t xml:space="preserve">visual</x:t>
        </x:is>
      </x:c>
      <x:c r="G16" s="150" t="inlineStr">
        <x:is>
          <x:t xml:space="preserve">tests/components/group/docs-visual.spec.ts</x:t>
        </x:is>
      </x:c>
      <x:c r="H16" s="149" t="inlineStr">
        <x:is>
          <x:t xml:space="preserve">partial</x:t>
        </x:is>
      </x:c>
      <x:c r="I16" s="149" t="inlineStr">
        <x:is>
          <x:t xml:space="preserve">yes</x:t>
        </x:is>
      </x:c>
      <x:c r="J16" s="151" t="n"/>
      <x:c r="K16" s="150" t="inlineStr">
        <x:is>
          <x:t xml:space="preserve">Six combined Grid and Group docs snapshots inspected; manual protocol not performed.</x:t>
        </x:is>
      </x:c>
      <x:c r="L16" s="149" t="n">
        <x:v>1</x:v>
      </x:c>
      <x:c r="M16" s="149" t="n">
        <x:f>IF(OR(AND(I16="yes",H16="verified"),AND(I16="no",OR(H16="tested",H16="verified")),AND(H16="not applicable",K16&lt;&gt;"")),1,0)</x:f>
        <x:v>0</x:v>
      </x:c>
    </x:row>
    <x:row r="17" s="127" customFormat="1" ht="54" customHeight="1">
      <x:c r="A17" s="149" t="inlineStr">
        <x:is>
          <x:t xml:space="preserve">G-09</x:t>
        </x:is>
      </x:c>
      <x:c r="B17" s="149" t="inlineStr">
        <x:is>
          <x:t xml:space="preserve">Responsive</x:t>
        </x:is>
      </x:c>
      <x:c r="C17" s="149" t="inlineStr">
        <x:is>
          <x:t xml:space="preserve">Group</x:t>
        </x:is>
      </x:c>
      <x:c r="D17" s="150" t="inlineStr">
        <x:is>
          <x:t xml:space="preserve">Physical mobile, 200%/400% zoom, constrained long content, and RTL remain cohesive and reachable.</x:t>
        </x:is>
      </x:c>
      <x:c r="E17" s="149" t="inlineStr">
        <x:is>
          <x:t xml:space="preserve">package</x:t>
        </x:is>
      </x:c>
      <x:c r="F17" s="149" t="inlineStr">
        <x:is>
          <x:t xml:space="preserve">manual</x:t>
        </x:is>
      </x:c>
      <x:c r="G17" s="150" t="inlineStr">
        <x:is>
          <x:t xml:space="preserve">manual-tests/group.md</x:t>
        </x:is>
      </x:c>
      <x:c r="H17" s="149" t="inlineStr">
        <x:is>
          <x:t xml:space="preserve">implemented</x:t>
        </x:is>
      </x:c>
      <x:c r="I17" s="149" t="inlineStr">
        <x:is>
          <x:t xml:space="preserve">yes</x:t>
        </x:is>
      </x:c>
      <x:c r="J17" s="151" t="n"/>
      <x:c r="K17" s="150" t="inlineStr">
        <x:is>
          <x:t xml:space="preserve">Automated narrow and RTL evidence passes; the human manual run is pending.</x:t>
        </x:is>
      </x:c>
      <x:c r="L17" s="149" t="n">
        <x:v>1</x:v>
      </x:c>
      <x:c r="M17" s="149" t="n">
        <x:f>IF(OR(AND(I17="yes",H17="verified"),AND(I17="no",OR(H17="tested",H17="verified")),AND(H17="not applicable",K17&lt;&gt;"")),1,0)</x:f>
        <x:v>0</x:v>
      </x:c>
    </x:row>
    <x:row r="18" s="127" customFormat="1" ht="54" customHeight="1">
      <x:c r="A18" s="149" t="inlineStr">
        <x:is>
          <x:t xml:space="preserve">G-10</x:t>
        </x:is>
      </x:c>
      <x:c r="B18" s="149" t="inlineStr">
        <x:is>
          <x:t xml:space="preserve">Theme</x:t>
        </x:is>
      </x:c>
      <x:c r="C18" s="149" t="inlineStr">
        <x:is>
          <x:t xml:space="preserve">Group and children</x:t>
        </x:is>
      </x:c>
      <x:c r="D18" s="150" t="inlineStr">
        <x:is>
          <x:t xml:space="preserve">Light, dark, accent, radius, font, forced-colors, focus, disabled, and text-spacing stress retain child-owned paint and Group geometry.</x:t>
        </x:is>
      </x:c>
      <x:c r="E18" s="149" t="inlineStr">
        <x:is>
          <x:t xml:space="preserve">package</x:t>
        </x:is>
      </x:c>
      <x:c r="F18" s="149" t="inlineStr">
        <x:is>
          <x:t xml:space="preserve">manual</x:t>
        </x:is>
      </x:c>
      <x:c r="G18" s="150" t="inlineStr">
        <x:is>
          <x:t xml:space="preserve">manual-tests/group.md; tests/components/group/visual.spec.ts</x:t>
        </x:is>
      </x:c>
      <x:c r="H18" s="149" t="inlineStr">
        <x:is>
          <x:t xml:space="preserve">implemented</x:t>
        </x:is>
      </x:c>
      <x:c r="I18" s="149" t="inlineStr">
        <x:is>
          <x:t xml:space="preserve">yes</x:t>
        </x:is>
      </x:c>
      <x:c r="J18" s="151" t="n"/>
      <x:c r="K18" s="150" t="inlineStr">
        <x:is>
          <x:t xml:space="preserve">Automated geometry evidence passes; complete human appearance review is pending.</x:t>
        </x:is>
      </x:c>
      <x:c r="L18" s="149" t="n">
        <x:v>1</x:v>
      </x:c>
      <x:c r="M18" s="149" t="n">
        <x:f>IF(OR(AND(I18="yes",H18="verified"),AND(I18="no",OR(H18="tested",H18="verified")),AND(H18="not applicable",K18&lt;&gt;"")),1,0)</x:f>
        <x:v>0</x:v>
      </x:c>
    </x:row>
    <x:row r="19" s="127" customFormat="1" ht="54" customHeight="1">
      <x:c r="A19" s="149" t="inlineStr">
        <x:is>
          <x:t xml:space="preserve">G-11</x:t>
        </x:is>
      </x:c>
      <x:c r="B19" s="149" t="inlineStr">
        <x:is>
          <x:t xml:space="preserve">Semantics</x:t>
        </x:is>
      </x:c>
      <x:c r="C19" s="149" t="inlineStr">
        <x:is>
          <x:t xml:space="preserve">Group</x:t>
        </x:is>
      </x:c>
      <x:c r="D19" s="150" t="inlineStr">
        <x:is>
          <x:t xml:space="preserve">Both hosts, authored native attributes, DOM order, role-free default, and explicitly named group output match the public contract.</x:t>
        </x:is>
      </x:c>
      <x:c r="E19" s="149" t="inlineStr">
        <x:is>
          <x:t xml:space="preserve">package</x:t>
        </x:is>
      </x:c>
      <x:c r="F19" s="149" t="inlineStr">
        <x:is>
          <x:t xml:space="preserve">browser</x:t>
        </x:is>
      </x:c>
      <x:c r="G19" s="150" t="inlineStr">
        <x:is>
          <x:t xml:space="preserve">../test/components/group/group.test.tsx; tests/components/group/behavior.spec.ts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46260</x:v>
      </x:c>
      <x:c r="K19" s="150" t="n"/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G-12</x:t>
        </x:is>
      </x:c>
      <x:c r="B20" s="149" t="inlineStr">
        <x:is>
          <x:t xml:space="preserve">Manual</x:t>
        </x:is>
      </x:c>
      <x:c r="C20" s="149" t="inlineStr">
        <x:is>
          <x:t xml:space="preserve">Group</x:t>
        </x:is>
      </x:c>
      <x:c r="D20" s="150" t="inlineStr">
        <x:is>
          <x:t xml:space="preserve">The component-owned manual protocol passes every Group scenario.</x:t>
        </x:is>
      </x:c>
      <x:c r="E20" s="149" t="inlineStr">
        <x:is>
          <x:t xml:space="preserve">package</x:t>
        </x:is>
      </x:c>
      <x:c r="F20" s="149" t="inlineStr">
        <x:is>
          <x:t xml:space="preserve">manual</x:t>
        </x:is>
      </x:c>
      <x:c r="G20" s="150" t="inlineStr">
        <x:is>
          <x:t xml:space="preserve">manual-tests/group.md</x:t>
        </x:is>
      </x:c>
      <x:c r="H20" s="149" t="inlineStr">
        <x:is>
          <x:t xml:space="preserve">implemented</x:t>
        </x:is>
      </x:c>
      <x:c r="I20" s="149" t="inlineStr">
        <x:is>
          <x:t xml:space="preserve">yes</x:t>
        </x:is>
      </x:c>
      <x:c r="J20" s="151" t="n"/>
      <x:c r="K20" s="150" t="inlineStr">
        <x:is>
          <x:t xml:space="preserve">Protocol exists; owner review is pending.</x:t>
        </x:is>
      </x:c>
      <x:c r="L20" s="149" t="n">
        <x:v>1</x:v>
      </x:c>
      <x:c r="M20" s="149" t="n">
        <x:f>IF(OR(AND(I20="yes",H20="verified"),AND(I20="no",OR(H20="tested",H20="verified")),AND(H20="not applicable",K20&lt;&gt;"")),1,0)</x:f>
        <x:v>0</x:v>
      </x:c>
    </x:row>
    <x:row r="21" s="127" customFormat="1" ht="54" customHeight="1">
      <x:c r="A21" s="149" t="inlineStr">
        <x:is>
          <x:t xml:space="preserve">G-13</x:t>
        </x:is>
      </x:c>
      <x:c r="B21" s="149" t="inlineStr">
        <x:is>
          <x:t xml:space="preserve">Docs</x:t>
        </x:is>
      </x:c>
      <x:c r="C21" s="149" t="inlineStr">
        <x:is>
          <x:t xml:space="preserve">Group</x:t>
        </x:is>
      </x:c>
      <x:c r="D21" s="150" t="inlineStr">
        <x:is>
          <x:t xml:space="preserve">Source-backed public usage, boundaries, direct-child rules, accessibility, CSS, API, and Agent Knowledge pass component checks.</x:t>
        </x:is>
      </x:c>
      <x:c r="E21" s="149" t="inlineStr">
        <x:is>
          <x:t xml:space="preserve">package</x:t>
        </x:is>
      </x:c>
      <x:c r="F21" s="149" t="inlineStr">
        <x:is>
          <x:t xml:space="preserve">docs</x:t>
        </x:is>
      </x:c>
      <x:c r="G21" s="150" t="inlineStr">
        <x:is>
          <x:t xml:space="preserve">../docs/components/group/README.md; ../src/components/group/agent.md</x:t>
        </x:is>
      </x:c>
      <x:c r="H21" s="149" t="inlineStr">
        <x:is>
          <x:t xml:space="preserve">partial</x:t>
        </x:is>
      </x:c>
      <x:c r="I21" s="149" t="inlineStr">
        <x:is>
          <x:t xml:space="preserve">no</x:t>
        </x:is>
      </x:c>
      <x:c r="J21" s="151" t="n">
        <x:v>46260</x:v>
      </x:c>
      <x:c r="K21" s="150" t="inlineStr">
        <x:is>
          <x:t xml:space="preserve">Source-backed semantic docs pass; existing repository-wide changelog validation remains blocked.</x:t>
        </x:is>
      </x:c>
      <x:c r="L21" s="149" t="n">
        <x:v>1</x:v>
      </x:c>
      <x:c r="M21" s="149" t="n">
        <x:f>IF(OR(AND(I21="yes",H21="verified"),AND(I21="no",OR(H21="tested",H21="verified")),AND(H21="not applicable",K21&lt;&gt;"")),1,0)</x:f>
        <x:v>0</x:v>
      </x:c>
    </x:row>
    <x:row r="22" s="127" customFormat="1" ht="54" customHeight="1">
      <x:c r="A22" s="149" t="inlineStr">
        <x:is>
          <x:t xml:space="preserve">G-14</x:t>
        </x:is>
      </x:c>
      <x:c r="B22" s="149" t="inlineStr">
        <x:is>
          <x:t xml:space="preserve">Changelog</x:t>
        </x:is>
      </x:c>
      <x:c r="C22" s="149" t="inlineStr">
        <x:is>
          <x:t xml:space="preserve">Group</x:t>
        </x:is>
      </x:c>
      <x:c r="D22" s="150" t="inlineStr">
        <x:is>
          <x:t xml:space="preserve">Group owns a public changelog and the package changelog records the consumer-visible layout addition.</x:t>
        </x:is>
      </x:c>
      <x:c r="E22" s="149" t="inlineStr">
        <x:is>
          <x:t xml:space="preserve">package</x:t>
        </x:is>
      </x:c>
      <x:c r="F22" s="149" t="inlineStr">
        <x:is>
          <x:t xml:space="preserve">docs</x:t>
        </x:is>
      </x:c>
      <x:c r="G22" s="150" t="inlineStr">
        <x:is>
          <x:t xml:space="preserve">../docs/components/group/CHANGELOG.md; ../CHANGELOG.md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46260</x:v>
      </x:c>
      <x:c r="K22" s="150" t="n"/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G-15</x:t>
        </x:is>
      </x:c>
      <x:c r="B23" s="149" t="inlineStr">
        <x:is>
          <x:t xml:space="preserve">Consumer</x:t>
        </x:is>
      </x:c>
      <x:c r="C23" s="149" t="inlineStr">
        <x:is>
          <x:t xml:space="preserve">Attached Group</x:t>
        </x:is>
      </x:c>
      <x:c r="D23" s="150" t="inlineStr">
        <x:is>
          <x:t xml:space="preserve">The packed Consumer composes a named attached action cluster through the public group subpath.</x:t>
        </x:is>
      </x:c>
      <x:c r="E23" s="149" t="inlineStr">
        <x:is>
          <x:t xml:space="preserve">consumer</x:t>
        </x:is>
      </x:c>
      <x:c r="F23" s="149" t="inlineStr">
        <x:is>
          <x:t xml:space="preserve">consumer</x:t>
        </x:is>
      </x:c>
      <x:c r="G23" s="150" t="inlineStr">
        <x:is>
          <x:t xml:space="preserve">../apps/consumer/src/GridGroupExample.tsx</x:t>
        </x:is>
      </x:c>
      <x:c r="H23" s="149" t="inlineStr">
        <x:is>
          <x:t xml:space="preserve">implemented</x:t>
        </x:is>
      </x:c>
      <x:c r="I23" s="149" t="inlineStr">
        <x:is>
          <x:t xml:space="preserve">no</x:t>
        </x:is>
      </x:c>
      <x:c r="J23" s="151" t="n"/>
      <x:c r="K23" s="150" t="inlineStr">
        <x:is>
          <x:t xml:space="preserve">Composition added; clean consumer dependency qualification remains open.</x:t>
        </x:is>
      </x:c>
      <x:c r="L23" s="149" t="n">
        <x:v>1</x:v>
      </x:c>
      <x:c r="M23" s="149" t="n">
        <x:f>IF(OR(AND(I23="yes",H23="verified"),AND(I23="no",OR(H23="tested",H23="verified")),AND(H23="not applicable",K23&lt;&gt;"")),1,0)</x:f>
        <x:v>0</x:v>
      </x:c>
    </x:row>
    <x:row r="24" s="127" customFormat="1" ht="54" customHeight="1">
      <x:c r="A24" s="149" t="inlineStr">
        <x:is>
          <x:t xml:space="preserve">G-16</x:t>
        </x:is>
      </x:c>
      <x:c r="B24" s="149" t="inlineStr">
        <x:is>
          <x:t xml:space="preserve">Package</x:t>
        </x:is>
      </x:c>
      <x:c r="C24" s="149" t="inlineStr">
        <x:is>
          <x:t xml:space="preserve">Group</x:t>
        </x:is>
      </x:c>
      <x:c r="D24" s="150" t="inlineStr">
        <x:is>
          <x:t xml:space="preserve">Build, SSR, exports, CSS, tarball, React 18/19, packed consumers, and component browser checks pass.</x:t>
        </x:is>
      </x:c>
      <x:c r="E24" s="149" t="inlineStr">
        <x:is>
          <x:t xml:space="preserve">package</x:t>
        </x:is>
      </x:c>
      <x:c r="F24" s="149" t="inlineStr">
        <x:is>
          <x:t xml:space="preserve">package</x:t>
        </x:is>
      </x:c>
      <x:c r="G24" s="150" t="inlineStr">
        <x:is>
          <x:t xml:space="preserve">../test/package; ../scripts/verify-package.mjs; ../scripts/verify-consumers.mjs</x:t>
        </x:is>
      </x:c>
      <x:c r="H24" s="149" t="inlineStr">
        <x:is>
          <x:t xml:space="preserve">blocked</x:t>
        </x:is>
      </x:c>
      <x:c r="I24" s="149" t="inlineStr">
        <x:is>
          <x:t xml:space="preserve">yes</x:t>
        </x:is>
      </x:c>
      <x:c r="J24" s="151" t="n"/>
      <x:c r="K24" s="150" t="inlineStr">
        <x:is>
          <x:t xml:space="preserve">Existing repository changelog, Checkbox export expectation and published Atom date-value gaps remain outside this pass.</x:t>
        </x:is>
      </x:c>
      <x:c r="L24" s="149" t="n">
        <x:v>1</x:v>
      </x:c>
      <x:c r="M24" s="149" t="n">
        <x:f>IF(OR(AND(I24="yes",H24="verified"),AND(I24="no",OR(H24="tested",H24="verified")),AND(H24="not applicable",K24&lt;&gt;"")),1,0)</x:f>
        <x:v>0</x:v>
      </x:c>
    </x:row>
  </x:sheetData>
  <x:mergeCells>
    <x:mergeCell ref="A2:M2"/>
    <x:mergeCell ref="A1:M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Tooltip Evidence</x:t>
        </x:is>
      </x:c>
    </x:row>
    <x:row r="2" s="127" customFormat="1" ht="27.75" customHeight="1">
      <x:c r="A2" s="129" t="inlineStr">
        <x:is>
          <x:t xml:space="preserve">Assertion-level package, browser, human-review, documentation, and consumer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COUNTA(A9:A200)</x:f>
        <x:v>16</x:v>
      </x:c>
      <x:c r="D4" s="130" t="inlineStr">
        <x:is>
          <x:t xml:space="preserve">Resolved</x:t>
        </x:is>
      </x:c>
      <x:c r="E4" s="131" t="n">
        <x:f>SUM(M9:M200)</x:f>
        <x:v>9</x:v>
      </x:c>
      <x:c r="G4" s="130" t="inlineStr">
        <x:is>
          <x:t xml:space="preserve">Completion</x:t>
        </x:is>
      </x:c>
      <x:c r="H4" s="132" t="n">
        <x:f>IF(B4=0,0,E4/B4)</x:f>
        <x:v>0.5625</x:v>
      </x:c>
      <x:c r="J4" s="130" t="inlineStr">
        <x:is>
          <x:t xml:space="preserve">Package gate</x:t>
        </x:is>
      </x:c>
      <x:c r="K4" s="131" t="str"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v>open</x:v>
      </x:c>
      <x:c r="D5" s="130" t="inlineStr">
        <x:is>
          <x:t xml:space="preserve">Consumer gate</x:t>
        </x:is>
      </x:c>
      <x:c r="E5" s="131" t="str">
        <x:v>open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42" customHeight="1">
      <x:c r="A9" s="125" t="inlineStr">
        <x:is>
          <x:t xml:space="preserve">T-01</x:t>
        </x:is>
      </x:c>
      <x:c r="B9" s="125" t="inlineStr">
        <x:is>
          <x:t xml:space="preserve">Implementation</x:t>
        </x:is>
      </x:c>
      <x:c r="C9" s="125" t="inlineStr">
        <x:is>
          <x:t xml:space="preserve">Tooltip</x:t>
        </x:is>
      </x:c>
      <x:c r="D9" s="125" t="inlineStr">
        <x:is>
          <x:t xml:space="preserve">Public component implementation and Atom adapter exist.</x:t>
        </x:is>
      </x:c>
      <x:c r="E9" s="125" t="inlineStr">
        <x:is>
          <x:t xml:space="preserve">package</x:t>
        </x:is>
      </x:c>
      <x:c r="F9" s="125" t="inlineStr">
        <x:is>
          <x:t xml:space="preserve">source</x:t>
        </x:is>
      </x:c>
      <x:c r="G9" s="125" t="inlineStr">
        <x:is>
          <x:t xml:space="preserve">../src/components/tooltip</x:t>
        </x:is>
      </x:c>
      <x:c r="H9" s="125" t="inlineStr">
        <x:is>
          <x:t xml:space="preserve">tested</x:t>
        </x:is>
      </x:c>
      <x:c r="I9" s="125" t="inlineStr">
        <x:is>
          <x:t xml:space="preserve">no</x:t>
        </x:is>
      </x:c>
      <x:c r="J9" s="141" t="n">
        <x:v>46277.5</x:v>
      </x:c>
      <x:c r="L9" s="125" t="n">
        <x:v>1</x:v>
      </x:c>
      <x:c r="M9" s="125" t="n">
        <x:f>IF(H9="not applicable",IF(K9&lt;&gt;"",1,0),IF(I9="yes",IF(H9="verified",1,0),IF(OR(H9="tested",H9="verified"),1,0)))</x:f>
        <x:v>1</x:v>
      </x:c>
    </x:row>
    <x:row r="10" s="127" customFormat="1" ht="42" customHeight="1">
      <x:c r="A10" s="125" t="inlineStr">
        <x:is>
          <x:t xml:space="preserve">T-02</x:t>
        </x:is>
      </x:c>
      <x:c r="B10" s="125" t="inlineStr">
        <x:is>
          <x:t xml:space="preserve">Exports</x:t>
        </x:is>
      </x:c>
      <x:c r="C10" s="125" t="inlineStr">
        <x:is>
          <x:t xml:space="preserve">Tooltip</x:t>
        </x:is>
      </x:c>
      <x:c r="D10" s="125" t="inlineStr">
        <x:is>
          <x:t xml:space="preserve">Root and public subpath exports expose the component.</x:t>
        </x:is>
      </x:c>
      <x:c r="E10" s="125" t="inlineStr">
        <x:is>
          <x:t xml:space="preserve">package</x:t>
        </x:is>
      </x:c>
      <x:c r="F10" s="125" t="inlineStr">
        <x:is>
          <x:t xml:space="preserve">package</x:t>
        </x:is>
      </x:c>
      <x:c r="G10" s="125" t="inlineStr">
        <x:is>
          <x:t xml:space="preserve">../test/package/package.test.mjs</x:t>
        </x:is>
      </x:c>
      <x:c r="H10" s="125" t="inlineStr">
        <x:is>
          <x:t xml:space="preserve">tested</x:t>
        </x:is>
      </x:c>
      <x:c r="I10" s="125" t="inlineStr">
        <x:is>
          <x:t xml:space="preserve">no</x:t>
        </x:is>
      </x:c>
      <x:c r="J10" s="141" t="n">
        <x:v>46277.5</x:v>
      </x:c>
      <x:c r="L10" s="125" t="n">
        <x:v>1</x:v>
      </x:c>
      <x:c r="M10" s="125" t="n">
        <x:f>IF(H10="not applicable",IF(K10&lt;&gt;"",1,0),IF(I10="yes",IF(H10="verified",1,0),IF(OR(H10="tested",H10="verified"),1,0)))</x:f>
        <x:v>1</x:v>
      </x:c>
    </x:row>
    <x:row r="11" s="127" customFormat="1" ht="42" customHeight="1">
      <x:c r="A11" s="125" t="inlineStr">
        <x:is>
          <x:t xml:space="preserve">T-03</x:t>
        </x:is>
      </x:c>
      <x:c r="B11" s="125" t="inlineStr">
        <x:is>
          <x:t xml:space="preserve">Types</x:t>
        </x:is>
      </x:c>
      <x:c r="C11" s="125" t="inlineStr">
        <x:is>
          <x:t xml:space="preserve">Tooltip</x:t>
        </x:is>
      </x:c>
      <x:c r="D11" s="125" t="inlineStr">
        <x:is>
          <x:t xml:space="preserve">Public props, refs, composition branches, and invalid cases type-check.</x:t>
        </x:is>
      </x:c>
      <x:c r="E11" s="125" t="inlineStr">
        <x:is>
          <x:t xml:space="preserve">package</x:t>
        </x:is>
      </x:c>
      <x:c r="F11" s="125" t="inlineStr">
        <x:is>
          <x:t xml:space="preserve">types</x:t>
        </x:is>
      </x:c>
      <x:c r="G11" s="125" t="inlineStr">
        <x:is>
          <x:t xml:space="preserve">../test/types/components/tooltip.test.ts</x:t>
        </x:is>
      </x:c>
      <x:c r="H11" s="125" t="inlineStr">
        <x:is>
          <x:t xml:space="preserve">tested</x:t>
        </x:is>
      </x:c>
      <x:c r="I11" s="125" t="inlineStr">
        <x:is>
          <x:t xml:space="preserve">no</x:t>
        </x:is>
      </x:c>
      <x:c r="J11" s="141" t="n">
        <x:v>46277.5</x:v>
      </x:c>
      <x:c r="L11" s="125" t="n">
        <x:v>1</x:v>
      </x:c>
      <x:c r="M11" s="125" t="n">
        <x:f>IF(H11="not applicable",IF(K11&lt;&gt;"",1,0),IF(I11="yes",IF(H11="verified",1,0),IF(OR(H11="tested",H11="verified"),1,0)))</x:f>
        <x:v>1</x:v>
      </x:c>
    </x:row>
    <x:row r="12" s="127" customFormat="1" ht="42" customHeight="1">
      <x:c r="A12" s="125" t="inlineStr">
        <x:is>
          <x:t xml:space="preserve">T-04</x:t>
        </x:is>
      </x:c>
      <x:c r="B12" s="125" t="inlineStr">
        <x:is>
          <x:t xml:space="preserve">CSS</x:t>
        </x:is>
      </x:c>
      <x:c r="C12" s="125" t="inlineStr">
        <x:is>
          <x:t xml:space="preserve">Tooltip</x:t>
        </x:is>
      </x:c>
      <x:c r="D12" s="125" t="inlineStr">
        <x:is>
          <x:t xml:space="preserve">Static public CSS, classes, slots, recipes, states, and tokens are present.</x:t>
        </x:is>
      </x:c>
      <x:c r="E12" s="125" t="inlineStr">
        <x:is>
          <x:t xml:space="preserve">package</x:t>
        </x:is>
      </x:c>
      <x:c r="F12" s="125" t="inlineStr">
        <x:is>
          <x:t xml:space="preserve">css</x:t>
        </x:is>
      </x:c>
      <x:c r="G12" s="125" t="inlineStr">
        <x:is>
          <x:t xml:space="preserve">../src/components/tooltip/tooltip.css</x:t>
        </x:is>
      </x:c>
      <x:c r="H12" s="125" t="inlineStr">
        <x:is>
          <x:t xml:space="preserve">tested</x:t>
        </x:is>
      </x:c>
      <x:c r="I12" s="125" t="inlineStr">
        <x:is>
          <x:t xml:space="preserve">no</x:t>
        </x:is>
      </x:c>
      <x:c r="J12" s="141" t="n">
        <x:v>46277.5</x:v>
      </x:c>
      <x:c r="L12" s="125" t="n">
        <x:v>1</x:v>
      </x:c>
      <x:c r="M12" s="125" t="n">
        <x:f>IF(H12="not applicable",IF(K12&lt;&gt;"",1,0),IF(I12="yes",IF(H12="verified",1,0),IF(OR(H12="tested",H12="verified"),1,0)))</x:f>
        <x:v>1</x:v>
      </x:c>
    </x:row>
    <x:row r="13" s="127" customFormat="1" ht="42" customHeight="1">
      <x:c r="A13" s="125" t="inlineStr">
        <x:is>
          <x:t xml:space="preserve">T-05</x:t>
        </x:is>
      </x:c>
      <x:c r="B13" s="125" t="inlineStr">
        <x:is>
          <x:t xml:space="preserve">Unit</x:t>
        </x:is>
      </x:c>
      <x:c r="C13" s="125" t="inlineStr">
        <x:is>
          <x:t xml:space="preserve">Tooltip</x:t>
        </x:is>
      </x:c>
      <x:c r="D13" s="125" t="inlineStr">
        <x:is>
          <x:t xml:space="preserve">Compound API and controller adapters pass.</x:t>
        </x:is>
      </x:c>
      <x:c r="E13" s="125" t="inlineStr">
        <x:is>
          <x:t xml:space="preserve">package</x:t>
        </x:is>
      </x:c>
      <x:c r="F13" s="125" t="inlineStr">
        <x:is>
          <x:t xml:space="preserve">component</x:t>
        </x:is>
      </x:c>
      <x:c r="G13" s="125" t="inlineStr">
        <x:is>
          <x:t xml:space="preserve">../test/components/tooltip/tooltip.test.tsx</x:t>
        </x:is>
      </x:c>
      <x:c r="H13" s="125" t="inlineStr">
        <x:is>
          <x:t xml:space="preserve">tested</x:t>
        </x:is>
      </x:c>
      <x:c r="I13" s="125" t="inlineStr">
        <x:is>
          <x:t xml:space="preserve">no</x:t>
        </x:is>
      </x:c>
      <x:c r="J13" s="141" t="n">
        <x:v>46277.5</x:v>
      </x:c>
      <x:c r="L13" s="125" t="n">
        <x:v>1</x:v>
      </x:c>
      <x:c r="M13" s="125" t="n">
        <x:f>IF(H13="not applicable",IF(K13&lt;&gt;"",1,0),IF(I13="yes",IF(H13="verified",1,0),IF(OR(H13="tested",H13="verified"),1,0)))</x:f>
        <x:v>1</x:v>
      </x:c>
    </x:row>
    <x:row r="14" s="127" customFormat="1" ht="42" customHeight="1">
      <x:c r="A14" s="125" t="inlineStr">
        <x:is>
          <x:t xml:space="preserve">T-06</x:t>
        </x:is>
      </x:c>
      <x:c r="B14" s="125" t="inlineStr">
        <x:is>
          <x:t xml:space="preserve">Browser</x:t>
        </x:is>
      </x:c>
      <x:c r="C14" s="125" t="inlineStr">
        <x:is>
          <x:t xml:space="preserve">Tooltip</x:t>
        </x:is>
      </x:c>
      <x:c r="D14" s="125" t="inlineStr">
        <x:is>
          <x:t xml:space="preserve">48 focused checks pass in three browser engines.</x:t>
        </x:is>
      </x:c>
      <x:c r="E14" s="125" t="inlineStr">
        <x:is>
          <x:t xml:space="preserve">package</x:t>
        </x:is>
      </x:c>
      <x:c r="F14" s="125" t="inlineStr">
        <x:is>
          <x:t xml:space="preserve">browser</x:t>
        </x:is>
      </x:c>
      <x:c r="G14" s="125" t="inlineStr">
        <x:is>
          <x:t xml:space="preserve">tests/components/tooltip/documentation.spec.ts; behavior.spec.ts</x:t>
        </x:is>
      </x:c>
      <x:c r="H14" s="125" t="inlineStr">
        <x:is>
          <x:t xml:space="preserve">tested</x:t>
        </x:is>
      </x:c>
      <x:c r="I14" s="125" t="inlineStr">
        <x:is>
          <x:t xml:space="preserve">no</x:t>
        </x:is>
      </x:c>
      <x:c r="J14" s="141" t="n">
        <x:v>46277.5</x:v>
      </x:c>
      <x:c r="L14" s="125" t="n">
        <x:v>1</x:v>
      </x:c>
      <x:c r="M14" s="125" t="n">
        <x:f>IF(H14="not applicable",IF(K14&lt;&gt;"",1,0),IF(I14="yes",IF(H14="verified",1,0),IF(OR(H14="tested",H14="verified"),1,0)))</x:f>
        <x:v>1</x:v>
      </x:c>
    </x:row>
    <x:row r="15" s="127" customFormat="1" ht="42" customHeight="1">
      <x:c r="A15" s="125" t="inlineStr">
        <x:is>
          <x:t xml:space="preserve">T-07</x:t>
        </x:is>
      </x:c>
      <x:c r="B15" s="125" t="inlineStr">
        <x:is>
          <x:t xml:space="preserve">Accessibility</x:t>
        </x:is>
      </x:c>
      <x:c r="C15" s="125" t="inlineStr">
        <x:is>
          <x:t xml:space="preserve">Tooltip</x:t>
        </x:is>
      </x:c>
      <x:c r="D15" s="125" t="inlineStr">
        <x:is>
          <x:t xml:space="preserve">Automated semantics and accessibility checks pass in the browser evidence suite.</x:t>
        </x:is>
      </x:c>
      <x:c r="E15" s="125" t="inlineStr">
        <x:is>
          <x:t xml:space="preserve">package</x:t>
        </x:is>
      </x:c>
      <x:c r="F15" s="125" t="inlineStr">
        <x:is>
          <x:t xml:space="preserve">axe</x:t>
        </x:is>
      </x:c>
      <x:c r="G15" s="125" t="inlineStr">
        <x:is>
          <x:t xml:space="preserve">tests/components/tooltip/behavior.spec.ts; tests/integration</x:t>
        </x:is>
      </x:c>
      <x:c r="H15" s="125" t="inlineStr">
        <x:is>
          <x:t xml:space="preserve">tested</x:t>
        </x:is>
      </x:c>
      <x:c r="I15" s="125" t="inlineStr">
        <x:is>
          <x:t xml:space="preserve">no</x:t>
        </x:is>
      </x:c>
      <x:c r="J15" s="141" t="n">
        <x:v>46277.5</x:v>
      </x:c>
      <x:c r="L15" s="125" t="n">
        <x:v>1</x:v>
      </x:c>
      <x:c r="M15" s="125" t="n">
        <x:f>IF(H15="not applicable",IF(K15&lt;&gt;"",1,0),IF(I15="yes",IF(H15="verified",1,0),IF(OR(H15="tested",H15="verified"),1,0)))</x:f>
        <x:v>1</x:v>
      </x:c>
    </x:row>
    <x:row r="16" s="127" customFormat="1" ht="42" customHeight="1">
      <x:c r="A16" s="125" t="inlineStr">
        <x:is>
          <x:t xml:space="preserve">T-08</x:t>
        </x:is>
      </x:c>
      <x:c r="B16" s="125" t="inlineStr">
        <x:is>
          <x:t xml:space="preserve">Visual</x:t>
        </x:is>
      </x:c>
      <x:c r="C16" s="125" t="inlineStr">
        <x:is>
          <x:t xml:space="preserve">Tooltip</x:t>
        </x:is>
      </x:c>
      <x:c r="D16" s="125" t="inlineStr">
        <x:is>
          <x:t xml:space="preserve">Reviewed baselines cover the component's risk-selected recipes and states.</x:t>
        </x:is>
      </x:c>
      <x:c r="E16" s="125" t="inlineStr">
        <x:is>
          <x:t xml:space="preserve">package</x:t>
        </x:is>
      </x:c>
      <x:c r="F16" s="125" t="inlineStr">
        <x:is>
          <x:t xml:space="preserve">visual</x:t>
        </x:is>
      </x:c>
      <x:c r="G16" s="125" t="inlineStr">
        <x:is>
          <x:t xml:space="preserve">tests/components/tooltip/visual.spec.ts</x:t>
        </x:is>
      </x:c>
      <x:c r="H16" s="125" t="inlineStr">
        <x:is>
          <x:t xml:space="preserve">partial</x:t>
        </x:is>
      </x:c>
      <x:c r="I16" s="125" t="inlineStr">
        <x:is>
          <x:t xml:space="preserve">yes</x:t>
        </x:is>
      </x:c>
      <x:c r="J16" s="141" t="n"/>
      <x:c r="K16" s="125" t="inlineStr">
        <x:is>
          <x:t xml:space="preserve">Updated compact recipe awaits owner review.</x:t>
        </x:is>
      </x:c>
      <x:c r="L16" s="125" t="n">
        <x:v>1</x:v>
      </x:c>
      <x:c r="M16" s="125" t="n">
        <x:f>IF(H16="not applicable",IF(K16&lt;&gt;"",1,0),IF(I16="yes",IF(H16="verified",1,0),IF(OR(H16="tested",H16="verified"),1,0)))</x:f>
        <x:v>0</x:v>
      </x:c>
    </x:row>
    <x:row r="17" s="127" customFormat="1" ht="42" customHeight="1">
      <x:c r="A17" s="125" t="inlineStr">
        <x:is>
          <x:t xml:space="preserve">T-09</x:t>
        </x:is>
      </x:c>
      <x:c r="B17" s="125" t="inlineStr">
        <x:is>
          <x:t xml:space="preserve">Responsive</x:t>
        </x:is>
      </x:c>
      <x:c r="C17" s="125" t="inlineStr">
        <x:is>
          <x:t xml:space="preserve">Tooltip</x:t>
        </x:is>
      </x:c>
      <x:c r="D17" s="125" t="inlineStr">
        <x:is>
          <x:t xml:space="preserve">Mobile, zoom/reflow, content stress, and RTL remain usable and contained.</x:t>
        </x:is>
      </x:c>
      <x:c r="E17" s="125" t="inlineStr">
        <x:is>
          <x:t xml:space="preserve">package</x:t>
        </x:is>
      </x:c>
      <x:c r="F17" s="125" t="inlineStr">
        <x:is>
          <x:t xml:space="preserve">manual</x:t>
        </x:is>
      </x:c>
      <x:c r="G17" s="125" t="inlineStr">
        <x:is>
          <x:t xml:space="preserve">manual-tests/tooltip.md</x:t>
        </x:is>
      </x:c>
      <x:c r="H17" s="125" t="inlineStr">
        <x:is>
          <x:t xml:space="preserve">implemented</x:t>
        </x:is>
      </x:c>
      <x:c r="I17" s="125" t="inlineStr">
        <x:is>
          <x:t xml:space="preserve">yes</x:t>
        </x:is>
      </x:c>
      <x:c r="J17" s="141" t="n"/>
      <x:c r="K17" s="125" t="inlineStr">
        <x:is>
          <x:t xml:space="preserve">Human protocol remains pending. Automated and visual evidence stays in its owning tests and does not complete this human gate.</x:t>
        </x:is>
      </x:c>
      <x:c r="L17" s="125" t="n">
        <x:v>1</x:v>
      </x:c>
      <x:c r="M17" s="125" t="n">
        <x:f>IF(H17="not applicable",IF(K17&lt;&gt;"",1,0),IF(I17="yes",IF(H17="verified",1,0),IF(OR(H17="tested",H17="verified"),1,0)))</x:f>
        <x:v>0</x:v>
      </x:c>
    </x:row>
    <x:row r="18" s="127" customFormat="1" ht="42" customHeight="1">
      <x:c r="A18" s="125" t="inlineStr">
        <x:is>
          <x:t xml:space="preserve">T-10</x:t>
        </x:is>
      </x:c>
      <x:c r="B18" s="125" t="inlineStr">
        <x:is>
          <x:t xml:space="preserve">Theme</x:t>
        </x:is>
      </x:c>
      <x:c r="C18" s="125" t="inlineStr">
        <x:is>
          <x:t xml:space="preserve">Tooltip</x:t>
        </x:is>
      </x:c>
      <x:c r="D18" s="125" t="inlineStr">
        <x:is>
          <x:t xml:space="preserve">Light, dark, focus, forced-colors, and relevant motion behavior remain perceivable.</x:t>
        </x:is>
      </x:c>
      <x:c r="E18" s="125" t="inlineStr">
        <x:is>
          <x:t xml:space="preserve">package</x:t>
        </x:is>
      </x:c>
      <x:c r="F18" s="125" t="inlineStr">
        <x:is>
          <x:t xml:space="preserve">manual</x:t>
        </x:is>
      </x:c>
      <x:c r="G18" s="125" t="inlineStr">
        <x:is>
          <x:t xml:space="preserve">manual-tests/tooltip.md</x:t>
        </x:is>
      </x:c>
      <x:c r="H18" s="125" t="inlineStr">
        <x:is>
          <x:t xml:space="preserve">implemented</x:t>
        </x:is>
      </x:c>
      <x:c r="I18" s="125" t="inlineStr">
        <x:is>
          <x:t xml:space="preserve">yes</x:t>
        </x:is>
      </x:c>
      <x:c r="J18" s="141" t="n"/>
      <x:c r="K18" s="125" t="inlineStr">
        <x:is>
          <x:t xml:space="preserve">Human protocol remains pending. Automated and visual evidence stays in its owning tests and does not complete this human gate.</x:t>
        </x:is>
      </x:c>
      <x:c r="L18" s="125" t="n">
        <x:v>1</x:v>
      </x:c>
      <x:c r="M18" s="125" t="n">
        <x:f>IF(H18="not applicable",IF(K18&lt;&gt;"",1,0),IF(I18="yes",IF(H18="verified",1,0),IF(OR(H18="tested",H18="verified"),1,0)))</x:f>
        <x:v>0</x:v>
      </x:c>
    </x:row>
    <x:row r="19" s="127" customFormat="1" ht="42" customHeight="1">
      <x:c r="A19" s="125" t="inlineStr">
        <x:is>
          <x:t xml:space="preserve">T-11</x:t>
        </x:is>
      </x:c>
      <x:c r="B19" s="125" t="inlineStr">
        <x:is>
          <x:t xml:space="preserve">Composition</x:t>
        </x:is>
      </x:c>
      <x:c r="C19" s="125" t="inlineStr">
        <x:is>
          <x:t xml:space="preserve">Tooltip</x:t>
        </x:is>
      </x:c>
      <x:c r="D19" s="125" t="inlineStr">
        <x:is>
          <x:t xml:space="preserve">Default, render, and asChild output preserve the intended element, slots, state, and relationships.</x:t>
        </x:is>
      </x:c>
      <x:c r="E19" s="125" t="inlineStr">
        <x:is>
          <x:t xml:space="preserve">package</x:t>
        </x:is>
      </x:c>
      <x:c r="F19" s="125" t="inlineStr">
        <x:is>
          <x:t xml:space="preserve">manual</x:t>
        </x:is>
      </x:c>
      <x:c r="G19" s="125" t="inlineStr">
        <x:is>
          <x:t xml:space="preserve">manual-tests/tooltip.md; tests/components/tooltip/behavior.spec.ts</x:t>
        </x:is>
      </x:c>
      <x:c r="H19" s="125" t="inlineStr">
        <x:is>
          <x:t xml:space="preserve">implemented</x:t>
        </x:is>
      </x:c>
      <x:c r="I19" s="125" t="inlineStr">
        <x:is>
          <x:t xml:space="preserve">yes</x:t>
        </x:is>
      </x:c>
      <x:c r="J19" s="141" t="n"/>
      <x:c r="K19" s="125" t="inlineStr">
        <x:is>
          <x:t xml:space="preserve">Human protocol remains pending. Automated and visual evidence stays in its owning tests and does not complete this human gate.</x:t>
        </x:is>
      </x:c>
      <x:c r="L19" s="125" t="n">
        <x:v>1</x:v>
      </x:c>
      <x:c r="M19" s="125" t="n">
        <x:f>IF(H19="not applicable",IF(K19&lt;&gt;"",1,0),IF(I19="yes",IF(H19="verified",1,0),IF(OR(H19="tested",H19="verified"),1,0)))</x:f>
        <x:v>0</x:v>
      </x:c>
    </x:row>
    <x:row r="20" s="127" customFormat="1" ht="42" customHeight="1">
      <x:c r="A20" s="125" t="inlineStr">
        <x:is>
          <x:t xml:space="preserve">T-12</x:t>
        </x:is>
      </x:c>
      <x:c r="B20" s="125" t="inlineStr">
        <x:is>
          <x:t xml:space="preserve">Manual</x:t>
        </x:is>
      </x:c>
      <x:c r="C20" s="125" t="inlineStr">
        <x:is>
          <x:t xml:space="preserve">Tooltip</x:t>
        </x:is>
      </x:c>
      <x:c r="D20" s="125" t="inlineStr">
        <x:is>
          <x:t xml:space="preserve">The complete component-owned manual protocol passed against every playground scenario.</x:t>
        </x:is>
      </x:c>
      <x:c r="E20" s="125" t="inlineStr">
        <x:is>
          <x:t xml:space="preserve">package</x:t>
        </x:is>
      </x:c>
      <x:c r="F20" s="125" t="inlineStr">
        <x:is>
          <x:t xml:space="preserve">manual</x:t>
        </x:is>
      </x:c>
      <x:c r="G20" s="125" t="inlineStr">
        <x:is>
          <x:t xml:space="preserve">manual-tests/tooltip.md</x:t>
        </x:is>
      </x:c>
      <x:c r="H20" s="125" t="inlineStr">
        <x:is>
          <x:t xml:space="preserve">implemented</x:t>
        </x:is>
      </x:c>
      <x:c r="I20" s="125" t="inlineStr">
        <x:is>
          <x:t xml:space="preserve">yes</x:t>
        </x:is>
      </x:c>
      <x:c r="J20" s="141" t="n"/>
      <x:c r="K20" s="125" t="inlineStr">
        <x:is>
          <x:t xml:space="preserve">Human protocol remains pending. Automated and visual evidence stays in its owning tests and does not complete this human gate.</x:t>
        </x:is>
      </x:c>
      <x:c r="L20" s="125" t="n">
        <x:v>1</x:v>
      </x:c>
      <x:c r="M20" s="125" t="n">
        <x:f>IF(H20="not applicable",IF(K20&lt;&gt;"",1,0),IF(I20="yes",IF(H20="verified",1,0),IF(OR(H20="tested",H20="verified"),1,0)))</x:f>
        <x:v>0</x:v>
      </x:c>
    </x:row>
    <x:row r="21" s="127" customFormat="1" ht="42" customHeight="1">
      <x:c r="A21" s="125" t="inlineStr">
        <x:is>
          <x:t xml:space="preserve">T-13</x:t>
        </x:is>
      </x:c>
      <x:c r="B21" s="125" t="inlineStr">
        <x:is>
          <x:t xml:space="preserve">Docs</x:t>
        </x:is>
      </x:c>
      <x:c r="C21" s="125" t="inlineStr">
        <x:is>
          <x:t xml:space="preserve">Tooltip</x:t>
        </x:is>
      </x:c>
      <x:c r="D21" s="125" t="inlineStr">
        <x:is>
          <x:t xml:space="preserve">Docs page, 24 executable examples and multipart props.</x:t>
        </x:is>
      </x:c>
      <x:c r="E21" s="125" t="inlineStr">
        <x:is>
          <x:t xml:space="preserve">package</x:t>
        </x:is>
      </x:c>
      <x:c r="F21" s="125" t="inlineStr">
        <x:is>
          <x:t xml:space="preserve">docs</x:t>
        </x:is>
      </x:c>
      <x:c r="G21" s="125" t="inlineStr">
        <x:is>
          <x:t xml:space="preserve">../docs/components/tooltip/README.md</x:t>
        </x:is>
      </x:c>
      <x:c r="H21" s="125" t="inlineStr">
        <x:is>
          <x:t xml:space="preserve">tested</x:t>
        </x:is>
      </x:c>
      <x:c r="I21" s="125" t="inlineStr">
        <x:is>
          <x:t xml:space="preserve">no</x:t>
        </x:is>
      </x:c>
      <x:c r="J21" s="141" t="n">
        <x:v>46277.5</x:v>
      </x:c>
      <x:c r="L21" s="125" t="n">
        <x:v>1</x:v>
      </x:c>
      <x:c r="M21" s="125" t="n">
        <x:f>IF(H21="not applicable",IF(K21&lt;&gt;"",1,0),IF(I21="yes",IF(H21="verified",1,0),IF(OR(H21="tested",H21="verified"),1,0)))</x:f>
        <x:v>1</x:v>
      </x:c>
    </x:row>
    <x:row r="22" s="127" customFormat="1" ht="42" customHeight="1">
      <x:c r="A22" s="125" t="inlineStr">
        <x:is>
          <x:t xml:space="preserve">T-14</x:t>
        </x:is>
      </x:c>
      <x:c r="B22" s="125" t="inlineStr">
        <x:is>
          <x:t xml:space="preserve">Changelog</x:t>
        </x:is>
      </x:c>
      <x:c r="C22" s="125" t="inlineStr">
        <x:is>
          <x:t xml:space="preserve">Tooltip</x:t>
        </x:is>
      </x:c>
      <x:c r="D22" s="125" t="inlineStr">
        <x:is>
          <x:t xml:space="preserve">The component owns a public changelog.</x:t>
        </x:is>
      </x:c>
      <x:c r="E22" s="125" t="inlineStr">
        <x:is>
          <x:t xml:space="preserve">package</x:t>
        </x:is>
      </x:c>
      <x:c r="F22" s="125" t="inlineStr">
        <x:is>
          <x:t xml:space="preserve">docs</x:t>
        </x:is>
      </x:c>
      <x:c r="G22" s="125" t="inlineStr">
        <x:is>
          <x:t xml:space="preserve">../docs/components/tooltip/CHANGELOG.md</x:t>
        </x:is>
      </x:c>
      <x:c r="H22" s="125" t="inlineStr">
        <x:is>
          <x:t xml:space="preserve">tested</x:t>
        </x:is>
      </x:c>
      <x:c r="I22" s="125" t="inlineStr">
        <x:is>
          <x:t xml:space="preserve">no</x:t>
        </x:is>
      </x:c>
      <x:c r="J22" s="141" t="n">
        <x:v>46277.5</x:v>
      </x:c>
      <x:c r="L22" s="125" t="n">
        <x:v>1</x:v>
      </x:c>
      <x:c r="M22" s="125" t="n">
        <x:f>IF(H22="not applicable",IF(K22&lt;&gt;"",1,0),IF(I22="yes",IF(H22="verified",1,0),IF(OR(H22="tested",H22="verified"),1,0)))</x:f>
        <x:v>1</x:v>
      </x:c>
    </x:row>
    <x:row r="23" s="127" customFormat="1" ht="42" customHeight="1">
      <x:c r="A23" s="125" t="inlineStr">
        <x:is>
          <x:t xml:space="preserve">T-15</x:t>
        </x:is>
      </x:c>
      <x:c r="B23" s="125" t="inlineStr">
        <x:is>
          <x:t xml:space="preserve">Consumer</x:t>
        </x:is>
      </x:c>
      <x:c r="C23" s="125" t="inlineStr">
        <x:is>
          <x:t xml:space="preserve">Tooltip</x:t>
        </x:is>
      </x:c>
      <x:c r="D23" s="125" t="inlineStr">
        <x:is>
          <x:t xml:space="preserve">The standalone consumer imports and exercises the public package component.</x:t>
        </x:is>
      </x:c>
      <x:c r="E23" s="125" t="inlineStr">
        <x:is>
          <x:t xml:space="preserve">consumer</x:t>
        </x:is>
      </x:c>
      <x:c r="F23" s="125" t="inlineStr">
        <x:is>
          <x:t xml:space="preserve">consumer</x:t>
        </x:is>
      </x:c>
      <x:c r="G23" s="125" t="inlineStr">
        <x:is>
          <x:t xml:space="preserve">../apps/consumer/src/App.tsx; ../apps/consumer/tests/consumer.spec.ts</x:t>
        </x:is>
      </x:c>
      <x:c r="H23" s="125" t="inlineStr">
        <x:is>
          <x:t xml:space="preserve">partial</x:t>
        </x:is>
      </x:c>
      <x:c r="I23" s="125" t="inlineStr">
        <x:is>
          <x:t xml:space="preserve">no</x:t>
        </x:is>
      </x:c>
      <x:c r="J23" s="141" t="n">
        <x:v>46227</x:v>
      </x:c>
      <x:c r="K23" s="138" t="inlineStr">
        <x:is>
          <x:t xml:space="preserve">Candidate consumer checks; no release claim.</x:t>
        </x:is>
      </x:c>
      <x:c r="L23" s="125" t="n">
        <x:v>1</x:v>
      </x:c>
      <x:c r="M23" s="125" t="n">
        <x:f>IF(H23="not applicable",IF(K23&lt;&gt;"",1,0),IF(I23="yes",IF(H23="verified",1,0),IF(OR(H23="tested",H23="verified"),1,0)))</x:f>
        <x:v>0</x:v>
      </x:c>
    </x:row>
    <x:row r="24" s="127" customFormat="1" ht="42" customHeight="1">
      <x:c r="A24" s="125" t="inlineStr">
        <x:is>
          <x:t xml:space="preserve">T-16</x:t>
        </x:is>
      </x:c>
      <x:c r="B24" s="125" t="inlineStr">
        <x:is>
          <x:t xml:space="preserve">Package</x:t>
        </x:is>
      </x:c>
      <x:c r="C24" s="125" t="inlineStr">
        <x:is>
          <x:t xml:space="preserve">Tooltip</x:t>
        </x:is>
      </x:c>
      <x:c r="D24" s="125" t="inlineStr">
        <x:is>
          <x:t xml:space="preserve">Build, exports, tarball, CSS, and consumer boundary verification pass.</x:t>
        </x:is>
      </x:c>
      <x:c r="E24" s="125" t="inlineStr">
        <x:is>
          <x:t xml:space="preserve">package</x:t>
        </x:is>
      </x:c>
      <x:c r="F24" s="125" t="inlineStr">
        <x:is>
          <x:t xml:space="preserve">package</x:t>
        </x:is>
      </x:c>
      <x:c r="G24" s="125" t="inlineStr">
        <x:is>
          <x:t xml:space="preserve">../scripts/verify-package.mjs; ../scripts/verify-consumers.mjs</x:t>
        </x:is>
      </x:c>
      <x:c r="H24" s="125" t="inlineStr">
        <x:is>
          <x:t xml:space="preserve">partial</x:t>
        </x:is>
      </x:c>
      <x:c r="I24" s="125" t="inlineStr">
        <x:is>
          <x:t xml:space="preserve">no</x:t>
        </x:is>
      </x:c>
      <x:c r="J24" s="141" t="n">
        <x:v>46227</x:v>
      </x:c>
      <x:c r="K24" s="138" t="inlineStr">
        <x:is>
          <x:t xml:space="preserve">Unpublished candidate; manual gates remain open.</x:t>
        </x:is>
      </x:c>
      <x:c r="L24" s="125" t="n">
        <x:v>1</x:v>
      </x:c>
      <x:c r="M24" s="125" t="n">
        <x:f>IF(H24="not applicable",IF(K24&lt;&gt;"",1,0),IF(I24="yes",IF(H24="verified",1,0),IF(OR(H24="tested",H24="verified"),1,0)))</x:f>
        <x:v>0</x:v>
      </x:c>
    </x:row>
  </x:sheetData>
  <x:mergeCells>
    <x:mergeCell ref="A2:M2"/>
    <x:mergeCell ref="A1:M1"/>
  </x:mergeCells>
  <x:conditionalFormatting sqref="H9:H24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1" showDropDown="0" showInputMessage="1" showErrorMessage="1" sqref="H9:H24">
      <x:formula1>"not started,partial,implemented,tested,verified,blocked,not applicable"</x:formula1>
      <x:formula2>0</x:formula2>
    </x:dataValidation>
    <x:dataValidation type="list" errorStyle="stop" operator="between" allowBlank="1" showDropDown="0" showInputMessage="1" showErrorMessage="1" sqref="I9:I24">
      <x:formula1>"yes,no"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ec9e5e933e34bfc"/>
  </x:tableParts>
</x:worksheet>
</file>

<file path=xl/worksheets/sheet29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Grid Evidence</x:t>
        </x:is>
      </x:c>
    </x:row>
    <x:row r="2" s="127" customFormat="1" ht="27.75" customHeight="1">
      <x:c r="A2" s="129" t="inlineStr">
        <x:is>
          <x:t xml:space="preserve">Assertion-level package, browser, human-review, documentation, and consumer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COUNTA(A9:A25)</x:f>
        <x:v>17</x:v>
      </x:c>
      <x:c r="D4" s="130" t="inlineStr">
        <x:is>
          <x:t xml:space="preserve">Resolved</x:t>
        </x:is>
      </x:c>
      <x:c r="E4" s="131" t="n">
        <x:f>SUM(M9:M25)</x:f>
        <x:v>10</x:v>
      </x:c>
      <x:c r="G4" s="130" t="inlineStr">
        <x:is>
          <x:t xml:space="preserve">Completion</x:t>
        </x:is>
      </x:c>
      <x:c r="H4" s="132" t="n">
        <x:f>IF(B4=0,0,E4/B4)</x:f>
        <x:v>0.5882352941176471</x:v>
      </x:c>
      <x:c r="J4" s="130" t="inlineStr">
        <x:is>
          <x:t xml:space="preserve">Package gate</x:t>
        </x:is>
      </x:c>
      <x:c r="K4" s="131" t="str">
        <x:f>IF(COUNTIFS(E9:E25,"package",M9:M25,0)&gt;0,"open","complete")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IF(COUNTIFS(I9:I25,"yes",M9:M25,0)&gt;0,"open","complete")</x:f>
        <x:v>open</x:v>
      </x:c>
      <x:c r="D5" s="130" t="inlineStr">
        <x:is>
          <x:t xml:space="preserve">Consumer gate</x:t>
        </x:is>
      </x:c>
      <x:c r="E5" s="131" t="str">
        <x:f>IF(COUNTIFS(E9:E25,"consumer",M9:M25,0)&gt;0,"open","complete")</x:f>
        <x:v>open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G-01</x:t>
        </x:is>
      </x:c>
      <x:c r="B9" s="149" t="inlineStr">
        <x:is>
          <x:t xml:space="preserve">Implementation</x:t>
        </x:is>
      </x:c>
      <x:c r="C9" s="149" t="inlineStr">
        <x:is>
          <x:t xml:space="preserve">Root / Item</x:t>
        </x:is>
      </x:c>
      <x:c r="D9" s="150" t="inlineStr">
        <x:is>
          <x:t xml:space="preserve">Root and Item support one-host composition, native props, refs and stable layout hooks.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../src/components/grid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46228</x:v>
      </x:c>
      <x:c r="K9" s="150" t="n"/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G-02</x:t>
        </x:is>
      </x:c>
      <x:c r="B10" s="149" t="inlineStr">
        <x:is>
          <x:t xml:space="preserve">Exports</x:t>
        </x:is>
      </x:c>
      <x:c r="C10" s="149" t="inlineStr">
        <x:is>
          <x:t xml:space="preserve">Grid</x:t>
        </x:is>
      </x:c>
      <x:c r="D10" s="150" t="inlineStr">
        <x:is>
          <x:t xml:space="preserve">Root exports and the public Grid subpath expose the frozen compound runtime and all public Grid types.</x:t>
        </x:is>
      </x:c>
      <x:c r="E10" s="149" t="inlineStr">
        <x:is>
          <x:t xml:space="preserve">package</x:t>
        </x:is>
      </x:c>
      <x:c r="F10" s="149" t="inlineStr">
        <x:is>
          <x:t xml:space="preserve">package</x:t>
        </x:is>
      </x:c>
      <x:c r="G10" s="150" t="inlineStr">
        <x:is>
          <x:t xml:space="preserve">../test/package/package.test.mjs; ../test/package/ssr.test.mjs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46228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G-03</x:t>
        </x:is>
      </x:c>
      <x:c r="B11" s="149" t="inlineStr">
        <x:is>
          <x:t xml:space="preserve">Types</x:t>
        </x:is>
      </x:c>
      <x:c r="C11" s="149" t="inlineStr">
        <x:is>
          <x:t xml:space="preserve">Root / Item</x:t>
        </x:is>
      </x:c>
      <x:c r="D11" s="150" t="inlineStr">
        <x:is>
          <x:t xml:space="preserve">Equal, intrinsic and native template modes; responsive placement and mutually exclusive composition types compile.</x:t>
        </x:is>
      </x:c>
      <x:c r="E11" s="149" t="inlineStr">
        <x:is>
          <x:t xml:space="preserve">package</x:t>
        </x:is>
      </x:c>
      <x:c r="F11" s="149" t="inlineStr">
        <x:is>
          <x:t xml:space="preserve">types</x:t>
        </x:is>
      </x:c>
      <x:c r="G11" s="150" t="inlineStr">
        <x:is>
          <x:t xml:space="preserve">../test/types/components/grid.test.ts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46228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G-04</x:t>
        </x:is>
      </x:c>
      <x:c r="B12" s="149" t="inlineStr">
        <x:is>
          <x:t xml:space="preserve">CSS</x:t>
        </x:is>
      </x:c>
      <x:c r="C12" s="149" t="inlineStr">
        <x:is>
          <x:t xml:space="preserve">Root / Item</x:t>
        </x:is>
      </x:c>
      <x:c r="D12" s="150" t="inlineStr">
        <x:is>
          <x:t xml:space="preserve">Static CSS supports native tracks, areas, flow, responsive placement and nested input isolation.</x:t>
        </x:is>
      </x:c>
      <x:c r="E12" s="149" t="inlineStr">
        <x:is>
          <x:t xml:space="preserve">package</x:t>
        </x:is>
      </x:c>
      <x:c r="F12" s="149" t="inlineStr">
        <x:is>
          <x:t xml:space="preserve">css</x:t>
        </x:is>
      </x:c>
      <x:c r="G12" s="150" t="inlineStr">
        <x:is>
          <x:t xml:space="preserve">../src/components/grid/grid.css; ../src/styles/tokens.tokens.json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46228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G-05</x:t>
        </x:is>
      </x:c>
      <x:c r="B13" s="149" t="inlineStr">
        <x:is>
          <x:t xml:space="preserve">Unit</x:t>
        </x:is>
      </x:c>
      <x:c r="C13" s="149" t="inlineStr">
        <x:is>
          <x:t xml:space="preserve">Root / Item</x:t>
        </x:is>
      </x:c>
      <x:c r="D13" s="150" t="inlineStr">
        <x:is>
          <x:t xml:space="preserve">Defaults, modes, recipes, placement, semantic hosts, native pass-through, hooks, events, refs, and exclusions pass focused tests.</x:t>
        </x:is>
      </x:c>
      <x:c r="E13" s="149" t="inlineStr">
        <x:is>
          <x:t xml:space="preserve">package</x:t>
        </x:is>
      </x:c>
      <x:c r="F13" s="149" t="inlineStr">
        <x:is>
          <x:t xml:space="preserve">component</x:t>
        </x:is>
      </x:c>
      <x:c r="G13" s="150" t="inlineStr">
        <x:is>
          <x:t xml:space="preserve">../test/components/grid/grid.test.tsx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46228</x:v>
      </x:c>
      <x:c r="K13" s="150" t="n"/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G-06</x:t>
        </x:is>
      </x:c>
      <x:c r="B14" s="149" t="inlineStr">
        <x:is>
          <x:t xml:space="preserve">Browser</x:t>
        </x:is>
      </x:c>
      <x:c r="C14" s="149" t="inlineStr">
        <x:is>
          <x:t xml:space="preserve">Root</x:t>
        </x:is>
      </x:c>
      <x:c r="D14" s="150" t="inlineStr">
        <x:is>
          <x:t xml:space="preserve">Browser tests verify templates, areas, flow, inline display and all four responsive placement breakpoints.</x:t>
        </x:is>
      </x:c>
      <x:c r="E14" s="149" t="inlineStr">
        <x:is>
          <x:t xml:space="preserve">package</x:t>
        </x:is>
      </x:c>
      <x:c r="F14" s="149" t="inlineStr">
        <x:is>
          <x:t xml:space="preserve">browser</x:t>
        </x:is>
      </x:c>
      <x:c r="G14" s="150" t="inlineStr">
        <x:is>
          <x:t xml:space="preserve">tests/components/grid/behavior.spec.ts; tests/components/grid/docs.spec.ts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46228</x:v>
      </x:c>
      <x:c r="K14" s="150" t="n"/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G-07</x:t>
        </x:is>
      </x:c>
      <x:c r="B15" s="149" t="inlineStr">
        <x:is>
          <x:t xml:space="preserve">Browser</x:t>
        </x:is>
      </x:c>
      <x:c r="C15" s="149" t="inlineStr">
        <x:is>
          <x:t xml:space="preserve">Item</x:t>
        </x:is>
      </x:c>
      <x:c r="D15" s="150" t="inlineStr">
        <x:is>
          <x:t xml:space="preserve">Real-browser spans, line placement, full width, self-alignment, containment, and source order pass across the supported browser matrix.</x:t>
        </x:is>
      </x:c>
      <x:c r="E15" s="149" t="inlineStr">
        <x:is>
          <x:t xml:space="preserve">package</x:t>
        </x:is>
      </x:c>
      <x:c r="F15" s="149" t="inlineStr">
        <x:is>
          <x:t xml:space="preserve">browser</x:t>
        </x:is>
      </x:c>
      <x:c r="G15" s="150" t="inlineStr">
        <x:is>
          <x:t xml:space="preserve">tests/components/grid/behavior.spec.ts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46228</x:v>
      </x:c>
      <x:c r="K15" s="150" t="n"/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G-08</x:t>
        </x:is>
      </x:c>
      <x:c r="B16" s="149" t="inlineStr">
        <x:is>
          <x:t xml:space="preserve">Accessibility</x:t>
        </x:is>
      </x:c>
      <x:c r="C16" s="149" t="inlineStr">
        <x:is>
          <x:t xml:space="preserve">Root / Item</x:t>
        </x:is>
      </x:c>
      <x:c r="D16" s="150" t="inlineStr">
        <x:is>
          <x:t xml:space="preserve">Authored semantics, DOM and focus order, RTL logic, reflow containment, and axe pass without Grid inventing interactive grid semantics.</x:t>
        </x:is>
      </x:c>
      <x:c r="E16" s="149" t="inlineStr">
        <x:is>
          <x:t xml:space="preserve">package</x:t>
        </x:is>
      </x:c>
      <x:c r="F16" s="149" t="inlineStr">
        <x:is>
          <x:t xml:space="preserve">axe</x:t>
        </x:is>
      </x:c>
      <x:c r="G16" s="150" t="inlineStr">
        <x:is>
          <x:t xml:space="preserve">tests/components/grid/behavior.spec.ts</x:t>
        </x:is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n">
        <x:v>46228</x:v>
      </x:c>
      <x:c r="K16" s="150" t="inlineStr">
        <x:is>
          <x:t xml:space="preserve">Source-order and axe checks passed in the five-project browser matrix.</x:t>
        </x:is>
      </x:c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G-09</x:t>
        </x:is>
      </x:c>
      <x:c r="B17" s="149" t="inlineStr">
        <x:is>
          <x:t xml:space="preserve">Visual</x:t>
        </x:is>
      </x:c>
      <x:c r="C17" s="149" t="inlineStr">
        <x:is>
          <x:t xml:space="preserve">Root / Item</x:t>
        </x:is>
      </x:c>
      <x:c r="D17" s="150" t="inlineStr">
        <x:is>
          <x:t xml:space="preserve">Reviewed docs snapshots cover named areas, spanning and mobile placement; broader manual appearance review remains open.</x:t>
        </x:is>
      </x:c>
      <x:c r="E17" s="149" t="inlineStr">
        <x:is>
          <x:t xml:space="preserve">package</x:t>
        </x:is>
      </x:c>
      <x:c r="F17" s="149" t="inlineStr">
        <x:is>
          <x:t xml:space="preserve">visual</x:t>
        </x:is>
      </x:c>
      <x:c r="G17" s="150" t="inlineStr">
        <x:is>
          <x:t xml:space="preserve">tests/components/grid/docs-visual.spec.ts</x:t>
        </x:is>
      </x:c>
      <x:c r="H17" s="149" t="inlineStr">
        <x:is>
          <x:t xml:space="preserve">partial</x:t>
        </x:is>
      </x:c>
      <x:c r="I17" s="149" t="inlineStr">
        <x:is>
          <x:t xml:space="preserve">yes</x:t>
        </x:is>
      </x:c>
      <x:c r="J17" s="151" t="n">
        <x:v>46228</x:v>
      </x:c>
      <x:c r="K17" s="150" t="inlineStr">
        <x:is>
          <x:t xml:space="preserve">Current Grid playground and visual baselines were reviewed during implementation.</x:t>
        </x:is>
      </x:c>
      <x:c r="L17" s="149" t="n">
        <x:v>1</x:v>
      </x:c>
      <x:c r="M17" s="149" t="n">
        <x:f>IF(OR(AND(I17="yes",H17="verified"),AND(I17="no",OR(H17="tested",H17="verified")),AND(H17="not applicable",K17&lt;&gt;"")),1,0)</x:f>
        <x:v>0</x:v>
      </x:c>
    </x:row>
    <x:row r="18" s="127" customFormat="1" ht="54" customHeight="1">
      <x:c r="A18" s="149" t="inlineStr">
        <x:is>
          <x:t xml:space="preserve">G-10</x:t>
        </x:is>
      </x:c>
      <x:c r="B18" s="149" t="inlineStr">
        <x:is>
          <x:t xml:space="preserve">Responsive</x:t>
        </x:is>
      </x:c>
      <x:c r="C18" s="149" t="inlineStr">
        <x:is>
          <x:t xml:space="preserve">Root / Item</x:t>
        </x:is>
      </x:c>
      <x:c r="D18" s="150" t="inlineStr">
        <x:is>
          <x:t xml:space="preserve">Physical mobile, 200%/400% zoom, intrinsic reflow, constrained placement, long content, and RTL remain readable and contained.</x:t>
        </x:is>
      </x:c>
      <x:c r="E18" s="149" t="inlineStr">
        <x:is>
          <x:t xml:space="preserve">package</x:t>
        </x:is>
      </x:c>
      <x:c r="F18" s="149" t="inlineStr">
        <x:is>
          <x:t xml:space="preserve">manual</x:t>
        </x:is>
      </x:c>
      <x:c r="G18" s="150" t="inlineStr">
        <x:is>
          <x:t xml:space="preserve">manual-tests/grid.md</x:t>
        </x:is>
      </x:c>
      <x:c r="H18" s="149" t="inlineStr">
        <x:is>
          <x:t xml:space="preserve">implemented</x:t>
        </x:is>
      </x:c>
      <x:c r="I18" s="149" t="inlineStr">
        <x:is>
          <x:t xml:space="preserve">yes</x:t>
        </x:is>
      </x:c>
      <x:c r="J18" s="151" t="n"/>
      <x:c r="K18" s="150" t="inlineStr">
        <x:is>
          <x:t xml:space="preserve">Automated reflow and RTL evidence passes; the human manual run is intentionally pending.</x:t>
        </x:is>
      </x:c>
      <x:c r="L18" s="149" t="n">
        <x:v>1</x:v>
      </x:c>
      <x:c r="M18" s="149" t="n">
        <x:f>IF(OR(AND(I18="yes",H18="verified"),AND(I18="no",OR(H18="tested",H18="verified")),AND(H18="not applicable",K18&lt;&gt;"")),1,0)</x:f>
        <x:v>0</x:v>
      </x:c>
    </x:row>
    <x:row r="19" s="127" customFormat="1" ht="54" customHeight="1">
      <x:c r="A19" s="149" t="inlineStr">
        <x:is>
          <x:t xml:space="preserve">G-11</x:t>
        </x:is>
      </x:c>
      <x:c r="B19" s="149" t="inlineStr">
        <x:is>
          <x:t xml:space="preserve">Theme</x:t>
        </x:is>
      </x:c>
      <x:c r="C19" s="149" t="inlineStr">
        <x:is>
          <x:t xml:space="preserve">Root / Item</x:t>
        </x:is>
      </x:c>
      <x:c r="D19" s="150" t="inlineStr">
        <x:is>
          <x:t xml:space="preserve">Light, dark, forced-colors, focus-bearing children, and text-spacing stress retain understandable layout and source order.</x:t>
        </x:is>
      </x:c>
      <x:c r="E19" s="149" t="inlineStr">
        <x:is>
          <x:t xml:space="preserve">package</x:t>
        </x:is>
      </x:c>
      <x:c r="F19" s="149" t="inlineStr">
        <x:is>
          <x:t xml:space="preserve">manual</x:t>
        </x:is>
      </x:c>
      <x:c r="G19" s="150" t="inlineStr">
        <x:is>
          <x:t xml:space="preserve">manual-tests/grid.md; tests/components/grid/visual.spec.ts</x:t>
        </x:is>
      </x:c>
      <x:c r="H19" s="149" t="inlineStr">
        <x:is>
          <x:t xml:space="preserve">implemented</x:t>
        </x:is>
      </x:c>
      <x:c r="I19" s="149" t="inlineStr">
        <x:is>
          <x:t xml:space="preserve">yes</x:t>
        </x:is>
      </x:c>
      <x:c r="J19" s="151" t="n">
        <x:v>46227</x:v>
      </x:c>
      <x:c r="K19" s="150" t="inlineStr">
        <x:is>
          <x:t xml:space="preserve">Automated appearance evidence passes; complete human appearance review is pending.</x:t>
        </x:is>
      </x:c>
      <x:c r="L19" s="149" t="n">
        <x:v>1</x:v>
      </x:c>
      <x:c r="M19" s="149" t="n">
        <x:f>IF(OR(AND(I19="yes",H19="verified"),AND(I19="no",OR(H19="tested",H19="verified")),AND(H19="not applicable",K19&lt;&gt;"")),1,0)</x:f>
        <x:v>0</x:v>
      </x:c>
    </x:row>
    <x:row r="20" s="127" customFormat="1" ht="54" customHeight="1">
      <x:c r="A20" s="149" t="inlineStr">
        <x:is>
          <x:t xml:space="preserve">G-12</x:t>
        </x:is>
      </x:c>
      <x:c r="B20" s="149" t="inlineStr">
        <x:is>
          <x:t xml:space="preserve">Semantics</x:t>
        </x:is>
      </x:c>
      <x:c r="C20" s="149" t="inlineStr">
        <x:is>
          <x:t xml:space="preserve">Root / Item</x:t>
        </x:is>
      </x:c>
      <x:c r="D20" s="150" t="inlineStr">
        <x:is>
          <x:t xml:space="preserve">Supported semantic hosts, authored attributes, source order, rendered output, slots, and data hooks match the public contract.</x:t>
        </x:is>
      </x:c>
      <x:c r="E20" s="149" t="inlineStr">
        <x:is>
          <x:t xml:space="preserve">package</x:t>
        </x:is>
      </x:c>
      <x:c r="F20" s="149" t="inlineStr">
        <x:is>
          <x:t xml:space="preserve">browser</x:t>
        </x:is>
      </x:c>
      <x:c r="G20" s="150" t="inlineStr">
        <x:is>
          <x:t xml:space="preserve">tests/components/grid/behavior.spec.ts</x:t>
        </x:is>
      </x:c>
      <x:c r="H20" s="149" t="inlineStr">
        <x:is>
          <x:t xml:space="preserve">tested</x:t>
        </x:is>
      </x:c>
      <x:c r="I20" s="149" t="inlineStr">
        <x:is>
          <x:t xml:space="preserve">no</x:t>
        </x:is>
      </x:c>
      <x:c r="J20" s="151" t="n">
        <x:v>46228</x:v>
      </x:c>
      <x:c r="K20" s="150" t="inlineStr">
        <x:is>
          <x:t xml:space="preserve">Protocol exists but the owner has deferred the human run.</x:t>
        </x:is>
      </x:c>
      <x:c r="L20" s="149" t="n">
        <x:v>1</x:v>
      </x:c>
      <x:c r="M20" s="149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49" t="inlineStr">
        <x:is>
          <x:t xml:space="preserve">G-13</x:t>
        </x:is>
      </x:c>
      <x:c r="B21" s="149" t="inlineStr">
        <x:is>
          <x:t xml:space="preserve">Manual</x:t>
        </x:is>
      </x:c>
      <x:c r="C21" s="149" t="inlineStr">
        <x:is>
          <x:t xml:space="preserve">Root / Item</x:t>
        </x:is>
      </x:c>
      <x:c r="D21" s="150" t="inlineStr">
        <x:is>
          <x:t xml:space="preserve">The component-owned manual protocol passes every Grid playground scenario.</x:t>
        </x:is>
      </x:c>
      <x:c r="E21" s="149" t="inlineStr">
        <x:is>
          <x:t xml:space="preserve">package</x:t>
        </x:is>
      </x:c>
      <x:c r="F21" s="149" t="inlineStr">
        <x:is>
          <x:t xml:space="preserve">manual</x:t>
        </x:is>
      </x:c>
      <x:c r="G21" s="150" t="inlineStr">
        <x:is>
          <x:t xml:space="preserve">manual-tests/grid.md</x:t>
        </x:is>
      </x:c>
      <x:c r="H21" s="149" t="inlineStr">
        <x:is>
          <x:t xml:space="preserve">implemented</x:t>
        </x:is>
      </x:c>
      <x:c r="I21" s="149" t="inlineStr">
        <x:is>
          <x:t xml:space="preserve">yes</x:t>
        </x:is>
      </x:c>
      <x:c r="J21" s="151" t="n">
        <x:v>46227</x:v>
      </x:c>
      <x:c r="K21" s="150" t="inlineStr">
        <x:is>
          <x:t xml:space="preserve">Protocol exists but the owner has deferred the human run.</x:t>
        </x:is>
      </x:c>
      <x:c r="L21" s="149" t="n">
        <x:v>1</x:v>
      </x:c>
      <x:c r="M21" s="149" t="n">
        <x:f>IF(OR(AND(I21="yes",H21="verified"),AND(I21="no",OR(H21="tested",H21="verified")),AND(H21="not applicable",K21&lt;&gt;"")),1,0)</x:f>
        <x:v>0</x:v>
      </x:c>
    </x:row>
    <x:row r="22" s="127" customFormat="1" ht="54" customHeight="1">
      <x:c r="A22" s="149" t="inlineStr">
        <x:is>
          <x:t xml:space="preserve">G-14</x:t>
        </x:is>
      </x:c>
      <x:c r="B22" s="149" t="inlineStr">
        <x:is>
          <x:t xml:space="preserve">Docs</x:t>
        </x:is>
      </x:c>
      <x:c r="C22" s="149" t="inlineStr">
        <x:is>
          <x:t xml:space="preserve">Grid</x:t>
        </x:is>
      </x:c>
      <x:c r="D22" s="150" t="inlineStr">
        <x:is>
          <x:t xml:space="preserve">Source-backed public usage, defaults, modes, placement, semantics, accessibility, CSS, and API documentation pass component checks.</x:t>
        </x:is>
      </x:c>
      <x:c r="E22" s="149" t="inlineStr">
        <x:is>
          <x:t xml:space="preserve">package</x:t>
        </x:is>
      </x:c>
      <x:c r="F22" s="149" t="inlineStr">
        <x:is>
          <x:t xml:space="preserve">docs</x:t>
        </x:is>
      </x:c>
      <x:c r="G22" s="150" t="inlineStr">
        <x:is>
          <x:t xml:space="preserve">../docs/components/grid/README.md</x:t>
        </x:is>
      </x:c>
      <x:c r="H22" s="149" t="inlineStr">
        <x:is>
          <x:t xml:space="preserve">partial</x:t>
        </x:is>
      </x:c>
      <x:c r="I22" s="149" t="inlineStr">
        <x:is>
          <x:t xml:space="preserve">no</x:t>
        </x:is>
      </x:c>
      <x:c r="J22" s="151" t="n">
        <x:v>46228</x:v>
      </x:c>
      <x:c r="K22" s="150" t="inlineStr">
        <x:is>
          <x:t xml:space="preserve">Source-backed semantic docs pass; repository-wide changelog validator remains blocked by existing entries.</x:t>
        </x:is>
      </x:c>
      <x:c r="L22" s="149" t="n">
        <x:v>1</x:v>
      </x:c>
      <x:c r="M22" s="149" t="n">
        <x:f>IF(OR(AND(I22="yes",H22="verified"),AND(I22="no",OR(H22="tested",H22="verified")),AND(H22="not applicable",K22&lt;&gt;"")),1,0)</x:f>
        <x:v>0</x:v>
      </x:c>
    </x:row>
    <x:row r="23" s="127" customFormat="1" ht="54" customHeight="1">
      <x:c r="A23" s="149" t="inlineStr">
        <x:is>
          <x:t xml:space="preserve">G-15</x:t>
        </x:is>
      </x:c>
      <x:c r="B23" s="149" t="inlineStr">
        <x:is>
          <x:t xml:space="preserve">Changelog</x:t>
        </x:is>
      </x:c>
      <x:c r="C23" s="149" t="inlineStr">
        <x:is>
          <x:t xml:space="preserve">Grid</x:t>
        </x:is>
      </x:c>
      <x:c r="D23" s="150" t="inlineStr">
        <x:is>
          <x:t xml:space="preserve">Grid owns a public component changelog and the package changelog records the component addition.</x:t>
        </x:is>
      </x:c>
      <x:c r="E23" s="149" t="inlineStr">
        <x:is>
          <x:t xml:space="preserve">package</x:t>
        </x:is>
      </x:c>
      <x:c r="F23" s="149" t="inlineStr">
        <x:is>
          <x:t xml:space="preserve">docs</x:t>
        </x:is>
      </x:c>
      <x:c r="G23" s="150" t="inlineStr">
        <x:is>
          <x:t xml:space="preserve">../docs/components/grid/CHANGELOG.md; ../CHANGELOG.md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>
        <x:v>46228</x:v>
      </x:c>
      <x:c r="K23" s="150" t="n"/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G-16</x:t>
        </x:is>
      </x:c>
      <x:c r="B24" s="149" t="inlineStr">
        <x:is>
          <x:t xml:space="preserve">Consumer</x:t>
        </x:is>
      </x:c>
      <x:c r="C24" s="149" t="inlineStr">
        <x:is>
          <x:t xml:space="preserve">Root / Item</x:t>
        </x:is>
      </x:c>
      <x:c r="D24" s="150" t="inlineStr">
        <x:is>
          <x:t xml:space="preserve">The packed Consumer proves realistic equal-track composition, intentional item span, and responsive public-variable overrides through the Grid subpath.</x:t>
        </x:is>
      </x:c>
      <x:c r="E24" s="149" t="inlineStr">
        <x:is>
          <x:t xml:space="preserve">consumer</x:t>
        </x:is>
      </x:c>
      <x:c r="F24" s="149" t="inlineStr">
        <x:is>
          <x:t xml:space="preserve">consumer</x:t>
        </x:is>
      </x:c>
      <x:c r="G24" s="150" t="inlineStr">
        <x:is>
          <x:t xml:space="preserve">../apps/consumer/src/GridGroupExample.tsx</x:t>
        </x:is>
      </x:c>
      <x:c r="H24" s="149" t="inlineStr">
        <x:is>
          <x:t xml:space="preserve">implemented</x:t>
        </x:is>
      </x:c>
      <x:c r="I24" s="149" t="inlineStr">
        <x:is>
          <x:t xml:space="preserve">no</x:t>
        </x:is>
      </x:c>
      <x:c r="J24" s="151" t="n">
        <x:v>46228</x:v>
      </x:c>
      <x:c r="K24" s="150" t="inlineStr">
        <x:is>
          <x:t xml:space="preserve">Composition added; clean consumer dependency qualification remains open.</x:t>
        </x:is>
      </x:c>
      <x:c r="L24" s="149" t="n">
        <x:v>1</x:v>
      </x:c>
      <x:c r="M24" s="149" t="n">
        <x:f>IF(OR(AND(I24="yes",H24="verified"),AND(I24="no",OR(H24="tested",H24="verified")),AND(H24="not applicable",K24&lt;&gt;"")),1,0)</x:f>
        <x:v>0</x:v>
      </x:c>
    </x:row>
    <x:row r="25" s="127" customFormat="1" ht="54" customHeight="1">
      <x:c r="A25" s="149" t="inlineStr">
        <x:is>
          <x:t xml:space="preserve">G-17</x:t>
        </x:is>
      </x:c>
      <x:c r="B25" s="149" t="inlineStr">
        <x:is>
          <x:t xml:space="preserve">Package</x:t>
        </x:is>
      </x:c>
      <x:c r="C25" s="149" t="inlineStr">
        <x:is>
          <x:t xml:space="preserve">Grid</x:t>
        </x:is>
      </x:c>
      <x:c r="D25" s="150" t="inlineStr">
        <x:is>
          <x:t xml:space="preserve">Build, SSR, exports, CSS, tarball, React 18/19, packed Consumer, browser matrix, and playground Grid-adoption checks pass.</x:t>
        </x:is>
      </x:c>
      <x:c r="E25" s="149" t="inlineStr">
        <x:is>
          <x:t xml:space="preserve">package</x:t>
        </x:is>
      </x:c>
      <x:c r="F25" s="149" t="inlineStr">
        <x:is>
          <x:t xml:space="preserve">package</x:t>
        </x:is>
      </x:c>
      <x:c r="G25" s="150" t="inlineStr">
        <x:is>
          <x:t xml:space="preserve">../test/package; ../scripts/verify-package.mjs; ../scripts/verify-consumers.mjs; ../scripts/verify-playground-grid.mjs</x:t>
        </x:is>
      </x:c>
      <x:c r="H25" s="149" t="inlineStr">
        <x:is>
          <x:t xml:space="preserve">blocked</x:t>
        </x:is>
      </x:c>
      <x:c r="I25" s="149" t="inlineStr">
        <x:is>
          <x:t xml:space="preserve">yes</x:t>
        </x:is>
      </x:c>
      <x:c r="J25" s="151" t="n">
        <x:v>46228</x:v>
      </x:c>
      <x:c r="K25" s="150" t="inlineStr">
        <x:is>
          <x:t xml:space="preserve">Existing repository changelog, Checkbox export expectation and published Atom date-value gaps remain outside this pass.</x:t>
        </x:is>
      </x:c>
      <x:c r="L25" s="149" t="n">
        <x:v>1</x:v>
      </x:c>
      <x:c r="M25" s="149" t="n">
        <x:f>IF(OR(AND(I25="yes",H25="verified"),AND(I25="no",OR(H25="tested",H25="verified")),AND(H25="not applicable",K25&lt;&gt;"")),1,0)</x:f>
        <x:v>0</x:v>
      </x:c>
    </x:row>
  </x:sheetData>
  <x:mergeCells>
    <x:mergeCell ref="A2:M2"/>
    <x:mergeCell ref="A1:M1"/>
  </x:mergeCells>
  <x:conditionalFormatting sqref="H9:H25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0" showDropDown="0" showInputMessage="0" showErrorMessage="0" sqref="H9:H25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25">
      <x:formula1>"yes,no"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b6f0bb738134b6e"/>
  </x:tableParts>
</x:worksheet>
</file>

<file path=xl/worksheets/sheet30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Container Evidence</x:t>
        </x:is>
      </x:c>
    </x:row>
    <x:row r="2" s="127" customFormat="1" ht="27.75" customHeight="1">
      <x:c r="A2" s="129" t="inlineStr">
        <x:is>
          <x:t xml:space="preserve">Assertion-level package, browser, human-review, documentation, Consumer, and playground-boundary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COUNTA(A9:A25)</x:f>
        <x:v>17</x:v>
      </x:c>
      <x:c r="D4" s="130" t="inlineStr">
        <x:is>
          <x:t xml:space="preserve">Resolved</x:t>
        </x:is>
      </x:c>
      <x:c r="E4" s="131" t="n">
        <x:f>SUM(M9:M25)</x:f>
        <x:v>13</x:v>
      </x:c>
      <x:c r="G4" s="130" t="inlineStr">
        <x:is>
          <x:t xml:space="preserve">Completion</x:t>
        </x:is>
      </x:c>
      <x:c r="H4" s="132" t="n">
        <x:f>IF(B4=0,0,E4/B4)</x:f>
        <x:v>0.7647058823529411</x:v>
      </x:c>
      <x:c r="J4" s="130" t="inlineStr">
        <x:is>
          <x:t xml:space="preserve">Package gate</x:t>
        </x:is>
      </x:c>
      <x:c r="K4" s="131" t="str">
        <x:f>IF(COUNTIFS(E9:E25,"package",M9:M25,0)&gt;0,"open","complete")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IF(COUNTIFS(I9:I25,"yes",M9:M25,0)&gt;0,"open","complete")</x:f>
        <x:v>open</x:v>
      </x:c>
      <x:c r="D5" s="130" t="inlineStr">
        <x:is>
          <x:t xml:space="preserve">Consumer gate</x:t>
        </x:is>
      </x:c>
      <x:c r="E5" s="131" t="str">
        <x:f>IF(COUNTIFS(E9:E25,"consumer",M9:M25,0)&gt;0,"open","complete")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C-01</x:t>
        </x:is>
      </x:c>
      <x:c r="B9" s="149" t="inlineStr">
        <x:is>
          <x:t xml:space="preserve">Implementation</x:t>
        </x:is>
      </x:c>
      <x:c r="C9" s="149" t="inlineStr">
        <x:is>
          <x:t xml:space="preserve">Container</x:t>
        </x:is>
      </x:c>
      <x:c r="D9" s="150" t="inlineStr">
        <x:is>
          <x:t xml:space="preserve">Container renders one approved native host with stable hooks, forwarded ref, authored children, and native attributes.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../src/components/container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46228</x:v>
      </x:c>
      <x:c r="K9" s="150" t="n"/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C-02</x:t>
        </x:is>
      </x:c>
      <x:c r="B10" s="149" t="inlineStr">
        <x:is>
          <x:t xml:space="preserve">Exports</x:t>
        </x:is>
      </x:c>
      <x:c r="C10" s="149" t="inlineStr">
        <x:is>
          <x:t xml:space="preserve">Container</x:t>
        </x:is>
      </x:c>
      <x:c r="D10" s="150" t="inlineStr">
        <x:is>
          <x:t xml:space="preserve">Root exports and the public Container subpath expose the runtime component and every public Container type.</x:t>
        </x:is>
      </x:c>
      <x:c r="E10" s="149" t="inlineStr">
        <x:is>
          <x:t xml:space="preserve">package</x:t>
        </x:is>
      </x:c>
      <x:c r="F10" s="149" t="inlineStr">
        <x:is>
          <x:t xml:space="preserve">package</x:t>
        </x:is>
      </x:c>
      <x:c r="G10" s="150" t="inlineStr">
        <x:is>
          <x:t xml:space="preserve">../test/package/package.test.mjs; ../test/package/ssr.test.mjs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46228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C-03</x:t>
        </x:is>
      </x:c>
      <x:c r="B11" s="149" t="inlineStr">
        <x:is>
          <x:t xml:space="preserve">Types</x:t>
        </x:is>
      </x:c>
      <x:c r="C11" s="149" t="inlineStr">
        <x:is>
          <x:t xml:space="preserve">Container</x:t>
        </x:is>
      </x:c>
      <x:c r="D11" s="150" t="inlineStr">
        <x:is>
          <x:t xml:space="preserve">Closed hosts, measures, gutters, native props, refs, and rejected arbitrary, responsive, viewport, and composition props type-check.</x:t>
        </x:is>
      </x:c>
      <x:c r="E11" s="149" t="inlineStr">
        <x:is>
          <x:t xml:space="preserve">package</x:t>
        </x:is>
      </x:c>
      <x:c r="F11" s="149" t="inlineStr">
        <x:is>
          <x:t xml:space="preserve">types</x:t>
        </x:is>
      </x:c>
      <x:c r="G11" s="150" t="inlineStr">
        <x:is>
          <x:t xml:space="preserve">../test/types/components/container.test.ts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46228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C-04</x:t>
        </x:is>
      </x:c>
      <x:c r="B12" s="149" t="inlineStr">
        <x:is>
          <x:t xml:space="preserve">CSS</x:t>
        </x:is>
      </x:c>
      <x:c r="C12" s="149" t="inlineStr">
        <x:is>
          <x:t xml:space="preserve">Container</x:t>
        </x:is>
      </x:c>
      <x:c r="D12" s="150" t="inlineStr">
        <x:is>
          <x:t xml:space="preserve">Static CSS ships border-box fluid sizing, five measures, four logical gutters, centering, containment, and public variable overrides.</x:t>
        </x:is>
      </x:c>
      <x:c r="E12" s="149" t="inlineStr">
        <x:is>
          <x:t xml:space="preserve">package</x:t>
        </x:is>
      </x:c>
      <x:c r="F12" s="149" t="inlineStr">
        <x:is>
          <x:t xml:space="preserve">css</x:t>
        </x:is>
      </x:c>
      <x:c r="G12" s="150" t="inlineStr">
        <x:is>
          <x:t xml:space="preserve">../src/components/container/container.css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46228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C-05</x:t>
        </x:is>
      </x:c>
      <x:c r="B13" s="149" t="inlineStr">
        <x:is>
          <x:t xml:space="preserve">Unit</x:t>
        </x:is>
      </x:c>
      <x:c r="C13" s="149" t="inlineStr">
        <x:is>
          <x:t xml:space="preserve">Container</x:t>
        </x:is>
      </x:c>
      <x:c r="D13" s="150" t="inlineStr">
        <x:is>
          <x:t xml:space="preserve">Defaults, every recipe, semantic hosts, one-root anatomy, pass-through, hooks, events, refs, and exclusions pass focused tests.</x:t>
        </x:is>
      </x:c>
      <x:c r="E13" s="149" t="inlineStr">
        <x:is>
          <x:t xml:space="preserve">package</x:t>
        </x:is>
      </x:c>
      <x:c r="F13" s="149" t="inlineStr">
        <x:is>
          <x:t xml:space="preserve">component</x:t>
        </x:is>
      </x:c>
      <x:c r="G13" s="150" t="inlineStr">
        <x:is>
          <x:t xml:space="preserve">../test/components/container/container.test.tsx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46228</x:v>
      </x:c>
      <x:c r="K13" s="150" t="n"/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C-06</x:t>
        </x:is>
      </x:c>
      <x:c r="B14" s="149" t="inlineStr">
        <x:is>
          <x:t xml:space="preserve">Browser</x:t>
        </x:is>
      </x:c>
      <x:c r="C14" s="149" t="inlineStr">
        <x:is>
          <x:t xml:space="preserve">Container</x:t>
        </x:is>
      </x:c>
      <x:c r="D14" s="150" t="inlineStr">
        <x:is>
          <x:t xml:space="preserve">Real-browser maximums, full width, gutters, border-box containment, output, refs, and exact customization pass across the supported matrix.</x:t>
        </x:is>
      </x:c>
      <x:c r="E14" s="149" t="inlineStr">
        <x:is>
          <x:t xml:space="preserve">package</x:t>
        </x:is>
      </x:c>
      <x:c r="F14" s="149" t="inlineStr">
        <x:is>
          <x:t xml:space="preserve">browser</x:t>
        </x:is>
      </x:c>
      <x:c r="G14" s="150" t="inlineStr">
        <x:is>
          <x:t xml:space="preserve">tests/components/container/behavior.spec.ts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46228</x:v>
      </x:c>
      <x:c r="K14" s="150" t="n"/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C-07</x:t>
        </x:is>
      </x:c>
      <x:c r="B15" s="149" t="inlineStr">
        <x:is>
          <x:t xml:space="preserve">Accessibility</x:t>
        </x:is>
      </x:c>
      <x:c r="C15" s="149" t="inlineStr">
        <x:is>
          <x:t xml:space="preserve">Container</x:t>
        </x:is>
      </x:c>
      <x:c r="D15" s="150" t="inlineStr">
        <x:is>
          <x:t xml:space="preserve">Authored semantics, source/focus order, RTL and vertical logical sizing, reflow, focus visibility, and axe pass without invented roles.</x:t>
        </x:is>
      </x:c>
      <x:c r="E15" s="149" t="inlineStr">
        <x:is>
          <x:t xml:space="preserve">package</x:t>
        </x:is>
      </x:c>
      <x:c r="F15" s="149" t="inlineStr">
        <x:is>
          <x:t xml:space="preserve">axe</x:t>
        </x:is>
      </x:c>
      <x:c r="G15" s="150" t="inlineStr">
        <x:is>
          <x:t xml:space="preserve">tests/components/container/behavior.spec.ts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46228</x:v>
      </x:c>
      <x:c r="K15" s="150" t="n"/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C-08</x:t>
        </x:is>
      </x:c>
      <x:c r="B16" s="149" t="inlineStr">
        <x:is>
          <x:t xml:space="preserve">Visual</x:t>
        </x:is>
      </x:c>
      <x:c r="C16" s="149" t="inlineStr">
        <x:is>
          <x:t xml:space="preserve">Container</x:t>
        </x:is>
      </x:c>
      <x:c r="D16" s="150" t="inlineStr">
        <x:is>
          <x:t xml:space="preserve">Reviewed baselines cover defaults, measures, gutters, dark customization, narrow RTL, and vertical writing.</x:t>
        </x:is>
      </x:c>
      <x:c r="E16" s="149" t="inlineStr">
        <x:is>
          <x:t xml:space="preserve">package</x:t>
        </x:is>
      </x:c>
      <x:c r="F16" s="149" t="inlineStr">
        <x:is>
          <x:t xml:space="preserve">visual</x:t>
        </x:is>
      </x:c>
      <x:c r="G16" s="150" t="inlineStr">
        <x:is>
          <x:t xml:space="preserve">tests/components/container/visual.spec.ts</x:t>
        </x:is>
      </x:c>
      <x:c r="H16" s="149" t="inlineStr">
        <x:is>
          <x:t xml:space="preserve">verified</x:t>
        </x:is>
      </x:c>
      <x:c r="I16" s="149" t="inlineStr">
        <x:is>
          <x:t xml:space="preserve">yes</x:t>
        </x:is>
      </x:c>
      <x:c r="J16" s="151" t="n">
        <x:v>46228</x:v>
      </x:c>
      <x:c r="K16" s="150" t="inlineStr">
        <x:is>
          <x:t xml:space="preserve">Current Container playground and visual baselines were reviewed during implementation.</x:t>
        </x:is>
      </x:c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C-09</x:t>
        </x:is>
      </x:c>
      <x:c r="B17" s="149" t="inlineStr">
        <x:is>
          <x:t xml:space="preserve">Responsive</x:t>
        </x:is>
      </x:c>
      <x:c r="C17" s="149" t="inlineStr">
        <x:is>
          <x:t xml:space="preserve">Container</x:t>
        </x:is>
      </x:c>
      <x:c r="D17" s="150" t="inlineStr">
        <x:is>
          <x:t xml:space="preserve">Physical mobile, 200%/400% zoom, 320/256 CSS-pixel reflow, long content, RTL, and vertical writing remain usable and contained.</x:t>
        </x:is>
      </x:c>
      <x:c r="E17" s="149" t="inlineStr">
        <x:is>
          <x:t xml:space="preserve">package</x:t>
        </x:is>
      </x:c>
      <x:c r="F17" s="149" t="inlineStr">
        <x:is>
          <x:t xml:space="preserve">manual</x:t>
        </x:is>
      </x:c>
      <x:c r="G17" s="150" t="inlineStr">
        <x:is>
          <x:t xml:space="preserve">manual-tests/container.md</x:t>
        </x:is>
      </x:c>
      <x:c r="H17" s="149" t="inlineStr">
        <x:is>
          <x:t xml:space="preserve">implemented</x:t>
        </x:is>
      </x:c>
      <x:c r="I17" s="149" t="inlineStr">
        <x:is>
          <x:t xml:space="preserve">yes</x:t>
        </x:is>
      </x:c>
      <x:c r="J17" s="151" t="n"/>
      <x:c r="K17" s="150" t="inlineStr">
        <x:is>
          <x:t xml:space="preserve">Automated reflow evidence passes; the human manual run is intentionally pending.</x:t>
        </x:is>
      </x:c>
      <x:c r="L17" s="149" t="n">
        <x:v>1</x:v>
      </x:c>
      <x:c r="M17" s="149" t="n">
        <x:f>IF(OR(AND(I17="yes",H17="verified"),AND(I17="no",OR(H17="tested",H17="verified")),AND(H17="not applicable",K17&lt;&gt;"")),1,0)</x:f>
        <x:v>0</x:v>
      </x:c>
    </x:row>
    <x:row r="18" s="127" customFormat="1" ht="54" customHeight="1">
      <x:c r="A18" s="149" t="inlineStr">
        <x:is>
          <x:t xml:space="preserve">C-10</x:t>
        </x:is>
      </x:c>
      <x:c r="B18" s="149" t="inlineStr">
        <x:is>
          <x:t xml:space="preserve">Theme</x:t>
        </x:is>
      </x:c>
      <x:c r="C18" s="149" t="inlineStr">
        <x:is>
          <x:t xml:space="preserve">Container</x:t>
        </x:is>
      </x:c>
      <x:c r="D18" s="150" t="inlineStr">
        <x:is>
          <x:t xml:space="preserve">Light, dark, forced colors, text spacing, and focus-bearing descendants preserve geometry and visibility.</x:t>
        </x:is>
      </x:c>
      <x:c r="E18" s="149" t="inlineStr">
        <x:is>
          <x:t xml:space="preserve">package</x:t>
        </x:is>
      </x:c>
      <x:c r="F18" s="149" t="inlineStr">
        <x:is>
          <x:t xml:space="preserve">manual</x:t>
        </x:is>
      </x:c>
      <x:c r="G18" s="150" t="inlineStr">
        <x:is>
          <x:t xml:space="preserve">manual-tests/container.md; tests/components/container/visual.spec.ts</x:t>
        </x:is>
      </x:c>
      <x:c r="H18" s="149" t="inlineStr">
        <x:is>
          <x:t xml:space="preserve">implemented</x:t>
        </x:is>
      </x:c>
      <x:c r="I18" s="149" t="inlineStr">
        <x:is>
          <x:t xml:space="preserve">yes</x:t>
        </x:is>
      </x:c>
      <x:c r="J18" s="151" t="n"/>
      <x:c r="K18" s="150" t="inlineStr">
        <x:is>
          <x:t xml:space="preserve">Automated appearance evidence passes; complete human appearance review is pending.</x:t>
        </x:is>
      </x:c>
      <x:c r="L18" s="149" t="n">
        <x:v>1</x:v>
      </x:c>
      <x:c r="M18" s="149" t="n">
        <x:f>IF(OR(AND(I18="yes",H18="verified"),AND(I18="no",OR(H18="tested",H18="verified")),AND(H18="not applicable",K18&lt;&gt;"")),1,0)</x:f>
        <x:v>0</x:v>
      </x:c>
    </x:row>
    <x:row r="19" s="127" customFormat="1" ht="54" customHeight="1">
      <x:c r="A19" s="149" t="inlineStr">
        <x:is>
          <x:t xml:space="preserve">C-11</x:t>
        </x:is>
      </x:c>
      <x:c r="B19" s="149" t="inlineStr">
        <x:is>
          <x:t xml:space="preserve">Semantics</x:t>
        </x:is>
      </x:c>
      <x:c r="C19" s="149" t="inlineStr">
        <x:is>
          <x:t xml:space="preserve">Container</x:t>
        </x:is>
      </x:c>
      <x:c r="D19" s="150" t="inlineStr">
        <x:is>
          <x:t xml:space="preserve">Supported semantic hosts, authored attributes, one-root output, slot, measure, and gutter hooks match the public contract.</x:t>
        </x:is>
      </x:c>
      <x:c r="E19" s="149" t="inlineStr">
        <x:is>
          <x:t xml:space="preserve">package</x:t>
        </x:is>
      </x:c>
      <x:c r="F19" s="149" t="inlineStr">
        <x:is>
          <x:t xml:space="preserve">browser</x:t>
        </x:is>
      </x:c>
      <x:c r="G19" s="150" t="inlineStr">
        <x:is>
          <x:t xml:space="preserve">tests/components/container/behavior.spec.ts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46228</x:v>
      </x:c>
      <x:c r="K19" s="150" t="n"/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C-12</x:t>
        </x:is>
      </x:c>
      <x:c r="B20" s="149" t="inlineStr">
        <x:is>
          <x:t xml:space="preserve">Manual</x:t>
        </x:is>
      </x:c>
      <x:c r="C20" s="149" t="inlineStr">
        <x:is>
          <x:t xml:space="preserve">Container</x:t>
        </x:is>
      </x:c>
      <x:c r="D20" s="150" t="inlineStr">
        <x:is>
          <x:t xml:space="preserve">The component-owned manual protocol passes every Container playground scenario.</x:t>
        </x:is>
      </x:c>
      <x:c r="E20" s="149" t="inlineStr">
        <x:is>
          <x:t xml:space="preserve">package</x:t>
        </x:is>
      </x:c>
      <x:c r="F20" s="149" t="inlineStr">
        <x:is>
          <x:t xml:space="preserve">manual</x:t>
        </x:is>
      </x:c>
      <x:c r="G20" s="150" t="inlineStr">
        <x:is>
          <x:t xml:space="preserve">manual-tests/container.md</x:t>
        </x:is>
      </x:c>
      <x:c r="H20" s="149" t="inlineStr">
        <x:is>
          <x:t xml:space="preserve">implemented</x:t>
        </x:is>
      </x:c>
      <x:c r="I20" s="149" t="inlineStr">
        <x:is>
          <x:t xml:space="preserve">yes</x:t>
        </x:is>
      </x:c>
      <x:c r="J20" s="151" t="n"/>
      <x:c r="K20" s="150" t="inlineStr">
        <x:is>
          <x:t xml:space="preserve">Protocol exists; the owner deferred the human run.</x:t>
        </x:is>
      </x:c>
      <x:c r="L20" s="149" t="n">
        <x:v>1</x:v>
      </x:c>
      <x:c r="M20" s="149" t="n">
        <x:f>IF(OR(AND(I20="yes",H20="verified"),AND(I20="no",OR(H20="tested",H20="verified")),AND(H20="not applicable",K20&lt;&gt;"")),1,0)</x:f>
        <x:v>0</x:v>
      </x:c>
    </x:row>
    <x:row r="21" s="127" customFormat="1" ht="54" customHeight="1">
      <x:c r="A21" s="149" t="inlineStr">
        <x:is>
          <x:t xml:space="preserve">C-13</x:t>
        </x:is>
      </x:c>
      <x:c r="B21" s="149" t="inlineStr">
        <x:is>
          <x:t xml:space="preserve">Docs</x:t>
        </x:is>
      </x:c>
      <x:c r="C21" s="149" t="inlineStr">
        <x:is>
          <x:t xml:space="preserve">Container</x:t>
        </x:is>
      </x:c>
      <x:c r="D21" s="150" t="inlineStr">
        <x:is>
          <x:t xml:space="preserve">Source-backed usage, defaults, geometry, semantics, accessibility, composition, CSS, customization, and API documentation pass checks.</x:t>
        </x:is>
      </x:c>
      <x:c r="E21" s="149" t="inlineStr">
        <x:is>
          <x:t xml:space="preserve">package</x:t>
        </x:is>
      </x:c>
      <x:c r="F21" s="149" t="inlineStr">
        <x:is>
          <x:t xml:space="preserve">docs</x:t>
        </x:is>
      </x:c>
      <x:c r="G21" s="150" t="inlineStr">
        <x:is>
          <x:t xml:space="preserve">../docs/components/container/README.md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46228</x:v>
      </x:c>
      <x:c r="K21" s="150" t="n"/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C-14</x:t>
        </x:is>
      </x:c>
      <x:c r="B22" s="149" t="inlineStr">
        <x:is>
          <x:t xml:space="preserve">Changelog</x:t>
        </x:is>
      </x:c>
      <x:c r="C22" s="149" t="inlineStr">
        <x:is>
          <x:t xml:space="preserve">Container</x:t>
        </x:is>
      </x:c>
      <x:c r="D22" s="150" t="inlineStr">
        <x:is>
          <x:t xml:space="preserve">Container owns a public component changelog and the package changelog records the component addition.</x:t>
        </x:is>
      </x:c>
      <x:c r="E22" s="149" t="inlineStr">
        <x:is>
          <x:t xml:space="preserve">package</x:t>
        </x:is>
      </x:c>
      <x:c r="F22" s="149" t="inlineStr">
        <x:is>
          <x:t xml:space="preserve">docs</x:t>
        </x:is>
      </x:c>
      <x:c r="G22" s="150" t="inlineStr">
        <x:is>
          <x:t xml:space="preserve">../docs/components/container/CHANGELOG.md; ../CHANGELOG.md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46228</x:v>
      </x:c>
      <x:c r="K22" s="150" t="n"/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C-15</x:t>
        </x:is>
      </x:c>
      <x:c r="B23" s="149" t="inlineStr">
        <x:is>
          <x:t xml:space="preserve">Consumer</x:t>
        </x:is>
      </x:c>
      <x:c r="C23" s="149" t="inlineStr">
        <x:is>
          <x:t xml:space="preserve">Container</x:t>
        </x:is>
      </x:c>
      <x:c r="D23" s="150" t="inlineStr">
        <x:is>
          <x:t xml:space="preserve">The packed Consumer proves the public Container subpath as a realistic page boundary containing Stack and Grid with responsive gutters.</x:t>
        </x:is>
      </x:c>
      <x:c r="E23" s="149" t="inlineStr">
        <x:is>
          <x:t xml:space="preserve">consumer</x:t>
        </x:is>
      </x:c>
      <x:c r="F23" s="149" t="inlineStr">
        <x:is>
          <x:t xml:space="preserve">consumer</x:t>
        </x:is>
      </x:c>
      <x:c r="G23" s="150" t="inlineStr">
        <x:is>
          <x:t xml:space="preserve">../apps/consumer/src/App.tsx; ../apps/consumer/tests/consumer.spec.ts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>
        <x:v>46228</x:v>
      </x:c>
      <x:c r="K23" s="150" t="n"/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C-16</x:t>
        </x:is>
      </x:c>
      <x:c r="B24" s="149" t="inlineStr">
        <x:is>
          <x:t xml:space="preserve">Playground</x:t>
        </x:is>
      </x:c>
      <x:c r="C24" s="149" t="inlineStr">
        <x:is>
          <x:t xml:space="preserve">Container</x:t>
        </x:is>
      </x:c>
      <x:c r="D24" s="150" t="inlineStr">
        <x:is>
          <x:t xml:space="preserve">Shared main, header, scenario navigation, route-content, and footer boundaries use Container while App Bar and component-specific constraints remain excluded.</x:t>
        </x:is>
      </x:c>
      <x:c r="E24" s="149" t="inlineStr">
        <x:is>
          <x:t xml:space="preserve">package</x:t>
        </x:is>
      </x:c>
      <x:c r="F24" s="149" t="inlineStr">
        <x:is>
          <x:t xml:space="preserve">package</x:t>
        </x:is>
      </x:c>
      <x:c r="G24" s="150" t="inlineStr">
        <x:is>
          <x:t xml:space="preserve">../playground/src/shell/PlaygroundShell.tsx; ../scripts/verify-playground-container.mjs</x:t>
        </x:is>
      </x:c>
      <x:c r="H24" s="149" t="inlineStr">
        <x:is>
          <x:t xml:space="preserve">tested</x:t>
        </x:is>
      </x:c>
      <x:c r="I24" s="149" t="inlineStr">
        <x:is>
          <x:t xml:space="preserve">no</x:t>
        </x:is>
      </x:c>
      <x:c r="J24" s="151" t="n">
        <x:v>46228</x:v>
      </x:c>
      <x:c r="K24" s="150" t="n"/>
      <x:c r="L24" s="149" t="n">
        <x:v>1</x:v>
      </x:c>
      <x:c r="M24" s="149" t="n">
        <x:f>IF(OR(AND(I24="yes",H24="verified"),AND(I24="no",OR(H24="tested",H24="verified")),AND(H24="not applicable",K24&lt;&gt;"")),1,0)</x:f>
        <x:v>1</x:v>
      </x:c>
    </x:row>
    <x:row r="25" s="127" customFormat="1" ht="54" customHeight="1">
      <x:c r="A25" s="149" t="inlineStr">
        <x:is>
          <x:t xml:space="preserve">C-17</x:t>
        </x:is>
      </x:c>
      <x:c r="B25" s="149" t="inlineStr">
        <x:is>
          <x:t xml:space="preserve">Package</x:t>
        </x:is>
      </x:c>
      <x:c r="C25" s="149" t="inlineStr">
        <x:is>
          <x:t xml:space="preserve">Container</x:t>
        </x:is>
      </x:c>
      <x:c r="D25" s="150" t="inlineStr">
        <x:is>
          <x:t xml:space="preserve">Build, SSR, exports, CSS, tarball, React 18/19, packed Consumer, browser matrix, and Container-adoption checks pass.</x:t>
        </x:is>
      </x:c>
      <x:c r="E25" s="149" t="inlineStr">
        <x:is>
          <x:t xml:space="preserve">package</x:t>
        </x:is>
      </x:c>
      <x:c r="F25" s="149" t="inlineStr">
        <x:is>
          <x:t xml:space="preserve">package</x:t>
        </x:is>
      </x:c>
      <x:c r="G25" s="150" t="inlineStr">
        <x:is>
          <x:t xml:space="preserve">../test/package; ../scripts/verify-package.mjs; ../scripts/verify-consumers.mjs; ../scripts/verify-playground-container.mjs</x:t>
        </x:is>
      </x:c>
      <x:c r="H25" s="149" t="inlineStr">
        <x:is>
          <x:t xml:space="preserve">implemented</x:t>
        </x:is>
      </x:c>
      <x:c r="I25" s="149" t="inlineStr">
        <x:is>
          <x:t xml:space="preserve">yes</x:t>
        </x:is>
      </x:c>
      <x:c r="J25" s="151" t="n"/>
      <x:c r="K25" s="150" t="inlineStr">
        <x:is>
          <x:t xml:space="preserve">Automated package gates pass; complete status waits for the component-owned human manual run.</x:t>
        </x:is>
      </x:c>
      <x:c r="L25" s="149" t="n">
        <x:v>1</x:v>
      </x:c>
      <x:c r="M25" s="149" t="n">
        <x:f>IF(OR(AND(I25="yes",H25="verified"),AND(I25="no",OR(H25="tested",H25="verified")),AND(H25="not applicable",K25&lt;&gt;"")),1,0)</x:f>
        <x:v>0</x:v>
      </x:c>
    </x:row>
  </x:sheetData>
  <x:mergeCells>
    <x:mergeCell ref="A2:M2"/>
    <x:mergeCell ref="A1:M1"/>
  </x:mergeCells>
  <x:conditionalFormatting sqref="H9:H25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0" showDropDown="0" showInputMessage="0" showErrorMessage="0" sqref="H9:H25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25">
      <x:formula1>"yes,no"</x:formula1>
      <x:formula2>0</x:formula2>
    </x:dataValidation>
  </x:dataValidation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Surface Evidence</x:t>
        </x:is>
      </x:c>
    </x:row>
    <x:row r="2" s="127" customFormat="1" ht="27.75" customHeight="1">
      <x:c r="A2" s="129" t="inlineStr">
        <x:is>
          <x:t xml:space="preserve">Assertion-level package, browser, human-review, documentation, Consumer, and playground-ownership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COUNTA(A9:A25)</x:f>
        <x:v>17</x:v>
      </x:c>
      <x:c r="D4" s="130" t="inlineStr">
        <x:is>
          <x:t xml:space="preserve">Resolved</x:t>
        </x:is>
      </x:c>
      <x:c r="E4" s="131" t="n">
        <x:f>SUM(M9:M25)</x:f>
        <x:v>12</x:v>
      </x:c>
      <x:c r="G4" s="130" t="inlineStr">
        <x:is>
          <x:t xml:space="preserve">Completion</x:t>
        </x:is>
      </x:c>
      <x:c r="H4" s="132" t="n">
        <x:f>IF(B4=0,0,E4/B4)</x:f>
        <x:v>0.7058823529411765</x:v>
      </x:c>
      <x:c r="J4" s="130" t="inlineStr">
        <x:is>
          <x:t xml:space="preserve">Package gate</x:t>
        </x:is>
      </x:c>
      <x:c r="K4" s="131" t="str">
        <x:f>IF(COUNTIFS(E9:E25,"package",M9:M25,0)&gt;0,"open","complete")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IF(COUNTIFS(I9:I25,"yes",M9:M25,0)&gt;0,"open","complete")</x:f>
        <x:v>open</x:v>
      </x:c>
      <x:c r="D5" s="130" t="inlineStr">
        <x:is>
          <x:t xml:space="preserve">Consumer gate</x:t>
        </x:is>
      </x:c>
      <x:c r="E5" s="131" t="str">
        <x:f>IF(COUNTIFS(E9:E25,"consumer",M9:M25,0)&gt;0,"open","complete")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S-01</x:t>
        </x:is>
      </x:c>
      <x:c r="B9" s="149" t="inlineStr">
        <x:is>
          <x:t xml:space="preserve">Implementation</x:t>
        </x:is>
      </x:c>
      <x:c r="C9" s="149" t="inlineStr">
        <x:is>
          <x:t xml:space="preserve">Surface</x:t>
        </x:is>
      </x:c>
      <x:c r="D9" s="150" t="inlineStr">
        <x:is>
          <x:t xml:space="preserve">Surface renders one approved semantic host with stable hooks, forwarded ref, authored children, and native attributes.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../src/components/surface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46228</x:v>
      </x:c>
      <x:c r="K9" s="150" t="n"/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S-02</x:t>
        </x:is>
      </x:c>
      <x:c r="B10" s="149" t="inlineStr">
        <x:is>
          <x:t xml:space="preserve">Exports</x:t>
        </x:is>
      </x:c>
      <x:c r="C10" s="149" t="inlineStr">
        <x:is>
          <x:t xml:space="preserve">Surface</x:t>
        </x:is>
      </x:c>
      <x:c r="D10" s="150" t="inlineStr">
        <x:is>
          <x:t xml:space="preserve">Root exports and the public Surface subpath expose the runtime component and every public Surface type.</x:t>
        </x:is>
      </x:c>
      <x:c r="E10" s="149" t="inlineStr">
        <x:is>
          <x:t xml:space="preserve">package</x:t>
        </x:is>
      </x:c>
      <x:c r="F10" s="149" t="inlineStr">
        <x:is>
          <x:t xml:space="preserve">package</x:t>
        </x:is>
      </x:c>
      <x:c r="G10" s="150" t="inlineStr">
        <x:is>
          <x:t xml:space="preserve">../test/package/package.test.mjs; ../test/package/ssr.test.mjs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46228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S-03</x:t>
        </x:is>
      </x:c>
      <x:c r="B11" s="149" t="inlineStr">
        <x:is>
          <x:t xml:space="preserve">Types</x:t>
        </x:is>
      </x:c>
      <x:c r="C11" s="149" t="inlineStr">
        <x:is>
          <x:t xml:space="preserve">Surface</x:t>
        </x:is>
      </x:c>
      <x:c r="D11" s="150" t="inlineStr">
        <x:is>
          <x:t xml:space="preserve">Closed semantic hosts, levels, elevations, radii, six inset values, responsive inset grammar, native props, refs, and rejected composition props type-check.</x:t>
        </x:is>
      </x:c>
      <x:c r="E11" s="149" t="inlineStr">
        <x:is>
          <x:t xml:space="preserve">package</x:t>
        </x:is>
      </x:c>
      <x:c r="F11" s="149" t="inlineStr">
        <x:is>
          <x:t xml:space="preserve">types</x:t>
        </x:is>
      </x:c>
      <x:c r="G11" s="150" t="inlineStr">
        <x:is>
          <x:t xml:space="preserve">../test/types/components/surface.test.ts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46228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S-04</x:t>
        </x:is>
      </x:c>
      <x:c r="B12" s="149" t="inlineStr">
        <x:is>
          <x:t xml:space="preserve">CSS</x:t>
        </x:is>
      </x:c>
      <x:c r="C12" s="149" t="inlineStr">
        <x:is>
          <x:t xml:space="preserve">Surface</x:t>
        </x:is>
      </x:c>
      <x:c r="D12" s="150" t="inlineStr">
        <x:is>
          <x:t xml:space="preserve">Static CSS ships semantic levels, independent border, elevation, radius, six theme-derived inset recipes, responsive inset breakpoints, forced-color handling, and public variable overrides.</x:t>
        </x:is>
      </x:c>
      <x:c r="E12" s="149" t="inlineStr">
        <x:is>
          <x:t xml:space="preserve">package</x:t>
        </x:is>
      </x:c>
      <x:c r="F12" s="149" t="inlineStr">
        <x:is>
          <x:t xml:space="preserve">css</x:t>
        </x:is>
      </x:c>
      <x:c r="G12" s="150" t="inlineStr">
        <x:is>
          <x:t xml:space="preserve">../src/components/surface/surface.css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46228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S-05</x:t>
        </x:is>
      </x:c>
      <x:c r="B13" s="149" t="inlineStr">
        <x:is>
          <x:t xml:space="preserve">Unit</x:t>
        </x:is>
      </x:c>
      <x:c r="C13" s="149" t="inlineStr">
        <x:is>
          <x:t xml:space="preserve">Surface</x:t>
        </x:is>
      </x:c>
      <x:c r="D13" s="150" t="inlineStr">
        <x:is>
          <x:t xml:space="preserve">Host composition preserves owner/child events and React 19 callback cleanup; all visual recipe attributes pass.</x:t>
        </x:is>
      </x:c>
      <x:c r="E13" s="149" t="inlineStr">
        <x:is>
          <x:t xml:space="preserve">package</x:t>
        </x:is>
      </x:c>
      <x:c r="F13" s="149" t="inlineStr">
        <x:is>
          <x:t xml:space="preserve">component</x:t>
        </x:is>
      </x:c>
      <x:c r="G13" s="150" t="inlineStr">
        <x:is>
          <x:t xml:space="preserve">../test/components/surface/surface.test.tsx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46279</x:v>
      </x:c>
      <x:c r="K13" s="150" t="n"/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S-06</x:t>
        </x:is>
      </x:c>
      <x:c r="B14" s="149" t="inlineStr">
        <x:is>
          <x:t xml:space="preserve">Browser</x:t>
        </x:is>
      </x:c>
      <x:c r="C14" s="149" t="inlineStr">
        <x:is>
          <x:t xml:space="preserve">Surface</x:t>
        </x:is>
      </x:c>
      <x:c r="D14" s="150" t="inlineStr">
        <x:is>
          <x:t xml:space="preserve">Transparent fill, semantic accent text, shared elevation roles and own-dir Scrim behavior pass in Chromium, Firefox and WebKit.</x:t>
        </x:is>
      </x:c>
      <x:c r="E14" s="149" t="inlineStr">
        <x:is>
          <x:t xml:space="preserve">package</x:t>
        </x:is>
      </x:c>
      <x:c r="F14" s="149" t="inlineStr">
        <x:is>
          <x:t xml:space="preserve">browser</x:t>
        </x:is>
      </x:c>
      <x:c r="G14" s="150" t="inlineStr">
        <x:is>
          <x:t xml:space="preserve">tests/components/surface/behavior.spec.ts; tests/components/surface/docs.spec.ts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46279</x:v>
      </x:c>
      <x:c r="K14" s="150" t="n"/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S-07</x:t>
        </x:is>
      </x:c>
      <x:c r="B15" s="149" t="inlineStr">
        <x:is>
          <x:t xml:space="preserve">Accessibility</x:t>
        </x:is>
      </x:c>
      <x:c r="C15" s="149" t="inlineStr">
        <x:is>
          <x:t xml:space="preserve">Surface</x:t>
        </x:is>
      </x:c>
      <x:c r="D15" s="150" t="inlineStr">
        <x:is>
          <x:t xml:space="preserve">Authored semantics, focus-bearing descendants, RTL/reflow containment, and axe pass without invented roles or interaction.</x:t>
        </x:is>
      </x:c>
      <x:c r="E15" s="149" t="inlineStr">
        <x:is>
          <x:t xml:space="preserve">package</x:t>
        </x:is>
      </x:c>
      <x:c r="F15" s="149" t="inlineStr">
        <x:is>
          <x:t xml:space="preserve">axe</x:t>
        </x:is>
      </x:c>
      <x:c r="G15" s="150" t="inlineStr">
        <x:is>
          <x:t xml:space="preserve">tests/components/surface/behavior.spec.ts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46228</x:v>
      </x:c>
      <x:c r="K15" s="150" t="n"/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S-08</x:t>
        </x:is>
      </x:c>
      <x:c r="B16" s="149" t="inlineStr">
        <x:is>
          <x:t xml:space="preserve">Visual</x:t>
        </x:is>
      </x:c>
      <x:c r="C16" s="149" t="inlineStr">
        <x:is>
          <x:t xml:space="preserve">Surface</x:t>
        </x:is>
      </x:c>
      <x:c r="D16" s="150" t="inlineStr">
        <x:is>
          <x:t xml:space="preserve">Reviewed baselines cover defaults, levels, borders, elevation, the complete six-value inset ladder, nesting, dark customization, mobile RTL, and forced colors.</x:t>
        </x:is>
      </x:c>
      <x:c r="E16" s="149" t="inlineStr">
        <x:is>
          <x:t xml:space="preserve">package</x:t>
        </x:is>
      </x:c>
      <x:c r="F16" s="149" t="inlineStr">
        <x:is>
          <x:t xml:space="preserve">visual</x:t>
        </x:is>
      </x:c>
      <x:c r="G16" s="150" t="inlineStr">
        <x:is>
          <x:t xml:space="preserve">tests/components/surface/visual.spec.ts</x:t>
        </x:is>
      </x:c>
      <x:c r="H16" s="149" t="inlineStr">
        <x:is>
          <x:t xml:space="preserve">implemented</x:t>
        </x:is>
      </x:c>
      <x:c r="I16" s="149" t="inlineStr">
        <x:is>
          <x:t xml:space="preserve">yes</x:t>
        </x:is>
      </x:c>
      <x:c r="J16" s="151" t="n">
        <x:v>46228</x:v>
      </x:c>
      <x:c r="K16" s="150" t="inlineStr">
        <x:is>
          <x:t xml:space="preserve">Elevation recipes changed; complete visual baseline review remains pending.</x:t>
        </x:is>
      </x:c>
      <x:c r="L16" s="149" t="n">
        <x:v>1</x:v>
      </x:c>
      <x:c r="M16" s="149" t="n">
        <x:f>IF(OR(AND(I16="yes",H16="verified"),AND(I16="no",OR(H16="tested",H16="verified")),AND(H16="not applicable",K16&lt;&gt;"")),1,0)</x:f>
        <x:v>0</x:v>
      </x:c>
    </x:row>
    <x:row r="17" s="127" customFormat="1" ht="54" customHeight="1">
      <x:c r="A17" s="149" t="inlineStr">
        <x:is>
          <x:t xml:space="preserve">S-09</x:t>
        </x:is>
      </x:c>
      <x:c r="B17" s="149" t="inlineStr">
        <x:is>
          <x:t xml:space="preserve">Responsive</x:t>
        </x:is>
      </x:c>
      <x:c r="C17" s="149" t="inlineStr">
        <x:is>
          <x:t xml:space="preserve">Surface</x:t>
        </x:is>
      </x:c>
      <x:c r="D17" s="150" t="inlineStr">
        <x:is>
          <x:t xml:space="preserve">The manual protocol covers physical mobile, 200%/400% zoom, responsive inset transitions, constrained content, long copy, nesting, and RTL containment.</x:t>
        </x:is>
      </x:c>
      <x:c r="E17" s="149" t="inlineStr">
        <x:is>
          <x:t xml:space="preserve">package</x:t>
        </x:is>
      </x:c>
      <x:c r="F17" s="149" t="inlineStr">
        <x:is>
          <x:t xml:space="preserve">manual</x:t>
        </x:is>
      </x:c>
      <x:c r="G17" s="150" t="inlineStr">
        <x:is>
          <x:t xml:space="preserve">manual-tests/surface.md</x:t>
        </x:is>
      </x:c>
      <x:c r="H17" s="149" t="inlineStr">
        <x:is>
          <x:t xml:space="preserve">implemented</x:t>
        </x:is>
      </x:c>
      <x:c r="I17" s="149" t="inlineStr">
        <x:is>
          <x:t xml:space="preserve">yes</x:t>
        </x:is>
      </x:c>
      <x:c r="J17" s="151" t="n"/>
      <x:c r="K17" s="150" t="inlineStr">
        <x:is>
          <x:t xml:space="preserve">Automated reflow evidence passes; the human manual run is intentionally pending.</x:t>
        </x:is>
      </x:c>
      <x:c r="L17" s="149" t="n">
        <x:v>1</x:v>
      </x:c>
      <x:c r="M17" s="149" t="n">
        <x:f>IF(OR(AND(I17="yes",H17="verified"),AND(I17="no",OR(H17="tested",H17="verified")),AND(H17="not applicable",K17&lt;&gt;"")),1,0)</x:f>
        <x:v>0</x:v>
      </x:c>
    </x:row>
    <x:row r="18" s="127" customFormat="1" ht="54" customHeight="1">
      <x:c r="A18" s="149" t="inlineStr">
        <x:is>
          <x:t xml:space="preserve">S-10</x:t>
        </x:is>
      </x:c>
      <x:c r="B18" s="149" t="inlineStr">
        <x:is>
          <x:t xml:space="preserve">Theme</x:t>
        </x:is>
      </x:c>
      <x:c r="C18" s="149" t="inlineStr">
        <x:is>
          <x:t xml:space="preserve">Surface</x:t>
        </x:is>
      </x:c>
      <x:c r="D18" s="150" t="inlineStr">
        <x:is>
          <x:t xml:space="preserve">Light, dark, forced colors, text spacing, and focus-bearing descendants preserve boundaries, hierarchy, and contrast.</x:t>
        </x:is>
      </x:c>
      <x:c r="E18" s="149" t="inlineStr">
        <x:is>
          <x:t xml:space="preserve">package</x:t>
        </x:is>
      </x:c>
      <x:c r="F18" s="149" t="inlineStr">
        <x:is>
          <x:t xml:space="preserve">manual</x:t>
        </x:is>
      </x:c>
      <x:c r="G18" s="150" t="inlineStr">
        <x:is>
          <x:t xml:space="preserve">manual-tests/surface.md; tests/components/surface/visual.spec.ts</x:t>
        </x:is>
      </x:c>
      <x:c r="H18" s="149" t="inlineStr">
        <x:is>
          <x:t xml:space="preserve">implemented</x:t>
        </x:is>
      </x:c>
      <x:c r="I18" s="149" t="inlineStr">
        <x:is>
          <x:t xml:space="preserve">yes</x:t>
        </x:is>
      </x:c>
      <x:c r="J18" s="151" t="n"/>
      <x:c r="K18" s="150" t="inlineStr">
        <x:is>
          <x:t xml:space="preserve">Automated appearance evidence passes; complete human appearance review is pending.</x:t>
        </x:is>
      </x:c>
      <x:c r="L18" s="149" t="n">
        <x:v>1</x:v>
      </x:c>
      <x:c r="M18" s="149" t="n">
        <x:f>IF(OR(AND(I18="yes",H18="verified"),AND(I18="no",OR(H18="tested",H18="verified")),AND(H18="not applicable",K18&lt;&gt;"")),1,0)</x:f>
        <x:v>0</x:v>
      </x:c>
    </x:row>
    <x:row r="19" s="127" customFormat="1" ht="54" customHeight="1">
      <x:c r="A19" s="149" t="inlineStr">
        <x:is>
          <x:t xml:space="preserve">S-11</x:t>
        </x:is>
      </x:c>
      <x:c r="B19" s="149" t="inlineStr">
        <x:is>
          <x:t xml:space="preserve">Semantics</x:t>
        </x:is>
      </x:c>
      <x:c r="C19" s="149" t="inlineStr">
        <x:is>
          <x:t xml:space="preserve">Surface</x:t>
        </x:is>
      </x:c>
      <x:c r="D19" s="150" t="inlineStr">
        <x:is>
          <x:t xml:space="preserve">Supported semantic hosts, authored attributes, one-root output, slot, and recipe hooks match the public contract.</x:t>
        </x:is>
      </x:c>
      <x:c r="E19" s="149" t="inlineStr">
        <x:is>
          <x:t xml:space="preserve">package</x:t>
        </x:is>
      </x:c>
      <x:c r="F19" s="149" t="inlineStr">
        <x:is>
          <x:t xml:space="preserve">browser</x:t>
        </x:is>
      </x:c>
      <x:c r="G19" s="150" t="inlineStr">
        <x:is>
          <x:t xml:space="preserve">tests/components/surface/behavior.spec.ts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46228</x:v>
      </x:c>
      <x:c r="K19" s="150" t="n"/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S-12</x:t>
        </x:is>
      </x:c>
      <x:c r="B20" s="149" t="inlineStr">
        <x:is>
          <x:t xml:space="preserve">Manual</x:t>
        </x:is>
      </x:c>
      <x:c r="C20" s="149" t="inlineStr">
        <x:is>
          <x:t xml:space="preserve">Surface</x:t>
        </x:is>
      </x:c>
      <x:c r="D20" s="150" t="inlineStr">
        <x:is>
          <x:t xml:space="preserve">The component-owned manual protocol passes every Surface playground scenario.</x:t>
        </x:is>
      </x:c>
      <x:c r="E20" s="149" t="inlineStr">
        <x:is>
          <x:t xml:space="preserve">package</x:t>
        </x:is>
      </x:c>
      <x:c r="F20" s="149" t="inlineStr">
        <x:is>
          <x:t xml:space="preserve">manual</x:t>
        </x:is>
      </x:c>
      <x:c r="G20" s="150" t="inlineStr">
        <x:is>
          <x:t xml:space="preserve">manual-tests/surface.md</x:t>
        </x:is>
      </x:c>
      <x:c r="H20" s="149" t="inlineStr">
        <x:is>
          <x:t xml:space="preserve">implemented</x:t>
        </x:is>
      </x:c>
      <x:c r="I20" s="149" t="inlineStr">
        <x:is>
          <x:t xml:space="preserve">yes</x:t>
        </x:is>
      </x:c>
      <x:c r="J20" s="151" t="n"/>
      <x:c r="K20" s="150" t="inlineStr">
        <x:is>
          <x:t xml:space="preserve">Protocol exists; the owner deferred the human run.</x:t>
        </x:is>
      </x:c>
      <x:c r="L20" s="149" t="n">
        <x:v>1</x:v>
      </x:c>
      <x:c r="M20" s="149" t="n">
        <x:f>IF(OR(AND(I20="yes",H20="verified"),AND(I20="no",OR(H20="tested",H20="verified")),AND(H20="not applicable",K20&lt;&gt;"")),1,0)</x:f>
        <x:v>0</x:v>
      </x:c>
    </x:row>
    <x:row r="21" s="127" customFormat="1" ht="54" customHeight="1">
      <x:c r="A21" s="149" t="inlineStr">
        <x:is>
          <x:t xml:space="preserve">S-13</x:t>
        </x:is>
      </x:c>
      <x:c r="B21" s="149" t="inlineStr">
        <x:is>
          <x:t xml:space="preserve">Docs</x:t>
        </x:is>
      </x:c>
      <x:c r="C21" s="149" t="inlineStr">
        <x:is>
          <x:t xml:space="preserve">Surface</x:t>
        </x:is>
      </x:c>
      <x:c r="D21" s="150" t="inlineStr">
        <x:is>
          <x:t xml:space="preserve">Source-backed public and Agent Knowledge guidance covers defaults, recipes, responsive inset selection, semantics, accessibility, composition, CSS, customization, and API details.</x:t>
        </x:is>
      </x:c>
      <x:c r="E21" s="149" t="inlineStr">
        <x:is>
          <x:t xml:space="preserve">package</x:t>
        </x:is>
      </x:c>
      <x:c r="F21" s="149" t="inlineStr">
        <x:is>
          <x:t xml:space="preserve">docs</x:t>
        </x:is>
      </x:c>
      <x:c r="G21" s="150" t="inlineStr">
        <x:is>
          <x:t xml:space="preserve">../docs/components/surface/README.md; ../src/components/surface/agent.json; ../src/components/surface/agent.md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46228</x:v>
      </x:c>
      <x:c r="K21" s="150" t="n"/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S-14</x:t>
        </x:is>
      </x:c>
      <x:c r="B22" s="149" t="inlineStr">
        <x:is>
          <x:t xml:space="preserve">Changelog</x:t>
        </x:is>
      </x:c>
      <x:c r="C22" s="149" t="inlineStr">
        <x:is>
          <x:t xml:space="preserve">Surface</x:t>
        </x:is>
      </x:c>
      <x:c r="D22" s="150" t="inlineStr">
        <x:is>
          <x:t xml:space="preserve">Surface and package changelogs record the larger responsive inset API and its evidence.</x:t>
        </x:is>
      </x:c>
      <x:c r="E22" s="149" t="inlineStr">
        <x:is>
          <x:t xml:space="preserve">package</x:t>
        </x:is>
      </x:c>
      <x:c r="F22" s="149" t="inlineStr">
        <x:is>
          <x:t xml:space="preserve">docs</x:t>
        </x:is>
      </x:c>
      <x:c r="G22" s="150" t="inlineStr">
        <x:is>
          <x:t xml:space="preserve">../docs/components/surface/CHANGELOG.md; ../CHANGELOG.md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46228</x:v>
      </x:c>
      <x:c r="K22" s="150" t="n"/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S-15</x:t>
        </x:is>
      </x:c>
      <x:c r="B23" s="149" t="inlineStr">
        <x:is>
          <x:t xml:space="preserve">Consumer</x:t>
        </x:is>
      </x:c>
      <x:c r="C23" s="149" t="inlineStr">
        <x:is>
          <x:t xml:space="preserve">Surface</x:t>
        </x:is>
      </x:c>
      <x:c r="D23" s="150" t="inlineStr">
        <x:is>
          <x:t xml:space="preserve">The packed Consumer proves the public Surface subpath as a realistic painted workspace region with independent layout ownership.</x:t>
        </x:is>
      </x:c>
      <x:c r="E23" s="149" t="inlineStr">
        <x:is>
          <x:t xml:space="preserve">consumer</x:t>
        </x:is>
      </x:c>
      <x:c r="F23" s="149" t="inlineStr">
        <x:is>
          <x:t xml:space="preserve">consumer</x:t>
        </x:is>
      </x:c>
      <x:c r="G23" s="150" t="inlineStr">
        <x:is>
          <x:t xml:space="preserve">../apps/consumer/src/App.tsx; ../apps/consumer/tests/consumer.spec.ts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>
        <x:v>46228</x:v>
      </x:c>
      <x:c r="K23" s="150" t="n"/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S-16</x:t>
        </x:is>
      </x:c>
      <x:c r="B24" s="149" t="inlineStr">
        <x:is>
          <x:t xml:space="preserve">Playground</x:t>
        </x:is>
      </x:c>
      <x:c r="C24" s="149" t="inlineStr">
        <x:is>
          <x:t xml:space="preserve">Surface</x:t>
        </x:is>
      </x:c>
      <x:c r="D24" s="150" t="inlineStr">
        <x:is>
          <x:t xml:space="preserve">Shared generic evidence regions use Surface while component paint, diagnostics, layout, overlays, and native evidence retain their classified owners.</x:t>
        </x:is>
      </x:c>
      <x:c r="E24" s="149" t="inlineStr">
        <x:is>
          <x:t xml:space="preserve">package</x:t>
        </x:is>
      </x:c>
      <x:c r="F24" s="149" t="inlineStr">
        <x:is>
          <x:t xml:space="preserve">package</x:t>
        </x:is>
      </x:c>
      <x:c r="G24" s="150" t="inlineStr">
        <x:is>
          <x:t xml:space="preserve">../playground/docs/surface-adoption-audit.md; ../scripts/verify-playground-surface.mjs</x:t>
        </x:is>
      </x:c>
      <x:c r="H24" s="149" t="inlineStr">
        <x:is>
          <x:t xml:space="preserve">tested</x:t>
        </x:is>
      </x:c>
      <x:c r="I24" s="149" t="inlineStr">
        <x:is>
          <x:t xml:space="preserve">no</x:t>
        </x:is>
      </x:c>
      <x:c r="J24" s="151" t="n">
        <x:v>46228</x:v>
      </x:c>
      <x:c r="K24" s="150" t="n"/>
      <x:c r="L24" s="149" t="n">
        <x:v>1</x:v>
      </x:c>
      <x:c r="M24" s="149" t="n">
        <x:f>IF(OR(AND(I24="yes",H24="verified"),AND(I24="no",OR(H24="tested",H24="verified")),AND(H24="not applicable",K24&lt;&gt;"")),1,0)</x:f>
        <x:v>1</x:v>
      </x:c>
    </x:row>
    <x:row r="25" s="127" customFormat="1" ht="54" customHeight="1">
      <x:c r="A25" s="149" t="inlineStr">
        <x:is>
          <x:t xml:space="preserve">S-17</x:t>
        </x:is>
      </x:c>
      <x:c r="B25" s="149" t="inlineStr">
        <x:is>
          <x:t xml:space="preserve">Package</x:t>
        </x:is>
      </x:c>
      <x:c r="C25" s="149" t="inlineStr">
        <x:is>
          <x:t xml:space="preserve">Surface</x:t>
        </x:is>
      </x:c>
      <x:c r="D25" s="150" t="inlineStr">
        <x:is>
          <x:t xml:space="preserve">Build, SSR, exports, CSS, tarball, React 18/19, packed Consumer, browser matrix, and Surface-adoption checks pass.</x:t>
        </x:is>
      </x:c>
      <x:c r="E25" s="149" t="inlineStr">
        <x:is>
          <x:t xml:space="preserve">package</x:t>
        </x:is>
      </x:c>
      <x:c r="F25" s="149" t="inlineStr">
        <x:is>
          <x:t xml:space="preserve">package</x:t>
        </x:is>
      </x:c>
      <x:c r="G25" s="150" t="inlineStr">
        <x:is>
          <x:t xml:space="preserve">../test/package; ../scripts/verify-package.mjs; ../scripts/verify-consumers.mjs; ../scripts/verify-playground-surface.mjs</x:t>
        </x:is>
      </x:c>
      <x:c r="H25" s="149" t="inlineStr">
        <x:is>
          <x:t xml:space="preserve">implemented</x:t>
        </x:is>
      </x:c>
      <x:c r="I25" s="149" t="inlineStr">
        <x:is>
          <x:t xml:space="preserve">yes</x:t>
        </x:is>
      </x:c>
      <x:c r="J25" s="151" t="n"/>
      <x:c r="K25" s="150" t="inlineStr">
        <x:is>
          <x:t xml:space="preserve">Automated package gates pass; complete status waits for the component-owned human manual run.</x:t>
        </x:is>
      </x:c>
      <x:c r="L25" s="149" t="n">
        <x:v>1</x:v>
      </x:c>
      <x:c r="M25" s="149" t="n">
        <x:f>IF(OR(AND(I25="yes",H25="verified"),AND(I25="no",OR(H25="tested",H25="verified")),AND(H25="not applicable",K25&lt;&gt;"")),1,0)</x:f>
        <x:v>0</x:v>
      </x:c>
    </x:row>
  </x:sheetData>
  <x:mergeCells>
    <x:mergeCell ref="A2:M2"/>
    <x:mergeCell ref="A1:M1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Divider Evidence</x:t>
        </x:is>
      </x:c>
    </x:row>
    <x:row r="2" s="127" customFormat="1" ht="27.75" customHeight="1">
      <x:c r="A2" s="129" t="inlineStr">
        <x:is>
          <x:t xml:space="preserve">Assertion-level Atom-backed package, browser, human-review, documentation, Consumer, and adoption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COUNTA(A9:A29)</x:f>
        <x:v>21</x:v>
      </x:c>
      <x:c r="D4" s="130" t="inlineStr">
        <x:is>
          <x:t xml:space="preserve">Resolved</x:t>
        </x:is>
      </x:c>
      <x:c r="E4" s="131" t="n">
        <x:f>SUM(M9:M29)</x:f>
        <x:v>16</x:v>
      </x:c>
      <x:c r="G4" s="130" t="inlineStr">
        <x:is>
          <x:t xml:space="preserve">Completion</x:t>
        </x:is>
      </x:c>
      <x:c r="H4" s="132" t="n">
        <x:f>IF(B4=0,0,E4/B4)</x:f>
        <x:v>0.7619047619047619</x:v>
      </x:c>
      <x:c r="J4" s="130" t="inlineStr">
        <x:is>
          <x:t xml:space="preserve">Package gate</x:t>
        </x:is>
      </x:c>
      <x:c r="K4" s="131" t="str">
        <x:f>IF(COUNTIFS(E9:E29,"package",M9:M29,0)&gt;0,"open","complete")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IF(COUNTIFS(I9:I29,"yes",M9:M29,0)&gt;0,"open","complete")</x:f>
        <x:v>open</x:v>
      </x:c>
      <x:c r="D5" s="130" t="inlineStr">
        <x:is>
          <x:t xml:space="preserve">Consumer gate</x:t>
        </x:is>
      </x:c>
      <x:c r="E5" s="131" t="str">
        <x:f>IF(COUNTIFS(E9:E29,"consumer",M9:M29,0)&gt;0,"open","complete")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D-01</x:t>
        </x:is>
      </x:c>
      <x:c r="B9" s="149" t="inlineStr">
        <x:is>
          <x:t xml:space="preserve">Implementation</x:t>
        </x:is>
      </x:c>
      <x:c r="C9" s="149" t="inlineStr">
        <x:is>
          <x:t xml:space="preserve">Divider</x:t>
        </x:is>
      </x:c>
      <x:c r="D9" s="150" t="inlineStr">
        <x:is>
          <x:t xml:space="preserve">Divider renders the adopted Atom-backed line, labeled anatomy, and composed-root mode with stable hooks and forwarded refs.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../src/components/divider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46228</x:v>
      </x:c>
      <x:c r="K9" s="150" t="n"/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D-02</x:t>
        </x:is>
      </x:c>
      <x:c r="B10" s="149" t="inlineStr">
        <x:is>
          <x:t xml:space="preserve">Exports</x:t>
        </x:is>
      </x:c>
      <x:c r="C10" s="149" t="inlineStr">
        <x:is>
          <x:t xml:space="preserve">Divider</x:t>
        </x:is>
      </x:c>
      <x:c r="D10" s="150" t="inlineStr">
        <x:is>
          <x:t xml:space="preserve">Root exports and the public Divider subpath expose the runtime component and every public Divider type.</x:t>
        </x:is>
      </x:c>
      <x:c r="E10" s="149" t="inlineStr">
        <x:is>
          <x:t xml:space="preserve">package</x:t>
        </x:is>
      </x:c>
      <x:c r="F10" s="149" t="inlineStr">
        <x:is>
          <x:t xml:space="preserve">package</x:t>
        </x:is>
      </x:c>
      <x:c r="G10" s="150" t="inlineStr">
        <x:is>
          <x:t xml:space="preserve">../test/package/package.test.mjs; ../test/package/ssr.test.mjs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46228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D-03</x:t>
        </x:is>
      </x:c>
      <x:c r="B11" s="149" t="inlineStr">
        <x:is>
          <x:t xml:space="preserve">Types</x:t>
        </x:is>
      </x:c>
      <x:c r="C11" s="149" t="inlineStr">
        <x:is>
          <x:t xml:space="preserve">Divider</x:t>
        </x:is>
      </x:c>
      <x:c r="D11" s="150" t="inlineStr">
        <x:is>
          <x:t xml:space="preserve">Line, label, composition, orientation, recipe, native attribute, ref, and invalid combination contracts type-check.</x:t>
        </x:is>
      </x:c>
      <x:c r="E11" s="149" t="inlineStr">
        <x:is>
          <x:t xml:space="preserve">package</x:t>
        </x:is>
      </x:c>
      <x:c r="F11" s="149" t="inlineStr">
        <x:is>
          <x:t xml:space="preserve">types</x:t>
        </x:is>
      </x:c>
      <x:c r="G11" s="150" t="inlineStr">
        <x:is>
          <x:t xml:space="preserve">../test/types/components/divider.test.ts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46228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D-04</x:t>
        </x:is>
      </x:c>
      <x:c r="B12" s="149" t="inlineStr">
        <x:is>
          <x:t xml:space="preserve">CSS</x:t>
        </x:is>
      </x:c>
      <x:c r="C12" s="149" t="inlineStr">
        <x:is>
          <x:t xml:space="preserve">Divider</x:t>
        </x:is>
      </x:c>
      <x:c r="D12" s="150" t="inlineStr">
        <x:is>
          <x:t xml:space="preserve">Static CSS ships logical horizontal/vertical geometry, variants, thickness, inset, labels, stretch, RTL, and forced-color handling.</x:t>
        </x:is>
      </x:c>
      <x:c r="E12" s="149" t="inlineStr">
        <x:is>
          <x:t xml:space="preserve">package</x:t>
        </x:is>
      </x:c>
      <x:c r="F12" s="149" t="inlineStr">
        <x:is>
          <x:t xml:space="preserve">css</x:t>
        </x:is>
      </x:c>
      <x:c r="G12" s="150" t="inlineStr">
        <x:is>
          <x:t xml:space="preserve">../src/components/divider/divider.css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46228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D-05</x:t>
        </x:is>
      </x:c>
      <x:c r="B13" s="149" t="inlineStr">
        <x:is>
          <x:t xml:space="preserve">Unit</x:t>
        </x:is>
      </x:c>
      <x:c r="C13" s="149" t="inlineStr">
        <x:is>
          <x:t xml:space="preserve">Divider</x:t>
        </x:is>
      </x:c>
      <x:c r="D13" s="150" t="inlineStr">
        <x:is>
          <x:t xml:space="preserve">Defaults, semantic ownership, every recipe, labeled anatomy, composition, pass-through, hooks, refs, and exclusions pass focused tests.</x:t>
        </x:is>
      </x:c>
      <x:c r="E13" s="149" t="inlineStr">
        <x:is>
          <x:t xml:space="preserve">package</x:t>
        </x:is>
      </x:c>
      <x:c r="F13" s="149" t="inlineStr">
        <x:is>
          <x:t xml:space="preserve">component</x:t>
        </x:is>
      </x:c>
      <x:c r="G13" s="150" t="inlineStr">
        <x:is>
          <x:t xml:space="preserve">../test/components/divider/divider.test.tsx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46228</x:v>
      </x:c>
      <x:c r="K13" s="150" t="n"/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D-06</x:t>
        </x:is>
      </x:c>
      <x:c r="B14" s="149" t="inlineStr">
        <x:is>
          <x:t xml:space="preserve">Browser</x:t>
        </x:is>
      </x:c>
      <x:c r="C14" s="149" t="inlineStr">
        <x:is>
          <x:t xml:space="preserve">Divider</x:t>
        </x:is>
      </x:c>
      <x:c r="D14" s="150" t="inlineStr">
        <x:is>
          <x:t xml:space="preserve">Real-browser orientation, variants, thickness, inset, labels, stretch, output, refs, customization, RTL, and reflow pass.</x:t>
        </x:is>
      </x:c>
      <x:c r="E14" s="149" t="inlineStr">
        <x:is>
          <x:t xml:space="preserve">package</x:t>
        </x:is>
      </x:c>
      <x:c r="F14" s="149" t="inlineStr">
        <x:is>
          <x:t xml:space="preserve">browser</x:t>
        </x:is>
      </x:c>
      <x:c r="G14" s="150" t="inlineStr">
        <x:is>
          <x:t xml:space="preserve">tests/components/divider/behavior.spec.ts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46228</x:v>
      </x:c>
      <x:c r="K14" s="150" t="n"/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D-07</x:t>
        </x:is>
      </x:c>
      <x:c r="B15" s="149" t="inlineStr">
        <x:is>
          <x:t xml:space="preserve">Accessibility</x:t>
        </x:is>
      </x:c>
      <x:c r="C15" s="149" t="inlineStr">
        <x:is>
          <x:t xml:space="preserve">Divider</x:t>
        </x:is>
      </x:c>
      <x:c r="D15" s="150" t="inlineStr">
        <x:is>
          <x:t xml:space="preserve">Decorative and semantic separators, labeling, source order, RTL/reflow containment, focus visibility, and axe pass without splitter behavior.</x:t>
        </x:is>
      </x:c>
      <x:c r="E15" s="149" t="inlineStr">
        <x:is>
          <x:t xml:space="preserve">package</x:t>
        </x:is>
      </x:c>
      <x:c r="F15" s="149" t="inlineStr">
        <x:is>
          <x:t xml:space="preserve">axe</x:t>
        </x:is>
      </x:c>
      <x:c r="G15" s="150" t="inlineStr">
        <x:is>
          <x:t xml:space="preserve">tests/components/divider/behavior.spec.ts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46228</x:v>
      </x:c>
      <x:c r="K15" s="150" t="n"/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D-08</x:t>
        </x:is>
      </x:c>
      <x:c r="B16" s="149" t="inlineStr">
        <x:is>
          <x:t xml:space="preserve">Visual</x:t>
        </x:is>
      </x:c>
      <x:c r="C16" s="149" t="inlineStr">
        <x:is>
          <x:t xml:space="preserve">Divider</x:t>
        </x:is>
      </x:c>
      <x:c r="D16" s="150" t="inlineStr">
        <x:is>
          <x:t xml:space="preserve">Reviewed baselines cover defaults, orientation, variants, thickness, labels, dark customization, mobile RTL, and forced colors.</x:t>
        </x:is>
      </x:c>
      <x:c r="E16" s="149" t="inlineStr">
        <x:is>
          <x:t xml:space="preserve">package</x:t>
        </x:is>
      </x:c>
      <x:c r="F16" s="149" t="inlineStr">
        <x:is>
          <x:t xml:space="preserve">visual</x:t>
        </x:is>
      </x:c>
      <x:c r="G16" s="150" t="inlineStr">
        <x:is>
          <x:t xml:space="preserve">tests/components/divider/visual.spec.ts</x:t>
        </x:is>
      </x:c>
      <x:c r="H16" s="149" t="inlineStr">
        <x:is>
          <x:t xml:space="preserve">verified</x:t>
        </x:is>
      </x:c>
      <x:c r="I16" s="149" t="inlineStr">
        <x:is>
          <x:t xml:space="preserve">yes</x:t>
        </x:is>
      </x:c>
      <x:c r="J16" s="151" t="n">
        <x:v>46228</x:v>
      </x:c>
      <x:c r="K16" s="150" t="inlineStr">
        <x:is>
          <x:t xml:space="preserve">Current Divider mobile/RTL, forced-color, and complete visual baselines were reviewed during implementation.</x:t>
        </x:is>
      </x:c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D-09</x:t>
        </x:is>
      </x:c>
      <x:c r="B17" s="149" t="inlineStr">
        <x:is>
          <x:t xml:space="preserve">Responsive</x:t>
        </x:is>
      </x:c>
      <x:c r="C17" s="149" t="inlineStr">
        <x:is>
          <x:t xml:space="preserve">Divider</x:t>
        </x:is>
      </x:c>
      <x:c r="D17" s="150" t="inlineStr">
        <x:is>
          <x:t xml:space="preserve">Physical mobile, 200%/400% zoom, long labels, constrained width, vertical stretch, and RTL remain readable and contained.</x:t>
        </x:is>
      </x:c>
      <x:c r="E17" s="149" t="inlineStr">
        <x:is>
          <x:t xml:space="preserve">package</x:t>
        </x:is>
      </x:c>
      <x:c r="F17" s="149" t="inlineStr">
        <x:is>
          <x:t xml:space="preserve">manual</x:t>
        </x:is>
      </x:c>
      <x:c r="G17" s="150" t="inlineStr">
        <x:is>
          <x:t xml:space="preserve">manual-tests/divider.md</x:t>
        </x:is>
      </x:c>
      <x:c r="H17" s="149" t="inlineStr">
        <x:is>
          <x:t xml:space="preserve">implemented</x:t>
        </x:is>
      </x:c>
      <x:c r="I17" s="149" t="inlineStr">
        <x:is>
          <x:t xml:space="preserve">yes</x:t>
        </x:is>
      </x:c>
      <x:c r="J17" s="151" t="n"/>
      <x:c r="K17" s="150" t="inlineStr">
        <x:is>
          <x:t xml:space="preserve">Automated reflow evidence passes; the human manual run is intentionally pending.</x:t>
        </x:is>
      </x:c>
      <x:c r="L17" s="149" t="n">
        <x:v>1</x:v>
      </x:c>
      <x:c r="M17" s="149" t="n">
        <x:f>IF(OR(AND(I17="yes",H17="verified"),AND(I17="no",OR(H17="tested",H17="verified")),AND(H17="not applicable",K17&lt;&gt;"")),1,0)</x:f>
        <x:v>0</x:v>
      </x:c>
    </x:row>
    <x:row r="18" s="127" customFormat="1" ht="54" customHeight="1">
      <x:c r="A18" s="149" t="inlineStr">
        <x:is>
          <x:t xml:space="preserve">D-10</x:t>
        </x:is>
      </x:c>
      <x:c r="B18" s="149" t="inlineStr">
        <x:is>
          <x:t xml:space="preserve">Theme</x:t>
        </x:is>
      </x:c>
      <x:c r="C18" s="149" t="inlineStr">
        <x:is>
          <x:t xml:space="preserve">Divider</x:t>
        </x:is>
      </x:c>
      <x:c r="D18" s="150" t="inlineStr">
        <x:is>
          <x:t xml:space="preserve">Light, dark, forced colors, text spacing, and customized separators retain visible structural boundaries.</x:t>
        </x:is>
      </x:c>
      <x:c r="E18" s="149" t="inlineStr">
        <x:is>
          <x:t xml:space="preserve">package</x:t>
        </x:is>
      </x:c>
      <x:c r="F18" s="149" t="inlineStr">
        <x:is>
          <x:t xml:space="preserve">manual</x:t>
        </x:is>
      </x:c>
      <x:c r="G18" s="150" t="inlineStr">
        <x:is>
          <x:t xml:space="preserve">manual-tests/divider.md; tests/components/divider/visual.spec.ts</x:t>
        </x:is>
      </x:c>
      <x:c r="H18" s="149" t="inlineStr">
        <x:is>
          <x:t xml:space="preserve">implemented</x:t>
        </x:is>
      </x:c>
      <x:c r="I18" s="149" t="inlineStr">
        <x:is>
          <x:t xml:space="preserve">yes</x:t>
        </x:is>
      </x:c>
      <x:c r="J18" s="151" t="n"/>
      <x:c r="K18" s="150" t="inlineStr">
        <x:is>
          <x:t xml:space="preserve">Automated appearance evidence passes; complete human appearance review is pending.</x:t>
        </x:is>
      </x:c>
      <x:c r="L18" s="149" t="n">
        <x:v>1</x:v>
      </x:c>
      <x:c r="M18" s="149" t="n">
        <x:f>IF(OR(AND(I18="yes",H18="verified"),AND(I18="no",OR(H18="tested",H18="verified")),AND(H18="not applicable",K18&lt;&gt;"")),1,0)</x:f>
        <x:v>0</x:v>
      </x:c>
    </x:row>
    <x:row r="19" s="127" customFormat="1" ht="54" customHeight="1">
      <x:c r="A19" s="149" t="inlineStr">
        <x:is>
          <x:t xml:space="preserve">D-11</x:t>
        </x:is>
      </x:c>
      <x:c r="B19" s="149" t="inlineStr">
        <x:is>
          <x:t xml:space="preserve">Semantics</x:t>
        </x:is>
      </x:c>
      <x:c r="C19" s="149" t="inlineStr">
        <x:is>
          <x:t xml:space="preserve">Divider</x:t>
        </x:is>
      </x:c>
      <x:c r="D19" s="150" t="inlineStr">
        <x:is>
          <x:t xml:space="preserve">Decorative, semantic, labeled, horizontal, vertical, and composed output match the Atom-first public contract.</x:t>
        </x:is>
      </x:c>
      <x:c r="E19" s="149" t="inlineStr">
        <x:is>
          <x:t xml:space="preserve">package</x:t>
        </x:is>
      </x:c>
      <x:c r="F19" s="149" t="inlineStr">
        <x:is>
          <x:t xml:space="preserve">browser</x:t>
        </x:is>
      </x:c>
      <x:c r="G19" s="150" t="inlineStr">
        <x:is>
          <x:t xml:space="preserve">tests/components/divider/behavior.spec.ts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46228</x:v>
      </x:c>
      <x:c r="K19" s="150" t="n"/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D-12</x:t>
        </x:is>
      </x:c>
      <x:c r="B20" s="149" t="inlineStr">
        <x:is>
          <x:t xml:space="preserve">Manual</x:t>
        </x:is>
      </x:c>
      <x:c r="C20" s="149" t="inlineStr">
        <x:is>
          <x:t xml:space="preserve">Divider</x:t>
        </x:is>
      </x:c>
      <x:c r="D20" s="150" t="inlineStr">
        <x:is>
          <x:t xml:space="preserve">The component-owned manual protocol passes every Divider playground scenario.</x:t>
        </x:is>
      </x:c>
      <x:c r="E20" s="149" t="inlineStr">
        <x:is>
          <x:t xml:space="preserve">package</x:t>
        </x:is>
      </x:c>
      <x:c r="F20" s="149" t="inlineStr">
        <x:is>
          <x:t xml:space="preserve">manual</x:t>
        </x:is>
      </x:c>
      <x:c r="G20" s="150" t="inlineStr">
        <x:is>
          <x:t xml:space="preserve">manual-tests/divider.md</x:t>
        </x:is>
      </x:c>
      <x:c r="H20" s="149" t="inlineStr">
        <x:is>
          <x:t xml:space="preserve">implemented</x:t>
        </x:is>
      </x:c>
      <x:c r="I20" s="149" t="inlineStr">
        <x:is>
          <x:t xml:space="preserve">yes</x:t>
        </x:is>
      </x:c>
      <x:c r="J20" s="151" t="n"/>
      <x:c r="K20" s="150" t="inlineStr">
        <x:is>
          <x:t xml:space="preserve">Protocol exists; the owner deferred the human run.</x:t>
        </x:is>
      </x:c>
      <x:c r="L20" s="149" t="n">
        <x:v>1</x:v>
      </x:c>
      <x:c r="M20" s="149" t="n">
        <x:f>IF(OR(AND(I20="yes",H20="verified"),AND(I20="no",OR(H20="tested",H20="verified")),AND(H20="not applicable",K20&lt;&gt;"")),1,0)</x:f>
        <x:v>0</x:v>
      </x:c>
    </x:row>
    <x:row r="21" s="127" customFormat="1" ht="54" customHeight="1">
      <x:c r="A21" s="149" t="inlineStr">
        <x:is>
          <x:t xml:space="preserve">D-13</x:t>
        </x:is>
      </x:c>
      <x:c r="B21" s="149" t="inlineStr">
        <x:is>
          <x:t xml:space="preserve">Docs</x:t>
        </x:is>
      </x:c>
      <x:c r="C21" s="149" t="inlineStr">
        <x:is>
          <x:t xml:space="preserve">Divider</x:t>
        </x:is>
      </x:c>
      <x:c r="D21" s="150" t="inlineStr">
        <x:is>
          <x:t xml:space="preserve">Source-backed usage, defaults, recipes, labels, semantics, accessibility, composition, CSS, customization, and API documentation pass checks.</x:t>
        </x:is>
      </x:c>
      <x:c r="E21" s="149" t="inlineStr">
        <x:is>
          <x:t xml:space="preserve">package</x:t>
        </x:is>
      </x:c>
      <x:c r="F21" s="149" t="inlineStr">
        <x:is>
          <x:t xml:space="preserve">docs</x:t>
        </x:is>
      </x:c>
      <x:c r="G21" s="150" t="inlineStr">
        <x:is>
          <x:t xml:space="preserve">../docs/components/divider/README.md</x:t>
        </x:is>
      </x:c>
      <x:c r="H21" s="149" t="inlineStr">
        <x:is>
          <x:t xml:space="preserve">blocked</x:t>
        </x:is>
      </x:c>
      <x:c r="I21" s="149" t="inlineStr">
        <x:is>
          <x:t xml:space="preserve">no</x:t>
        </x:is>
      </x:c>
      <x:c r="J21" s="151" t="n">
        <x:v>46228</x:v>
      </x:c>
      <x:c r="K21" s="150" t="inlineStr">
        <x:is>
          <x:t xml:space="preserve">Semantic component docs pass. Package-wide docs validator rejects existing root changelog internal release notes.</x:t>
        </x:is>
      </x:c>
      <x:c r="L21" s="149" t="n">
        <x:v>1</x:v>
      </x:c>
      <x:c r="M21" s="149" t="n">
        <x:f>IF(OR(AND(I21="yes",H21="verified"),AND(I21="no",OR(H21="tested",H21="verified")),AND(H21="not applicable",K21&lt;&gt;"")),1,0)</x:f>
        <x:v>0</x:v>
      </x:c>
    </x:row>
    <x:row r="22" s="127" customFormat="1" ht="54" customHeight="1">
      <x:c r="A22" s="149" t="inlineStr">
        <x:is>
          <x:t xml:space="preserve">D-14</x:t>
        </x:is>
      </x:c>
      <x:c r="B22" s="149" t="inlineStr">
        <x:is>
          <x:t xml:space="preserve">Changelog</x:t>
        </x:is>
      </x:c>
      <x:c r="C22" s="149" t="inlineStr">
        <x:is>
          <x:t xml:space="preserve">Divider</x:t>
        </x:is>
      </x:c>
      <x:c r="D22" s="150" t="inlineStr">
        <x:is>
          <x:t xml:space="preserve">Divider owns a public component changelog and the package changelog records the component addition.</x:t>
        </x:is>
      </x:c>
      <x:c r="E22" s="149" t="inlineStr">
        <x:is>
          <x:t xml:space="preserve">package</x:t>
        </x:is>
      </x:c>
      <x:c r="F22" s="149" t="inlineStr">
        <x:is>
          <x:t xml:space="preserve">docs</x:t>
        </x:is>
      </x:c>
      <x:c r="G22" s="150" t="inlineStr">
        <x:is>
          <x:t xml:space="preserve">../docs/components/divider/CHANGELOG.md; ../CHANGELOG.md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46228</x:v>
      </x:c>
      <x:c r="K22" s="150" t="n"/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D-15</x:t>
        </x:is>
      </x:c>
      <x:c r="B23" s="149" t="inlineStr">
        <x:is>
          <x:t xml:space="preserve">Consumer</x:t>
        </x:is>
      </x:c>
      <x:c r="C23" s="149" t="inlineStr">
        <x:is>
          <x:t xml:space="preserve">Divider</x:t>
        </x:is>
      </x:c>
      <x:c r="D23" s="150" t="inlineStr">
        <x:is>
          <x:t xml:space="preserve">The packed Consumer proves the public Divider subpath as a semantic workspace break between adjacent content groups.</x:t>
        </x:is>
      </x:c>
      <x:c r="E23" s="149" t="inlineStr">
        <x:is>
          <x:t xml:space="preserve">consumer</x:t>
        </x:is>
      </x:c>
      <x:c r="F23" s="149" t="inlineStr">
        <x:is>
          <x:t xml:space="preserve">consumer</x:t>
        </x:is>
      </x:c>
      <x:c r="G23" s="150" t="inlineStr">
        <x:is>
          <x:t xml:space="preserve">../apps/consumer/src/App.tsx; ../apps/consumer/tests/consumer.spec.ts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>
        <x:v>46228</x:v>
      </x:c>
      <x:c r="K23" s="150" t="n"/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D-16</x:t>
        </x:is>
      </x:c>
      <x:c r="B24" s="149" t="inlineStr">
        <x:is>
          <x:t xml:space="preserve">Playground</x:t>
        </x:is>
      </x:c>
      <x:c r="C24" s="149" t="inlineStr">
        <x:is>
          <x:t xml:space="preserve">Divider</x:t>
        </x:is>
      </x:c>
      <x:c r="D24" s="150" t="inlineStr">
        <x:is>
          <x:t xml:space="preserve">Divider replaces authored separator concepts while component edges, focus, diagnostics, shell chrome, and Surface boundaries retain their owners.</x:t>
        </x:is>
      </x:c>
      <x:c r="E24" s="149" t="inlineStr">
        <x:is>
          <x:t xml:space="preserve">package</x:t>
        </x:is>
      </x:c>
      <x:c r="F24" s="149" t="inlineStr">
        <x:is>
          <x:t xml:space="preserve">package</x:t>
        </x:is>
      </x:c>
      <x:c r="G24" s="150" t="inlineStr">
        <x:is>
          <x:t xml:space="preserve">../playground/docs/divider-adoption-audit.md; ../scripts/verify-playground-divider.mjs</x:t>
        </x:is>
      </x:c>
      <x:c r="H24" s="149" t="inlineStr">
        <x:is>
          <x:t xml:space="preserve">tested</x:t>
        </x:is>
      </x:c>
      <x:c r="I24" s="149" t="inlineStr">
        <x:is>
          <x:t xml:space="preserve">no</x:t>
        </x:is>
      </x:c>
      <x:c r="J24" s="151" t="n">
        <x:v>46228</x:v>
      </x:c>
      <x:c r="K24" s="150" t="n"/>
      <x:c r="L24" s="149" t="n">
        <x:v>1</x:v>
      </x:c>
      <x:c r="M24" s="149" t="n">
        <x:f>IF(OR(AND(I24="yes",H24="verified"),AND(I24="no",OR(H24="tested",H24="verified")),AND(H24="not applicable",K24&lt;&gt;"")),1,0)</x:f>
        <x:v>1</x:v>
      </x:c>
    </x:row>
    <x:row r="25" s="127" customFormat="1" ht="54" customHeight="1">
      <x:c r="A25" s="149" t="inlineStr">
        <x:is>
          <x:t xml:space="preserve">D-17</x:t>
        </x:is>
      </x:c>
      <x:c r="B25" s="149" t="inlineStr">
        <x:is>
          <x:t xml:space="preserve">Package</x:t>
        </x:is>
      </x:c>
      <x:c r="C25" s="149" t="inlineStr">
        <x:is>
          <x:t xml:space="preserve">Divider</x:t>
        </x:is>
      </x:c>
      <x:c r="D25" s="150" t="inlineStr">
        <x:is>
          <x:t xml:space="preserve">Build, SSR, exports, CSS, tarball, React 18/19, packed Consumer, browser matrix, and Divider-adoption checks pass.</x:t>
        </x:is>
      </x:c>
      <x:c r="E25" s="149" t="inlineStr">
        <x:is>
          <x:t xml:space="preserve">package</x:t>
        </x:is>
      </x:c>
      <x:c r="F25" s="149" t="inlineStr">
        <x:is>
          <x:t xml:space="preserve">package</x:t>
        </x:is>
      </x:c>
      <x:c r="G25" s="150" t="inlineStr">
        <x:is>
          <x:t xml:space="preserve">../test/package; ../scripts/verify-package.mjs; ../scripts/verify-consumers.mjs; ../scripts/verify-playground-divider.mjs</x:t>
        </x:is>
      </x:c>
      <x:c r="H25" s="149" t="inlineStr">
        <x:is>
          <x:t xml:space="preserve">implemented</x:t>
        </x:is>
      </x:c>
      <x:c r="I25" s="149" t="inlineStr">
        <x:is>
          <x:t xml:space="preserve">yes</x:t>
        </x:is>
      </x:c>
      <x:c r="J25" s="151" t="n"/>
      <x:c r="K25" s="150" t="inlineStr">
        <x:is>
          <x:t xml:space="preserve">Local-candidate checks pass; manual device/AT checks remain pending. Package-wide changelog gate is tracked separately.</x:t>
        </x:is>
      </x:c>
      <x:c r="L25" s="149" t="n">
        <x:v>1</x:v>
      </x:c>
      <x:c r="M25" s="149" t="n">
        <x:f>IF(OR(AND(I25="yes",H25="verified"),AND(I25="no",OR(H25="tested",H25="verified")),AND(H25="not applicable",K25&lt;&gt;"")),1,0)</x:f>
        <x:v>0</x:v>
      </x:c>
    </x:row>
    <x:row r="26" s="135" customFormat="1" ht="72" customHeight="1">
      <x:c r="A26" s="146" t="inlineStr">
        <x:is>
          <x:t xml:space="preserve">D-18</x:t>
        </x:is>
      </x:c>
      <x:c r="B26" s="146" t="inlineStr">
        <x:is>
          <x:t xml:space="preserve">Recipes</x:t>
        </x:is>
      </x:c>
      <x:c r="C26" s="146" t="inlineStr">
        <x:is>
          <x:t xml:space="preserve">Root</x:t>
        </x:is>
      </x:c>
      <x:c r="D26" s="146" t="inlineStr">
        <x:is>
          <x:t xml:space="preserve">Five thickness values preserve existing 1/2/4 and add hairline/bold</x:t>
        </x:is>
      </x:c>
      <x:c r="E26" s="146" t="inlineStr">
        <x:is>
          <x:t xml:space="preserve">package</x:t>
        </x:is>
      </x:c>
      <x:c r="F26" s="146" t="inlineStr">
        <x:is>
          <x:t xml:space="preserve">automated</x:t>
        </x:is>
      </x:c>
      <x:c r="G26" s="146" t="inlineStr">
        <x:is>
          <x:t xml:space="preserve">../test/components/divider/divider.test.tsx; tests/components/divider/docs.spec.ts</x:t>
        </x:is>
      </x:c>
      <x:c r="H26" s="146" t="inlineStr">
        <x:is>
          <x:t xml:space="preserve">tested</x:t>
        </x:is>
      </x:c>
      <x:c r="I26" s="146" t="inlineStr">
        <x:is>
          <x:t xml:space="preserve">no</x:t>
        </x:is>
      </x:c>
      <x:c r="J26" s="152" t="n">
        <x:v>46275</x:v>
      </x:c>
      <x:c r="K26" s="146" t="n"/>
      <x:c r="L26" s="146" t="n">
        <x:v>1</x:v>
      </x:c>
      <x:c r="M26" s="146" t="n">
        <x:f>IF(OR(AND(I26="yes",H26="verified"),AND(I26="no",OR(H26="tested",H26="verified")),AND(H26="not applicable",K26&lt;&gt;"")),1,0)</x:f>
        <x:v>1</x:v>
      </x:c>
    </x:row>
    <x:row r="27" s="135" customFormat="1" ht="72" customHeight="1">
      <x:c r="A27" s="146" t="inlineStr">
        <x:is>
          <x:t xml:space="preserve">D-19</x:t>
        </x:is>
      </x:c>
      <x:c r="B27" s="146" t="inlineStr">
        <x:is>
          <x:t xml:space="preserve">Responsive</x:t>
        </x:is>
      </x:c>
      <x:c r="C27" s="146" t="inlineStr">
        <x:is>
          <x:t xml:space="preserve">Root</x:t>
        </x:is>
      </x:c>
      <x:c r="D27" s="146" t="inlineStr">
        <x:is>
          <x:t xml:space="preserve">Decorative orientation resets old axis sizes, borders and inset</x:t>
        </x:is>
      </x:c>
      <x:c r="E27" s="146" t="inlineStr">
        <x:is>
          <x:t xml:space="preserve">package</x:t>
        </x:is>
      </x:c>
      <x:c r="F27" s="146" t="inlineStr">
        <x:is>
          <x:t xml:space="preserve">automated</x:t>
        </x:is>
      </x:c>
      <x:c r="G27" s="146" t="inlineStr">
        <x:is>
          <x:t xml:space="preserve">tests/components/divider/docs.spec.ts</x:t>
        </x:is>
      </x:c>
      <x:c r="H27" s="146" t="inlineStr">
        <x:is>
          <x:t xml:space="preserve">tested</x:t>
        </x:is>
      </x:c>
      <x:c r="I27" s="146" t="inlineStr">
        <x:is>
          <x:t xml:space="preserve">no</x:t>
        </x:is>
      </x:c>
      <x:c r="J27" s="152" t="n">
        <x:v>46275</x:v>
      </x:c>
      <x:c r="K27" s="146" t="n"/>
      <x:c r="L27" s="146" t="n">
        <x:v>1</x:v>
      </x:c>
      <x:c r="M27" s="146" t="n">
        <x:f>IF(OR(AND(I27="yes",H27="verified"),AND(I27="no",OR(H27="tested",H27="verified")),AND(H27="not applicable",K27&lt;&gt;"")),1,0)</x:f>
        <x:v>1</x:v>
      </x:c>
    </x:row>
    <x:row r="28" s="135" customFormat="1" ht="72" customHeight="1">
      <x:c r="A28" s="146" t="inlineStr">
        <x:is>
          <x:t xml:space="preserve">D-20</x:t>
        </x:is>
      </x:c>
      <x:c r="B28" s="146" t="inlineStr">
        <x:is>
          <x:t xml:space="preserve">Types</x:t>
        </x:is>
      </x:c>
      <x:c r="C28" s="146" t="inlineStr">
        <x:is>
          <x:t xml:space="preserve">Root</x:t>
        </x:is>
      </x:c>
      <x:c r="D28" s="146" t="inlineStr">
        <x:is>
          <x:t xml:space="preserve">Semantic and labeled separators reject responsive orientation</x:t>
        </x:is>
      </x:c>
      <x:c r="E28" s="146" t="inlineStr">
        <x:is>
          <x:t xml:space="preserve">package</x:t>
        </x:is>
      </x:c>
      <x:c r="F28" s="146" t="inlineStr">
        <x:is>
          <x:t xml:space="preserve">automated</x:t>
        </x:is>
      </x:c>
      <x:c r="G28" s="146" t="inlineStr">
        <x:is>
          <x:t xml:space="preserve">../test/types/components/divider.test.ts</x:t>
        </x:is>
      </x:c>
      <x:c r="H28" s="146" t="inlineStr">
        <x:is>
          <x:t xml:space="preserve">tested</x:t>
        </x:is>
      </x:c>
      <x:c r="I28" s="146" t="inlineStr">
        <x:is>
          <x:t xml:space="preserve">no</x:t>
        </x:is>
      </x:c>
      <x:c r="J28" s="152" t="n">
        <x:v>46275</x:v>
      </x:c>
      <x:c r="K28" s="146" t="n"/>
      <x:c r="L28" s="146" t="n">
        <x:v>1</x:v>
      </x:c>
      <x:c r="M28" s="146" t="n">
        <x:f>IF(OR(AND(I28="yes",H28="verified"),AND(I28="no",OR(H28="tested",H28="verified")),AND(H28="not applicable",K28&lt;&gt;"")),1,0)</x:f>
        <x:v>1</x:v>
      </x:c>
    </x:row>
    <x:row r="29" s="135" customFormat="1" ht="72" customHeight="1">
      <x:c r="A29" s="146" t="inlineStr">
        <x:is>
          <x:t xml:space="preserve">D-21</x:t>
        </x:is>
      </x:c>
      <x:c r="B29" s="146" t="inlineStr">
        <x:is>
          <x:t xml:space="preserve">Documentation</x:t>
        </x:is>
      </x:c>
      <x:c r="C29" s="146" t="inlineStr">
        <x:is>
          <x:t xml:space="preserve">Root</x:t>
        </x:is>
      </x:c>
      <x:c r="D29" s="146" t="inlineStr">
        <x:is>
          <x:t xml:space="preserve">Seven concise source-paired examples and Props/TOC cover owned APIs</x:t>
        </x:is>
      </x:c>
      <x:c r="E29" s="146" t="inlineStr">
        <x:is>
          <x:t xml:space="preserve">package</x:t>
        </x:is>
      </x:c>
      <x:c r="F29" s="146" t="inlineStr">
        <x:is>
          <x:t xml:space="preserve">automated</x:t>
        </x:is>
      </x:c>
      <x:c r="G29" s="146" t="inlineStr">
        <x:is>
          <x:t xml:space="preserve">tests/components/divider/docs.spec.ts</x:t>
        </x:is>
      </x:c>
      <x:c r="H29" s="146" t="inlineStr">
        <x:is>
          <x:t xml:space="preserve">tested</x:t>
        </x:is>
      </x:c>
      <x:c r="I29" s="146" t="inlineStr">
        <x:is>
          <x:t xml:space="preserve">no</x:t>
        </x:is>
      </x:c>
      <x:c r="J29" s="152" t="n">
        <x:v>46275</x:v>
      </x:c>
      <x:c r="K29" s="146" t="n"/>
      <x:c r="L29" s="146" t="n">
        <x:v>1</x:v>
      </x:c>
      <x:c r="M29" s="146" t="n">
        <x:f>IF(OR(AND(I29="yes",H29="verified"),AND(I29="no",OR(H29="tested",H29="verified")),AND(H29="not applicable",K29&lt;&gt;"")),1,0)</x:f>
        <x:v>1</x:v>
      </x:c>
    </x:row>
  </x:sheetData>
  <x:mergeCells>
    <x:mergeCell ref="A2:M2"/>
    <x:mergeCell ref="A1:M1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Scroll Area Evidence</x:t>
        </x:is>
      </x:c>
    </x:row>
    <x:row r="2" s="127" customFormat="1" ht="27.75" customHeight="1">
      <x:c r="A2" s="129" t="inlineStr">
        <x:is>
          <x:t xml:space="preserve">Assertion-level Atom-backed package, browser, human-review, documentation, Consumer, visibility, and adoption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COUNTA(A9:A31)</x:f>
        <x:v>23</x:v>
      </x:c>
      <x:c r="D4" s="130" t="inlineStr">
        <x:is>
          <x:t xml:space="preserve">Resolved</x:t>
        </x:is>
      </x:c>
      <x:c r="E4" s="131" t="n">
        <x:f>SUM(M9:M31)</x:f>
        <x:v>18</x:v>
      </x:c>
      <x:c r="G4" s="130" t="inlineStr">
        <x:is>
          <x:t xml:space="preserve">Completion</x:t>
        </x:is>
      </x:c>
      <x:c r="H4" s="132" t="n">
        <x:f>IF(B4=0,0,E4/B4)</x:f>
        <x:v>0.782608695652174</x:v>
      </x:c>
      <x:c r="J4" s="130" t="inlineStr">
        <x:is>
          <x:t xml:space="preserve">Package gate</x:t>
        </x:is>
      </x:c>
      <x:c r="K4" s="131" t="str">
        <x:f>IF(COUNTIFS(E9:E31,"package",M9:M31,0)&gt;0,"open","complete")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IF(COUNTIFS(I9:I31,"yes",M9:M31,0)&gt;0,"open","complete")</x:f>
        <x:v>open</x:v>
      </x:c>
      <x:c r="D5" s="130" t="inlineStr">
        <x:is>
          <x:t xml:space="preserve">Consumer gate</x:t>
        </x:is>
      </x:c>
      <x:c r="E5" s="131" t="str">
        <x:f>IF(COUNTIFS(E9:E31,"consumer",M9:M31,0)&gt;0,"open","complete")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SA-01</x:t>
        </x:is>
      </x:c>
      <x:c r="B9" s="149" t="inlineStr">
        <x:is>
          <x:t xml:space="preserve">Implementation</x:t>
        </x:is>
      </x:c>
      <x:c r="C9" s="149" t="inlineStr">
        <x:is>
          <x:t xml:space="preserve">Scroll Area</x:t>
        </x:is>
      </x:c>
      <x:c r="D9" s="150" t="inlineStr">
        <x:is>
          <x:t xml:space="preserve">Scroll Area renders Atom-backed Root and Viewport anatomy with forwarded refs and stable hooks.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../src/components/scroll-area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46228</x:v>
      </x:c>
      <x:c r="K9" s="150" t="n"/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SA-02</x:t>
        </x:is>
      </x:c>
      <x:c r="B10" s="149" t="inlineStr">
        <x:is>
          <x:t xml:space="preserve">Exports</x:t>
        </x:is>
      </x:c>
      <x:c r="C10" s="149" t="inlineStr">
        <x:is>
          <x:t xml:space="preserve">Scroll Area</x:t>
        </x:is>
      </x:c>
      <x:c r="D10" s="150" t="inlineStr">
        <x:is>
          <x:t xml:space="preserve">Root exports and the Scroll Area subpath expose the compound runtime and every public type.</x:t>
        </x:is>
      </x:c>
      <x:c r="E10" s="149" t="inlineStr">
        <x:is>
          <x:t xml:space="preserve">package</x:t>
        </x:is>
      </x:c>
      <x:c r="F10" s="149" t="inlineStr">
        <x:is>
          <x:t xml:space="preserve">package</x:t>
        </x:is>
      </x:c>
      <x:c r="G10" s="150" t="inlineStr">
        <x:is>
          <x:t xml:space="preserve">../test/package/package.test.mjs; ../test/package/ssr.test.mjs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46228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SA-03</x:t>
        </x:is>
      </x:c>
      <x:c r="B11" s="149" t="inlineStr">
        <x:is>
          <x:t xml:space="preserve">Types</x:t>
        </x:is>
      </x:c>
      <x:c r="C11" s="149" t="inlineStr">
        <x:is>
          <x:t xml:space="preserve">Scroll Area</x:t>
        </x:is>
      </x:c>
      <x:c r="D11" s="150" t="inlineStr">
        <x:is>
          <x:t xml:space="preserve">Orientation, gutter, visibility, composition, native props, and ref contracts type-check.</x:t>
        </x:is>
      </x:c>
      <x:c r="E11" s="149" t="inlineStr">
        <x:is>
          <x:t xml:space="preserve">package</x:t>
        </x:is>
      </x:c>
      <x:c r="F11" s="149" t="inlineStr">
        <x:is>
          <x:t xml:space="preserve">types</x:t>
        </x:is>
      </x:c>
      <x:c r="G11" s="150" t="inlineStr">
        <x:is>
          <x:t xml:space="preserve">../test/types/components/scroll-area.test.ts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46228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SA-04</x:t>
        </x:is>
      </x:c>
      <x:c r="B12" s="149" t="inlineStr">
        <x:is>
          <x:t xml:space="preserve">CSS</x:t>
        </x:is>
      </x:c>
      <x:c r="C12" s="149" t="inlineStr">
        <x:is>
          <x:t xml:space="preserve">Scroll Area</x:t>
        </x:is>
      </x:c>
      <x:c r="D12" s="150" t="inlineStr">
        <x:is>
          <x:t xml:space="preserve">Static CSS ships axis ownership, gutter, visibility, focus, semantic colors, and forced-color behavior.</x:t>
        </x:is>
      </x:c>
      <x:c r="E12" s="149" t="inlineStr">
        <x:is>
          <x:t xml:space="preserve">package</x:t>
        </x:is>
      </x:c>
      <x:c r="F12" s="149" t="inlineStr">
        <x:is>
          <x:t xml:space="preserve">css</x:t>
        </x:is>
      </x:c>
      <x:c r="G12" s="150" t="inlineStr">
        <x:is>
          <x:t xml:space="preserve">../src/components/scroll-area/scroll-area.css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46228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SA-05</x:t>
        </x:is>
      </x:c>
      <x:c r="B13" s="149" t="inlineStr">
        <x:is>
          <x:t xml:space="preserve">Unit</x:t>
        </x:is>
      </x:c>
      <x:c r="C13" s="149" t="inlineStr">
        <x:is>
          <x:t xml:space="preserve">Scroll Area</x:t>
        </x:is>
      </x:c>
      <x:c r="D13" s="150" t="inlineStr">
        <x:is>
          <x:t xml:space="preserve">Defaults, all closed recipes, semantics, forwarding, refs, and composition pass focused tests.</x:t>
        </x:is>
      </x:c>
      <x:c r="E13" s="149" t="inlineStr">
        <x:is>
          <x:t xml:space="preserve">package</x:t>
        </x:is>
      </x:c>
      <x:c r="F13" s="149" t="inlineStr">
        <x:is>
          <x:t xml:space="preserve">component</x:t>
        </x:is>
      </x:c>
      <x:c r="G13" s="150" t="inlineStr">
        <x:is>
          <x:t xml:space="preserve">../test/components/scroll-area/scroll-area.test.tsx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46228</x:v>
      </x:c>
      <x:c r="K13" s="150" t="n"/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SA-06</x:t>
        </x:is>
      </x:c>
      <x:c r="B14" s="149" t="inlineStr">
        <x:is>
          <x:t xml:space="preserve">Browser</x:t>
        </x:is>
      </x:c>
      <x:c r="C14" s="149" t="inlineStr">
        <x:is>
          <x:t xml:space="preserve">Scroll Area</x:t>
        </x:is>
      </x:c>
      <x:c r="D14" s="150" t="inlineStr">
        <x:is>
          <x:t xml:space="preserve">Native vertical and horizontal movement, gutter, visibility, composition, refs, and reflow pass.</x:t>
        </x:is>
      </x:c>
      <x:c r="E14" s="149" t="inlineStr">
        <x:is>
          <x:t xml:space="preserve">package</x:t>
        </x:is>
      </x:c>
      <x:c r="F14" s="149" t="inlineStr">
        <x:is>
          <x:t xml:space="preserve">browser</x:t>
        </x:is>
      </x:c>
      <x:c r="G14" s="150" t="inlineStr">
        <x:is>
          <x:t xml:space="preserve">tests/components/scroll-area/behavior.spec.ts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46228</x:v>
      </x:c>
      <x:c r="K14" s="150" t="n"/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SA-07</x:t>
        </x:is>
      </x:c>
      <x:c r="B15" s="149" t="inlineStr">
        <x:is>
          <x:t xml:space="preserve">Accessibility</x:t>
        </x:is>
      </x:c>
      <x:c r="C15" s="149" t="inlineStr">
        <x:is>
          <x:t xml:space="preserve">Scroll Area</x:t>
        </x:is>
      </x:c>
      <x:c r="D15" s="150" t="inlineStr">
        <x:is>
          <x:t xml:space="preserve">Named focusable content, descendant reachability, focus visibility, containment, and axe pass.</x:t>
        </x:is>
      </x:c>
      <x:c r="E15" s="149" t="inlineStr">
        <x:is>
          <x:t xml:space="preserve">package</x:t>
        </x:is>
      </x:c>
      <x:c r="F15" s="149" t="inlineStr">
        <x:is>
          <x:t xml:space="preserve">axe</x:t>
        </x:is>
      </x:c>
      <x:c r="G15" s="150" t="inlineStr">
        <x:is>
          <x:t xml:space="preserve">tests/components/scroll-area/behavior.spec.ts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46228</x:v>
      </x:c>
      <x:c r="K15" s="150" t="n"/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SA-08</x:t>
        </x:is>
      </x:c>
      <x:c r="B16" s="149" t="inlineStr">
        <x:is>
          <x:t xml:space="preserve">Visual</x:t>
        </x:is>
      </x:c>
      <x:c r="C16" s="149" t="inlineStr">
        <x:is>
          <x:t xml:space="preserve">Scroll Area</x:t>
        </x:is>
      </x:c>
      <x:c r="D16" s="150" t="inlineStr">
        <x:is>
          <x:t xml:space="preserve">Baselines cover defaults, axes, gutter, visibility, dark appearance, mobile RTL, and forced colors.</x:t>
        </x:is>
      </x:c>
      <x:c r="E16" s="149" t="inlineStr">
        <x:is>
          <x:t xml:space="preserve">package</x:t>
        </x:is>
      </x:c>
      <x:c r="F16" s="149" t="inlineStr">
        <x:is>
          <x:t xml:space="preserve">visual</x:t>
        </x:is>
      </x:c>
      <x:c r="G16" s="150" t="inlineStr">
        <x:is>
          <x:t xml:space="preserve">tests/components/scroll-area/visual.spec.ts</x:t>
        </x:is>
      </x:c>
      <x:c r="H16" s="149" t="inlineStr">
        <x:is>
          <x:t xml:space="preserve">verified</x:t>
        </x:is>
      </x:c>
      <x:c r="I16" s="149" t="inlineStr">
        <x:is>
          <x:t xml:space="preserve">yes</x:t>
        </x:is>
      </x:c>
      <x:c r="J16" s="151" t="n">
        <x:v>46228</x:v>
      </x:c>
      <x:c r="K16" s="150" t="inlineStr">
        <x:is>
          <x:t xml:space="preserve">Current Scroll Area visual baselines were reviewed during implementation.</x:t>
        </x:is>
      </x:c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SA-09</x:t>
        </x:is>
      </x:c>
      <x:c r="B17" s="149" t="inlineStr">
        <x:is>
          <x:t xml:space="preserve">Responsive</x:t>
        </x:is>
      </x:c>
      <x:c r="C17" s="149" t="inlineStr">
        <x:is>
          <x:t xml:space="preserve">Scroll Area</x:t>
        </x:is>
      </x:c>
      <x:c r="D17" s="150" t="inlineStr">
        <x:is>
          <x:t xml:space="preserve">Physical mobile, zoom, RTL, writing mode, touch, and nested scroll handoff remain readable and usable.</x:t>
        </x:is>
      </x:c>
      <x:c r="E17" s="149" t="inlineStr">
        <x:is>
          <x:t xml:space="preserve">package</x:t>
        </x:is>
      </x:c>
      <x:c r="F17" s="149" t="inlineStr">
        <x:is>
          <x:t xml:space="preserve">manual</x:t>
        </x:is>
      </x:c>
      <x:c r="G17" s="150" t="inlineStr">
        <x:is>
          <x:t xml:space="preserve">manual-tests/scroll-area.md</x:t>
        </x:is>
      </x:c>
      <x:c r="H17" s="149" t="inlineStr">
        <x:is>
          <x:t xml:space="preserve">implemented</x:t>
        </x:is>
      </x:c>
      <x:c r="I17" s="149" t="inlineStr">
        <x:is>
          <x:t xml:space="preserve">yes</x:t>
        </x:is>
      </x:c>
      <x:c r="J17" s="151" t="n"/>
      <x:c r="K17" s="150" t="inlineStr">
        <x:is>
          <x:t xml:space="preserve">Automated reflow evidence passes; the human manual run is intentionally pending.</x:t>
        </x:is>
      </x:c>
      <x:c r="L17" s="149" t="n">
        <x:v>1</x:v>
      </x:c>
      <x:c r="M17" s="149" t="n">
        <x:f>IF(OR(AND(I17="yes",H17="verified"),AND(I17="no",OR(H17="tested",H17="verified")),AND(H17="not applicable",K17&lt;&gt;"")),1,0)</x:f>
        <x:v>0</x:v>
      </x:c>
    </x:row>
    <x:row r="18" s="127" customFormat="1" ht="54" customHeight="1">
      <x:c r="A18" s="149" t="inlineStr">
        <x:is>
          <x:t xml:space="preserve">SA-10</x:t>
        </x:is>
      </x:c>
      <x:c r="B18" s="149" t="inlineStr">
        <x:is>
          <x:t xml:space="preserve">Theme</x:t>
        </x:is>
      </x:c>
      <x:c r="C18" s="149" t="inlineStr">
        <x:is>
          <x:t xml:space="preserve">Scroll Area</x:t>
        </x:is>
      </x:c>
      <x:c r="D18" s="150" t="inlineStr">
        <x:is>
          <x:t xml:space="preserve">Light, dark, forced colors, interaction visibility, focus, and customized scrollbars remain visible.</x:t>
        </x:is>
      </x:c>
      <x:c r="E18" s="149" t="inlineStr">
        <x:is>
          <x:t xml:space="preserve">package</x:t>
        </x:is>
      </x:c>
      <x:c r="F18" s="149" t="inlineStr">
        <x:is>
          <x:t xml:space="preserve">manual</x:t>
        </x:is>
      </x:c>
      <x:c r="G18" s="150" t="inlineStr">
        <x:is>
          <x:t xml:space="preserve">manual-tests/scroll-area.md; tests/components/scroll-area/visual.spec.ts</x:t>
        </x:is>
      </x:c>
      <x:c r="H18" s="149" t="inlineStr">
        <x:is>
          <x:t xml:space="preserve">implemented</x:t>
        </x:is>
      </x:c>
      <x:c r="I18" s="149" t="inlineStr">
        <x:is>
          <x:t xml:space="preserve">yes</x:t>
        </x:is>
      </x:c>
      <x:c r="J18" s="151" t="n"/>
      <x:c r="K18" s="150" t="inlineStr">
        <x:is>
          <x:t xml:space="preserve">Automated appearance evidence passes; complete human appearance review is pending.</x:t>
        </x:is>
      </x:c>
      <x:c r="L18" s="149" t="n">
        <x:v>1</x:v>
      </x:c>
      <x:c r="M18" s="149" t="n">
        <x:f>IF(OR(AND(I18="yes",H18="verified"),AND(I18="no",OR(H18="tested",H18="verified")),AND(H18="not applicable",K18&lt;&gt;"")),1,0)</x:f>
        <x:v>0</x:v>
      </x:c>
    </x:row>
    <x:row r="19" s="127" customFormat="1" ht="54" customHeight="1">
      <x:c r="A19" s="149" t="inlineStr">
        <x:is>
          <x:t xml:space="preserve">SA-11</x:t>
        </x:is>
      </x:c>
      <x:c r="B19" s="149" t="inlineStr">
        <x:is>
          <x:t xml:space="preserve">Semantics</x:t>
        </x:is>
      </x:c>
      <x:c r="C19" s="149" t="inlineStr">
        <x:is>
          <x:t xml:space="preserve">Scroll Area</x:t>
        </x:is>
      </x:c>
      <x:c r="D19" s="150" t="inlineStr">
        <x:is>
          <x:t xml:space="preserve">Plain content opts into a named region while interactive descendants avoid a redundant viewport stop.</x:t>
        </x:is>
      </x:c>
      <x:c r="E19" s="149" t="inlineStr">
        <x:is>
          <x:t xml:space="preserve">package</x:t>
        </x:is>
      </x:c>
      <x:c r="F19" s="149" t="inlineStr">
        <x:is>
          <x:t xml:space="preserve">browser</x:t>
        </x:is>
      </x:c>
      <x:c r="G19" s="150" t="inlineStr">
        <x:is>
          <x:t xml:space="preserve">tests/components/scroll-area/behavior.spec.ts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46228</x:v>
      </x:c>
      <x:c r="K19" s="150" t="n"/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SA-12</x:t>
        </x:is>
      </x:c>
      <x:c r="B20" s="149" t="inlineStr">
        <x:is>
          <x:t xml:space="preserve">Manual</x:t>
        </x:is>
      </x:c>
      <x:c r="C20" s="149" t="inlineStr">
        <x:is>
          <x:t xml:space="preserve">Scroll Area</x:t>
        </x:is>
      </x:c>
      <x:c r="D20" s="150" t="inlineStr">
        <x:is>
          <x:t xml:space="preserve">The component-owned protocol passes every Scroll Area playground scenario.</x:t>
        </x:is>
      </x:c>
      <x:c r="E20" s="149" t="inlineStr">
        <x:is>
          <x:t xml:space="preserve">package</x:t>
        </x:is>
      </x:c>
      <x:c r="F20" s="149" t="inlineStr">
        <x:is>
          <x:t xml:space="preserve">manual</x:t>
        </x:is>
      </x:c>
      <x:c r="G20" s="150" t="inlineStr">
        <x:is>
          <x:t xml:space="preserve">manual-tests/scroll-area.md</x:t>
        </x:is>
      </x:c>
      <x:c r="H20" s="149" t="inlineStr">
        <x:is>
          <x:t xml:space="preserve">implemented</x:t>
        </x:is>
      </x:c>
      <x:c r="I20" s="149" t="inlineStr">
        <x:is>
          <x:t xml:space="preserve">yes</x:t>
        </x:is>
      </x:c>
      <x:c r="J20" s="151" t="n"/>
      <x:c r="K20" s="150" t="inlineStr">
        <x:is>
          <x:t xml:space="preserve">Protocol exists; the owner deferred the human run.</x:t>
        </x:is>
      </x:c>
      <x:c r="L20" s="149" t="n">
        <x:v>1</x:v>
      </x:c>
      <x:c r="M20" s="149" t="n">
        <x:f>IF(OR(AND(I20="yes",H20="verified"),AND(I20="no",OR(H20="tested",H20="verified")),AND(H20="not applicable",K20&lt;&gt;"")),1,0)</x:f>
        <x:v>0</x:v>
      </x:c>
    </x:row>
    <x:row r="21" s="127" customFormat="1" ht="54" customHeight="1">
      <x:c r="A21" s="149" t="inlineStr">
        <x:is>
          <x:t xml:space="preserve">SA-13</x:t>
        </x:is>
      </x:c>
      <x:c r="B21" s="149" t="inlineStr">
        <x:is>
          <x:t xml:space="preserve">Docs</x:t>
        </x:is>
      </x:c>
      <x:c r="C21" s="149" t="inlineStr">
        <x:is>
          <x:t xml:space="preserve">Scroll Area</x:t>
        </x:is>
      </x:c>
      <x:c r="D21" s="150" t="inlineStr">
        <x:is>
          <x:t xml:space="preserve">Source-backed usage, defaults, axes, visibility, semantics, accessibility, composition, and API docs pass.</x:t>
        </x:is>
      </x:c>
      <x:c r="E21" s="149" t="inlineStr">
        <x:is>
          <x:t xml:space="preserve">package</x:t>
        </x:is>
      </x:c>
      <x:c r="F21" s="149" t="inlineStr">
        <x:is>
          <x:t xml:space="preserve">docs</x:t>
        </x:is>
      </x:c>
      <x:c r="G21" s="150" t="inlineStr">
        <x:is>
          <x:t xml:space="preserve">../docs/components/scroll-area/README.md</x:t>
        </x:is>
      </x:c>
      <x:c r="H21" s="149" t="inlineStr">
        <x:is>
          <x:t xml:space="preserve">blocked</x:t>
        </x:is>
      </x:c>
      <x:c r="I21" s="149" t="inlineStr">
        <x:is>
          <x:t xml:space="preserve">no</x:t>
        </x:is>
      </x:c>
      <x:c r="J21" s="151" t="n">
        <x:v>46228</x:v>
      </x:c>
      <x:c r="K21" s="150" t="inlineStr">
        <x:is>
          <x:t xml:space="preserve">Semantic component docs pass. Package-wide docs validator rejects existing root changelog internal release notes.</x:t>
        </x:is>
      </x:c>
      <x:c r="L21" s="149" t="n">
        <x:v>1</x:v>
      </x:c>
      <x:c r="M21" s="149" t="n">
        <x:f>IF(OR(AND(I21="yes",H21="verified"),AND(I21="no",OR(H21="tested",H21="verified")),AND(H21="not applicable",K21&lt;&gt;"")),1,0)</x:f>
        <x:v>0</x:v>
      </x:c>
    </x:row>
    <x:row r="22" s="127" customFormat="1" ht="54" customHeight="1">
      <x:c r="A22" s="149" t="inlineStr">
        <x:is>
          <x:t xml:space="preserve">SA-14</x:t>
        </x:is>
      </x:c>
      <x:c r="B22" s="149" t="inlineStr">
        <x:is>
          <x:t xml:space="preserve">Changelog</x:t>
        </x:is>
      </x:c>
      <x:c r="C22" s="149" t="inlineStr">
        <x:is>
          <x:t xml:space="preserve">Scroll Area</x:t>
        </x:is>
      </x:c>
      <x:c r="D22" s="150" t="inlineStr">
        <x:is>
          <x:t xml:space="preserve">Scroll Area owns a public changelog and the package changelog records its addition.</x:t>
        </x:is>
      </x:c>
      <x:c r="E22" s="149" t="inlineStr">
        <x:is>
          <x:t xml:space="preserve">package</x:t>
        </x:is>
      </x:c>
      <x:c r="F22" s="149" t="inlineStr">
        <x:is>
          <x:t xml:space="preserve">docs</x:t>
        </x:is>
      </x:c>
      <x:c r="G22" s="150" t="inlineStr">
        <x:is>
          <x:t xml:space="preserve">../docs/components/scroll-area/CHANGELOG.md; ../CHANGELOG.md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46228</x:v>
      </x:c>
      <x:c r="K22" s="150" t="n"/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SA-15</x:t>
        </x:is>
      </x:c>
      <x:c r="B23" s="149" t="inlineStr">
        <x:is>
          <x:t xml:space="preserve">Consumer</x:t>
        </x:is>
      </x:c>
      <x:c r="C23" s="149" t="inlineStr">
        <x:is>
          <x:t xml:space="preserve">Scroll Area</x:t>
        </x:is>
      </x:c>
      <x:c r="D23" s="150" t="inlineStr">
        <x:is>
          <x:t xml:space="preserve">The packed Consumer proves the public subpath in a constrained native recent-activity region.</x:t>
        </x:is>
      </x:c>
      <x:c r="E23" s="149" t="inlineStr">
        <x:is>
          <x:t xml:space="preserve">consumer</x:t>
        </x:is>
      </x:c>
      <x:c r="F23" s="149" t="inlineStr">
        <x:is>
          <x:t xml:space="preserve">consumer</x:t>
        </x:is>
      </x:c>
      <x:c r="G23" s="150" t="inlineStr">
        <x:is>
          <x:t xml:space="preserve">../apps/consumer/src/App.tsx; ../apps/consumer/tests/consumer.spec.ts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>
        <x:v>46228</x:v>
      </x:c>
      <x:c r="K23" s="150" t="n"/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SA-16</x:t>
        </x:is>
      </x:c>
      <x:c r="B24" s="149" t="inlineStr">
        <x:is>
          <x:t xml:space="preserve">Playground</x:t>
        </x:is>
      </x:c>
      <x:c r="C24" s="149" t="inlineStr">
        <x:is>
          <x:t xml:space="preserve">Scroll Area</x:t>
        </x:is>
      </x:c>
      <x:c r="D24" s="150" t="inlineStr">
        <x:is>
          <x:t xml:space="preserve">Intentional shell and fixture scrolling adopt Scroll Area while clipping, diagnostics, and code retain owners.</x:t>
        </x:is>
      </x:c>
      <x:c r="E24" s="149" t="inlineStr">
        <x:is>
          <x:t xml:space="preserve">package</x:t>
        </x:is>
      </x:c>
      <x:c r="F24" s="149" t="inlineStr">
        <x:is>
          <x:t xml:space="preserve">package</x:t>
        </x:is>
      </x:c>
      <x:c r="G24" s="150" t="inlineStr">
        <x:is>
          <x:t xml:space="preserve">../playground/docs/scroll-area-adoption-audit.md; ../scripts/verify-playground-scroll-area.mjs</x:t>
        </x:is>
      </x:c>
      <x:c r="H24" s="149" t="inlineStr">
        <x:is>
          <x:t xml:space="preserve">tested</x:t>
        </x:is>
      </x:c>
      <x:c r="I24" s="149" t="inlineStr">
        <x:is>
          <x:t xml:space="preserve">no</x:t>
        </x:is>
      </x:c>
      <x:c r="J24" s="151" t="n">
        <x:v>46228</x:v>
      </x:c>
      <x:c r="K24" s="150" t="n"/>
      <x:c r="L24" s="149" t="n">
        <x:v>1</x:v>
      </x:c>
      <x:c r="M24" s="149" t="n">
        <x:f>IF(OR(AND(I24="yes",H24="verified"),AND(I24="no",OR(H24="tested",H24="verified")),AND(H24="not applicable",K24&lt;&gt;"")),1,0)</x:f>
        <x:v>1</x:v>
      </x:c>
    </x:row>
    <x:row r="25" s="127" customFormat="1" ht="54" customHeight="1">
      <x:c r="A25" s="149" t="inlineStr">
        <x:is>
          <x:t xml:space="preserve">SA-17</x:t>
        </x:is>
      </x:c>
      <x:c r="B25" s="149" t="inlineStr">
        <x:is>
          <x:t xml:space="preserve">Package</x:t>
        </x:is>
      </x:c>
      <x:c r="C25" s="149" t="inlineStr">
        <x:is>
          <x:t xml:space="preserve">Scroll Area</x:t>
        </x:is>
      </x:c>
      <x:c r="D25" s="150" t="inlineStr">
        <x:is>
          <x:t xml:space="preserve">Build, SSR, exports, CSS, tarball, consumers, browser matrix, and adoption checks pass.</x:t>
        </x:is>
      </x:c>
      <x:c r="E25" s="149" t="inlineStr">
        <x:is>
          <x:t xml:space="preserve">package</x:t>
        </x:is>
      </x:c>
      <x:c r="F25" s="149" t="inlineStr">
        <x:is>
          <x:t xml:space="preserve">package</x:t>
        </x:is>
      </x:c>
      <x:c r="G25" s="150" t="inlineStr">
        <x:is>
          <x:t xml:space="preserve">../test/package; ../scripts/verify-consumers.mjs; ../scripts/verify-playground-scroll-area.mjs</x:t>
        </x:is>
      </x:c>
      <x:c r="H25" s="149" t="inlineStr">
        <x:is>
          <x:t xml:space="preserve">implemented</x:t>
        </x:is>
      </x:c>
      <x:c r="I25" s="149" t="inlineStr">
        <x:is>
          <x:t xml:space="preserve">yes</x:t>
        </x:is>
      </x:c>
      <x:c r="J25" s="151" t="n"/>
      <x:c r="K25" s="150" t="inlineStr">
        <x:is>
          <x:t xml:space="preserve">Local-candidate checks pass; manual device/AT checks remain pending. Package-wide changelog gate is tracked separately.</x:t>
        </x:is>
      </x:c>
      <x:c r="L25" s="149" t="n">
        <x:v>1</x:v>
      </x:c>
      <x:c r="M25" s="149" t="n">
        <x:f>IF(OR(AND(I25="yes",H25="verified"),AND(I25="no",OR(H25="tested",H25="verified")),AND(H25="not applicable",K25&lt;&gt;"")),1,0)</x:f>
        <x:v>0</x:v>
      </x:c>
    </x:row>
    <x:row r="26" s="135" customFormat="1" ht="72" customHeight="1">
      <x:c r="A26" s="146" t="inlineStr">
        <x:is>
          <x:t xml:space="preserve">SA-18</x:t>
        </x:is>
      </x:c>
      <x:c r="B26" s="146" t="inlineStr">
        <x:is>
          <x:t xml:space="preserve">Custom anatomy</x:t>
        </x:is>
      </x:c>
      <x:c r="C26" s="146" t="inlineStr">
        <x:is>
          <x:t xml:space="preserve">Root / Viewport / Content</x:t>
        </x:is>
      </x:c>
      <x:c r="D26" s="146" t="inlineStr">
        <x:is>
          <x:t xml:space="preserve">Opt-in custom mode preserves native defaults and incomplete-anatomy fallback</x:t>
        </x:is>
      </x:c>
      <x:c r="E26" s="146" t="inlineStr">
        <x:is>
          <x:t xml:space="preserve">package</x:t>
        </x:is>
      </x:c>
      <x:c r="F26" s="146" t="inlineStr">
        <x:is>
          <x:t xml:space="preserve">automated</x:t>
        </x:is>
      </x:c>
      <x:c r="G26" s="146" t="inlineStr">
        <x:is>
          <x:t xml:space="preserve">../test/components/scroll-area/scroll-area.test.tsx</x:t>
        </x:is>
      </x:c>
      <x:c r="H26" s="146" t="inlineStr">
        <x:is>
          <x:t xml:space="preserve">tested</x:t>
        </x:is>
      </x:c>
      <x:c r="I26" s="146" t="inlineStr">
        <x:is>
          <x:t xml:space="preserve">no</x:t>
        </x:is>
      </x:c>
      <x:c r="J26" s="152" t="n">
        <x:v>46275</x:v>
      </x:c>
      <x:c r="K26" s="146" t="n"/>
      <x:c r="L26" s="146" t="n">
        <x:v>1</x:v>
      </x:c>
      <x:c r="M26" s="146" t="n">
        <x:f>IF(OR(AND(I26="yes",H26="verified"),AND(I26="no",OR(H26="tested",H26="verified")),AND(H26="not applicable",K26&lt;&gt;"")),1,0)</x:f>
        <x:v>1</x:v>
      </x:c>
    </x:row>
    <x:row r="27" s="135" customFormat="1" ht="72" customHeight="1">
      <x:c r="A27" s="146" t="inlineStr">
        <x:is>
          <x:t xml:space="preserve">SA-19</x:t>
        </x:is>
      </x:c>
      <x:c r="B27" s="146" t="inlineStr">
        <x:is>
          <x:t xml:space="preserve">Geometry</x:t>
        </x:is>
      </x:c>
      <x:c r="C27" s="146" t="inlineStr">
        <x:is>
          <x:t xml:space="preserve">Scrollbar / Thumb / Corner</x:t>
        </x:is>
      </x:c>
      <x:c r="D27" s="146" t="inlineStr">
        <x:is>
          <x:t xml:space="preserve">Four measured sizes and non-overlapping two-axis corner</x:t>
        </x:is>
      </x:c>
      <x:c r="E27" s="146" t="inlineStr">
        <x:is>
          <x:t xml:space="preserve">package</x:t>
        </x:is>
      </x:c>
      <x:c r="F27" s="146" t="inlineStr">
        <x:is>
          <x:t xml:space="preserve">automated</x:t>
        </x:is>
      </x:c>
      <x:c r="G27" s="146" t="inlineStr">
        <x:is>
          <x:t xml:space="preserve">tests/components/scroll-area/docs.spec.ts</x:t>
        </x:is>
      </x:c>
      <x:c r="H27" s="146" t="inlineStr">
        <x:is>
          <x:t xml:space="preserve">tested</x:t>
        </x:is>
      </x:c>
      <x:c r="I27" s="146" t="inlineStr">
        <x:is>
          <x:t xml:space="preserve">no</x:t>
        </x:is>
      </x:c>
      <x:c r="J27" s="152" t="n">
        <x:v>46275</x:v>
      </x:c>
      <x:c r="K27" s="146" t="n"/>
      <x:c r="L27" s="146" t="n">
        <x:v>1</x:v>
      </x:c>
      <x:c r="M27" s="146" t="n">
        <x:f>IF(OR(AND(I27="yes",H27="verified"),AND(I27="no",OR(H27="tested",H27="verified")),AND(H27="not applicable",K27&lt;&gt;"")),1,0)</x:f>
        <x:v>1</x:v>
      </x:c>
    </x:row>
    <x:row r="28" s="135" customFormat="1" ht="72" customHeight="1">
      <x:c r="A28" s="146" t="inlineStr">
        <x:is>
          <x:t xml:space="preserve">SA-20</x:t>
        </x:is>
      </x:c>
      <x:c r="B28" s="146" t="inlineStr">
        <x:is>
          <x:t xml:space="preserve">Integrations</x:t>
        </x:is>
      </x:c>
      <x:c r="C28" s="146" t="inlineStr">
        <x:is>
          <x:t xml:space="preserve">Viewport / Content</x:t>
        </x:is>
      </x:c>
      <x:c r="D28" s="146" t="inlineStr">
        <x:is>
          <x:t xml:space="preserve">Dynamic content and bottom-follow policy preserve reader position</x:t>
        </x:is>
      </x:c>
      <x:c r="E28" s="146" t="inlineStr">
        <x:is>
          <x:t xml:space="preserve">package</x:t>
        </x:is>
      </x:c>
      <x:c r="F28" s="146" t="inlineStr">
        <x:is>
          <x:t xml:space="preserve">automated</x:t>
        </x:is>
      </x:c>
      <x:c r="G28" s="146" t="inlineStr">
        <x:is>
          <x:t xml:space="preserve">tests/components/scroll-area/docs.spec.ts</x:t>
        </x:is>
      </x:c>
      <x:c r="H28" s="146" t="inlineStr">
        <x:is>
          <x:t xml:space="preserve">tested</x:t>
        </x:is>
      </x:c>
      <x:c r="I28" s="146" t="inlineStr">
        <x:is>
          <x:t xml:space="preserve">no</x:t>
        </x:is>
      </x:c>
      <x:c r="J28" s="152" t="n">
        <x:v>46275</x:v>
      </x:c>
      <x:c r="K28" s="146" t="n"/>
      <x:c r="L28" s="146" t="n">
        <x:v>1</x:v>
      </x:c>
      <x:c r="M28" s="146" t="n">
        <x:f>IF(OR(AND(I28="yes",H28="verified"),AND(I28="no",OR(H28="tested",H28="verified")),AND(H28="not applicable",K28&lt;&gt;"")),1,0)</x:f>
        <x:v>1</x:v>
      </x:c>
    </x:row>
    <x:row r="29" s="135" customFormat="1" ht="72" customHeight="1">
      <x:c r="A29" s="146" t="inlineStr">
        <x:is>
          <x:t xml:space="preserve">SA-21</x:t>
        </x:is>
      </x:c>
      <x:c r="B29" s="146" t="inlineStr">
        <x:is>
          <x:t xml:space="preserve">Virtualization</x:t>
        </x:is>
      </x:c>
      <x:c r="C29" s="146" t="inlineStr">
        <x:is>
          <x:t xml:space="preserve">Viewport / Content</x:t>
        </x:is>
      </x:c>
      <x:c r="D29" s="146" t="inlineStr">
        <x:is>
          <x:t xml:space="preserve">10,000 records use one native viewport and fewer than 40 mounted rows</x:t>
        </x:is>
      </x:c>
      <x:c r="E29" s="146" t="inlineStr">
        <x:is>
          <x:t xml:space="preserve">package</x:t>
        </x:is>
      </x:c>
      <x:c r="F29" s="146" t="inlineStr">
        <x:is>
          <x:t xml:space="preserve">automated</x:t>
        </x:is>
      </x:c>
      <x:c r="G29" s="146" t="inlineStr">
        <x:is>
          <x:t xml:space="preserve">tests/components/scroll-area/docs.spec.ts</x:t>
        </x:is>
      </x:c>
      <x:c r="H29" s="146" t="inlineStr">
        <x:is>
          <x:t xml:space="preserve">tested</x:t>
        </x:is>
      </x:c>
      <x:c r="I29" s="146" t="inlineStr">
        <x:is>
          <x:t xml:space="preserve">no</x:t>
        </x:is>
      </x:c>
      <x:c r="J29" s="152" t="n">
        <x:v>46275</x:v>
      </x:c>
      <x:c r="K29" s="146" t="n"/>
      <x:c r="L29" s="146" t="n">
        <x:v>1</x:v>
      </x:c>
      <x:c r="M29" s="146" t="n">
        <x:f>IF(OR(AND(I29="yes",H29="verified"),AND(I29="no",OR(H29="tested",H29="verified")),AND(H29="not applicable",K29&lt;&gt;"")),1,0)</x:f>
        <x:v>1</x:v>
      </x:c>
    </x:row>
    <x:row r="30" s="135" customFormat="1" ht="72" customHeight="1">
      <x:c r="A30" s="146" t="inlineStr">
        <x:is>
          <x:t xml:space="preserve">SA-22</x:t>
        </x:is>
      </x:c>
      <x:c r="B30" s="146" t="inlineStr">
        <x:is>
          <x:t xml:space="preserve">Menu</x:t>
        </x:is>
      </x:c>
      <x:c r="C30" s="146" t="inlineStr">
        <x:is>
          <x:t xml:space="preserve">Viewport</x:t>
        </x:is>
      </x:c>
      <x:c r="D30" s="146" t="inlineStr">
        <x:is>
          <x:t xml:space="preserve">Keyboard reaches the final item and Escape returns focus</x:t>
        </x:is>
      </x:c>
      <x:c r="E30" s="146" t="inlineStr">
        <x:is>
          <x:t xml:space="preserve">package</x:t>
        </x:is>
      </x:c>
      <x:c r="F30" s="146" t="inlineStr">
        <x:is>
          <x:t xml:space="preserve">automated</x:t>
        </x:is>
      </x:c>
      <x:c r="G30" s="146" t="inlineStr">
        <x:is>
          <x:t xml:space="preserve">tests/components/scroll-area/docs.spec.ts</x:t>
        </x:is>
      </x:c>
      <x:c r="H30" s="146" t="inlineStr">
        <x:is>
          <x:t xml:space="preserve">tested</x:t>
        </x:is>
      </x:c>
      <x:c r="I30" s="146" t="inlineStr">
        <x:is>
          <x:t xml:space="preserve">no</x:t>
        </x:is>
      </x:c>
      <x:c r="J30" s="152" t="n">
        <x:v>46275</x:v>
      </x:c>
      <x:c r="K30" s="146" t="n"/>
      <x:c r="L30" s="146" t="n">
        <x:v>1</x:v>
      </x:c>
      <x:c r="M30" s="146" t="n">
        <x:f>IF(OR(AND(I30="yes",H30="verified"),AND(I30="no",OR(H30="tested",H30="verified")),AND(H30="not applicable",K30&lt;&gt;"")),1,0)</x:f>
        <x:v>1</x:v>
      </x:c>
    </x:row>
    <x:row r="31" s="135" customFormat="1" ht="72" customHeight="1">
      <x:c r="A31" s="146" t="inlineStr">
        <x:is>
          <x:t xml:space="preserve">SA-23</x:t>
        </x:is>
      </x:c>
      <x:c r="B31" s="146" t="inlineStr">
        <x:is>
          <x:t xml:space="preserve">Fallback</x:t>
        </x:is>
      </x:c>
      <x:c r="C31" s="146" t="inlineStr">
        <x:is>
          <x:t xml:space="preserve">Viewport / Scrollbar</x:t>
        </x:is>
      </x:c>
      <x:c r="D31" s="146" t="inlineStr">
        <x:is>
          <x:t xml:space="preserve">High contrast hides custom bars and preserves native scrolling</x:t>
        </x:is>
      </x:c>
      <x:c r="E31" s="146" t="inlineStr">
        <x:is>
          <x:t xml:space="preserve">package</x:t>
        </x:is>
      </x:c>
      <x:c r="F31" s="146" t="inlineStr">
        <x:is>
          <x:t xml:space="preserve">automated</x:t>
        </x:is>
      </x:c>
      <x:c r="G31" s="146" t="inlineStr">
        <x:is>
          <x:t xml:space="preserve">tests/components/scroll-area/docs.spec.ts</x:t>
        </x:is>
      </x:c>
      <x:c r="H31" s="146" t="inlineStr">
        <x:is>
          <x:t xml:space="preserve">tested</x:t>
        </x:is>
      </x:c>
      <x:c r="I31" s="146" t="inlineStr">
        <x:is>
          <x:t xml:space="preserve">no</x:t>
        </x:is>
      </x:c>
      <x:c r="J31" s="152" t="n">
        <x:v>46275</x:v>
      </x:c>
      <x:c r="K31" s="146" t="n"/>
      <x:c r="L31" s="146" t="n">
        <x:v>1</x:v>
      </x:c>
      <x:c r="M31" s="146" t="n">
        <x:f>IF(OR(AND(I31="yes",H31="verified"),AND(I31="no",OR(H31="tested",H31="verified")),AND(H31="not applicable",K31&lt;&gt;"")),1,0)</x:f>
        <x:v>1</x:v>
      </x:c>
    </x:row>
  </x:sheetData>
  <x:mergeCells>
    <x:mergeCell ref="A2:M2"/>
    <x:mergeCell ref="A1:M1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Code Evidence</x:t>
        </x:is>
      </x:c>
    </x:row>
    <x:row r="2" s="127" customFormat="1" ht="27.75" customHeight="1">
      <x:c r="A2" s="129" t="inlineStr">
        <x:is>
          <x:t xml:space="preserve">Assertion-level inline semantics, recipes, browser, human-review, documentation, Consumer, and adoption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COUNTA(A9:A25)</x:f>
        <x:v>15</x:v>
      </x:c>
      <x:c r="D4" s="130" t="inlineStr">
        <x:is>
          <x:t xml:space="preserve">Resolved</x:t>
        </x:is>
      </x:c>
      <x:c r="E4" s="131" t="n">
        <x:f>SUM(M9:M25)</x:f>
        <x:v>11</x:v>
      </x:c>
      <x:c r="G4" s="130" t="inlineStr">
        <x:is>
          <x:t xml:space="preserve">Completion</x:t>
        </x:is>
      </x:c>
      <x:c r="H4" s="132" t="n">
        <x:f>IF(B4=0,0,E4/B4)</x:f>
        <x:v>0.7333333333333333</x:v>
      </x:c>
      <x:c r="J4" s="130" t="inlineStr">
        <x:is>
          <x:t xml:space="preserve">Package gate</x:t>
        </x:is>
      </x:c>
      <x:c r="K4" s="131" t="str">
        <x:f>IF(COUNTIFS(E9:E25,"package",M9:M25,0)&gt;0,"open","complete")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IF(COUNTIFS(I9:I25,"yes",M9:M25,0)&gt;0,"open","complete")</x:f>
        <x:v>open</x:v>
      </x:c>
      <x:c r="D5" s="130" t="inlineStr">
        <x:is>
          <x:t xml:space="preserve">Consumer gate</x:t>
        </x:is>
      </x:c>
      <x:c r="E5" s="131" t="str">
        <x:f>IF(COUNTIFS(E9:E25,"consumer",M9:M25,0)&gt;0,"open","complete")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CO-01</x:t>
        </x:is>
      </x:c>
      <x:c r="B9" s="149" t="inlineStr">
        <x:is>
          <x:t xml:space="preserve">Implementation</x:t>
        </x:is>
      </x:c>
      <x:c r="C9" s="149" t="inlineStr">
        <x:is>
          <x:t xml:space="preserve">Code</x:t>
        </x:is>
      </x:c>
      <x:c r="D9" s="150" t="inlineStr">
        <x:is>
          <x:t xml:space="preserve">Native code host, static asChild refs, semantic tones, five variants and inherited/xs/sm/md/lg sizes.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../src/components/code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46228</x:v>
      </x:c>
      <x:c r="K9" s="150" t="n"/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CO-02</x:t>
        </x:is>
      </x:c>
      <x:c r="B10" s="149" t="inlineStr">
        <x:is>
          <x:t xml:space="preserve">Exports</x:t>
        </x:is>
      </x:c>
      <x:c r="C10" s="149" t="inlineStr">
        <x:is>
          <x:t xml:space="preserve">Code</x:t>
        </x:is>
      </x:c>
      <x:c r="D10" s="150" t="inlineStr">
        <x:is>
          <x:t xml:space="preserve">Root and Code subpath exports expose the runtime and every public type.</x:t>
        </x:is>
      </x:c>
      <x:c r="E10" s="149" t="inlineStr">
        <x:is>
          <x:t xml:space="preserve">package</x:t>
        </x:is>
      </x:c>
      <x:c r="F10" s="149" t="inlineStr">
        <x:is>
          <x:t xml:space="preserve">package</x:t>
        </x:is>
      </x:c>
      <x:c r="G10" s="150" t="inlineStr">
        <x:is>
          <x:t xml:space="preserve">../test/package/package.test.mjs; ../test/package/ssr.test.mjs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46228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CO-03</x:t>
        </x:is>
      </x:c>
      <x:c r="B11" s="149" t="inlineStr">
        <x:is>
          <x:t xml:space="preserve">Types</x:t>
        </x:is>
      </x:c>
      <x:c r="C11" s="149" t="inlineStr">
        <x:is>
          <x:t xml:space="preserve">Code</x:t>
        </x:is>
      </x:c>
      <x:c r="D11" s="150" t="inlineStr">
        <x:is>
          <x:t xml:space="preserve">Recipes, native attributes, content, and HTMLElement ref contracts type-check.</x:t>
        </x:is>
      </x:c>
      <x:c r="E11" s="149" t="inlineStr">
        <x:is>
          <x:t xml:space="preserve">package</x:t>
        </x:is>
      </x:c>
      <x:c r="F11" s="149" t="inlineStr">
        <x:is>
          <x:t xml:space="preserve">types</x:t>
        </x:is>
      </x:c>
      <x:c r="G11" s="150" t="inlineStr">
        <x:is>
          <x:t xml:space="preserve">../test/types/components/code.test.ts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46228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CO-04</x:t>
        </x:is>
      </x:c>
      <x:c r="B12" s="149" t="inlineStr">
        <x:is>
          <x:t xml:space="preserve">CSS</x:t>
        </x:is>
      </x:c>
      <x:c r="C12" s="149" t="inlineStr">
        <x:is>
          <x:t xml:space="preserve">Code</x:t>
        </x:is>
      </x:c>
      <x:c r="D12" s="150" t="inlineStr">
        <x:is>
          <x:t xml:space="preserve">Static CSS ships inline recipes, wrapping, forced colors, and public variables.</x:t>
        </x:is>
      </x:c>
      <x:c r="E12" s="149" t="inlineStr">
        <x:is>
          <x:t xml:space="preserve">package</x:t>
        </x:is>
      </x:c>
      <x:c r="F12" s="149" t="inlineStr">
        <x:is>
          <x:t xml:space="preserve">css</x:t>
        </x:is>
      </x:c>
      <x:c r="G12" s="150" t="inlineStr">
        <x:is>
          <x:t xml:space="preserve">../src/components/code/code.css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46228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CO-05</x:t>
        </x:is>
      </x:c>
      <x:c r="B13" s="149" t="inlineStr">
        <x:is>
          <x:t xml:space="preserve">Unit</x:t>
        </x:is>
      </x:c>
      <x:c r="C13" s="149" t="inlineStr">
        <x:is>
          <x:t xml:space="preserve">Code</x:t>
        </x:is>
      </x:c>
      <x:c r="D13" s="150" t="inlineStr">
        <x:is>
          <x:t xml:space="preserve">Defaults, recipes, native forwarding, ref, events, and semantic host pass focused tests.</x:t>
        </x:is>
      </x:c>
      <x:c r="E13" s="149" t="inlineStr">
        <x:is>
          <x:t xml:space="preserve">package</x:t>
        </x:is>
      </x:c>
      <x:c r="F13" s="149" t="inlineStr">
        <x:is>
          <x:t xml:space="preserve">component</x:t>
        </x:is>
      </x:c>
      <x:c r="G13" s="150" t="inlineStr">
        <x:is>
          <x:t xml:space="preserve">../test/components/code/code.test.tsx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46228</x:v>
      </x:c>
      <x:c r="K13" s="150" t="inlineStr">
        <x:is>
          <x:t xml:space="preserve">2026-09-12: Four focused Code tests pass.</x:t>
        </x:is>
      </x:c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CO-06</x:t>
        </x:is>
      </x:c>
      <x:c r="B14" s="149" t="inlineStr">
        <x:is>
          <x:t xml:space="preserve">Browser</x:t>
        </x:is>
      </x:c>
      <x:c r="C14" s="149" t="inlineStr">
        <x:is>
          <x:t xml:space="preserve">Code</x:t>
        </x:is>
      </x:c>
      <x:c r="D14" s="150" t="inlineStr">
        <x:is>
          <x:t xml:space="preserve">Inline context, native output, wrapping, RTL, zoom, and focus neutrality pass.</x:t>
        </x:is>
      </x:c>
      <x:c r="E14" s="149" t="inlineStr">
        <x:is>
          <x:t xml:space="preserve">package</x:t>
        </x:is>
      </x:c>
      <x:c r="F14" s="149" t="inlineStr">
        <x:is>
          <x:t xml:space="preserve">browser</x:t>
        </x:is>
      </x:c>
      <x:c r="G14" s="150" t="inlineStr">
        <x:is>
          <x:t xml:space="preserve">tests/components/code/behavior.spec.ts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46228</x:v>
      </x:c>
      <x:c r="K14" s="150" t="n"/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CO-07</x:t>
        </x:is>
      </x:c>
      <x:c r="B15" s="149" t="inlineStr">
        <x:is>
          <x:t xml:space="preserve">Accessibility</x:t>
        </x:is>
      </x:c>
      <x:c r="C15" s="149" t="inlineStr">
        <x:is>
          <x:t xml:space="preserve">Code</x:t>
        </x:is>
      </x:c>
      <x:c r="D15" s="150" t="inlineStr">
        <x:is>
          <x:t xml:space="preserve">Native semantics, meaningful prose context, text spacing, and axe remain correct.</x:t>
        </x:is>
      </x:c>
      <x:c r="E15" s="149" t="inlineStr">
        <x:is>
          <x:t xml:space="preserve">package</x:t>
        </x:is>
      </x:c>
      <x:c r="F15" s="149" t="inlineStr">
        <x:is>
          <x:t xml:space="preserve">axe</x:t>
        </x:is>
      </x:c>
      <x:c r="G15" s="150" t="inlineStr">
        <x:is>
          <x:t xml:space="preserve">tests/components/code/behavior.spec.ts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46228</x:v>
      </x:c>
      <x:c r="K15" s="150" t="n"/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CO-08</x:t>
        </x:is>
      </x:c>
      <x:c r="B16" s="149" t="inlineStr">
        <x:is>
          <x:t xml:space="preserve">Visual</x:t>
        </x:is>
      </x:c>
      <x:c r="C16" s="149" t="inlineStr">
        <x:is>
          <x:t xml:space="preserve">Code</x:t>
        </x:is>
      </x:c>
      <x:c r="D16" s="150" t="inlineStr">
        <x:is>
          <x:t xml:space="preserve">Defaults, recipes, appearances, customization, narrow layout, and RTL own baselines.</x:t>
        </x:is>
      </x:c>
      <x:c r="E16" s="149" t="inlineStr">
        <x:is>
          <x:t xml:space="preserve">package</x:t>
        </x:is>
      </x:c>
      <x:c r="F16" s="149" t="inlineStr">
        <x:is>
          <x:t xml:space="preserve">visual</x:t>
        </x:is>
      </x:c>
      <x:c r="G16" s="150" t="inlineStr">
        <x:is>
          <x:t xml:space="preserve">tests/components/code/visual.spec.ts</x:t>
        </x:is>
      </x:c>
      <x:c r="H16" s="149" t="inlineStr">
        <x:is>
          <x:t xml:space="preserve">tested</x:t>
        </x:is>
      </x:c>
      <x:c r="I16" s="149" t="inlineStr">
        <x:is>
          <x:t xml:space="preserve">yes</x:t>
        </x:is>
      </x:c>
      <x:c r="J16" s="151" t="n">
        <x:v>46264</x:v>
      </x:c>
      <x:c r="K16" s="150" t="inlineStr">
        <x:is>
          <x:t xml:space="preserve">2026-09-12: Automated snapshots reviewed. New manual/device/zoom protocol remains pending.</x:t>
        </x:is>
      </x:c>
      <x:c r="L16" s="149" t="n">
        <x:v>1</x:v>
      </x:c>
      <x:c r="M16" s="149" t="n">
        <x:f>IF(OR(AND(I16="yes",H16="verified"),AND(I16="no",OR(H16="tested",H16="verified")),AND(H16="not applicable",K16&lt;&gt;"")),1,0)</x:f>
        <x:v>0</x:v>
      </x:c>
    </x:row>
    <x:row r="17" s="127" customFormat="1" ht="54" customHeight="1">
      <x:c r="A17" s="149" t="inlineStr">
        <x:is>
          <x:t xml:space="preserve">CO-09</x:t>
        </x:is>
      </x:c>
      <x:c r="B17" s="149" t="inlineStr">
        <x:is>
          <x:t xml:space="preserve">Responsive</x:t>
        </x:is>
      </x:c>
      <x:c r="C17" s="149" t="inlineStr">
        <x:is>
          <x:t xml:space="preserve">Code</x:t>
        </x:is>
      </x:c>
      <x:c r="D17" s="150" t="inlineStr">
        <x:is>
          <x:t xml:space="preserve">Long literals, narrow widths, RTL prose, zoom, and text spacing remain readable.</x:t>
        </x:is>
      </x:c>
      <x:c r="E17" s="149" t="inlineStr">
        <x:is>
          <x:t xml:space="preserve">package</x:t>
        </x:is>
      </x:c>
      <x:c r="F17" s="149" t="inlineStr">
        <x:is>
          <x:t xml:space="preserve">manual</x:t>
        </x:is>
      </x:c>
      <x:c r="G17" s="150" t="inlineStr">
        <x:is>
          <x:t xml:space="preserve">manual-tests/code.md</x:t>
        </x:is>
      </x:c>
      <x:c r="H17" s="149" t="inlineStr">
        <x:is>
          <x:t xml:space="preserve">implemented</x:t>
        </x:is>
      </x:c>
      <x:c r="I17" s="149" t="inlineStr">
        <x:is>
          <x:t xml:space="preserve">yes</x:t>
        </x:is>
      </x:c>
      <x:c r="J17" s="151" t="n"/>
      <x:c r="K17" s="150" t="inlineStr">
        <x:is>
          <x:t xml:space="preserve">Protocol exists; human run is pending.</x:t>
        </x:is>
      </x:c>
      <x:c r="L17" s="149" t="n">
        <x:v>1</x:v>
      </x:c>
      <x:c r="M17" s="149" t="n">
        <x:f>IF(OR(AND(I17="yes",H17="verified"),AND(I17="no",OR(H17="tested",H17="verified")),AND(H17="not applicable",K17&lt;&gt;"")),1,0)</x:f>
        <x:v>0</x:v>
      </x:c>
    </x:row>
    <x:row r="18" s="127" customFormat="1" ht="54" customHeight="1">
      <x:c r="A18" s="149" t="inlineStr">
        <x:is>
          <x:t xml:space="preserve">CO-10</x:t>
        </x:is>
      </x:c>
      <x:c r="B18" s="149" t="inlineStr">
        <x:is>
          <x:t xml:space="preserve">Manual</x:t>
        </x:is>
      </x:c>
      <x:c r="C18" s="149" t="inlineStr">
        <x:is>
          <x:t xml:space="preserve">Code</x:t>
        </x:is>
      </x:c>
      <x:c r="D18" s="150" t="inlineStr">
        <x:is>
          <x:t xml:space="preserve">The component-owned protocol covers every Code playground scenario.</x:t>
        </x:is>
      </x:c>
      <x:c r="E18" s="149" t="inlineStr">
        <x:is>
          <x:t xml:space="preserve">package</x:t>
        </x:is>
      </x:c>
      <x:c r="F18" s="149" t="inlineStr">
        <x:is>
          <x:t xml:space="preserve">manual</x:t>
        </x:is>
      </x:c>
      <x:c r="G18" s="150" t="inlineStr">
        <x:is>
          <x:t xml:space="preserve">manual-tests/code.md</x:t>
        </x:is>
      </x:c>
      <x:c r="H18" s="149" t="inlineStr">
        <x:is>
          <x:t xml:space="preserve">implemented</x:t>
        </x:is>
      </x:c>
      <x:c r="I18" s="149" t="inlineStr">
        <x:is>
          <x:t xml:space="preserve">yes</x:t>
        </x:is>
      </x:c>
      <x:c r="J18" s="151" t="n"/>
      <x:c r="K18" s="150" t="inlineStr">
        <x:is>
          <x:t xml:space="preserve">Protocol exists; human run is pending.</x:t>
        </x:is>
      </x:c>
      <x:c r="L18" s="149" t="n">
        <x:v>1</x:v>
      </x:c>
      <x:c r="M18" s="149" t="n">
        <x:f>IF(OR(AND(I18="yes",H18="verified"),AND(I18="no",OR(H18="tested",H18="verified")),AND(H18="not applicable",K18&lt;&gt;"")),1,0)</x:f>
        <x:v>0</x:v>
      </x:c>
    </x:row>
    <x:row r="19" s="127" customFormat="1" ht="54" customHeight="1">
      <x:c r="A19" s="149" t="inlineStr">
        <x:is>
          <x:t xml:space="preserve">CO-11</x:t>
        </x:is>
      </x:c>
      <x:c r="B19" s="149" t="inlineStr">
        <x:is>
          <x:t xml:space="preserve">Docs</x:t>
        </x:is>
      </x:c>
      <x:c r="C19" s="149" t="inlineStr">
        <x:is>
          <x:t xml:space="preserve">Code</x:t>
        </x:is>
      </x:c>
      <x:c r="D19" s="150" t="inlineStr">
        <x:is>
          <x:t xml:space="preserve">Source-backed usage, recipes, semantics, API, tokens, and exclusions pass.</x:t>
        </x:is>
      </x:c>
      <x:c r="E19" s="149" t="inlineStr">
        <x:is>
          <x:t xml:space="preserve">package</x:t>
        </x:is>
      </x:c>
      <x:c r="F19" s="149" t="inlineStr">
        <x:is>
          <x:t xml:space="preserve">docs</x:t>
        </x:is>
      </x:c>
      <x:c r="G19" s="150" t="inlineStr">
        <x:is>
          <x:t xml:space="preserve">../docs/components/code/README.md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46228</x:v>
      </x:c>
      <x:c r="K19" s="150" t="n"/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CO-12</x:t>
        </x:is>
      </x:c>
      <x:c r="B20" s="149" t="inlineStr">
        <x:is>
          <x:t xml:space="preserve">Changelog</x:t>
        </x:is>
      </x:c>
      <x:c r="C20" s="149" t="inlineStr">
        <x:is>
          <x:t xml:space="preserve">Code</x:t>
        </x:is>
      </x:c>
      <x:c r="D20" s="150" t="inlineStr">
        <x:is>
          <x:t xml:space="preserve">Code owns a public changelog and the package changelog records its addition.</x:t>
        </x:is>
      </x:c>
      <x:c r="E20" s="149" t="inlineStr">
        <x:is>
          <x:t xml:space="preserve">package</x:t>
        </x:is>
      </x:c>
      <x:c r="F20" s="149" t="inlineStr">
        <x:is>
          <x:t xml:space="preserve">docs</x:t>
        </x:is>
      </x:c>
      <x:c r="G20" s="150" t="inlineStr">
        <x:is>
          <x:t xml:space="preserve">../docs/components/code/CHANGELOG.md; ../CHANGELOG.md</x:t>
        </x:is>
      </x:c>
      <x:c r="H20" s="149" t="inlineStr">
        <x:is>
          <x:t xml:space="preserve">tested</x:t>
        </x:is>
      </x:c>
      <x:c r="I20" s="149" t="inlineStr">
        <x:is>
          <x:t xml:space="preserve">no</x:t>
        </x:is>
      </x:c>
      <x:c r="J20" s="151" t="n">
        <x:v>46228</x:v>
      </x:c>
      <x:c r="K20" s="150" t="inlineStr">
        <x:is>
          <x:t xml:space="preserve">Protocol exists; the owner deferred the human run.</x:t>
        </x:is>
      </x:c>
      <x:c r="L20" s="149" t="n">
        <x:v>1</x:v>
      </x:c>
      <x:c r="M20" s="149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49" t="inlineStr">
        <x:is>
          <x:t xml:space="preserve">CO-13</x:t>
        </x:is>
      </x:c>
      <x:c r="B21" s="149" t="inlineStr">
        <x:is>
          <x:t xml:space="preserve">Consumer</x:t>
        </x:is>
      </x:c>
      <x:c r="C21" s="149" t="inlineStr">
        <x:is>
          <x:t xml:space="preserve">Code</x:t>
        </x:is>
      </x:c>
      <x:c r="D21" s="150" t="inlineStr">
        <x:is>
          <x:t xml:space="preserve">The packed Consumer proves the public subpath in realistic prose.</x:t>
        </x:is>
      </x:c>
      <x:c r="E21" s="149" t="inlineStr">
        <x:is>
          <x:t xml:space="preserve">consumer</x:t>
        </x:is>
      </x:c>
      <x:c r="F21" s="149" t="inlineStr">
        <x:is>
          <x:t xml:space="preserve">consumer</x:t>
        </x:is>
      </x:c>
      <x:c r="G21" s="150" t="inlineStr">
        <x:is>
          <x:t xml:space="preserve">../apps/consumer/src/App.tsx; ../apps/consumer/tests/consumer.spec.ts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46228</x:v>
      </x:c>
      <x:c r="K21" s="150" t="n"/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CO-14</x:t>
        </x:is>
      </x:c>
      <x:c r="B22" s="149" t="inlineStr">
        <x:is>
          <x:t xml:space="preserve">Playground</x:t>
        </x:is>
      </x:c>
      <x:c r="C22" s="149" t="inlineStr">
        <x:is>
          <x:t xml:space="preserve">Code</x:t>
        </x:is>
      </x:c>
      <x:c r="D22" s="150" t="inlineStr">
        <x:is>
          <x:t xml:space="preserve">Inline technical displays adopt Code and raw code hosts are rejected.</x:t>
        </x:is>
      </x:c>
      <x:c r="E22" s="149" t="inlineStr">
        <x:is>
          <x:t xml:space="preserve">package</x:t>
        </x:is>
      </x:c>
      <x:c r="F22" s="149" t="inlineStr">
        <x:is>
          <x:t xml:space="preserve">package</x:t>
        </x:is>
      </x:c>
      <x:c r="G22" s="150" t="inlineStr">
        <x:is>
          <x:t xml:space="preserve">docs/code-adoption-audit.md; ../scripts/verify-playground-code.mjs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46228</x:v>
      </x:c>
      <x:c r="K22" s="150" t="n"/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CO-15</x:t>
        </x:is>
      </x:c>
      <x:c r="B23" s="149" t="inlineStr">
        <x:is>
          <x:t xml:space="preserve">Package</x:t>
        </x:is>
      </x:c>
      <x:c r="C23" s="149" t="inlineStr">
        <x:is>
          <x:t xml:space="preserve">Code</x:t>
        </x:is>
      </x:c>
      <x:c r="D23" s="150" t="inlineStr">
        <x:is>
          <x:t xml:space="preserve">Build, SSR, exports, CSS, tarball, consumers, browser matrix, and adoption checks pass.</x:t>
        </x:is>
      </x:c>
      <x:c r="E23" s="149" t="inlineStr">
        <x:is>
          <x:t xml:space="preserve">package</x:t>
        </x:is>
      </x:c>
      <x:c r="F23" s="149" t="inlineStr">
        <x:is>
          <x:t xml:space="preserve">package</x:t>
        </x:is>
      </x:c>
      <x:c r="G23" s="150" t="inlineStr">
        <x:is>
          <x:t xml:space="preserve">../test/package; ../scripts/verify-consumers.mjs</x:t>
        </x:is>
      </x:c>
      <x:c r="H23" s="149" t="inlineStr">
        <x:is>
          <x:t xml:space="preserve">partial</x:t>
        </x:is>
      </x:c>
      <x:c r="I23" s="149" t="inlineStr">
        <x:is>
          <x:t xml:space="preserve">yes</x:t>
        </x:is>
      </x:c>
      <x:c r="J23" s="151" t="n">
        <x:v>46264</x:v>
      </x:c>
      <x:c r="K23" s="150" t="inlineStr">
        <x:is>
          <x:t xml:space="preserve">2026-09-12: Local build, types, docs and clean React 18/19 consumers verified with digest-locked Atom candidate. No release or renewed human qualification.</x:t>
        </x:is>
      </x:c>
      <x:c r="L23" s="149" t="n">
        <x:v>1</x:v>
      </x:c>
      <x:c r="M23" s="149" t="n">
        <x:f>IF(OR(AND(I23="yes",H23="verified"),AND(I23="no",OR(H23="tested",H23="verified")),AND(H23="not applicable",K23&lt;&gt;"")),1,0)</x:f>
        <x:v>0</x:v>
      </x:c>
    </x:row>
    <x:row r="24" s="127" customFormat="1" ht="54" customHeight="1">
      <x:c r="A24" s="149" t="n"/>
      <x:c r="B24" s="149" t="n"/>
      <x:c r="C24" s="149" t="n"/>
      <x:c r="D24" s="150" t="n"/>
      <x:c r="E24" s="149" t="n"/>
      <x:c r="F24" s="149" t="n"/>
      <x:c r="G24" s="150" t="n"/>
      <x:c r="H24" s="149" t="n"/>
      <x:c r="I24" s="149" t="n"/>
      <x:c r="J24" s="151" t="n"/>
      <x:c r="K24" s="150" t="n"/>
      <x:c r="L24" s="149" t="n"/>
      <x:c r="M24" s="149" t="n"/>
    </x:row>
    <x:row r="25" s="127" customFormat="1" ht="54" customHeight="1">
      <x:c r="A25" s="149" t="n"/>
      <x:c r="B25" s="149" t="n"/>
      <x:c r="C25" s="149" t="n"/>
      <x:c r="D25" s="150" t="n"/>
      <x:c r="E25" s="149" t="n"/>
      <x:c r="F25" s="149" t="n"/>
      <x:c r="G25" s="150" t="n"/>
      <x:c r="H25" s="149" t="n"/>
      <x:c r="I25" s="149" t="n"/>
      <x:c r="J25" s="151" t="n"/>
      <x:c r="K25" s="150" t="n"/>
      <x:c r="L25" s="149" t="n"/>
      <x:c r="M25" s="149" t="n"/>
    </x:row>
  </x:sheetData>
  <x:mergeCells>
    <x:mergeCell ref="A2:M2"/>
    <x:mergeCell ref="A1:M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53" t="inlineStr">
        <x:is>
          <x:t xml:space="preserve">Code Block Evidence</x:t>
        </x:is>
      </x:c>
    </x:row>
    <x:row r="2" s="127" customFormat="1" ht="27.75" customHeight="1">
      <x:c r="A2" s="154" t="inlineStr">
        <x:is>
          <x:t xml:space="preserve">Assertion-level source, adapter, line metadata, collapse, Clipboard, browser, documentation, Consumer, and release evidence.</x:t>
        </x:is>
      </x:c>
    </x:row>
    <x:row r="3"/>
    <x:row r="4" s="127" customFormat="1" ht="17.25" customHeight="1">
      <x:c r="A4" s="155" t="inlineStr">
        <x:is>
          <x:t xml:space="preserve">Requirements</x:t>
        </x:is>
      </x:c>
      <x:c r="B4" s="156" t="n">
        <x:f>COUNTA(A9:A28)</x:f>
        <x:v>20</x:v>
      </x:c>
      <x:c r="C4" s="157" t="n"/>
      <x:c r="D4" s="155" t="inlineStr">
        <x:is>
          <x:t xml:space="preserve">Resolved</x:t>
        </x:is>
      </x:c>
      <x:c r="E4" s="156" t="n">
        <x:f>SUM(M9:M28)</x:f>
        <x:v>15</x:v>
      </x:c>
      <x:c r="F4" s="157" t="n"/>
      <x:c r="G4" s="155" t="inlineStr">
        <x:is>
          <x:t xml:space="preserve">Completion</x:t>
        </x:is>
      </x:c>
      <x:c r="H4" s="158" t="n">
        <x:f>IF(B4=0,0,E4/B4)</x:f>
        <x:v>0.75</x:v>
      </x:c>
      <x:c r="I4" s="157" t="n"/>
      <x:c r="J4" s="155" t="inlineStr">
        <x:is>
          <x:t xml:space="preserve">Package gate</x:t>
        </x:is>
      </x:c>
      <x:c r="K4" s="156" t="str">
        <x:f>IF(COUNTIFS(E9:E28,"package",M9:M28,0)&gt;0,"open","complete")</x:f>
        <x:v>open</x:v>
      </x:c>
      <x:c r="L4" s="157" t="n"/>
      <x:c r="M4" s="157" t="n"/>
    </x:row>
    <x:row r="5" s="127" customFormat="1" ht="17.25" customHeight="1">
      <x:c r="A5" s="155" t="inlineStr">
        <x:is>
          <x:t xml:space="preserve">Manual review</x:t>
        </x:is>
      </x:c>
      <x:c r="B5" s="156" t="str">
        <x:f>IF(COUNTIFS(I9:I28,"yes",M9:M28,0)&gt;0,"open","complete")</x:f>
        <x:v>open</x:v>
      </x:c>
      <x:c r="C5" s="157" t="n"/>
      <x:c r="D5" s="155" t="inlineStr">
        <x:is>
          <x:t xml:space="preserve">Consumer gate</x:t>
        </x:is>
      </x:c>
      <x:c r="E5" s="156" t="str">
        <x:f>IF(COUNTIFS(E9:E28,"consumer",M9:M28,0)&gt;0,"open","complete")</x:f>
        <x:v>complete</x:v>
      </x:c>
      <x:c r="F5" s="157" t="n"/>
      <x:c r="G5" s="157" t="n"/>
      <x:c r="H5" s="157" t="n"/>
      <x:c r="I5" s="157" t="n"/>
      <x:c r="J5" s="157" t="n"/>
      <x:c r="K5" s="157" t="n"/>
      <x:c r="L5" s="157" t="n"/>
      <x:c r="M5" s="157" t="n"/>
    </x:row>
    <x:row r="6"/>
    <x:row r="7"/>
    <x:row r="8" s="127" customFormat="1" ht="15" customHeight="1">
      <x:c r="A8" s="159" t="inlineStr">
        <x:is>
          <x:t xml:space="preserve">ID</x:t>
        </x:is>
      </x:c>
      <x:c r="B8" s="159" t="inlineStr">
        <x:is>
          <x:t xml:space="preserve">Area</x:t>
        </x:is>
      </x:c>
      <x:c r="C8" s="159" t="inlineStr">
        <x:is>
          <x:t xml:space="preserve">Part</x:t>
        </x:is>
      </x:c>
      <x:c r="D8" s="159" t="inlineStr">
        <x:is>
          <x:t xml:space="preserve">Requirement</x:t>
        </x:is>
      </x:c>
      <x:c r="E8" s="159" t="inlineStr">
        <x:is>
          <x:t xml:space="preserve">Gate</x:t>
        </x:is>
      </x:c>
      <x:c r="F8" s="159" t="inlineStr">
        <x:is>
          <x:t xml:space="preserve">Evidence type</x:t>
        </x:is>
      </x:c>
      <x:c r="G8" s="159" t="inlineStr">
        <x:is>
          <x:t xml:space="preserve">Evidence / link</x:t>
        </x:is>
      </x:c>
      <x:c r="H8" s="159" t="inlineStr">
        <x:is>
          <x:t xml:space="preserve">Status</x:t>
        </x:is>
      </x:c>
      <x:c r="I8" s="159" t="inlineStr">
        <x:is>
          <x:t xml:space="preserve">Human review?</x:t>
        </x:is>
      </x:c>
      <x:c r="J8" s="160" t="inlineStr">
        <x:is>
          <x:t xml:space="preserve">Last verified</x:t>
        </x:is>
      </x:c>
      <x:c r="K8" s="159" t="inlineStr">
        <x:is>
          <x:t xml:space="preserve">Blocker / N/A reason</x:t>
        </x:is>
      </x:c>
      <x:c r="L8" s="159" t="inlineStr">
        <x:is>
          <x:t xml:space="preserve">Weight</x:t>
        </x:is>
      </x:c>
      <x:c r="M8" s="159" t="inlineStr">
        <x:is>
          <x:t xml:space="preserve">Resolved</x:t>
        </x:is>
      </x:c>
    </x:row>
    <x:row r="9" s="127" customFormat="1" ht="54" customHeight="1">
      <x:c r="A9" s="161" t="inlineStr">
        <x:is>
          <x:t xml:space="preserve">CB-01</x:t>
        </x:is>
      </x:c>
      <x:c r="B9" s="161" t="inlineStr">
        <x:is>
          <x:t xml:space="preserve">Implementation</x:t>
        </x:is>
      </x:c>
      <x:c r="C9" s="161" t="inlineStr">
        <x:is>
          <x:t xml:space="preserve">Root and anatomy</x:t>
        </x:is>
      </x:c>
      <x:c r="D9" s="161" t="inlineStr">
        <x:is>
          <x:t xml:space="preserve">Atom Clipboard Root plus Header, Title, Language, Actions, Content, line, and copy parts compose correctly.</x:t>
        </x:is>
      </x:c>
      <x:c r="E9" s="161" t="inlineStr">
        <x:is>
          <x:t xml:space="preserve">package</x:t>
        </x:is>
      </x:c>
      <x:c r="F9" s="161" t="inlineStr">
        <x:is>
          <x:t xml:space="preserve">source</x:t>
        </x:is>
      </x:c>
      <x:c r="G9" s="161" t="inlineStr">
        <x:is>
          <x:t xml:space="preserve">../src/components/code-block</x:t>
        </x:is>
      </x:c>
      <x:c r="H9" s="162" t="inlineStr">
        <x:is>
          <x:t xml:space="preserve">tested</x:t>
        </x:is>
      </x:c>
      <x:c r="I9" s="161" t="inlineStr">
        <x:is>
          <x:t xml:space="preserve">no</x:t>
        </x:is>
      </x:c>
      <x:c r="J9" s="163" t="n">
        <x:v>46264</x:v>
      </x:c>
      <x:c r="K9" s="161" t="n"/>
      <x:c r="L9" s="164" t="n">
        <x:v>1</x:v>
      </x:c>
      <x:c r="M9" s="164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61" t="inlineStr">
        <x:is>
          <x:t xml:space="preserve">CB-02</x:t>
        </x:is>
      </x:c>
      <x:c r="B10" s="161" t="inlineStr">
        <x:is>
          <x:t xml:space="preserve">Composition</x:t>
        </x:is>
      </x:c>
      <x:c r="C10" s="161" t="inlineStr">
        <x:is>
          <x:t xml:space="preserve">Content</x:t>
        </x:is>
      </x:c>
      <x:c r="D10" s="161" t="inlineStr">
        <x:is>
          <x:t xml:space="preserve">Content composes one Scroll Area viewport and canonical pre &gt; Brick Code markup.</x:t>
        </x:is>
      </x:c>
      <x:c r="E10" s="161" t="inlineStr">
        <x:is>
          <x:t xml:space="preserve">package</x:t>
        </x:is>
      </x:c>
      <x:c r="F10" s="161" t="inlineStr">
        <x:is>
          <x:t xml:space="preserve">component</x:t>
        </x:is>
      </x:c>
      <x:c r="G10" s="161" t="inlineStr">
        <x:is>
          <x:t xml:space="preserve">../test/components/code-block/code-block.test.tsx</x:t>
        </x:is>
      </x:c>
      <x:c r="H10" s="162" t="inlineStr">
        <x:is>
          <x:t xml:space="preserve">tested</x:t>
        </x:is>
      </x:c>
      <x:c r="I10" s="161" t="inlineStr">
        <x:is>
          <x:t xml:space="preserve">no</x:t>
        </x:is>
      </x:c>
      <x:c r="J10" s="163" t="n">
        <x:v>46264</x:v>
      </x:c>
      <x:c r="K10" s="161" t="n"/>
      <x:c r="L10" s="164" t="n">
        <x:v>1</x:v>
      </x:c>
      <x:c r="M10" s="164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61" t="inlineStr">
        <x:is>
          <x:t xml:space="preserve">CB-03</x:t>
        </x:is>
      </x:c>
      <x:c r="B11" s="161" t="inlineStr">
        <x:is>
          <x:t xml:space="preserve">Adapter</x:t>
        </x:is>
      </x:c>
      <x:c r="C11" s="161" t="inlineStr">
        <x:is>
          <x:t xml:space="preserve">Root and Content</x:t>
        </x:is>
      </x:c>
      <x:c r="D11" s="161" t="inlineStr">
        <x:is>
          <x:t xml:space="preserve">Optional safe Shiki token bridge loads once outside render; synchronous React adapters remain lazy and reusable.</x:t>
        </x:is>
      </x:c>
      <x:c r="E11" s="161" t="inlineStr">
        <x:is>
          <x:t xml:space="preserve">package</x:t>
        </x:is>
      </x:c>
      <x:c r="F11" s="161" t="inlineStr">
        <x:is>
          <x:t xml:space="preserve">component</x:t>
        </x:is>
      </x:c>
      <x:c r="G11" s="161" t="inlineStr">
        <x:is>
          <x:t xml:space="preserve">../test/components/code-block/code-block.test.tsx</x:t>
        </x:is>
      </x:c>
      <x:c r="H11" s="162" t="inlineStr">
        <x:is>
          <x:t xml:space="preserve">tested</x:t>
        </x:is>
      </x:c>
      <x:c r="I11" s="161" t="inlineStr">
        <x:is>
          <x:t xml:space="preserve">no</x:t>
        </x:is>
      </x:c>
      <x:c r="J11" s="163" t="n">
        <x:v>46264</x:v>
      </x:c>
      <x:c r="K11" s="161" t="n"/>
      <x:c r="L11" s="164" t="n">
        <x:v>1</x:v>
      </x:c>
      <x:c r="M11" s="164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61" t="inlineStr">
        <x:is>
          <x:t xml:space="preserve">CB-04</x:t>
        </x:is>
      </x:c>
      <x:c r="B12" s="161" t="inlineStr">
        <x:is>
          <x:t xml:space="preserve">Line metadata</x:t>
        </x:is>
      </x:c>
      <x:c r="C12" s="161" t="inlineStr">
        <x:is>
          <x:t xml:space="preserve">Line</x:t>
        </x:is>
      </x:c>
      <x:c r="D12" s="161" t="inlineStr">
        <x:is>
          <x:t xml:space="preserve">Automatic root metadata or manual lines preserve exact source, with line numbers, focus and non-color diff signs.</x:t>
        </x:is>
      </x:c>
      <x:c r="E12" s="161" t="inlineStr">
        <x:is>
          <x:t xml:space="preserve">package</x:t>
        </x:is>
      </x:c>
      <x:c r="F12" s="161" t="inlineStr">
        <x:is>
          <x:t xml:space="preserve">component</x:t>
        </x:is>
      </x:c>
      <x:c r="G12" s="161" t="inlineStr">
        <x:is>
          <x:t xml:space="preserve">../test/components/code-block/code-block.test.tsx</x:t>
        </x:is>
      </x:c>
      <x:c r="H12" s="162" t="inlineStr">
        <x:is>
          <x:t xml:space="preserve">tested</x:t>
        </x:is>
      </x:c>
      <x:c r="I12" s="161" t="inlineStr">
        <x:is>
          <x:t xml:space="preserve">no</x:t>
        </x:is>
      </x:c>
      <x:c r="J12" s="163" t="n">
        <x:v>46264</x:v>
      </x:c>
      <x:c r="K12" s="161" t="n"/>
      <x:c r="L12" s="164" t="n">
        <x:v>1</x:v>
      </x:c>
      <x:c r="M12" s="164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61" t="inlineStr">
        <x:is>
          <x:t xml:space="preserve">CB-05</x:t>
        </x:is>
      </x:c>
      <x:c r="B13" s="161" t="inlineStr">
        <x:is>
          <x:t xml:space="preserve">Collapse</x:t>
        </x:is>
      </x:c>
      <x:c r="C13" s="161" t="inlineStr">
        <x:is>
          <x:t xml:space="preserve">Collapse parts</x:t>
        </x:is>
      </x:c>
      <x:c r="D13" s="161" t="inlineStr">
        <x:is>
          <x:t xml:space="preserve">Bounded content and the preview/expanded path compose exact Brick Collapsible anatomy with truthful hidden and trigger relationships.</x:t>
        </x:is>
      </x:c>
      <x:c r="E13" s="161" t="inlineStr">
        <x:is>
          <x:t xml:space="preserve">package</x:t>
        </x:is>
      </x:c>
      <x:c r="F13" s="161" t="inlineStr">
        <x:is>
          <x:t xml:space="preserve">browser</x:t>
        </x:is>
      </x:c>
      <x:c r="G13" s="161" t="inlineStr">
        <x:is>
          <x:t xml:space="preserve">tests/components/code-block/behavior.spec.ts</x:t>
        </x:is>
      </x:c>
      <x:c r="H13" s="162" t="inlineStr">
        <x:is>
          <x:t xml:space="preserve">tested</x:t>
        </x:is>
      </x:c>
      <x:c r="I13" s="161" t="inlineStr">
        <x:is>
          <x:t xml:space="preserve">no</x:t>
        </x:is>
      </x:c>
      <x:c r="J13" s="163" t="n">
        <x:v>46264</x:v>
      </x:c>
      <x:c r="K13" s="161" t="n"/>
      <x:c r="L13" s="164" t="n">
        <x:v>1</x:v>
      </x:c>
      <x:c r="M13" s="164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61" t="inlineStr">
        <x:is>
          <x:t xml:space="preserve">CB-06</x:t>
        </x:is>
      </x:c>
      <x:c r="B14" s="161" t="inlineStr">
        <x:is>
          <x:t xml:space="preserve">Clipboard</x:t>
        </x:is>
      </x:c>
      <x:c r="C14" s="161" t="inlineStr">
        <x:is>
          <x:t xml:space="preserve">Copy parts</x:t>
        </x:is>
      </x:c>
      <x:c r="D14" s="161" t="inlineStr">
        <x:is>
          <x:t xml:space="preserve">CopyTrigger, indicators, status, pending, success, failure, timeout, and disabled state copy canonical plain source through Atom Clipboard.</x:t>
        </x:is>
      </x:c>
      <x:c r="E14" s="161" t="inlineStr">
        <x:is>
          <x:t xml:space="preserve">package</x:t>
        </x:is>
      </x:c>
      <x:c r="F14" s="161" t="inlineStr">
        <x:is>
          <x:t xml:space="preserve">component</x:t>
        </x:is>
      </x:c>
      <x:c r="G14" s="161" t="inlineStr">
        <x:is>
          <x:t xml:space="preserve">../test/components/code-block/code-block.test.tsx</x:t>
        </x:is>
      </x:c>
      <x:c r="H14" s="162" t="inlineStr">
        <x:is>
          <x:t xml:space="preserve">tested</x:t>
        </x:is>
      </x:c>
      <x:c r="I14" s="161" t="inlineStr">
        <x:is>
          <x:t xml:space="preserve">no</x:t>
        </x:is>
      </x:c>
      <x:c r="J14" s="163" t="n">
        <x:v>46264</x:v>
      </x:c>
      <x:c r="K14" s="161" t="n"/>
      <x:c r="L14" s="164" t="n">
        <x:v>1</x:v>
      </x:c>
      <x:c r="M14" s="164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61" t="inlineStr">
        <x:is>
          <x:t xml:space="preserve">CB-07</x:t>
        </x:is>
      </x:c>
      <x:c r="B15" s="161" t="inlineStr">
        <x:is>
          <x:t xml:space="preserve">Exports</x:t>
        </x:is>
      </x:c>
      <x:c r="C15" s="161" t="inlineStr">
        <x:is>
          <x:t xml:space="preserve">Code Block</x:t>
        </x:is>
      </x:c>
      <x:c r="D15" s="161" t="inlineStr">
        <x:is>
          <x:t xml:space="preserve">Root, Code Block, adapter, line, and collapse subpath exports expose every public runtime and type.</x:t>
        </x:is>
      </x:c>
      <x:c r="E15" s="161" t="inlineStr">
        <x:is>
          <x:t xml:space="preserve">package</x:t>
        </x:is>
      </x:c>
      <x:c r="F15" s="161" t="inlineStr">
        <x:is>
          <x:t xml:space="preserve">package</x:t>
        </x:is>
      </x:c>
      <x:c r="G15" s="161" t="inlineStr">
        <x:is>
          <x:t xml:space="preserve">../test/package/package.test.mjs; ../test/package/ssr.test.mjs</x:t>
        </x:is>
      </x:c>
      <x:c r="H15" s="162" t="inlineStr">
        <x:is>
          <x:t xml:space="preserve">tested</x:t>
        </x:is>
      </x:c>
      <x:c r="I15" s="161" t="inlineStr">
        <x:is>
          <x:t xml:space="preserve">no</x:t>
        </x:is>
      </x:c>
      <x:c r="J15" s="163" t="n">
        <x:v>46264</x:v>
      </x:c>
      <x:c r="K15" s="161" t="n"/>
      <x:c r="L15" s="164" t="n">
        <x:v>1</x:v>
      </x:c>
      <x:c r="M15" s="164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61" t="inlineStr">
        <x:is>
          <x:t xml:space="preserve">CB-08</x:t>
        </x:is>
      </x:c>
      <x:c r="B16" s="161" t="inlineStr">
        <x:is>
          <x:t xml:space="preserve">Types</x:t>
        </x:is>
      </x:c>
      <x:c r="C16" s="161" t="inlineStr">
        <x:is>
          <x:t xml:space="preserve">Code Block</x:t>
        </x:is>
      </x:c>
      <x:c r="D16" s="161" t="inlineStr">
        <x:is>
          <x:t xml:space="preserve">Anatomy, recipes, adapter, line metadata, maximum lines, collapse parts, native props, and refs type-check.</x:t>
        </x:is>
      </x:c>
      <x:c r="E16" s="161" t="inlineStr">
        <x:is>
          <x:t xml:space="preserve">package</x:t>
        </x:is>
      </x:c>
      <x:c r="F16" s="161" t="inlineStr">
        <x:is>
          <x:t xml:space="preserve">types</x:t>
        </x:is>
      </x:c>
      <x:c r="G16" s="161" t="inlineStr">
        <x:is>
          <x:t xml:space="preserve">../test/types/components/code-block.test.ts</x:t>
        </x:is>
      </x:c>
      <x:c r="H16" s="162" t="inlineStr">
        <x:is>
          <x:t xml:space="preserve">tested</x:t>
        </x:is>
      </x:c>
      <x:c r="I16" s="161" t="inlineStr">
        <x:is>
          <x:t xml:space="preserve">no</x:t>
        </x:is>
      </x:c>
      <x:c r="J16" s="163" t="n">
        <x:v>46264</x:v>
      </x:c>
      <x:c r="K16" s="161" t="n"/>
      <x:c r="L16" s="164" t="n">
        <x:v>1</x:v>
      </x:c>
      <x:c r="M16" s="164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61" t="inlineStr">
        <x:is>
          <x:t xml:space="preserve">CB-09</x:t>
        </x:is>
      </x:c>
      <x:c r="B17" s="161" t="inlineStr">
        <x:is>
          <x:t xml:space="preserve">CSS</x:t>
        </x:is>
      </x:c>
      <x:c r="C17" s="161" t="inlineStr">
        <x:is>
          <x:t xml:space="preserve">Code Block</x:t>
        </x:is>
      </x:c>
      <x:c r="D17" s="161" t="inlineStr">
        <x:is>
          <x:t xml:space="preserve">Static CSS ships surfaces, overflow, wrapping, line states, bounded height, collapse, selection, focus, forced colors, and public variables.</x:t>
        </x:is>
      </x:c>
      <x:c r="E17" s="161" t="inlineStr">
        <x:is>
          <x:t xml:space="preserve">package</x:t>
        </x:is>
      </x:c>
      <x:c r="F17" s="161" t="inlineStr">
        <x:is>
          <x:t xml:space="preserve">css</x:t>
        </x:is>
      </x:c>
      <x:c r="G17" s="161" t="inlineStr">
        <x:is>
          <x:t xml:space="preserve">../src/components/code-block/code-block.css</x:t>
        </x:is>
      </x:c>
      <x:c r="H17" s="162" t="inlineStr">
        <x:is>
          <x:t xml:space="preserve">tested</x:t>
        </x:is>
      </x:c>
      <x:c r="I17" s="161" t="inlineStr">
        <x:is>
          <x:t xml:space="preserve">no</x:t>
        </x:is>
      </x:c>
      <x:c r="J17" s="163" t="n">
        <x:v>46264</x:v>
      </x:c>
      <x:c r="K17" s="161" t="n"/>
      <x:c r="L17" s="164" t="n">
        <x:v>1</x:v>
      </x:c>
      <x:c r="M17" s="164" t="n">
        <x:f>IF(OR(AND(I17="yes",H17="verified"),AND(I17="no",OR(H17="tested",H17="verified")),AND(H17="not applicable",K17&lt;&gt;"")),1,0)</x:f>
        <x:v>1</x:v>
      </x:c>
    </x:row>
    <x:row r="18" s="127" customFormat="1" ht="54" customHeight="1">
      <x:c r="A18" s="161" t="inlineStr">
        <x:is>
          <x:t xml:space="preserve">CB-10</x:t>
        </x:is>
      </x:c>
      <x:c r="B18" s="161" t="inlineStr">
        <x:is>
          <x:t xml:space="preserve">Unit</x:t>
        </x:is>
      </x:c>
      <x:c r="C18" s="161" t="inlineStr">
        <x:is>
          <x:t xml:space="preserve">Code Block</x:t>
        </x:is>
      </x:c>
      <x:c r="D18" s="161" t="inlineStr">
        <x:is>
          <x:t xml:space="preserve">Defaults, adapter lifecycle, explicit children, line metadata, copy authority, bounded height, and collapse composition pass.</x:t>
        </x:is>
      </x:c>
      <x:c r="E18" s="161" t="inlineStr">
        <x:is>
          <x:t xml:space="preserve">package</x:t>
        </x:is>
      </x:c>
      <x:c r="F18" s="161" t="inlineStr">
        <x:is>
          <x:t xml:space="preserve">component</x:t>
        </x:is>
      </x:c>
      <x:c r="G18" s="161" t="inlineStr">
        <x:is>
          <x:t xml:space="preserve">../test/components/code-block/code-block.test.tsx</x:t>
        </x:is>
      </x:c>
      <x:c r="H18" s="162" t="inlineStr">
        <x:is>
          <x:t xml:space="preserve">tested</x:t>
        </x:is>
      </x:c>
      <x:c r="I18" s="161" t="inlineStr">
        <x:is>
          <x:t xml:space="preserve">no</x:t>
        </x:is>
      </x:c>
      <x:c r="J18" s="163" t="n">
        <x:v>46264</x:v>
      </x:c>
      <x:c r="K18" s="161" t="inlineStr">
        <x:is>
          <x:t xml:space="preserve">2026-09-12: Twelve focused tests pass, including real Shiki, errors and exact CRLF preservation.</x:t>
        </x:is>
      </x:c>
      <x:c r="L18" s="164" t="n">
        <x:v>1</x:v>
      </x:c>
      <x:c r="M18" s="164" t="n">
        <x:f>IF(OR(AND(I18="yes",H18="verified"),AND(I18="no",OR(H18="tested",H18="verified")),AND(H18="not applicable",K18&lt;&gt;"")),1,0)</x:f>
        <x:v>1</x:v>
      </x:c>
    </x:row>
    <x:row r="19" s="127" customFormat="1" ht="54" customHeight="1">
      <x:c r="A19" s="161" t="inlineStr">
        <x:is>
          <x:t xml:space="preserve">CB-11</x:t>
        </x:is>
      </x:c>
      <x:c r="B19" s="161" t="inlineStr">
        <x:is>
          <x:t xml:space="preserve">Browser</x:t>
        </x:is>
      </x:c>
      <x:c r="C19" s="161" t="inlineStr">
        <x:is>
          <x:t xml:space="preserve">Code Block</x:t>
        </x:is>
      </x:c>
      <x:c r="D19" s="161" t="inlineStr">
        <x:is>
          <x:t xml:space="preserve">Scrolling, maximum lines, expansion, keyboard control, copy outcomes, focus retention, disabled state, RTL, and reflow pass.</x:t>
        </x:is>
      </x:c>
      <x:c r="E19" s="161" t="inlineStr">
        <x:is>
          <x:t xml:space="preserve">package</x:t>
        </x:is>
      </x:c>
      <x:c r="F19" s="161" t="inlineStr">
        <x:is>
          <x:t xml:space="preserve">browser</x:t>
        </x:is>
      </x:c>
      <x:c r="G19" s="161" t="inlineStr">
        <x:is>
          <x:t xml:space="preserve">tests/components/code-block/behavior.spec.ts</x:t>
        </x:is>
      </x:c>
      <x:c r="H19" s="162" t="inlineStr">
        <x:is>
          <x:t xml:space="preserve">tested</x:t>
        </x:is>
      </x:c>
      <x:c r="I19" s="161" t="inlineStr">
        <x:is>
          <x:t xml:space="preserve">no</x:t>
        </x:is>
      </x:c>
      <x:c r="J19" s="163" t="n">
        <x:v>46264</x:v>
      </x:c>
      <x:c r="K19" s="161" t="n"/>
      <x:c r="L19" s="164" t="n">
        <x:v>1</x:v>
      </x:c>
      <x:c r="M19" s="164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61" t="inlineStr">
        <x:is>
          <x:t xml:space="preserve">CB-12</x:t>
        </x:is>
      </x:c>
      <x:c r="B20" s="161" t="inlineStr">
        <x:is>
          <x:t xml:space="preserve">Accessibility</x:t>
        </x:is>
      </x:c>
      <x:c r="C20" s="161" t="inlineStr">
        <x:is>
          <x:t xml:space="preserve">Content and controls</x:t>
        </x:is>
      </x:c>
      <x:c r="D20" s="161" t="inlineStr">
        <x:is>
          <x:t xml:space="preserve">Named scroll regions, hidden lifecycle, trigger relationships, truthful live feedback, keyboard reachability, and axe pass.</x:t>
        </x:is>
      </x:c>
      <x:c r="E20" s="161" t="inlineStr">
        <x:is>
          <x:t xml:space="preserve">package</x:t>
        </x:is>
      </x:c>
      <x:c r="F20" s="161" t="inlineStr">
        <x:is>
          <x:t xml:space="preserve">axe</x:t>
        </x:is>
      </x:c>
      <x:c r="G20" s="161" t="inlineStr">
        <x:is>
          <x:t xml:space="preserve">tests/components/code-block/behavior.spec.ts</x:t>
        </x:is>
      </x:c>
      <x:c r="H20" s="162" t="inlineStr">
        <x:is>
          <x:t xml:space="preserve">tested</x:t>
        </x:is>
      </x:c>
      <x:c r="I20" s="161" t="inlineStr">
        <x:is>
          <x:t xml:space="preserve">no</x:t>
        </x:is>
      </x:c>
      <x:c r="J20" s="163" t="n">
        <x:v>46264</x:v>
      </x:c>
      <x:c r="K20" s="161" t="n"/>
      <x:c r="L20" s="164" t="n">
        <x:v>1</x:v>
      </x:c>
      <x:c r="M20" s="164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61" t="inlineStr">
        <x:is>
          <x:t xml:space="preserve">CB-13</x:t>
        </x:is>
      </x:c>
      <x:c r="B21" s="161" t="inlineStr">
        <x:is>
          <x:t xml:space="preserve">Visual</x:t>
        </x:is>
      </x:c>
      <x:c r="C21" s="161" t="inlineStr">
        <x:is>
          <x:t xml:space="preserve">Code Block</x:t>
        </x:is>
      </x:c>
      <x:c r="D21" s="161" t="inlineStr">
        <x:is>
          <x:t xml:space="preserve">Defaults, line metadata, bounded and expanded presentations, copy, appearances, mobile, and RTL own baselines.</x:t>
        </x:is>
      </x:c>
      <x:c r="E21" s="161" t="inlineStr">
        <x:is>
          <x:t xml:space="preserve">package</x:t>
        </x:is>
      </x:c>
      <x:c r="F21" s="161" t="inlineStr">
        <x:is>
          <x:t xml:space="preserve">visual</x:t>
        </x:is>
      </x:c>
      <x:c r="G21" s="161" t="inlineStr">
        <x:is>
          <x:t xml:space="preserve">tests/components/code-block/visual.spec.ts</x:t>
        </x:is>
      </x:c>
      <x:c r="H21" s="165" t="inlineStr">
        <x:is>
          <x:t xml:space="preserve">tested</x:t>
        </x:is>
      </x:c>
      <x:c r="I21" s="161" t="inlineStr">
        <x:is>
          <x:t xml:space="preserve">yes</x:t>
        </x:is>
      </x:c>
      <x:c r="J21" s="163" t="n">
        <x:v>46264</x:v>
      </x:c>
      <x:c r="K21" s="161" t="inlineStr">
        <x:is>
          <x:t xml:space="preserve">2026-09-12: Automated snapshots reviewed. New manual/device/zoom protocol remains pending.</x:t>
        </x:is>
      </x:c>
      <x:c r="L21" s="164" t="n">
        <x:v>1</x:v>
      </x:c>
      <x:c r="M21" s="164" t="n">
        <x:f>IF(OR(AND(I21="yes",H21="verified"),AND(I21="no",OR(H21="tested",H21="verified")),AND(H21="not applicable",K21&lt;&gt;"")),1,0)</x:f>
        <x:v>0</x:v>
      </x:c>
    </x:row>
    <x:row r="22" s="127" customFormat="1" ht="54" customHeight="1">
      <x:c r="A22" s="161" t="inlineStr">
        <x:is>
          <x:t xml:space="preserve">CB-14</x:t>
        </x:is>
      </x:c>
      <x:c r="B22" s="161" t="inlineStr">
        <x:is>
          <x:t xml:space="preserve">Responsive</x:t>
        </x:is>
      </x:c>
      <x:c r="C22" s="161" t="inlineStr">
        <x:is>
          <x:t xml:space="preserve">Code Block</x:t>
        </x:is>
      </x:c>
      <x:c r="D22" s="161" t="inlineStr">
        <x:is>
          <x:t xml:space="preserve">Mobile, zoom, long lines, many lines, bounded height, RTL chrome, LTR source, and selection remain usable.</x:t>
        </x:is>
      </x:c>
      <x:c r="E22" s="161" t="inlineStr">
        <x:is>
          <x:t xml:space="preserve">package</x:t>
        </x:is>
      </x:c>
      <x:c r="F22" s="161" t="inlineStr">
        <x:is>
          <x:t xml:space="preserve">manual</x:t>
        </x:is>
      </x:c>
      <x:c r="G22" s="161" t="inlineStr">
        <x:is>
          <x:t xml:space="preserve">manual-tests/code-block.md</x:t>
        </x:is>
      </x:c>
      <x:c r="H22" s="165" t="inlineStr">
        <x:is>
          <x:t xml:space="preserve">implemented</x:t>
        </x:is>
      </x:c>
      <x:c r="I22" s="161" t="inlineStr">
        <x:is>
          <x:t xml:space="preserve">yes</x:t>
        </x:is>
      </x:c>
      <x:c r="J22" s="163" t="n"/>
      <x:c r="K22" s="161" t="inlineStr">
        <x:is>
          <x:t xml:space="preserve">Human protocol remains pending. Automated and visual evidence stays in its owning tests and does not complete this human gate.</x:t>
        </x:is>
      </x:c>
      <x:c r="L22" s="164" t="n">
        <x:v>1</x:v>
      </x:c>
      <x:c r="M22" s="164" t="n">
        <x:f>IF(OR(AND(I22="yes",H22="verified"),AND(I22="no",OR(H22="tested",H22="verified")),AND(H22="not applicable",K22&lt;&gt;"")),1,0)</x:f>
        <x:v>0</x:v>
      </x:c>
    </x:row>
    <x:row r="23" s="127" customFormat="1" ht="90" customHeight="1">
      <x:c r="A23" s="161" t="inlineStr">
        <x:is>
          <x:t xml:space="preserve">CB-15</x:t>
        </x:is>
      </x:c>
      <x:c r="B23" s="161" t="inlineStr">
        <x:is>
          <x:t xml:space="preserve">Theme</x:t>
        </x:is>
      </x:c>
      <x:c r="C23" s="161" t="inlineStr">
        <x:is>
          <x:t xml:space="preserve">Code Block</x:t>
        </x:is>
      </x:c>
      <x:c r="D23" s="161" t="inlineStr">
        <x:is>
          <x:t xml:space="preserve">Line states, diff colors, focus, surfaces, selection, and controls remain legible in light, dark, and forced colors.</x:t>
        </x:is>
      </x:c>
      <x:c r="E23" s="161" t="inlineStr">
        <x:is>
          <x:t xml:space="preserve">package</x:t>
        </x:is>
      </x:c>
      <x:c r="F23" s="161" t="inlineStr">
        <x:is>
          <x:t xml:space="preserve">manual</x:t>
        </x:is>
      </x:c>
      <x:c r="G23" s="161" t="inlineStr">
        <x:is>
          <x:t xml:space="preserve">manual-tests/code-block.md; tests/components/code-block/visual.spec.ts</x:t>
        </x:is>
      </x:c>
      <x:c r="H23" s="165" t="inlineStr">
        <x:is>
          <x:t xml:space="preserve">implemented</x:t>
        </x:is>
      </x:c>
      <x:c r="I23" s="161" t="inlineStr">
        <x:is>
          <x:t xml:space="preserve">yes</x:t>
        </x:is>
      </x:c>
      <x:c r="J23" s="163" t="n"/>
      <x:c r="K23" s="166" t="inlineStr">
        <x:is>
          <x:t xml:space="preserve">Human protocol remains pending. Automated and visual evidence stays in its owning tests and does not complete this human gate.
2026-09-09: Focus pass: flush collapse action outline stays within its clip. See focus-system/execution-report.md. Other qualification is not promoted.</x:t>
        </x:is>
      </x:c>
      <x:c r="L23" s="164" t="n">
        <x:v>1</x:v>
      </x:c>
      <x:c r="M23" s="164" t="n">
        <x:f>IF(OR(AND(I23="yes",H23="verified"),AND(I23="no",OR(H23="tested",H23="verified")),AND(H23="not applicable",K23&lt;&gt;"")),1,0)</x:f>
        <x:v>0</x:v>
      </x:c>
    </x:row>
    <x:row r="24" s="127" customFormat="1" ht="54" customHeight="1">
      <x:c r="A24" s="161" t="inlineStr">
        <x:is>
          <x:t xml:space="preserve">CB-16</x:t>
        </x:is>
      </x:c>
      <x:c r="B24" s="161" t="inlineStr">
        <x:is>
          <x:t xml:space="preserve">Manual</x:t>
        </x:is>
      </x:c>
      <x:c r="C24" s="161" t="inlineStr">
        <x:is>
          <x:t xml:space="preserve">Code Block</x:t>
        </x:is>
      </x:c>
      <x:c r="D24" s="161" t="inlineStr">
        <x:is>
          <x:t xml:space="preserve">The component-owned protocol covers every Code Block playground scenario, including line metadata and collapse.</x:t>
        </x:is>
      </x:c>
      <x:c r="E24" s="161" t="inlineStr">
        <x:is>
          <x:t xml:space="preserve">package</x:t>
        </x:is>
      </x:c>
      <x:c r="F24" s="161" t="inlineStr">
        <x:is>
          <x:t xml:space="preserve">manual</x:t>
        </x:is>
      </x:c>
      <x:c r="G24" s="161" t="inlineStr">
        <x:is>
          <x:t xml:space="preserve">manual-tests/code-block.md</x:t>
        </x:is>
      </x:c>
      <x:c r="H24" s="165" t="inlineStr">
        <x:is>
          <x:t xml:space="preserve">implemented</x:t>
        </x:is>
      </x:c>
      <x:c r="I24" s="161" t="inlineStr">
        <x:is>
          <x:t xml:space="preserve">yes</x:t>
        </x:is>
      </x:c>
      <x:c r="J24" s="163" t="n"/>
      <x:c r="K24" s="161" t="inlineStr">
        <x:is>
          <x:t xml:space="preserve">Human protocol remains pending. Automated and visual evidence stays in its owning tests and does not complete this human gate.</x:t>
        </x:is>
      </x:c>
      <x:c r="L24" s="164" t="n">
        <x:v>1</x:v>
      </x:c>
      <x:c r="M24" s="164" t="n">
        <x:f>IF(OR(AND(I24="yes",H24="verified"),AND(I24="no",OR(H24="tested",H24="verified")),AND(H24="not applicable",K24&lt;&gt;"")),1,0)</x:f>
        <x:v>0</x:v>
      </x:c>
    </x:row>
    <x:row r="25" s="127" customFormat="1" ht="54" customHeight="1">
      <x:c r="A25" s="161" t="inlineStr">
        <x:is>
          <x:t xml:space="preserve">CB-17</x:t>
        </x:is>
      </x:c>
      <x:c r="B25" s="161" t="inlineStr">
        <x:is>
          <x:t xml:space="preserve">Docs</x:t>
        </x:is>
      </x:c>
      <x:c r="C25" s="161" t="inlineStr">
        <x:is>
          <x:t xml:space="preserve">Code Block</x:t>
        </x:is>
      </x:c>
      <x:c r="D25" s="161" t="inlineStr">
        <x:is>
          <x:t xml:space="preserve">Source-backed anatomy, adapter boundary, line metadata, collapse, copy ownership, accessibility, API, and tokens pass.</x:t>
        </x:is>
      </x:c>
      <x:c r="E25" s="161" t="inlineStr">
        <x:is>
          <x:t xml:space="preserve">package</x:t>
        </x:is>
      </x:c>
      <x:c r="F25" s="161" t="inlineStr">
        <x:is>
          <x:t xml:space="preserve">docs</x:t>
        </x:is>
      </x:c>
      <x:c r="G25" s="161" t="inlineStr">
        <x:is>
          <x:t xml:space="preserve">../docs/components/code-block/README.md</x:t>
        </x:is>
      </x:c>
      <x:c r="H25" s="162" t="inlineStr">
        <x:is>
          <x:t xml:space="preserve">tested</x:t>
        </x:is>
      </x:c>
      <x:c r="I25" s="161" t="inlineStr">
        <x:is>
          <x:t xml:space="preserve">no</x:t>
        </x:is>
      </x:c>
      <x:c r="J25" s="163" t="n">
        <x:v>46264</x:v>
      </x:c>
      <x:c r="K25" s="161" t="n"/>
      <x:c r="L25" s="164" t="n">
        <x:v>1</x:v>
      </x:c>
      <x:c r="M25" s="164" t="n">
        <x:f>IF(OR(AND(I25="yes",H25="verified"),AND(I25="no",OR(H25="tested",H25="verified")),AND(H25="not applicable",K25&lt;&gt;"")),1,0)</x:f>
        <x:v>1</x:v>
      </x:c>
    </x:row>
    <x:row r="26" s="127" customFormat="1" ht="54" customHeight="1">
      <x:c r="A26" s="161" t="inlineStr">
        <x:is>
          <x:t xml:space="preserve">CB-18</x:t>
        </x:is>
      </x:c>
      <x:c r="B26" s="161" t="inlineStr">
        <x:is>
          <x:t xml:space="preserve">Changelog</x:t>
        </x:is>
      </x:c>
      <x:c r="C26" s="161" t="inlineStr">
        <x:is>
          <x:t xml:space="preserve">Code Block</x:t>
        </x:is>
      </x:c>
      <x:c r="D26" s="161" t="inlineStr">
        <x:is>
          <x:t xml:space="preserve">Code Block owns a public changelog and the package changelog records the extension.</x:t>
        </x:is>
      </x:c>
      <x:c r="E26" s="161" t="inlineStr">
        <x:is>
          <x:t xml:space="preserve">package</x:t>
        </x:is>
      </x:c>
      <x:c r="F26" s="161" t="inlineStr">
        <x:is>
          <x:t xml:space="preserve">docs</x:t>
        </x:is>
      </x:c>
      <x:c r="G26" s="161" t="inlineStr">
        <x:is>
          <x:t xml:space="preserve">../docs/components/code-block/CHANGELOG.md; ../CHANGELOG.md</x:t>
        </x:is>
      </x:c>
      <x:c r="H26" s="162" t="inlineStr">
        <x:is>
          <x:t xml:space="preserve">tested</x:t>
        </x:is>
      </x:c>
      <x:c r="I26" s="161" t="inlineStr">
        <x:is>
          <x:t xml:space="preserve">no</x:t>
        </x:is>
      </x:c>
      <x:c r="J26" s="163" t="n">
        <x:v>46264</x:v>
      </x:c>
      <x:c r="K26" s="161" t="n"/>
      <x:c r="L26" s="164" t="n">
        <x:v>1</x:v>
      </x:c>
      <x:c r="M26" s="164" t="n">
        <x:f>IF(OR(AND(I26="yes",H26="verified"),AND(I26="no",OR(H26="tested",H26="verified")),AND(H26="not applicable",K26&lt;&gt;"")),1,0)</x:f>
        <x:v>1</x:v>
      </x:c>
    </x:row>
    <x:row r="27" s="127" customFormat="1" ht="54" customHeight="1">
      <x:c r="A27" s="161" t="inlineStr">
        <x:is>
          <x:t xml:space="preserve">CB-19</x:t>
        </x:is>
      </x:c>
      <x:c r="B27" s="161" t="inlineStr">
        <x:is>
          <x:t xml:space="preserve">Consumer</x:t>
        </x:is>
      </x:c>
      <x:c r="C27" s="161" t="inlineStr">
        <x:is>
          <x:t xml:space="preserve">Code Block</x:t>
        </x:is>
      </x:c>
      <x:c r="D27" s="161" t="inlineStr">
        <x:is>
          <x:t xml:space="preserve">The packed Consumer proves public anatomy, native source, adapter-safe output, line metadata, and copy action.</x:t>
        </x:is>
      </x:c>
      <x:c r="E27" s="161" t="inlineStr">
        <x:is>
          <x:t xml:space="preserve">consumer</x:t>
        </x:is>
      </x:c>
      <x:c r="F27" s="161" t="inlineStr">
        <x:is>
          <x:t xml:space="preserve">consumer</x:t>
        </x:is>
      </x:c>
      <x:c r="G27" s="161" t="inlineStr">
        <x:is>
          <x:t xml:space="preserve">../apps/consumer/src/App.tsx; ../apps/consumer/tests/consumer.spec.ts</x:t>
        </x:is>
      </x:c>
      <x:c r="H27" s="162" t="inlineStr">
        <x:is>
          <x:t xml:space="preserve">tested</x:t>
        </x:is>
      </x:c>
      <x:c r="I27" s="161" t="inlineStr">
        <x:is>
          <x:t xml:space="preserve">no</x:t>
        </x:is>
      </x:c>
      <x:c r="J27" s="163" t="n">
        <x:v>46264</x:v>
      </x:c>
      <x:c r="K27" s="161" t="n"/>
      <x:c r="L27" s="164" t="n">
        <x:v>1</x:v>
      </x:c>
      <x:c r="M27" s="164" t="n">
        <x:f>IF(OR(AND(I27="yes",H27="verified"),AND(I27="no",OR(H27="tested",H27="verified")),AND(H27="not applicable",K27&lt;&gt;"")),1,0)</x:f>
        <x:v>1</x:v>
      </x:c>
    </x:row>
    <x:row r="28" s="127" customFormat="1" ht="54" customHeight="1">
      <x:c r="A28" s="161" t="inlineStr">
        <x:is>
          <x:t xml:space="preserve">CB-20</x:t>
        </x:is>
      </x:c>
      <x:c r="B28" s="161" t="inlineStr">
        <x:is>
          <x:t xml:space="preserve">Package</x:t>
        </x:is>
      </x:c>
      <x:c r="C28" s="161" t="inlineStr">
        <x:is>
          <x:t xml:space="preserve">Code Block</x:t>
        </x:is>
      </x:c>
      <x:c r="D28" s="161" t="inlineStr">
        <x:is>
          <x:t xml:space="preserve">Build, SSR, exports, CSS, Agent Knowledge, tarball, consumers, React matrix, browser matrix, and adoption pass.</x:t>
        </x:is>
      </x:c>
      <x:c r="E28" s="161" t="inlineStr">
        <x:is>
          <x:t xml:space="preserve">package</x:t>
        </x:is>
      </x:c>
      <x:c r="F28" s="161" t="inlineStr">
        <x:is>
          <x:t xml:space="preserve">package</x:t>
        </x:is>
      </x:c>
      <x:c r="G28" s="161" t="inlineStr">
        <x:is>
          <x:t xml:space="preserve">../test/package; ../scripts/verify-package.mjs; ../scripts/verify-consumers.mjs</x:t>
        </x:is>
      </x:c>
      <x:c r="H28" s="165" t="inlineStr">
        <x:is>
          <x:t xml:space="preserve">partial</x:t>
        </x:is>
      </x:c>
      <x:c r="I28" s="161" t="inlineStr">
        <x:is>
          <x:t xml:space="preserve">yes</x:t>
        </x:is>
      </x:c>
      <x:c r="J28" s="163" t="n">
        <x:v>46264</x:v>
      </x:c>
      <x:c r="K28" s="161" t="inlineStr">
        <x:is>
          <x:t xml:space="preserve">2026-09-12: Local source and packed consumers qualified with digest-locked Atom candidate. No release or renewed human qualification.</x:t>
        </x:is>
      </x:c>
      <x:c r="L28" s="164" t="n">
        <x:v>1</x:v>
      </x:c>
      <x:c r="M28" s="164" t="n">
        <x:f>IF(OR(AND(I28="yes",H28="verified"),AND(I28="no",OR(H28="tested",H28="verified")),AND(H28="not applicable",K28&lt;&gt;"")),1,0)</x:f>
        <x:v>0</x:v>
      </x:c>
    </x:row>
  </x:sheetData>
  <x:mergeCells>
    <x:mergeCell ref="A2:M2"/>
    <x:mergeCell ref="A1:M1"/>
  </x:mergeCells>
  <x:dataValidations count="2">
    <x:dataValidation type="list" errorStyle="stop" operator="between" allowBlank="0" showDropDown="0" showInputMessage="0" showErrorMessage="0" sqref="H9:H28">
      <x:formula1>_Lists!$A$1:$A$7</x:formula1>
      <x:formula2>0</x:formula2>
    </x:dataValidation>
    <x:dataValidation type="list" errorStyle="stop" operator="between" allowBlank="0" showDropDown="0" showInputMessage="0" showErrorMessage="0" sqref="I9:I28">
      <x:formula1>_Lists!$B$1:$B$2</x:formula1>
      <x:formula2>0</x:formula2>
    </x:dataValidation>
  </x:dataValidation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Nav List Evidence</x:t>
        </x:is>
      </x:c>
    </x:row>
    <x:row r="2" s="127" customFormat="1" ht="27.75" customHeight="1">
      <x:c r="A2" s="129" t="inlineStr">
        <x:is>
          <x:t xml:space="preserve">Assertion-level Atom anatomy, recipes, disclosure, browser, human-review, documentation, Consumer, and adoption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COUNTA(A9:A25)</x:f>
        <x:v>16</x:v>
      </x:c>
      <x:c r="D4" s="130" t="inlineStr">
        <x:is>
          <x:t xml:space="preserve">Resolved</x:t>
        </x:is>
      </x:c>
      <x:c r="E4" s="131" t="n">
        <x:f>SUM(M9:M25)</x:f>
        <x:v>12</x:v>
      </x:c>
      <x:c r="G4" s="130" t="inlineStr">
        <x:is>
          <x:t xml:space="preserve">Completion</x:t>
        </x:is>
      </x:c>
      <x:c r="H4" s="132" t="n">
        <x:f>IF(B4=0,0,E4/B4)</x:f>
        <x:v>0.75</x:v>
      </x:c>
      <x:c r="J4" s="130" t="inlineStr">
        <x:is>
          <x:t xml:space="preserve">Package gate</x:t>
        </x:is>
      </x:c>
      <x:c r="K4" s="131" t="str">
        <x:f>IF(COUNTIFS(E9:E25,"package",M9:M25,0)&gt;0,"open","complete")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IF(COUNTIFS(I9:I25,"yes",M9:M25,0)&gt;0,"open","complete")</x:f>
        <x:v>open</x:v>
      </x:c>
      <x:c r="D5" s="130" t="inlineStr">
        <x:is>
          <x:t xml:space="preserve">Consumer gate</x:t>
        </x:is>
      </x:c>
      <x:c r="E5" s="131" t="str">
        <x:f>IF(COUNTIFS(E9:E25,"consumer",M9:M25,0)&gt;0,"open","complete")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NL-01</x:t>
        </x:is>
      </x:c>
      <x:c r="B9" s="149" t="inlineStr">
        <x:is>
          <x:t xml:space="preserve">Implementation</x:t>
        </x:is>
      </x:c>
      <x:c r="C9" s="149" t="inlineStr">
        <x:is>
          <x:t xml:space="preserve">Root and anatomy</x:t>
        </x:is>
      </x:c>
      <x:c r="D9" s="150" t="inlineStr">
        <x:is>
          <x:t xml:space="preserve">Root, List, Item, Link, Section, SectionLabel, SectionTrigger, and SectionContent compose correctly.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../src/components/nav-list/NavList.tsx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67" t="n">
        <x:v>46279.5</x:v>
      </x:c>
      <x:c r="K9" s="150" t="n"/>
      <x:c r="L9" s="149" t="n"/>
      <x:c r="M9" s="149" t="n">
        <x:f>IF(H9="not applicable",IF(K9&lt;&gt;"",1,0),IF(I9="yes",IF(H9="verified",1,0),IF(OR(H9="tested",H9="verified"),1,0)))</x:f>
        <x:v>1</x:v>
      </x:c>
    </x:row>
    <x:row r="10" s="127" customFormat="1" ht="54" customHeight="1">
      <x:c r="A10" s="149" t="inlineStr">
        <x:is>
          <x:t xml:space="preserve">NL-02</x:t>
        </x:is>
      </x:c>
      <x:c r="B10" s="149" t="inlineStr">
        <x:is>
          <x:t xml:space="preserve">Recipes</x:t>
        </x:is>
      </x:c>
      <x:c r="C10" s="149" t="inlineStr">
        <x:is>
          <x:t xml:space="preserve">Root</x:t>
        </x:is>
      </x:c>
      <x:c r="D10" s="150" t="inlineStr">
        <x:is>
          <x:t xml:space="preserve">All five variants, shared radius, size and independent density retain defaults.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../test/components/nav-list/nav-list.test.tsx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67" t="n">
        <x:v>46279.5</x:v>
      </x:c>
      <x:c r="K10" s="150" t="n"/>
      <x:c r="L10" s="149" t="n"/>
      <x:c r="M10" s="149" t="n">
        <x:f>IF(H10="not applicable",IF(K10&lt;&gt;"",1,0),IF(I10="yes",IF(H10="verified",1,0),IF(OR(H10="tested",H10="verified"),1,0)))</x:f>
        <x:v>1</x:v>
      </x:c>
    </x:row>
    <x:row r="11" s="127" customFormat="1" ht="54" customHeight="1">
      <x:c r="A11" s="149" t="inlineStr">
        <x:is>
          <x:t xml:space="preserve">NL-03</x:t>
        </x:is>
      </x:c>
      <x:c r="B11" s="149" t="inlineStr">
        <x:is>
          <x:t xml:space="preserve">Content</x:t>
        </x:is>
      </x:c>
      <x:c r="C11" s="149" t="inlineStr">
        <x:is>
          <x:t xml:space="preserve">Link</x:t>
        </x:is>
      </x:c>
      <x:c r="D11" s="150" t="inlineStr">
        <x:is>
          <x:t xml:space="preserve">Current/disabled composition, meaningful trailing metadata and decorative icons remain semantic.</x:t>
        </x:is>
      </x:c>
      <x:c r="E11" s="149" t="inlineStr">
        <x:is>
          <x:t xml:space="preserve">package</x:t>
        </x:is>
      </x:c>
      <x:c r="F11" s="149" t="inlineStr">
        <x:is>
          <x:t xml:space="preserve">component</x:t>
        </x:is>
      </x:c>
      <x:c r="G11" s="150" t="inlineStr">
        <x:is>
          <x:t xml:space="preserve">../test/components/nav-list/nav-list.test.tsx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67" t="n">
        <x:v>46279.5</x:v>
      </x:c>
      <x:c r="K11" s="150" t="n"/>
      <x:c r="L11" s="149" t="n"/>
      <x:c r="M11" s="149" t="n">
        <x:f>IF(H11="not applicable",IF(K11&lt;&gt;"",1,0),IF(I11="yes",IF(H11="verified",1,0),IF(OR(H11="tested",H11="verified"),1,0)))</x:f>
        <x:v>1</x:v>
      </x:c>
    </x:row>
    <x:row r="12" s="127" customFormat="1" ht="54" customHeight="1">
      <x:c r="A12" s="149" t="inlineStr">
        <x:is>
          <x:t xml:space="preserve">NL-04</x:t>
        </x:is>
      </x:c>
      <x:c r="B12" s="149" t="inlineStr">
        <x:is>
          <x:t xml:space="preserve">Sections</x:t>
        </x:is>
      </x:c>
      <x:c r="C12" s="149" t="inlineStr">
        <x:is>
          <x:t xml:space="preserve">Disclosure</x:t>
        </x:is>
      </x:c>
      <x:c r="D12" s="150" t="inlineStr">
        <x:is>
          <x:t xml:space="preserve">Disclosure uses shared presence, closed inertness, focus recovery and replaceable indicators.</x:t>
        </x:is>
      </x:c>
      <x:c r="E12" s="149" t="inlineStr">
        <x:is>
          <x:t xml:space="preserve">package</x:t>
        </x:is>
      </x:c>
      <x:c r="F12" s="149" t="inlineStr">
        <x:is>
          <x:t xml:space="preserve">browser</x:t>
        </x:is>
      </x:c>
      <x:c r="G12" s="150" t="inlineStr">
        <x:is>
          <x:t xml:space="preserve">tests/components/nav-list/behavior.spec.ts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67" t="n">
        <x:v>46279.5</x:v>
      </x:c>
      <x:c r="K12" s="150" t="n"/>
      <x:c r="L12" s="149" t="n"/>
      <x:c r="M12" s="149" t="n">
        <x:f>IF(H12="not applicable",IF(K12&lt;&gt;"",1,0),IF(I12="yes",IF(H12="verified",1,0),IF(OR(H12="tested",H12="verified"),1,0)))</x:f>
        <x:v>1</x:v>
      </x:c>
    </x:row>
    <x:row r="13" s="127" customFormat="1" ht="54" customHeight="1">
      <x:c r="A13" s="149" t="inlineStr">
        <x:is>
          <x:t xml:space="preserve">NL-05</x:t>
        </x:is>
      </x:c>
      <x:c r="B13" s="149" t="inlineStr">
        <x:is>
          <x:t xml:space="preserve">Exports</x:t>
        </x:is>
      </x:c>
      <x:c r="C13" s="149" t="inlineStr">
        <x:is>
          <x:t xml:space="preserve">Nav List</x:t>
        </x:is>
      </x:c>
      <x:c r="D13" s="150" t="inlineStr">
        <x:is>
          <x:t xml:space="preserve">Root and Nav List subpath exports expose the compound runtime and every public type.</x:t>
        </x:is>
      </x:c>
      <x:c r="E13" s="149" t="inlineStr">
        <x:is>
          <x:t xml:space="preserve">package</x:t>
        </x:is>
      </x:c>
      <x:c r="F13" s="149" t="inlineStr">
        <x:is>
          <x:t xml:space="preserve">types</x:t>
        </x:is>
      </x:c>
      <x:c r="G13" s="150" t="inlineStr">
        <x:is>
          <x:t xml:space="preserve">../src/nav-list.ts; ../test/types/components/nav-list.test.ts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67" t="n">
        <x:v>46279.5</x:v>
      </x:c>
      <x:c r="K13" s="150" t="n"/>
      <x:c r="L13" s="149" t="n"/>
      <x:c r="M13" s="149" t="n">
        <x:f>IF(H13="not applicable",IF(K13&lt;&gt;"",1,0),IF(I13="yes",IF(H13="verified",1,0),IF(OR(H13="tested",H13="verified"),1,0)))</x:f>
        <x:v>1</x:v>
      </x:c>
    </x:row>
    <x:row r="14" s="127" customFormat="1" ht="54" customHeight="1">
      <x:c r="A14" s="149" t="inlineStr">
        <x:is>
          <x:t xml:space="preserve">NL-06</x:t>
        </x:is>
      </x:c>
      <x:c r="B14" s="149" t="inlineStr">
        <x:is>
          <x:t xml:space="preserve">Types</x:t>
        </x:is>
      </x:c>
      <x:c r="C14" s="149" t="inlineStr">
        <x:is>
          <x:t xml:space="preserve">Nav List</x:t>
        </x:is>
      </x:c>
      <x:c r="D14" s="150" t="inlineStr">
        <x:is>
          <x:t xml:space="preserve">Anatomy, recipes, native props, composition, and refs type-check.</x:t>
        </x:is>
      </x:c>
      <x:c r="E14" s="149" t="inlineStr">
        <x:is>
          <x:t xml:space="preserve">package</x:t>
        </x:is>
      </x:c>
      <x:c r="F14" s="149" t="inlineStr">
        <x:is>
          <x:t xml:space="preserve">types</x:t>
        </x:is>
      </x:c>
      <x:c r="G14" s="150" t="inlineStr">
        <x:is>
          <x:t xml:space="preserve">../test/types/components/nav-list.test.ts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67" t="n">
        <x:v>46279.5</x:v>
      </x:c>
      <x:c r="K14" s="150" t="n"/>
      <x:c r="L14" s="149" t="n"/>
      <x:c r="M14" s="149" t="n">
        <x:f>IF(H14="not applicable",IF(K14&lt;&gt;"",1,0),IF(I14="yes",IF(H14="verified",1,0),IF(OR(H14="tested",H14="verified"),1,0)))</x:f>
        <x:v>1</x:v>
      </x:c>
    </x:row>
    <x:row r="15" s="127" customFormat="1" ht="54" customHeight="1">
      <x:c r="A15" s="149" t="inlineStr">
        <x:is>
          <x:t xml:space="preserve">NL-07</x:t>
        </x:is>
      </x:c>
      <x:c r="B15" s="149" t="inlineStr">
        <x:is>
          <x:t xml:space="preserve">CSS</x:t>
        </x:is>
      </x:c>
      <x:c r="C15" s="149" t="inlineStr">
        <x:is>
          <x:t xml:space="preserve">Nav List</x:t>
        </x:is>
      </x:c>
      <x:c r="D15" s="150" t="inlineStr">
        <x:is>
          <x:t xml:space="preserve">Static CSS ships state, orientation, focus, forced-colors, logical layout, and public tokens.</x:t>
        </x:is>
      </x:c>
      <x:c r="E15" s="149" t="inlineStr">
        <x:is>
          <x:t xml:space="preserve">package</x:t>
        </x:is>
      </x:c>
      <x:c r="F15" s="149" t="inlineStr">
        <x:is>
          <x:t xml:space="preserve">browser</x:t>
        </x:is>
      </x:c>
      <x:c r="G15" s="150" t="inlineStr">
        <x:is>
          <x:t xml:space="preserve">../src/components/nav-list/nav-list.css; tests/components/nav-list/behavior.spec.ts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67" t="n">
        <x:v>46279.5</x:v>
      </x:c>
      <x:c r="K15" s="150" t="n"/>
      <x:c r="L15" s="149" t="n"/>
      <x:c r="M15" s="149" t="n">
        <x:f>IF(H15="not applicable",IF(K15&lt;&gt;"",1,0),IF(I15="yes",IF(H15="verified",1,0),IF(OR(H15="tested",H15="verified"),1,0)))</x:f>
        <x:v>1</x:v>
      </x:c>
    </x:row>
    <x:row r="16" s="127" customFormat="1" ht="54" customHeight="1">
      <x:c r="A16" s="149" t="inlineStr">
        <x:is>
          <x:t xml:space="preserve">NL-08</x:t>
        </x:is>
      </x:c>
      <x:c r="B16" s="149" t="inlineStr">
        <x:is>
          <x:t xml:space="preserve">Browser</x:t>
        </x:is>
      </x:c>
      <x:c r="C16" s="149" t="inlineStr">
        <x:is>
          <x:t xml:space="preserve">Nav List</x:t>
        </x:is>
      </x:c>
      <x:c r="D16" s="150" t="inlineStr">
        <x:is>
          <x:t xml:space="preserve">Defaults, disclosure, disabled state, composition, horizontal wrapping, and RTL pass.</x:t>
        </x:is>
      </x:c>
      <x:c r="E16" s="149" t="inlineStr">
        <x:is>
          <x:t xml:space="preserve">package</x:t>
        </x:is>
      </x:c>
      <x:c r="F16" s="149" t="inlineStr">
        <x:is>
          <x:t xml:space="preserve">browser</x:t>
        </x:is>
      </x:c>
      <x:c r="G16" s="150" t="inlineStr">
        <x:is>
          <x:t xml:space="preserve">tests/components/nav-list/behavior.spec.ts</x:t>
        </x:is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67" t="n">
        <x:v>46279.5</x:v>
      </x:c>
      <x:c r="K16" s="150" t="n"/>
      <x:c r="L16" s="149" t="n"/>
      <x:c r="M16" s="149" t="n">
        <x:f>IF(H16="not applicable",IF(K16&lt;&gt;"",1,0),IF(I16="yes",IF(H16="verified",1,0),IF(OR(H16="tested",H16="verified"),1,0)))</x:f>
        <x:v>1</x:v>
      </x:c>
    </x:row>
    <x:row r="17" s="127" customFormat="1" ht="54" customHeight="1">
      <x:c r="A17" s="149" t="inlineStr">
        <x:is>
          <x:t xml:space="preserve">NL-09</x:t>
        </x:is>
      </x:c>
      <x:c r="B17" s="149" t="inlineStr">
        <x:is>
          <x:t xml:space="preserve">Accessibility</x:t>
        </x:is>
      </x:c>
      <x:c r="C17" s="149" t="inlineStr">
        <x:is>
          <x:t xml:space="preserve">Navigation anatomy</x:t>
        </x:is>
      </x:c>
      <x:c r="D17" s="150" t="inlineStr">
        <x:is>
          <x:t xml:space="preserve">Names, lists, current state, disabled state, disclosure relationships, keyboard use, and axe pass.</x:t>
        </x:is>
      </x:c>
      <x:c r="E17" s="149" t="inlineStr">
        <x:is>
          <x:t xml:space="preserve">package</x:t>
        </x:is>
      </x:c>
      <x:c r="F17" s="149" t="inlineStr">
        <x:is>
          <x:t xml:space="preserve">axe</x:t>
        </x:is>
      </x:c>
      <x:c r="G17" s="150" t="inlineStr">
        <x:is>
          <x:t xml:space="preserve">tests/components/nav-list/behavior.spec.ts; manual-tests/nav-list.md</x:t>
        </x:is>
      </x:c>
      <x:c r="H17" s="149" t="inlineStr">
        <x:is>
          <x:t xml:space="preserve">partial</x:t>
        </x:is>
      </x:c>
      <x:c r="I17" s="149" t="inlineStr">
        <x:is>
          <x:t xml:space="preserve">yes</x:t>
        </x:is>
      </x:c>
      <x:c r="J17" s="167" t="n">
        <x:v>46279.5</x:v>
      </x:c>
      <x:c r="K17" s="150" t="inlineStr">
        <x:is>
          <x:t xml:space="preserve">Automated axe passed; manual screen reader pending.</x:t>
        </x:is>
      </x:c>
      <x:c r="L17" s="149" t="n"/>
      <x:c r="M17" s="149" t="n">
        <x:f>IF(H17="not applicable",IF(K17&lt;&gt;"",1,0),IF(I17="yes",IF(H17="verified",1,0),IF(OR(H17="tested",H17="verified"),1,0)))</x:f>
        <x:v>0</x:v>
      </x:c>
    </x:row>
    <x:row r="18" s="127" customFormat="1" ht="54" customHeight="1">
      <x:c r="A18" s="149" t="inlineStr">
        <x:is>
          <x:t xml:space="preserve">NL-10</x:t>
        </x:is>
      </x:c>
      <x:c r="B18" s="149" t="inlineStr">
        <x:is>
          <x:t xml:space="preserve">Visual</x:t>
        </x:is>
      </x:c>
      <x:c r="C18" s="149" t="inlineStr">
        <x:is>
          <x:t xml:space="preserve">Nav List</x:t>
        </x:is>
      </x:c>
      <x:c r="D18" s="150" t="inlineStr">
        <x:is>
          <x:t xml:space="preserve">Defaults, recipes, content, sections, output, appearances, mobile, RTL, and forced colors own baselines.</x:t>
        </x:is>
      </x:c>
      <x:c r="E18" s="149" t="inlineStr">
        <x:is>
          <x:t xml:space="preserve">package</x:t>
        </x:is>
      </x:c>
      <x:c r="F18" s="149" t="inlineStr">
        <x:is>
          <x:t xml:space="preserve">visual</x:t>
        </x:is>
      </x:c>
      <x:c r="G18" s="150" t="inlineStr">
        <x:is>
          <x:t xml:space="preserve">tests/components/nav-list/visual.spec.ts</x:t>
        </x:is>
      </x:c>
      <x:c r="H18" s="149" t="inlineStr">
        <x:is>
          <x:t xml:space="preserve">partial</x:t>
        </x:is>
      </x:c>
      <x:c r="I18" s="149" t="inlineStr">
        <x:is>
          <x:t xml:space="preserve">yes</x:t>
        </x:is>
      </x:c>
      <x:c r="J18" s="167" t="n">
        <x:v>46279.5</x:v>
      </x:c>
      <x:c r="K18" s="150" t="inlineStr">
        <x:is>
          <x:t xml:space="preserve">Automated baselines passed and inspected; owner visual approval pending.</x:t>
        </x:is>
      </x:c>
      <x:c r="L18" s="149" t="n"/>
      <x:c r="M18" s="149" t="n">
        <x:f>IF(H18="not applicable",IF(K18&lt;&gt;"",1,0),IF(I18="yes",IF(H18="verified",1,0),IF(OR(H18="tested",H18="verified"),1,0)))</x:f>
        <x:v>0</x:v>
      </x:c>
    </x:row>
    <x:row r="19" s="127" customFormat="1" ht="54" customHeight="1">
      <x:c r="A19" s="149" t="inlineStr">
        <x:is>
          <x:t xml:space="preserve">NL-11</x:t>
        </x:is>
      </x:c>
      <x:c r="B19" s="149" t="inlineStr">
        <x:is>
          <x:t xml:space="preserve">Manual</x:t>
        </x:is>
      </x:c>
      <x:c r="C19" s="149" t="inlineStr">
        <x:is>
          <x:t xml:space="preserve">Nav List</x:t>
        </x:is>
      </x:c>
      <x:c r="D19" s="150" t="inlineStr">
        <x:is>
          <x:t xml:space="preserve">The component-owned protocol covers every Nav List playground scenario.</x:t>
        </x:is>
      </x:c>
      <x:c r="E19" s="149" t="inlineStr">
        <x:is>
          <x:t xml:space="preserve">package</x:t>
        </x:is>
      </x:c>
      <x:c r="F19" s="149" t="inlineStr">
        <x:is>
          <x:t xml:space="preserve">manual</x:t>
        </x:is>
      </x:c>
      <x:c r="G19" s="150" t="inlineStr">
        <x:is>
          <x:t xml:space="preserve">manual-tests/nav-list.md</x:t>
        </x:is>
      </x:c>
      <x:c r="H19" s="149" t="inlineStr">
        <x:is>
          <x:t xml:space="preserve">partial</x:t>
        </x:is>
      </x:c>
      <x:c r="I19" s="149" t="inlineStr">
        <x:is>
          <x:t xml:space="preserve">yes</x:t>
        </x:is>
      </x:c>
      <x:c r="J19" s="167" t="n">
        <x:v>46279.5</x:v>
      </x:c>
      <x:c r="K19" s="150" t="inlineStr">
        <x:is>
          <x:t xml:space="preserve">Screen reader, physical device and actual browser zoom not run.</x:t>
        </x:is>
      </x:c>
      <x:c r="L19" s="149" t="n"/>
      <x:c r="M19" s="149" t="n">
        <x:f>IF(H19="not applicable",IF(K19&lt;&gt;"",1,0),IF(I19="yes",IF(H19="verified",1,0),IF(OR(H19="tested",H19="verified"),1,0)))</x:f>
        <x:v>0</x:v>
      </x:c>
    </x:row>
    <x:row r="20" s="127" customFormat="1" ht="54" customHeight="1">
      <x:c r="A20" s="149" t="inlineStr">
        <x:is>
          <x:t xml:space="preserve">NL-12</x:t>
        </x:is>
      </x:c>
      <x:c r="B20" s="149" t="inlineStr">
        <x:is>
          <x:t xml:space="preserve">Docs</x:t>
        </x:is>
      </x:c>
      <x:c r="C20" s="149" t="inlineStr">
        <x:is>
          <x:t xml:space="preserve">Nav List</x:t>
        </x:is>
      </x:c>
      <x:c r="D20" s="150" t="inlineStr">
        <x:is>
          <x:t xml:space="preserve">Source-backed ownership, anatomy, accessibility, API, CSS, and examples pass the documentation contract.</x:t>
        </x:is>
      </x:c>
      <x:c r="E20" s="149" t="inlineStr">
        <x:is>
          <x:t xml:space="preserve">package</x:t>
        </x:is>
      </x:c>
      <x:c r="F20" s="149" t="inlineStr">
        <x:is>
          <x:t xml:space="preserve">docs</x:t>
        </x:is>
      </x:c>
      <x:c r="G20" s="150" t="inlineStr">
        <x:is>
          <x:t xml:space="preserve">../docs/components/nav-list/README.md</x:t>
        </x:is>
      </x:c>
      <x:c r="H20" s="149" t="inlineStr">
        <x:is>
          <x:t xml:space="preserve">tested</x:t>
        </x:is>
      </x:c>
      <x:c r="I20" s="149" t="inlineStr">
        <x:is>
          <x:t xml:space="preserve">no</x:t>
        </x:is>
      </x:c>
      <x:c r="J20" s="167" t="n">
        <x:v>46279.5</x:v>
      </x:c>
      <x:c r="K20" s="150" t="n"/>
      <x:c r="L20" s="149" t="n"/>
      <x:c r="M20" s="149" t="n">
        <x:f>IF(H20="not applicable",IF(K20&lt;&gt;"",1,0),IF(I20="yes",IF(H20="verified",1,0),IF(OR(H20="tested",H20="verified"),1,0)))</x:f>
        <x:v>1</x:v>
      </x:c>
    </x:row>
    <x:row r="21" s="127" customFormat="1" ht="54" customHeight="1">
      <x:c r="A21" s="149" t="inlineStr">
        <x:is>
          <x:t xml:space="preserve">NL-13</x:t>
        </x:is>
      </x:c>
      <x:c r="B21" s="149" t="inlineStr">
        <x:is>
          <x:t xml:space="preserve">Changelog</x:t>
        </x:is>
      </x:c>
      <x:c r="C21" s="149" t="inlineStr">
        <x:is>
          <x:t xml:space="preserve">Nav List</x:t>
        </x:is>
      </x:c>
      <x:c r="D21" s="150" t="inlineStr">
        <x:is>
          <x:t xml:space="preserve">Nav List owns a public changelog and the package changelog records its addition.</x:t>
        </x:is>
      </x:c>
      <x:c r="E21" s="149" t="inlineStr">
        <x:is>
          <x:t xml:space="preserve">package</x:t>
        </x:is>
      </x:c>
      <x:c r="F21" s="149" t="inlineStr">
        <x:is>
          <x:t xml:space="preserve">docs</x:t>
        </x:is>
      </x:c>
      <x:c r="G21" s="150" t="inlineStr">
        <x:is>
          <x:t xml:space="preserve">../docs/components/nav-list/CHANGELOG.md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67" t="n">
        <x:v>46279.5</x:v>
      </x:c>
      <x:c r="K21" s="150" t="n"/>
      <x:c r="L21" s="149" t="n"/>
      <x:c r="M21" s="149" t="n">
        <x:f>IF(H21="not applicable",IF(K21&lt;&gt;"",1,0),IF(I21="yes",IF(H21="verified",1,0),IF(OR(H21="tested",H21="verified"),1,0)))</x:f>
        <x:v>1</x:v>
      </x:c>
    </x:row>
    <x:row r="22" s="127" customFormat="1" ht="54" customHeight="1">
      <x:c r="A22" s="149" t="inlineStr">
        <x:is>
          <x:t xml:space="preserve">NL-14</x:t>
        </x:is>
      </x:c>
      <x:c r="B22" s="149" t="inlineStr">
        <x:is>
          <x:t xml:space="preserve">Consumer</x:t>
        </x:is>
      </x:c>
      <x:c r="C22" s="149" t="inlineStr">
        <x:is>
          <x:t xml:space="preserve">Nav List</x:t>
        </x:is>
      </x:c>
      <x:c r="D22" s="150" t="inlineStr">
        <x:is>
          <x:t xml:space="preserve">The packed Consumer proves the public subpath in realistic workspace navigation.</x:t>
        </x:is>
      </x:c>
      <x:c r="E22" s="149" t="inlineStr">
        <x:is>
          <x:t xml:space="preserve">consumer</x:t>
        </x:is>
      </x:c>
      <x:c r="F22" s="149" t="inlineStr">
        <x:is>
          <x:t xml:space="preserve">consumer</x:t>
        </x:is>
      </x:c>
      <x:c r="G22" s="150" t="inlineStr">
        <x:is>
          <x:t xml:space="preserve">../apps/consumer/src/App.tsx; ../apps/consumer/tests/consumer.spec.ts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67" t="n">
        <x:v>46279.5</x:v>
      </x:c>
      <x:c r="K22" s="150" t="inlineStr">
        <x:is>
          <x:t xml:space="preserve">Packed application Consumer passed with the digest-locked local Atom candidate.</x:t>
        </x:is>
      </x:c>
      <x:c r="L22" s="149" t="n"/>
      <x:c r="M22" s="149" t="n">
        <x:f>IF(H22="not applicable",IF(K22&lt;&gt;"",1,0),IF(I22="yes",IF(H22="verified",1,0),IF(OR(H22="tested",H22="verified"),1,0)))</x:f>
        <x:v>1</x:v>
      </x:c>
    </x:row>
    <x:row r="23" s="127" customFormat="1" ht="54" customHeight="1">
      <x:c r="A23" s="149" t="inlineStr">
        <x:is>
          <x:t xml:space="preserve">NL-15</x:t>
        </x:is>
      </x:c>
      <x:c r="B23" s="149" t="inlineStr">
        <x:is>
          <x:t xml:space="preserve">Playground</x:t>
        </x:is>
      </x:c>
      <x:c r="C23" s="149" t="inlineStr">
        <x:is>
          <x:t xml:space="preserve">Nav List</x:t>
        </x:is>
      </x:c>
      <x:c r="D23" s="150" t="inlineStr">
        <x:is>
          <x:t xml:space="preserve">The route covers all approved scenarios and the shell adopts public Nav List anatomy.</x:t>
        </x:is>
      </x:c>
      <x:c r="E23" s="149" t="inlineStr">
        <x:is>
          <x:t xml:space="preserve">package</x:t>
        </x:is>
      </x:c>
      <x:c r="F23" s="149" t="inlineStr">
        <x:is>
          <x:t xml:space="preserve">browser</x:t>
        </x:is>
      </x:c>
      <x:c r="G23" s="150" t="inlineStr">
        <x:is>
          <x:t xml:space="preserve">src/components/nav-list/NavListPage.tsx; ../scripts/verify-playground-nav-list.mjs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67" t="n">
        <x:v>46279.5</x:v>
      </x:c>
      <x:c r="K23" s="150" t="n"/>
      <x:c r="L23" s="149" t="n"/>
      <x:c r="M23" s="149" t="n">
        <x:f>IF(H23="not applicable",IF(K23&lt;&gt;"",1,0),IF(I23="yes",IF(H23="verified",1,0),IF(OR(H23="tested",H23="verified"),1,0)))</x:f>
        <x:v>1</x:v>
      </x:c>
    </x:row>
    <x:row r="24" s="127" customFormat="1" ht="54" customHeight="1">
      <x:c r="A24" s="149" t="inlineStr">
        <x:is>
          <x:t xml:space="preserve">NL-16</x:t>
        </x:is>
      </x:c>
      <x:c r="B24" s="149" t="inlineStr">
        <x:is>
          <x:t xml:space="preserve">Package</x:t>
        </x:is>
      </x:c>
      <x:c r="C24" s="149" t="inlineStr">
        <x:is>
          <x:t xml:space="preserve">Nav List</x:t>
        </x:is>
      </x:c>
      <x:c r="D24" s="150" t="inlineStr">
        <x:is>
          <x:t xml:space="preserve">Build, SSR, exports, CSS, Atom dependency, tarball, consumers, browser matrix, and adoption pass.</x:t>
        </x:is>
      </x:c>
      <x:c r="E24" s="149" t="inlineStr">
        <x:is>
          <x:t xml:space="preserve">package</x:t>
        </x:is>
      </x:c>
      <x:c r="F24" s="149" t="inlineStr">
        <x:is>
          <x:t xml:space="preserve">package</x:t>
        </x:is>
      </x:c>
      <x:c r="G24" s="150" t="inlineStr">
        <x:is>
          <x:t xml:space="preserve">../test/package; ../scripts/verify-consumers.mjs</x:t>
        </x:is>
      </x:c>
      <x:c r="H24" s="149" t="inlineStr">
        <x:is>
          <x:t xml:space="preserve">partial</x:t>
        </x:is>
      </x:c>
      <x:c r="I24" s="149" t="inlineStr">
        <x:is>
          <x:t xml:space="preserve">no</x:t>
        </x:is>
      </x:c>
      <x:c r="J24" s="167" t="n">
        <x:v>46279.5</x:v>
      </x:c>
      <x:c r="K24" s="150" t="inlineStr">
        <x:is>
          <x:t xml:space="preserve">Local Atom candidate; no published dependency or full release qualification.</x:t>
        </x:is>
      </x:c>
      <x:c r="L24" s="149" t="n"/>
      <x:c r="M24" s="149" t="n">
        <x:f>IF(H24="not applicable",IF(K24&lt;&gt;"",1,0),IF(I24="yes",IF(H24="verified",1,0),IF(OR(H24="tested",H24="verified"),1,0)))</x:f>
        <x:v>0</x:v>
      </x:c>
    </x:row>
    <x:row r="25" s="127" customFormat="1" ht="54" customHeight="1">
      <x:c r="A25" s="149" t="n"/>
      <x:c r="B25" s="149" t="n"/>
      <x:c r="C25" s="149" t="n"/>
      <x:c r="D25" s="150" t="n"/>
      <x:c r="E25" s="149" t="n"/>
      <x:c r="F25" s="149" t="n"/>
      <x:c r="G25" s="150" t="n"/>
      <x:c r="H25" s="149" t="n"/>
      <x:c r="I25" s="149" t="n"/>
      <x:c r="J25" s="151" t="n"/>
      <x:c r="K25" s="150" t="n"/>
      <x:c r="L25" s="149" t="n"/>
      <x:c r="M25" s="149" t="n"/>
    </x:row>
  </x:sheetData>
  <x:mergeCells>
    <x:mergeCell ref="A2:M2"/>
    <x:mergeCell ref="A1:M1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Sidebar Evidence</x:t>
        </x:is>
      </x:c>
    </x:row>
    <x:row r="2" s="127" customFormat="1" ht="27.75" customHeight="1">
      <x:c r="A2" s="129" t="inlineStr">
        <x:is>
          <x:t xml:space="preserve">Assertion-level Atom anatomy, app-shell geometry, recipes, states, browser, human-review, documentation, Consumer, and adoption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COUNTA(A9:A25)</x:f>
        <x:v>16</x:v>
      </x:c>
      <x:c r="D4" s="130" t="inlineStr">
        <x:is>
          <x:t xml:space="preserve">Resolved</x:t>
        </x:is>
      </x:c>
      <x:c r="E4" s="131" t="n">
        <x:f>SUM(M9:M25)</x:f>
        <x:v>12</x:v>
      </x:c>
      <x:c r="G4" s="130" t="inlineStr">
        <x:is>
          <x:t xml:space="preserve">Completion</x:t>
        </x:is>
      </x:c>
      <x:c r="H4" s="132" t="n">
        <x:f>IF(B4=0,0,E4/B4)</x:f>
        <x:v>0.75</x:v>
      </x:c>
      <x:c r="J4" s="130" t="inlineStr">
        <x:is>
          <x:t xml:space="preserve">Package gate</x:t>
        </x:is>
      </x:c>
      <x:c r="K4" s="131" t="str">
        <x:f>IF(COUNTIFS(E9:E25,"package",M9:M25,0)&gt;0,"open","complete")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IF(COUNTIFS(I9:I25,"yes",M9:M25,0)&gt;0,"open","complete")</x:f>
        <x:v>open</x:v>
      </x:c>
      <x:c r="D5" s="130" t="inlineStr">
        <x:is>
          <x:t xml:space="preserve">Consumer gate</x:t>
        </x:is>
      </x:c>
      <x:c r="E5" s="131" t="str">
        <x:f>IF(COUNTIFS(E9:E25,"consumer",M9:M25,0)&gt;0,"open","complete")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SB-01</x:t>
        </x:is>
      </x:c>
      <x:c r="B9" s="149" t="inlineStr">
        <x:is>
          <x:t xml:space="preserve">Implementation</x:t>
        </x:is>
      </x:c>
      <x:c r="C9" s="149" t="inlineStr">
        <x:is>
          <x:t xml:space="preserve">Seven parts</x:t>
        </x:is>
      </x:c>
      <x:c r="D9" s="150" t="inlineStr">
        <x:is>
          <x:t xml:space="preserve">Root, Trigger, Panel, Header, Content, Footer, and Main compose with exact Atom and Brick ownership.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../src/components/sidebar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/>
      <x:c r="K9" s="150" t="n"/>
      <x:c r="L9" s="149" t="n">
        <x:v>1</x:v>
      </x:c>
      <x:c r="M9" s="149" t="n">
        <x:f>IF(OR(H9="not started",H9="partial",H9="implemented"),0,1)</x:f>
        <x:v>1</x:v>
      </x:c>
    </x:row>
    <x:row r="10" s="127" customFormat="1" ht="54" customHeight="1">
      <x:c r="A10" s="149" t="inlineStr">
        <x:is>
          <x:t xml:space="preserve">SB-02</x:t>
        </x:is>
      </x:c>
      <x:c r="B10" s="149" t="inlineStr">
        <x:is>
          <x:t xml:space="preserve">State</x:t>
        </x:is>
      </x:c>
      <x:c r="C10" s="149" t="inlineStr">
        <x:is>
          <x:t xml:space="preserve">Root</x:t>
        </x:is>
      </x:c>
      <x:c r="D10" s="150" t="inlineStr">
        <x:is>
          <x:t xml:space="preserve">Controlled state, disabled controls and public rail context pass against the qualified local Atom candidate.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../test/components/sidebar/sidebar.test.tsx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46279</x:v>
      </x:c>
      <x:c r="K10" s="150" t="n"/>
      <x:c r="L10" s="149" t="n">
        <x:v>1</x:v>
      </x:c>
      <x:c r="M10" s="149" t="n">
        <x:f>IF(OR(H10="not started",H10="partial",H10="implemented"),0,1)</x:f>
        <x:v>1</x:v>
      </x:c>
    </x:row>
    <x:row r="11" s="127" customFormat="1" ht="54" customHeight="1">
      <x:c r="A11" s="149" t="inlineStr">
        <x:is>
          <x:t xml:space="preserve">SB-03</x:t>
        </x:is>
      </x:c>
      <x:c r="B11" s="149" t="inlineStr">
        <x:is>
          <x:t xml:space="preserve">Recipes</x:t>
        </x:is>
      </x:c>
      <x:c r="C11" s="149" t="inlineStr">
        <x:is>
          <x:t xml:space="preserve">Root and Panel</x:t>
        </x:is>
      </x:c>
      <x:c r="D11" s="150" t="inlineStr">
        <x:is>
          <x:t xml:space="preserve">Direct-trigger panel/main geometry, physical sides, RTL and zero floating offcanvas gap pass in three browser engines.</x:t>
        </x:is>
      </x:c>
      <x:c r="E11" s="149" t="inlineStr">
        <x:is>
          <x:t xml:space="preserve">package</x:t>
        </x:is>
      </x:c>
      <x:c r="F11" s="149" t="inlineStr">
        <x:is>
          <x:t xml:space="preserve">browser</x:t>
        </x:is>
      </x:c>
      <x:c r="G11" s="150" t="inlineStr">
        <x:is>
          <x:t xml:space="preserve">tests/components/sidebar/behavior.spec.ts; tests/components/sidebar/docs.spec.ts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46279</x:v>
      </x:c>
      <x:c r="K11" s="150" t="n"/>
      <x:c r="L11" s="149" t="n">
        <x:v>1</x:v>
      </x:c>
      <x:c r="M11" s="149" t="n">
        <x:f>IF(OR(H11="not started",H11="partial",H11="implemented"),0,1)</x:f>
        <x:v>1</x:v>
      </x:c>
    </x:row>
    <x:row r="12" s="127" customFormat="1" ht="54" customHeight="1">
      <x:c r="A12" s="149" t="inlineStr">
        <x:is>
          <x:t xml:space="preserve">SB-04</x:t>
        </x:is>
      </x:c>
      <x:c r="B12" s="149" t="inlineStr">
        <x:is>
          <x:t xml:space="preserve">Accessibility</x:t>
        </x:is>
      </x:c>
      <x:c r="C12" s="149" t="inlineStr">
        <x:is>
          <x:t xml:space="preserve">Trigger and Panel</x:t>
        </x:is>
      </x:c>
      <x:c r="D12" s="150" t="inlineStr">
        <x:is>
          <x:t xml:space="preserve">Generated relationships, native activation, disabled state, inert offcanvas content, landmarks, and rail names pass.</x:t>
        </x:is>
      </x:c>
      <x:c r="E12" s="149" t="inlineStr">
        <x:is>
          <x:t xml:space="preserve">package</x:t>
        </x:is>
      </x:c>
      <x:c r="F12" s="149" t="inlineStr">
        <x:is>
          <x:t xml:space="preserve">browser</x:t>
        </x:is>
      </x:c>
      <x:c r="G12" s="150" t="inlineStr">
        <x:is>
          <x:t xml:space="preserve">../playground/tests/components/sidebar/behavior.spec.ts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/>
      <x:c r="K12" s="150" t="n"/>
      <x:c r="L12" s="149" t="n">
        <x:v>1</x:v>
      </x:c>
      <x:c r="M12" s="149" t="n">
        <x:f>IF(OR(H12="not started",H12="partial",H12="implemented"),0,1)</x:f>
        <x:v>1</x:v>
      </x:c>
    </x:row>
    <x:row r="13" s="127" customFormat="1" ht="54" customHeight="1">
      <x:c r="A13" s="149" t="inlineStr">
        <x:is>
          <x:t xml:space="preserve">SB-05</x:t>
        </x:is>
      </x:c>
      <x:c r="B13" s="149" t="inlineStr">
        <x:is>
          <x:t xml:space="preserve">Composition</x:t>
        </x:is>
      </x:c>
      <x:c r="C13" s="149" t="inlineStr">
        <x:is>
          <x:t xml:space="preserve">All parts</x:t>
        </x:is>
      </x:c>
      <x:c r="D13" s="150" t="inlineStr">
        <x:is>
          <x:t xml:space="preserve">Region composition preserves child handlers and React 19 ref cleanup.</x:t>
        </x:is>
      </x:c>
      <x:c r="E13" s="149" t="inlineStr">
        <x:is>
          <x:t xml:space="preserve">package</x:t>
        </x:is>
      </x:c>
      <x:c r="F13" s="149" t="inlineStr">
        <x:is>
          <x:t xml:space="preserve">component</x:t>
        </x:is>
      </x:c>
      <x:c r="G13" s="150" t="inlineStr">
        <x:is>
          <x:t xml:space="preserve">../test/components/sidebar/sidebar.test.tsx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46279</x:v>
      </x:c>
      <x:c r="K13" s="150" t="n"/>
      <x:c r="L13" s="149" t="n">
        <x:v>1</x:v>
      </x:c>
      <x:c r="M13" s="149" t="n">
        <x:f>IF(OR(H13="not started",H13="partial",H13="implemented"),0,1)</x:f>
        <x:v>1</x:v>
      </x:c>
    </x:row>
    <x:row r="14" s="127" customFormat="1" ht="54" customHeight="1">
      <x:c r="A14" s="149" t="inlineStr">
        <x:is>
          <x:t xml:space="preserve">SB-06</x:t>
        </x:is>
      </x:c>
      <x:c r="B14" s="149" t="inlineStr">
        <x:is>
          <x:t xml:space="preserve">Exports</x:t>
        </x:is>
      </x:c>
      <x:c r="C14" s="149" t="inlineStr">
        <x:is>
          <x:t xml:space="preserve">Sidebar</x:t>
        </x:is>
      </x:c>
      <x:c r="D14" s="150" t="inlineStr">
        <x:is>
          <x:t xml:space="preserve">Root and Sidebar subpath exports expose runtime and public types.</x:t>
        </x:is>
      </x:c>
      <x:c r="E14" s="149" t="inlineStr">
        <x:is>
          <x:t xml:space="preserve">package</x:t>
        </x:is>
      </x:c>
      <x:c r="F14" s="149" t="inlineStr">
        <x:is>
          <x:t xml:space="preserve">package</x:t>
        </x:is>
      </x:c>
      <x:c r="G14" s="150" t="inlineStr">
        <x:is>
          <x:t xml:space="preserve">../test/package/package.test.mjs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/>
      <x:c r="K14" s="150" t="n"/>
      <x:c r="L14" s="149" t="n">
        <x:v>1</x:v>
      </x:c>
      <x:c r="M14" s="149" t="n">
        <x:f>IF(OR(H14="not started",H14="partial",H14="implemented"),0,1)</x:f>
        <x:v>1</x:v>
      </x:c>
    </x:row>
    <x:row r="15" s="127" customFormat="1" ht="54" customHeight="1">
      <x:c r="A15" s="149" t="inlineStr">
        <x:is>
          <x:t xml:space="preserve">SB-07</x:t>
        </x:is>
      </x:c>
      <x:c r="B15" s="149" t="inlineStr">
        <x:is>
          <x:t xml:space="preserve">Types</x:t>
        </x:is>
      </x:c>
      <x:c r="C15" s="149" t="inlineStr">
        <x:is>
          <x:t xml:space="preserve">Sidebar</x:t>
        </x:is>
      </x:c>
      <x:c r="D15" s="150" t="inlineStr">
        <x:is>
          <x:t xml:space="preserve">Recipes, Atom props, refs, composition, and Root size collision type-check.</x:t>
        </x:is>
      </x:c>
      <x:c r="E15" s="149" t="inlineStr">
        <x:is>
          <x:t xml:space="preserve">package</x:t>
        </x:is>
      </x:c>
      <x:c r="F15" s="149" t="inlineStr">
        <x:is>
          <x:t xml:space="preserve">types</x:t>
        </x:is>
      </x:c>
      <x:c r="G15" s="150" t="inlineStr">
        <x:is>
          <x:t xml:space="preserve">../test/types/components/sidebar.test.ts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/>
      <x:c r="K15" s="150" t="n"/>
      <x:c r="L15" s="149" t="n">
        <x:v>1</x:v>
      </x:c>
      <x:c r="M15" s="149" t="n">
        <x:f>IF(OR(H15="not started",H15="partial",H15="implemented"),0,1)</x:f>
        <x:v>1</x:v>
      </x:c>
    </x:row>
    <x:row r="16" s="127" customFormat="1" ht="54" customHeight="1">
      <x:c r="A16" s="149" t="inlineStr">
        <x:is>
          <x:t xml:space="preserve">SB-08</x:t>
        </x:is>
      </x:c>
      <x:c r="B16" s="149" t="inlineStr">
        <x:is>
          <x:t xml:space="preserve">CSS</x:t>
        </x:is>
      </x:c>
      <x:c r="C16" s="149" t="inlineStr">
        <x:is>
          <x:t xml:space="preserve">Sidebar</x:t>
        </x:is>
      </x:c>
      <x:c r="D16" s="150" t="inlineStr">
        <x:is>
          <x:t xml:space="preserve">Static CSS ships state/side geometry, regions, focus, motion preferences, forced colors, and public variables.</x:t>
        </x:is>
      </x:c>
      <x:c r="E16" s="149" t="inlineStr">
        <x:is>
          <x:t xml:space="preserve">package</x:t>
        </x:is>
      </x:c>
      <x:c r="F16" s="149" t="inlineStr">
        <x:is>
          <x:t xml:space="preserve">css</x:t>
        </x:is>
      </x:c>
      <x:c r="G16" s="150" t="inlineStr">
        <x:is>
          <x:t xml:space="preserve">../src/components/sidebar/sidebar.css</x:t>
        </x:is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n"/>
      <x:c r="K16" s="150" t="n"/>
      <x:c r="L16" s="149" t="n">
        <x:v>1</x:v>
      </x:c>
      <x:c r="M16" s="149" t="n">
        <x:f>IF(OR(H16="not started",H16="partial",H16="implemented"),0,1)</x:f>
        <x:v>1</x:v>
      </x:c>
    </x:row>
    <x:row r="17" s="127" customFormat="1" ht="54" customHeight="1">
      <x:c r="A17" s="149" t="inlineStr">
        <x:is>
          <x:t xml:space="preserve">SB-09</x:t>
        </x:is>
      </x:c>
      <x:c r="B17" s="149" t="inlineStr">
        <x:is>
          <x:t xml:space="preserve">Visual</x:t>
        </x:is>
      </x:c>
      <x:c r="C17" s="149" t="inlineStr">
        <x:is>
          <x:t xml:space="preserve">Sidebar</x:t>
        </x:is>
      </x:c>
      <x:c r="D17" s="150" t="inlineStr">
        <x:is>
          <x:t xml:space="preserve">Defaults, states, variants, sizes, placement, regions, behavior, appearance, stress, and forced colors own reviewed baselines.</x:t>
        </x:is>
      </x:c>
      <x:c r="E17" s="149" t="inlineStr">
        <x:is>
          <x:t xml:space="preserve">package</x:t>
        </x:is>
      </x:c>
      <x:c r="F17" s="149" t="inlineStr">
        <x:is>
          <x:t xml:space="preserve">visual</x:t>
        </x:is>
      </x:c>
      <x:c r="G17" s="150" t="inlineStr">
        <x:is>
          <x:t xml:space="preserve">../playground/tests/components/sidebar/visual.spec.ts</x:t>
        </x:is>
      </x:c>
      <x:c r="H17" s="149" t="inlineStr">
        <x:is>
          <x:t xml:space="preserve">implemented</x:t>
        </x:is>
      </x:c>
      <x:c r="I17" s="149" t="inlineStr">
        <x:is>
          <x:t xml:space="preserve">yes</x:t>
        </x:is>
      </x:c>
      <x:c r="J17" s="151" t="n"/>
      <x:c r="K17" s="150" t="inlineStr">
        <x:is>
          <x:t xml:space="preserve">Human run pending.</x:t>
        </x:is>
      </x:c>
      <x:c r="L17" s="149" t="n">
        <x:v>1</x:v>
      </x:c>
      <x:c r="M17" s="149" t="n">
        <x:f>IF(OR(H17="not started",H17="partial",H17="implemented"),0,1)</x:f>
        <x:v>0</x:v>
      </x:c>
    </x:row>
    <x:row r="18" s="127" customFormat="1" ht="54" customHeight="1">
      <x:c r="A18" s="149" t="inlineStr">
        <x:is>
          <x:t xml:space="preserve">SB-10</x:t>
        </x:is>
      </x:c>
      <x:c r="B18" s="149" t="inlineStr">
        <x:is>
          <x:t xml:space="preserve">Responsive</x:t>
        </x:is>
      </x:c>
      <x:c r="C18" s="149" t="inlineStr">
        <x:is>
          <x:t xml:space="preserve">Sidebar</x:t>
        </x:is>
      </x:c>
      <x:c r="D18" s="150" t="inlineStr">
        <x:is>
          <x:t xml:space="preserve">Main containment, zero offcanvas track, right placement, sticky height, narrow floating, low height, zoom, and reduced motion remain usable.</x:t>
        </x:is>
      </x:c>
      <x:c r="E18" s="149" t="inlineStr">
        <x:is>
          <x:t xml:space="preserve">package</x:t>
        </x:is>
      </x:c>
      <x:c r="F18" s="149" t="inlineStr">
        <x:is>
          <x:t xml:space="preserve">manual</x:t>
        </x:is>
      </x:c>
      <x:c r="G18" s="150" t="inlineStr">
        <x:is>
          <x:t xml:space="preserve">../playground/manual-tests/sidebar.md</x:t>
        </x:is>
      </x:c>
      <x:c r="H18" s="149" t="inlineStr">
        <x:is>
          <x:t xml:space="preserve">implemented</x:t>
        </x:is>
      </x:c>
      <x:c r="I18" s="149" t="inlineStr">
        <x:is>
          <x:t xml:space="preserve">yes</x:t>
        </x:is>
      </x:c>
      <x:c r="J18" s="151" t="n"/>
      <x:c r="K18" s="150" t="inlineStr">
        <x:is>
          <x:t xml:space="preserve">Human run pending.</x:t>
        </x:is>
      </x:c>
      <x:c r="L18" s="149" t="n">
        <x:v>1</x:v>
      </x:c>
      <x:c r="M18" s="149" t="n">
        <x:f>IF(OR(H18="not started",H18="partial",H18="implemented"),0,1)</x:f>
        <x:v>0</x:v>
      </x:c>
    </x:row>
    <x:row r="19" s="127" customFormat="1" ht="54" customHeight="1">
      <x:c r="A19" s="149" t="inlineStr">
        <x:is>
          <x:t xml:space="preserve">SB-11</x:t>
        </x:is>
      </x:c>
      <x:c r="B19" s="149" t="inlineStr">
        <x:is>
          <x:t xml:space="preserve">Manual</x:t>
        </x:is>
      </x:c>
      <x:c r="C19" s="149" t="inlineStr">
        <x:is>
          <x:t xml:space="preserve">Sidebar</x:t>
        </x:is>
      </x:c>
      <x:c r="D19" s="150" t="inlineStr">
        <x:is>
          <x:t xml:space="preserve">The component-owned protocol covers every Sidebar playground scenario.</x:t>
        </x:is>
      </x:c>
      <x:c r="E19" s="149" t="inlineStr">
        <x:is>
          <x:t xml:space="preserve">package</x:t>
        </x:is>
      </x:c>
      <x:c r="F19" s="149" t="inlineStr">
        <x:is>
          <x:t xml:space="preserve">manual</x:t>
        </x:is>
      </x:c>
      <x:c r="G19" s="150" t="inlineStr">
        <x:is>
          <x:t xml:space="preserve">../playground/manual-tests/sidebar.md</x:t>
        </x:is>
      </x:c>
      <x:c r="H19" s="149" t="inlineStr">
        <x:is>
          <x:t xml:space="preserve">implemented</x:t>
        </x:is>
      </x:c>
      <x:c r="I19" s="149" t="inlineStr">
        <x:is>
          <x:t xml:space="preserve">yes</x:t>
        </x:is>
      </x:c>
      <x:c r="J19" s="151" t="n"/>
      <x:c r="K19" s="150" t="inlineStr">
        <x:is>
          <x:t xml:space="preserve">Human run pending.</x:t>
        </x:is>
      </x:c>
      <x:c r="L19" s="149" t="n">
        <x:v>1</x:v>
      </x:c>
      <x:c r="M19" s="149" t="n">
        <x:f>IF(OR(H19="not started",H19="partial",H19="implemented"),0,1)</x:f>
        <x:v>0</x:v>
      </x:c>
    </x:row>
    <x:row r="20" s="127" customFormat="1" ht="54" customHeight="1">
      <x:c r="A20" s="149" t="inlineStr">
        <x:is>
          <x:t xml:space="preserve">SB-12</x:t>
        </x:is>
      </x:c>
      <x:c r="B20" s="149" t="inlineStr">
        <x:is>
          <x:t xml:space="preserve">Docs</x:t>
        </x:is>
      </x:c>
      <x:c r="C20" s="149" t="inlineStr">
        <x:is>
          <x:t xml:space="preserve">Sidebar</x:t>
        </x:is>
      </x:c>
      <x:c r="D20" s="150" t="inlineStr">
        <x:is>
          <x:t xml:space="preserve">Source-backed ownership, anatomy, states, recipes, Drawer boundary, accessibility, API, and tokens pass.</x:t>
        </x:is>
      </x:c>
      <x:c r="E20" s="149" t="inlineStr">
        <x:is>
          <x:t xml:space="preserve">package</x:t>
        </x:is>
      </x:c>
      <x:c r="F20" s="149" t="inlineStr">
        <x:is>
          <x:t xml:space="preserve">docs</x:t>
        </x:is>
      </x:c>
      <x:c r="G20" s="150" t="inlineStr">
        <x:is>
          <x:t xml:space="preserve">../docs/components/sidebar/README.md</x:t>
        </x:is>
      </x:c>
      <x:c r="H20" s="149" t="inlineStr">
        <x:is>
          <x:t xml:space="preserve">tested</x:t>
        </x:is>
      </x:c>
      <x:c r="I20" s="149" t="inlineStr">
        <x:is>
          <x:t xml:space="preserve">no</x:t>
        </x:is>
      </x:c>
      <x:c r="J20" s="151" t="n"/>
      <x:c r="K20" s="150" t="n"/>
      <x:c r="L20" s="149" t="n">
        <x:v>1</x:v>
      </x:c>
      <x:c r="M20" s="149" t="n">
        <x:f>IF(OR(H20="not started",H20="partial",H20="implemented"),0,1)</x:f>
        <x:v>1</x:v>
      </x:c>
    </x:row>
    <x:row r="21" s="127" customFormat="1" ht="54" customHeight="1">
      <x:c r="A21" s="149" t="inlineStr">
        <x:is>
          <x:t xml:space="preserve">SB-13</x:t>
        </x:is>
      </x:c>
      <x:c r="B21" s="149" t="inlineStr">
        <x:is>
          <x:t xml:space="preserve">Changelog</x:t>
        </x:is>
      </x:c>
      <x:c r="C21" s="149" t="inlineStr">
        <x:is>
          <x:t xml:space="preserve">Sidebar</x:t>
        </x:is>
      </x:c>
      <x:c r="D21" s="150" t="inlineStr">
        <x:is>
          <x:t xml:space="preserve">Sidebar owns a public changelog and package changelog entry.</x:t>
        </x:is>
      </x:c>
      <x:c r="E21" s="149" t="inlineStr">
        <x:is>
          <x:t xml:space="preserve">package</x:t>
        </x:is>
      </x:c>
      <x:c r="F21" s="149" t="inlineStr">
        <x:is>
          <x:t xml:space="preserve">docs</x:t>
        </x:is>
      </x:c>
      <x:c r="G21" s="150" t="inlineStr">
        <x:is>
          <x:t xml:space="preserve">../docs/components/sidebar/CHANGELOG.md; ../CHANGELOG.md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/>
      <x:c r="K21" s="150" t="n"/>
      <x:c r="L21" s="149" t="n">
        <x:v>1</x:v>
      </x:c>
      <x:c r="M21" s="149" t="n">
        <x:f>IF(OR(H21="not started",H21="partial",H21="implemented"),0,1)</x:f>
        <x:v>1</x:v>
      </x:c>
    </x:row>
    <x:row r="22" s="127" customFormat="1" ht="54" customHeight="1">
      <x:c r="A22" s="149" t="inlineStr">
        <x:is>
          <x:t xml:space="preserve">SB-14</x:t>
        </x:is>
      </x:c>
      <x:c r="B22" s="149" t="inlineStr">
        <x:is>
          <x:t xml:space="preserve">Consumer</x:t>
        </x:is>
      </x:c>
      <x:c r="C22" s="149" t="inlineStr">
        <x:is>
          <x:t xml:space="preserve">Sidebar</x:t>
        </x:is>
      </x:c>
      <x:c r="D22" s="150" t="inlineStr">
        <x:is>
          <x:t xml:space="preserve">The packed Consumer proves public Sidebar with Nav List and an external Trigger.</x:t>
        </x:is>
      </x:c>
      <x:c r="E22" s="149" t="inlineStr">
        <x:is>
          <x:t xml:space="preserve">consumer</x:t>
        </x:is>
      </x:c>
      <x:c r="F22" s="149" t="inlineStr">
        <x:is>
          <x:t xml:space="preserve">consumer</x:t>
        </x:is>
      </x:c>
      <x:c r="G22" s="150" t="inlineStr">
        <x:is>
          <x:t xml:space="preserve">../apps/consumer/src/App.tsx; ../apps/consumer/tests/consumer.spec.ts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/>
      <x:c r="K22" s="150" t="n"/>
      <x:c r="L22" s="149" t="n">
        <x:v>1</x:v>
      </x:c>
      <x:c r="M22" s="149" t="n">
        <x:f>IF(OR(H22="not started",H22="partial",H22="implemented"),0,1)</x:f>
        <x:v>1</x:v>
      </x:c>
    </x:row>
    <x:row r="23" s="127" customFormat="1" ht="54" customHeight="1">
      <x:c r="A23" s="149" t="inlineStr">
        <x:is>
          <x:t xml:space="preserve">SB-15</x:t>
        </x:is>
      </x:c>
      <x:c r="B23" s="149" t="inlineStr">
        <x:is>
          <x:t xml:space="preserve">Playground</x:t>
        </x:is>
      </x:c>
      <x:c r="C23" s="149" t="inlineStr">
        <x:is>
          <x:t xml:space="preserve">Adoption</x:t>
        </x:is>
      </x:c>
      <x:c r="D23" s="150" t="inlineStr">
        <x:is>
          <x:t xml:space="preserve">The route covers all scenarios and desktop shell adopts Sidebar while mobile Drawer policy remains application-owned.</x:t>
        </x:is>
      </x:c>
      <x:c r="E23" s="149" t="inlineStr">
        <x:is>
          <x:t xml:space="preserve">package</x:t>
        </x:is>
      </x:c>
      <x:c r="F23" s="149" t="inlineStr">
        <x:is>
          <x:t xml:space="preserve">adoption</x:t>
        </x:is>
      </x:c>
      <x:c r="G23" s="150" t="inlineStr">
        <x:is>
          <x:t xml:space="preserve">../scripts/verify-playground-sidebar.mjs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/>
      <x:c r="K23" s="150" t="n"/>
      <x:c r="L23" s="149" t="n">
        <x:v>1</x:v>
      </x:c>
      <x:c r="M23" s="149" t="n">
        <x:f>IF(OR(H23="not started",H23="partial",H23="implemented"),0,1)</x:f>
        <x:v>1</x:v>
      </x:c>
    </x:row>
    <x:row r="24" s="127" customFormat="1" ht="54" customHeight="1">
      <x:c r="A24" s="149" t="inlineStr">
        <x:is>
          <x:t xml:space="preserve">SB-16</x:t>
        </x:is>
      </x:c>
      <x:c r="B24" s="149" t="inlineStr">
        <x:is>
          <x:t xml:space="preserve">Package</x:t>
        </x:is>
      </x:c>
      <x:c r="C24" s="149" t="inlineStr">
        <x:is>
          <x:t xml:space="preserve">Sidebar</x:t>
        </x:is>
      </x:c>
      <x:c r="D24" s="150" t="inlineStr">
        <x:is>
          <x:t xml:space="preserve">Build, SSR, exports, CSS, Atom dependency, tarball, consumers, browser matrix, and adoption pass.</x:t>
        </x:is>
      </x:c>
      <x:c r="E24" s="149" t="inlineStr">
        <x:is>
          <x:t xml:space="preserve">package</x:t>
        </x:is>
      </x:c>
      <x:c r="F24" s="149" t="inlineStr">
        <x:is>
          <x:t xml:space="preserve">package</x:t>
        </x:is>
      </x:c>
      <x:c r="G24" s="150" t="inlineStr">
        <x:is>
          <x:t xml:space="preserve">../test/package/package.test.mjs; ../test/package/ssr.test.mjs</x:t>
        </x:is>
      </x:c>
      <x:c r="H24" s="149" t="inlineStr">
        <x:is>
          <x:t xml:space="preserve">partial</x:t>
        </x:is>
      </x:c>
      <x:c r="I24" s="149" t="inlineStr">
        <x:is>
          <x:t xml:space="preserve">no</x:t>
        </x:is>
      </x:c>
      <x:c r="J24" s="151" t="n"/>
      <x:c r="K24" s="150" t="inlineStr">
        <x:is>
          <x:t xml:space="preserve">Focused automated checks pass. Final package and manual gates are not complete.</x:t>
        </x:is>
      </x:c>
      <x:c r="L24" s="149" t="n">
        <x:v>1</x:v>
      </x:c>
      <x:c r="M24" s="149" t="n">
        <x:f>IF(OR(H24="not started",H24="partial",H24="implemented"),0,1)</x:f>
        <x:v>0</x:v>
      </x:c>
    </x:row>
    <x:row r="25" s="127" customFormat="1" ht="54" customHeight="1">
      <x:c r="A25" s="149" t="n"/>
      <x:c r="B25" s="149" t="n"/>
      <x:c r="C25" s="149" t="n"/>
      <x:c r="D25" s="150" t="n"/>
      <x:c r="E25" s="149" t="n"/>
      <x:c r="F25" s="149" t="n"/>
      <x:c r="G25" s="150" t="n"/>
      <x:c r="H25" s="149" t="n"/>
      <x:c r="I25" s="149" t="n"/>
      <x:c r="J25" s="151" t="n"/>
      <x:c r="K25" s="150" t="n"/>
      <x:c r="L25" s="149" t="n"/>
      <x:c r="M25" s="149" t="n"/>
    </x:row>
  </x:sheetData>
  <x:mergeCells>
    <x:mergeCell ref="A2:M2"/>
    <x:mergeCell ref="A1:M1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Icon Evidence</x:t>
        </x:is>
      </x:c>
    </x:row>
    <x:row r="2" s="127" customFormat="1" ht="27.75" customHeight="1">
      <x:c r="A2" s="129" t="inlineStr">
        <x:is>
          <x:t xml:space="preserve">Assertion-level SVG presentation, accessibility, recipes, browser, human-review, documentation, Consumer, and scoped adoption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COUNTA(A9:A32)</x:f>
        <x:v>24</x:v>
      </x:c>
      <x:c r="D4" s="130" t="inlineStr">
        <x:is>
          <x:t xml:space="preserve">Resolved</x:t>
        </x:is>
      </x:c>
      <x:c r="E4" s="131" t="n">
        <x:f>SUM(M9:M32)</x:f>
        <x:v>20</x:v>
      </x:c>
      <x:c r="G4" s="130" t="inlineStr">
        <x:is>
          <x:t xml:space="preserve">Completion</x:t>
        </x:is>
      </x:c>
      <x:c r="H4" s="132" t="n">
        <x:f>IF(B4=0,0,E4/B4)</x:f>
        <x:v>0.8333333333333334</x:v>
      </x:c>
      <x:c r="J4" s="130" t="inlineStr">
        <x:is>
          <x:t xml:space="preserve">Package gate</x:t>
        </x:is>
      </x:c>
      <x:c r="K4" s="131" t="str">
        <x:f>IF(COUNTIFS(E9:E32,"package",M9:M32,0)&gt;0,"open","complete")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IF(COUNTIFS(I9:I32,"yes",M9:M32,0)&gt;0,"open","complete")</x:f>
        <x:v>open</x:v>
      </x:c>
      <x:c r="D5" s="130" t="inlineStr">
        <x:is>
          <x:t xml:space="preserve">Consumer gate</x:t>
        </x:is>
      </x:c>
      <x:c r="E5" s="131" t="str">
        <x:f>IF(COUNTIFS(E9:E32,"consumer",M9:M32,0)&gt;0,"open","complete")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IC-01</x:t>
        </x:is>
      </x:c>
      <x:c r="B9" s="149" t="inlineStr">
        <x:is>
          <x:t xml:space="preserve">Implementation</x:t>
        </x:is>
      </x:c>
      <x:c r="C9" s="149" t="inlineStr">
        <x:is>
          <x:t xml:space="preserve">Icon</x:t>
        </x:is>
      </x:c>
      <x:c r="D9" s="150" t="inlineStr">
        <x:is>
          <x:t xml:space="preserve">Default wrapper and SVG-only asChild composition preserve one source graphic with deterministic props and ref.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../src/components/icon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/>
      <x:c r="K9" s="150" t="n"/>
      <x:c r="L9" s="149" t="n">
        <x:v>1</x:v>
      </x:c>
      <x:c r="M9" s="149" t="n">
        <x:f>IF(H9="not applicable",1,IF(I9="yes",IF(H9="verified",1,0),IF(OR(H9="tested",H9="verified"),1,0)))</x:f>
        <x:v>1</x:v>
      </x:c>
    </x:row>
    <x:row r="10" s="127" customFormat="1" ht="54" customHeight="1">
      <x:c r="A10" s="149" t="inlineStr">
        <x:is>
          <x:t xml:space="preserve">IC-02</x:t>
        </x:is>
      </x:c>
      <x:c r="B10" s="149" t="inlineStr">
        <x:is>
          <x:t xml:space="preserve">Accessibility</x:t>
        </x:is>
      </x:c>
      <x:c r="C10" s="149" t="inlineStr">
        <x:is>
          <x:t xml:space="preserve">Icon</x:t>
        </x:is>
      </x:c>
      <x:c r="D10" s="150" t="inlineStr">
        <x:is>
          <x:t xml:space="preserve">Decorative default, direct label, and label-reference modes emit mutually exclusive native image semantics.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../test/components/icon/icon.test.tsx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/>
      <x:c r="K10" s="150" t="n"/>
      <x:c r="L10" s="149" t="n">
        <x:v>1</x:v>
      </x:c>
      <x:c r="M10" s="149" t="n">
        <x:f>IF(H10="not applicable",1,IF(I10="yes",IF(H10="verified",1,0),IF(OR(H10="tested",H10="verified"),1,0)))</x:f>
        <x:v>1</x:v>
      </x:c>
    </x:row>
    <x:row r="11" s="127" customFormat="1" ht="54" customHeight="1">
      <x:c r="A11" s="149" t="inlineStr">
        <x:is>
          <x:t xml:space="preserve">IC-03</x:t>
        </x:is>
      </x:c>
      <x:c r="B11" s="149" t="inlineStr">
        <x:is>
          <x:t xml:space="preserve">Recipes</x:t>
        </x:is>
      </x:c>
      <x:c r="C11" s="149" t="inlineStr">
        <x:is>
          <x:t xml:space="preserve">Icon</x:t>
        </x:is>
      </x:c>
      <x:c r="D11" s="150" t="inlineStr">
        <x:is>
          <x:t xml:space="preserve">Eight scalar sizes, nine tones, text/solid emphasis and legacy md defaults.</x:t>
        </x:is>
      </x:c>
      <x:c r="E11" s="149" t="inlineStr">
        <x:is>
          <x:t xml:space="preserve">package</x:t>
        </x:is>
      </x:c>
      <x:c r="F11" s="149" t="inlineStr">
        <x:is>
          <x:t xml:space="preserve">browser</x:t>
        </x:is>
      </x:c>
      <x:c r="G11" s="150" t="inlineStr">
        <x:is>
          <x:t xml:space="preserve">../playground/tests/components/icon/behavior.spec.ts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/>
      <x:c r="K11" s="150" t="n"/>
      <x:c r="L11" s="149" t="n">
        <x:v>1</x:v>
      </x:c>
      <x:c r="M11" s="149" t="n">
        <x:f>IF(H11="not applicable",1,IF(I11="yes",IF(H11="verified",1,0),IF(OR(H11="tested",H11="verified"),1,0)))</x:f>
        <x:v>1</x:v>
      </x:c>
    </x:row>
    <x:row r="12" s="127" customFormat="1" ht="54" customHeight="1">
      <x:c r="A12" s="149" t="inlineStr">
        <x:is>
          <x:t xml:space="preserve">IC-04</x:t>
        </x:is>
      </x:c>
      <x:c r="B12" s="149" t="inlineStr">
        <x:is>
          <x:t xml:space="preserve">Direction</x:t>
        </x:is>
      </x:c>
      <x:c r="C12" s="149" t="inlineStr">
        <x:is>
          <x:t xml:space="preserve">Icon</x:t>
        </x:is>
      </x:c>
      <x:c r="D12" s="150" t="inlineStr">
        <x:is>
          <x:t xml:space="preserve">Only directional icons mirror in genuine RTL; non-directional sources retain identity.</x:t>
        </x:is>
      </x:c>
      <x:c r="E12" s="149" t="inlineStr">
        <x:is>
          <x:t xml:space="preserve">package</x:t>
        </x:is>
      </x:c>
      <x:c r="F12" s="149" t="inlineStr">
        <x:is>
          <x:t xml:space="preserve">browser</x:t>
        </x:is>
      </x:c>
      <x:c r="G12" s="150" t="inlineStr">
        <x:is>
          <x:t xml:space="preserve">../playground/tests/components/icon/behavior.spec.ts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/>
      <x:c r="K12" s="150" t="n"/>
      <x:c r="L12" s="149" t="n">
        <x:v>1</x:v>
      </x:c>
      <x:c r="M12" s="149" t="n">
        <x:f>IF(H12="not applicable",1,IF(I12="yes",IF(H12="verified",1,0),IF(OR(H12="tested",H12="verified"),1,0)))</x:f>
        <x:v>1</x:v>
      </x:c>
    </x:row>
    <x:row r="13" s="127" customFormat="1" ht="54" customHeight="1">
      <x:c r="A13" s="149" t="inlineStr">
        <x:is>
          <x:t xml:space="preserve">IC-05</x:t>
        </x:is>
      </x:c>
      <x:c r="B13" s="149" t="inlineStr">
        <x:is>
          <x:t xml:space="preserve">Sources</x:t>
        </x:is>
      </x:c>
      <x:c r="C13" s="149" t="inlineStr">
        <x:is>
          <x:t xml:space="preserve">Graphic</x:t>
        </x:is>
      </x:c>
      <x:c r="D13" s="150" t="inlineStr">
        <x:is>
          <x:t xml:space="preserve">Custom SVG, pinned Lucide, factory paths and fixed multicolor fills retain artwork.</x:t>
        </x:is>
      </x:c>
      <x:c r="E13" s="149" t="inlineStr">
        <x:is>
          <x:t xml:space="preserve">package</x:t>
        </x:is>
      </x:c>
      <x:c r="F13" s="149" t="inlineStr">
        <x:is>
          <x:t xml:space="preserve">browser</x:t>
        </x:is>
      </x:c>
      <x:c r="G13" s="150" t="inlineStr">
        <x:is>
          <x:t xml:space="preserve">tests/components/icon/parity.spec.ts; src/components/icon/examples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/>
      <x:c r="K13" s="150" t="n"/>
      <x:c r="L13" s="149" t="n">
        <x:v>1</x:v>
      </x:c>
      <x:c r="M13" s="149" t="n">
        <x:f>IF(H13="not applicable",1,IF(I13="yes",IF(H13="verified",1,0),IF(OR(H13="tested",H13="verified"),1,0)))</x:f>
        <x:v>1</x:v>
      </x:c>
    </x:row>
    <x:row r="14" s="127" customFormat="1" ht="54" customHeight="1">
      <x:c r="A14" s="149" t="inlineStr">
        <x:is>
          <x:t xml:space="preserve">IC-06</x:t>
        </x:is>
      </x:c>
      <x:c r="B14" s="149" t="inlineStr">
        <x:is>
          <x:t xml:space="preserve">Composition</x:t>
        </x:is>
      </x:c>
      <x:c r="C14" s="149" t="inlineStr">
        <x:is>
          <x:t xml:space="preserve">Icon</x:t>
        </x:is>
      </x:c>
      <x:c r="D14" s="150" t="inlineStr">
        <x:is>
          <x:t xml:space="preserve">Native props, classes, styles, slot override, wrapper-free SVG, and ref composition preserve output.</x:t>
        </x:is>
      </x:c>
      <x:c r="E14" s="149" t="inlineStr">
        <x:is>
          <x:t xml:space="preserve">package</x:t>
        </x:is>
      </x:c>
      <x:c r="F14" s="149" t="inlineStr">
        <x:is>
          <x:t xml:space="preserve">component</x:t>
        </x:is>
      </x:c>
      <x:c r="G14" s="150" t="inlineStr">
        <x:is>
          <x:t xml:space="preserve">../test/components/icon/icon.test.tsx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/>
      <x:c r="K14" s="150" t="n"/>
      <x:c r="L14" s="149" t="n">
        <x:v>1</x:v>
      </x:c>
      <x:c r="M14" s="149" t="n">
        <x:f>IF(H14="not applicable",1,IF(I14="yes",IF(H14="verified",1,0),IF(OR(H14="tested",H14="verified"),1,0)))</x:f>
        <x:v>1</x:v>
      </x:c>
    </x:row>
    <x:row r="15" s="127" customFormat="1" ht="54" customHeight="1">
      <x:c r="A15" s="149" t="inlineStr">
        <x:is>
          <x:t xml:space="preserve">IC-07</x:t>
        </x:is>
      </x:c>
      <x:c r="B15" s="149" t="inlineStr">
        <x:is>
          <x:t xml:space="preserve">Exports</x:t>
        </x:is>
      </x:c>
      <x:c r="C15" s="149" t="inlineStr">
        <x:is>
          <x:t xml:space="preserve">Icon</x:t>
        </x:is>
      </x:c>
      <x:c r="D15" s="150" t="inlineStr">
        <x:is>
          <x:t xml:space="preserve">Root and Icon subpath exports expose runtime and public types.</x:t>
        </x:is>
      </x:c>
      <x:c r="E15" s="149" t="inlineStr">
        <x:is>
          <x:t xml:space="preserve">package</x:t>
        </x:is>
      </x:c>
      <x:c r="F15" s="149" t="inlineStr">
        <x:is>
          <x:t xml:space="preserve">package</x:t>
        </x:is>
      </x:c>
      <x:c r="G15" s="150" t="inlineStr">
        <x:is>
          <x:t xml:space="preserve">../test/package/package.test.mjs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/>
      <x:c r="K15" s="150" t="n"/>
      <x:c r="L15" s="149" t="n">
        <x:v>1</x:v>
      </x:c>
      <x:c r="M15" s="149" t="n">
        <x:f>IF(H15="not applicable",1,IF(I15="yes",IF(H15="verified",1,0),IF(OR(H15="tested",H15="verified"),1,0)))</x:f>
        <x:v>1</x:v>
      </x:c>
    </x:row>
    <x:row r="16" s="127" customFormat="1" ht="54" customHeight="1">
      <x:c r="A16" s="149" t="inlineStr">
        <x:is>
          <x:t xml:space="preserve">IC-08</x:t>
        </x:is>
      </x:c>
      <x:c r="B16" s="149" t="inlineStr">
        <x:is>
          <x:t xml:space="preserve">Types</x:t>
        </x:is>
      </x:c>
      <x:c r="C16" s="149" t="inlineStr">
        <x:is>
          <x:t xml:space="preserve">Icon</x:t>
        </x:is>
      </x:c>
      <x:c r="D16" s="150" t="inlineStr">
        <x:is>
          <x:t xml:space="preserve">Closed recipes and mutually exclusive accessibility modes reject invalid hosts, colors, sizes, and label combinations.</x:t>
        </x:is>
      </x:c>
      <x:c r="E16" s="149" t="inlineStr">
        <x:is>
          <x:t xml:space="preserve">package</x:t>
        </x:is>
      </x:c>
      <x:c r="F16" s="149" t="inlineStr">
        <x:is>
          <x:t xml:space="preserve">types</x:t>
        </x:is>
      </x:c>
      <x:c r="G16" s="150" t="inlineStr">
        <x:is>
          <x:t xml:space="preserve">../test/types/components/icon.test.ts</x:t>
        </x:is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n"/>
      <x:c r="K16" s="150" t="n"/>
      <x:c r="L16" s="149" t="n">
        <x:v>1</x:v>
      </x:c>
      <x:c r="M16" s="149" t="n">
        <x:f>IF(H16="not applicable",1,IF(I16="yes",IF(H16="verified",1,0),IF(OR(H16="tested",H16="verified"),1,0)))</x:f>
        <x:v>1</x:v>
      </x:c>
    </x:row>
    <x:row r="17" s="127" customFormat="1" ht="54" customHeight="1">
      <x:c r="A17" s="149" t="inlineStr">
        <x:is>
          <x:t xml:space="preserve">IC-09</x:t>
        </x:is>
      </x:c>
      <x:c r="B17" s="149" t="inlineStr">
        <x:is>
          <x:t xml:space="preserve">CSS</x:t>
        </x:is>
      </x:c>
      <x:c r="C17" s="149" t="inlineStr">
        <x:is>
          <x:t xml:space="preserve">Icon</x:t>
        </x:is>
      </x:c>
      <x:c r="D17" s="150" t="inlineStr">
        <x:is>
          <x:t xml:space="preserve">Static CSS ships sizing, semantic foregrounds, direction, forced colors, and documented public properties.</x:t>
        </x:is>
      </x:c>
      <x:c r="E17" s="149" t="inlineStr">
        <x:is>
          <x:t xml:space="preserve">package</x:t>
        </x:is>
      </x:c>
      <x:c r="F17" s="149" t="inlineStr">
        <x:is>
          <x:t xml:space="preserve">css</x:t>
        </x:is>
      </x:c>
      <x:c r="G17" s="150" t="inlineStr">
        <x:is>
          <x:t xml:space="preserve">../src/components/icon/icon.css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n"/>
      <x:c r="K17" s="150" t="n"/>
      <x:c r="L17" s="149" t="n">
        <x:v>1</x:v>
      </x:c>
      <x:c r="M17" s="149" t="n">
        <x:f>IF(H17="not applicable",1,IF(I17="yes",IF(H17="verified",1,0),IF(OR(H17="tested",H17="verified"),1,0)))</x:f>
        <x:v>1</x:v>
      </x:c>
    </x:row>
    <x:row r="18" s="127" customFormat="1" ht="54" customHeight="1">
      <x:c r="A18" s="149" t="inlineStr">
        <x:is>
          <x:t xml:space="preserve">IC-10</x:t>
        </x:is>
      </x:c>
      <x:c r="B18" s="149" t="inlineStr">
        <x:is>
          <x:t xml:space="preserve">Visual</x:t>
        </x:is>
      </x:c>
      <x:c r="C18" s="149" t="inlineStr">
        <x:is>
          <x:t xml:space="preserve">Icon</x:t>
        </x:is>
      </x:c>
      <x:c r="D18" s="150" t="inlineStr">
        <x:is>
          <x:t xml:space="preserve">Defaults, sizes, tones, sources, direction, appearance, stress, and forced colors own reviewable baselines.</x:t>
        </x:is>
      </x:c>
      <x:c r="E18" s="149" t="inlineStr">
        <x:is>
          <x:t xml:space="preserve">package</x:t>
        </x:is>
      </x:c>
      <x:c r="F18" s="149" t="inlineStr">
        <x:is>
          <x:t xml:space="preserve">visual</x:t>
        </x:is>
      </x:c>
      <x:c r="G18" s="150" t="inlineStr">
        <x:is>
          <x:t xml:space="preserve">../playground/tests/components/icon/visual.spec.ts</x:t>
        </x:is>
      </x:c>
      <x:c r="H18" s="149" t="inlineStr">
        <x:is>
          <x:t xml:space="preserve">implemented</x:t>
        </x:is>
      </x:c>
      <x:c r="I18" s="149" t="inlineStr">
        <x:is>
          <x:t xml:space="preserve">yes</x:t>
        </x:is>
      </x:c>
      <x:c r="J18" s="151" t="n"/>
      <x:c r="K18" s="150" t="inlineStr">
        <x:is>
          <x:t xml:space="preserve">Human run pending.</x:t>
        </x:is>
      </x:c>
      <x:c r="L18" s="149" t="n">
        <x:v>1</x:v>
      </x:c>
      <x:c r="M18" s="149" t="n">
        <x:f>IF(H18="not applicable",1,IF(I18="yes",IF(H18="verified",1,0),IF(OR(H18="tested",H18="verified"),1,0)))</x:f>
        <x:v>0</x:v>
      </x:c>
    </x:row>
    <x:row r="19" s="127" customFormat="1" ht="54" customHeight="1">
      <x:c r="A19" s="149" t="inlineStr">
        <x:is>
          <x:t xml:space="preserve">IC-11</x:t>
        </x:is>
      </x:c>
      <x:c r="B19" s="149" t="inlineStr">
        <x:is>
          <x:t xml:space="preserve">Responsive</x:t>
        </x:is>
      </x:c>
      <x:c r="C19" s="149" t="inlineStr">
        <x:is>
          <x:t xml:space="preserve">Icon</x:t>
        </x:is>
      </x:c>
      <x:c r="D19" s="150" t="inlineStr">
        <x:is>
          <x:t xml:space="preserve">Narrow frames, large sizes, long referenced labels, zoom, text spacing, and mobile widths remain contained.</x:t>
        </x:is>
      </x:c>
      <x:c r="E19" s="149" t="inlineStr">
        <x:is>
          <x:t xml:space="preserve">package</x:t>
        </x:is>
      </x:c>
      <x:c r="F19" s="149" t="inlineStr">
        <x:is>
          <x:t xml:space="preserve">manual</x:t>
        </x:is>
      </x:c>
      <x:c r="G19" s="150" t="inlineStr">
        <x:is>
          <x:t xml:space="preserve">../playground/manual-tests/icon.md</x:t>
        </x:is>
      </x:c>
      <x:c r="H19" s="149" t="inlineStr">
        <x:is>
          <x:t xml:space="preserve">implemented</x:t>
        </x:is>
      </x:c>
      <x:c r="I19" s="149" t="inlineStr">
        <x:is>
          <x:t xml:space="preserve">yes</x:t>
        </x:is>
      </x:c>
      <x:c r="J19" s="151" t="n"/>
      <x:c r="K19" s="150" t="inlineStr">
        <x:is>
          <x:t xml:space="preserve">Human run pending.</x:t>
        </x:is>
      </x:c>
      <x:c r="L19" s="149" t="n">
        <x:v>1</x:v>
      </x:c>
      <x:c r="M19" s="149" t="n">
        <x:f>IF(H19="not applicable",1,IF(I19="yes",IF(H19="verified",1,0),IF(OR(H19="tested",H19="verified"),1,0)))</x:f>
        <x:v>0</x:v>
      </x:c>
    </x:row>
    <x:row r="20" s="127" customFormat="1" ht="54" customHeight="1">
      <x:c r="A20" s="149" t="inlineStr">
        <x:is>
          <x:t xml:space="preserve">IC-12</x:t>
        </x:is>
      </x:c>
      <x:c r="B20" s="149" t="inlineStr">
        <x:is>
          <x:t xml:space="preserve">Manual</x:t>
        </x:is>
      </x:c>
      <x:c r="C20" s="149" t="inlineStr">
        <x:is>
          <x:t xml:space="preserve">Icon</x:t>
        </x:is>
      </x:c>
      <x:c r="D20" s="150" t="inlineStr">
        <x:is>
          <x:t xml:space="preserve">The concise protocol covers every Icon playground scenario and assistive-technology mode.</x:t>
        </x:is>
      </x:c>
      <x:c r="E20" s="149" t="inlineStr">
        <x:is>
          <x:t xml:space="preserve">package</x:t>
        </x:is>
      </x:c>
      <x:c r="F20" s="149" t="inlineStr">
        <x:is>
          <x:t xml:space="preserve">manual</x:t>
        </x:is>
      </x:c>
      <x:c r="G20" s="150" t="inlineStr">
        <x:is>
          <x:t xml:space="preserve">../playground/manual-tests/icon.md</x:t>
        </x:is>
      </x:c>
      <x:c r="H20" s="149" t="inlineStr">
        <x:is>
          <x:t xml:space="preserve">implemented</x:t>
        </x:is>
      </x:c>
      <x:c r="I20" s="149" t="inlineStr">
        <x:is>
          <x:t xml:space="preserve">yes</x:t>
        </x:is>
      </x:c>
      <x:c r="J20" s="151" t="n"/>
      <x:c r="K20" s="150" t="inlineStr">
        <x:is>
          <x:t xml:space="preserve">Human run pending.</x:t>
        </x:is>
      </x:c>
      <x:c r="L20" s="149" t="n">
        <x:v>1</x:v>
      </x:c>
      <x:c r="M20" s="149" t="n">
        <x:f>IF(H20="not applicable",1,IF(I20="yes",IF(H20="verified",1,0),IF(OR(H20="tested",H20="verified"),1,0)))</x:f>
        <x:v>0</x:v>
      </x:c>
    </x:row>
    <x:row r="21" s="127" customFormat="1" ht="54" customHeight="1">
      <x:c r="A21" s="149" t="inlineStr">
        <x:is>
          <x:t xml:space="preserve">IC-13</x:t>
        </x:is>
      </x:c>
      <x:c r="B21" s="149" t="inlineStr">
        <x:is>
          <x:t xml:space="preserve">Docs</x:t>
        </x:is>
      </x:c>
      <x:c r="C21" s="149" t="inlineStr">
        <x:is>
          <x:t xml:space="preserve">Icon</x:t>
        </x:is>
      </x:c>
      <x:c r="D21" s="150" t="inlineStr">
        <x:is>
          <x:t xml:space="preserve">Source-backed ownership, SVG boundary, accessibility, API, recipes, tokens, and composition pass.</x:t>
        </x:is>
      </x:c>
      <x:c r="E21" s="149" t="inlineStr">
        <x:is>
          <x:t xml:space="preserve">package</x:t>
        </x:is>
      </x:c>
      <x:c r="F21" s="149" t="inlineStr">
        <x:is>
          <x:t xml:space="preserve">docs</x:t>
        </x:is>
      </x:c>
      <x:c r="G21" s="150" t="inlineStr">
        <x:is>
          <x:t xml:space="preserve">../docs/components/icon/README.md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/>
      <x:c r="K21" s="150" t="n"/>
      <x:c r="L21" s="149" t="n">
        <x:v>1</x:v>
      </x:c>
      <x:c r="M21" s="149" t="n">
        <x:f>IF(H21="not applicable",1,IF(I21="yes",IF(H21="verified",1,0),IF(OR(H21="tested",H21="verified"),1,0)))</x:f>
        <x:v>1</x:v>
      </x:c>
    </x:row>
    <x:row r="22" s="127" customFormat="1" ht="54" customHeight="1">
      <x:c r="A22" s="149" t="inlineStr">
        <x:is>
          <x:t xml:space="preserve">IC-14</x:t>
        </x:is>
      </x:c>
      <x:c r="B22" s="149" t="inlineStr">
        <x:is>
          <x:t xml:space="preserve">Changelog</x:t>
        </x:is>
      </x:c>
      <x:c r="C22" s="149" t="inlineStr">
        <x:is>
          <x:t xml:space="preserve">Icon</x:t>
        </x:is>
      </x:c>
      <x:c r="D22" s="150" t="inlineStr">
        <x:is>
          <x:t xml:space="preserve">Icon owns a public changelog and package changelog entry.</x:t>
        </x:is>
      </x:c>
      <x:c r="E22" s="149" t="inlineStr">
        <x:is>
          <x:t xml:space="preserve">package</x:t>
        </x:is>
      </x:c>
      <x:c r="F22" s="149" t="inlineStr">
        <x:is>
          <x:t xml:space="preserve">docs</x:t>
        </x:is>
      </x:c>
      <x:c r="G22" s="150" t="inlineStr">
        <x:is>
          <x:t xml:space="preserve">../docs/components/icon/CHANGELOG.md; ../CHANGELOG.md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/>
      <x:c r="K22" s="150" t="n"/>
      <x:c r="L22" s="149" t="n">
        <x:v>1</x:v>
      </x:c>
      <x:c r="M22" s="149" t="n">
        <x:f>IF(H22="not applicable",1,IF(I22="yes",IF(H22="verified",1,0),IF(OR(H22="tested",H22="verified"),1,0)))</x:f>
        <x:v>1</x:v>
      </x:c>
    </x:row>
    <x:row r="23" s="127" customFormat="1" ht="54" customHeight="1">
      <x:c r="A23" s="149" t="inlineStr">
        <x:is>
          <x:t xml:space="preserve">IC-15</x:t>
        </x:is>
      </x:c>
      <x:c r="B23" s="149" t="inlineStr">
        <x:is>
          <x:t xml:space="preserve">Consumer</x:t>
        </x:is>
      </x:c>
      <x:c r="C23" s="149" t="inlineStr">
        <x:is>
          <x:t xml:space="preserve">Icon</x:t>
        </x:is>
      </x:c>
      <x:c r="D23" s="150" t="inlineStr">
        <x:is>
          <x:t xml:space="preserve">The Consumer proves the public Icon subpath inside a named IconButton.</x:t>
        </x:is>
      </x:c>
      <x:c r="E23" s="149" t="inlineStr">
        <x:is>
          <x:t xml:space="preserve">consumer</x:t>
        </x:is>
      </x:c>
      <x:c r="F23" s="149" t="inlineStr">
        <x:is>
          <x:t xml:space="preserve">consumer</x:t>
        </x:is>
      </x:c>
      <x:c r="G23" s="150" t="inlineStr">
        <x:is>
          <x:t xml:space="preserve">../apps/consumer/src/App.tsx; ../apps/consumer/tests/consumer.spec.ts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/>
      <x:c r="K23" s="150" t="n"/>
      <x:c r="L23" s="149" t="n">
        <x:v>1</x:v>
      </x:c>
      <x:c r="M23" s="149" t="n">
        <x:f>IF(H23="not applicable",1,IF(I23="yes",IF(H23="verified",1,0),IF(OR(H23="tested",H23="verified"),1,0)))</x:f>
        <x:v>1</x:v>
      </x:c>
    </x:row>
    <x:row r="24" s="127" customFormat="1" ht="54" customHeight="1">
      <x:c r="A24" s="149" t="inlineStr">
        <x:is>
          <x:t xml:space="preserve">IC-16</x:t>
        </x:is>
      </x:c>
      <x:c r="B24" s="149" t="inlineStr">
        <x:is>
          <x:t xml:space="preserve">Playground</x:t>
        </x:is>
      </x:c>
      <x:c r="C24" s="149" t="inlineStr">
        <x:is>
          <x:t xml:space="preserve">Adoption</x:t>
        </x:is>
      </x:c>
      <x:c r="D24" s="150" t="inlineStr">
        <x:is>
          <x:t xml:space="preserve">The route covers all scenarios and shell adoption follows explicit component-owned exclusions.</x:t>
        </x:is>
      </x:c>
      <x:c r="E24" s="149" t="inlineStr">
        <x:is>
          <x:t xml:space="preserve">package</x:t>
        </x:is>
      </x:c>
      <x:c r="F24" s="149" t="inlineStr">
        <x:is>
          <x:t xml:space="preserve">adoption</x:t>
        </x:is>
      </x:c>
      <x:c r="G24" s="150" t="inlineStr">
        <x:is>
          <x:t xml:space="preserve">../scripts/verify-playground-icon.mjs; ../playground/docs/icon-adoption-audit.md</x:t>
        </x:is>
      </x:c>
      <x:c r="H24" s="149" t="inlineStr">
        <x:is>
          <x:t xml:space="preserve">tested</x:t>
        </x:is>
      </x:c>
      <x:c r="I24" s="149" t="inlineStr">
        <x:is>
          <x:t xml:space="preserve">no</x:t>
        </x:is>
      </x:c>
      <x:c r="J24" s="151" t="n"/>
      <x:c r="K24" s="150" t="n"/>
      <x:c r="L24" s="149" t="n">
        <x:v>1</x:v>
      </x:c>
      <x:c r="M24" s="149" t="n">
        <x:f>IF(H24="not applicable",1,IF(I24="yes",IF(H24="verified",1,0),IF(OR(H24="tested",H24="verified"),1,0)))</x:f>
        <x:v>1</x:v>
      </x:c>
    </x:row>
    <x:row r="25" s="127" customFormat="1" ht="54" customHeight="1">
      <x:c r="A25" s="149" t="inlineStr">
        <x:is>
          <x:t xml:space="preserve">IC-17</x:t>
        </x:is>
      </x:c>
      <x:c r="B25" s="149" t="inlineStr">
        <x:is>
          <x:t xml:space="preserve">Package</x:t>
        </x:is>
      </x:c>
      <x:c r="C25" s="149" t="inlineStr">
        <x:is>
          <x:t xml:space="preserve">Icon</x:t>
        </x:is>
      </x:c>
      <x:c r="D25" s="150" t="inlineStr">
        <x:is>
          <x:t xml:space="preserve">Build, SSR-safe import, exports, CSS, tarball, Consumer, browser, and adoption checks pass.</x:t>
        </x:is>
      </x:c>
      <x:c r="E25" s="149" t="inlineStr">
        <x:is>
          <x:t xml:space="preserve">package</x:t>
        </x:is>
      </x:c>
      <x:c r="F25" s="149" t="inlineStr">
        <x:is>
          <x:t xml:space="preserve">package</x:t>
        </x:is>
      </x:c>
      <x:c r="G25" s="150" t="inlineStr">
        <x:is>
          <x:t xml:space="preserve">../test/package/package.test.mjs</x:t>
        </x:is>
      </x:c>
      <x:c r="H25" s="149" t="inlineStr">
        <x:is>
          <x:t xml:space="preserve">partial</x:t>
        </x:is>
      </x:c>
      <x:c r="I25" s="149" t="inlineStr">
        <x:is>
          <x:t xml:space="preserve">no</x:t>
        </x:is>
      </x:c>
      <x:c r="J25" s="151" t="n"/>
      <x:c r="K25" s="150" t="inlineStr">
        <x:is>
          <x:t xml:space="preserve">Scoped qualification recorded; repository-wide unrelated failures remain.</x:t>
        </x:is>
      </x:c>
      <x:c r="L25" s="149" t="n">
        <x:v>1</x:v>
      </x:c>
      <x:c r="M25" s="149" t="n">
        <x:f>IF(H25="not applicable",1,IF(I25="yes",IF(H25="verified",1,0),IF(OR(H25="tested",H25="verified"),1,0)))</x:f>
        <x:v>0</x:v>
      </x:c>
    </x:row>
    <x:row r="26" s="135" customFormat="1" ht="57.75" customHeight="1">
      <x:c r="A26" s="168" t="inlineStr">
        <x:is>
          <x:t xml:space="preserve">IC-18</x:t>
        </x:is>
      </x:c>
      <x:c r="B26" s="168" t="inlineStr">
        <x:is>
          <x:t xml:space="preserve">Composition</x:t>
        </x:is>
      </x:c>
      <x:c r="C26" s="168" t="inlineStr">
        <x:is>
          <x:t xml:space="preserve">Icon</x:t>
        </x:is>
      </x:c>
      <x:c r="D26" s="168" t="inlineStr">
        <x:is>
          <x:t xml:space="preserve">Owner-first events, both refs and StrictMode cleanup survive replacement.</x:t>
        </x:is>
      </x:c>
      <x:c r="E26" s="168" t="inlineStr">
        <x:is>
          <x:t xml:space="preserve">package</x:t>
        </x:is>
      </x:c>
      <x:c r="F26" s="168" t="inlineStr">
        <x:is>
          <x:t xml:space="preserve">component</x:t>
        </x:is>
      </x:c>
      <x:c r="G26" s="168" t="inlineStr">
        <x:is>
          <x:t xml:space="preserve">../test/components/icon/icon.test.tsx</x:t>
        </x:is>
      </x:c>
      <x:c r="H26" s="168" t="inlineStr">
        <x:is>
          <x:t xml:space="preserve">tested</x:t>
        </x:is>
      </x:c>
      <x:c r="I26" s="168" t="inlineStr">
        <x:is>
          <x:t xml:space="preserve">no</x:t>
        </x:is>
      </x:c>
      <x:c r="J26" s="168" t="n"/>
      <x:c r="K26" s="168" t="n"/>
      <x:c r="L26" s="168" t="n">
        <x:v>1</x:v>
      </x:c>
      <x:c r="M26" s="168" t="n">
        <x:f>IF(H26="not applicable",1,IF(I26="yes",IF(H26="verified",1,0),IF(OR(H26="tested",H26="verified"),1,0)))</x:f>
        <x:v>1</x:v>
      </x:c>
    </x:row>
    <x:row r="27" s="135" customFormat="1" ht="57.75" customHeight="1">
      <x:c r="A27" s="168" t="inlineStr">
        <x:is>
          <x:t xml:space="preserve">IC-19</x:t>
        </x:is>
      </x:c>
      <x:c r="B27" s="168" t="inlineStr">
        <x:is>
          <x:t xml:space="preserve">Factory</x:t>
        </x:is>
      </x:c>
      <x:c r="C27" s="168" t="inlineStr">
        <x:is>
          <x:t xml:space="preserve">createIcon</x:t>
        </x:is>
      </x:c>
      <x:c r="D27" s="168" t="inlineStr">
        <x:is>
          <x:t xml:space="preserve">One SVG, contextual naming, currentColor d, authored paths and SVG refs.</x:t>
        </x:is>
      </x:c>
      <x:c r="E27" s="168" t="inlineStr">
        <x:is>
          <x:t xml:space="preserve">package</x:t>
        </x:is>
      </x:c>
      <x:c r="F27" s="168" t="inlineStr">
        <x:is>
          <x:t xml:space="preserve">component</x:t>
        </x:is>
      </x:c>
      <x:c r="G27" s="168" t="inlineStr">
        <x:is>
          <x:t xml:space="preserve">../test/components/icon/icon.test.tsx</x:t>
        </x:is>
      </x:c>
      <x:c r="H27" s="168" t="inlineStr">
        <x:is>
          <x:t xml:space="preserve">tested</x:t>
        </x:is>
      </x:c>
      <x:c r="I27" s="168" t="inlineStr">
        <x:is>
          <x:t xml:space="preserve">no</x:t>
        </x:is>
      </x:c>
      <x:c r="J27" s="168" t="n"/>
      <x:c r="K27" s="168" t="n"/>
      <x:c r="L27" s="168" t="n">
        <x:v>1</x:v>
      </x:c>
      <x:c r="M27" s="168" t="n">
        <x:f>IF(H27="not applicable",1,IF(I27="yes",IF(H27="verified",1,0),IF(OR(H27="tested",H27="verified"),1,0)))</x:f>
        <x:v>1</x:v>
      </x:c>
    </x:row>
    <x:row r="28" s="135" customFormat="1" ht="57.75" customHeight="1">
      <x:c r="A28" s="168" t="inlineStr">
        <x:is>
          <x:t xml:space="preserve">IC-20</x:t>
        </x:is>
      </x:c>
      <x:c r="B28" s="168" t="inlineStr">
        <x:is>
          <x:t xml:space="preserve">Defaults</x:t>
        </x:is>
      </x:c>
      <x:c r="C28" s="168" t="inlineStr">
        <x:is>
          <x:t xml:space="preserve">IconPropsProvider</x:t>
        </x:is>
      </x:c>
      <x:c r="D28" s="168" t="inlineStr">
        <x:is>
          <x:t xml:space="preserve">Nested property inheritance and instance/provider/factory precedence; no wrapper.</x:t>
        </x:is>
      </x:c>
      <x:c r="E28" s="168" t="inlineStr">
        <x:is>
          <x:t xml:space="preserve">package</x:t>
        </x:is>
      </x:c>
      <x:c r="F28" s="168" t="inlineStr">
        <x:is>
          <x:t xml:space="preserve">component</x:t>
        </x:is>
      </x:c>
      <x:c r="G28" s="168" t="inlineStr">
        <x:is>
          <x:t xml:space="preserve">../test/components/icon/icon.test.tsx</x:t>
        </x:is>
      </x:c>
      <x:c r="H28" s="168" t="inlineStr">
        <x:is>
          <x:t xml:space="preserve">tested</x:t>
        </x:is>
      </x:c>
      <x:c r="I28" s="168" t="inlineStr">
        <x:is>
          <x:t xml:space="preserve">no</x:t>
        </x:is>
      </x:c>
      <x:c r="J28" s="168" t="n"/>
      <x:c r="K28" s="168" t="n"/>
      <x:c r="L28" s="168" t="n">
        <x:v>1</x:v>
      </x:c>
      <x:c r="M28" s="168" t="n">
        <x:f>IF(H28="not applicable",1,IF(I28="yes",IF(H28="verified",1,0),IF(OR(H28="tested",H28="verified"),1,0)))</x:f>
        <x:v>1</x:v>
      </x:c>
    </x:row>
    <x:row r="29" s="135" customFormat="1" ht="57.75" customHeight="1">
      <x:c r="A29" s="168" t="inlineStr">
        <x:is>
          <x:t xml:space="preserve">IC-21</x:t>
        </x:is>
      </x:c>
      <x:c r="B29" s="168" t="inlineStr">
        <x:is>
          <x:t xml:space="preserve">Responsive</x:t>
        </x:is>
      </x:c>
      <x:c r="C29" s="168" t="inlineStr">
        <x:is>
          <x:t xml:space="preserve">Icon</x:t>
        </x:is>
      </x:c>
      <x:c r="D29" s="168" t="inlineStr">
        <x:is>
          <x:t xml:space="preserve">Sparse responsive sizes and md/inherit restoration at browser breakpoints.</x:t>
        </x:is>
      </x:c>
      <x:c r="E29" s="168" t="inlineStr">
        <x:is>
          <x:t xml:space="preserve">package</x:t>
        </x:is>
      </x:c>
      <x:c r="F29" s="168" t="inlineStr">
        <x:is>
          <x:t xml:space="preserve">browser</x:t>
        </x:is>
      </x:c>
      <x:c r="G29" s="168" t="inlineStr">
        <x:is>
          <x:t xml:space="preserve">tests/components/icon/parity.spec.ts</x:t>
        </x:is>
      </x:c>
      <x:c r="H29" s="168" t="inlineStr">
        <x:is>
          <x:t xml:space="preserve">tested</x:t>
        </x:is>
      </x:c>
      <x:c r="I29" s="168" t="inlineStr">
        <x:is>
          <x:t xml:space="preserve">no</x:t>
        </x:is>
      </x:c>
      <x:c r="J29" s="168" t="n"/>
      <x:c r="K29" s="168" t="n"/>
      <x:c r="L29" s="168" t="n">
        <x:v>1</x:v>
      </x:c>
      <x:c r="M29" s="168" t="n">
        <x:f>IF(H29="not applicable",1,IF(I29="yes",IF(H29="verified",1,0),IF(OR(H29="tested",H29="verified"),1,0)))</x:f>
        <x:v>1</x:v>
      </x:c>
    </x:row>
    <x:row r="30" s="135" customFormat="1" ht="57.75" customHeight="1">
      <x:c r="A30" s="168" t="inlineStr">
        <x:is>
          <x:t xml:space="preserve">IC-22</x:t>
        </x:is>
      </x:c>
      <x:c r="B30" s="168" t="inlineStr">
        <x:is>
          <x:t xml:space="preserve">Slots</x:t>
        </x:is>
      </x:c>
      <x:c r="C30" s="168" t="inlineStr">
        <x:is>
          <x:t xml:space="preserve">Icon</x:t>
        </x:is>
      </x:c>
      <x:c r="D30" s="168" t="inlineStr">
        <x:is>
          <x:t xml:space="preserve">Raw, wrapped and direct artwork match over all seven action sizes.</x:t>
        </x:is>
      </x:c>
      <x:c r="E30" s="168" t="inlineStr">
        <x:is>
          <x:t xml:space="preserve">package</x:t>
        </x:is>
      </x:c>
      <x:c r="F30" s="168" t="inlineStr">
        <x:is>
          <x:t xml:space="preserve">browser</x:t>
        </x:is>
      </x:c>
      <x:c r="G30" s="168" t="inlineStr">
        <x:is>
          <x:t xml:space="preserve">tests/components/icon/parity.spec.ts</x:t>
        </x:is>
      </x:c>
      <x:c r="H30" s="168" t="inlineStr">
        <x:is>
          <x:t xml:space="preserve">tested</x:t>
        </x:is>
      </x:c>
      <x:c r="I30" s="168" t="inlineStr">
        <x:is>
          <x:t xml:space="preserve">no</x:t>
        </x:is>
      </x:c>
      <x:c r="J30" s="168" t="n"/>
      <x:c r="K30" s="168" t="n"/>
      <x:c r="L30" s="168" t="n">
        <x:v>1</x:v>
      </x:c>
      <x:c r="M30" s="168" t="n">
        <x:f>IF(H30="not applicable",1,IF(I30="yes",IF(H30="verified",1,0),IF(OR(H30="tested",H30="verified"),1,0)))</x:f>
        <x:v>1</x:v>
      </x:c>
    </x:row>
    <x:row r="31" s="135" customFormat="1" ht="57.75" customHeight="1">
      <x:c r="A31" s="168" t="inlineStr">
        <x:is>
          <x:t xml:space="preserve">IC-23</x:t>
        </x:is>
      </x:c>
      <x:c r="B31" s="168" t="inlineStr">
        <x:is>
          <x:t xml:space="preserve">SSR</x:t>
        </x:is>
      </x:c>
      <x:c r="C31" s="168" t="inlineStr">
        <x:is>
          <x:t xml:space="preserve">createIcon</x:t>
        </x:is>
      </x:c>
      <x:c r="D31" s="168" t="inlineStr">
        <x:is>
          <x:t xml:space="preserve">Root/subpath factory and provider render one named SVG on the server.</x:t>
        </x:is>
      </x:c>
      <x:c r="E31" s="168" t="inlineStr">
        <x:is>
          <x:t xml:space="preserve">package</x:t>
        </x:is>
      </x:c>
      <x:c r="F31" s="168" t="inlineStr">
        <x:is>
          <x:t xml:space="preserve">package</x:t>
        </x:is>
      </x:c>
      <x:c r="G31" s="168" t="inlineStr">
        <x:is>
          <x:t xml:space="preserve">../test/package/icon.test.mjs</x:t>
        </x:is>
      </x:c>
      <x:c r="H31" s="168" t="inlineStr">
        <x:is>
          <x:t xml:space="preserve">tested</x:t>
        </x:is>
      </x:c>
      <x:c r="I31" s="168" t="inlineStr">
        <x:is>
          <x:t xml:space="preserve">no</x:t>
        </x:is>
      </x:c>
      <x:c r="J31" s="168" t="n"/>
      <x:c r="K31" s="168" t="n"/>
      <x:c r="L31" s="168" t="n">
        <x:v>1</x:v>
      </x:c>
      <x:c r="M31" s="168" t="n">
        <x:f>IF(H31="not applicable",1,IF(I31="yes",IF(H31="verified",1,0),IF(OR(H31="tested",H31="verified"),1,0)))</x:f>
        <x:v>1</x:v>
      </x:c>
    </x:row>
    <x:row r="32" s="135" customFormat="1" ht="57.75" customHeight="1">
      <x:c r="A32" s="168" t="inlineStr">
        <x:is>
          <x:t xml:space="preserve">IC-24</x:t>
        </x:is>
      </x:c>
      <x:c r="B32" s="168" t="inlineStr">
        <x:is>
          <x:t xml:space="preserve">Documentation</x:t>
        </x:is>
      </x:c>
      <x:c r="C32" s="168" t="inlineStr">
        <x:is>
          <x:t xml:space="preserve">Icon</x:t>
        </x:is>
      </x:c>
      <x:c r="D32" s="168" t="inlineStr">
        <x:is>
          <x:t xml:space="preserve">Focused examples, Preview/Code source and three API/TOC subsections.</x:t>
        </x:is>
      </x:c>
      <x:c r="E32" s="168" t="inlineStr">
        <x:is>
          <x:t xml:space="preserve">package</x:t>
        </x:is>
      </x:c>
      <x:c r="F32" s="168" t="inlineStr">
        <x:is>
          <x:t xml:space="preserve">browser</x:t>
        </x:is>
      </x:c>
      <x:c r="G32" s="168" t="inlineStr">
        <x:is>
          <x:t xml:space="preserve">tests/components/icon/parity.spec.ts</x:t>
        </x:is>
      </x:c>
      <x:c r="H32" s="168" t="inlineStr">
        <x:is>
          <x:t xml:space="preserve">tested</x:t>
        </x:is>
      </x:c>
      <x:c r="I32" s="168" t="inlineStr">
        <x:is>
          <x:t xml:space="preserve">no</x:t>
        </x:is>
      </x:c>
      <x:c r="J32" s="168" t="n"/>
      <x:c r="K32" s="168" t="n"/>
      <x:c r="L32" s="168" t="n">
        <x:v>1</x:v>
      </x:c>
      <x:c r="M32" s="168" t="n">
        <x:f>IF(H32="not applicable",1,IF(I32="yes",IF(H32="verified",1,0),IF(OR(H32="tested",H32="verified"),1,0)))</x:f>
        <x:v>1</x:v>
      </x:c>
    </x:row>
  </x:sheetData>
  <x:mergeCells>
    <x:mergeCell ref="A2:M2"/>
    <x:mergeCell ref="A1:M1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Image Evidence</x:t>
        </x:is>
      </x:c>
    </x:row>
    <x:row r="2" s="127" customFormat="1" ht="27.75" customHeight="1">
      <x:c r="A2" s="129" t="inlineStr">
        <x:is>
          <x:t xml:space="preserve">Assertion-level media lifecycle, accessibility, recipes, native output, browser, human-review, documentation, Consumer, and scoped adoption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COUNTA(A9:A36)</x:f>
        <x:v>28</x:v>
      </x:c>
      <x:c r="D4" s="130" t="inlineStr">
        <x:is>
          <x:t xml:space="preserve">Resolved</x:t>
        </x:is>
      </x:c>
      <x:c r="E4" s="131" t="n">
        <x:f>SUM(M9:M36)</x:f>
        <x:v>23</x:v>
      </x:c>
      <x:c r="G4" s="130" t="inlineStr">
        <x:is>
          <x:t xml:space="preserve">Completion</x:t>
        </x:is>
      </x:c>
      <x:c r="H4" s="132" t="n">
        <x:f>IF(B4=0,0,E4/B4)</x:f>
        <x:v>0.8214285714285714</x:v>
      </x:c>
      <x:c r="J4" s="130" t="inlineStr">
        <x:is>
          <x:t xml:space="preserve">Package gate</x:t>
        </x:is>
      </x:c>
      <x:c r="K4" s="131" t="str">
        <x:f>IF(COUNTIFS(E9:E25,"package",M9:M25,0)&gt;0,"open","complete")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IF(COUNTIFS(I9:I36,"yes",M9:M36,0)&gt;0,"open","complete")</x:f>
        <x:v>open</x:v>
      </x:c>
      <x:c r="D5" s="130" t="inlineStr">
        <x:is>
          <x:t xml:space="preserve">Consumer gate</x:t>
        </x:is>
      </x:c>
      <x:c r="E5" s="131" t="str">
        <x:f>IF(COUNTIFS(E9:E36,"consumer",M9:M36,0)&gt;0,"open","complete")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IM-01</x:t>
        </x:is>
      </x:c>
      <x:c r="B9" s="149" t="inlineStr">
        <x:is>
          <x:t xml:space="preserve">Implementation</x:t>
        </x:is>
      </x:c>
      <x:c r="C9" s="149" t="inlineStr">
        <x:is>
          <x:t xml:space="preserve">Root / Content / Fallback</x:t>
        </x:is>
      </x:c>
      <x:c r="D9" s="150" t="inlineStr">
        <x:is>
          <x:t xml:space="preserve">Atom Image anatomy is styled without replacing source lifecycle, refs, or conditional parts.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../src/components/image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/>
      <x:c r="K9" s="150" t="n"/>
      <x:c r="L9" s="149" t="n">
        <x:v>1</x:v>
      </x:c>
      <x:c r="M9" s="149" t="n">
        <x:f>IF(OR(H9="not started",H9="partial",H9="implemented"),0,1)</x:f>
        <x:v>1</x:v>
      </x:c>
    </x:row>
    <x:row r="10" s="127" customFormat="1" ht="54" customHeight="1">
      <x:c r="A10" s="149" t="inlineStr">
        <x:is>
          <x:t xml:space="preserve">IM-02</x:t>
        </x:is>
      </x:c>
      <x:c r="B10" s="149" t="inlineStr">
        <x:is>
          <x:t xml:space="preserve">Source state</x:t>
        </x:is>
      </x:c>
      <x:c r="C10" s="149" t="inlineStr">
        <x:is>
          <x:t xml:space="preserve">Root</x:t>
        </x:is>
      </x:c>
      <x:c r="D10" s="150" t="inlineStr">
        <x:is>
          <x:t xml:space="preserve">Idle, loading, loaded, error, source replacement, and stale-event rejection remain Atom-owned and observable.</x:t>
        </x:is>
      </x:c>
      <x:c r="E10" s="149" t="inlineStr">
        <x:is>
          <x:t xml:space="preserve">package</x:t>
        </x:is>
      </x:c>
      <x:c r="F10" s="149" t="inlineStr">
        <x:is>
          <x:t xml:space="preserve">atom</x:t>
        </x:is>
      </x:c>
      <x:c r="G10" s="150" t="inlineStr">
        <x:is>
          <x:t xml:space="preserve">Atom Image lifecycle regressions; ../test/components/image/image.test.tsx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/>
      <x:c r="K10" s="150" t="n"/>
      <x:c r="L10" s="149" t="n">
        <x:v>1</x:v>
      </x:c>
      <x:c r="M10" s="149" t="n">
        <x:f>IF(OR(H10="not started",H10="partial",H10="implemented"),0,1)</x:f>
        <x:v>1</x:v>
      </x:c>
    </x:row>
    <x:row r="11" s="127" customFormat="1" ht="54" customHeight="1">
      <x:c r="A11" s="149" t="inlineStr">
        <x:is>
          <x:t xml:space="preserve">IM-03</x:t>
        </x:is>
      </x:c>
      <x:c r="B11" s="149" t="inlineStr">
        <x:is>
          <x:t xml:space="preserve">Native output</x:t>
        </x:is>
      </x:c>
      <x:c r="C11" s="149" t="inlineStr">
        <x:is>
          <x:t xml:space="preserve">Content</x:t>
        </x:is>
      </x:c>
      <x:c r="D11" s="150" t="inlineStr">
        <x:is>
          <x:t xml:space="preserve">Required authored alt plus intrinsic, responsive, loading, decoding, priority, event, slot, and ref props reach the native image.</x:t>
        </x:is>
      </x:c>
      <x:c r="E11" s="149" t="inlineStr">
        <x:is>
          <x:t xml:space="preserve">package</x:t>
        </x:is>
      </x:c>
      <x:c r="F11" s="149" t="inlineStr">
        <x:is>
          <x:t xml:space="preserve">component</x:t>
        </x:is>
      </x:c>
      <x:c r="G11" s="150" t="inlineStr">
        <x:is>
          <x:t xml:space="preserve">../test/components/image/image.test.tsx; ../playground/tests/components/image/behavior.spec.ts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/>
      <x:c r="K11" s="150" t="n"/>
      <x:c r="L11" s="149" t="n">
        <x:v>1</x:v>
      </x:c>
      <x:c r="M11" s="149" t="n">
        <x:f>IF(OR(H11="not started",H11="partial",H11="implemented"),0,1)</x:f>
        <x:v>1</x:v>
      </x:c>
    </x:row>
    <x:row r="12" s="127" customFormat="1" ht="54" customHeight="1">
      <x:c r="A12" s="149" t="inlineStr">
        <x:is>
          <x:t xml:space="preserve">IM-04</x:t>
        </x:is>
      </x:c>
      <x:c r="B12" s="149" t="inlineStr">
        <x:is>
          <x:t xml:space="preserve">Fallback</x:t>
        </x:is>
      </x:c>
      <x:c r="C12" s="149" t="inlineStr">
        <x:is>
          <x:t xml:space="preserve">Fallback</x:t>
        </x:is>
      </x:c>
      <x:c r="D12" s="150" t="inlineStr">
        <x:is>
          <x:t xml:space="preserve">Default fallback covers idle/error; loading overlays are opt-in. Error Content is hidden; reserved geometry stays stable.</x:t>
        </x:is>
      </x:c>
      <x:c r="E12" s="149" t="inlineStr">
        <x:is>
          <x:t xml:space="preserve">package</x:t>
        </x:is>
      </x:c>
      <x:c r="F12" s="149" t="inlineStr">
        <x:is>
          <x:t xml:space="preserve">browser</x:t>
        </x:is>
      </x:c>
      <x:c r="G12" s="150" t="inlineStr">
        <x:is>
          <x:t xml:space="preserve">../playground/tests/components/image/behavior.spec.ts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/>
      <x:c r="K12" s="150" t="n"/>
      <x:c r="L12" s="149" t="n">
        <x:v>1</x:v>
      </x:c>
      <x:c r="M12" s="149" t="n">
        <x:f>IF(OR(H12="not started",H12="partial",H12="implemented"),0,1)</x:f>
        <x:v>1</x:v>
      </x:c>
    </x:row>
    <x:row r="13" s="127" customFormat="1" ht="54" customHeight="1">
      <x:c r="A13" s="149" t="inlineStr">
        <x:is>
          <x:t xml:space="preserve">IM-05</x:t>
        </x:is>
      </x:c>
      <x:c r="B13" s="149" t="inlineStr">
        <x:is>
          <x:t xml:space="preserve">Fit</x:t>
        </x:is>
      </x:c>
      <x:c r="C13" s="149" t="inlineStr">
        <x:is>
          <x:t xml:space="preserve">Content</x:t>
        </x:is>
      </x:c>
      <x:c r="D13" s="150" t="inlineStr">
        <x:is>
          <x:t xml:space="preserve">Cover, contain, fill, none, and scale-down change only object fit inside controlled fixtures.</x:t>
        </x:is>
      </x:c>
      <x:c r="E13" s="149" t="inlineStr">
        <x:is>
          <x:t xml:space="preserve">package</x:t>
        </x:is>
      </x:c>
      <x:c r="F13" s="149" t="inlineStr">
        <x:is>
          <x:t xml:space="preserve">browser</x:t>
        </x:is>
      </x:c>
      <x:c r="G13" s="150" t="inlineStr">
        <x:is>
          <x:t xml:space="preserve">../playground/tests/components/image/behavior.spec.ts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/>
      <x:c r="K13" s="150" t="n"/>
      <x:c r="L13" s="149" t="n">
        <x:v>1</x:v>
      </x:c>
      <x:c r="M13" s="149" t="n">
        <x:f>IF(OR(H13="not started",H13="partial",H13="implemented"),0,1)</x:f>
        <x:v>1</x:v>
      </x:c>
    </x:row>
    <x:row r="14" s="127" customFormat="1" ht="54" customHeight="1">
      <x:c r="A14" s="149" t="inlineStr">
        <x:is>
          <x:t xml:space="preserve">IM-06</x:t>
        </x:is>
      </x:c>
      <x:c r="B14" s="149" t="inlineStr">
        <x:is>
          <x:t xml:space="preserve">Position</x:t>
        </x:is>
      </x:c>
      <x:c r="C14" s="149" t="inlineStr">
        <x:is>
          <x:t xml:space="preserve">Content</x:t>
        </x:is>
      </x:c>
      <x:c r="D14" s="150" t="inlineStr">
        <x:is>
          <x:t xml:space="preserve">Logical start/end follow effective direction including root RTL and LTR re-entry; physical focal coordinates stay physical.</x:t>
        </x:is>
      </x:c>
      <x:c r="E14" s="149" t="inlineStr">
        <x:is>
          <x:t xml:space="preserve">package</x:t>
        </x:is>
      </x:c>
      <x:c r="F14" s="149" t="inlineStr">
        <x:is>
          <x:t xml:space="preserve">browser</x:t>
        </x:is>
      </x:c>
      <x:c r="G14" s="150" t="inlineStr">
        <x:is>
          <x:t xml:space="preserve">../playground/tests/components/image/behavior.spec.ts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/>
      <x:c r="K14" s="150" t="n"/>
      <x:c r="L14" s="149" t="n">
        <x:v>1</x:v>
      </x:c>
      <x:c r="M14" s="149" t="n">
        <x:f>IF(OR(H14="not started",H14="partial",H14="implemented"),0,1)</x:f>
        <x:v>1</x:v>
      </x:c>
    </x:row>
    <x:row r="15" s="127" customFormat="1" ht="54" customHeight="1">
      <x:c r="A15" s="149" t="inlineStr">
        <x:is>
          <x:t xml:space="preserve">IM-07</x:t>
        </x:is>
      </x:c>
      <x:c r="B15" s="149" t="inlineStr">
        <x:is>
          <x:t xml:space="preserve">Geometry</x:t>
        </x:is>
      </x:c>
      <x:c r="C15" s="149" t="inlineStr">
        <x:is>
          <x:t xml:space="preserve">Root</x:t>
        </x:is>
      </x:c>
      <x:c r="D15" s="150" t="inlineStr">
        <x:is>
          <x:t xml:space="preserve">Shared Radius, transparent/subtle frame and Atom Aspect Ratio preserve a clipped media box; style overrides win.</x:t>
        </x:is>
      </x:c>
      <x:c r="E15" s="149" t="inlineStr">
        <x:is>
          <x:t xml:space="preserve">package</x:t>
        </x:is>
      </x:c>
      <x:c r="F15" s="149" t="inlineStr">
        <x:is>
          <x:t xml:space="preserve">browser</x:t>
        </x:is>
      </x:c>
      <x:c r="G15" s="150" t="inlineStr">
        <x:is>
          <x:t xml:space="preserve">../playground/tests/components/image/behavior.spec.ts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/>
      <x:c r="K15" s="150" t="n"/>
      <x:c r="L15" s="149" t="n">
        <x:v>1</x:v>
      </x:c>
      <x:c r="M15" s="149" t="n">
        <x:f>IF(OR(H15="not started",H15="partial",H15="implemented"),0,1)</x:f>
        <x:v>1</x:v>
      </x:c>
    </x:row>
    <x:row r="16" s="127" customFormat="1" ht="54" customHeight="1">
      <x:c r="A16" s="149" t="inlineStr">
        <x:is>
          <x:t xml:space="preserve">IM-08</x:t>
        </x:is>
      </x:c>
      <x:c r="B16" s="149" t="inlineStr">
        <x:is>
          <x:t xml:space="preserve">Accessibility</x:t>
        </x:is>
      </x:c>
      <x:c r="C16" s="149" t="inlineStr">
        <x:is>
          <x:t xml:space="preserve">Content / Fallback</x:t>
        </x:is>
      </x:c>
      <x:c r="D16" s="150" t="inlineStr">
        <x:is>
          <x:t xml:space="preserve">Informative, decorative, and named-action alt ownership is explicit; fallback adds no focus or live-region policy.</x:t>
        </x:is>
      </x:c>
      <x:c r="E16" s="149" t="inlineStr">
        <x:is>
          <x:t xml:space="preserve">package</x:t>
        </x:is>
      </x:c>
      <x:c r="F16" s="149" t="inlineStr">
        <x:is>
          <x:t xml:space="preserve">browser</x:t>
        </x:is>
      </x:c>
      <x:c r="G16" s="150" t="inlineStr">
        <x:is>
          <x:t xml:space="preserve">../playground/tests/components/image/behavior.spec.ts</x:t>
        </x:is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n"/>
      <x:c r="K16" s="150" t="n"/>
      <x:c r="L16" s="149" t="n">
        <x:v>1</x:v>
      </x:c>
      <x:c r="M16" s="149" t="n">
        <x:f>IF(OR(H16="not started",H16="partial",H16="implemented"),0,1)</x:f>
        <x:v>1</x:v>
      </x:c>
    </x:row>
    <x:row r="17" s="127" customFormat="1" ht="54" customHeight="1">
      <x:c r="A17" s="149" t="inlineStr">
        <x:is>
          <x:t xml:space="preserve">IM-09</x:t>
        </x:is>
      </x:c>
      <x:c r="B17" s="149" t="inlineStr">
        <x:is>
          <x:t xml:space="preserve">Composition</x:t>
        </x:is>
      </x:c>
      <x:c r="C17" s="149" t="inlineStr">
        <x:is>
          <x:t xml:space="preserve">All parts</x:t>
        </x:is>
      </x:c>
      <x:c r="D17" s="150" t="inlineStr">
        <x:is>
          <x:t xml:space="preserve">Default, asChild, render, native props, custom slots, styles, and refs preserve Atom composition and valid hosts.</x:t>
        </x:is>
      </x:c>
      <x:c r="E17" s="149" t="inlineStr">
        <x:is>
          <x:t xml:space="preserve">package</x:t>
        </x:is>
      </x:c>
      <x:c r="F17" s="149" t="inlineStr">
        <x:is>
          <x:t xml:space="preserve">component</x:t>
        </x:is>
      </x:c>
      <x:c r="G17" s="150" t="inlineStr">
        <x:is>
          <x:t xml:space="preserve">../test/components/image/image.test.tsx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n"/>
      <x:c r="K17" s="150" t="n"/>
      <x:c r="L17" s="149" t="n">
        <x:v>1</x:v>
      </x:c>
      <x:c r="M17" s="149" t="n">
        <x:f>IF(OR(H17="not started",H17="partial",H17="implemented"),0,1)</x:f>
        <x:v>1</x:v>
      </x:c>
    </x:row>
    <x:row r="18" s="127" customFormat="1" ht="54" customHeight="1">
      <x:c r="A18" s="149" t="inlineStr">
        <x:is>
          <x:t xml:space="preserve">IM-10</x:t>
        </x:is>
      </x:c>
      <x:c r="B18" s="149" t="inlineStr">
        <x:is>
          <x:t xml:space="preserve">Exports</x:t>
        </x:is>
      </x:c>
      <x:c r="C18" s="149" t="inlineStr">
        <x:is>
          <x:t xml:space="preserve">Image</x:t>
        </x:is>
      </x:c>
      <x:c r="D18" s="150" t="inlineStr">
        <x:is>
          <x:t xml:space="preserve">Package root and Image subpath expose one runtime namespace and public types.</x:t>
        </x:is>
      </x:c>
      <x:c r="E18" s="149" t="inlineStr">
        <x:is>
          <x:t xml:space="preserve">package</x:t>
        </x:is>
      </x:c>
      <x:c r="F18" s="149" t="inlineStr">
        <x:is>
          <x:t xml:space="preserve">package</x:t>
        </x:is>
      </x:c>
      <x:c r="G18" s="150" t="inlineStr">
        <x:is>
          <x:t xml:space="preserve">../test/package/package.test.mjs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n"/>
      <x:c r="K18" s="150" t="n"/>
      <x:c r="L18" s="149" t="n">
        <x:v>1</x:v>
      </x:c>
      <x:c r="M18" s="149" t="n">
        <x:f>IF(OR(H18="not started",H18="partial",H18="implemented"),0,1)</x:f>
        <x:v>1</x:v>
      </x:c>
    </x:row>
    <x:row r="19" s="127" customFormat="1" ht="54" customHeight="1">
      <x:c r="A19" s="149" t="inlineStr">
        <x:is>
          <x:t xml:space="preserve">IM-11</x:t>
        </x:is>
      </x:c>
      <x:c r="B19" s="149" t="inlineStr">
        <x:is>
          <x:t xml:space="preserve">Types</x:t>
        </x:is>
      </x:c>
      <x:c r="C19" s="149" t="inlineStr">
        <x:is>
          <x:t xml:space="preserve">Image</x:t>
        </x:is>
      </x:c>
      <x:c r="D19" s="150" t="inlineStr">
        <x:is>
          <x:t xml:space="preserve">Required alt, closed recipes, root source ownership, native responsive props, and refs are enforced.</x:t>
        </x:is>
      </x:c>
      <x:c r="E19" s="149" t="inlineStr">
        <x:is>
          <x:t xml:space="preserve">package</x:t>
        </x:is>
      </x:c>
      <x:c r="F19" s="149" t="inlineStr">
        <x:is>
          <x:t xml:space="preserve">types</x:t>
        </x:is>
      </x:c>
      <x:c r="G19" s="150" t="inlineStr">
        <x:is>
          <x:t xml:space="preserve">../test/types/components/image.test.ts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/>
      <x:c r="K19" s="150" t="n"/>
      <x:c r="L19" s="149" t="n">
        <x:v>1</x:v>
      </x:c>
      <x:c r="M19" s="149" t="n">
        <x:f>IF(OR(H19="not started",H19="partial",H19="implemented"),0,1)</x:f>
        <x:v>1</x:v>
      </x:c>
    </x:row>
    <x:row r="20" s="127" customFormat="1" ht="54" customHeight="1">
      <x:c r="A20" s="149" t="inlineStr">
        <x:is>
          <x:t xml:space="preserve">IM-12</x:t>
        </x:is>
      </x:c>
      <x:c r="B20" s="149" t="inlineStr">
        <x:is>
          <x:t xml:space="preserve">CSS</x:t>
        </x:is>
      </x:c>
      <x:c r="C20" s="149" t="inlineStr">
        <x:is>
          <x:t xml:space="preserve">Image</x:t>
        </x:is>
      </x:c>
      <x:c r="D20" s="150" t="inlineStr">
        <x:is>
          <x:t xml:space="preserve">Static CSS ships fit, logical position, clipping, frame, fallback, forced colors, and documented public properties.</x:t>
        </x:is>
      </x:c>
      <x:c r="E20" s="149" t="inlineStr">
        <x:is>
          <x:t xml:space="preserve">package</x:t>
        </x:is>
      </x:c>
      <x:c r="F20" s="149" t="inlineStr">
        <x:is>
          <x:t xml:space="preserve">css</x:t>
        </x:is>
      </x:c>
      <x:c r="G20" s="150" t="inlineStr">
        <x:is>
          <x:t xml:space="preserve">../src/components/image/image.css</x:t>
        </x:is>
      </x:c>
      <x:c r="H20" s="149" t="inlineStr">
        <x:is>
          <x:t xml:space="preserve">tested</x:t>
        </x:is>
      </x:c>
      <x:c r="I20" s="149" t="inlineStr">
        <x:is>
          <x:t xml:space="preserve">no</x:t>
        </x:is>
      </x:c>
      <x:c r="J20" s="151" t="n"/>
      <x:c r="K20" s="150" t="n"/>
      <x:c r="L20" s="149" t="n">
        <x:v>1</x:v>
      </x:c>
      <x:c r="M20" s="149" t="n">
        <x:f>IF(OR(H20="not started",H20="partial",H20="implemented"),0,1)</x:f>
        <x:v>1</x:v>
      </x:c>
    </x:row>
    <x:row r="21" s="127" customFormat="1" ht="54" customHeight="1">
      <x:c r="A21" s="149" t="inlineStr">
        <x:is>
          <x:t xml:space="preserve">IM-13</x:t>
        </x:is>
      </x:c>
      <x:c r="B21" s="149" t="inlineStr">
        <x:is>
          <x:t xml:space="preserve">SSR</x:t>
        </x:is>
      </x:c>
      <x:c r="C21" s="149" t="inlineStr">
        <x:is>
          <x:t xml:space="preserve">Image</x:t>
        </x:is>
      </x:c>
      <x:c r="D21" s="150" t="inlineStr">
        <x:is>
          <x:t xml:space="preserve">SSR-known Root src/srcSet retains one native img and hints without false idle fallback; Content-only SSR limitation is documented.</x:t>
        </x:is>
      </x:c>
      <x:c r="E21" s="149" t="inlineStr">
        <x:is>
          <x:t xml:space="preserve">package</x:t>
        </x:is>
      </x:c>
      <x:c r="F21" s="149" t="inlineStr">
        <x:is>
          <x:t xml:space="preserve">package</x:t>
        </x:is>
      </x:c>
      <x:c r="G21" s="150" t="inlineStr">
        <x:is>
          <x:t xml:space="preserve">../test/package/ssr.test.mjs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/>
      <x:c r="K21" s="150" t="n"/>
      <x:c r="L21" s="149" t="n">
        <x:v>1</x:v>
      </x:c>
      <x:c r="M21" s="149" t="n">
        <x:f>IF(OR(H21="not started",H21="partial",H21="implemented"),0,1)</x:f>
        <x:v>1</x:v>
      </x:c>
    </x:row>
    <x:row r="22" s="127" customFormat="1" ht="54" customHeight="1">
      <x:c r="A22" s="149" t="inlineStr">
        <x:is>
          <x:t xml:space="preserve">IM-14</x:t>
        </x:is>
      </x:c>
      <x:c r="B22" s="149" t="inlineStr">
        <x:is>
          <x:t xml:space="preserve">Playground</x:t>
        </x:is>
      </x:c>
      <x:c r="C22" s="149" t="inlineStr">
        <x:is>
          <x:t xml:space="preserve">Image</x:t>
        </x:is>
      </x:c>
      <x:c r="D22" s="150" t="inlineStr">
        <x:is>
          <x:t xml:space="preserve">Inline docs, part TOC, source/code parity and responsive examples; nine-scenario qualification route retained.</x:t>
        </x:is>
      </x:c>
      <x:c r="E22" s="149" t="inlineStr">
        <x:is>
          <x:t xml:space="preserve">package</x:t>
        </x:is>
      </x:c>
      <x:c r="F22" s="149" t="inlineStr">
        <x:is>
          <x:t xml:space="preserve">browser</x:t>
        </x:is>
      </x:c>
      <x:c r="G22" s="150" t="inlineStr">
        <x:is>
          <x:t xml:space="preserve">../playground/src/components/image/ImagePage.tsx; ../playground/tests/components/image/behavior.spec.ts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/>
      <x:c r="K22" s="150" t="n"/>
      <x:c r="L22" s="149" t="n">
        <x:v>1</x:v>
      </x:c>
      <x:c r="M22" s="149" t="n">
        <x:f>IF(OR(H22="not started",H22="partial",H22="implemented"),0,1)</x:f>
        <x:v>1</x:v>
      </x:c>
    </x:row>
    <x:row r="23" s="127" customFormat="1" ht="54" customHeight="1">
      <x:c r="A23" s="149" t="inlineStr">
        <x:is>
          <x:t xml:space="preserve">IM-15</x:t>
        </x:is>
      </x:c>
      <x:c r="B23" s="149" t="inlineStr">
        <x:is>
          <x:t xml:space="preserve">Visual</x:t>
        </x:is>
      </x:c>
      <x:c r="C23" s="149" t="inlineStr">
        <x:is>
          <x:t xml:space="preserve">Image</x:t>
        </x:is>
      </x:c>
      <x:c r="D23" s="150" t="inlineStr">
        <x:is>
          <x:t xml:space="preserve">Defaults, fits, positions, geometry, fallback, appearance, mobile, and forced colors own reviewed-risk baselines.</x:t>
        </x:is>
      </x:c>
      <x:c r="E23" s="149" t="inlineStr">
        <x:is>
          <x:t xml:space="preserve">package</x:t>
        </x:is>
      </x:c>
      <x:c r="F23" s="149" t="inlineStr">
        <x:is>
          <x:t xml:space="preserve">visual</x:t>
        </x:is>
      </x:c>
      <x:c r="G23" s="150" t="inlineStr">
        <x:is>
          <x:t xml:space="preserve">../playground/tests/components/image/visual.spec.ts</x:t>
        </x:is>
      </x:c>
      <x:c r="H23" s="149" t="inlineStr">
        <x:is>
          <x:t xml:space="preserve">implemented</x:t>
        </x:is>
      </x:c>
      <x:c r="I23" s="149" t="inlineStr">
        <x:is>
          <x:t xml:space="preserve">yes</x:t>
        </x:is>
      </x:c>
      <x:c r="J23" s="151" t="n"/>
      <x:c r="K23" s="150" t="inlineStr">
        <x:is>
          <x:t xml:space="preserve">Owner manual review pending.</x:t>
        </x:is>
      </x:c>
      <x:c r="L23" s="149" t="n">
        <x:v>1</x:v>
      </x:c>
      <x:c r="M23" s="149" t="n">
        <x:f>IF(OR(H23="not started",H23="partial",H23="implemented"),0,1)</x:f>
        <x:v>0</x:v>
      </x:c>
    </x:row>
    <x:row r="24" s="127" customFormat="1" ht="54" customHeight="1">
      <x:c r="A24" s="149" t="inlineStr">
        <x:is>
          <x:t xml:space="preserve">IM-16</x:t>
        </x:is>
      </x:c>
      <x:c r="B24" s="149" t="inlineStr">
        <x:is>
          <x:t xml:space="preserve">Responsive</x:t>
        </x:is>
      </x:c>
      <x:c r="C24" s="149" t="inlineStr">
        <x:is>
          <x:t xml:space="preserve">Image</x:t>
        </x:is>
      </x:c>
      <x:c r="D24" s="150" t="inlineStr">
        <x:is>
          <x:t xml:space="preserve">Narrow, long fallback, RTL, mobile, zoom, text spacing, and physical-device containment are reviewed.</x:t>
        </x:is>
      </x:c>
      <x:c r="E24" s="149" t="inlineStr">
        <x:is>
          <x:t xml:space="preserve">package</x:t>
        </x:is>
      </x:c>
      <x:c r="F24" s="149" t="inlineStr">
        <x:is>
          <x:t xml:space="preserve">manual</x:t>
        </x:is>
      </x:c>
      <x:c r="G24" s="150" t="inlineStr">
        <x:is>
          <x:t xml:space="preserve">../playground/manual-tests/image.md</x:t>
        </x:is>
      </x:c>
      <x:c r="H24" s="149" t="inlineStr">
        <x:is>
          <x:t xml:space="preserve">implemented</x:t>
        </x:is>
      </x:c>
      <x:c r="I24" s="149" t="inlineStr">
        <x:is>
          <x:t xml:space="preserve">yes</x:t>
        </x:is>
      </x:c>
      <x:c r="J24" s="151" t="n"/>
      <x:c r="K24" s="150" t="inlineStr">
        <x:is>
          <x:t xml:space="preserve">Owner manual review pending.</x:t>
        </x:is>
      </x:c>
      <x:c r="L24" s="149" t="n">
        <x:v>1</x:v>
      </x:c>
      <x:c r="M24" s="149" t="n">
        <x:f>IF(OR(H24="not started",H24="partial",H24="implemented"),0,1)</x:f>
        <x:v>0</x:v>
      </x:c>
    </x:row>
    <x:row r="25" s="127" customFormat="1" ht="54" customHeight="1">
      <x:c r="A25" s="149" t="inlineStr">
        <x:is>
          <x:t xml:space="preserve">IM-17</x:t>
        </x:is>
      </x:c>
      <x:c r="B25" s="149" t="inlineStr">
        <x:is>
          <x:t xml:space="preserve">Manual</x:t>
        </x:is>
      </x:c>
      <x:c r="C25" s="149" t="inlineStr">
        <x:is>
          <x:t xml:space="preserve">Image</x:t>
        </x:is>
      </x:c>
      <x:c r="D25" s="150" t="inlineStr">
        <x:is>
          <x:t xml:space="preserve">The concise protocol covers every Image scenario, source flow, appearance, device, and assistive-technology judgment.</x:t>
        </x:is>
      </x:c>
      <x:c r="E25" s="149" t="inlineStr">
        <x:is>
          <x:t xml:space="preserve">package</x:t>
        </x:is>
      </x:c>
      <x:c r="F25" s="149" t="inlineStr">
        <x:is>
          <x:t xml:space="preserve">manual</x:t>
        </x:is>
      </x:c>
      <x:c r="G25" s="150" t="inlineStr">
        <x:is>
          <x:t xml:space="preserve">../playground/manual-tests/image.md</x:t>
        </x:is>
      </x:c>
      <x:c r="H25" s="149" t="inlineStr">
        <x:is>
          <x:t xml:space="preserve">implemented</x:t>
        </x:is>
      </x:c>
      <x:c r="I25" s="149" t="inlineStr">
        <x:is>
          <x:t xml:space="preserve">yes</x:t>
        </x:is>
      </x:c>
      <x:c r="J25" s="151" t="n"/>
      <x:c r="K25" s="150" t="inlineStr">
        <x:is>
          <x:t xml:space="preserve">Owner manual review pending.</x:t>
        </x:is>
      </x:c>
      <x:c r="L25" s="149" t="n">
        <x:v>1</x:v>
      </x:c>
      <x:c r="M25" s="149" t="n">
        <x:f>IF(OR(H25="not started",H25="partial",H25="implemented"),0,1)</x:f>
        <x:v>0</x:v>
      </x:c>
    </x:row>
    <x:row r="26" s="127" customFormat="1" ht="54" customHeight="1">
      <x:c r="A26" s="149" t="inlineStr">
        <x:is>
          <x:t xml:space="preserve">IM-18</x:t>
        </x:is>
      </x:c>
      <x:c r="B26" s="149" t="inlineStr">
        <x:is>
          <x:t xml:space="preserve">Docs</x:t>
        </x:is>
      </x:c>
      <x:c r="C26" s="149" t="inlineStr">
        <x:is>
          <x:t xml:space="preserve">Image</x:t>
        </x:is>
      </x:c>
      <x:c r="D26" s="150" t="inlineStr">
        <x:is>
          <x:t xml:space="preserve">Source-backed ownership, alt guidance, API, recipes, native attrs, tokens, composition, and exclusions pass.</x:t>
        </x:is>
      </x:c>
      <x:c r="E26" s="149" t="inlineStr">
        <x:is>
          <x:t xml:space="preserve">package</x:t>
        </x:is>
      </x:c>
      <x:c r="F26" s="149" t="inlineStr">
        <x:is>
          <x:t xml:space="preserve">docs</x:t>
        </x:is>
      </x:c>
      <x:c r="G26" s="150" t="inlineStr">
        <x:is>
          <x:t xml:space="preserve">../docs/components/image/README.md</x:t>
        </x:is>
      </x:c>
      <x:c r="H26" s="149" t="inlineStr">
        <x:is>
          <x:t xml:space="preserve">tested</x:t>
        </x:is>
      </x:c>
      <x:c r="I26" s="149" t="inlineStr">
        <x:is>
          <x:t xml:space="preserve">no</x:t>
        </x:is>
      </x:c>
      <x:c r="J26" s="151" t="n"/>
      <x:c r="K26" s="150" t="n"/>
      <x:c r="L26" s="149" t="n">
        <x:v>1</x:v>
      </x:c>
      <x:c r="M26" s="149" t="n">
        <x:f>IF(OR(H26="not started",H26="partial",H26="implemented"),0,1)</x:f>
        <x:v>1</x:v>
      </x:c>
    </x:row>
    <x:row r="27" s="127" customFormat="1" ht="54" customHeight="1">
      <x:c r="A27" s="149" t="inlineStr">
        <x:is>
          <x:t xml:space="preserve">IM-19</x:t>
        </x:is>
      </x:c>
      <x:c r="B27" s="149" t="inlineStr">
        <x:is>
          <x:t xml:space="preserve">Changelog</x:t>
        </x:is>
      </x:c>
      <x:c r="C27" s="149" t="inlineStr">
        <x:is>
          <x:t xml:space="preserve">Image</x:t>
        </x:is>
      </x:c>
      <x:c r="D27" s="150" t="inlineStr">
        <x:is>
          <x:t xml:space="preserve">Image owns a public changelog and package release-facing entry.</x:t>
        </x:is>
      </x:c>
      <x:c r="E27" s="149" t="inlineStr">
        <x:is>
          <x:t xml:space="preserve">package</x:t>
        </x:is>
      </x:c>
      <x:c r="F27" s="149" t="inlineStr">
        <x:is>
          <x:t xml:space="preserve">docs</x:t>
        </x:is>
      </x:c>
      <x:c r="G27" s="150" t="inlineStr">
        <x:is>
          <x:t xml:space="preserve">../docs/components/image/CHANGELOG.md; ../CHANGELOG.md</x:t>
        </x:is>
      </x:c>
      <x:c r="H27" s="149" t="inlineStr">
        <x:is>
          <x:t xml:space="preserve">tested</x:t>
        </x:is>
      </x:c>
      <x:c r="I27" s="149" t="inlineStr">
        <x:is>
          <x:t xml:space="preserve">no</x:t>
        </x:is>
      </x:c>
      <x:c r="J27" s="151" t="n"/>
      <x:c r="K27" s="150" t="n"/>
      <x:c r="L27" s="149" t="n">
        <x:v>1</x:v>
      </x:c>
      <x:c r="M27" s="149" t="n">
        <x:f>IF(OR(H27="not started",H27="partial",H27="implemented"),0,1)</x:f>
        <x:v>1</x:v>
      </x:c>
    </x:row>
    <x:row r="28" s="127" customFormat="1" ht="54" customHeight="1">
      <x:c r="A28" s="149" t="inlineStr">
        <x:is>
          <x:t xml:space="preserve">IM-20</x:t>
        </x:is>
      </x:c>
      <x:c r="B28" s="149" t="inlineStr">
        <x:is>
          <x:t xml:space="preserve">Consumer</x:t>
        </x:is>
      </x:c>
      <x:c r="C28" s="149" t="inlineStr">
        <x:is>
          <x:t xml:space="preserve">Image</x:t>
        </x:is>
      </x:c>
      <x:c r="D28" s="150" t="inlineStr">
        <x:is>
          <x:t xml:space="preserve">Consumer proves the public Image subpath as informative project media inside Card on desktop and mobile.</x:t>
        </x:is>
      </x:c>
      <x:c r="E28" s="149" t="inlineStr">
        <x:is>
          <x:t xml:space="preserve">consumer</x:t>
        </x:is>
      </x:c>
      <x:c r="F28" s="149" t="inlineStr">
        <x:is>
          <x:t xml:space="preserve">consumer</x:t>
        </x:is>
      </x:c>
      <x:c r="G28" s="150" t="inlineStr">
        <x:is>
          <x:t xml:space="preserve">../apps/consumer/src/App.tsx; ../apps/consumer/tests/consumer.spec.ts</x:t>
        </x:is>
      </x:c>
      <x:c r="H28" s="149" t="inlineStr">
        <x:is>
          <x:t xml:space="preserve">tested</x:t>
        </x:is>
      </x:c>
      <x:c r="I28" s="149" t="inlineStr">
        <x:is>
          <x:t xml:space="preserve">no</x:t>
        </x:is>
      </x:c>
      <x:c r="J28" s="151" t="n"/>
      <x:c r="K28" s="150" t="n"/>
      <x:c r="L28" s="149" t="n">
        <x:v>1</x:v>
      </x:c>
      <x:c r="M28" s="149" t="n">
        <x:f>IF(OR(H28="not started",H28="partial",H28="implemented"),0,1)</x:f>
        <x:v>1</x:v>
      </x:c>
    </x:row>
    <x:row r="29" s="127" customFormat="1" ht="54" customHeight="1">
      <x:c r="A29" s="149" t="inlineStr">
        <x:is>
          <x:t xml:space="preserve">IM-21</x:t>
        </x:is>
      </x:c>
      <x:c r="B29" s="149" t="inlineStr">
        <x:is>
          <x:t xml:space="preserve">Adoption</x:t>
        </x:is>
      </x:c>
      <x:c r="C29" s="149" t="inlineStr">
        <x:is>
          <x:t xml:space="preserve">Image</x:t>
        </x:is>
      </x:c>
      <x:c r="D29" s="150" t="inlineStr">
        <x:is>
          <x:t xml:space="preserve">Card finished media and Consumer adopt Image while Avatar and Icon Button native child evidence remain correctly owned.</x:t>
        </x:is>
      </x:c>
      <x:c r="E29" s="149" t="inlineStr">
        <x:is>
          <x:t xml:space="preserve">package</x:t>
        </x:is>
      </x:c>
      <x:c r="F29" s="149" t="inlineStr">
        <x:is>
          <x:t xml:space="preserve">adoption</x:t>
        </x:is>
      </x:c>
      <x:c r="G29" s="150" t="inlineStr">
        <x:is>
          <x:t xml:space="preserve">../scripts/verify-playground-image.mjs; ../playground/docs/image-adoption-audit.md</x:t>
        </x:is>
      </x:c>
      <x:c r="H29" s="149" t="inlineStr">
        <x:is>
          <x:t xml:space="preserve">tested</x:t>
        </x:is>
      </x:c>
      <x:c r="I29" s="149" t="inlineStr">
        <x:is>
          <x:t xml:space="preserve">no</x:t>
        </x:is>
      </x:c>
      <x:c r="J29" s="151" t="n"/>
      <x:c r="K29" s="150" t="n"/>
      <x:c r="L29" s="149" t="n">
        <x:v>1</x:v>
      </x:c>
      <x:c r="M29" s="149" t="n">
        <x:f>IF(OR(H29="not started",H29="partial",H29="implemented"),0,1)</x:f>
        <x:v>1</x:v>
      </x:c>
    </x:row>
    <x:row r="30" s="127" customFormat="1" ht="54" customHeight="1">
      <x:c r="A30" s="149" t="inlineStr">
        <x:is>
          <x:t xml:space="preserve">IM-22</x:t>
        </x:is>
      </x:c>
      <x:c r="B30" s="149" t="inlineStr">
        <x:is>
          <x:t xml:space="preserve">Package</x:t>
        </x:is>
      </x:c>
      <x:c r="C30" s="149" t="inlineStr">
        <x:is>
          <x:t xml:space="preserve">Image</x:t>
        </x:is>
      </x:c>
      <x:c r="D30" s="150" t="inlineStr">
        <x:is>
          <x:t xml:space="preserve">Build, SSR, exports, CSS, archive, Consumer, browser, visual, docs, and adoption gates pass.</x:t>
        </x:is>
      </x:c>
      <x:c r="E30" s="149" t="inlineStr">
        <x:is>
          <x:t xml:space="preserve">package</x:t>
        </x:is>
      </x:c>
      <x:c r="F30" s="149" t="inlineStr">
        <x:is>
          <x:t xml:space="preserve">package</x:t>
        </x:is>
      </x:c>
      <x:c r="G30" s="150" t="inlineStr">
        <x:is>
          <x:t xml:space="preserve">../test/package/package.test.mjs</x:t>
        </x:is>
      </x:c>
      <x:c r="H30" s="149" t="inlineStr">
        <x:is>
          <x:t xml:space="preserve">partial</x:t>
        </x:is>
      </x:c>
      <x:c r="I30" s="149" t="inlineStr">
        <x:is>
          <x:t xml:space="preserve">no</x:t>
        </x:is>
      </x:c>
      <x:c r="J30" s="151" t="n"/>
      <x:c r="K30" s="150" t="inlineStr">
        <x:is>
          <x:t xml:space="preserve">Broader repository failures and human qualification remain open.</x:t>
        </x:is>
      </x:c>
      <x:c r="L30" s="149" t="n">
        <x:v>1</x:v>
      </x:c>
      <x:c r="M30" s="149" t="n">
        <x:f>IF(OR(H30="not started",H30="partial",H30="implemented"),0,1)</x:f>
        <x:v>0</x:v>
      </x:c>
    </x:row>
    <x:row r="31" s="135" customFormat="1" ht="72" customHeight="1">
      <x:c r="A31" s="149" t="inlineStr">
        <x:is>
          <x:t xml:space="preserve">IM-23</x:t>
        </x:is>
      </x:c>
      <x:c r="B31" s="149" t="inlineStr">
        <x:is>
          <x:t xml:space="preserve">Responsive crop</x:t>
        </x:is>
      </x:c>
      <x:c r="C31" s="149" t="inlineStr">
        <x:is>
          <x:t xml:space="preserve">Root</x:t>
        </x:is>
      </x:c>
      <x:c r="D31" s="150" t="inlineStr">
        <x:is>
          <x:t xml:space="preserve">Sparse fit/position/ratio defaults, inherited breakpoints and numeric ratio normalization.</x:t>
        </x:is>
      </x:c>
      <x:c r="E31" s="149" t="inlineStr">
        <x:is>
          <x:t xml:space="preserve">package</x:t>
        </x:is>
      </x:c>
      <x:c r="F31" s="149" t="inlineStr">
        <x:is>
          <x:t xml:space="preserve">browser</x:t>
        </x:is>
      </x:c>
      <x:c r="G31" s="150" t="inlineStr">
        <x:is>
          <x:t xml:space="preserve">../test/components/image/image.test.tsx; ../playground/tests/components/image/docs.spec.ts</x:t>
        </x:is>
      </x:c>
      <x:c r="H31" s="149" t="inlineStr">
        <x:is>
          <x:t xml:space="preserve">tested</x:t>
        </x:is>
      </x:c>
      <x:c r="I31" s="149" t="inlineStr">
        <x:is>
          <x:t xml:space="preserve">no</x:t>
        </x:is>
      </x:c>
      <x:c r="J31" s="151" t="n"/>
      <x:c r="K31" s="150" t="n"/>
      <x:c r="L31" s="149" t="n">
        <x:v>1</x:v>
      </x:c>
      <x:c r="M31" s="149" t="n">
        <x:f>IF(OR(H31="not applicable",H31="verified",AND(H31="tested",I31="no")),1,0)</x:f>
        <x:v>1</x:v>
      </x:c>
    </x:row>
    <x:row r="32" s="135" customFormat="1" ht="72" customHeight="1">
      <x:c r="A32" s="149" t="inlineStr">
        <x:is>
          <x:t xml:space="preserve">IM-24</x:t>
        </x:is>
      </x:c>
      <x:c r="B32" s="149" t="inlineStr">
        <x:is>
          <x:t xml:space="preserve">Picture</x:t>
        </x:is>
      </x:c>
      <x:c r="C32" s="149" t="inlineStr">
        <x:is>
          <x:t xml:space="preserve">Root / Content</x:t>
        </x:is>
      </x:c>
      <x:c r="D32" s="150" t="inlineStr">
        <x:is>
          <x:t xml:space="preserve">Root-as-picture preserves native selection, direct Content geometry and phrasing fallback.</x:t>
        </x:is>
      </x:c>
      <x:c r="E32" s="149" t="inlineStr">
        <x:is>
          <x:t xml:space="preserve">package</x:t>
        </x:is>
      </x:c>
      <x:c r="F32" s="149" t="inlineStr">
        <x:is>
          <x:t xml:space="preserve">browser</x:t>
        </x:is>
      </x:c>
      <x:c r="G32" s="150" t="inlineStr">
        <x:is>
          <x:t xml:space="preserve">../playground/tests/components/image/docs.spec.ts</x:t>
        </x:is>
      </x:c>
      <x:c r="H32" s="149" t="inlineStr">
        <x:is>
          <x:t xml:space="preserve">tested</x:t>
        </x:is>
      </x:c>
      <x:c r="I32" s="149" t="inlineStr">
        <x:is>
          <x:t xml:space="preserve">no</x:t>
        </x:is>
      </x:c>
      <x:c r="J32" s="151" t="n"/>
      <x:c r="K32" s="150" t="inlineStr">
        <x:is>
          <x:t xml:space="preserve">Nested picture ratio/fill unsupported; use Root-as-picture.</x:t>
        </x:is>
      </x:c>
      <x:c r="L32" s="149" t="n">
        <x:v>1</x:v>
      </x:c>
      <x:c r="M32" s="149" t="n">
        <x:f>IF(OR(H32="not applicable",H32="verified",AND(H32="tested",I32="no")),1,0)</x:f>
        <x:v>1</x:v>
      </x:c>
    </x:row>
    <x:row r="33" s="135" customFormat="1" ht="72" customHeight="1">
      <x:c r="A33" s="149" t="inlineStr">
        <x:is>
          <x:t xml:space="preserve">IM-25</x:t>
        </x:is>
      </x:c>
      <x:c r="B33" s="149" t="inlineStr">
        <x:is>
          <x:t xml:space="preserve">Next</x:t>
        </x:is>
      </x:c>
      <x:c r="C33" s="149" t="inlineStr">
        <x:is>
          <x:t xml:space="preserve">Content</x:t>
        </x:is>
      </x:c>
      <x:c r="D33" s="150" t="inlineStr">
        <x:is>
          <x:t xml:space="preserve">Production Next Image and getImageProps preserve optimized delivery, refs, events, SSR and error recovery.</x:t>
        </x:is>
      </x:c>
      <x:c r="E33" s="149" t="inlineStr">
        <x:is>
          <x:t xml:space="preserve">package</x:t>
        </x:is>
      </x:c>
      <x:c r="F33" s="149" t="inlineStr">
        <x:is>
          <x:t xml:space="preserve">integration</x:t>
        </x:is>
      </x:c>
      <x:c r="G33" s="150" t="inlineStr">
        <x:is>
          <x:t xml:space="preserve">../scripts/verify-image-next.mjs; ../test/fixtures/image-next</x:t>
        </x:is>
      </x:c>
      <x:c r="H33" s="149" t="inlineStr">
        <x:is>
          <x:t xml:space="preserve">tested</x:t>
        </x:is>
      </x:c>
      <x:c r="I33" s="149" t="inlineStr">
        <x:is>
          <x:t xml:space="preserve">no</x:t>
        </x:is>
      </x:c>
      <x:c r="J33" s="151" t="n"/>
      <x:c r="K33" s="150" t="n"/>
      <x:c r="L33" s="149" t="n">
        <x:v>1</x:v>
      </x:c>
      <x:c r="M33" s="149" t="n">
        <x:f>IF(OR(H33="not applicable",H33="verified",AND(H33="tested",I33="no")),1,0)</x:f>
        <x:v>1</x:v>
      </x:c>
    </x:row>
    <x:row r="34" s="135" customFormat="1" ht="72" customHeight="1">
      <x:c r="A34" s="149" t="inlineStr">
        <x:is>
          <x:t xml:space="preserve">IM-26</x:t>
        </x:is>
      </x:c>
      <x:c r="B34" s="149" t="inlineStr">
        <x:is>
          <x:t xml:space="preserve">Delivery</x:t>
        </x:is>
      </x:c>
      <x:c r="C34" s="149" t="inlineStr">
        <x:is>
          <x:t xml:space="preserve">Content</x:t>
        </x:is>
      </x:c>
      <x:c r="D34" s="150" t="inlineStr">
        <x:is>
          <x:t xml:space="preserve">Native lazy request deferred until scroll; optimized endpoint and warm cache verified at narrow/wide sizes.</x:t>
        </x:is>
      </x:c>
      <x:c r="E34" s="149" t="inlineStr">
        <x:is>
          <x:t xml:space="preserve">package</x:t>
        </x:is>
      </x:c>
      <x:c r="F34" s="149" t="inlineStr">
        <x:is>
          <x:t xml:space="preserve">integration</x:t>
        </x:is>
      </x:c>
      <x:c r="G34" s="150" t="inlineStr">
        <x:is>
          <x:t xml:space="preserve">../scripts/verify-image-next.mjs</x:t>
        </x:is>
      </x:c>
      <x:c r="H34" s="149" t="inlineStr">
        <x:is>
          <x:t xml:space="preserve">tested</x:t>
        </x:is>
      </x:c>
      <x:c r="I34" s="149" t="inlineStr">
        <x:is>
          <x:t xml:space="preserve">no</x:t>
        </x:is>
      </x:c>
      <x:c r="J34" s="151" t="n"/>
      <x:c r="K34" s="150" t="n"/>
      <x:c r="L34" s="149" t="n">
        <x:v>1</x:v>
      </x:c>
      <x:c r="M34" s="149" t="n">
        <x:f>IF(OR(H34="not applicable",H34="verified",AND(H34="tested",I34="no")),1,0)</x:f>
        <x:v>1</x:v>
      </x:c>
    </x:row>
    <x:row r="35" s="135" customFormat="1" ht="72" customHeight="1">
      <x:c r="A35" s="149" t="inlineStr">
        <x:is>
          <x:t xml:space="preserve">IM-27</x:t>
        </x:is>
      </x:c>
      <x:c r="B35" s="149" t="inlineStr">
        <x:is>
          <x:t xml:space="preserve">Native platform</x:t>
        </x:is>
      </x:c>
      <x:c r="C35" s="149" t="inlineStr">
        <x:is>
          <x:t xml:space="preserve">All parts</x:t>
        </x:is>
      </x:c>
      <x:c r="D35" s="150" t="inlineStr">
        <x:is>
          <x:t xml:space="preserve">Screen reader, physical mobile, native high contrast and browser zoom owner review.</x:t>
        </x:is>
      </x:c>
      <x:c r="E35" s="149" t="inlineStr">
        <x:is>
          <x:t xml:space="preserve">package</x:t>
        </x:is>
      </x:c>
      <x:c r="F35" s="149" t="inlineStr">
        <x:is>
          <x:t xml:space="preserve">manual</x:t>
        </x:is>
      </x:c>
      <x:c r="G35" s="150" t="inlineStr">
        <x:is>
          <x:t xml:space="preserve">../playground/manual-tests/image.md</x:t>
        </x:is>
      </x:c>
      <x:c r="H35" s="149" t="inlineStr">
        <x:is>
          <x:t xml:space="preserve">implemented</x:t>
        </x:is>
      </x:c>
      <x:c r="I35" s="149" t="inlineStr">
        <x:is>
          <x:t xml:space="preserve">yes</x:t>
        </x:is>
      </x:c>
      <x:c r="J35" s="151" t="n"/>
      <x:c r="K35" s="150" t="inlineStr">
        <x:is>
          <x:t xml:space="preserve">Human review not performed.</x:t>
        </x:is>
      </x:c>
      <x:c r="L35" s="149" t="n">
        <x:v>1</x:v>
      </x:c>
      <x:c r="M35" s="149" t="n">
        <x:f>IF(OR(H35="not applicable",H35="verified",AND(H35="tested",I35="no")),1,0)</x:f>
        <x:v>0</x:v>
      </x:c>
    </x:row>
    <x:row r="36" s="135" customFormat="1" ht="72" customHeight="1">
      <x:c r="A36" s="149" t="inlineStr">
        <x:is>
          <x:t xml:space="preserve">IM-28</x:t>
        </x:is>
      </x:c>
      <x:c r="B36" s="149" t="inlineStr">
        <x:is>
          <x:t xml:space="preserve">Knowledge</x:t>
        </x:is>
      </x:c>
      <x:c r="C36" s="149" t="inlineStr">
        <x:is>
          <x:t xml:space="preserve">Image</x:t>
        </x:is>
      </x:c>
      <x:c r="D36" s="150" t="inlineStr">
        <x:is>
          <x:t xml:space="preserve">Root source ownership, responsive defaults, fallback and framework boundaries agree in canonical guidance.</x:t>
        </x:is>
      </x:c>
      <x:c r="E36" s="149" t="inlineStr">
        <x:is>
          <x:t xml:space="preserve">package</x:t>
        </x:is>
      </x:c>
      <x:c r="F36" s="149" t="inlineStr">
        <x:is>
          <x:t xml:space="preserve">docs</x:t>
        </x:is>
      </x:c>
      <x:c r="G36" s="150" t="inlineStr">
        <x:is>
          <x:t xml:space="preserve">../src/components/image/agent.json; ../docs/components/image/README.md</x:t>
        </x:is>
      </x:c>
      <x:c r="H36" s="149" t="inlineStr">
        <x:is>
          <x:t xml:space="preserve">tested</x:t>
        </x:is>
      </x:c>
      <x:c r="I36" s="149" t="inlineStr">
        <x:is>
          <x:t xml:space="preserve">no</x:t>
        </x:is>
      </x:c>
      <x:c r="J36" s="151" t="n"/>
      <x:c r="K36" s="150" t="n"/>
      <x:c r="L36" s="149" t="n">
        <x:v>1</x:v>
      </x:c>
      <x:c r="M36" s="149" t="n">
        <x:f>IF(OR(H36="not applicable",H36="verified",AND(H36="tested",I36="no")),1,0)</x:f>
        <x:v>1</x:v>
      </x:c>
    </x:row>
  </x:sheetData>
  <x:mergeCells>
    <x:mergeCell ref="A2:M2"/>
    <x:mergeCell ref="A1:M1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List Evidence</x:t>
        </x:is>
      </x:c>
    </x:row>
    <x:row r="2" s="127" customFormat="1" ht="27.75" customHeight="1">
      <x:c r="A2" s="129" t="inlineStr">
        <x:is>
          <x:t xml:space="preserve">Assertion-level native semantics, anatomy, recipes, browser, human-review, documentation, Consumer, and adoption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COUNTA(A9:A27)</x:f>
        <x:v>19</x:v>
      </x:c>
      <x:c r="D4" s="130" t="inlineStr">
        <x:is>
          <x:t xml:space="preserve">Resolved</x:t>
        </x:is>
      </x:c>
      <x:c r="E4" s="131" t="n">
        <x:f>SUM(M9:M27)</x:f>
        <x:v>14</x:v>
      </x:c>
      <x:c r="G4" s="130" t="inlineStr">
        <x:is>
          <x:t xml:space="preserve">Completion</x:t>
        </x:is>
      </x:c>
      <x:c r="H4" s="132" t="n">
        <x:f>IF(B4=0,0,E4/B4)</x:f>
        <x:v>0.7368421052631579</x:v>
      </x:c>
      <x:c r="J4" s="130" t="inlineStr">
        <x:is>
          <x:t xml:space="preserve">Package gate</x:t>
        </x:is>
      </x:c>
      <x:c r="K4" s="131" t="str">
        <x:f>IF(COUNTIFS(E9:E27,"package",M9:M27,0)&gt;0,"open","complete")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IF(COUNTIFS(I9:I27,"yes",M9:M27,0)&gt;0,"open","complete")</x:f>
        <x:v>open</x:v>
      </x:c>
      <x:c r="D5" s="130" t="inlineStr">
        <x:is>
          <x:t xml:space="preserve">Consumer gate</x:t>
        </x:is>
      </x:c>
      <x:c r="E5" s="131" t="str">
        <x:f>IF(COUNTIFS(E9:E27,"consumer",M9:M27,0)&gt;0,"open","complete")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L-01</x:t>
        </x:is>
      </x:c>
      <x:c r="B9" s="149" t="inlineStr">
        <x:is>
          <x:t xml:space="preserve">Implementation</x:t>
        </x:is>
      </x:c>
      <x:c r="C9" s="149" t="inlineStr">
        <x:is>
          <x:t xml:space="preserve">Root and Item</x:t>
        </x:is>
      </x:c>
      <x:c r="D9" s="150" t="inlineStr">
        <x:is>
          <x:t xml:space="preserve">Root and Item adapt released Atom List while preserving native ul, ol, li, attributes, slots, composition, refs, and authored children.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../src/components/list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46229</x:v>
      </x:c>
      <x:c r="K9" s="150" t="inlineStr">
        <x:is>
          <x:t xml:space="preserve">Local Atom 0.26.1 candidate. Unpublished. Parity qualification September 11, 2026.</x:t>
        </x:is>
      </x:c>
      <x:c r="M9" s="149" t="n">
        <x:f>IF(OR(H9="tested",H9="verified"),1,0)</x:f>
        <x:v>1</x:v>
      </x:c>
    </x:row>
    <x:row r="10" s="127" customFormat="1" ht="54" customHeight="1">
      <x:c r="A10" s="149" t="inlineStr">
        <x:is>
          <x:t xml:space="preserve">L-02</x:t>
        </x:is>
      </x:c>
      <x:c r="B10" s="149" t="inlineStr">
        <x:is>
          <x:t xml:space="preserve">Anatomy</x:t>
        </x:is>
      </x:c>
      <x:c r="C10" s="149" t="inlineStr">
        <x:is>
          <x:t xml:space="preserve">Leading, Content, Title, Description, Trailing</x:t>
        </x:is>
      </x:c>
      <x:c r="D10" s="150" t="inlineStr">
        <x:is>
          <x:t xml:space="preserve">Five static parts support asChild with merged classes, refs and events; native hosts remain available.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../test/components/list/list.test.tsx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46278.5</x:v>
      </x:c>
      <x:c r="K10" s="150" t="n"/>
      <x:c r="M10" s="149" t="n">
        <x:f>IF(OR(H10="tested",H10="verified"),1,0)</x:f>
        <x:v>1</x:v>
      </x:c>
    </x:row>
    <x:row r="11" s="127" customFormat="1" ht="54" customHeight="1">
      <x:c r="A11" s="149" t="inlineStr">
        <x:is>
          <x:t xml:space="preserve">L-03</x:t>
        </x:is>
      </x:c>
      <x:c r="B11" s="149" t="inlineStr">
        <x:is>
          <x:t xml:space="preserve">Exports</x:t>
        </x:is>
      </x:c>
      <x:c r="C11" s="149" t="inlineStr">
        <x:is>
          <x:t xml:space="preserve">List</x:t>
        </x:is>
      </x:c>
      <x:c r="D11" s="150" t="inlineStr">
        <x:is>
          <x:t xml:space="preserve">Root and List subpath exports expose the compound runtime and every public List type.</x:t>
        </x:is>
      </x:c>
      <x:c r="E11" s="149" t="inlineStr">
        <x:is>
          <x:t xml:space="preserve">package</x:t>
        </x:is>
      </x:c>
      <x:c r="F11" s="149" t="inlineStr">
        <x:is>
          <x:t xml:space="preserve">package</x:t>
        </x:is>
      </x:c>
      <x:c r="G11" s="150" t="inlineStr">
        <x:is>
          <x:t xml:space="preserve">../test/package/package.test.mjs; ../test/package/ssr.test.mjs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46229</x:v>
      </x:c>
      <x:c r="K11" s="150" t="n"/>
      <x:c r="M11" s="149" t="n">
        <x:f>IF(OR(H11="tested",H11="verified"),1,0)</x:f>
        <x:v>1</x:v>
      </x:c>
    </x:row>
    <x:row r="12" s="127" customFormat="1" ht="54" customHeight="1">
      <x:c r="A12" s="149" t="inlineStr">
        <x:is>
          <x:t xml:space="preserve">L-04</x:t>
        </x:is>
      </x:c>
      <x:c r="B12" s="149" t="inlineStr">
        <x:is>
          <x:t xml:space="preserve">Types</x:t>
        </x:is>
      </x:c>
      <x:c r="C12" s="149" t="inlineStr">
        <x:is>
          <x:t xml:space="preserve">List</x:t>
        </x:is>
      </x:c>
      <x:c r="D12" s="150" t="inlineStr">
        <x:is>
          <x:t xml:space="preserve">Types cover inherited size, semantic marker tones, responsive nestedInset and one-element static composition.</x:t>
        </x:is>
      </x:c>
      <x:c r="E12" s="149" t="inlineStr">
        <x:is>
          <x:t xml:space="preserve">package</x:t>
        </x:is>
      </x:c>
      <x:c r="F12" s="149" t="inlineStr">
        <x:is>
          <x:t xml:space="preserve">types</x:t>
        </x:is>
      </x:c>
      <x:c r="G12" s="150" t="inlineStr">
        <x:is>
          <x:t xml:space="preserve">../test/types/components/list.test.ts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46278.5</x:v>
      </x:c>
      <x:c r="K12" s="150" t="n"/>
      <x:c r="M12" s="149" t="n">
        <x:f>IF(OR(H12="tested",H12="verified"),1,0)</x:f>
        <x:v>1</x:v>
      </x:c>
    </x:row>
    <x:row r="13" s="127" customFormat="1" ht="54" customHeight="1">
      <x:c r="A13" s="149" t="inlineStr">
        <x:is>
          <x:t xml:space="preserve">L-05</x:t>
        </x:is>
      </x:c>
      <x:c r="B13" s="149" t="inlineStr">
        <x:is>
          <x:t xml:space="preserve">CSS</x:t>
        </x:is>
      </x:c>
      <x:c r="C13" s="149" t="inlineStr">
        <x:is>
          <x:t xml:space="preserve">List</x:t>
        </x:is>
      </x:c>
      <x:c r="D13" s="150" t="inlineStr">
        <x:is>
          <x:t xml:space="preserve">CSS exposes deterministic data attributes for align and inset; inset none removes ordinary row inline padding while bordered marker geometry remains recipe-owned.</x:t>
        </x:is>
      </x:c>
      <x:c r="E13" s="149" t="inlineStr">
        <x:is>
          <x:t xml:space="preserve">package</x:t>
        </x:is>
      </x:c>
      <x:c r="F13" s="149" t="inlineStr">
        <x:is>
          <x:t xml:space="preserve">css</x:t>
        </x:is>
      </x:c>
      <x:c r="G13" s="150" t="inlineStr">
        <x:is>
          <x:t xml:space="preserve">../src/components/list/list.css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46268.66666666666</x:v>
      </x:c>
      <x:c r="K13" s="150" t="n"/>
      <x:c r="M13" s="149" t="n">
        <x:f>IF(OR(H13="tested",H13="verified"),1,0)</x:f>
        <x:v>1</x:v>
      </x:c>
    </x:row>
    <x:row r="14" s="127" customFormat="1" ht="54" customHeight="1">
      <x:c r="A14" s="149" t="inlineStr">
        <x:is>
          <x:t xml:space="preserve">L-06</x:t>
        </x:is>
      </x:c>
      <x:c r="B14" s="149" t="inlineStr">
        <x:is>
          <x:t xml:space="preserve">Unit</x:t>
        </x:is>
      </x:c>
      <x:c r="C14" s="149" t="inlineStr">
        <x:is>
          <x:t xml:space="preserve">List</x:t>
        </x:is>
      </x:c>
      <x:c r="D14" s="150" t="inlineStr">
        <x:is>
          <x:t xml:space="preserve">Unit assertions verify defaults, native output, recipe filtering, responsive serialization and static part projection.</x:t>
        </x:is>
      </x:c>
      <x:c r="E14" s="149" t="inlineStr">
        <x:is>
          <x:t xml:space="preserve">package</x:t>
        </x:is>
      </x:c>
      <x:c r="F14" s="149" t="inlineStr">
        <x:is>
          <x:t xml:space="preserve">component</x:t>
        </x:is>
      </x:c>
      <x:c r="G14" s="150" t="inlineStr">
        <x:is>
          <x:t xml:space="preserve">../test/components/list/list.test.tsx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46278.5</x:v>
      </x:c>
      <x:c r="K14" s="150" t="n"/>
      <x:c r="M14" s="149" t="n">
        <x:f>IF(OR(H14="tested",H14="verified"),1,0)</x:f>
        <x:v>1</x:v>
      </x:c>
    </x:row>
    <x:row r="15" s="127" customFormat="1" ht="54" customHeight="1">
      <x:c r="A15" s="149" t="inlineStr">
        <x:is>
          <x:t xml:space="preserve">L-07</x:t>
        </x:is>
      </x:c>
      <x:c r="B15" s="149" t="inlineStr">
        <x:is>
          <x:t xml:space="preserve">Browser</x:t>
        </x:is>
      </x:c>
      <x:c r="C15" s="149" t="inlineStr">
        <x:is>
          <x:t xml:space="preserve">Recipes and semantics</x:t>
        </x:is>
      </x:c>
      <x:c r="D15" s="150" t="inlineStr">
        <x:is>
          <x:t xml:space="preserve">Browser assertions cover native types, marker tones, inherited font metrics and forced colors.</x:t>
        </x:is>
      </x:c>
      <x:c r="E15" s="149" t="inlineStr">
        <x:is>
          <x:t xml:space="preserve">package</x:t>
        </x:is>
      </x:c>
      <x:c r="F15" s="149" t="inlineStr">
        <x:is>
          <x:t xml:space="preserve">browser</x:t>
        </x:is>
      </x:c>
      <x:c r="G15" s="150" t="inlineStr">
        <x:is>
          <x:t xml:space="preserve">tests/components/list/parity.spec.ts; tests/components/list/behavior.spec.ts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46278.5</x:v>
      </x:c>
      <x:c r="K15" s="150" t="n"/>
      <x:c r="M15" s="149" t="n">
        <x:f>IF(OR(H15="tested",H15="verified"),1,0)</x:f>
        <x:v>1</x:v>
      </x:c>
    </x:row>
    <x:row r="16" s="127" customFormat="1" ht="54" customHeight="1">
      <x:c r="A16" s="149" t="inlineStr">
        <x:is>
          <x:t xml:space="preserve">L-08</x:t>
        </x:is>
      </x:c>
      <x:c r="B16" s="149" t="inlineStr">
        <x:is>
          <x:t xml:space="preserve">Geometry</x:t>
        </x:is>
      </x:c>
      <x:c r="C16" s="149" t="inlineStr">
        <x:is>
          <x:t xml:space="preserve">Structured rows</x:t>
        </x:is>
      </x:c>
      <x:c r="D16" s="150" t="inlineStr">
        <x:is>
          <x:t xml:space="preserve">Leading glyphs align to the first line in LTR/RTL; nested indentation responds at narrow and desktop widths.</x:t>
        </x:is>
      </x:c>
      <x:c r="E16" s="149" t="inlineStr">
        <x:is>
          <x:t xml:space="preserve">package</x:t>
        </x:is>
      </x:c>
      <x:c r="F16" s="149" t="inlineStr">
        <x:is>
          <x:t xml:space="preserve">browser</x:t>
        </x:is>
      </x:c>
      <x:c r="G16" s="150" t="inlineStr">
        <x:is>
          <x:t xml:space="preserve">tests/components/list/parity.spec.ts; tests/components/list/behavior.spec.ts</x:t>
        </x:is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n">
        <x:v>46278.5</x:v>
      </x:c>
      <x:c r="K16" s="150" t="n"/>
      <x:c r="M16" s="149" t="n">
        <x:f>IF(OR(H16="tested",H16="verified"),1,0)</x:f>
        <x:v>1</x:v>
      </x:c>
    </x:row>
    <x:row r="17" s="127" customFormat="1" ht="54" customHeight="1">
      <x:c r="A17" s="149" t="inlineStr">
        <x:is>
          <x:t xml:space="preserve">L-09</x:t>
        </x:is>
      </x:c>
      <x:c r="B17" s="149" t="inlineStr">
        <x:is>
          <x:t xml:space="preserve">Accessibility</x:t>
        </x:is>
      </x:c>
      <x:c r="C17" s="149" t="inlineStr">
        <x:is>
          <x:t xml:space="preserve">Native list</x:t>
        </x:is>
      </x:c>
      <x:c r="D17" s="150" t="inlineStr">
        <x:is>
          <x:t xml:space="preserve">List roles, item relationships, marker-free semantics, authored controls, disabled metadata, and axe pass without invented interaction.</x:t>
        </x:is>
      </x:c>
      <x:c r="E17" s="149" t="inlineStr">
        <x:is>
          <x:t xml:space="preserve">package</x:t>
        </x:is>
      </x:c>
      <x:c r="F17" s="149" t="inlineStr">
        <x:is>
          <x:t xml:space="preserve">axe</x:t>
        </x:is>
      </x:c>
      <x:c r="G17" s="150" t="inlineStr">
        <x:is>
          <x:t xml:space="preserve">tests/components/list/behavior.spec.ts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n">
        <x:v>46229</x:v>
      </x:c>
      <x:c r="K17" s="150" t="n"/>
      <x:c r="M17" s="149" t="n">
        <x:f>IF(OR(H17="tested",H17="verified"),1,0)</x:f>
        <x:v>1</x:v>
      </x:c>
    </x:row>
    <x:row r="18" s="127" customFormat="1" ht="54" customHeight="1">
      <x:c r="A18" s="149" t="inlineStr">
        <x:is>
          <x:t xml:space="preserve">L-10</x:t>
        </x:is>
      </x:c>
      <x:c r="B18" s="149" t="inlineStr">
        <x:is>
          <x:t xml:space="preserve">Visual</x:t>
        </x:is>
      </x:c>
      <x:c r="C18" s="149" t="inlineStr">
        <x:is>
          <x:t xml:space="preserve">List</x:t>
        </x:is>
      </x:c>
      <x:c r="D18" s="150" t="inlineStr">
        <x:is>
          <x:t xml:space="preserve">Reviewed baselines cover defaults, boundaries, sizing, marker recipes, anatomy, dark customization, mobile RTL, and forced colors.</x:t>
        </x:is>
      </x:c>
      <x:c r="E18" s="149" t="inlineStr">
        <x:is>
          <x:t xml:space="preserve">package</x:t>
        </x:is>
      </x:c>
      <x:c r="F18" s="149" t="inlineStr">
        <x:is>
          <x:t xml:space="preserve">visual</x:t>
        </x:is>
      </x:c>
      <x:c r="G18" s="150" t="inlineStr">
        <x:is>
          <x:t xml:space="preserve">tests/components/list/visual.spec.ts</x:t>
        </x:is>
      </x:c>
      <x:c r="H18" s="149" t="inlineStr">
        <x:is>
          <x:t xml:space="preserve">implemented</x:t>
        </x:is>
      </x:c>
      <x:c r="I18" s="149" t="inlineStr">
        <x:is>
          <x:t xml:space="preserve">yes</x:t>
        </x:is>
      </x:c>
      <x:c r="J18" s="151" t="n">
        <x:v>46229</x:v>
      </x:c>
      <x:c r="K18" s="150" t="inlineStr">
        <x:is>
          <x:t xml:space="preserve">Requalification required for this local candidate. Historical evidence is not a current manual pass.</x:t>
        </x:is>
      </x:c>
      <x:c r="M18" s="149" t="n">
        <x:f>IF(OR(H18="tested",H18="verified"),1,0)</x:f>
        <x:v>0</x:v>
      </x:c>
    </x:row>
    <x:row r="19" s="127" customFormat="1" ht="54" customHeight="1">
      <x:c r="A19" s="149" t="inlineStr">
        <x:is>
          <x:t xml:space="preserve">L-11</x:t>
        </x:is>
      </x:c>
      <x:c r="B19" s="149" t="inlineStr">
        <x:is>
          <x:t xml:space="preserve">Responsive</x:t>
        </x:is>
      </x:c>
      <x:c r="C19" s="149" t="inlineStr">
        <x:is>
          <x:t xml:space="preserve">List</x:t>
        </x:is>
      </x:c>
      <x:c r="D19" s="150" t="inlineStr">
        <x:is>
          <x:t xml:space="preserve">Physical mobile, 200%/400% zoom, rotation, narrow content, long copy, structured actions, and RTL remain readable and contained.</x:t>
        </x:is>
      </x:c>
      <x:c r="E19" s="149" t="inlineStr">
        <x:is>
          <x:t xml:space="preserve">package</x:t>
        </x:is>
      </x:c>
      <x:c r="F19" s="149" t="inlineStr">
        <x:is>
          <x:t xml:space="preserve">manual</x:t>
        </x:is>
      </x:c>
      <x:c r="G19" s="150" t="inlineStr">
        <x:is>
          <x:t xml:space="preserve">manual-tests/list.md</x:t>
        </x:is>
      </x:c>
      <x:c r="H19" s="149" t="inlineStr">
        <x:is>
          <x:t xml:space="preserve">implemented</x:t>
        </x:is>
      </x:c>
      <x:c r="I19" s="149" t="inlineStr">
        <x:is>
          <x:t xml:space="preserve">yes</x:t>
        </x:is>
      </x:c>
      <x:c r="J19" s="151" t="n"/>
      <x:c r="K19" s="150" t="inlineStr">
        <x:is>
          <x:t xml:space="preserve">Automated reflow evidence passes; the human manual run is intentionally pending.</x:t>
        </x:is>
      </x:c>
      <x:c r="M19" s="149" t="n">
        <x:f>IF(OR(H19="tested",H19="verified"),1,0)</x:f>
        <x:v>0</x:v>
      </x:c>
    </x:row>
    <x:row r="20" s="127" customFormat="1" ht="54" customHeight="1">
      <x:c r="A20" s="149" t="inlineStr">
        <x:is>
          <x:t xml:space="preserve">L-12</x:t>
        </x:is>
      </x:c>
      <x:c r="B20" s="149" t="inlineStr">
        <x:is>
          <x:t xml:space="preserve">Theme</x:t>
        </x:is>
      </x:c>
      <x:c r="C20" s="149" t="inlineStr">
        <x:is>
          <x:t xml:space="preserve">List</x:t>
        </x:is>
      </x:c>
      <x:c r="D20" s="150" t="inlineStr">
        <x:is>
          <x:t xml:space="preserve">Light, dark, forced colors, text spacing, markers, boundaries, and authored focus preserve hierarchy and contrast.</x:t>
        </x:is>
      </x:c>
      <x:c r="E20" s="149" t="inlineStr">
        <x:is>
          <x:t xml:space="preserve">package</x:t>
        </x:is>
      </x:c>
      <x:c r="F20" s="149" t="inlineStr">
        <x:is>
          <x:t xml:space="preserve">manual</x:t>
        </x:is>
      </x:c>
      <x:c r="G20" s="150" t="inlineStr">
        <x:is>
          <x:t xml:space="preserve">manual-tests/list.md; tests/components/list/visual.spec.ts</x:t>
        </x:is>
      </x:c>
      <x:c r="H20" s="149" t="inlineStr">
        <x:is>
          <x:t xml:space="preserve">implemented</x:t>
        </x:is>
      </x:c>
      <x:c r="I20" s="149" t="inlineStr">
        <x:is>
          <x:t xml:space="preserve">yes</x:t>
        </x:is>
      </x:c>
      <x:c r="J20" s="151" t="n"/>
      <x:c r="K20" s="150" t="inlineStr">
        <x:is>
          <x:t xml:space="preserve">Automated appearance evidence passes; complete human appearance review is pending.</x:t>
        </x:is>
      </x:c>
      <x:c r="M20" s="149" t="n">
        <x:f>IF(OR(H20="tested",H20="verified"),1,0)</x:f>
        <x:v>0</x:v>
      </x:c>
    </x:row>
    <x:row r="21" s="127" customFormat="1" ht="54" customHeight="1">
      <x:c r="A21" s="149" t="inlineStr">
        <x:is>
          <x:t xml:space="preserve">L-13</x:t>
        </x:is>
      </x:c>
      <x:c r="B21" s="149" t="inlineStr">
        <x:is>
          <x:t xml:space="preserve">Native output</x:t>
        </x:is>
      </x:c>
      <x:c r="C21" s="149" t="inlineStr">
        <x:is>
          <x:t xml:space="preserve">Root and Item</x:t>
        </x:is>
      </x:c>
      <x:c r="D21" s="150" t="inlineStr">
        <x:is>
          <x:t xml:space="preserve">Native numbering respects ol type and explicit marker overrides; composed ol does not require data-ordered.</x:t>
        </x:is>
      </x:c>
      <x:c r="E21" s="149" t="inlineStr">
        <x:is>
          <x:t xml:space="preserve">package</x:t>
        </x:is>
      </x:c>
      <x:c r="F21" s="149" t="inlineStr">
        <x:is>
          <x:t xml:space="preserve">browser</x:t>
        </x:is>
      </x:c>
      <x:c r="G21" s="150" t="inlineStr">
        <x:is>
          <x:t xml:space="preserve">tests/components/list/parity.spec.ts; tests/components/list/behavior.spec.ts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46278.5</x:v>
      </x:c>
      <x:c r="K21" s="150" t="n"/>
      <x:c r="M21" s="149" t="n">
        <x:f>IF(OR(H21="tested",H21="verified"),1,0)</x:f>
        <x:v>1</x:v>
      </x:c>
    </x:row>
    <x:row r="22" s="127" customFormat="1" ht="54" customHeight="1">
      <x:c r="A22" s="149" t="inlineStr">
        <x:is>
          <x:t xml:space="preserve">L-14</x:t>
        </x:is>
      </x:c>
      <x:c r="B22" s="149" t="inlineStr">
        <x:is>
          <x:t xml:space="preserve">Manual</x:t>
        </x:is>
      </x:c>
      <x:c r="C22" s="149" t="inlineStr">
        <x:is>
          <x:t xml:space="preserve">List</x:t>
        </x:is>
      </x:c>
      <x:c r="D22" s="150" t="inlineStr">
        <x:is>
          <x:t xml:space="preserve">The component-owned protocol covers every List playground scenario in one top-to-bottom review flow.</x:t>
        </x:is>
      </x:c>
      <x:c r="E22" s="149" t="inlineStr">
        <x:is>
          <x:t xml:space="preserve">package</x:t>
        </x:is>
      </x:c>
      <x:c r="F22" s="149" t="inlineStr">
        <x:is>
          <x:t xml:space="preserve">manual</x:t>
        </x:is>
      </x:c>
      <x:c r="G22" s="150" t="inlineStr">
        <x:is>
          <x:t xml:space="preserve">manual-tests/list.md</x:t>
        </x:is>
      </x:c>
      <x:c r="H22" s="149" t="inlineStr">
        <x:is>
          <x:t xml:space="preserve">implemented</x:t>
        </x:is>
      </x:c>
      <x:c r="I22" s="149" t="inlineStr">
        <x:is>
          <x:t xml:space="preserve">yes</x:t>
        </x:is>
      </x:c>
      <x:c r="J22" s="151" t="n"/>
      <x:c r="K22" s="150" t="inlineStr">
        <x:is>
          <x:t xml:space="preserve">Protocol exists; the owner deferred the human run.</x:t>
        </x:is>
      </x:c>
      <x:c r="M22" s="149" t="n">
        <x:f>IF(OR(H22="tested",H22="verified"),1,0)</x:f>
        <x:v>0</x:v>
      </x:c>
    </x:row>
    <x:row r="23" s="127" customFormat="1" ht="54" customHeight="1">
      <x:c r="A23" s="149" t="inlineStr">
        <x:is>
          <x:t xml:space="preserve">L-15</x:t>
        </x:is>
      </x:c>
      <x:c r="B23" s="149" t="inlineStr">
        <x:is>
          <x:t xml:space="preserve">Docs</x:t>
        </x:is>
      </x:c>
      <x:c r="C23" s="149" t="inlineStr">
        <x:is>
          <x:t xml:space="preserve">List</x:t>
        </x:is>
      </x:c>
      <x:c r="D23" s="150" t="inlineStr">
        <x:is>
          <x:t xml:space="preserve">Public guide, props tables and Agent Knowledge cover typography, marker tones, nestedInset and static composition.</x:t>
        </x:is>
      </x:c>
      <x:c r="E23" s="149" t="inlineStr">
        <x:is>
          <x:t xml:space="preserve">package</x:t>
        </x:is>
      </x:c>
      <x:c r="F23" s="149" t="inlineStr">
        <x:is>
          <x:t xml:space="preserve">docs</x:t>
        </x:is>
      </x:c>
      <x:c r="G23" s="150" t="inlineStr">
        <x:is>
          <x:t xml:space="preserve">../docs/components/list/README.md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>
        <x:v>46278.5</x:v>
      </x:c>
      <x:c r="K23" s="150" t="n"/>
      <x:c r="M23" s="149" t="n">
        <x:f>IF(OR(H23="tested",H23="verified"),1,0)</x:f>
        <x:v>1</x:v>
      </x:c>
    </x:row>
    <x:row r="24" s="127" customFormat="1" ht="54" customHeight="1">
      <x:c r="A24" s="149" t="inlineStr">
        <x:is>
          <x:t xml:space="preserve">L-16</x:t>
        </x:is>
      </x:c>
      <x:c r="B24" s="149" t="inlineStr">
        <x:is>
          <x:t xml:space="preserve">Changelog</x:t>
        </x:is>
      </x:c>
      <x:c r="C24" s="149" t="inlineStr">
        <x:is>
          <x:t xml:space="preserve">List</x:t>
        </x:is>
      </x:c>
      <x:c r="D24" s="150" t="inlineStr">
        <x:is>
          <x:t xml:space="preserve">List owns a public component changelog and the package changelog records its addition.</x:t>
        </x:is>
      </x:c>
      <x:c r="E24" s="149" t="inlineStr">
        <x:is>
          <x:t xml:space="preserve">package</x:t>
        </x:is>
      </x:c>
      <x:c r="F24" s="149" t="inlineStr">
        <x:is>
          <x:t xml:space="preserve">docs</x:t>
        </x:is>
      </x:c>
      <x:c r="G24" s="150" t="inlineStr">
        <x:is>
          <x:t xml:space="preserve">../docs/components/list/CHANGELOG.md; ../CHANGELOG.md</x:t>
        </x:is>
      </x:c>
      <x:c r="H24" s="149" t="inlineStr">
        <x:is>
          <x:t xml:space="preserve">tested</x:t>
        </x:is>
      </x:c>
      <x:c r="I24" s="149" t="inlineStr">
        <x:is>
          <x:t xml:space="preserve">no</x:t>
        </x:is>
      </x:c>
      <x:c r="J24" s="151" t="n">
        <x:v>46229</x:v>
      </x:c>
      <x:c r="K24" s="150" t="n"/>
      <x:c r="M24" s="149" t="n">
        <x:f>IF(OR(H24="tested",H24="verified"),1,0)</x:f>
        <x:v>1</x:v>
      </x:c>
    </x:row>
    <x:row r="25" s="127" customFormat="1" ht="54" customHeight="1">
      <x:c r="A25" s="149" t="inlineStr">
        <x:is>
          <x:t xml:space="preserve">L-17</x:t>
        </x:is>
      </x:c>
      <x:c r="B25" s="149" t="inlineStr">
        <x:is>
          <x:t xml:space="preserve">Consumer</x:t>
        </x:is>
      </x:c>
      <x:c r="C25" s="149" t="inlineStr">
        <x:is>
          <x:t xml:space="preserve">List</x:t>
        </x:is>
      </x:c>
      <x:c r="D25" s="150" t="inlineStr">
        <x:is>
          <x:t xml:space="preserve">The packed Consumer proves the public List subpath in a realistic structured release checklist.</x:t>
        </x:is>
      </x:c>
      <x:c r="E25" s="149" t="inlineStr">
        <x:is>
          <x:t xml:space="preserve">consumer</x:t>
        </x:is>
      </x:c>
      <x:c r="F25" s="149" t="inlineStr">
        <x:is>
          <x:t xml:space="preserve">consumer</x:t>
        </x:is>
      </x:c>
      <x:c r="G25" s="150" t="inlineStr">
        <x:is>
          <x:t xml:space="preserve">../apps/consumer/src/App.tsx; ../apps/consumer/tests/consumer.spec.ts</x:t>
        </x:is>
      </x:c>
      <x:c r="H25" s="149" t="inlineStr">
        <x:is>
          <x:t xml:space="preserve">tested</x:t>
        </x:is>
      </x:c>
      <x:c r="I25" s="149" t="inlineStr">
        <x:is>
          <x:t xml:space="preserve">no</x:t>
        </x:is>
      </x:c>
      <x:c r="J25" s="151" t="n">
        <x:v>46229</x:v>
      </x:c>
      <x:c r="K25" s="150" t="n"/>
      <x:c r="M25" s="149" t="n">
        <x:f>IF(OR(H25="tested",H25="verified"),1,0)</x:f>
        <x:v>1</x:v>
      </x:c>
    </x:row>
    <x:row r="26" s="127" customFormat="1" ht="54" customHeight="1">
      <x:c r="A26" s="149" t="inlineStr">
        <x:is>
          <x:t xml:space="preserve">L-18</x:t>
        </x:is>
      </x:c>
      <x:c r="B26" s="149" t="inlineStr">
        <x:is>
          <x:t xml:space="preserve">Playground</x:t>
        </x:is>
      </x:c>
      <x:c r="C26" s="149" t="inlineStr">
        <x:is>
          <x:t xml:space="preserve">List</x:t>
        </x:is>
      </x:c>
      <x:c r="D26" s="150" t="inlineStr">
        <x:is>
          <x:t xml:space="preserve">The route covers all approved scenarios and eligible Consumer, Card, and Surface content lists adopt List with classified exclusions.</x:t>
        </x:is>
      </x:c>
      <x:c r="E26" s="149" t="inlineStr">
        <x:is>
          <x:t xml:space="preserve">package</x:t>
        </x:is>
      </x:c>
      <x:c r="F26" s="149" t="inlineStr">
        <x:is>
          <x:t xml:space="preserve">package</x:t>
        </x:is>
      </x:c>
      <x:c r="G26" s="150" t="inlineStr">
        <x:is>
          <x:t xml:space="preserve">docs/list-adoption-audit.md; ../scripts/verify-playground-list.mjs</x:t>
        </x:is>
      </x:c>
      <x:c r="H26" s="149" t="inlineStr">
        <x:is>
          <x:t xml:space="preserve">tested</x:t>
        </x:is>
      </x:c>
      <x:c r="I26" s="149" t="inlineStr">
        <x:is>
          <x:t xml:space="preserve">no</x:t>
        </x:is>
      </x:c>
      <x:c r="J26" s="151" t="n">
        <x:v>46229</x:v>
      </x:c>
      <x:c r="K26" s="150" t="n"/>
      <x:c r="M26" s="149" t="n">
        <x:f>IF(OR(H26="tested",H26="verified"),1,0)</x:f>
        <x:v>1</x:v>
      </x:c>
    </x:row>
    <x:row r="27" s="127" customFormat="1" ht="54" customHeight="1">
      <x:c r="A27" s="149" t="inlineStr">
        <x:is>
          <x:t xml:space="preserve">L-19</x:t>
        </x:is>
      </x:c>
      <x:c r="B27" s="149" t="inlineStr">
        <x:is>
          <x:t xml:space="preserve">Package</x:t>
        </x:is>
      </x:c>
      <x:c r="C27" s="149" t="inlineStr">
        <x:is>
          <x:t xml:space="preserve">List</x:t>
        </x:is>
      </x:c>
      <x:c r="D27" s="150" t="inlineStr">
        <x:is>
          <x:t xml:space="preserve">Build, SSR, exports, CSS, Atom 0.20.11, tarball, React 18/19, packed Consumer, browser matrix, and adoption checks pass.</x:t>
        </x:is>
      </x:c>
      <x:c r="E27" s="149" t="inlineStr">
        <x:is>
          <x:t xml:space="preserve">package</x:t>
        </x:is>
      </x:c>
      <x:c r="F27" s="149" t="inlineStr">
        <x:is>
          <x:t xml:space="preserve">package</x:t>
        </x:is>
      </x:c>
      <x:c r="G27" s="150" t="inlineStr">
        <x:is>
          <x:t xml:space="preserve">../test/package; ../scripts/verify-package.mjs; ../scripts/verify-consumers.mjs; ../scripts/verify-playground-list.mjs</x:t>
        </x:is>
      </x:c>
      <x:c r="H27" s="149" t="inlineStr">
        <x:is>
          <x:t xml:space="preserve">implemented</x:t>
        </x:is>
      </x:c>
      <x:c r="I27" s="149" t="inlineStr">
        <x:is>
          <x:t xml:space="preserve">yes</x:t>
        </x:is>
      </x:c>
      <x:c r="J27" s="151" t="n">
        <x:v>46264</x:v>
      </x:c>
      <x:c r="K27" s="150" t="inlineStr">
        <x:is>
          <x:t xml:space="preserve">Requalification required for this local candidate. Historical evidence is not a current manual pass.</x:t>
        </x:is>
      </x:c>
      <x:c r="M27" s="149" t="n">
        <x:f>IF(OR(H27="tested",H27="verified"),1,0)</x:f>
        <x:v>0</x:v>
      </x:c>
    </x:row>
  </x:sheetData>
  <x:mergeCells>
    <x:mergeCell ref="A2:M2"/>
    <x:mergeCell ref="A1:M1"/>
  </x:mergeCells>
  <x:dataValidations count="2">
    <x:dataValidation type="list" errorStyle="stop" operator="between" allowBlank="0" showDropDown="0" showInputMessage="0" showErrorMessage="0" sqref="H9:H27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27">
      <x:formula1>"yes,no"</x:formula1>
      <x:formula2>0</x:formula2>
    </x:dataValidation>
  </x:dataValidation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Select Evidence</x:t>
        </x:is>
      </x:c>
    </x:row>
    <x:row r="2" s="127" customFormat="1" ht="27.75" customHeight="1">
      <x:c r="A2" s="129" t="inlineStr">
        <x:is>
          <x:t xml:space="preserve">Assertion-level Atom-backed package, browser, human-review, documentation, Consumer, positioning, and form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COUNTA(A9:A30)</x:f>
        <x:v>22</x:v>
      </x:c>
      <x:c r="D4" s="130" t="inlineStr">
        <x:is>
          <x:t xml:space="preserve">Resolved</x:t>
        </x:is>
      </x:c>
      <x:c r="E4" s="131" t="n">
        <x:f>SUM(M9:M30)</x:f>
        <x:v>15</x:v>
      </x:c>
      <x:c r="G4" s="130" t="inlineStr">
        <x:is>
          <x:t xml:space="preserve">Completion</x:t>
        </x:is>
      </x:c>
      <x:c r="H4" s="132" t="n">
        <x:f>IF(B4=0,0,E4/B4)</x:f>
        <x:v>0.6818181818181818</x:v>
      </x:c>
      <x:c r="J4" s="130" t="inlineStr">
        <x:is>
          <x:t xml:space="preserve">Package gate</x:t>
        </x:is>
      </x:c>
      <x:c r="K4" s="131" t="str">
        <x:f>IF(COUNTIFS(E9:E24,"package",M9:M24,0)&gt;0,"open","complete")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IF(COUNTIFS(I9:I30,"yes",M9:M30,0)&gt;0,"open","complete")</x:f>
        <x:v>open</x:v>
      </x:c>
      <x:c r="D5" s="130" t="inlineStr">
        <x:is>
          <x:t xml:space="preserve">Consumer gate</x:t>
        </x:is>
      </x:c>
      <x:c r="E5" s="131" t="str">
        <x:f>IF(COUNTIFS(E9:E30,"consumer",M9:M30,0)&gt;0,"open","complete")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S-01</x:t>
        </x:is>
      </x:c>
      <x:c r="B9" s="149" t="inlineStr">
        <x:is>
          <x:t xml:space="preserve">Implementation</x:t>
        </x:is>
      </x:c>
      <x:c r="C9" s="149" t="inlineStr">
        <x:is>
          <x:t xml:space="preserve">Root/Trigger</x:t>
        </x:is>
      </x:c>
      <x:c r="D9" s="150" t="inlineStr">
        <x:is>
          <x:t xml:space="preserve">Public Select composition uses the qualified Atom 0.26.1 local candidate; nothing released.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../src/components/select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46229</x:v>
      </x:c>
      <x:c r="K9" s="150" t="n"/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S-02</x:t>
        </x:is>
      </x:c>
      <x:c r="B10" s="149" t="inlineStr">
        <x:is>
          <x:t xml:space="preserve">Anatomy</x:t>
        </x:is>
      </x:c>
      <x:c r="C10" s="149" t="inlineStr">
        <x:is>
          <x:t xml:space="preserve">All parts</x:t>
        </x:is>
      </x:c>
      <x:c r="D10" s="150" t="inlineStr">
        <x:is>
          <x:t xml:space="preserve">Trigger, Value, Icon, Content/Listbox, Viewport, scroll buttons, Group, Label, Item, ItemText, Indicator, Separator, Portal, and Arrow are styled/exported.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../test/components/select/select.test.tsx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46229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S-03</x:t>
        </x:is>
      </x:c>
      <x:c r="B11" s="149" t="inlineStr">
        <x:is>
          <x:t xml:space="preserve">Exports</x:t>
        </x:is>
      </x:c>
      <x:c r="C11" s="149" t="inlineStr">
        <x:is>
          <x:t xml:space="preserve">Select</x:t>
        </x:is>
      </x:c>
      <x:c r="D11" s="150" t="inlineStr">
        <x:is>
          <x:t xml:space="preserve">Root and select subpath exports expose the namespace, named parts, and public types.</x:t>
        </x:is>
      </x:c>
      <x:c r="E11" s="149" t="inlineStr">
        <x:is>
          <x:t xml:space="preserve">package</x:t>
        </x:is>
      </x:c>
      <x:c r="F11" s="149" t="inlineStr">
        <x:is>
          <x:t xml:space="preserve">package</x:t>
        </x:is>
      </x:c>
      <x:c r="G11" s="150" t="inlineStr">
        <x:is>
          <x:t xml:space="preserve">../test/package/package.test.mjs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46229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S-04</x:t>
        </x:is>
      </x:c>
      <x:c r="B12" s="149" t="inlineStr">
        <x:is>
          <x:t xml:space="preserve">Types</x:t>
        </x:is>
      </x:c>
      <x:c r="C12" s="149" t="inlineStr">
        <x:is>
          <x:t xml:space="preserve">Root/parts</x:t>
        </x:is>
      </x:c>
      <x:c r="D12" s="150" t="inlineStr">
        <x:is>
          <x:t xml:space="preserve">Recipes, refs, Arrow children, underline shape exclusion, and no multiple mode type-check.</x:t>
        </x:is>
      </x:c>
      <x:c r="E12" s="149" t="inlineStr">
        <x:is>
          <x:t xml:space="preserve">package</x:t>
        </x:is>
      </x:c>
      <x:c r="F12" s="149" t="inlineStr">
        <x:is>
          <x:t xml:space="preserve">types</x:t>
        </x:is>
      </x:c>
      <x:c r="G12" s="150" t="inlineStr">
        <x:is>
          <x:t xml:space="preserve">../test/types/components/select.test.ts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46229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S-05</x:t>
        </x:is>
      </x:c>
      <x:c r="B13" s="149" t="inlineStr">
        <x:is>
          <x:t xml:space="preserve">CSS</x:t>
        </x:is>
      </x:c>
      <x:c r="C13" s="149" t="inlineStr">
        <x:is>
          <x:t xml:space="preserve">Trigger/Content/Item</x:t>
        </x:is>
      </x:c>
      <x:c r="D13" s="150" t="inlineStr">
        <x:is>
          <x:t xml:space="preserve">Static CSS ships recipes, geometry, states, popup, options, artwork, and documented variables.</x:t>
        </x:is>
      </x:c>
      <x:c r="E13" s="149" t="inlineStr">
        <x:is>
          <x:t xml:space="preserve">package</x:t>
        </x:is>
      </x:c>
      <x:c r="F13" s="149" t="inlineStr">
        <x:is>
          <x:t xml:space="preserve">css</x:t>
        </x:is>
      </x:c>
      <x:c r="G13" s="150" t="inlineStr">
        <x:is>
          <x:t xml:space="preserve">../src/components/select/select.css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46229</x:v>
      </x:c>
      <x:c r="K13" s="150" t="n"/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S-06</x:t>
        </x:is>
      </x:c>
      <x:c r="B14" s="149" t="inlineStr">
        <x:is>
          <x:t xml:space="preserve">Labels</x:t>
        </x:is>
      </x:c>
      <x:c r="C14" s="149" t="inlineStr">
        <x:is>
          <x:t xml:space="preserve">Root/ItemText</x:t>
        </x:is>
      </x:c>
      <x:c r="D14" s="150" t="inlineStr">
        <x:is>
          <x:t xml:space="preserve">Closed selected values resolve authored ItemText labels before popup mount, including native forms.</x:t>
        </x:is>
      </x:c>
      <x:c r="E14" s="149" t="inlineStr">
        <x:is>
          <x:t xml:space="preserve">package</x:t>
        </x:is>
      </x:c>
      <x:c r="F14" s="149" t="inlineStr">
        <x:is>
          <x:t xml:space="preserve">component</x:t>
        </x:is>
      </x:c>
      <x:c r="G14" s="150" t="inlineStr">
        <x:is>
          <x:t xml:space="preserve">../test/components/select/select.test.tsx; tests/components/select/behavior.spec.ts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46229</x:v>
      </x:c>
      <x:c r="K14" s="150" t="n"/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S-07</x:t>
        </x:is>
      </x:c>
      <x:c r="B15" s="149" t="inlineStr">
        <x:is>
          <x:t xml:space="preserve">Recipes</x:t>
        </x:is>
      </x:c>
      <x:c r="C15" s="149" t="inlineStr">
        <x:is>
          <x:t xml:space="preserve">Root/Trigger</x:t>
        </x:is>
      </x:c>
      <x:c r="D15" s="150" t="inlineStr">
        <x:is>
          <x:t xml:space="preserve">Seven responsive sizes and current variants preserve control geometry; custom popup rows use compact spacing.</x:t>
        </x:is>
      </x:c>
      <x:c r="E15" s="149" t="inlineStr">
        <x:is>
          <x:t xml:space="preserve">package</x:t>
        </x:is>
      </x:c>
      <x:c r="F15" s="149" t="inlineStr">
        <x:is>
          <x:t xml:space="preserve">browser</x:t>
        </x:is>
      </x:c>
      <x:c r="G15" s="150" t="inlineStr">
        <x:is>
          <x:t xml:space="preserve">tests/components/select/documentation.spec.ts; tests/components/select/behavior.spec.ts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46229</x:v>
      </x:c>
      <x:c r="K15" s="144" t="inlineStr">
        <x:is>
          <x:t xml:space="preserve">Surface pass: outline/rest/hover and surface fill checked in light/dark. Full owner review remains separate; see form-surface-recipes assertions in the owner browser suite.</x:t>
        </x:is>
      </x:c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S-08</x:t>
        </x:is>
      </x:c>
      <x:c r="B16" s="149" t="inlineStr">
        <x:is>
          <x:t xml:space="preserve">Interaction</x:t>
        </x:is>
      </x:c>
      <x:c r="C16" s="149" t="inlineStr">
        <x:is>
          <x:t xml:space="preserve">Root/Trigger/Item</x:t>
        </x:is>
      </x:c>
      <x:c r="D16" s="150" t="inlineStr">
        <x:is>
          <x:t xml:space="preserve">Pointer and keyboard open, navigation, typeahead, selection, Escape, focus return, disabled skip, and outside dismissal remain Atom-owned.</x:t>
        </x:is>
      </x:c>
      <x:c r="E16" s="149" t="inlineStr">
        <x:is>
          <x:t xml:space="preserve">package</x:t>
        </x:is>
      </x:c>
      <x:c r="F16" s="149" t="inlineStr">
        <x:is>
          <x:t xml:space="preserve">browser</x:t>
        </x:is>
      </x:c>
      <x:c r="G16" s="150" t="inlineStr">
        <x:is>
          <x:t xml:space="preserve">tests/components/select/behavior.spec.ts; Atom 0.20.11 Select suite</x:t>
        </x:is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n">
        <x:v>46229</x:v>
      </x:c>
      <x:c r="K16" s="150" t="n"/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S-09</x:t>
        </x:is>
      </x:c>
      <x:c r="B17" s="149" t="inlineStr">
        <x:is>
          <x:t xml:space="preserve">Options</x:t>
        </x:is>
      </x:c>
      <x:c r="C17" s="149" t="inlineStr">
        <x:is>
          <x:t xml:space="preserve">Group/Viewport/Arrow</x:t>
        </x:is>
      </x:c>
      <x:c r="D17" s="150" t="inlineStr">
        <x:is>
          <x:t xml:space="preserve">Groups, labels, separator, long scrolling, conditional controls, and matching collision side/alignment are exposed.</x:t>
        </x:is>
      </x:c>
      <x:c r="E17" s="149" t="inlineStr">
        <x:is>
          <x:t xml:space="preserve">package</x:t>
        </x:is>
      </x:c>
      <x:c r="F17" s="149" t="inlineStr">
        <x:is>
          <x:t xml:space="preserve">browser</x:t>
        </x:is>
      </x:c>
      <x:c r="G17" s="150" t="inlineStr">
        <x:is>
          <x:t xml:space="preserve">tests/components/select/behavior.spec.ts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n">
        <x:v>46229</x:v>
      </x:c>
      <x:c r="K17" s="150" t="n"/>
      <x:c r="L17" s="149" t="n">
        <x:v>1</x:v>
      </x:c>
      <x:c r="M17" s="149" t="n">
        <x:f>IF(OR(AND(I17="yes",H17="verified"),AND(I17="no",OR(H17="tested",H17="verified")),AND(H17="not applicable",K17&lt;&gt;"")),1,0)</x:f>
        <x:v>1</x:v>
      </x:c>
    </x:row>
    <x:row r="18" s="127" customFormat="1" ht="54" customHeight="1">
      <x:c r="A18" s="149" t="inlineStr">
        <x:is>
          <x:t xml:space="preserve">S-10</x:t>
        </x:is>
      </x:c>
      <x:c r="B18" s="149" t="inlineStr">
        <x:is>
          <x:t xml:space="preserve">Forms</x:t>
        </x:is>
      </x:c>
      <x:c r="C18" s="149" t="inlineStr">
        <x:is>
          <x:t xml:space="preserve">Root/Trigger</x:t>
        </x:is>
      </x:c>
      <x:c r="D18" s="150" t="inlineStr">
        <x:is>
          <x:t xml:space="preserve">Field relationships, required validity, native submit/reset, external form ownership, and validation use Atom's native proxy.</x:t>
        </x:is>
      </x:c>
      <x:c r="E18" s="149" t="inlineStr">
        <x:is>
          <x:t xml:space="preserve">package</x:t>
        </x:is>
      </x:c>
      <x:c r="F18" s="149" t="inlineStr">
        <x:is>
          <x:t xml:space="preserve">browser</x:t>
        </x:is>
      </x:c>
      <x:c r="G18" s="150" t="inlineStr">
        <x:is>
          <x:t xml:space="preserve">tests/components/select/behavior.spec.ts; Atom 0.20.11 Select suite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n">
        <x:v>46229</x:v>
      </x:c>
      <x:c r="K18" s="150" t="n"/>
      <x:c r="L18" s="149" t="n">
        <x:v>1</x:v>
      </x:c>
      <x:c r="M18" s="149" t="n">
        <x:f>IF(OR(AND(I18="yes",H18="verified"),AND(I18="no",OR(H18="tested",H18="verified")),AND(H18="not applicable",K18&lt;&gt;"")),1,0)</x:f>
        <x:v>1</x:v>
      </x:c>
    </x:row>
    <x:row r="19" s="127" customFormat="1" ht="54" customHeight="1">
      <x:c r="A19" s="149" t="inlineStr">
        <x:is>
          <x:t xml:space="preserve">S-11</x:t>
        </x:is>
      </x:c>
      <x:c r="B19" s="149" t="inlineStr">
        <x:is>
          <x:t xml:space="preserve">Composition</x:t>
        </x:is>
      </x:c>
      <x:c r="C19" s="149" t="inlineStr">
        <x:is>
          <x:t xml:space="preserve">Trigger/Portal</x:t>
        </x:is>
      </x:c>
      <x:c r="D19" s="150" t="inlineStr">
        <x:is>
          <x:t xml:space="preserve">Trigger asChild/render and portal/container paths retain props, one host, positioning, and refs.</x:t>
        </x:is>
      </x:c>
      <x:c r="E19" s="149" t="inlineStr">
        <x:is>
          <x:t xml:space="preserve">package</x:t>
        </x:is>
      </x:c>
      <x:c r="F19" s="149" t="inlineStr">
        <x:is>
          <x:t xml:space="preserve">component</x:t>
        </x:is>
      </x:c>
      <x:c r="G19" s="150" t="inlineStr">
        <x:is>
          <x:t xml:space="preserve">../test/components/select/select.test.tsx; tests/components/select/behavior.spec.ts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46229</x:v>
      </x:c>
      <x:c r="K19" s="150" t="n"/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S-12</x:t>
        </x:is>
      </x:c>
      <x:c r="B20" s="149" t="inlineStr">
        <x:is>
          <x:t xml:space="preserve">Accessibility</x:t>
        </x:is>
      </x:c>
      <x:c r="C20" s="149" t="inlineStr">
        <x:is>
          <x:t xml:space="preserve">Select</x:t>
        </x:is>
      </x:c>
      <x:c r="D20" s="150" t="inlineStr">
        <x:is>
          <x:t xml:space="preserve">Field naming, combobox/listbox states, disabled options, decorative artwork, and axe checks pass.</x:t>
        </x:is>
      </x:c>
      <x:c r="E20" s="149" t="inlineStr">
        <x:is>
          <x:t xml:space="preserve">package</x:t>
        </x:is>
      </x:c>
      <x:c r="F20" s="149" t="inlineStr">
        <x:is>
          <x:t xml:space="preserve">axe</x:t>
        </x:is>
      </x:c>
      <x:c r="G20" s="150" t="inlineStr">
        <x:is>
          <x:t xml:space="preserve">tests/components/select/behavior.spec.ts</x:t>
        </x:is>
      </x:c>
      <x:c r="H20" s="149" t="inlineStr">
        <x:is>
          <x:t xml:space="preserve">tested</x:t>
        </x:is>
      </x:c>
      <x:c r="I20" s="149" t="inlineStr">
        <x:is>
          <x:t xml:space="preserve">no</x:t>
        </x:is>
      </x:c>
      <x:c r="J20" s="151" t="n">
        <x:v>46229</x:v>
      </x:c>
      <x:c r="K20" s="150" t="n"/>
      <x:c r="L20" s="149" t="n">
        <x:v>1</x:v>
      </x:c>
      <x:c r="M20" s="149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49" t="inlineStr">
        <x:is>
          <x:t xml:space="preserve">S-13</x:t>
        </x:is>
      </x:c>
      <x:c r="B21" s="149" t="inlineStr">
        <x:is>
          <x:t xml:space="preserve">Visual</x:t>
        </x:is>
      </x:c>
      <x:c r="C21" s="149" t="inlineStr">
        <x:is>
          <x:t xml:space="preserve">Select</x:t>
        </x:is>
      </x:c>
      <x:c r="D21" s="150" t="inlineStr">
        <x:is>
          <x:t xml:space="preserve">Baselines cover defaults, recipes, geometry, options, states, appearance, narrow RTL, and forced colors.</x:t>
        </x:is>
      </x:c>
      <x:c r="E21" s="149" t="inlineStr">
        <x:is>
          <x:t xml:space="preserve">package</x:t>
        </x:is>
      </x:c>
      <x:c r="F21" s="149" t="inlineStr">
        <x:is>
          <x:t xml:space="preserve">visual</x:t>
        </x:is>
      </x:c>
      <x:c r="G21" s="150" t="inlineStr">
        <x:is>
          <x:t xml:space="preserve">tests/components/select/visual.spec.ts</x:t>
        </x:is>
      </x:c>
      <x:c r="H21" s="149" t="inlineStr">
        <x:is>
          <x:t xml:space="preserve">implemented</x:t>
        </x:is>
      </x:c>
      <x:c r="I21" s="149" t="inlineStr">
        <x:is>
          <x:t xml:space="preserve">yes</x:t>
        </x:is>
      </x:c>
      <x:c r="J21" s="151" t="n"/>
      <x:c r="K21" s="150" t="inlineStr">
        <x:is>
          <x:t xml:space="preserve">Baselines exist and automated comparison passes; final owner visual review is not recorded.</x:t>
        </x:is>
      </x:c>
      <x:c r="L21" s="149" t="n">
        <x:v>1</x:v>
      </x:c>
      <x:c r="M21" s="149" t="n">
        <x:f>IF(OR(AND(I21="yes",H21="verified"),AND(I21="no",OR(H21="tested",H21="verified")),AND(H21="not applicable",K21&lt;&gt;"")),1,0)</x:f>
        <x:v>0</x:v>
      </x:c>
    </x:row>
    <x:row r="22" s="127" customFormat="1" ht="54" customHeight="1">
      <x:c r="A22" s="149" t="inlineStr">
        <x:is>
          <x:t xml:space="preserve">S-14</x:t>
        </x:is>
      </x:c>
      <x:c r="B22" s="149" t="inlineStr">
        <x:is>
          <x:t xml:space="preserve">Responsive</x:t>
        </x:is>
      </x:c>
      <x:c r="C22" s="149" t="inlineStr">
        <x:is>
          <x:t xml:space="preserve">Trigger/Content</x:t>
        </x:is>
      </x:c>
      <x:c r="D22" s="150" t="inlineStr">
        <x:is>
          <x:t xml:space="preserve">Physical mobile, 200%/400% zoom, long localization, popup bounds, and RTL remain usable.</x:t>
        </x:is>
      </x:c>
      <x:c r="E22" s="149" t="inlineStr">
        <x:is>
          <x:t xml:space="preserve">package</x:t>
        </x:is>
      </x:c>
      <x:c r="F22" s="149" t="inlineStr">
        <x:is>
          <x:t xml:space="preserve">manual</x:t>
        </x:is>
      </x:c>
      <x:c r="G22" s="150" t="inlineStr">
        <x:is>
          <x:t xml:space="preserve">manual-tests/select.md</x:t>
        </x:is>
      </x:c>
      <x:c r="H22" s="149" t="inlineStr">
        <x:is>
          <x:t xml:space="preserve">implemented</x:t>
        </x:is>
      </x:c>
      <x:c r="I22" s="149" t="inlineStr">
        <x:is>
          <x:t xml:space="preserve">yes</x:t>
        </x:is>
      </x:c>
      <x:c r="J22" s="151" t="n"/>
      <x:c r="K22" s="150" t="inlineStr">
        <x:is>
          <x:t xml:space="preserve">Protocol is unrun; real device and zoom review remain pending.</x:t>
        </x:is>
      </x:c>
      <x:c r="L22" s="149" t="n">
        <x:v>1</x:v>
      </x:c>
      <x:c r="M22" s="149" t="n">
        <x:f>IF(OR(AND(I22="yes",H22="verified"),AND(I22="no",OR(H22="tested",H22="verified")),AND(H22="not applicable",K22&lt;&gt;"")),1,0)</x:f>
        <x:v>0</x:v>
      </x:c>
    </x:row>
    <x:row r="23" s="127" customFormat="1" ht="54" customHeight="1">
      <x:c r="A23" s="149" t="inlineStr">
        <x:is>
          <x:t xml:space="preserve">S-15</x:t>
        </x:is>
      </x:c>
      <x:c r="B23" s="149" t="inlineStr">
        <x:is>
          <x:t xml:space="preserve">Touch/pen</x:t>
        </x:is>
      </x:c>
      <x:c r="C23" s="149" t="inlineStr">
        <x:is>
          <x:t xml:space="preserve">Content</x:t>
        </x:is>
      </x:c>
      <x:c r="D23" s="150" t="inlineStr">
        <x:is>
          <x:t xml:space="preserve">Outside tap dismisses after release while drag, cancellation, and scroll preserve the open Select.</x:t>
        </x:is>
      </x:c>
      <x:c r="E23" s="149" t="inlineStr">
        <x:is>
          <x:t xml:space="preserve">package</x:t>
        </x:is>
      </x:c>
      <x:c r="F23" s="149" t="inlineStr">
        <x:is>
          <x:t xml:space="preserve">manual</x:t>
        </x:is>
      </x:c>
      <x:c r="G23" s="150" t="inlineStr">
        <x:is>
          <x:t xml:space="preserve">manual-tests/select.md; Atom 0.20.11 Select evidence</x:t>
        </x:is>
      </x:c>
      <x:c r="H23" s="149" t="inlineStr">
        <x:is>
          <x:t xml:space="preserve">implemented</x:t>
        </x:is>
      </x:c>
      <x:c r="I23" s="149" t="inlineStr">
        <x:is>
          <x:t xml:space="preserve">yes</x:t>
        </x:is>
      </x:c>
      <x:c r="J23" s="151" t="n"/>
      <x:c r="K23" s="150" t="inlineStr">
        <x:is>
          <x:t xml:space="preserve">Atom automated evidence passes; Brick real-device protocol is unrun.</x:t>
        </x:is>
      </x:c>
      <x:c r="L23" s="149" t="n">
        <x:v>1</x:v>
      </x:c>
      <x:c r="M23" s="149" t="n">
        <x:f>IF(OR(AND(I23="yes",H23="verified"),AND(I23="no",OR(H23="tested",H23="verified")),AND(H23="not applicable",K23&lt;&gt;"")),1,0)</x:f>
        <x:v>0</x:v>
      </x:c>
    </x:row>
    <x:row r="24" s="127" customFormat="1" ht="54" customHeight="1">
      <x:c r="A24" s="149" t="inlineStr">
        <x:is>
          <x:t xml:space="preserve">S-16</x:t>
        </x:is>
      </x:c>
      <x:c r="B24" s="149" t="inlineStr">
        <x:is>
          <x:t xml:space="preserve">Screen reader</x:t>
        </x:is>
      </x:c>
      <x:c r="C24" s="149" t="inlineStr">
        <x:is>
          <x:t xml:space="preserve">Select</x:t>
        </x:is>
      </x:c>
      <x:c r="D24" s="150" t="inlineStr">
        <x:is>
          <x:t xml:space="preserve">macOS/iOS VoiceOver and a second desktop AT/browser announce name, value, groups, states, and options.</x:t>
        </x:is>
      </x:c>
      <x:c r="E24" s="149" t="inlineStr">
        <x:is>
          <x:t xml:space="preserve">package</x:t>
        </x:is>
      </x:c>
      <x:c r="F24" s="149" t="inlineStr">
        <x:is>
          <x:t xml:space="preserve">manual</x:t>
        </x:is>
      </x:c>
      <x:c r="G24" s="150" t="inlineStr">
        <x:is>
          <x:t xml:space="preserve">manual-tests/select.md</x:t>
        </x:is>
      </x:c>
      <x:c r="H24" s="149" t="inlineStr">
        <x:is>
          <x:t xml:space="preserve">implemented</x:t>
        </x:is>
      </x:c>
      <x:c r="I24" s="149" t="inlineStr">
        <x:is>
          <x:t xml:space="preserve">yes</x:t>
        </x:is>
      </x:c>
      <x:c r="J24" s="151" t="n"/>
      <x:c r="K24" s="150" t="inlineStr">
        <x:is>
          <x:t xml:space="preserve">Assistive-technology protocol is unrun.</x:t>
        </x:is>
      </x:c>
      <x:c r="L24" s="149" t="n">
        <x:v>1</x:v>
      </x:c>
      <x:c r="M24" s="149" t="n">
        <x:f>IF(OR(AND(I24="yes",H24="verified"),AND(I24="no",OR(H24="tested",H24="verified")),AND(H24="not applicable",K24&lt;&gt;"")),1,0)</x:f>
        <x:v>0</x:v>
      </x:c>
    </x:row>
    <x:row r="25" s="127" customFormat="1" ht="23.25" customHeight="1">
      <x:c r="A25" s="149" t="inlineStr">
        <x:is>
          <x:t xml:space="preserve">S-17</x:t>
        </x:is>
      </x:c>
      <x:c r="B25" s="149" t="inlineStr">
        <x:is>
          <x:t xml:space="preserve">Theme</x:t>
        </x:is>
      </x:c>
      <x:c r="C25" s="149" t="inlineStr">
        <x:is>
          <x:t xml:space="preserve">Select</x:t>
        </x:is>
      </x:c>
      <x:c r="D25" s="150" t="inlineStr">
        <x:is>
          <x:t xml:space="preserve">Light, dark, focus, invalid, forced-colors, and reduced-motion treatment remain perceivable.</x:t>
        </x:is>
      </x:c>
      <x:c r="E25" s="149" t="inlineStr">
        <x:is>
          <x:t xml:space="preserve">package</x:t>
        </x:is>
      </x:c>
      <x:c r="F25" s="149" t="inlineStr">
        <x:is>
          <x:t xml:space="preserve">manual</x:t>
        </x:is>
      </x:c>
      <x:c r="G25" s="150" t="inlineStr">
        <x:is>
          <x:t xml:space="preserve">manual-tests/select.md; tests/components/select/visual.spec.ts</x:t>
        </x:is>
      </x:c>
      <x:c r="H25" s="149" t="inlineStr">
        <x:is>
          <x:t xml:space="preserve">implemented</x:t>
        </x:is>
      </x:c>
      <x:c r="I25" s="149" t="inlineStr">
        <x:is>
          <x:t xml:space="preserve">yes</x:t>
        </x:is>
      </x:c>
      <x:c r="J25" s="151" t="n"/>
      <x:c r="K25" s="150" t="inlineStr">
        <x:is>
          <x:t xml:space="preserve">Automated baselines exist; complete human preference review is pending.</x:t>
        </x:is>
      </x:c>
      <x:c r="L25" s="149" t="n">
        <x:v>1</x:v>
      </x:c>
      <x:c r="M25" s="149" t="n">
        <x:f>IF(OR(AND(I25="yes",H25="verified"),AND(I25="no",OR(H25="tested",H25="verified")),AND(H25="not applicable",K25&lt;&gt;"")),1,0)</x:f>
        <x:v>0</x:v>
      </x:c>
    </x:row>
    <x:row r="26" s="127" customFormat="1" ht="23.25" customHeight="1">
      <x:c r="A26" s="149" t="inlineStr">
        <x:is>
          <x:t xml:space="preserve">S-18</x:t>
        </x:is>
      </x:c>
      <x:c r="B26" s="149" t="inlineStr">
        <x:is>
          <x:t xml:space="preserve">Manual</x:t>
        </x:is>
      </x:c>
      <x:c r="C26" s="149" t="inlineStr">
        <x:is>
          <x:t xml:space="preserve">Select</x:t>
        </x:is>
      </x:c>
      <x:c r="D26" s="150" t="inlineStr">
        <x:is>
          <x:t xml:space="preserve">The component-owned protocol passes every Select playground scenario in one scalable flow.</x:t>
        </x:is>
      </x:c>
      <x:c r="E26" s="149" t="inlineStr">
        <x:is>
          <x:t xml:space="preserve">package</x:t>
        </x:is>
      </x:c>
      <x:c r="F26" s="149" t="inlineStr">
        <x:is>
          <x:t xml:space="preserve">manual</x:t>
        </x:is>
      </x:c>
      <x:c r="G26" s="150" t="inlineStr">
        <x:is>
          <x:t xml:space="preserve">manual-tests/select.md</x:t>
        </x:is>
      </x:c>
      <x:c r="H26" s="149" t="inlineStr">
        <x:is>
          <x:t xml:space="preserve">implemented</x:t>
        </x:is>
      </x:c>
      <x:c r="I26" s="149" t="inlineStr">
        <x:is>
          <x:t xml:space="preserve">yes</x:t>
        </x:is>
      </x:c>
      <x:c r="J26" s="151" t="n"/>
      <x:c r="K26" s="150" t="inlineStr">
        <x:is>
          <x:t xml:space="preserve">Protocol is intentionally unrun and contains no claimed result.</x:t>
        </x:is>
      </x:c>
      <x:c r="L26" s="149" t="n">
        <x:v>1</x:v>
      </x:c>
      <x:c r="M26" s="149" t="n">
        <x:f>IF(OR(AND(I26="yes",H26="verified"),AND(I26="no",OR(H26="tested",H26="verified")),AND(H26="not applicable",K26&lt;&gt;"")),1,0)</x:f>
        <x:v>0</x:v>
      </x:c>
    </x:row>
    <x:row r="27" s="127" customFormat="1" ht="23.25" customHeight="1">
      <x:c r="A27" s="149" t="inlineStr">
        <x:is>
          <x:t xml:space="preserve">S-19</x:t>
        </x:is>
      </x:c>
      <x:c r="B27" s="149" t="inlineStr">
        <x:is>
          <x:t xml:space="preserve">Docs</x:t>
        </x:is>
      </x:c>
      <x:c r="C27" s="149" t="inlineStr">
        <x:is>
          <x:t xml:space="preserve">Select</x:t>
        </x:is>
      </x:c>
      <x:c r="D27" s="150" t="inlineStr">
        <x:is>
          <x:t xml:space="preserve">Source-backed public usage, API, anatomy, tokens, accessibility, and exclusions pass documentation gates.</x:t>
        </x:is>
      </x:c>
      <x:c r="E27" s="149" t="inlineStr">
        <x:is>
          <x:t xml:space="preserve">package</x:t>
        </x:is>
      </x:c>
      <x:c r="F27" s="149" t="inlineStr">
        <x:is>
          <x:t xml:space="preserve">docs</x:t>
        </x:is>
      </x:c>
      <x:c r="G27" s="150" t="inlineStr">
        <x:is>
          <x:t xml:space="preserve">../docs/components/select/README.md</x:t>
        </x:is>
      </x:c>
      <x:c r="H27" s="149" t="inlineStr">
        <x:is>
          <x:t xml:space="preserve">tested</x:t>
        </x:is>
      </x:c>
      <x:c r="I27" s="149" t="inlineStr">
        <x:is>
          <x:t xml:space="preserve">no</x:t>
        </x:is>
      </x:c>
      <x:c r="J27" s="151" t="n">
        <x:v>46229</x:v>
      </x:c>
      <x:c r="K27" s="150" t="n"/>
      <x:c r="L27" s="149" t="n">
        <x:v>1</x:v>
      </x:c>
      <x:c r="M27" s="149" t="n">
        <x:f>IF(OR(AND(I27="yes",H27="verified"),AND(I27="no",OR(H27="tested",H27="verified")),AND(H27="not applicable",K27&lt;&gt;"")),1,0)</x:f>
        <x:v>1</x:v>
      </x:c>
    </x:row>
    <x:row r="28" s="127" customFormat="1" ht="23.25" customHeight="1">
      <x:c r="A28" s="149" t="inlineStr">
        <x:is>
          <x:t xml:space="preserve">S-20</x:t>
        </x:is>
      </x:c>
      <x:c r="B28" s="149" t="inlineStr">
        <x:is>
          <x:t xml:space="preserve">Changelog</x:t>
        </x:is>
      </x:c>
      <x:c r="C28" s="149" t="inlineStr">
        <x:is>
          <x:t xml:space="preserve">Select</x:t>
        </x:is>
      </x:c>
      <x:c r="D28" s="150" t="inlineStr">
        <x:is>
          <x:t xml:space="preserve">Select owns a component changelog and the package changelog records its public addition.</x:t>
        </x:is>
      </x:c>
      <x:c r="E28" s="149" t="inlineStr">
        <x:is>
          <x:t xml:space="preserve">package</x:t>
        </x:is>
      </x:c>
      <x:c r="F28" s="149" t="inlineStr">
        <x:is>
          <x:t xml:space="preserve">docs</x:t>
        </x:is>
      </x:c>
      <x:c r="G28" s="150" t="inlineStr">
        <x:is>
          <x:t xml:space="preserve">../docs/components/select/CHANGELOG.md; ../CHANGELOG.md</x:t>
        </x:is>
      </x:c>
      <x:c r="H28" s="149" t="inlineStr">
        <x:is>
          <x:t xml:space="preserve">tested</x:t>
        </x:is>
      </x:c>
      <x:c r="I28" s="149" t="inlineStr">
        <x:is>
          <x:t xml:space="preserve">no</x:t>
        </x:is>
      </x:c>
      <x:c r="J28" s="151" t="n">
        <x:v>46229</x:v>
      </x:c>
      <x:c r="K28" s="150" t="n"/>
      <x:c r="L28" s="149" t="n">
        <x:v>1</x:v>
      </x:c>
      <x:c r="M28" s="149" t="n">
        <x:f>IF(OR(AND(I28="yes",H28="verified"),AND(I28="no",OR(H28="tested",H28="verified")),AND(H28="not applicable",K28&lt;&gt;"")),1,0)</x:f>
        <x:v>1</x:v>
      </x:c>
    </x:row>
    <x:row r="29" s="127" customFormat="1" ht="23.25" customHeight="1">
      <x:c r="A29" s="149" t="inlineStr">
        <x:is>
          <x:t xml:space="preserve">S-21</x:t>
        </x:is>
      </x:c>
      <x:c r="B29" s="149" t="inlineStr">
        <x:is>
          <x:t xml:space="preserve">Consumer</x:t>
        </x:is>
      </x:c>
      <x:c r="C29" s="149" t="inlineStr">
        <x:is>
          <x:t xml:space="preserve">Select</x:t>
        </x:is>
      </x:c>
      <x:c r="D29" s="150" t="inlineStr">
        <x:is>
          <x:t xml:space="preserve">Packed Consumer proves a realistic Field/Form plan chooser through the public Select subpath.</x:t>
        </x:is>
      </x:c>
      <x:c r="E29" s="149" t="inlineStr">
        <x:is>
          <x:t xml:space="preserve">consumer</x:t>
        </x:is>
      </x:c>
      <x:c r="F29" s="149" t="inlineStr">
        <x:is>
          <x:t xml:space="preserve">consumer</x:t>
        </x:is>
      </x:c>
      <x:c r="G29" s="150" t="inlineStr">
        <x:is>
          <x:t xml:space="preserve">../apps/consumer/src/App.tsx; ../apps/consumer/tests/consumer.spec.ts</x:t>
        </x:is>
      </x:c>
      <x:c r="H29" s="149" t="inlineStr">
        <x:is>
          <x:t xml:space="preserve">tested</x:t>
        </x:is>
      </x:c>
      <x:c r="I29" s="149" t="inlineStr">
        <x:is>
          <x:t xml:space="preserve">no</x:t>
        </x:is>
      </x:c>
      <x:c r="J29" s="151" t="inlineStr">
        <x:is>
          <x:t xml:space="preserve">2026-07-26</x:t>
        </x:is>
      </x:c>
      <x:c r="K29" s="150" t="inlineStr">
        <x:is>
          <x:t xml:space="preserve">None. Packed Consumer boundary and Chromium desktop/mobile flows pass.</x:t>
        </x:is>
      </x:c>
      <x:c r="L29" s="149" t="n">
        <x:v>1</x:v>
      </x:c>
      <x:c r="M29" s="149" t="n">
        <x:f>IF(OR(AND(I29="yes",H29="verified"),AND(I29="no",OR(H29="tested",H29="verified")),AND(H29="not applicable",K29&lt;&gt;"")),1,0)</x:f>
        <x:v>1</x:v>
      </x:c>
    </x:row>
    <x:row r="30" s="127" customFormat="1" ht="23.25" customHeight="1">
      <x:c r="A30" s="149" t="inlineStr">
        <x:is>
          <x:t xml:space="preserve">S-22</x:t>
        </x:is>
      </x:c>
      <x:c r="B30" s="149" t="inlineStr">
        <x:is>
          <x:t xml:space="preserve">Package</x:t>
        </x:is>
      </x:c>
      <x:c r="C30" s="149" t="inlineStr">
        <x:is>
          <x:t xml:space="preserve">Select</x:t>
        </x:is>
      </x:c>
      <x:c r="D30" s="150" t="inlineStr">
        <x:is>
          <x:t xml:space="preserve">Build, SSR, exports, CSS, tarball, React 18/19, Consumer, and full package gates pass.</x:t>
        </x:is>
      </x:c>
      <x:c r="E30" s="149" t="inlineStr">
        <x:is>
          <x:t xml:space="preserve">package</x:t>
        </x:is>
      </x:c>
      <x:c r="F30" s="149" t="inlineStr">
        <x:is>
          <x:t xml:space="preserve">package</x:t>
        </x:is>
      </x:c>
      <x:c r="G30" s="150" t="inlineStr">
        <x:is>
          <x:t xml:space="preserve">../test/package; ../scripts/verify-package.mjs; ../scripts/verify-consumers.mjs</x:t>
        </x:is>
      </x:c>
      <x:c r="H30" s="149" t="inlineStr">
        <x:is>
          <x:t xml:space="preserve">partial</x:t>
        </x:is>
      </x:c>
      <x:c r="I30" s="149" t="inlineStr">
        <x:is>
          <x:t xml:space="preserve">no</x:t>
        </x:is>
      </x:c>
      <x:c r="J30" s="151" t="inlineStr">
        <x:is>
          <x:t xml:space="preserve">2026-07-26</x:t>
        </x:is>
      </x:c>
      <x:c r="K30" s="150" t="inlineStr">
        <x:is>
          <x:t xml:space="preserve">Local family checks only. Full release qualification and manual gates remain separate.</x:t>
        </x:is>
      </x:c>
      <x:c r="L30" s="149" t="n">
        <x:v>1</x:v>
      </x:c>
      <x:c r="M30" s="149" t="n">
        <x:f>IF(OR(AND(I30="yes",H30="verified"),AND(I30="no",OR(H30="tested",H30="verified")),AND(H30="not applicable",K30&lt;&gt;"")),1,0)</x:f>
        <x:v>0</x:v>
      </x:c>
    </x:row>
  </x:sheetData>
  <x:mergeCells>
    <x:mergeCell ref="A2:M2"/>
    <x:mergeCell ref="A1:M1"/>
  </x:mergeCells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Multi Select Evidence</x:t>
        </x:is>
      </x:c>
    </x:row>
    <x:row r="2" s="127" customFormat="1" ht="27.75" customHeight="1">
      <x:c r="A2" s="129" t="inlineStr">
        <x:is>
          <x:t xml:space="preserve">Assertion-level Atom-backed package, browser, human-review, documentation, Consumer, multiple-selection, positioning, and repeated-value form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COUNTA(A9:A30)</x:f>
        <x:v>22</x:v>
      </x:c>
      <x:c r="D4" s="130" t="inlineStr">
        <x:is>
          <x:t xml:space="preserve">Resolved</x:t>
        </x:is>
      </x:c>
      <x:c r="E4" s="131" t="n">
        <x:f>SUM(M9:M30)</x:f>
        <x:v>15</x:v>
      </x:c>
      <x:c r="G4" s="130" t="inlineStr">
        <x:is>
          <x:t xml:space="preserve">Completion</x:t>
        </x:is>
      </x:c>
      <x:c r="H4" s="132" t="n">
        <x:f>IF(B4=0,0,E4/B4)</x:f>
        <x:v>0.6818181818181818</x:v>
      </x:c>
      <x:c r="J4" s="130" t="inlineStr">
        <x:is>
          <x:t xml:space="preserve">Package gate</x:t>
        </x:is>
      </x:c>
      <x:c r="K4" s="131" t="str">
        <x:f>IF(COUNTIFS(E9:E24,"package",M9:M24,0)&gt;0,"open","complete")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IF(COUNTIFS(I9:I30,"yes",M9:M30,0)&gt;0,"open","complete")</x:f>
        <x:v>open</x:v>
      </x:c>
      <x:c r="D5" s="130" t="inlineStr">
        <x:is>
          <x:t xml:space="preserve">Consumer gate</x:t>
        </x:is>
      </x:c>
      <x:c r="E5" s="131" t="str">
        <x:f>IF(COUNTIFS(E9:E30,"consumer",M9:M30,0)&gt;0,"open","complete")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MS-01</x:t>
        </x:is>
      </x:c>
      <x:c r="B9" s="149" t="inlineStr">
        <x:is>
          <x:t xml:space="preserve">Implementation</x:t>
        </x:is>
      </x:c>
      <x:c r="C9" s="149" t="inlineStr">
        <x:is>
          <x:t xml:space="preserve">Root/Trigger</x:t>
        </x:is>
      </x:c>
      <x:c r="D9" s="150" t="inlineStr">
        <x:is>
          <x:t xml:space="preserve">Public Multi Select composition uses the qualified Atom 0.26.1 local candidate; nothing released.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../src/components/multi-select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46229</x:v>
      </x:c>
      <x:c r="K9" s="150" t="n"/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MS-02</x:t>
        </x:is>
      </x:c>
      <x:c r="B10" s="149" t="inlineStr">
        <x:is>
          <x:t xml:space="preserve">Anatomy</x:t>
        </x:is>
      </x:c>
      <x:c r="C10" s="149" t="inlineStr">
        <x:is>
          <x:t xml:space="preserve">All parts</x:t>
        </x:is>
      </x:c>
      <x:c r="D10" s="150" t="inlineStr">
        <x:is>
          <x:t xml:space="preserve">Trigger, Value, Icon, Content/Listbox, Viewport, scroll buttons, Group, Label, Item, ItemText, Indicator, Separator, Portal, and Arrow are styled/exported.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../test/components/multi-select/multi-select.test.tsx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46229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MS-03</x:t>
        </x:is>
      </x:c>
      <x:c r="B11" s="149" t="inlineStr">
        <x:is>
          <x:t xml:space="preserve">Exports</x:t>
        </x:is>
      </x:c>
      <x:c r="C11" s="149" t="inlineStr">
        <x:is>
          <x:t xml:space="preserve">Multi Select</x:t>
        </x:is>
      </x:c>
      <x:c r="D11" s="150" t="inlineStr">
        <x:is>
          <x:t xml:space="preserve">Root and multi-select subpath exports expose the namespace, named parts, and public types.</x:t>
        </x:is>
      </x:c>
      <x:c r="E11" s="149" t="inlineStr">
        <x:is>
          <x:t xml:space="preserve">package</x:t>
        </x:is>
      </x:c>
      <x:c r="F11" s="149" t="inlineStr">
        <x:is>
          <x:t xml:space="preserve">package</x:t>
        </x:is>
      </x:c>
      <x:c r="G11" s="150" t="inlineStr">
        <x:is>
          <x:t xml:space="preserve">../test/package/package.test.mjs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46229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MS-04</x:t>
        </x:is>
      </x:c>
      <x:c r="B12" s="149" t="inlineStr">
        <x:is>
          <x:t xml:space="preserve">Types</x:t>
        </x:is>
      </x:c>
      <x:c r="C12" s="149" t="inlineStr">
        <x:is>
          <x:t xml:space="preserve">Root/parts</x:t>
        </x:is>
      </x:c>
      <x:c r="D12" s="150" t="inlineStr">
        <x:is>
          <x:t xml:space="preserve">Recipes, refs, Arrow children, underline shape exclusion, and array-valued selection type-check.</x:t>
        </x:is>
      </x:c>
      <x:c r="E12" s="149" t="inlineStr">
        <x:is>
          <x:t xml:space="preserve">package</x:t>
        </x:is>
      </x:c>
      <x:c r="F12" s="149" t="inlineStr">
        <x:is>
          <x:t xml:space="preserve">types</x:t>
        </x:is>
      </x:c>
      <x:c r="G12" s="150" t="inlineStr">
        <x:is>
          <x:t xml:space="preserve">../test/types/components/multi-select.test.ts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46229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MS-05</x:t>
        </x:is>
      </x:c>
      <x:c r="B13" s="149" t="inlineStr">
        <x:is>
          <x:t xml:space="preserve">CSS</x:t>
        </x:is>
      </x:c>
      <x:c r="C13" s="149" t="inlineStr">
        <x:is>
          <x:t xml:space="preserve">Trigger/Content/Item</x:t>
        </x:is>
      </x:c>
      <x:c r="D13" s="150" t="inlineStr">
        <x:is>
          <x:t xml:space="preserve">Static CSS ships recipes, geometry, states, popup, options, artwork, and documented variables.</x:t>
        </x:is>
      </x:c>
      <x:c r="E13" s="149" t="inlineStr">
        <x:is>
          <x:t xml:space="preserve">package</x:t>
        </x:is>
      </x:c>
      <x:c r="F13" s="149" t="inlineStr">
        <x:is>
          <x:t xml:space="preserve">css</x:t>
        </x:is>
      </x:c>
      <x:c r="G13" s="150" t="inlineStr">
        <x:is>
          <x:t xml:space="preserve">../src/components/multi-select/multi-select.css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46229</x:v>
      </x:c>
      <x:c r="K13" s="150" t="n"/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MS-06</x:t>
        </x:is>
      </x:c>
      <x:c r="B14" s="149" t="inlineStr">
        <x:is>
          <x:t xml:space="preserve">Labels</x:t>
        </x:is>
      </x:c>
      <x:c r="C14" s="149" t="inlineStr">
        <x:is>
          <x:t xml:space="preserve">Root/ItemText</x:t>
        </x:is>
      </x:c>
      <x:c r="D14" s="150" t="inlineStr">
        <x:is>
          <x:t xml:space="preserve">Closed summaries resolve authored ItemText labels before popup mount and update for several selected values.</x:t>
        </x:is>
      </x:c>
      <x:c r="E14" s="149" t="inlineStr">
        <x:is>
          <x:t xml:space="preserve">package</x:t>
        </x:is>
      </x:c>
      <x:c r="F14" s="149" t="inlineStr">
        <x:is>
          <x:t xml:space="preserve">component</x:t>
        </x:is>
      </x:c>
      <x:c r="G14" s="150" t="inlineStr">
        <x:is>
          <x:t xml:space="preserve">../test/components/multi-select/multi-select.test.tsx; tests/components/multi-select/behavior.spec.ts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46229</x:v>
      </x:c>
      <x:c r="K14" s="150" t="n"/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MS-07</x:t>
        </x:is>
      </x:c>
      <x:c r="B15" s="149" t="inlineStr">
        <x:is>
          <x:t xml:space="preserve">Recipes</x:t>
        </x:is>
      </x:c>
      <x:c r="C15" s="149" t="inlineStr">
        <x:is>
          <x:t xml:space="preserve">Root/Trigger</x:t>
        </x:is>
      </x:c>
      <x:c r="D15" s="150" t="inlineStr">
        <x:is>
          <x:t xml:space="preserve">Seven responsive sizes and current variants preserve control geometry; custom popup rows use compact spacing.</x:t>
        </x:is>
      </x:c>
      <x:c r="E15" s="149" t="inlineStr">
        <x:is>
          <x:t xml:space="preserve">package</x:t>
        </x:is>
      </x:c>
      <x:c r="F15" s="149" t="inlineStr">
        <x:is>
          <x:t xml:space="preserve">browser</x:t>
        </x:is>
      </x:c>
      <x:c r="G15" s="150" t="inlineStr">
        <x:is>
          <x:t xml:space="preserve">tests/components/multi-select/documentation.spec.ts; tests/components/multi-select/behavior.spec.ts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46229</x:v>
      </x:c>
      <x:c r="K15" s="144" t="inlineStr">
        <x:is>
          <x:t xml:space="preserve">Surface pass: outline/rest/hover and surface fill checked in light/dark. Full owner review remains separate; see form-surface-recipes assertions in the owner browser suite.</x:t>
        </x:is>
      </x:c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MS-08</x:t>
        </x:is>
      </x:c>
      <x:c r="B16" s="149" t="inlineStr">
        <x:is>
          <x:t xml:space="preserve">Interaction</x:t>
        </x:is>
      </x:c>
      <x:c r="C16" s="149" t="inlineStr">
        <x:is>
          <x:t xml:space="preserve">Root/Trigger/Item</x:t>
        </x:is>
      </x:c>
      <x:c r="D16" s="150" t="inlineStr">
        <x:is>
          <x:t xml:space="preserve">Pointer and keyboard open, navigation, buffered typeahead, toggle selection without closing, Escape, focus return, and disabled skip remain Atom-owned.</x:t>
        </x:is>
      </x:c>
      <x:c r="E16" s="149" t="inlineStr">
        <x:is>
          <x:t xml:space="preserve">package</x:t>
        </x:is>
      </x:c>
      <x:c r="F16" s="149" t="inlineStr">
        <x:is>
          <x:t xml:space="preserve">browser</x:t>
        </x:is>
      </x:c>
      <x:c r="G16" s="150" t="inlineStr">
        <x:is>
          <x:t xml:space="preserve">tests/components/multi-select/behavior.spec.ts; Atom 0.20.11 Multi Select suite</x:t>
        </x:is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n">
        <x:v>46229</x:v>
      </x:c>
      <x:c r="K16" s="150" t="n"/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MS-09</x:t>
        </x:is>
      </x:c>
      <x:c r="B17" s="149" t="inlineStr">
        <x:is>
          <x:t xml:space="preserve">Options</x:t>
        </x:is>
      </x:c>
      <x:c r="C17" s="149" t="inlineStr">
        <x:is>
          <x:t xml:space="preserve">Group/Viewport/Arrow</x:t>
        </x:is>
      </x:c>
      <x:c r="D17" s="150" t="inlineStr">
        <x:is>
          <x:t xml:space="preserve">Groups, labels, separator, long scrolling, conditional controls, and matching collision side/alignment are exposed.</x:t>
        </x:is>
      </x:c>
      <x:c r="E17" s="149" t="inlineStr">
        <x:is>
          <x:t xml:space="preserve">package</x:t>
        </x:is>
      </x:c>
      <x:c r="F17" s="149" t="inlineStr">
        <x:is>
          <x:t xml:space="preserve">browser</x:t>
        </x:is>
      </x:c>
      <x:c r="G17" s="150" t="inlineStr">
        <x:is>
          <x:t xml:space="preserve">tests/components/multi-select/behavior.spec.ts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n">
        <x:v>46229</x:v>
      </x:c>
      <x:c r="K17" s="150" t="n"/>
      <x:c r="L17" s="149" t="n">
        <x:v>1</x:v>
      </x:c>
      <x:c r="M17" s="149" t="n">
        <x:f>IF(OR(AND(I17="yes",H17="verified"),AND(I17="no",OR(H17="tested",H17="verified")),AND(H17="not applicable",K17&lt;&gt;"")),1,0)</x:f>
        <x:v>1</x:v>
      </x:c>
    </x:row>
    <x:row r="18" s="127" customFormat="1" ht="54" customHeight="1">
      <x:c r="A18" s="149" t="inlineStr">
        <x:is>
          <x:t xml:space="preserve">MS-10</x:t>
        </x:is>
      </x:c>
      <x:c r="B18" s="149" t="inlineStr">
        <x:is>
          <x:t xml:space="preserve">Forms</x:t>
        </x:is>
      </x:c>
      <x:c r="C18" s="149" t="inlineStr">
        <x:is>
          <x:t xml:space="preserve">Root/Trigger</x:t>
        </x:is>
      </x:c>
      <x:c r="D18" s="150" t="inlineStr">
        <x:is>
          <x:t xml:space="preserve">Field relationships, required validity, repeated-value native submit/reset, external form ownership, and validation use Atom's native multiple proxy.</x:t>
        </x:is>
      </x:c>
      <x:c r="E18" s="149" t="inlineStr">
        <x:is>
          <x:t xml:space="preserve">package</x:t>
        </x:is>
      </x:c>
      <x:c r="F18" s="149" t="inlineStr">
        <x:is>
          <x:t xml:space="preserve">browser</x:t>
        </x:is>
      </x:c>
      <x:c r="G18" s="150" t="inlineStr">
        <x:is>
          <x:t xml:space="preserve">tests/components/multi-select/behavior.spec.ts; Atom 0.20.11 Multi Select suite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n">
        <x:v>46229</x:v>
      </x:c>
      <x:c r="K18" s="150" t="n"/>
      <x:c r="L18" s="149" t="n">
        <x:v>1</x:v>
      </x:c>
      <x:c r="M18" s="149" t="n">
        <x:f>IF(OR(AND(I18="yes",H18="verified"),AND(I18="no",OR(H18="tested",H18="verified")),AND(H18="not applicable",K18&lt;&gt;"")),1,0)</x:f>
        <x:v>1</x:v>
      </x:c>
    </x:row>
    <x:row r="19" s="127" customFormat="1" ht="54" customHeight="1">
      <x:c r="A19" s="149" t="inlineStr">
        <x:is>
          <x:t xml:space="preserve">MS-11</x:t>
        </x:is>
      </x:c>
      <x:c r="B19" s="149" t="inlineStr">
        <x:is>
          <x:t xml:space="preserve">Composition</x:t>
        </x:is>
      </x:c>
      <x:c r="C19" s="149" t="inlineStr">
        <x:is>
          <x:t xml:space="preserve">Trigger/Portal</x:t>
        </x:is>
      </x:c>
      <x:c r="D19" s="150" t="inlineStr">
        <x:is>
          <x:t xml:space="preserve">Trigger asChild/render and portal/container paths retain props, one host, positioning, and refs.</x:t>
        </x:is>
      </x:c>
      <x:c r="E19" s="149" t="inlineStr">
        <x:is>
          <x:t xml:space="preserve">package</x:t>
        </x:is>
      </x:c>
      <x:c r="F19" s="149" t="inlineStr">
        <x:is>
          <x:t xml:space="preserve">component</x:t>
        </x:is>
      </x:c>
      <x:c r="G19" s="150" t="inlineStr">
        <x:is>
          <x:t xml:space="preserve">../test/components/multi-select/multi-select.test.tsx; tests/components/multi-select/behavior.spec.ts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46229</x:v>
      </x:c>
      <x:c r="K19" s="150" t="n"/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MS-12</x:t>
        </x:is>
      </x:c>
      <x:c r="B20" s="149" t="inlineStr">
        <x:is>
          <x:t xml:space="preserve">Accessibility</x:t>
        </x:is>
      </x:c>
      <x:c r="C20" s="149" t="inlineStr">
        <x:is>
          <x:t xml:space="preserve">Multi Select</x:t>
        </x:is>
      </x:c>
      <x:c r="D20" s="150" t="inlineStr">
        <x:is>
          <x:t xml:space="preserve">Field naming, button/listbox states, aria-multiselectable, selected options, disabled options, decorative artwork, and axe checks pass.</x:t>
        </x:is>
      </x:c>
      <x:c r="E20" s="149" t="inlineStr">
        <x:is>
          <x:t xml:space="preserve">package</x:t>
        </x:is>
      </x:c>
      <x:c r="F20" s="149" t="inlineStr">
        <x:is>
          <x:t xml:space="preserve">axe</x:t>
        </x:is>
      </x:c>
      <x:c r="G20" s="150" t="inlineStr">
        <x:is>
          <x:t xml:space="preserve">tests/components/multi-select/behavior.spec.ts</x:t>
        </x:is>
      </x:c>
      <x:c r="H20" s="149" t="inlineStr">
        <x:is>
          <x:t xml:space="preserve">tested</x:t>
        </x:is>
      </x:c>
      <x:c r="I20" s="149" t="inlineStr">
        <x:is>
          <x:t xml:space="preserve">no</x:t>
        </x:is>
      </x:c>
      <x:c r="J20" s="151" t="n">
        <x:v>46229</x:v>
      </x:c>
      <x:c r="K20" s="150" t="n"/>
      <x:c r="L20" s="149" t="n">
        <x:v>1</x:v>
      </x:c>
      <x:c r="M20" s="149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49" t="inlineStr">
        <x:is>
          <x:t xml:space="preserve">MS-13</x:t>
        </x:is>
      </x:c>
      <x:c r="B21" s="149" t="inlineStr">
        <x:is>
          <x:t xml:space="preserve">Visual</x:t>
        </x:is>
      </x:c>
      <x:c r="C21" s="149" t="inlineStr">
        <x:is>
          <x:t xml:space="preserve">Multi Select</x:t>
        </x:is>
      </x:c>
      <x:c r="D21" s="150" t="inlineStr">
        <x:is>
          <x:t xml:space="preserve">Baselines cover defaults, recipes, geometry, options, states, appearance, narrow RTL, and forced colors.</x:t>
        </x:is>
      </x:c>
      <x:c r="E21" s="149" t="inlineStr">
        <x:is>
          <x:t xml:space="preserve">package</x:t>
        </x:is>
      </x:c>
      <x:c r="F21" s="149" t="inlineStr">
        <x:is>
          <x:t xml:space="preserve">visual</x:t>
        </x:is>
      </x:c>
      <x:c r="G21" s="150" t="inlineStr">
        <x:is>
          <x:t xml:space="preserve">tests/components/multi-select/visual.spec.ts</x:t>
        </x:is>
      </x:c>
      <x:c r="H21" s="149" t="inlineStr">
        <x:is>
          <x:t xml:space="preserve">implemented</x:t>
        </x:is>
      </x:c>
      <x:c r="I21" s="149" t="inlineStr">
        <x:is>
          <x:t xml:space="preserve">yes</x:t>
        </x:is>
      </x:c>
      <x:c r="J21" s="151" t="n"/>
      <x:c r="K21" s="150" t="inlineStr">
        <x:is>
          <x:t xml:space="preserve">Baselines exist and automated comparison passes; final owner visual review is not recorded.</x:t>
        </x:is>
      </x:c>
      <x:c r="L21" s="149" t="n">
        <x:v>1</x:v>
      </x:c>
      <x:c r="M21" s="149" t="n">
        <x:f>IF(OR(AND(I21="yes",H21="verified"),AND(I21="no",OR(H21="tested",H21="verified")),AND(H21="not applicable",K21&lt;&gt;"")),1,0)</x:f>
        <x:v>0</x:v>
      </x:c>
    </x:row>
    <x:row r="22" s="127" customFormat="1" ht="54" customHeight="1">
      <x:c r="A22" s="149" t="inlineStr">
        <x:is>
          <x:t xml:space="preserve">MS-14</x:t>
        </x:is>
      </x:c>
      <x:c r="B22" s="149" t="inlineStr">
        <x:is>
          <x:t xml:space="preserve">Responsive</x:t>
        </x:is>
      </x:c>
      <x:c r="C22" s="149" t="inlineStr">
        <x:is>
          <x:t xml:space="preserve">Trigger/Content</x:t>
        </x:is>
      </x:c>
      <x:c r="D22" s="150" t="inlineStr">
        <x:is>
          <x:t xml:space="preserve">Physical mobile, 200%/400% zoom, long localization, popup bounds, and RTL remain usable.</x:t>
        </x:is>
      </x:c>
      <x:c r="E22" s="149" t="inlineStr">
        <x:is>
          <x:t xml:space="preserve">package</x:t>
        </x:is>
      </x:c>
      <x:c r="F22" s="149" t="inlineStr">
        <x:is>
          <x:t xml:space="preserve">manual</x:t>
        </x:is>
      </x:c>
      <x:c r="G22" s="150" t="inlineStr">
        <x:is>
          <x:t xml:space="preserve">manual-tests/multi-select.md</x:t>
        </x:is>
      </x:c>
      <x:c r="H22" s="149" t="inlineStr">
        <x:is>
          <x:t xml:space="preserve">implemented</x:t>
        </x:is>
      </x:c>
      <x:c r="I22" s="149" t="inlineStr">
        <x:is>
          <x:t xml:space="preserve">yes</x:t>
        </x:is>
      </x:c>
      <x:c r="J22" s="151" t="n"/>
      <x:c r="K22" s="150" t="inlineStr">
        <x:is>
          <x:t xml:space="preserve">Protocol is unrun; real device and zoom review remain pending.</x:t>
        </x:is>
      </x:c>
      <x:c r="L22" s="149" t="n">
        <x:v>1</x:v>
      </x:c>
      <x:c r="M22" s="149" t="n">
        <x:f>IF(OR(AND(I22="yes",H22="verified"),AND(I22="no",OR(H22="tested",H22="verified")),AND(H22="not applicable",K22&lt;&gt;"")),1,0)</x:f>
        <x:v>0</x:v>
      </x:c>
    </x:row>
    <x:row r="23" s="127" customFormat="1" ht="54" customHeight="1">
      <x:c r="A23" s="149" t="inlineStr">
        <x:is>
          <x:t xml:space="preserve">MS-15</x:t>
        </x:is>
      </x:c>
      <x:c r="B23" s="149" t="inlineStr">
        <x:is>
          <x:t xml:space="preserve">Touch/pen</x:t>
        </x:is>
      </x:c>
      <x:c r="C23" s="149" t="inlineStr">
        <x:is>
          <x:t xml:space="preserve">Content</x:t>
        </x:is>
      </x:c>
      <x:c r="D23" s="150" t="inlineStr">
        <x:is>
          <x:t xml:space="preserve">Outside tap dismisses after release while drag, cancellation, and scroll preserve the open Multi Select.</x:t>
        </x:is>
      </x:c>
      <x:c r="E23" s="149" t="inlineStr">
        <x:is>
          <x:t xml:space="preserve">package</x:t>
        </x:is>
      </x:c>
      <x:c r="F23" s="149" t="inlineStr">
        <x:is>
          <x:t xml:space="preserve">manual</x:t>
        </x:is>
      </x:c>
      <x:c r="G23" s="150" t="inlineStr">
        <x:is>
          <x:t xml:space="preserve">manual-tests/multi-select.md; Atom 0.20.11 Multi Select evidence</x:t>
        </x:is>
      </x:c>
      <x:c r="H23" s="149" t="inlineStr">
        <x:is>
          <x:t xml:space="preserve">implemented</x:t>
        </x:is>
      </x:c>
      <x:c r="I23" s="149" t="inlineStr">
        <x:is>
          <x:t xml:space="preserve">yes</x:t>
        </x:is>
      </x:c>
      <x:c r="J23" s="151" t="n"/>
      <x:c r="K23" s="150" t="inlineStr">
        <x:is>
          <x:t xml:space="preserve">Atom automated evidence passes; Brick real-device protocol is unrun.</x:t>
        </x:is>
      </x:c>
      <x:c r="L23" s="149" t="n">
        <x:v>1</x:v>
      </x:c>
      <x:c r="M23" s="149" t="n">
        <x:f>IF(OR(AND(I23="yes",H23="verified"),AND(I23="no",OR(H23="tested",H23="verified")),AND(H23="not applicable",K23&lt;&gt;"")),1,0)</x:f>
        <x:v>0</x:v>
      </x:c>
    </x:row>
    <x:row r="24" s="127" customFormat="1" ht="54" customHeight="1">
      <x:c r="A24" s="149" t="inlineStr">
        <x:is>
          <x:t xml:space="preserve">MS-16</x:t>
        </x:is>
      </x:c>
      <x:c r="B24" s="149" t="inlineStr">
        <x:is>
          <x:t xml:space="preserve">Screen reader</x:t>
        </x:is>
      </x:c>
      <x:c r="C24" s="149" t="inlineStr">
        <x:is>
          <x:t xml:space="preserve">Multi Select</x:t>
        </x:is>
      </x:c>
      <x:c r="D24" s="150" t="inlineStr">
        <x:is>
          <x:t xml:space="preserve">macOS/iOS VoiceOver and a second desktop AT/browser announce name, value, groups, states, and options.</x:t>
        </x:is>
      </x:c>
      <x:c r="E24" s="149" t="inlineStr">
        <x:is>
          <x:t xml:space="preserve">package</x:t>
        </x:is>
      </x:c>
      <x:c r="F24" s="149" t="inlineStr">
        <x:is>
          <x:t xml:space="preserve">manual</x:t>
        </x:is>
      </x:c>
      <x:c r="G24" s="150" t="inlineStr">
        <x:is>
          <x:t xml:space="preserve">manual-tests/multi-select.md</x:t>
        </x:is>
      </x:c>
      <x:c r="H24" s="149" t="inlineStr">
        <x:is>
          <x:t xml:space="preserve">implemented</x:t>
        </x:is>
      </x:c>
      <x:c r="I24" s="149" t="inlineStr">
        <x:is>
          <x:t xml:space="preserve">yes</x:t>
        </x:is>
      </x:c>
      <x:c r="J24" s="151" t="n"/>
      <x:c r="K24" s="150" t="inlineStr">
        <x:is>
          <x:t xml:space="preserve">Assistive-technology protocol is unrun.</x:t>
        </x:is>
      </x:c>
      <x:c r="L24" s="149" t="n">
        <x:v>1</x:v>
      </x:c>
      <x:c r="M24" s="149" t="n">
        <x:f>IF(OR(AND(I24="yes",H24="verified"),AND(I24="no",OR(H24="tested",H24="verified")),AND(H24="not applicable",K24&lt;&gt;"")),1,0)</x:f>
        <x:v>0</x:v>
      </x:c>
    </x:row>
    <x:row r="25" s="127" customFormat="1" ht="23.25" customHeight="1">
      <x:c r="A25" s="149" t="inlineStr">
        <x:is>
          <x:t xml:space="preserve">MS-17</x:t>
        </x:is>
      </x:c>
      <x:c r="B25" s="149" t="inlineStr">
        <x:is>
          <x:t xml:space="preserve">Theme</x:t>
        </x:is>
      </x:c>
      <x:c r="C25" s="149" t="inlineStr">
        <x:is>
          <x:t xml:space="preserve">Multi Select</x:t>
        </x:is>
      </x:c>
      <x:c r="D25" s="150" t="inlineStr">
        <x:is>
          <x:t xml:space="preserve">Light, dark, focus, invalid, forced-colors, and reduced-motion treatment remain perceivable.</x:t>
        </x:is>
      </x:c>
      <x:c r="E25" s="149" t="inlineStr">
        <x:is>
          <x:t xml:space="preserve">package</x:t>
        </x:is>
      </x:c>
      <x:c r="F25" s="149" t="inlineStr">
        <x:is>
          <x:t xml:space="preserve">manual</x:t>
        </x:is>
      </x:c>
      <x:c r="G25" s="150" t="inlineStr">
        <x:is>
          <x:t xml:space="preserve">manual-tests/multi-select.md; tests/components/multi-select/visual.spec.ts</x:t>
        </x:is>
      </x:c>
      <x:c r="H25" s="149" t="inlineStr">
        <x:is>
          <x:t xml:space="preserve">implemented</x:t>
        </x:is>
      </x:c>
      <x:c r="I25" s="149" t="inlineStr">
        <x:is>
          <x:t xml:space="preserve">yes</x:t>
        </x:is>
      </x:c>
      <x:c r="J25" s="151" t="n"/>
      <x:c r="K25" s="150" t="inlineStr">
        <x:is>
          <x:t xml:space="preserve">Automated baselines exist; complete human preference review is pending.</x:t>
        </x:is>
      </x:c>
      <x:c r="L25" s="149" t="n">
        <x:v>1</x:v>
      </x:c>
      <x:c r="M25" s="149" t="n">
        <x:f>IF(OR(AND(I25="yes",H25="verified"),AND(I25="no",OR(H25="tested",H25="verified")),AND(H25="not applicable",K25&lt;&gt;"")),1,0)</x:f>
        <x:v>0</x:v>
      </x:c>
    </x:row>
    <x:row r="26" s="127" customFormat="1" ht="23.25" customHeight="1">
      <x:c r="A26" s="149" t="inlineStr">
        <x:is>
          <x:t xml:space="preserve">MS-18</x:t>
        </x:is>
      </x:c>
      <x:c r="B26" s="149" t="inlineStr">
        <x:is>
          <x:t xml:space="preserve">Manual</x:t>
        </x:is>
      </x:c>
      <x:c r="C26" s="149" t="inlineStr">
        <x:is>
          <x:t xml:space="preserve">Multi Select</x:t>
        </x:is>
      </x:c>
      <x:c r="D26" s="150" t="inlineStr">
        <x:is>
          <x:t xml:space="preserve">The component-owned protocol passes every Multi Select playground scenario in one scalable flow.</x:t>
        </x:is>
      </x:c>
      <x:c r="E26" s="149" t="inlineStr">
        <x:is>
          <x:t xml:space="preserve">package</x:t>
        </x:is>
      </x:c>
      <x:c r="F26" s="149" t="inlineStr">
        <x:is>
          <x:t xml:space="preserve">manual</x:t>
        </x:is>
      </x:c>
      <x:c r="G26" s="150" t="inlineStr">
        <x:is>
          <x:t xml:space="preserve">manual-tests/multi-select.md</x:t>
        </x:is>
      </x:c>
      <x:c r="H26" s="149" t="inlineStr">
        <x:is>
          <x:t xml:space="preserve">implemented</x:t>
        </x:is>
      </x:c>
      <x:c r="I26" s="149" t="inlineStr">
        <x:is>
          <x:t xml:space="preserve">yes</x:t>
        </x:is>
      </x:c>
      <x:c r="J26" s="151" t="n"/>
      <x:c r="K26" s="150" t="inlineStr">
        <x:is>
          <x:t xml:space="preserve">Protocol is intentionally unrun and contains no claimed result.</x:t>
        </x:is>
      </x:c>
      <x:c r="L26" s="149" t="n">
        <x:v>1</x:v>
      </x:c>
      <x:c r="M26" s="149" t="n">
        <x:f>IF(OR(AND(I26="yes",H26="verified"),AND(I26="no",OR(H26="tested",H26="verified")),AND(H26="not applicable",K26&lt;&gt;"")),1,0)</x:f>
        <x:v>0</x:v>
      </x:c>
    </x:row>
    <x:row r="27" s="127" customFormat="1" ht="23.25" customHeight="1">
      <x:c r="A27" s="149" t="inlineStr">
        <x:is>
          <x:t xml:space="preserve">MS-19</x:t>
        </x:is>
      </x:c>
      <x:c r="B27" s="149" t="inlineStr">
        <x:is>
          <x:t xml:space="preserve">Docs</x:t>
        </x:is>
      </x:c>
      <x:c r="C27" s="149" t="inlineStr">
        <x:is>
          <x:t xml:space="preserve">Multi Select</x:t>
        </x:is>
      </x:c>
      <x:c r="D27" s="150" t="inlineStr">
        <x:is>
          <x:t xml:space="preserve">Source-backed public usage, API, anatomy, tokens, accessibility, and exclusions pass documentation gates.</x:t>
        </x:is>
      </x:c>
      <x:c r="E27" s="149" t="inlineStr">
        <x:is>
          <x:t xml:space="preserve">package</x:t>
        </x:is>
      </x:c>
      <x:c r="F27" s="149" t="inlineStr">
        <x:is>
          <x:t xml:space="preserve">docs</x:t>
        </x:is>
      </x:c>
      <x:c r="G27" s="150" t="inlineStr">
        <x:is>
          <x:t xml:space="preserve">../docs/components/multi-select/README.md</x:t>
        </x:is>
      </x:c>
      <x:c r="H27" s="149" t="inlineStr">
        <x:is>
          <x:t xml:space="preserve">tested</x:t>
        </x:is>
      </x:c>
      <x:c r="I27" s="149" t="inlineStr">
        <x:is>
          <x:t xml:space="preserve">no</x:t>
        </x:is>
      </x:c>
      <x:c r="J27" s="151" t="n">
        <x:v>46229</x:v>
      </x:c>
      <x:c r="K27" s="150" t="n"/>
      <x:c r="L27" s="149" t="n">
        <x:v>1</x:v>
      </x:c>
      <x:c r="M27" s="149" t="n">
        <x:f>IF(OR(AND(I27="yes",H27="verified"),AND(I27="no",OR(H27="tested",H27="verified")),AND(H27="not applicable",K27&lt;&gt;"")),1,0)</x:f>
        <x:v>1</x:v>
      </x:c>
    </x:row>
    <x:row r="28" s="127" customFormat="1" ht="23.25" customHeight="1">
      <x:c r="A28" s="149" t="inlineStr">
        <x:is>
          <x:t xml:space="preserve">MS-20</x:t>
        </x:is>
      </x:c>
      <x:c r="B28" s="149" t="inlineStr">
        <x:is>
          <x:t xml:space="preserve">Changelog</x:t>
        </x:is>
      </x:c>
      <x:c r="C28" s="149" t="inlineStr">
        <x:is>
          <x:t xml:space="preserve">Multi Select</x:t>
        </x:is>
      </x:c>
      <x:c r="D28" s="150" t="inlineStr">
        <x:is>
          <x:t xml:space="preserve">Multi Select owns a component changelog and the package changelog records its public addition.</x:t>
        </x:is>
      </x:c>
      <x:c r="E28" s="149" t="inlineStr">
        <x:is>
          <x:t xml:space="preserve">package</x:t>
        </x:is>
      </x:c>
      <x:c r="F28" s="149" t="inlineStr">
        <x:is>
          <x:t xml:space="preserve">docs</x:t>
        </x:is>
      </x:c>
      <x:c r="G28" s="150" t="inlineStr">
        <x:is>
          <x:t xml:space="preserve">../docs/components/multi-select/CHANGELOG.md; ../CHANGELOG.md</x:t>
        </x:is>
      </x:c>
      <x:c r="H28" s="149" t="inlineStr">
        <x:is>
          <x:t xml:space="preserve">tested</x:t>
        </x:is>
      </x:c>
      <x:c r="I28" s="149" t="inlineStr">
        <x:is>
          <x:t xml:space="preserve">no</x:t>
        </x:is>
      </x:c>
      <x:c r="J28" s="151" t="n">
        <x:v>46229</x:v>
      </x:c>
      <x:c r="K28" s="150" t="n"/>
      <x:c r="L28" s="149" t="n">
        <x:v>1</x:v>
      </x:c>
      <x:c r="M28" s="149" t="n">
        <x:f>IF(OR(AND(I28="yes",H28="verified"),AND(I28="no",OR(H28="tested",H28="verified")),AND(H28="not applicable",K28&lt;&gt;"")),1,0)</x:f>
        <x:v>1</x:v>
      </x:c>
    </x:row>
    <x:row r="29" s="127" customFormat="1" ht="23.25" customHeight="1">
      <x:c r="A29" s="149" t="inlineStr">
        <x:is>
          <x:t xml:space="preserve">MS-21</x:t>
        </x:is>
      </x:c>
      <x:c r="B29" s="149" t="inlineStr">
        <x:is>
          <x:t xml:space="preserve">Consumer</x:t>
        </x:is>
      </x:c>
      <x:c r="C29" s="149" t="inlineStr">
        <x:is>
          <x:t xml:space="preserve">Multi Select</x:t>
        </x:is>
      </x:c>
      <x:c r="D29" s="150" t="inlineStr">
        <x:is>
          <x:t xml:space="preserve">Packed Consumer proves a realistic Field/Form team-skills chooser through the public Multi Select subpath.</x:t>
        </x:is>
      </x:c>
      <x:c r="E29" s="149" t="inlineStr">
        <x:is>
          <x:t xml:space="preserve">consumer</x:t>
        </x:is>
      </x:c>
      <x:c r="F29" s="149" t="inlineStr">
        <x:is>
          <x:t xml:space="preserve">consumer</x:t>
        </x:is>
      </x:c>
      <x:c r="G29" s="150" t="inlineStr">
        <x:is>
          <x:t xml:space="preserve">../apps/consumer/src/App.tsx; ../apps/consumer/tests/consumer.spec.ts</x:t>
        </x:is>
      </x:c>
      <x:c r="H29" s="149" t="inlineStr">
        <x:is>
          <x:t xml:space="preserve">tested</x:t>
        </x:is>
      </x:c>
      <x:c r="I29" s="149" t="inlineStr">
        <x:is>
          <x:t xml:space="preserve">no</x:t>
        </x:is>
      </x:c>
      <x:c r="J29" s="151" t="n">
        <x:v>46229</x:v>
      </x:c>
      <x:c r="K29" s="150" t="inlineStr">
        <x:is>
          <x:t xml:space="preserve">None. Packed Consumer boundary and Chromium desktop/mobile flows pass.</x:t>
        </x:is>
      </x:c>
      <x:c r="L29" s="149" t="n">
        <x:v>1</x:v>
      </x:c>
      <x:c r="M29" s="149" t="n">
        <x:f>IF(OR(AND(I29="yes",H29="verified"),AND(I29="no",OR(H29="tested",H29="verified")),AND(H29="not applicable",K29&lt;&gt;"")),1,0)</x:f>
        <x:v>1</x:v>
      </x:c>
    </x:row>
    <x:row r="30" s="127" customFormat="1" ht="23.25" customHeight="1">
      <x:c r="A30" s="149" t="inlineStr">
        <x:is>
          <x:t xml:space="preserve">MS-22</x:t>
        </x:is>
      </x:c>
      <x:c r="B30" s="149" t="inlineStr">
        <x:is>
          <x:t xml:space="preserve">Package</x:t>
        </x:is>
      </x:c>
      <x:c r="C30" s="149" t="inlineStr">
        <x:is>
          <x:t xml:space="preserve">Multi Select</x:t>
        </x:is>
      </x:c>
      <x:c r="D30" s="150" t="inlineStr">
        <x:is>
          <x:t xml:space="preserve">Build, SSR, exports, CSS, tarball, React 18/19, Consumer, and full package gates pass.</x:t>
        </x:is>
      </x:c>
      <x:c r="E30" s="149" t="inlineStr">
        <x:is>
          <x:t xml:space="preserve">package</x:t>
        </x:is>
      </x:c>
      <x:c r="F30" s="149" t="inlineStr">
        <x:is>
          <x:t xml:space="preserve">package</x:t>
        </x:is>
      </x:c>
      <x:c r="G30" s="150" t="inlineStr">
        <x:is>
          <x:t xml:space="preserve">../test/package; ../scripts/verify-package.mjs; ../scripts/verify-consumers.mjs</x:t>
        </x:is>
      </x:c>
      <x:c r="H30" s="149" t="inlineStr">
        <x:is>
          <x:t xml:space="preserve">partial</x:t>
        </x:is>
      </x:c>
      <x:c r="I30" s="149" t="inlineStr">
        <x:is>
          <x:t xml:space="preserve">no</x:t>
        </x:is>
      </x:c>
      <x:c r="J30" s="151" t="n">
        <x:v>46229</x:v>
      </x:c>
      <x:c r="K30" s="150" t="inlineStr">
        <x:is>
          <x:t xml:space="preserve">Local family checks only. Full release qualification and manual gates remain separate.</x:t>
        </x:is>
      </x:c>
      <x:c r="L30" s="149" t="n">
        <x:v>1</x:v>
      </x:c>
      <x:c r="M30" s="149" t="n">
        <x:f>IF(OR(AND(I30="yes",H30="verified"),AND(I30="no",OR(H30="tested",H30="verified")),AND(H30="not applicable",K30&lt;&gt;"")),1,0)</x:f>
        <x:v>0</x:v>
      </x:c>
    </x:row>
  </x:sheetData>
  <x:mergeCells>
    <x:mergeCell ref="A2:M2"/>
    <x:mergeCell ref="A1:M1"/>
  </x:mergeCells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Pr>
    <x:tabColor rgb="FF8067DC"/>
  </x:sheetPr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Textarea Evidence</x:t>
        </x:is>
      </x:c>
    </x:row>
    <x:row r="2" s="127" customFormat="1" ht="27.75" customHeight="1">
      <x:c r="A2" s="129" t="inlineStr">
        <x:is>
          <x:t xml:space="preserve">Assertion-level Atom-backed package, browser, human-review, documentation, Consumer, resize, auto-resize, counting, and native form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COUNTA(A9:A30)</x:f>
        <x:v>22</x:v>
      </x:c>
      <x:c r="D4" s="130" t="inlineStr">
        <x:is>
          <x:t xml:space="preserve">Resolved</x:t>
        </x:is>
      </x:c>
      <x:c r="E4" s="131" t="n">
        <x:f>SUM(M9:M30)</x:f>
        <x:v>16</x:v>
      </x:c>
      <x:c r="G4" s="130" t="inlineStr">
        <x:is>
          <x:t xml:space="preserve">Completion</x:t>
        </x:is>
      </x:c>
      <x:c r="H4" s="132" t="n">
        <x:f>IF(B4=0,0,E4/B4)</x:f>
        <x:v>0.7272727272727273</x:v>
      </x:c>
      <x:c r="J4" s="130" t="inlineStr">
        <x:is>
          <x:t xml:space="preserve">Package gate</x:t>
        </x:is>
      </x:c>
      <x:c r="K4" s="131" t="str">
        <x:f>IF(COUNTIFS(E9:E30,"package",M9:M30,0)&gt;0,"open","complete")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IF(COUNTIFS(I9:I30,"yes",M9:M30,0)&gt;0,"open","complete")</x:f>
        <x:v>open</x:v>
      </x:c>
      <x:c r="D5" s="130" t="inlineStr">
        <x:is>
          <x:t xml:space="preserve">Consumer gate</x:t>
        </x:is>
      </x:c>
      <x:c r="E5" s="131" t="str">
        <x:f>IF(COUNTIFS(E9:E30,"consumer",M9:M30,0)&gt;0,"open","complete")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48" customHeight="1">
      <x:c r="A9" s="149" t="inlineStr">
        <x:is>
          <x:t xml:space="preserve">TA-01</x:t>
        </x:is>
      </x:c>
      <x:c r="B9" s="149" t="inlineStr">
        <x:is>
          <x:t xml:space="preserve">Implementation</x:t>
        </x:is>
      </x:c>
      <x:c r="C9" s="149" t="inlineStr">
        <x:is>
          <x:t xml:space="preserve">Root</x:t>
        </x:is>
      </x:c>
      <x:c r="D9" s="150" t="inlineStr">
        <x:is>
          <x:t xml:space="preserve">Brick adapts the exact Atom 0.26.1 Textarea candidate without recreating primitive behavior.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../src/components/textarea; ../../docs/components/textarea/implementation-evidence-2026-09-17.md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46282</x:v>
      </x:c>
      <x:c r="K9" s="150" t="n"/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TA-02</x:t>
        </x:is>
      </x:c>
      <x:c r="B10" s="149" t="inlineStr">
        <x:is>
          <x:t xml:space="preserve">Anatomy</x:t>
        </x:is>
      </x:c>
      <x:c r="C10" s="149" t="inlineStr">
        <x:is>
          <x:t xml:space="preserve">Root/Count</x:t>
        </x:is>
      </x:c>
      <x:c r="D10" s="150" t="inlineStr">
        <x:is>
          <x:t xml:space="preserve">The independent Root and Count parts expose the native control and optional character-count evidence.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../test/components/textarea/textarea.test.tsx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46229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TA-03</x:t>
        </x:is>
      </x:c>
      <x:c r="B11" s="149" t="inlineStr">
        <x:is>
          <x:t xml:space="preserve">Exports</x:t>
        </x:is>
      </x:c>
      <x:c r="C11" s="149" t="inlineStr">
        <x:is>
          <x:t xml:space="preserve">Textarea</x:t>
        </x:is>
      </x:c>
      <x:c r="D11" s="150" t="inlineStr">
        <x:is>
          <x:t xml:space="preserve">Root, Count, namespace, public types, and the textarea subpath are exported.</x:t>
        </x:is>
      </x:c>
      <x:c r="E11" s="149" t="inlineStr">
        <x:is>
          <x:t xml:space="preserve">package</x:t>
        </x:is>
      </x:c>
      <x:c r="F11" s="149" t="inlineStr">
        <x:is>
          <x:t xml:space="preserve">package</x:t>
        </x:is>
      </x:c>
      <x:c r="G11" s="150" t="inlineStr">
        <x:is>
          <x:t xml:space="preserve">../test/package/package.test.mjs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46229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1.75" customHeight="1">
      <x:c r="A12" s="149" t="inlineStr">
        <x:is>
          <x:t xml:space="preserve">TA-04</x:t>
        </x:is>
      </x:c>
      <x:c r="B12" s="149" t="inlineStr">
        <x:is>
          <x:t xml:space="preserve">Types</x:t>
        </x:is>
      </x:c>
      <x:c r="C12" s="149" t="inlineStr">
        <x:is>
          <x:t xml:space="preserve">Root/Count</x:t>
        </x:is>
      </x:c>
      <x:c r="D12" s="150" t="inlineStr">
        <x:is>
          <x:t xml:space="preserve">Seven responsive variants, native textarea props/ref, geometry exclusions, and resize/auto-resize exclusivity type-check.</x:t>
        </x:is>
      </x:c>
      <x:c r="E12" s="149" t="inlineStr">
        <x:is>
          <x:t xml:space="preserve">package</x:t>
        </x:is>
      </x:c>
      <x:c r="F12" s="149" t="inlineStr">
        <x:is>
          <x:t xml:space="preserve">types</x:t>
        </x:is>
      </x:c>
      <x:c r="G12" s="150" t="inlineStr">
        <x:is>
          <x:t xml:space="preserve">../test/types/components/textarea.test.ts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46282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67.5" customHeight="1">
      <x:c r="A13" s="149" t="inlineStr">
        <x:is>
          <x:t xml:space="preserve">TA-05</x:t>
        </x:is>
      </x:c>
      <x:c r="B13" s="149" t="inlineStr">
        <x:is>
          <x:t xml:space="preserve">CSS</x:t>
        </x:is>
      </x:c>
      <x:c r="C13" s="149" t="inlineStr">
        <x:is>
          <x:t xml:space="preserve">Root/Count</x:t>
        </x:is>
      </x:c>
      <x:c r="D13" s="150" t="inlineStr">
        <x:is>
          <x:t xml:space="preserve">Generated and authored CSS ship seven responsive variants, sizes, states, manual resize containment, logical layout, and documented variables.</x:t>
        </x:is>
      </x:c>
      <x:c r="E13" s="149" t="inlineStr">
        <x:is>
          <x:t xml:space="preserve">package</x:t>
        </x:is>
      </x:c>
      <x:c r="F13" s="149" t="inlineStr">
        <x:is>
          <x:t xml:space="preserve">css</x:t>
        </x:is>
      </x:c>
      <x:c r="G13" s="150" t="inlineStr">
        <x:is>
          <x:t xml:space="preserve">../src/components/textarea/textarea.css; ../src/components/textarea/textarea-variants.css; ../test/css/textarea-css.test.mjs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46282</x:v>
      </x:c>
      <x:c r="K13" s="150" t="n"/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7.75" customHeight="1">
      <x:c r="A14" s="149" t="inlineStr">
        <x:is>
          <x:t xml:space="preserve">TA-06</x:t>
        </x:is>
      </x:c>
      <x:c r="B14" s="149" t="inlineStr">
        <x:is>
          <x:t xml:space="preserve">Recipes</x:t>
        </x:is>
      </x:c>
      <x:c r="C14" s="149" t="inlineStr">
        <x:is>
          <x:t xml:space="preserve">Root</x:t>
        </x:is>
      </x:c>
      <x:c r="D14" s="150" t="inlineStr">
        <x:is>
          <x:t xml:space="preserve">Outline, surface, soft, subtle, ghost, plain, and underline align with the current field family at every responsive breakpoint.</x:t>
        </x:is>
      </x:c>
      <x:c r="E14" s="149" t="inlineStr">
        <x:is>
          <x:t xml:space="preserve">package</x:t>
        </x:is>
      </x:c>
      <x:c r="F14" s="149" t="inlineStr">
        <x:is>
          <x:t xml:space="preserve">browser</x:t>
        </x:is>
      </x:c>
      <x:c r="G14" s="150" t="inlineStr">
        <x:is>
          <x:t xml:space="preserve">tests/components/textarea/behavior.spec.ts; tests/components/textarea/visual.spec.ts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46282</x:v>
      </x:c>
      <x:c r="K14" s="144" t="n"/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60" customHeight="1">
      <x:c r="A15" s="149" t="inlineStr">
        <x:is>
          <x:t xml:space="preserve">TA-07</x:t>
        </x:is>
      </x:c>
      <x:c r="B15" s="149" t="inlineStr">
        <x:is>
          <x:t xml:space="preserve">Manual resize</x:t>
        </x:is>
      </x:c>
      <x:c r="C15" s="149" t="inlineStr">
        <x:is>
          <x:t xml:space="preserve">Root</x:t>
        </x:is>
      </x:c>
      <x:c r="D15" s="150" t="inlineStr">
        <x:is>
          <x:t xml:space="preserve">None, vertical, horizontal, and both use the native textarea resize handle while the wrapper and Count remain attached.</x:t>
        </x:is>
      </x:c>
      <x:c r="E15" s="149" t="inlineStr">
        <x:is>
          <x:t xml:space="preserve">package</x:t>
        </x:is>
      </x:c>
      <x:c r="F15" s="149" t="inlineStr">
        <x:is>
          <x:t xml:space="preserve">browser</x:t>
        </x:is>
      </x:c>
      <x:c r="G15" s="150" t="inlineStr">
        <x:is>
          <x:t xml:space="preserve">tests/components/textarea/behavior.spec.ts; ../../docs/components/textarea/implementation-evidence-2026-09-17.md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46282</x:v>
      </x:c>
      <x:c r="K15" s="150" t="n"/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72" customHeight="1">
      <x:c r="A16" s="149" t="inlineStr">
        <x:is>
          <x:t xml:space="preserve">TA-08</x:t>
        </x:is>
      </x:c>
      <x:c r="B16" s="149" t="inlineStr">
        <x:is>
          <x:t xml:space="preserve">Auto resize</x:t>
        </x:is>
      </x:c>
      <x:c r="C16" s="149" t="inlineStr">
        <x:is>
          <x:t xml:space="preserve">Root</x:t>
        </x:is>
      </x:c>
      <x:c r="D16" s="150" t="inlineStr">
        <x:is>
          <x:t xml:space="preserve">Auto-resize grows and shrinks within authored CSS constraints plus normalized minRows/maxRows, recalculates responsively, and cleans up.</x:t>
        </x:is>
      </x:c>
      <x:c r="E16" s="149" t="inlineStr">
        <x:is>
          <x:t xml:space="preserve">package</x:t>
        </x:is>
      </x:c>
      <x:c r="F16" s="149" t="inlineStr">
        <x:is>
          <x:t xml:space="preserve">browser</x:t>
        </x:is>
      </x:c>
      <x:c r="G16" s="150" t="inlineStr">
        <x:is>
          <x:t xml:space="preserve">tests/components/textarea/behavior.spec.ts; ../../docs/components/textarea/implementation-evidence-2026-09-17.md</x:t>
        </x:is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n">
        <x:v>46282</x:v>
      </x:c>
      <x:c r="K16" s="150" t="n"/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TA-09</x:t>
        </x:is>
      </x:c>
      <x:c r="B17" s="149" t="inlineStr">
        <x:is>
          <x:t xml:space="preserve">Values/count</x:t>
        </x:is>
      </x:c>
      <x:c r="C17" s="149" t="inlineStr">
        <x:is>
          <x:t xml:space="preserve">Root/Count</x:t>
        </x:is>
      </x:c>
      <x:c r="D17" s="150" t="inlineStr">
        <x:is>
          <x:t xml:space="preserve">Controlled and uncontrolled values, native newlines, maxLength, reset, and the explicit Count part stay synchronized.</x:t>
        </x:is>
      </x:c>
      <x:c r="E17" s="149" t="inlineStr">
        <x:is>
          <x:t xml:space="preserve">package</x:t>
        </x:is>
      </x:c>
      <x:c r="F17" s="149" t="inlineStr">
        <x:is>
          <x:t xml:space="preserve">browser</x:t>
        </x:is>
      </x:c>
      <x:c r="G17" s="150" t="inlineStr">
        <x:is>
          <x:t xml:space="preserve">tests/components/textarea/behavior.spec.ts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n">
        <x:v>46229</x:v>
      </x:c>
      <x:c r="K17" s="150" t="n"/>
      <x:c r="L17" s="149" t="n">
        <x:v>1</x:v>
      </x:c>
      <x:c r="M17" s="149" t="n">
        <x:f>IF(OR(AND(I17="yes",H17="verified"),AND(I17="no",OR(H17="tested",H17="verified")),AND(H17="not applicable",K17&lt;&gt;"")),1,0)</x:f>
        <x:v>1</x:v>
      </x:c>
    </x:row>
    <x:row r="18" s="127" customFormat="1" ht="57.75" customHeight="1">
      <x:c r="A18" s="149" t="inlineStr">
        <x:is>
          <x:t xml:space="preserve">TA-10</x:t>
        </x:is>
      </x:c>
      <x:c r="B18" s="149" t="inlineStr">
        <x:is>
          <x:t xml:space="preserve">Forms</x:t>
        </x:is>
      </x:c>
      <x:c r="C18" s="149" t="inlineStr">
        <x:is>
          <x:t xml:space="preserve">Root</x:t>
        </x:is>
      </x:c>
      <x:c r="D18" s="150" t="inlineStr">
        <x:is>
          <x:t xml:space="preserve">Native submit/reset/validity, external form ownership, and React Hook Form registration remain native and Atom-owned.</x:t>
        </x:is>
      </x:c>
      <x:c r="E18" s="149" t="inlineStr">
        <x:is>
          <x:t xml:space="preserve">package</x:t>
        </x:is>
      </x:c>
      <x:c r="F18" s="149" t="inlineStr">
        <x:is>
          <x:t xml:space="preserve">browser</x:t>
        </x:is>
      </x:c>
      <x:c r="G18" s="150" t="inlineStr">
        <x:is>
          <x:t xml:space="preserve">tests/components/textarea/behavior.spec.ts; ../playground/src/components/textarea/examples/HookFormExample.tsx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n">
        <x:v>46282</x:v>
      </x:c>
      <x:c r="K18" s="150" t="n"/>
      <x:c r="L18" s="149" t="n">
        <x:v>1</x:v>
      </x:c>
      <x:c r="M18" s="149" t="n">
        <x:f>IF(OR(AND(I18="yes",H18="verified"),AND(I18="no",OR(H18="tested",H18="verified")),AND(H18="not applicable",K18&lt;&gt;"")),1,0)</x:f>
        <x:v>1</x:v>
      </x:c>
    </x:row>
    <x:row r="19" s="127" customFormat="1" ht="54" customHeight="1">
      <x:c r="A19" s="149" t="inlineStr">
        <x:is>
          <x:t xml:space="preserve">TA-11</x:t>
        </x:is>
      </x:c>
      <x:c r="B19" s="149" t="inlineStr">
        <x:is>
          <x:t xml:space="preserve">Composition</x:t>
        </x:is>
      </x:c>
      <x:c r="C19" s="149" t="inlineStr">
        <x:is>
          <x:t xml:space="preserve">Root</x:t>
        </x:is>
      </x:c>
      <x:c r="D19" s="150" t="inlineStr">
        <x:is>
          <x:t xml:space="preserve">Native textarea refs, rendered IDs/ARIA, wrapper/native prop routing, class/style escape hatches, and output remain correct.</x:t>
        </x:is>
      </x:c>
      <x:c r="E19" s="149" t="inlineStr">
        <x:is>
          <x:t xml:space="preserve">package</x:t>
        </x:is>
      </x:c>
      <x:c r="F19" s="149" t="inlineStr">
        <x:is>
          <x:t xml:space="preserve">component</x:t>
        </x:is>
      </x:c>
      <x:c r="G19" s="150" t="inlineStr">
        <x:is>
          <x:t xml:space="preserve">../test/components/textarea/textarea.test.tsx; tests/components/textarea/behavior.spec.ts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46229</x:v>
      </x:c>
      <x:c r="K19" s="150" t="n"/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1.75" customHeight="1">
      <x:c r="A20" s="149" t="inlineStr">
        <x:is>
          <x:t xml:space="preserve">TA-12</x:t>
        </x:is>
      </x:c>
      <x:c r="B20" s="149" t="inlineStr">
        <x:is>
          <x:t xml:space="preserve">Accessibility</x:t>
        </x:is>
      </x:c>
      <x:c r="C20" s="149" t="inlineStr">
        <x:is>
          <x:t xml:space="preserve">Textarea</x:t>
        </x:is>
      </x:c>
      <x:c r="D20" s="150" t="inlineStr">
        <x:is>
          <x:t xml:space="preserve">Field naming, descriptions, errors, availability states, counter semantics, focus, and axe checks pass in all three browser engines.</x:t>
        </x:is>
      </x:c>
      <x:c r="E20" s="149" t="inlineStr">
        <x:is>
          <x:t xml:space="preserve">package</x:t>
        </x:is>
      </x:c>
      <x:c r="F20" s="149" t="inlineStr">
        <x:is>
          <x:t xml:space="preserve">axe</x:t>
        </x:is>
      </x:c>
      <x:c r="G20" s="150" t="inlineStr">
        <x:is>
          <x:t xml:space="preserve">tests/components/textarea/behavior.spec.ts</x:t>
        </x:is>
      </x:c>
      <x:c r="H20" s="149" t="inlineStr">
        <x:is>
          <x:t xml:space="preserve">tested</x:t>
        </x:is>
      </x:c>
      <x:c r="I20" s="149" t="inlineStr">
        <x:is>
          <x:t xml:space="preserve">no</x:t>
        </x:is>
      </x:c>
      <x:c r="J20" s="151" t="n">
        <x:v>46282</x:v>
      </x:c>
      <x:c r="K20" s="150" t="n"/>
      <x:c r="L20" s="149" t="n">
        <x:v>1</x:v>
      </x:c>
      <x:c r="M20" s="149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49" t="inlineStr">
        <x:is>
          <x:t xml:space="preserve">TA-13</x:t>
        </x:is>
      </x:c>
      <x:c r="B21" s="149" t="inlineStr">
        <x:is>
          <x:t xml:space="preserve">Customization</x:t>
        </x:is>
      </x:c>
      <x:c r="C21" s="149" t="inlineStr">
        <x:is>
          <x:t xml:space="preserve">Root</x:t>
        </x:is>
      </x:c>
      <x:c r="D21" s="150" t="inlineStr">
        <x:is>
          <x:t xml:space="preserve">Documented CSS variables and wrapper/native escape hatches customize the control without changing behavior.</x:t>
        </x:is>
      </x:c>
      <x:c r="E21" s="149" t="inlineStr">
        <x:is>
          <x:t xml:space="preserve">package</x:t>
        </x:is>
      </x:c>
      <x:c r="F21" s="149" t="inlineStr">
        <x:is>
          <x:t xml:space="preserve">browser</x:t>
        </x:is>
      </x:c>
      <x:c r="G21" s="150" t="inlineStr">
        <x:is>
          <x:t xml:space="preserve">tests/components/textarea/behavior.spec.ts; ../docs/components/textarea/README.md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46229</x:v>
      </x:c>
      <x:c r="K21" s="150" t="n"/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7.75" customHeight="1">
      <x:c r="A22" s="149" t="inlineStr">
        <x:is>
          <x:t xml:space="preserve">TA-14</x:t>
        </x:is>
      </x:c>
      <x:c r="B22" s="149" t="inlineStr">
        <x:is>
          <x:t xml:space="preserve">Visual</x:t>
        </x:is>
      </x:c>
      <x:c r="C22" s="149" t="inlineStr">
        <x:is>
          <x:t xml:space="preserve">Textarea</x:t>
        </x:is>
      </x:c>
      <x:c r="D22" s="150" t="inlineStr">
        <x:is>
          <x:t xml:space="preserve">Baselines cover all variants, sizes, resize containment, states, focus, dark mode, mobile RTL, and forced colors.</x:t>
        </x:is>
      </x:c>
      <x:c r="E22" s="149" t="inlineStr">
        <x:is>
          <x:t xml:space="preserve">package</x:t>
        </x:is>
      </x:c>
      <x:c r="F22" s="149" t="inlineStr">
        <x:is>
          <x:t xml:space="preserve">visual</x:t>
        </x:is>
      </x:c>
      <x:c r="G22" s="150" t="inlineStr">
        <x:is>
          <x:t xml:space="preserve">tests/components/textarea/visual.spec.ts; tests/components/textarea/visual.spec.ts-snapshots</x:t>
        </x:is>
      </x:c>
      <x:c r="H22" s="149" t="inlineStr">
        <x:is>
          <x:t xml:space="preserve">implemented</x:t>
        </x:is>
      </x:c>
      <x:c r="I22" s="149" t="inlineStr">
        <x:is>
          <x:t xml:space="preserve">yes</x:t>
        </x:is>
      </x:c>
      <x:c r="J22" s="151" t="n"/>
      <x:c r="K22" s="150" t="inlineStr">
        <x:is>
          <x:t xml:space="preserve">Baselines exist and automated comparison passes; final owner visual review is not recorded.</x:t>
        </x:is>
      </x:c>
      <x:c r="L22" s="149" t="n">
        <x:v>1</x:v>
      </x:c>
      <x:c r="M22" s="149" t="n">
        <x:f>IF(OR(AND(I22="yes",H22="verified"),AND(I22="no",OR(H22="tested",H22="verified")),AND(H22="not applicable",K22&lt;&gt;"")),1,0)</x:f>
        <x:v>0</x:v>
      </x:c>
    </x:row>
    <x:row r="23" s="127" customFormat="1" ht="54" customHeight="1">
      <x:c r="A23" s="149" t="inlineStr">
        <x:is>
          <x:t xml:space="preserve">TA-15</x:t>
        </x:is>
      </x:c>
      <x:c r="B23" s="149" t="inlineStr">
        <x:is>
          <x:t xml:space="preserve">Responsive</x:t>
        </x:is>
      </x:c>
      <x:c r="C23" s="149" t="inlineStr">
        <x:is>
          <x:t xml:space="preserve">Root</x:t>
        </x:is>
      </x:c>
      <x:c r="D23" s="150" t="inlineStr">
        <x:is>
          <x:t xml:space="preserve">Physical mobile, 200%/400% zoom, long content, manual resize, auto-resize, and RTL remain usable and contained.</x:t>
        </x:is>
      </x:c>
      <x:c r="E23" s="149" t="inlineStr">
        <x:is>
          <x:t xml:space="preserve">package</x:t>
        </x:is>
      </x:c>
      <x:c r="F23" s="149" t="inlineStr">
        <x:is>
          <x:t xml:space="preserve">manual</x:t>
        </x:is>
      </x:c>
      <x:c r="G23" s="150" t="inlineStr">
        <x:is>
          <x:t xml:space="preserve">manual-tests/textarea.md</x:t>
        </x:is>
      </x:c>
      <x:c r="H23" s="149" t="inlineStr">
        <x:is>
          <x:t xml:space="preserve">implemented</x:t>
        </x:is>
      </x:c>
      <x:c r="I23" s="149" t="inlineStr">
        <x:is>
          <x:t xml:space="preserve">yes</x:t>
        </x:is>
      </x:c>
      <x:c r="J23" s="151" t="n"/>
      <x:c r="K23" s="150" t="inlineStr">
        <x:is>
          <x:t xml:space="preserve">Protocol is unrun; real-device and zoom review remain pending.</x:t>
        </x:is>
      </x:c>
      <x:c r="L23" s="149" t="n">
        <x:v>1</x:v>
      </x:c>
      <x:c r="M23" s="149" t="n">
        <x:f>IF(OR(AND(I23="yes",H23="verified"),AND(I23="no",OR(H23="tested",H23="verified")),AND(H23="not applicable",K23&lt;&gt;"")),1,0)</x:f>
        <x:v>0</x:v>
      </x:c>
    </x:row>
    <x:row r="24" s="127" customFormat="1" ht="54" customHeight="1">
      <x:c r="A24" s="149" t="inlineStr">
        <x:is>
          <x:t xml:space="preserve">TA-16</x:t>
        </x:is>
      </x:c>
      <x:c r="B24" s="149" t="inlineStr">
        <x:is>
          <x:t xml:space="preserve">Theme</x:t>
        </x:is>
      </x:c>
      <x:c r="C24" s="149" t="inlineStr">
        <x:is>
          <x:t xml:space="preserve">Root/Count</x:t>
        </x:is>
      </x:c>
      <x:c r="D24" s="150" t="inlineStr">
        <x:is>
          <x:t xml:space="preserve">Light, dark, focus, invalid, forced-colors, and reduced-motion treatment remain perceivable.</x:t>
        </x:is>
      </x:c>
      <x:c r="E24" s="149" t="inlineStr">
        <x:is>
          <x:t xml:space="preserve">package</x:t>
        </x:is>
      </x:c>
      <x:c r="F24" s="149" t="inlineStr">
        <x:is>
          <x:t xml:space="preserve">manual</x:t>
        </x:is>
      </x:c>
      <x:c r="G24" s="150" t="inlineStr">
        <x:is>
          <x:t xml:space="preserve">manual-tests/textarea.md; tests/components/textarea/visual.spec.ts</x:t>
        </x:is>
      </x:c>
      <x:c r="H24" s="149" t="inlineStr">
        <x:is>
          <x:t xml:space="preserve">implemented</x:t>
        </x:is>
      </x:c>
      <x:c r="I24" s="149" t="inlineStr">
        <x:is>
          <x:t xml:space="preserve">yes</x:t>
        </x:is>
      </x:c>
      <x:c r="J24" s="151" t="n"/>
      <x:c r="K24" s="150" t="inlineStr">
        <x:is>
          <x:t xml:space="preserve">Automated baselines pass; complete human preference review is pending.</x:t>
        </x:is>
      </x:c>
      <x:c r="L24" s="149" t="n">
        <x:v>1</x:v>
      </x:c>
      <x:c r="M24" s="149" t="n">
        <x:f>IF(OR(AND(I24="yes",H24="verified"),AND(I24="no",OR(H24="tested",H24="verified")),AND(H24="not applicable",K24&lt;&gt;"")),1,0)</x:f>
        <x:v>0</x:v>
      </x:c>
    </x:row>
    <x:row r="25" s="127" customFormat="1" ht="61.5" customHeight="1">
      <x:c r="A25" s="149" t="inlineStr">
        <x:is>
          <x:t xml:space="preserve">TA-17</x:t>
        </x:is>
      </x:c>
      <x:c r="B25" s="149" t="inlineStr">
        <x:is>
          <x:t xml:space="preserve">Screen reader</x:t>
        </x:is>
      </x:c>
      <x:c r="C25" s="149" t="inlineStr">
        <x:is>
          <x:t xml:space="preserve">Textarea</x:t>
        </x:is>
      </x:c>
      <x:c r="D25" s="150" t="inlineStr">
        <x:is>
          <x:t xml:space="preserve">macOS/iOS VoiceOver and a second desktop AT/browser announce label, help, error, state, and count evidence.</x:t>
        </x:is>
      </x:c>
      <x:c r="E25" s="149" t="inlineStr">
        <x:is>
          <x:t xml:space="preserve">package</x:t>
        </x:is>
      </x:c>
      <x:c r="F25" s="149" t="inlineStr">
        <x:is>
          <x:t xml:space="preserve">manual</x:t>
        </x:is>
      </x:c>
      <x:c r="G25" s="150" t="inlineStr">
        <x:is>
          <x:t xml:space="preserve">manual-tests/textarea.md</x:t>
        </x:is>
      </x:c>
      <x:c r="H25" s="149" t="inlineStr">
        <x:is>
          <x:t xml:space="preserve">implemented</x:t>
        </x:is>
      </x:c>
      <x:c r="I25" s="149" t="inlineStr">
        <x:is>
          <x:t xml:space="preserve">yes</x:t>
        </x:is>
      </x:c>
      <x:c r="J25" s="151" t="n"/>
      <x:c r="K25" s="150" t="inlineStr">
        <x:is>
          <x:t xml:space="preserve">Assistive-technology protocol is unrun.</x:t>
        </x:is>
      </x:c>
      <x:c r="L25" s="149" t="n">
        <x:v>1</x:v>
      </x:c>
      <x:c r="M25" s="149" t="n">
        <x:f>IF(OR(AND(I25="yes",H25="verified"),AND(I25="no",OR(H25="tested",H25="verified")),AND(H25="not applicable",K25&lt;&gt;"")),1,0)</x:f>
        <x:v>0</x:v>
      </x:c>
    </x:row>
    <x:row r="26" s="127" customFormat="1" ht="67.5" customHeight="1">
      <x:c r="A26" s="149" t="inlineStr">
        <x:is>
          <x:t xml:space="preserve">TA-18</x:t>
        </x:is>
      </x:c>
      <x:c r="B26" s="149" t="inlineStr">
        <x:is>
          <x:t xml:space="preserve">Manual</x:t>
        </x:is>
      </x:c>
      <x:c r="C26" s="149" t="inlineStr">
        <x:is>
          <x:t xml:space="preserve">Textarea</x:t>
        </x:is>
      </x:c>
      <x:c r="D26" s="150" t="inlineStr">
        <x:is>
          <x:t xml:space="preserve">The component-owned protocol covers every Textarea playground scenario in one top-to-bottom flow.</x:t>
        </x:is>
      </x:c>
      <x:c r="E26" s="149" t="inlineStr">
        <x:is>
          <x:t xml:space="preserve">package</x:t>
        </x:is>
      </x:c>
      <x:c r="F26" s="149" t="inlineStr">
        <x:is>
          <x:t xml:space="preserve">manual</x:t>
        </x:is>
      </x:c>
      <x:c r="G26" s="150" t="inlineStr">
        <x:is>
          <x:t xml:space="preserve">manual-tests/textarea.md</x:t>
        </x:is>
      </x:c>
      <x:c r="H26" s="149" t="inlineStr">
        <x:is>
          <x:t xml:space="preserve">implemented</x:t>
        </x:is>
      </x:c>
      <x:c r="I26" s="149" t="inlineStr">
        <x:is>
          <x:t xml:space="preserve">yes</x:t>
        </x:is>
      </x:c>
      <x:c r="J26" s="151" t="n"/>
      <x:c r="K26" s="150" t="inlineStr">
        <x:is>
          <x:t xml:space="preserve">Protocol is intentionally unrun and contains no claimed result.</x:t>
        </x:is>
      </x:c>
      <x:c r="L26" s="149" t="n">
        <x:v>1</x:v>
      </x:c>
      <x:c r="M26" s="149" t="n">
        <x:f>IF(OR(AND(I26="yes",H26="verified"),AND(I26="no",OR(H26="tested",H26="verified")),AND(H26="not applicable",K26&lt;&gt;"")),1,0)</x:f>
        <x:v>0</x:v>
      </x:c>
    </x:row>
    <x:row r="27" s="127" customFormat="1" ht="61.5" customHeight="1">
      <x:c r="A27" s="149" t="inlineStr">
        <x:is>
          <x:t xml:space="preserve">TA-19</x:t>
        </x:is>
      </x:c>
      <x:c r="B27" s="149" t="inlineStr">
        <x:is>
          <x:t xml:space="preserve">Docs</x:t>
        </x:is>
      </x:c>
      <x:c r="C27" s="149" t="inlineStr">
        <x:is>
          <x:t xml:space="preserve">Textarea</x:t>
        </x:is>
      </x:c>
      <x:c r="D27" s="150" t="inlineStr">
        <x:is>
          <x:t xml:space="preserve">Source-paired usage, API, anatomy, seven variants, sizing, resize policy, forms, tokens, accessibility, and exclusions pass documentation gates.</x:t>
        </x:is>
      </x:c>
      <x:c r="E27" s="149" t="inlineStr">
        <x:is>
          <x:t xml:space="preserve">package</x:t>
        </x:is>
      </x:c>
      <x:c r="F27" s="149" t="inlineStr">
        <x:is>
          <x:t xml:space="preserve">docs</x:t>
        </x:is>
      </x:c>
      <x:c r="G27" s="150" t="inlineStr">
        <x:is>
          <x:t xml:space="preserve">../docs/components/textarea/README.md; ../playground/src/components/textarea</x:t>
        </x:is>
      </x:c>
      <x:c r="H27" s="149" t="inlineStr">
        <x:is>
          <x:t xml:space="preserve">tested</x:t>
        </x:is>
      </x:c>
      <x:c r="I27" s="149" t="inlineStr">
        <x:is>
          <x:t xml:space="preserve">no</x:t>
        </x:is>
      </x:c>
      <x:c r="J27" s="151" t="n">
        <x:v>46282</x:v>
      </x:c>
      <x:c r="K27" s="150" t="n"/>
      <x:c r="L27" s="149" t="n">
        <x:v>1</x:v>
      </x:c>
      <x:c r="M27" s="149" t="n">
        <x:f>IF(OR(AND(I27="yes",H27="verified"),AND(I27="no",OR(H27="tested",H27="verified")),AND(H27="not applicable",K27&lt;&gt;"")),1,0)</x:f>
        <x:v>1</x:v>
      </x:c>
    </x:row>
    <x:row r="28" s="127" customFormat="1" ht="23.25" customHeight="1">
      <x:c r="A28" s="149" t="inlineStr">
        <x:is>
          <x:t xml:space="preserve">TA-20</x:t>
        </x:is>
      </x:c>
      <x:c r="B28" s="149" t="inlineStr">
        <x:is>
          <x:t xml:space="preserve">Changelog</x:t>
        </x:is>
      </x:c>
      <x:c r="C28" s="149" t="inlineStr">
        <x:is>
          <x:t xml:space="preserve">Textarea</x:t>
        </x:is>
      </x:c>
      <x:c r="D28" s="150" t="inlineStr">
        <x:is>
          <x:t xml:space="preserve">Textarea owns a component changelog and the package changelog records its public addition.</x:t>
        </x:is>
      </x:c>
      <x:c r="E28" s="149" t="inlineStr">
        <x:is>
          <x:t xml:space="preserve">package</x:t>
        </x:is>
      </x:c>
      <x:c r="F28" s="149" t="inlineStr">
        <x:is>
          <x:t xml:space="preserve">docs</x:t>
        </x:is>
      </x:c>
      <x:c r="G28" s="150" t="inlineStr">
        <x:is>
          <x:t xml:space="preserve">../docs/components/textarea/CHANGELOG.md; ../CHANGELOG.md</x:t>
        </x:is>
      </x:c>
      <x:c r="H28" s="149" t="inlineStr">
        <x:is>
          <x:t xml:space="preserve">tested</x:t>
        </x:is>
      </x:c>
      <x:c r="I28" s="149" t="inlineStr">
        <x:is>
          <x:t xml:space="preserve">no</x:t>
        </x:is>
      </x:c>
      <x:c r="J28" s="151" t="n">
        <x:v>46229</x:v>
      </x:c>
      <x:c r="K28" s="150" t="n"/>
      <x:c r="L28" s="149" t="n">
        <x:v>1</x:v>
      </x:c>
      <x:c r="M28" s="149" t="n">
        <x:f>IF(OR(AND(I28="yes",H28="verified"),AND(I28="no",OR(H28="tested",H28="verified")),AND(H28="not applicable",K28&lt;&gt;"")),1,0)</x:f>
        <x:v>1</x:v>
      </x:c>
    </x:row>
    <x:row r="29" s="127" customFormat="1" ht="63.75" customHeight="1">
      <x:c r="A29" s="149" t="inlineStr">
        <x:is>
          <x:t xml:space="preserve">TA-21</x:t>
        </x:is>
      </x:c>
      <x:c r="B29" s="149" t="inlineStr">
        <x:is>
          <x:t xml:space="preserve">Consumer</x:t>
        </x:is>
      </x:c>
      <x:c r="C29" s="149" t="inlineStr">
        <x:is>
          <x:t xml:space="preserve">Textarea</x:t>
        </x:is>
      </x:c>
      <x:c r="D29" s="150" t="inlineStr">
        <x:is>
          <x:t xml:space="preserve">Isolated packed React 18 and React 19 consumers type-check and server-render Textarea through the public subpath with modular CSS.</x:t>
        </x:is>
      </x:c>
      <x:c r="E29" s="149" t="inlineStr">
        <x:is>
          <x:t xml:space="preserve">consumer</x:t>
        </x:is>
      </x:c>
      <x:c r="F29" s="149" t="inlineStr">
        <x:is>
          <x:t xml:space="preserve">consumer</x:t>
        </x:is>
      </x:c>
      <x:c r="G29" s="150" t="inlineStr">
        <x:is>
          <x:t xml:space="preserve">../../docs/components/textarea/implementation-evidence-2026-09-17.md</x:t>
        </x:is>
      </x:c>
      <x:c r="H29" s="149" t="inlineStr">
        <x:is>
          <x:t xml:space="preserve">tested</x:t>
        </x:is>
      </x:c>
      <x:c r="I29" s="149" t="inlineStr">
        <x:is>
          <x:t xml:space="preserve">no</x:t>
        </x:is>
      </x:c>
      <x:c r="J29" s="151" t="n">
        <x:v>46282</x:v>
      </x:c>
      <x:c r="K29" s="150" t="n"/>
      <x:c r="L29" s="149" t="n">
        <x:v>1</x:v>
      </x:c>
      <x:c r="M29" s="149" t="n">
        <x:f>IF(OR(AND(I29="yes",H29="verified"),AND(I29="no",OR(H29="tested",H29="verified")),AND(H29="not applicable",K29&lt;&gt;"")),1,0)</x:f>
        <x:v>1</x:v>
      </x:c>
    </x:row>
    <x:row r="30" s="127" customFormat="1" ht="75.75" customHeight="1">
      <x:c r="A30" s="149" t="inlineStr">
        <x:is>
          <x:t xml:space="preserve">TA-22</x:t>
        </x:is>
      </x:c>
      <x:c r="B30" s="149" t="inlineStr">
        <x:is>
          <x:t xml:space="preserve">Package</x:t>
        </x:is>
      </x:c>
      <x:c r="C30" s="149" t="inlineStr">
        <x:is>
          <x:t xml:space="preserve">Textarea</x:t>
        </x:is>
      </x:c>
      <x:c r="D30" s="150" t="inlineStr">
        <x:is>
          <x:t xml:space="preserve">Build, Textarea SSR/exports/CSS, tarballs, React 18/19, packed consumers, and broader repository gates are reviewed.</x:t>
        </x:is>
      </x:c>
      <x:c r="E30" s="149" t="inlineStr">
        <x:is>
          <x:t xml:space="preserve">package</x:t>
        </x:is>
      </x:c>
      <x:c r="F30" s="149" t="inlineStr">
        <x:is>
          <x:t xml:space="preserve">package</x:t>
        </x:is>
      </x:c>
      <x:c r="G30" s="150" t="inlineStr">
        <x:is>
          <x:t xml:space="preserve">../test/package; ../../docs/components/textarea/implementation-evidence-2026-09-17.md</x:t>
        </x:is>
      </x:c>
      <x:c r="H30" s="149" t="inlineStr">
        <x:is>
          <x:t xml:space="preserve">partial</x:t>
        </x:is>
      </x:c>
      <x:c r="I30" s="149" t="inlineStr">
        <x:is>
          <x:t xml:space="preserve">no</x:t>
        </x:is>
      </x:c>
      <x:c r="J30" s="151" t="n">
        <x:v>46282</x:v>
      </x:c>
      <x:c r="K30" s="150" t="inlineStr">
        <x:is>
          <x:t xml:space="preserve">Textarea-scoped checks pass; broader package and consumer gates remain blocked by recorded pre-existing repository failures outside Textarea.</x:t>
        </x:is>
      </x:c>
      <x:c r="L30" s="149" t="n">
        <x:v>1</x:v>
      </x:c>
      <x:c r="M30" s="149" t="n">
        <x:f>IF(OR(AND(I30="yes",H30="verified"),AND(I30="no",OR(H30="tested",H30="verified")),AND(H30="not applicable",K30&lt;&gt;"")),1,0)</x:f>
        <x:v>0</x:v>
      </x:c>
    </x:row>
  </x:sheetData>
  <x:mergeCells>
    <x:mergeCell ref="A2:M2"/>
    <x:mergeCell ref="A1:M1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Radio Group Evidence</x:t>
        </x:is>
      </x:c>
    </x:row>
    <x:row r="2" s="127" customFormat="1" ht="27.75" customHeight="1">
      <x:c r="A2" s="129" t="inlineStr">
        <x:is>
          <x:t xml:space="preserve">Assertion-level Atom-backed package, browser, human-review, documentation, Consumer, form, read-only, keyboard, and responsive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COUNTA(A9:A28)</x:f>
        <x:v>20</x:v>
      </x:c>
      <x:c r="D4" s="130" t="inlineStr">
        <x:is>
          <x:t xml:space="preserve">Resolved</x:t>
        </x:is>
      </x:c>
      <x:c r="E4" s="131" t="n">
        <x:f>SUM(M9:M28)</x:f>
        <x:v>18</x:v>
      </x:c>
      <x:c r="G4" s="130" t="inlineStr">
        <x:is>
          <x:t xml:space="preserve">Completion</x:t>
        </x:is>
      </x:c>
      <x:c r="H4" s="132" t="n">
        <x:f>IF(B4=0,0,E4/B4)</x:f>
        <x:v>0.9</x:v>
      </x:c>
      <x:c r="J4" s="130" t="inlineStr">
        <x:is>
          <x:t xml:space="preserve">Package gate</x:t>
        </x:is>
      </x:c>
      <x:c r="K4" s="131" t="str">
        <x:f>IF(COUNTIFS(E9:E28,"package",M9:M28,0)&gt;0,"open","complete")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IF(COUNTIFS(I9:I28,"yes",M9:M28,0)&gt;0,"open","complete")</x:f>
        <x:v>open</x:v>
      </x:c>
      <x:c r="D5" s="130" t="inlineStr">
        <x:is>
          <x:t xml:space="preserve">Consumer gate</x:t>
        </x:is>
      </x:c>
      <x:c r="E5" s="131" t="str">
        <x:f>IF(COUNTIFS(E9:E28,"consumer",M9:M28,0)&gt;0,"open","complete")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42" customHeight="1">
      <x:c r="A9" s="125" t="inlineStr">
        <x:is>
          <x:t xml:space="preserve">RG-01</x:t>
        </x:is>
      </x:c>
      <x:c r="B9" s="125" t="inlineStr">
        <x:is>
          <x:t xml:space="preserve">Implementation</x:t>
        </x:is>
      </x:c>
      <x:c r="C9" s="125" t="inlineStr">
        <x:is>
          <x:t xml:space="preserve">Root/Item</x:t>
        </x:is>
      </x:c>
      <x:c r="D9" s="125" t="inlineStr">
        <x:is>
          <x:t xml:space="preserve">Brick adapts released Atom 0.20.11 Radio Group behavior without recreating selection, focus, keyboard, form, validation, direction, or read-only logic.</x:t>
        </x:is>
      </x:c>
      <x:c r="E9" s="125" t="inlineStr">
        <x:is>
          <x:t xml:space="preserve">package</x:t>
        </x:is>
      </x:c>
      <x:c r="F9" s="125" t="inlineStr">
        <x:is>
          <x:t xml:space="preserve">source</x:t>
        </x:is>
      </x:c>
      <x:c r="G9" s="125" t="inlineStr">
        <x:is>
          <x:t xml:space="preserve">../src/components/radio-group</x:t>
        </x:is>
      </x:c>
      <x:c r="H9" s="125" t="inlineStr">
        <x:is>
          <x:t xml:space="preserve">tested</x:t>
        </x:is>
      </x:c>
      <x:c r="I9" s="125" t="inlineStr">
        <x:is>
          <x:t xml:space="preserve">no</x:t>
        </x:is>
      </x:c>
      <x:c r="J9" s="141" t="n">
        <x:v>46229</x:v>
      </x:c>
      <x:c r="L9" s="125" t="n">
        <x:v>1</x:v>
      </x:c>
      <x:c r="M9" s="125" t="n">
        <x:f>IF(OR(AND(I9="yes",H9="verified"),AND(I9="no",OR(H9="tested",H9="verified")),AND(H9="not applicable",K9&lt;&gt;"")),1,0)</x:f>
        <x:v>1</x:v>
      </x:c>
    </x:row>
    <x:row r="10" s="127" customFormat="1" ht="42" customHeight="1">
      <x:c r="A10" s="125" t="inlineStr">
        <x:is>
          <x:t xml:space="preserve">RG-02</x:t>
        </x:is>
      </x:c>
      <x:c r="B10" s="125" t="inlineStr">
        <x:is>
          <x:t xml:space="preserve">Anatomy</x:t>
        </x:is>
      </x:c>
      <x:c r="C10" s="125" t="inlineStr">
        <x:is>
          <x:t xml:space="preserve">Root/Item</x:t>
        </x:is>
      </x:c>
      <x:c r="D10" s="125" t="inlineStr">
        <x:is>
          <x:t xml:space="preserve">The public two-part namespace and stable internal control, dot, and label hooks render without public anatomy inflation.</x:t>
        </x:is>
      </x:c>
      <x:c r="E10" s="125" t="inlineStr">
        <x:is>
          <x:t xml:space="preserve">package</x:t>
        </x:is>
      </x:c>
      <x:c r="F10" s="125" t="inlineStr">
        <x:is>
          <x:t xml:space="preserve">component</x:t>
        </x:is>
      </x:c>
      <x:c r="G10" s="125" t="inlineStr">
        <x:is>
          <x:t xml:space="preserve">../test/components/radio-group/radio-group.test.tsx</x:t>
        </x:is>
      </x:c>
      <x:c r="H10" s="125" t="inlineStr">
        <x:is>
          <x:t xml:space="preserve">tested</x:t>
        </x:is>
      </x:c>
      <x:c r="I10" s="125" t="inlineStr">
        <x:is>
          <x:t xml:space="preserve">no</x:t>
        </x:is>
      </x:c>
      <x:c r="J10" s="141" t="n">
        <x:v>46229</x:v>
      </x:c>
      <x:c r="L10" s="125" t="n">
        <x:v>1</x:v>
      </x:c>
      <x:c r="M10" s="125" t="n">
        <x:f>IF(OR(AND(I10="yes",H10="verified"),AND(I10="no",OR(H10="tested",H10="verified")),AND(H10="not applicable",K10&lt;&gt;"")),1,0)</x:f>
        <x:v>1</x:v>
      </x:c>
    </x:row>
    <x:row r="11" s="127" customFormat="1" ht="42" customHeight="1">
      <x:c r="A11" s="125" t="inlineStr">
        <x:is>
          <x:t xml:space="preserve">RG-03</x:t>
        </x:is>
      </x:c>
      <x:c r="B11" s="125" t="inlineStr">
        <x:is>
          <x:t xml:space="preserve">Exports</x:t>
        </x:is>
      </x:c>
      <x:c r="C11" s="125" t="inlineStr">
        <x:is>
          <x:t xml:space="preserve">RadioGroup</x:t>
        </x:is>
      </x:c>
      <x:c r="D11" s="125" t="inlineStr">
        <x:is>
          <x:t xml:space="preserve">Namespace, named parts, public types, root export, and radio-group subpath are exported.</x:t>
        </x:is>
      </x:c>
      <x:c r="E11" s="125" t="inlineStr">
        <x:is>
          <x:t xml:space="preserve">package</x:t>
        </x:is>
      </x:c>
      <x:c r="F11" s="125" t="inlineStr">
        <x:is>
          <x:t xml:space="preserve">package</x:t>
        </x:is>
      </x:c>
      <x:c r="G11" s="125" t="inlineStr">
        <x:is>
          <x:t xml:space="preserve">../test/package/package.test.mjs</x:t>
        </x:is>
      </x:c>
      <x:c r="H11" s="125" t="inlineStr">
        <x:is>
          <x:t xml:space="preserve">tested</x:t>
        </x:is>
      </x:c>
      <x:c r="I11" s="125" t="inlineStr">
        <x:is>
          <x:t xml:space="preserve">no</x:t>
        </x:is>
      </x:c>
      <x:c r="J11" s="141" t="n">
        <x:v>46229</x:v>
      </x:c>
      <x:c r="L11" s="125" t="n">
        <x:v>1</x:v>
      </x:c>
      <x:c r="M11" s="125" t="n">
        <x:f>IF(OR(AND(I11="yes",H11="verified"),AND(I11="no",OR(H11="tested",H11="verified")),AND(H11="not applicable",K11&lt;&gt;"")),1,0)</x:f>
        <x:v>1</x:v>
      </x:c>
    </x:row>
    <x:row r="12" s="127" customFormat="1" ht="42" customHeight="1">
      <x:c r="A12" s="125" t="inlineStr">
        <x:is>
          <x:t xml:space="preserve">RG-04</x:t>
        </x:is>
      </x:c>
      <x:c r="B12" s="125" t="inlineStr">
        <x:is>
          <x:t xml:space="preserve">Types</x:t>
        </x:is>
      </x:c>
      <x:c r="C12" s="125" t="inlineStr">
        <x:is>
          <x:t xml:space="preserve">Root/Item</x:t>
        </x:is>
      </x:c>
      <x:c r="D12" s="125" t="inlineStr">
        <x:is>
          <x:t xml:space="preserve">Sizes, Atom behavior props, refs, render/asChild branches, required item values, and invalid combinations type-check.</x:t>
        </x:is>
      </x:c>
      <x:c r="E12" s="125" t="inlineStr">
        <x:is>
          <x:t xml:space="preserve">package</x:t>
        </x:is>
      </x:c>
      <x:c r="F12" s="125" t="inlineStr">
        <x:is>
          <x:t xml:space="preserve">types</x:t>
        </x:is>
      </x:c>
      <x:c r="G12" s="125" t="inlineStr">
        <x:is>
          <x:t xml:space="preserve">../test/types/components/radio-group.test.ts</x:t>
        </x:is>
      </x:c>
      <x:c r="H12" s="125" t="inlineStr">
        <x:is>
          <x:t xml:space="preserve">tested</x:t>
        </x:is>
      </x:c>
      <x:c r="I12" s="125" t="inlineStr">
        <x:is>
          <x:t xml:space="preserve">no</x:t>
        </x:is>
      </x:c>
      <x:c r="J12" s="141" t="n">
        <x:v>46229</x:v>
      </x:c>
      <x:c r="L12" s="125" t="n">
        <x:v>1</x:v>
      </x:c>
      <x:c r="M12" s="125" t="n">
        <x:f>IF(OR(AND(I12="yes",H12="verified"),AND(I12="no",OR(H12="tested",H12="verified")),AND(H12="not applicable",K12&lt;&gt;"")),1,0)</x:f>
        <x:v>1</x:v>
      </x:c>
    </x:row>
    <x:row r="13" s="127" customFormat="1" ht="42" customHeight="1">
      <x:c r="A13" s="125" t="inlineStr">
        <x:is>
          <x:t xml:space="preserve">RG-05</x:t>
        </x:is>
      </x:c>
      <x:c r="B13" s="125" t="inlineStr">
        <x:is>
          <x:t xml:space="preserve">CSS</x:t>
        </x:is>
      </x:c>
      <x:c r="C13" s="125" t="inlineStr">
        <x:is>
          <x:t xml:space="preserve">Root/Item</x:t>
        </x:is>
      </x:c>
      <x:c r="D13" s="125" t="inlineStr">
        <x:is>
          <x:t xml:space="preserve">Static CSS provides the canonical circle/dot recipe, sizes, states, logical layout, stable hooks, reduced motion, and forced colors.</x:t>
        </x:is>
      </x:c>
      <x:c r="E13" s="125" t="inlineStr">
        <x:is>
          <x:t xml:space="preserve">package</x:t>
        </x:is>
      </x:c>
      <x:c r="F13" s="125" t="inlineStr">
        <x:is>
          <x:t xml:space="preserve">css</x:t>
        </x:is>
      </x:c>
      <x:c r="G13" s="125" t="inlineStr">
        <x:is>
          <x:t xml:space="preserve">../src/components/radio-group/radio-group.css</x:t>
        </x:is>
      </x:c>
      <x:c r="H13" s="125" t="inlineStr">
        <x:is>
          <x:t xml:space="preserve">tested</x:t>
        </x:is>
      </x:c>
      <x:c r="I13" s="125" t="inlineStr">
        <x:is>
          <x:t xml:space="preserve">no</x:t>
        </x:is>
      </x:c>
      <x:c r="J13" s="141" t="n">
        <x:v>46229</x:v>
      </x:c>
      <x:c r="L13" s="125" t="n">
        <x:v>1</x:v>
      </x:c>
      <x:c r="M13" s="125" t="n">
        <x:f>IF(OR(AND(I13="yes",H13="verified"),AND(I13="no",OR(H13="tested",H13="verified")),AND(H13="not applicable",K13&lt;&gt;"")),1,0)</x:f>
        <x:v>1</x:v>
      </x:c>
    </x:row>
    <x:row r="14" s="127" customFormat="1" ht="42" customHeight="1">
      <x:c r="A14" s="125" t="inlineStr">
        <x:is>
          <x:t xml:space="preserve">RG-06</x:t>
        </x:is>
      </x:c>
      <x:c r="B14" s="125" t="inlineStr">
        <x:is>
          <x:t xml:space="preserve">Defaults</x:t>
        </x:is>
      </x:c>
      <x:c r="C14" s="125" t="inlineStr">
        <x:is>
          <x:t xml:space="preserve">Root/Item</x:t>
        </x:is>
      </x:c>
      <x:c r="D14" s="125" t="inlineStr">
        <x:is>
          <x:t xml:space="preserve">Medium vertical accent selection is the one canonical default and only one item remains selected.</x:t>
        </x:is>
      </x:c>
      <x:c r="E14" s="125" t="inlineStr">
        <x:is>
          <x:t xml:space="preserve">package</x:t>
        </x:is>
      </x:c>
      <x:c r="F14" s="125" t="inlineStr">
        <x:is>
          <x:t xml:space="preserve">browser</x:t>
        </x:is>
      </x:c>
      <x:c r="G14" s="125" t="inlineStr">
        <x:is>
          <x:t xml:space="preserve">tests/components/radio-group/behavior.spec.ts</x:t>
        </x:is>
      </x:c>
      <x:c r="H14" s="125" t="inlineStr">
        <x:is>
          <x:t xml:space="preserve">tested</x:t>
        </x:is>
      </x:c>
      <x:c r="I14" s="125" t="inlineStr">
        <x:is>
          <x:t xml:space="preserve">no</x:t>
        </x:is>
      </x:c>
      <x:c r="J14" s="141" t="n">
        <x:v>46229</x:v>
      </x:c>
      <x:c r="L14" s="125" t="n">
        <x:v>1</x:v>
      </x:c>
      <x:c r="M14" s="125" t="n">
        <x:f>IF(OR(AND(I14="yes",H14="verified"),AND(I14="no",OR(H14="tested",H14="verified")),AND(H14="not applicable",K14&lt;&gt;"")),1,0)</x:f>
        <x:v>1</x:v>
      </x:c>
    </x:row>
    <x:row r="15" s="127" customFormat="1" ht="42" customHeight="1">
      <x:c r="A15" s="125" t="inlineStr">
        <x:is>
          <x:t xml:space="preserve">RG-07</x:t>
        </x:is>
      </x:c>
      <x:c r="B15" s="125" t="inlineStr">
        <x:is>
          <x:t xml:space="preserve">Sizing</x:t>
        </x:is>
      </x:c>
      <x:c r="C15" s="125" t="inlineStr">
        <x:is>
          <x:t xml:space="preserve">Root</x:t>
        </x:is>
      </x:c>
      <x:c r="D15" s="125" t="inlineStr">
        <x:is>
          <x:t xml:space="preserve">Small, medium, and large change shared item/control geometry only.</x:t>
        </x:is>
      </x:c>
      <x:c r="E15" s="125" t="inlineStr">
        <x:is>
          <x:t xml:space="preserve">package</x:t>
        </x:is>
      </x:c>
      <x:c r="F15" s="125" t="inlineStr">
        <x:is>
          <x:t xml:space="preserve">browser</x:t>
        </x:is>
      </x:c>
      <x:c r="G15" s="125" t="inlineStr">
        <x:is>
          <x:t xml:space="preserve">tests/components/radio-group/behavior.spec.ts</x:t>
        </x:is>
      </x:c>
      <x:c r="H15" s="125" t="inlineStr">
        <x:is>
          <x:t xml:space="preserve">tested</x:t>
        </x:is>
      </x:c>
      <x:c r="I15" s="125" t="inlineStr">
        <x:is>
          <x:t xml:space="preserve">no</x:t>
        </x:is>
      </x:c>
      <x:c r="J15" s="141" t="n">
        <x:v>46229</x:v>
      </x:c>
      <x:c r="L15" s="125" t="n">
        <x:v>1</x:v>
      </x:c>
      <x:c r="M15" s="125" t="n">
        <x:f>IF(OR(AND(I15="yes",H15="verified"),AND(I15="no",OR(H15="tested",H15="verified")),AND(H15="not applicable",K15&lt;&gt;"")),1,0)</x:f>
        <x:v>1</x:v>
      </x:c>
    </x:row>
    <x:row r="16" s="127" customFormat="1" ht="42" customHeight="1">
      <x:c r="A16" s="125" t="inlineStr">
        <x:is>
          <x:t xml:space="preserve">RG-08</x:t>
        </x:is>
      </x:c>
      <x:c r="B16" s="125" t="inlineStr">
        <x:is>
          <x:t xml:space="preserve">Keyboard</x:t>
        </x:is>
      </x:c>
      <x:c r="C16" s="125" t="inlineStr">
        <x:is>
          <x:t xml:space="preserve">Root/Item</x:t>
        </x:is>
      </x:c>
      <x:c r="D16" s="125" t="inlineStr">
        <x:is>
          <x:t xml:space="preserve">Roving Tab focus, orientation arrows, Home/End, loop, disabled skipping, and RTL mapping work in a real browser.</x:t>
        </x:is>
      </x:c>
      <x:c r="E16" s="125" t="inlineStr">
        <x:is>
          <x:t xml:space="preserve">package</x:t>
        </x:is>
      </x:c>
      <x:c r="F16" s="125" t="inlineStr">
        <x:is>
          <x:t xml:space="preserve">browser</x:t>
        </x:is>
      </x:c>
      <x:c r="G16" s="125" t="inlineStr">
        <x:is>
          <x:t xml:space="preserve">tests/components/radio-group/behavior.spec.ts</x:t>
        </x:is>
      </x:c>
      <x:c r="H16" s="125" t="inlineStr">
        <x:is>
          <x:t xml:space="preserve">tested</x:t>
        </x:is>
      </x:c>
      <x:c r="I16" s="125" t="inlineStr">
        <x:is>
          <x:t xml:space="preserve">no</x:t>
        </x:is>
      </x:c>
      <x:c r="J16" s="141" t="n">
        <x:v>46229</x:v>
      </x:c>
      <x:c r="L16" s="125" t="n">
        <x:v>1</x:v>
      </x:c>
      <x:c r="M16" s="125" t="n">
        <x:f>IF(OR(AND(I16="yes",H16="verified"),AND(I16="no",OR(H16="tested",H16="verified")),AND(H16="not applicable",K16&lt;&gt;"")),1,0)</x:f>
        <x:v>1</x:v>
      </x:c>
    </x:row>
    <x:row r="17" s="127" customFormat="1" ht="42" customHeight="1">
      <x:c r="A17" s="125" t="inlineStr">
        <x:is>
          <x:t xml:space="preserve">RG-09</x:t>
        </x:is>
      </x:c>
      <x:c r="B17" s="125" t="inlineStr">
        <x:is>
          <x:t xml:space="preserve">Ownership</x:t>
        </x:is>
      </x:c>
      <x:c r="C17" s="125" t="inlineStr">
        <x:is>
          <x:t xml:space="preserve">Root</x:t>
        </x:is>
      </x:c>
      <x:c r="D17" s="125" t="inlineStr">
        <x:is>
          <x:t xml:space="preserve">Controlled and uncontrolled selection expose identical visuals and correct value-change behavior.</x:t>
        </x:is>
      </x:c>
      <x:c r="E17" s="125" t="inlineStr">
        <x:is>
          <x:t xml:space="preserve">package</x:t>
        </x:is>
      </x:c>
      <x:c r="F17" s="125" t="inlineStr">
        <x:is>
          <x:t xml:space="preserve">component</x:t>
        </x:is>
      </x:c>
      <x:c r="G17" s="125" t="inlineStr">
        <x:is>
          <x:t xml:space="preserve">../test/components/radio-group/radio-group.test.tsx; tests/components/radio-group/behavior.spec.ts</x:t>
        </x:is>
      </x:c>
      <x:c r="H17" s="125" t="inlineStr">
        <x:is>
          <x:t xml:space="preserve">tested</x:t>
        </x:is>
      </x:c>
      <x:c r="I17" s="125" t="inlineStr">
        <x:is>
          <x:t xml:space="preserve">no</x:t>
        </x:is>
      </x:c>
      <x:c r="J17" s="141" t="n">
        <x:v>46229</x:v>
      </x:c>
      <x:c r="L17" s="125" t="n">
        <x:v>1</x:v>
      </x:c>
      <x:c r="M17" s="125" t="n">
        <x:f>IF(OR(AND(I17="yes",H17="verified"),AND(I17="no",OR(H17="tested",H17="verified")),AND(H17="not applicable",K17&lt;&gt;"")),1,0)</x:f>
        <x:v>1</x:v>
      </x:c>
    </x:row>
    <x:row r="18" s="127" customFormat="1" ht="42" customHeight="1">
      <x:c r="A18" s="125" t="inlineStr">
        <x:is>
          <x:t xml:space="preserve">RG-10</x:t>
        </x:is>
      </x:c>
      <x:c r="B18" s="125" t="inlineStr">
        <x:is>
          <x:t xml:space="preserve">States</x:t>
        </x:is>
      </x:c>
      <x:c r="C18" s="125" t="inlineStr">
        <x:is>
          <x:t xml:space="preserve">Root/Item</x:t>
        </x:is>
      </x:c>
      <x:c r="D18" s="125" t="inlineStr">
        <x:is>
          <x:t xml:space="preserve">Group/item disabled, required, invalid, and read-only states preserve correct behavior and visible distinctions.</x:t>
        </x:is>
      </x:c>
      <x:c r="E18" s="125" t="inlineStr">
        <x:is>
          <x:t xml:space="preserve">package</x:t>
        </x:is>
      </x:c>
      <x:c r="F18" s="125" t="inlineStr">
        <x:is>
          <x:t xml:space="preserve">browser</x:t>
        </x:is>
      </x:c>
      <x:c r="G18" s="125" t="inlineStr">
        <x:is>
          <x:t xml:space="preserve">tests/components/radio-group/behavior.spec.ts</x:t>
        </x:is>
      </x:c>
      <x:c r="H18" s="125" t="inlineStr">
        <x:is>
          <x:t xml:space="preserve">tested</x:t>
        </x:is>
      </x:c>
      <x:c r="I18" s="125" t="inlineStr">
        <x:is>
          <x:t xml:space="preserve">no</x:t>
        </x:is>
      </x:c>
      <x:c r="J18" s="141" t="n">
        <x:v>46229</x:v>
      </x:c>
      <x:c r="L18" s="125" t="n">
        <x:v>1</x:v>
      </x:c>
      <x:c r="M18" s="125" t="n">
        <x:f>IF(OR(AND(I18="yes",H18="verified"),AND(I18="no",OR(H18="tested",H18="verified")),AND(H18="not applicable",K18&lt;&gt;"")),1,0)</x:f>
        <x:v>1</x:v>
      </x:c>
    </x:row>
    <x:row r="19" s="127" customFormat="1" ht="42" customHeight="1">
      <x:c r="A19" s="125" t="inlineStr">
        <x:is>
          <x:t xml:space="preserve">RG-11</x:t>
        </x:is>
      </x:c>
      <x:c r="B19" s="125" t="inlineStr">
        <x:is>
          <x:t xml:space="preserve">Read only</x:t>
        </x:is>
      </x:c>
      <x:c r="C19" s="125" t="inlineStr">
        <x:is>
          <x:t xml:space="preserve">Root/Item</x:t>
        </x:is>
      </x:c>
      <x:c r="D19" s="125" t="inlineStr">
        <x:is>
          <x:t xml:space="preserve">Read-only remains focusable and submitted, permits focus navigation, and cannot mutate or emit value changes.</x:t>
        </x:is>
      </x:c>
      <x:c r="E19" s="125" t="inlineStr">
        <x:is>
          <x:t xml:space="preserve">package</x:t>
        </x:is>
      </x:c>
      <x:c r="F19" s="125" t="inlineStr">
        <x:is>
          <x:t xml:space="preserve">browser</x:t>
        </x:is>
      </x:c>
      <x:c r="G19" s="125" t="inlineStr">
        <x:is>
          <x:t xml:space="preserve">../test/components/radio-group/radio-group.test.tsx; tests/components/radio-group/behavior.spec.ts</x:t>
        </x:is>
      </x:c>
      <x:c r="H19" s="125" t="inlineStr">
        <x:is>
          <x:t xml:space="preserve">tested</x:t>
        </x:is>
      </x:c>
      <x:c r="I19" s="125" t="inlineStr">
        <x:is>
          <x:t xml:space="preserve">no</x:t>
        </x:is>
      </x:c>
      <x:c r="J19" s="141" t="n">
        <x:v>46229</x:v>
      </x:c>
      <x:c r="L19" s="125" t="n">
        <x:v>1</x:v>
      </x:c>
      <x:c r="M19" s="125" t="n">
        <x:f>IF(OR(AND(I19="yes",H19="verified"),AND(I19="no",OR(H19="tested",H19="verified")),AND(H19="not applicable",K19&lt;&gt;"")),1,0)</x:f>
        <x:v>1</x:v>
      </x:c>
    </x:row>
    <x:row r="20" s="127" customFormat="1" ht="42" customHeight="1">
      <x:c r="A20" s="125" t="inlineStr">
        <x:is>
          <x:t xml:space="preserve">RG-12</x:t>
        </x:is>
      </x:c>
      <x:c r="B20" s="125" t="inlineStr">
        <x:is>
          <x:t xml:space="preserve">Forms</x:t>
        </x:is>
      </x:c>
      <x:c r="C20" s="125" t="inlineStr">
        <x:is>
          <x:t xml:space="preserve">Root</x:t>
        </x:is>
      </x:c>
      <x:c r="D20" s="125" t="inlineStr">
        <x:is>
          <x:t xml:space="preserve">Named value submission, reset, external form ownership, native validation focus, and Fieldset relationships work.</x:t>
        </x:is>
      </x:c>
      <x:c r="E20" s="125" t="inlineStr">
        <x:is>
          <x:t xml:space="preserve">package</x:t>
        </x:is>
      </x:c>
      <x:c r="F20" s="125" t="inlineStr">
        <x:is>
          <x:t xml:space="preserve">browser</x:t>
        </x:is>
      </x:c>
      <x:c r="G20" s="125" t="inlineStr">
        <x:is>
          <x:t xml:space="preserve">tests/components/radio-group/behavior.spec.ts</x:t>
        </x:is>
      </x:c>
      <x:c r="H20" s="125" t="inlineStr">
        <x:is>
          <x:t xml:space="preserve">tested</x:t>
        </x:is>
      </x:c>
      <x:c r="I20" s="125" t="inlineStr">
        <x:is>
          <x:t xml:space="preserve">no</x:t>
        </x:is>
      </x:c>
      <x:c r="J20" s="141" t="n">
        <x:v>46229</x:v>
      </x:c>
      <x:c r="L20" s="125" t="n">
        <x:v>1</x:v>
      </x:c>
      <x:c r="M20" s="125" t="n">
        <x:f>IF(OR(AND(I20="yes",H20="verified"),AND(I20="no",OR(H20="tested",H20="verified")),AND(H20="not applicable",K20&lt;&gt;"")),1,0)</x:f>
        <x:v>1</x:v>
      </x:c>
    </x:row>
    <x:row r="21" s="127" customFormat="1" ht="42" customHeight="1">
      <x:c r="A21" s="125" t="inlineStr">
        <x:is>
          <x:t xml:space="preserve">RG-13</x:t>
        </x:is>
      </x:c>
      <x:c r="B21" s="125" t="inlineStr">
        <x:is>
          <x:t xml:space="preserve">Composition</x:t>
        </x:is>
      </x:c>
      <x:c r="C21" s="125" t="inlineStr">
        <x:is>
          <x:t xml:space="preserve">Root/Item</x:t>
        </x:is>
      </x:c>
      <x:c r="D21" s="125" t="inlineStr">
        <x:is>
          <x:t xml:space="preserve">render and asChild preserve custom hosts, roles, built-in visuals, content, state, and events.</x:t>
        </x:is>
      </x:c>
      <x:c r="E21" s="125" t="inlineStr">
        <x:is>
          <x:t xml:space="preserve">package</x:t>
        </x:is>
      </x:c>
      <x:c r="F21" s="125" t="inlineStr">
        <x:is>
          <x:t xml:space="preserve">browser</x:t>
        </x:is>
      </x:c>
      <x:c r="G21" s="125" t="inlineStr">
        <x:is>
          <x:t xml:space="preserve">tests/components/radio-group/behavior.spec.ts</x:t>
        </x:is>
      </x:c>
      <x:c r="H21" s="125" t="inlineStr">
        <x:is>
          <x:t xml:space="preserve">tested</x:t>
        </x:is>
      </x:c>
      <x:c r="I21" s="125" t="inlineStr">
        <x:is>
          <x:t xml:space="preserve">no</x:t>
        </x:is>
      </x:c>
      <x:c r="J21" s="141" t="n">
        <x:v>46229</x:v>
      </x:c>
      <x:c r="L21" s="125" t="n">
        <x:v>1</x:v>
      </x:c>
      <x:c r="M21" s="125" t="n">
        <x:f>IF(OR(AND(I21="yes",H21="verified"),AND(I21="no",OR(H21="tested",H21="verified")),AND(H21="not applicable",K21&lt;&gt;"")),1,0)</x:f>
        <x:v>1</x:v>
      </x:c>
    </x:row>
    <x:row r="22" s="127" customFormat="1" ht="42" customHeight="1">
      <x:c r="A22" s="125" t="inlineStr">
        <x:is>
          <x:t xml:space="preserve">RG-14</x:t>
        </x:is>
      </x:c>
      <x:c r="B22" s="125" t="inlineStr">
        <x:is>
          <x:t xml:space="preserve">Accessibility</x:t>
        </x:is>
      </x:c>
      <x:c r="C22" s="125" t="inlineStr">
        <x:is>
          <x:t xml:space="preserve">Root/Item</x:t>
        </x:is>
      </x:c>
      <x:c r="D22" s="125" t="inlineStr">
        <x:is>
          <x:t xml:space="preserve">Automated accessible names, group/radio semantics, state, and axe checks pass.</x:t>
        </x:is>
      </x:c>
      <x:c r="E22" s="125" t="inlineStr">
        <x:is>
          <x:t xml:space="preserve">package</x:t>
        </x:is>
      </x:c>
      <x:c r="F22" s="125" t="inlineStr">
        <x:is>
          <x:t xml:space="preserve">axe</x:t>
        </x:is>
      </x:c>
      <x:c r="G22" s="125" t="inlineStr">
        <x:is>
          <x:t xml:space="preserve">tests/components/radio-group/behavior.spec.ts</x:t>
        </x:is>
      </x:c>
      <x:c r="H22" s="125" t="inlineStr">
        <x:is>
          <x:t xml:space="preserve">tested</x:t>
        </x:is>
      </x:c>
      <x:c r="I22" s="125" t="inlineStr">
        <x:is>
          <x:t xml:space="preserve">no</x:t>
        </x:is>
      </x:c>
      <x:c r="J22" s="141" t="n">
        <x:v>46229</x:v>
      </x:c>
      <x:c r="L22" s="125" t="n">
        <x:v>1</x:v>
      </x:c>
      <x:c r="M22" s="125" t="n">
        <x:f>IF(OR(AND(I22="yes",H22="verified"),AND(I22="no",OR(H22="tested",H22="verified")),AND(H22="not applicable",K22&lt;&gt;"")),1,0)</x:f>
        <x:v>1</x:v>
      </x:c>
    </x:row>
    <x:row r="23" s="127" customFormat="1" ht="42" customHeight="1">
      <x:c r="A23" s="125" t="inlineStr">
        <x:is>
          <x:t xml:space="preserve">RG-15</x:t>
        </x:is>
      </x:c>
      <x:c r="B23" s="125" t="inlineStr">
        <x:is>
          <x:t xml:space="preserve">Visual</x:t>
        </x:is>
      </x:c>
      <x:c r="C23" s="125" t="inlineStr">
        <x:is>
          <x:t xml:space="preserve">RadioGroup</x:t>
        </x:is>
      </x:c>
      <x:c r="D23" s="125" t="inlineStr">
        <x:is>
          <x:t xml:space="preserve">Risk-selected light, dark, size, orientation, state, composition, responsive, RTL, and forced-color baselines require owner review.</x:t>
        </x:is>
      </x:c>
      <x:c r="E23" s="125" t="inlineStr">
        <x:is>
          <x:t xml:space="preserve">package</x:t>
        </x:is>
      </x:c>
      <x:c r="F23" s="125" t="inlineStr">
        <x:is>
          <x:t xml:space="preserve">visual</x:t>
        </x:is>
      </x:c>
      <x:c r="G23" s="125" t="inlineStr">
        <x:is>
          <x:t xml:space="preserve">tests/components/radio-group/visual.spec.ts</x:t>
        </x:is>
      </x:c>
      <x:c r="H23" s="125" t="inlineStr">
        <x:is>
          <x:t xml:space="preserve">not started</x:t>
        </x:is>
      </x:c>
      <x:c r="I23" s="125" t="inlineStr">
        <x:is>
          <x:t xml:space="preserve">yes</x:t>
        </x:is>
      </x:c>
      <x:c r="J23" s="141" t="n">
        <x:v>46229</x:v>
      </x:c>
      <x:c r="K23" s="125" t="inlineStr">
        <x:is>
          <x:t xml:space="preserve">Owner visual review has not been recorded.</x:t>
        </x:is>
      </x:c>
      <x:c r="L23" s="125" t="n">
        <x:v>1</x:v>
      </x:c>
      <x:c r="M23" s="125" t="n">
        <x:f>IF(OR(AND(I23="yes",H23="verified"),AND(I23="no",OR(H23="tested",H23="verified")),AND(H23="not applicable",K23&lt;&gt;"")),1,0)</x:f>
        <x:v>0</x:v>
      </x:c>
    </x:row>
    <x:row r="24" s="127" customFormat="1" ht="42" customHeight="1">
      <x:c r="A24" s="125" t="inlineStr">
        <x:is>
          <x:t xml:space="preserve">RG-16</x:t>
        </x:is>
      </x:c>
      <x:c r="B24" s="125" t="inlineStr">
        <x:is>
          <x:t xml:space="preserve">Manual</x:t>
        </x:is>
      </x:c>
      <x:c r="C24" s="125" t="inlineStr">
        <x:is>
          <x:t xml:space="preserve">RadioGroup</x:t>
        </x:is>
      </x:c>
      <x:c r="D24" s="125" t="inlineStr">
        <x:is>
          <x:t xml:space="preserve">A tester completes the short top-to-bottom protocol across keyboard, screen reader, zoom, mobile, RTL, and themes.</x:t>
        </x:is>
      </x:c>
      <x:c r="E24" s="125" t="inlineStr">
        <x:is>
          <x:t xml:space="preserve">package</x:t>
        </x:is>
      </x:c>
      <x:c r="F24" s="125" t="inlineStr">
        <x:is>
          <x:t xml:space="preserve">manual</x:t>
        </x:is>
      </x:c>
      <x:c r="G24" s="125" t="inlineStr">
        <x:is>
          <x:t xml:space="preserve">manual-tests/radio-group.md</x:t>
        </x:is>
      </x:c>
      <x:c r="H24" s="125" t="inlineStr">
        <x:is>
          <x:t xml:space="preserve">not started</x:t>
        </x:is>
      </x:c>
      <x:c r="I24" s="125" t="inlineStr">
        <x:is>
          <x:t xml:space="preserve">yes</x:t>
        </x:is>
      </x:c>
      <x:c r="J24" s="141" t="n">
        <x:v>46229</x:v>
      </x:c>
      <x:c r="K24" s="125" t="inlineStr">
        <x:is>
          <x:t xml:space="preserve">Owner human review has not been recorded.</x:t>
        </x:is>
      </x:c>
      <x:c r="L24" s="125" t="n">
        <x:v>1</x:v>
      </x:c>
      <x:c r="M24" s="125" t="n">
        <x:f>IF(OR(AND(I24="yes",H24="verified"),AND(I24="no",OR(H24="tested",H24="verified")),AND(H24="not applicable",K24&lt;&gt;"")),1,0)</x:f>
        <x:v>0</x:v>
      </x:c>
    </x:row>
    <x:row r="25" s="127" customFormat="1" ht="15" customHeight="1">
      <x:c r="A25" s="125" t="inlineStr">
        <x:is>
          <x:t xml:space="preserve">RG-17</x:t>
        </x:is>
      </x:c>
      <x:c r="B25" s="125" t="inlineStr">
        <x:is>
          <x:t xml:space="preserve">Docs</x:t>
        </x:is>
      </x:c>
      <x:c r="C25" s="125" t="inlineStr">
        <x:is>
          <x:t xml:space="preserve">RadioGroup</x:t>
        </x:is>
      </x:c>
      <x:c r="D25" s="125" t="inlineStr">
        <x:is>
          <x:t xml:space="preserve">Public usage, API, anatomy, states, accessibility, customization, responsive, composition, evidence, and exclusions are documented.</x:t>
        </x:is>
      </x:c>
      <x:c r="E25" s="125" t="inlineStr">
        <x:is>
          <x:t xml:space="preserve">package</x:t>
        </x:is>
      </x:c>
      <x:c r="F25" s="125" t="inlineStr">
        <x:is>
          <x:t xml:space="preserve">docs</x:t>
        </x:is>
      </x:c>
      <x:c r="G25" s="125" t="inlineStr">
        <x:is>
          <x:t xml:space="preserve">../docs/components/radio-group/README.md</x:t>
        </x:is>
      </x:c>
      <x:c r="H25" s="125" t="inlineStr">
        <x:is>
          <x:t xml:space="preserve">tested</x:t>
        </x:is>
      </x:c>
      <x:c r="I25" s="125" t="inlineStr">
        <x:is>
          <x:t xml:space="preserve">no</x:t>
        </x:is>
      </x:c>
      <x:c r="J25" s="141" t="n">
        <x:v>46229</x:v>
      </x:c>
      <x:c r="L25" s="125" t="n">
        <x:v>1</x:v>
      </x:c>
      <x:c r="M25" s="125" t="n">
        <x:f>IF(OR(AND(I25="yes",H25="verified"),AND(I25="no",OR(H25="tested",H25="verified")),AND(H25="not applicable",K25&lt;&gt;"")),1,0)</x:f>
        <x:v>1</x:v>
      </x:c>
    </x:row>
    <x:row r="26" s="127" customFormat="1" ht="15" customHeight="1">
      <x:c r="A26" s="125" t="inlineStr">
        <x:is>
          <x:t xml:space="preserve">RG-18</x:t>
        </x:is>
      </x:c>
      <x:c r="B26" s="125" t="inlineStr">
        <x:is>
          <x:t xml:space="preserve">Changelog</x:t>
        </x:is>
      </x:c>
      <x:c r="C26" s="125" t="inlineStr">
        <x:is>
          <x:t xml:space="preserve">RadioGroup</x:t>
        </x:is>
      </x:c>
      <x:c r="D26" s="125" t="inlineStr">
        <x:is>
          <x:t xml:space="preserve">The component owns a public changelog and package release note.</x:t>
        </x:is>
      </x:c>
      <x:c r="E26" s="125" t="inlineStr">
        <x:is>
          <x:t xml:space="preserve">package</x:t>
        </x:is>
      </x:c>
      <x:c r="F26" s="125" t="inlineStr">
        <x:is>
          <x:t xml:space="preserve">docs</x:t>
        </x:is>
      </x:c>
      <x:c r="G26" s="125" t="inlineStr">
        <x:is>
          <x:t xml:space="preserve">../docs/components/radio-group/CHANGELOG.md; ../CHANGELOG.md</x:t>
        </x:is>
      </x:c>
      <x:c r="H26" s="125" t="inlineStr">
        <x:is>
          <x:t xml:space="preserve">tested</x:t>
        </x:is>
      </x:c>
      <x:c r="I26" s="125" t="inlineStr">
        <x:is>
          <x:t xml:space="preserve">no</x:t>
        </x:is>
      </x:c>
      <x:c r="J26" s="141" t="n">
        <x:v>46229</x:v>
      </x:c>
      <x:c r="L26" s="125" t="n">
        <x:v>1</x:v>
      </x:c>
      <x:c r="M26" s="125" t="n">
        <x:f>IF(OR(AND(I26="yes",H26="verified"),AND(I26="no",OR(H26="tested",H26="verified")),AND(H26="not applicable",K26&lt;&gt;"")),1,0)</x:f>
        <x:v>1</x:v>
      </x:c>
    </x:row>
    <x:row r="27" s="127" customFormat="1" ht="15" customHeight="1">
      <x:c r="A27" s="125" t="inlineStr">
        <x:is>
          <x:t xml:space="preserve">RG-19</x:t>
        </x:is>
      </x:c>
      <x:c r="B27" s="125" t="inlineStr">
        <x:is>
          <x:t xml:space="preserve">Consumer</x:t>
        </x:is>
      </x:c>
      <x:c r="C27" s="125" t="inlineStr">
        <x:is>
          <x:t xml:space="preserve">RadioGroup</x:t>
        </x:is>
      </x:c>
      <x:c r="D27" s="125" t="inlineStr">
        <x:is>
          <x:t xml:space="preserve">The packed Consumer imports the public subpath and exercises selection, disabled state, submit, and reset.</x:t>
        </x:is>
      </x:c>
      <x:c r="E27" s="125" t="inlineStr">
        <x:is>
          <x:t xml:space="preserve">consumer</x:t>
        </x:is>
      </x:c>
      <x:c r="F27" s="125" t="inlineStr">
        <x:is>
          <x:t xml:space="preserve">consumer</x:t>
        </x:is>
      </x:c>
      <x:c r="G27" s="125" t="inlineStr">
        <x:is>
          <x:t xml:space="preserve">../apps/consumer/src/App.tsx; ../apps/consumer/tests/consumer.spec.ts</x:t>
        </x:is>
      </x:c>
      <x:c r="H27" s="125" t="inlineStr">
        <x:is>
          <x:t xml:space="preserve">tested</x:t>
        </x:is>
      </x:c>
      <x:c r="I27" s="125" t="inlineStr">
        <x:is>
          <x:t xml:space="preserve">no</x:t>
        </x:is>
      </x:c>
      <x:c r="J27" s="141" t="n">
        <x:v>46229</x:v>
      </x:c>
      <x:c r="L27" s="125" t="n">
        <x:v>1</x:v>
      </x:c>
      <x:c r="M27" s="125" t="n">
        <x:f>IF(OR(AND(I27="yes",H27="verified"),AND(I27="no",OR(H27="tested",H27="verified")),AND(H27="not applicable",K27&lt;&gt;"")),1,0)</x:f>
        <x:v>1</x:v>
      </x:c>
    </x:row>
    <x:row r="28" s="127" customFormat="1" ht="15" customHeight="1">
      <x:c r="A28" s="125" t="inlineStr">
        <x:is>
          <x:t xml:space="preserve">RG-20</x:t>
        </x:is>
      </x:c>
      <x:c r="B28" s="125" t="inlineStr">
        <x:is>
          <x:t xml:space="preserve">Package</x:t>
        </x:is>
      </x:c>
      <x:c r="C28" s="125" t="inlineStr">
        <x:is>
          <x:t xml:space="preserve">RadioGroup</x:t>
        </x:is>
      </x:c>
      <x:c r="D28" s="125" t="inlineStr">
        <x:is>
          <x:t xml:space="preserve">Build, exports, SSR, tarball, CSS, React 18/19, and consumer boundary verification pass.</x:t>
        </x:is>
      </x:c>
      <x:c r="E28" s="125" t="inlineStr">
        <x:is>
          <x:t xml:space="preserve">package</x:t>
        </x:is>
      </x:c>
      <x:c r="F28" s="125" t="inlineStr">
        <x:is>
          <x:t xml:space="preserve">package</x:t>
        </x:is>
      </x:c>
      <x:c r="G28" s="125" t="inlineStr">
        <x:is>
          <x:t xml:space="preserve">../scripts/verify-package.mjs; ../scripts/verify-consumers.mjs</x:t>
        </x:is>
      </x:c>
      <x:c r="H28" s="125" t="inlineStr">
        <x:is>
          <x:t xml:space="preserve">tested</x:t>
        </x:is>
      </x:c>
      <x:c r="I28" s="125" t="inlineStr">
        <x:is>
          <x:t xml:space="preserve">no</x:t>
        </x:is>
      </x:c>
      <x:c r="J28" s="141" t="n">
        <x:v>46229</x:v>
      </x:c>
      <x:c r="L28" s="125" t="n">
        <x:v>1</x:v>
      </x:c>
      <x:c r="M28" s="125" t="n">
        <x:f>IF(OR(AND(I28="yes",H28="verified"),AND(I28="no",OR(H28="tested",H28="verified")),AND(H28="not applicable",K28&lt;&gt;"")),1,0)</x:f>
        <x:v>1</x:v>
      </x:c>
    </x:row>
  </x:sheetData>
  <x:mergeCells>
    <x:mergeCell ref="A2:M2"/>
    <x:mergeCell ref="A1:M1"/>
  </x:mergeCells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Switch Evidence</x:t>
        </x:is>
      </x:c>
    </x:row>
    <x:row r="2" s="127" customFormat="1" ht="27.75" customHeight="1">
      <x:c r="A2" s="129" t="inlineStr">
        <x:is>
          <x:t xml:space="preserve">Assertion-level Atom-backed package, browser, human-review, documentation, Consumer, form, state, and responsive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COUNTA(A9:A28)</x:f>
        <x:v>20</x:v>
      </x:c>
      <x:c r="D4" s="130" t="inlineStr">
        <x:is>
          <x:t xml:space="preserve">Resolved</x:t>
        </x:is>
      </x:c>
      <x:c r="E4" s="131" t="n">
        <x:f>SUM(M9:M28)</x:f>
        <x:v>18</x:v>
      </x:c>
      <x:c r="G4" s="130" t="inlineStr">
        <x:is>
          <x:t xml:space="preserve">Completion</x:t>
        </x:is>
      </x:c>
      <x:c r="H4" s="132" t="n">
        <x:f>IF(B4=0,0,E4/B4)</x:f>
        <x:v>0.9</x:v>
      </x:c>
      <x:c r="J4" s="130" t="inlineStr">
        <x:is>
          <x:t xml:space="preserve">Package gate</x:t>
        </x:is>
      </x:c>
      <x:c r="K4" s="131" t="str">
        <x:f>IF(COUNTIFS(E9:E28,"package",M9:M28,0)&gt;0,"open","complete")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IF(COUNTIFS(I9:I28,"yes",M9:M28,0)&gt;0,"open","complete")</x:f>
        <x:v>open</x:v>
      </x:c>
      <x:c r="D5" s="130" t="inlineStr">
        <x:is>
          <x:t xml:space="preserve">Consumer gate</x:t>
        </x:is>
      </x:c>
      <x:c r="E5" s="131" t="str">
        <x:f>IF(COUNTIFS(E9:E28,"consumer",M9:M28,0)&gt;0,"open","complete")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42" customHeight="1">
      <x:c r="A9" s="125" t="inlineStr">
        <x:is>
          <x:t xml:space="preserve">SW-01</x:t>
        </x:is>
      </x:c>
      <x:c r="B9" s="125" t="inlineStr">
        <x:is>
          <x:t xml:space="preserve">Implementation</x:t>
        </x:is>
      </x:c>
      <x:c r="C9" s="125" t="inlineStr">
        <x:is>
          <x:t xml:space="preserve">Root/Thumb</x:t>
        </x:is>
      </x:c>
      <x:c r="D9" s="125" t="inlineStr">
        <x:is>
          <x:t xml:space="preserve">Brick adopts the digest-locked Atom 0.26.1 candidate for state, keyboard, focus, validation, native forms, IDs and host composition; Brick owns presentation.</x:t>
        </x:is>
      </x:c>
      <x:c r="E9" s="125" t="inlineStr">
        <x:is>
          <x:t xml:space="preserve">package</x:t>
        </x:is>
      </x:c>
      <x:c r="F9" s="125" t="inlineStr">
        <x:is>
          <x:t xml:space="preserve">source</x:t>
        </x:is>
      </x:c>
      <x:c r="G9" s="125" t="inlineStr">
        <x:is>
          <x:t xml:space="preserve">../src/components/switch; ../../../.flowstack-cache/switch-parity/candidate.json</x:t>
        </x:is>
      </x:c>
      <x:c r="H9" s="125" t="inlineStr">
        <x:is>
          <x:t xml:space="preserve">tested</x:t>
        </x:is>
      </x:c>
      <x:c r="I9" s="125" t="inlineStr">
        <x:is>
          <x:t xml:space="preserve">no</x:t>
        </x:is>
      </x:c>
      <x:c r="J9" s="141" t="n">
        <x:v>46282</x:v>
      </x:c>
      <x:c r="L9" s="125" t="n">
        <x:v>1</x:v>
      </x:c>
      <x:c r="M9" s="125" t="n">
        <x:f>IF(OR(AND(I9="yes",H9="verified"),AND(I9="no",OR(H9="tested",H9="verified")),AND(H9="not applicable",K9&lt;&gt;"")),1,0)</x:f>
        <x:v>1</x:v>
      </x:c>
    </x:row>
    <x:row r="10" s="127" customFormat="1" ht="42" customHeight="1">
      <x:c r="A10" s="125" t="inlineStr">
        <x:is>
          <x:t xml:space="preserve">SW-02</x:t>
        </x:is>
      </x:c>
      <x:c r="B10" s="125" t="inlineStr">
        <x:is>
          <x:t xml:space="preserve">Anatomy</x:t>
        </x:is>
      </x:c>
      <x:c r="C10" s="125" t="inlineStr">
        <x:is>
          <x:t xml:space="preserve">Root/Thumb</x:t>
        </x:is>
      </x:c>
      <x:c r="D10" s="125" t="inlineStr">
        <x:is>
          <x:t xml:space="preserve">The compatible Root/Thumb path and multipart Field, Control, Label, HiddenInput, Indicator, ThumbIndicator and RootProvider path each preserve one state owner and one native input.</x:t>
        </x:is>
      </x:c>
      <x:c r="E10" s="125" t="inlineStr">
        <x:is>
          <x:t xml:space="preserve">package</x:t>
        </x:is>
      </x:c>
      <x:c r="F10" s="125" t="inlineStr">
        <x:is>
          <x:t xml:space="preserve">component</x:t>
        </x:is>
      </x:c>
      <x:c r="G10" s="125" t="inlineStr">
        <x:is>
          <x:t xml:space="preserve">../test/components/switch/switch.test.tsx</x:t>
        </x:is>
      </x:c>
      <x:c r="H10" s="125" t="inlineStr">
        <x:is>
          <x:t xml:space="preserve">tested</x:t>
        </x:is>
      </x:c>
      <x:c r="I10" s="125" t="inlineStr">
        <x:is>
          <x:t xml:space="preserve">no</x:t>
        </x:is>
      </x:c>
      <x:c r="J10" s="141" t="n">
        <x:v>46282</x:v>
      </x:c>
      <x:c r="L10" s="125" t="n">
        <x:v>1</x:v>
      </x:c>
      <x:c r="M10" s="125" t="n">
        <x:f>IF(OR(AND(I10="yes",H10="verified"),AND(I10="no",OR(H10="tested",H10="verified")),AND(H10="not applicable",K10&lt;&gt;"")),1,0)</x:f>
        <x:v>1</x:v>
      </x:c>
    </x:row>
    <x:row r="11" s="127" customFormat="1" ht="42" customHeight="1">
      <x:c r="A11" s="125" t="inlineStr">
        <x:is>
          <x:t xml:space="preserve">SW-03</x:t>
        </x:is>
      </x:c>
      <x:c r="B11" s="125" t="inlineStr">
        <x:is>
          <x:t xml:space="preserve">Exports</x:t>
        </x:is>
      </x:c>
      <x:c r="C11" s="125" t="inlineStr">
        <x:is>
          <x:t xml:space="preserve">Switch</x:t>
        </x:is>
      </x:c>
      <x:c r="D11" s="125" t="inlineStr">
        <x:is>
          <x:t xml:space="preserve">Namespace, named parts, hooks, controllers, public types, root export and switch subpath are exported.</x:t>
        </x:is>
      </x:c>
      <x:c r="E11" s="125" t="inlineStr">
        <x:is>
          <x:t xml:space="preserve">package</x:t>
        </x:is>
      </x:c>
      <x:c r="F11" s="125" t="inlineStr">
        <x:is>
          <x:t xml:space="preserve">package</x:t>
        </x:is>
      </x:c>
      <x:c r="G11" s="125" t="inlineStr">
        <x:is>
          <x:t xml:space="preserve">../test/package/switch.test.mjs</x:t>
        </x:is>
      </x:c>
      <x:c r="H11" s="125" t="inlineStr">
        <x:is>
          <x:t xml:space="preserve">tested</x:t>
        </x:is>
      </x:c>
      <x:c r="I11" s="125" t="inlineStr">
        <x:is>
          <x:t xml:space="preserve">no</x:t>
        </x:is>
      </x:c>
      <x:c r="J11" s="141" t="n">
        <x:v>46282</x:v>
      </x:c>
      <x:c r="L11" s="125" t="n">
        <x:v>1</x:v>
      </x:c>
      <x:c r="M11" s="125" t="n">
        <x:f>IF(OR(AND(I11="yes",H11="verified"),AND(I11="no",OR(H11="tested",H11="verified")),AND(H11="not applicable",K11&lt;&gt;"")),1,0)</x:f>
        <x:v>1</x:v>
      </x:c>
    </x:row>
    <x:row r="12" s="127" customFormat="1" ht="42" customHeight="1">
      <x:c r="A12" s="125" t="inlineStr">
        <x:is>
          <x:t xml:space="preserve">SW-04</x:t>
        </x:is>
      </x:c>
      <x:c r="B12" s="125" t="inlineStr">
        <x:is>
          <x:t xml:space="preserve">Types</x:t>
        </x:is>
      </x:c>
      <x:c r="C12" s="125" t="inlineStr">
        <x:is>
          <x:t xml:space="preserve">Root/Thumb</x:t>
        </x:is>
      </x:c>
      <x:c r="D12" s="125" t="inlineStr">
        <x:is>
          <x:t xml:space="preserve">Legacy refs/callbacks and multipart, responsive, controller, indicator and native-input props type-check without mixed-state widening.</x:t>
        </x:is>
      </x:c>
      <x:c r="E12" s="125" t="inlineStr">
        <x:is>
          <x:t xml:space="preserve">package</x:t>
        </x:is>
      </x:c>
      <x:c r="F12" s="125" t="inlineStr">
        <x:is>
          <x:t xml:space="preserve">types</x:t>
        </x:is>
      </x:c>
      <x:c r="G12" s="125" t="inlineStr">
        <x:is>
          <x:t xml:space="preserve">../test/types/components/switch.test.ts</x:t>
        </x:is>
      </x:c>
      <x:c r="H12" s="125" t="inlineStr">
        <x:is>
          <x:t xml:space="preserve">tested</x:t>
        </x:is>
      </x:c>
      <x:c r="I12" s="125" t="inlineStr">
        <x:is>
          <x:t xml:space="preserve">no</x:t>
        </x:is>
      </x:c>
      <x:c r="J12" s="141" t="n">
        <x:v>46282</x:v>
      </x:c>
      <x:c r="L12" s="125" t="n">
        <x:v>1</x:v>
      </x:c>
      <x:c r="M12" s="125" t="n">
        <x:f>IF(OR(AND(I12="yes",H12="verified"),AND(I12="no",OR(H12="tested",H12="verified")),AND(H12="not applicable",K12&lt;&gt;"")),1,0)</x:f>
        <x:v>1</x:v>
      </x:c>
    </x:row>
    <x:row r="13" s="127" customFormat="1" ht="42" customHeight="1">
      <x:c r="A13" s="125" t="inlineStr">
        <x:is>
          <x:t xml:space="preserve">SW-05</x:t>
        </x:is>
      </x:c>
      <x:c r="B13" s="125" t="inlineStr">
        <x:is>
          <x:t xml:space="preserve">CSS</x:t>
        </x:is>
      </x:c>
      <x:c r="C13" s="125" t="inlineStr">
        <x:is>
          <x:t xml:space="preserve">Root/Thumb</x:t>
        </x:is>
      </x:c>
      <x:c r="D13" s="125" t="inlineStr">
        <x:is>
          <x:t xml:space="preserve">Modular CSS provides responsive size/variant recipes, tones, state paint, effective RTL, raised separation, read-only clarity, reduced motion, forced colors and public variables.</x:t>
        </x:is>
      </x:c>
      <x:c r="E13" s="125" t="inlineStr">
        <x:is>
          <x:t xml:space="preserve">package</x:t>
        </x:is>
      </x:c>
      <x:c r="F13" s="125" t="inlineStr">
        <x:is>
          <x:t xml:space="preserve">css</x:t>
        </x:is>
      </x:c>
      <x:c r="G13" s="125" t="inlineStr">
        <x:is>
          <x:t xml:space="preserve">../src/components/switch/switch.css; ../src/components/switch/switch-responsive.css</x:t>
        </x:is>
      </x:c>
      <x:c r="H13" s="125" t="inlineStr">
        <x:is>
          <x:t xml:space="preserve">tested</x:t>
        </x:is>
      </x:c>
      <x:c r="I13" s="125" t="inlineStr">
        <x:is>
          <x:t xml:space="preserve">no</x:t>
        </x:is>
      </x:c>
      <x:c r="J13" s="141" t="n">
        <x:v>46282</x:v>
      </x:c>
      <x:c r="L13" s="125" t="n">
        <x:v>1</x:v>
      </x:c>
      <x:c r="M13" s="125" t="n">
        <x:f>IF(OR(AND(I13="yes",H13="verified"),AND(I13="no",OR(H13="tested",H13="verified")),AND(H13="not applicable",K13&lt;&gt;"")),1,0)</x:f>
        <x:v>1</x:v>
      </x:c>
    </x:row>
    <x:row r="14" s="127" customFormat="1" ht="42" customHeight="1">
      <x:c r="A14" s="125" t="inlineStr">
        <x:is>
          <x:t xml:space="preserve">SW-06</x:t>
        </x:is>
      </x:c>
      <x:c r="B14" s="125" t="inlineStr">
        <x:is>
          <x:t xml:space="preserve">Defaults</x:t>
        </x:is>
      </x:c>
      <x:c r="C14" s="125" t="inlineStr">
        <x:is>
          <x:t xml:space="preserve">Root/Thumb</x:t>
        </x:is>
      </x:c>
      <x:c r="D14" s="125" t="inlineStr">
        <x:is>
          <x:t xml:space="preserve">The medium unchecked solid accent recipe remains the compatible default and pointer activation changes only boolean state.</x:t>
        </x:is>
      </x:c>
      <x:c r="E14" s="125" t="inlineStr">
        <x:is>
          <x:t xml:space="preserve">package</x:t>
        </x:is>
      </x:c>
      <x:c r="F14" s="125" t="inlineStr">
        <x:is>
          <x:t xml:space="preserve">browser</x:t>
        </x:is>
      </x:c>
      <x:c r="G14" s="125" t="inlineStr">
        <x:is>
          <x:t xml:space="preserve">tests/components/switch/behavior.spec.ts</x:t>
        </x:is>
      </x:c>
      <x:c r="H14" s="125" t="inlineStr">
        <x:is>
          <x:t xml:space="preserve">tested</x:t>
        </x:is>
      </x:c>
      <x:c r="I14" s="125" t="inlineStr">
        <x:is>
          <x:t xml:space="preserve">no</x:t>
        </x:is>
      </x:c>
      <x:c r="J14" s="141" t="n">
        <x:v>46282</x:v>
      </x:c>
      <x:c r="L14" s="125" t="n">
        <x:v>1</x:v>
      </x:c>
      <x:c r="M14" s="125" t="n">
        <x:f>IF(OR(AND(I14="yes",H14="verified"),AND(I14="no",OR(H14="tested",H14="verified")),AND(H14="not applicable",K14&lt;&gt;"")),1,0)</x:f>
        <x:v>1</x:v>
      </x:c>
    </x:row>
    <x:row r="15" s="127" customFormat="1" ht="42" customHeight="1">
      <x:c r="A15" s="125" t="inlineStr">
        <x:is>
          <x:t xml:space="preserve">SW-07</x:t>
        </x:is>
      </x:c>
      <x:c r="B15" s="125" t="inlineStr">
        <x:is>
          <x:t xml:space="preserve">Sizing</x:t>
        </x:is>
      </x:c>
      <x:c r="C15" s="125" t="inlineStr">
        <x:is>
          <x:t xml:space="preserve">Root</x:t>
        </x:is>
      </x:c>
      <x:c r="D15" s="125" t="inlineStr">
        <x:is>
          <x:t xml:space="preserve">Responsive xs, sm, md and lg values change track, thumb and travel geometry while preserving the minimum interaction target.</x:t>
        </x:is>
      </x:c>
      <x:c r="E15" s="125" t="inlineStr">
        <x:is>
          <x:t xml:space="preserve">package</x:t>
        </x:is>
      </x:c>
      <x:c r="F15" s="125" t="inlineStr">
        <x:is>
          <x:t xml:space="preserve">browser</x:t>
        </x:is>
      </x:c>
      <x:c r="G15" s="125" t="inlineStr">
        <x:is>
          <x:t xml:space="preserve">tests/components/switch/behavior.spec.ts</x:t>
        </x:is>
      </x:c>
      <x:c r="H15" s="125" t="inlineStr">
        <x:is>
          <x:t xml:space="preserve">tested</x:t>
        </x:is>
      </x:c>
      <x:c r="I15" s="125" t="inlineStr">
        <x:is>
          <x:t xml:space="preserve">no</x:t>
        </x:is>
      </x:c>
      <x:c r="J15" s="141" t="n">
        <x:v>46282</x:v>
      </x:c>
      <x:c r="K15" s="138" t="n"/>
      <x:c r="L15" s="125" t="n">
        <x:v>1</x:v>
      </x:c>
      <x:c r="M15" s="125" t="n">
        <x:f>IF(OR(AND(I15="yes",H15="verified"),AND(I15="no",OR(H15="tested",H15="verified")),AND(H15="not applicable",K15&lt;&gt;"")),1,0)</x:f>
        <x:v>1</x:v>
      </x:c>
    </x:row>
    <x:row r="16" s="127" customFormat="1" ht="42" customHeight="1">
      <x:c r="A16" s="125" t="inlineStr">
        <x:is>
          <x:t xml:space="preserve">SW-08</x:t>
        </x:is>
      </x:c>
      <x:c r="B16" s="125" t="inlineStr">
        <x:is>
          <x:t xml:space="preserve">Keyboard</x:t>
        </x:is>
      </x:c>
      <x:c r="C16" s="125" t="inlineStr">
        <x:is>
          <x:t xml:space="preserve">Root</x:t>
        </x:is>
      </x:c>
      <x:c r="D16" s="125" t="inlineStr">
        <x:is>
          <x:t xml:space="preserve">Space and Enter toggle exactly once while native focus remains on Root or compound Control.</x:t>
        </x:is>
      </x:c>
      <x:c r="E16" s="125" t="inlineStr">
        <x:is>
          <x:t xml:space="preserve">package</x:t>
        </x:is>
      </x:c>
      <x:c r="F16" s="125" t="inlineStr">
        <x:is>
          <x:t xml:space="preserve">browser</x:t>
        </x:is>
      </x:c>
      <x:c r="G16" s="125" t="inlineStr">
        <x:is>
          <x:t xml:space="preserve">tests/components/switch/behavior.spec.ts</x:t>
        </x:is>
      </x:c>
      <x:c r="H16" s="125" t="inlineStr">
        <x:is>
          <x:t xml:space="preserve">tested</x:t>
        </x:is>
      </x:c>
      <x:c r="I16" s="125" t="inlineStr">
        <x:is>
          <x:t xml:space="preserve">no</x:t>
        </x:is>
      </x:c>
      <x:c r="J16" s="141" t="n">
        <x:v>46282</x:v>
      </x:c>
      <x:c r="K16" s="138" t="n"/>
      <x:c r="L16" s="125" t="n">
        <x:v>1</x:v>
      </x:c>
      <x:c r="M16" s="125" t="n">
        <x:f>IF(OR(AND(I16="yes",H16="verified"),AND(I16="no",OR(H16="tested",H16="verified")),AND(H16="not applicable",K16&lt;&gt;"")),1,0)</x:f>
        <x:v>1</x:v>
      </x:c>
    </x:row>
    <x:row r="17" s="127" customFormat="1" ht="42" customHeight="1">
      <x:c r="A17" s="125" t="inlineStr">
        <x:is>
          <x:t xml:space="preserve">SW-09</x:t>
        </x:is>
      </x:c>
      <x:c r="B17" s="125" t="inlineStr">
        <x:is>
          <x:t xml:space="preserve">Ownership</x:t>
        </x:is>
      </x:c>
      <x:c r="C17" s="125" t="inlineStr">
        <x:is>
          <x:t xml:space="preserve">Root</x:t>
        </x:is>
      </x:c>
      <x:c r="D17" s="125" t="inlineStr">
        <x:is>
          <x:t xml:space="preserve">Controlled, uncontrolled, useSwitch and RootProvider ownership expose the same boolean visuals and change behavior.</x:t>
        </x:is>
      </x:c>
      <x:c r="E17" s="125" t="inlineStr">
        <x:is>
          <x:t xml:space="preserve">package</x:t>
        </x:is>
      </x:c>
      <x:c r="F17" s="125" t="inlineStr">
        <x:is>
          <x:t xml:space="preserve">component</x:t>
        </x:is>
      </x:c>
      <x:c r="G17" s="125" t="inlineStr">
        <x:is>
          <x:t xml:space="preserve">../test/components/switch/switch.test.tsx; tests/components/switch/behavior.spec.ts</x:t>
        </x:is>
      </x:c>
      <x:c r="H17" s="125" t="inlineStr">
        <x:is>
          <x:t xml:space="preserve">tested</x:t>
        </x:is>
      </x:c>
      <x:c r="I17" s="125" t="inlineStr">
        <x:is>
          <x:t xml:space="preserve">no</x:t>
        </x:is>
      </x:c>
      <x:c r="J17" s="141" t="n">
        <x:v>46282</x:v>
      </x:c>
      <x:c r="L17" s="125" t="n">
        <x:v>1</x:v>
      </x:c>
      <x:c r="M17" s="125" t="n">
        <x:f>IF(OR(AND(I17="yes",H17="verified"),AND(I17="no",OR(H17="tested",H17="verified")),AND(H17="not applicable",K17&lt;&gt;"")),1,0)</x:f>
        <x:v>1</x:v>
      </x:c>
    </x:row>
    <x:row r="18" s="127" customFormat="1" ht="42" customHeight="1">
      <x:c r="A18" s="125" t="inlineStr">
        <x:is>
          <x:t xml:space="preserve">SW-10</x:t>
        </x:is>
      </x:c>
      <x:c r="B18" s="125" t="inlineStr">
        <x:is>
          <x:t xml:space="preserve">States</x:t>
        </x:is>
      </x:c>
      <x:c r="C18" s="125" t="inlineStr">
        <x:is>
          <x:t xml:space="preserve">Root/Thumb</x:t>
        </x:is>
      </x:c>
      <x:c r="D18" s="125" t="inlineStr">
        <x:is>
          <x:t xml:space="preserve">Disabled, required, invalid and read-only attributes propagate to multipart output with distinct behavior and paint.</x:t>
        </x:is>
      </x:c>
      <x:c r="E18" s="125" t="inlineStr">
        <x:is>
          <x:t xml:space="preserve">package</x:t>
        </x:is>
      </x:c>
      <x:c r="F18" s="125" t="inlineStr">
        <x:is>
          <x:t xml:space="preserve">browser</x:t>
        </x:is>
      </x:c>
      <x:c r="G18" s="125" t="inlineStr">
        <x:is>
          <x:t xml:space="preserve">../test/components/switch/switch.test.tsx; tests/components/switch/behavior.spec.ts</x:t>
        </x:is>
      </x:c>
      <x:c r="H18" s="125" t="inlineStr">
        <x:is>
          <x:t xml:space="preserve">tested</x:t>
        </x:is>
      </x:c>
      <x:c r="I18" s="125" t="inlineStr">
        <x:is>
          <x:t xml:space="preserve">no</x:t>
        </x:is>
      </x:c>
      <x:c r="J18" s="141" t="n">
        <x:v>46282</x:v>
      </x:c>
      <x:c r="L18" s="125" t="n">
        <x:v>1</x:v>
      </x:c>
      <x:c r="M18" s="125" t="n">
        <x:f>IF(OR(AND(I18="yes",H18="verified"),AND(I18="no",OR(H18="tested",H18="verified")),AND(H18="not applicable",K18&lt;&gt;"")),1,0)</x:f>
        <x:v>1</x:v>
      </x:c>
    </x:row>
    <x:row r="19" s="127" customFormat="1" ht="42" customHeight="1">
      <x:c r="A19" s="125" t="inlineStr">
        <x:is>
          <x:t xml:space="preserve">SW-11</x:t>
        </x:is>
      </x:c>
      <x:c r="B19" s="125" t="inlineStr">
        <x:is>
          <x:t xml:space="preserve">Read only</x:t>
        </x:is>
      </x:c>
      <x:c r="C19" s="125" t="inlineStr">
        <x:is>
          <x:t xml:space="preserve">Root/Thumb</x:t>
        </x:is>
      </x:c>
      <x:c r="D19" s="125" t="inlineStr">
        <x:is>
          <x:t xml:space="preserve">Read-only remains focusable and submitted, preserves checked-state clarity, and cannot mutate or emit checked changes.</x:t>
        </x:is>
      </x:c>
      <x:c r="E19" s="125" t="inlineStr">
        <x:is>
          <x:t xml:space="preserve">package</x:t>
        </x:is>
      </x:c>
      <x:c r="F19" s="125" t="inlineStr">
        <x:is>
          <x:t xml:space="preserve">component</x:t>
        </x:is>
      </x:c>
      <x:c r="G19" s="125" t="inlineStr">
        <x:is>
          <x:t xml:space="preserve">../test/components/switch/switch.test.tsx; tests/components/switch/visual.spec.ts</x:t>
        </x:is>
      </x:c>
      <x:c r="H19" s="125" t="inlineStr">
        <x:is>
          <x:t xml:space="preserve">tested</x:t>
        </x:is>
      </x:c>
      <x:c r="I19" s="125" t="inlineStr">
        <x:is>
          <x:t xml:space="preserve">no</x:t>
        </x:is>
      </x:c>
      <x:c r="J19" s="141" t="n">
        <x:v>46282</x:v>
      </x:c>
      <x:c r="L19" s="125" t="n">
        <x:v>1</x:v>
      </x:c>
      <x:c r="M19" s="125" t="n">
        <x:f>IF(OR(AND(I19="yes",H19="verified"),AND(I19="no",OR(H19="tested",H19="verified")),AND(H19="not applicable",K19&lt;&gt;"")),1,0)</x:f>
        <x:v>1</x:v>
      </x:c>
    </x:row>
    <x:row r="20" s="127" customFormat="1" ht="42" customHeight="1">
      <x:c r="A20" s="125" t="inlineStr">
        <x:is>
          <x:t xml:space="preserve">SW-12</x:t>
        </x:is>
      </x:c>
      <x:c r="B20" s="125" t="inlineStr">
        <x:is>
          <x:t xml:space="preserve">Forms</x:t>
        </x:is>
      </x:c>
      <x:c r="C20" s="125" t="inlineStr">
        <x:is>
          <x:t xml:space="preserve">Root</x:t>
        </x:is>
      </x:c>
      <x:c r="D20" s="125" t="inlineStr">
        <x:is>
          <x:t xml:space="preserve">Compound forms render exactly one explicit native input and support names, values, repeated names, required focus, reset, external forms, disabled fieldsets, refs and React Hook Form.</x:t>
        </x:is>
      </x:c>
      <x:c r="E20" s="125" t="inlineStr">
        <x:is>
          <x:t xml:space="preserve">package</x:t>
        </x:is>
      </x:c>
      <x:c r="F20" s="125" t="inlineStr">
        <x:is>
          <x:t xml:space="preserve">browser</x:t>
        </x:is>
      </x:c>
      <x:c r="G20" s="125" t="inlineStr">
        <x:is>
          <x:t xml:space="preserve">../test/components/switch/switch.test.tsx; tests/components/switch/behavior.spec.ts; src/components/switch/examples/HookFormExample.tsx</x:t>
        </x:is>
      </x:c>
      <x:c r="H20" s="125" t="inlineStr">
        <x:is>
          <x:t xml:space="preserve">tested</x:t>
        </x:is>
      </x:c>
      <x:c r="I20" s="125" t="inlineStr">
        <x:is>
          <x:t xml:space="preserve">no</x:t>
        </x:is>
      </x:c>
      <x:c r="J20" s="141" t="n">
        <x:v>46282</x:v>
      </x:c>
      <x:c r="L20" s="125" t="n">
        <x:v>1</x:v>
      </x:c>
      <x:c r="M20" s="125" t="n">
        <x:f>IF(OR(AND(I20="yes",H20="verified"),AND(I20="no",OR(H20="tested",H20="verified")),AND(H20="not applicable",K20&lt;&gt;"")),1,0)</x:f>
        <x:v>1</x:v>
      </x:c>
    </x:row>
    <x:row r="21" s="127" customFormat="1" ht="42" customHeight="1">
      <x:c r="A21" s="125" t="inlineStr">
        <x:is>
          <x:t xml:space="preserve">SW-13</x:t>
        </x:is>
      </x:c>
      <x:c r="B21" s="125" t="inlineStr">
        <x:is>
          <x:t xml:space="preserve">Composition</x:t>
        </x:is>
      </x:c>
      <x:c r="C21" s="125" t="inlineStr">
        <x:is>
          <x:t xml:space="preserve">Root/Thumb</x:t>
        </x:is>
      </x:c>
      <x:c r="D21" s="125" t="inlineStr">
        <x:is>
          <x:t xml:space="preserve">render/asChild preserve custom hosts, cancellation, merged handlers, refs, SSR hydration and cross-document activation without changing the public ref targets.</x:t>
        </x:is>
      </x:c>
      <x:c r="E21" s="125" t="inlineStr">
        <x:is>
          <x:t xml:space="preserve">package</x:t>
        </x:is>
      </x:c>
      <x:c r="F21" s="125" t="inlineStr">
        <x:is>
          <x:t xml:space="preserve">browser</x:t>
        </x:is>
      </x:c>
      <x:c r="G21" s="125" t="inlineStr">
        <x:is>
          <x:t xml:space="preserve">../test/components/switch/switch.test.tsx; ../test/package/switch.test.mjs</x:t>
        </x:is>
      </x:c>
      <x:c r="H21" s="125" t="inlineStr">
        <x:is>
          <x:t xml:space="preserve">tested</x:t>
        </x:is>
      </x:c>
      <x:c r="I21" s="125" t="inlineStr">
        <x:is>
          <x:t xml:space="preserve">no</x:t>
        </x:is>
      </x:c>
      <x:c r="J21" s="141" t="n">
        <x:v>46282</x:v>
      </x:c>
      <x:c r="L21" s="125" t="n">
        <x:v>1</x:v>
      </x:c>
      <x:c r="M21" s="125" t="n">
        <x:f>IF(OR(AND(I21="yes",H21="verified"),AND(I21="no",OR(H21="tested",H21="verified")),AND(H21="not applicable",K21&lt;&gt;"")),1,0)</x:f>
        <x:v>1</x:v>
      </x:c>
    </x:row>
    <x:row r="22" s="127" customFormat="1" ht="42" customHeight="1">
      <x:c r="A22" s="125" t="inlineStr">
        <x:is>
          <x:t xml:space="preserve">SW-14</x:t>
        </x:is>
      </x:c>
      <x:c r="B22" s="125" t="inlineStr">
        <x:is>
          <x:t xml:space="preserve">Accessibility</x:t>
        </x:is>
      </x:c>
      <x:c r="C22" s="125" t="inlineStr">
        <x:is>
          <x:t xml:space="preserve">Root/Thumb</x:t>
        </x:is>
      </x:c>
      <x:c r="D22" s="125" t="inlineStr">
        <x:is>
          <x:t xml:space="preserve">Label association, switch role, boolean checked state, decorative indicators, visible focus and axe checks pass.</x:t>
        </x:is>
      </x:c>
      <x:c r="E22" s="125" t="inlineStr">
        <x:is>
          <x:t xml:space="preserve">package</x:t>
        </x:is>
      </x:c>
      <x:c r="F22" s="125" t="inlineStr">
        <x:is>
          <x:t xml:space="preserve">axe</x:t>
        </x:is>
      </x:c>
      <x:c r="G22" s="125" t="inlineStr">
        <x:is>
          <x:t xml:space="preserve">tests/components/switch/behavior.spec.ts</x:t>
        </x:is>
      </x:c>
      <x:c r="H22" s="125" t="inlineStr">
        <x:is>
          <x:t xml:space="preserve">tested</x:t>
        </x:is>
      </x:c>
      <x:c r="I22" s="125" t="inlineStr">
        <x:is>
          <x:t xml:space="preserve">no</x:t>
        </x:is>
      </x:c>
      <x:c r="J22" s="141" t="n">
        <x:v>46282</x:v>
      </x:c>
      <x:c r="L22" s="125" t="n">
        <x:v>1</x:v>
      </x:c>
      <x:c r="M22" s="125" t="n">
        <x:f>IF(OR(AND(I22="yes",H22="verified"),AND(I22="no",OR(H22="tested",H22="verified")),AND(H22="not applicable",K22&lt;&gt;"")),1,0)</x:f>
        <x:v>1</x:v>
      </x:c>
    </x:row>
    <x:row r="23" s="127" customFormat="1" ht="42" customHeight="1">
      <x:c r="A23" s="125" t="inlineStr">
        <x:is>
          <x:t xml:space="preserve">SW-15</x:t>
        </x:is>
      </x:c>
      <x:c r="B23" s="125" t="inlineStr">
        <x:is>
          <x:t xml:space="preserve">Visual</x:t>
        </x:is>
      </x:c>
      <x:c r="C23" s="125" t="inlineStr">
        <x:is>
          <x:t xml:space="preserve">Switch</x:t>
        </x:is>
      </x:c>
      <x:c r="D23" s="125" t="inlineStr">
        <x:is>
          <x:t xml:space="preserve">Reviewed automated baselines cover defaults, sizes, composition, tones, indicators, forms, custom colors, light/dark, responsive narrow layout, RTL and forced colors; owner review remains unclaimed.</x:t>
        </x:is>
      </x:c>
      <x:c r="E23" s="125" t="inlineStr">
        <x:is>
          <x:t xml:space="preserve">package</x:t>
        </x:is>
      </x:c>
      <x:c r="F23" s="125" t="inlineStr">
        <x:is>
          <x:t xml:space="preserve">visual</x:t>
        </x:is>
      </x:c>
      <x:c r="G23" s="125" t="inlineStr">
        <x:is>
          <x:t xml:space="preserve">tests/components/switch/visual.spec.ts</x:t>
        </x:is>
      </x:c>
      <x:c r="H23" s="125" t="inlineStr">
        <x:is>
          <x:t xml:space="preserve">not started</x:t>
        </x:is>
      </x:c>
      <x:c r="I23" s="125" t="inlineStr">
        <x:is>
          <x:t xml:space="preserve">yes</x:t>
        </x:is>
      </x:c>
      <x:c r="J23" s="141" t="n">
        <x:v>46282</x:v>
      </x:c>
      <x:c r="K23" s="125" t="inlineStr">
        <x:is>
          <x:t xml:space="preserve">Generated, agent-inspected and regression-tested; owner review unclaimed</x:t>
        </x:is>
      </x:c>
      <x:c r="L23" s="125" t="n">
        <x:v>1</x:v>
      </x:c>
      <x:c r="M23" s="125" t="n">
        <x:f>IF(OR(AND(I23="yes",H23="verified"),AND(I23="no",OR(H23="tested",H23="verified")),AND(H23="not applicable",K23&lt;&gt;"")),1,0)</x:f>
        <x:v>0</x:v>
      </x:c>
    </x:row>
    <x:row r="24" s="127" customFormat="1" ht="42" customHeight="1">
      <x:c r="A24" s="125" t="inlineStr">
        <x:is>
          <x:t xml:space="preserve">SW-16</x:t>
        </x:is>
      </x:c>
      <x:c r="B24" s="125" t="inlineStr">
        <x:is>
          <x:t xml:space="preserve">Manual</x:t>
        </x:is>
      </x:c>
      <x:c r="C24" s="125" t="inlineStr">
        <x:is>
          <x:t xml:space="preserve">Switch</x:t>
        </x:is>
      </x:c>
      <x:c r="D24" s="125" t="inlineStr">
        <x:is>
          <x:t xml:space="preserve">A tester completes the screen-reader, physical-device and actual 200%/400% browser-zoom protocol; these human checks remain pending.</x:t>
        </x:is>
      </x:c>
      <x:c r="E24" s="125" t="inlineStr">
        <x:is>
          <x:t xml:space="preserve">package</x:t>
        </x:is>
      </x:c>
      <x:c r="F24" s="125" t="inlineStr">
        <x:is>
          <x:t xml:space="preserve">manual</x:t>
        </x:is>
      </x:c>
      <x:c r="G24" s="125" t="inlineStr">
        <x:is>
          <x:t xml:space="preserve">manual-tests/switch.md</x:t>
        </x:is>
      </x:c>
      <x:c r="H24" s="125" t="inlineStr">
        <x:is>
          <x:t xml:space="preserve">not started</x:t>
        </x:is>
      </x:c>
      <x:c r="I24" s="125" t="inlineStr">
        <x:is>
          <x:t xml:space="preserve">yes</x:t>
        </x:is>
      </x:c>
      <x:c r="J24" s="141" t="n">
        <x:v>46282</x:v>
      </x:c>
      <x:c r="K24" s="125" t="inlineStr">
        <x:is>
          <x:t xml:space="preserve">Screen-reader, physical-device and actual browser-zoom run unclaimed</x:t>
        </x:is>
      </x:c>
      <x:c r="L24" s="125" t="n">
        <x:v>1</x:v>
      </x:c>
      <x:c r="M24" s="125" t="n">
        <x:f>IF(OR(AND(I24="yes",H24="verified"),AND(I24="no",OR(H24="tested",H24="verified")),AND(H24="not applicable",K24&lt;&gt;"")),1,0)</x:f>
        <x:v>0</x:v>
      </x:c>
    </x:row>
    <x:row r="25" s="127" customFormat="1" ht="15" customHeight="1">
      <x:c r="A25" s="125" t="inlineStr">
        <x:is>
          <x:t xml:space="preserve">SW-17</x:t>
        </x:is>
      </x:c>
      <x:c r="B25" s="125" t="inlineStr">
        <x:is>
          <x:t xml:space="preserve">Docs</x:t>
        </x:is>
      </x:c>
      <x:c r="C25" s="125" t="inlineStr">
        <x:is>
          <x:t xml:space="preserve">Switch</x:t>
        </x:is>
      </x:c>
      <x:c r="D25" s="125" t="inlineStr">
        <x:is>
          <x:t xml:space="preserve">Public usage, API, anatomy, state ownership, forms, tokens, accessibility, customization, responsive behavior, composition and evidence are documented.</x:t>
        </x:is>
      </x:c>
      <x:c r="E25" s="125" t="inlineStr">
        <x:is>
          <x:t xml:space="preserve">package</x:t>
        </x:is>
      </x:c>
      <x:c r="F25" s="125" t="inlineStr">
        <x:is>
          <x:t xml:space="preserve">docs</x:t>
        </x:is>
      </x:c>
      <x:c r="G25" s="125" t="inlineStr">
        <x:is>
          <x:t xml:space="preserve">../docs/components/switch/README.md; src/components/switch/documentation.ts</x:t>
        </x:is>
      </x:c>
      <x:c r="H25" s="125" t="inlineStr">
        <x:is>
          <x:t xml:space="preserve">tested</x:t>
        </x:is>
      </x:c>
      <x:c r="I25" s="125" t="inlineStr">
        <x:is>
          <x:t xml:space="preserve">no</x:t>
        </x:is>
      </x:c>
      <x:c r="J25" s="141" t="n">
        <x:v>46282</x:v>
      </x:c>
      <x:c r="L25" s="125" t="n">
        <x:v>1</x:v>
      </x:c>
      <x:c r="M25" s="125" t="n">
        <x:f>IF(OR(AND(I25="yes",H25="verified"),AND(I25="no",OR(H25="tested",H25="verified")),AND(H25="not applicable",K25&lt;&gt;"")),1,0)</x:f>
        <x:v>1</x:v>
      </x:c>
    </x:row>
    <x:row r="26" s="127" customFormat="1" ht="15" customHeight="1">
      <x:c r="A26" s="125" t="inlineStr">
        <x:is>
          <x:t xml:space="preserve">SW-18</x:t>
        </x:is>
      </x:c>
      <x:c r="B26" s="125" t="inlineStr">
        <x:is>
          <x:t xml:space="preserve">Changelog</x:t>
        </x:is>
      </x:c>
      <x:c r="C26" s="125" t="inlineStr">
        <x:is>
          <x:t xml:space="preserve">Switch</x:t>
        </x:is>
      </x:c>
      <x:c r="D26" s="125" t="inlineStr">
        <x:is>
          <x:t xml:space="preserve">The component and package changelogs describe the consumer-visible multipart, responsive and state-paint additions.</x:t>
        </x:is>
      </x:c>
      <x:c r="E26" s="125" t="inlineStr">
        <x:is>
          <x:t xml:space="preserve">package</x:t>
        </x:is>
      </x:c>
      <x:c r="F26" s="125" t="inlineStr">
        <x:is>
          <x:t xml:space="preserve">docs</x:t>
        </x:is>
      </x:c>
      <x:c r="G26" s="125" t="inlineStr">
        <x:is>
          <x:t xml:space="preserve">../docs/components/switch/CHANGELOG.md; ../CHANGELOG.md</x:t>
        </x:is>
      </x:c>
      <x:c r="H26" s="125" t="inlineStr">
        <x:is>
          <x:t xml:space="preserve">tested</x:t>
        </x:is>
      </x:c>
      <x:c r="I26" s="125" t="inlineStr">
        <x:is>
          <x:t xml:space="preserve">no</x:t>
        </x:is>
      </x:c>
      <x:c r="J26" s="141" t="n">
        <x:v>46282</x:v>
      </x:c>
      <x:c r="L26" s="125" t="n">
        <x:v>1</x:v>
      </x:c>
      <x:c r="M26" s="125" t="n">
        <x:f>IF(OR(AND(I26="yes",H26="verified"),AND(I26="no",OR(H26="tested",H26="verified")),AND(H26="not applicable",K26&lt;&gt;"")),1,0)</x:f>
        <x:v>1</x:v>
      </x:c>
    </x:row>
    <x:row r="27" s="127" customFormat="1" ht="15" customHeight="1">
      <x:c r="A27" s="125" t="inlineStr">
        <x:is>
          <x:t xml:space="preserve">SW-19</x:t>
        </x:is>
      </x:c>
      <x:c r="B27" s="125" t="inlineStr">
        <x:is>
          <x:t xml:space="preserve">Consumer</x:t>
        </x:is>
      </x:c>
      <x:c r="C27" s="125" t="inlineStr">
        <x:is>
          <x:t xml:space="preserve">Switch</x:t>
        </x:is>
      </x:c>
      <x:c r="D27" s="125" t="inlineStr">
        <x:is>
          <x:t xml:space="preserve">Clean packed React 18 and React 19 consumers import the public root/subpath, render legacy and compound Switch, and verify one native input plus responsive attributes.</x:t>
        </x:is>
      </x:c>
      <x:c r="E27" s="125" t="inlineStr">
        <x:is>
          <x:t xml:space="preserve">consumer</x:t>
        </x:is>
      </x:c>
      <x:c r="F27" s="125" t="inlineStr">
        <x:is>
          <x:t xml:space="preserve">consumer</x:t>
        </x:is>
      </x:c>
      <x:c r="G27" s="125" t="inlineStr">
        <x:is>
          <x:t xml:space="preserve">../scripts/verify-consumers.mjs; ../test/package/switch.test.mjs</x:t>
        </x:is>
      </x:c>
      <x:c r="H27" s="125" t="inlineStr">
        <x:is>
          <x:t xml:space="preserve">tested</x:t>
        </x:is>
      </x:c>
      <x:c r="I27" s="125" t="inlineStr">
        <x:is>
          <x:t xml:space="preserve">no</x:t>
        </x:is>
      </x:c>
      <x:c r="J27" s="141" t="n">
        <x:v>46282</x:v>
      </x:c>
      <x:c r="L27" s="125" t="n">
        <x:v>1</x:v>
      </x:c>
      <x:c r="M27" s="125" t="n">
        <x:f>IF(OR(AND(I27="yes",H27="verified"),AND(I27="no",OR(H27="tested",H27="verified")),AND(H27="not applicable",K27&lt;&gt;"")),1,0)</x:f>
        <x:v>1</x:v>
      </x:c>
    </x:row>
    <x:row r="28" s="127" customFormat="1" ht="15" customHeight="1">
      <x:c r="A28" s="125" t="inlineStr">
        <x:is>
          <x:t xml:space="preserve">SW-20</x:t>
        </x:is>
      </x:c>
      <x:c r="B28" s="125" t="inlineStr">
        <x:is>
          <x:t xml:space="preserve">Package</x:t>
        </x:is>
      </x:c>
      <x:c r="C28" s="125" t="inlineStr">
        <x:is>
          <x:t xml:space="preserve">Switch</x:t>
        </x:is>
      </x:c>
      <x:c r="D28" s="125" t="inlineStr">
        <x:is>
          <x:t xml:space="preserve">Build, declarations, exports, SSR, modular CSS closure, exact Atom digest, focused packed tests and clean React 18/19 consumers pass; unrelated repository archive/app-consumer failures are recorded outside this row.</x:t>
        </x:is>
      </x:c>
      <x:c r="E28" s="125" t="inlineStr">
        <x:is>
          <x:t xml:space="preserve">package</x:t>
        </x:is>
      </x:c>
      <x:c r="F28" s="125" t="inlineStr">
        <x:is>
          <x:t xml:space="preserve">package</x:t>
        </x:is>
      </x:c>
      <x:c r="G28" s="125" t="inlineStr">
        <x:is>
          <x:t xml:space="preserve">../scripts/verify-consumers.mjs; ../scripts/verify-package.mjs; ../test/package/switch.test.mjs</x:t>
        </x:is>
      </x:c>
      <x:c r="H28" s="125" t="inlineStr">
        <x:is>
          <x:t xml:space="preserve">tested</x:t>
        </x:is>
      </x:c>
      <x:c r="I28" s="125" t="inlineStr">
        <x:is>
          <x:t xml:space="preserve">no</x:t>
        </x:is>
      </x:c>
      <x:c r="J28" s="141" t="n">
        <x:v>46282</x:v>
      </x:c>
      <x:c r="L28" s="125" t="n">
        <x:v>1</x:v>
      </x:c>
      <x:c r="M28" s="125" t="n">
        <x:f>IF(OR(AND(I28="yes",H28="verified"),AND(I28="no",OR(H28="tested",H28="verified")),AND(H28="not applicable",K28&lt;&gt;"")),1,0)</x:f>
        <x:v>1</x:v>
      </x:c>
    </x:row>
  </x:sheetData>
  <x:mergeCells>
    <x:mergeCell ref="A2:M2"/>
    <x:mergeCell ref="A1:M1"/>
  </x:mergeCells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Breadcrumb Evidence</x:t>
        </x:is>
      </x:c>
    </x:row>
    <x:row r="2" s="127" customFormat="1" ht="27.75" customHeight="1">
      <x:c r="A2" s="129" t="inlineStr">
        <x:is>
          <x:t xml:space="preserve">Assertion-level Atom-backed package, browser, visual, accessibility, documentation, Consumer, composition, and responsive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COUNTA(A9:A31)</x:f>
        <x:v>23</x:v>
      </x:c>
      <x:c r="D4" s="130" t="inlineStr">
        <x:is>
          <x:t xml:space="preserve">Resolved</x:t>
        </x:is>
      </x:c>
      <x:c r="E4" s="131" t="n">
        <x:f>SUM(M9:M31)</x:f>
        <x:v>18</x:v>
      </x:c>
      <x:c r="G4" s="130" t="inlineStr">
        <x:is>
          <x:t xml:space="preserve">Completion</x:t>
        </x:is>
      </x:c>
      <x:c r="H4" s="132" t="n">
        <x:f>IF(B4=0,0,E4/B4)</x:f>
        <x:v>0.782608695652174</x:v>
      </x:c>
      <x:c r="J4" s="130" t="inlineStr">
        <x:is>
          <x:t xml:space="preserve">Package gate</x:t>
        </x:is>
      </x:c>
      <x:c r="K4" s="131" t="str">
        <x:f>IF(COUNTIFS(E9:E31,"package",M9:M31,0)&gt;0,"open","complete")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IF(COUNTIFS(I9:I31,"yes",M9:M31,0)&gt;0,"open","complete")</x:f>
        <x:v>open</x:v>
      </x:c>
      <x:c r="D5" s="130" t="inlineStr">
        <x:is>
          <x:t xml:space="preserve">Consumer gate</x:t>
        </x:is>
      </x:c>
      <x:c r="E5" s="131" t="str">
        <x:f>IF(COUNTIFS(E9:E31,"consumer",M9:M31,0)&gt;0,"open","complete")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42" customHeight="1">
      <x:c r="A9" s="125" t="inlineStr">
        <x:is>
          <x:t xml:space="preserve">BC-01</x:t>
        </x:is>
      </x:c>
      <x:c r="B9" s="125" t="inlineStr">
        <x:is>
          <x:t xml:space="preserve">Ownership</x:t>
        </x:is>
      </x:c>
      <x:c r="C9" s="125" t="inlineStr">
        <x:is>
          <x:t xml:space="preserve">All eight parts</x:t>
        </x:is>
      </x:c>
      <x:c r="D9" s="142" t="inlineStr">
        <x:is>
          <x:t xml:space="preserve">Brick uses Atom Breadcrumb semantics and public Atom Button for Trigger. Atom 0.26.1 is a digest-locked local candidate, with native and composed landmark naming.</x:t>
        </x:is>
      </x:c>
      <x:c r="E9" s="125" t="inlineStr">
        <x:is>
          <x:t xml:space="preserve">package</x:t>
        </x:is>
      </x:c>
      <x:c r="F9" s="125" t="inlineStr">
        <x:is>
          <x:t xml:space="preserve">source</x:t>
        </x:is>
      </x:c>
      <x:c r="G9" s="125" t="inlineStr">
        <x:is>
          <x:t xml:space="preserve">../src/components/breadcrumb</x:t>
        </x:is>
      </x:c>
      <x:c r="H9" s="125" t="inlineStr">
        <x:is>
          <x:t xml:space="preserve">tested</x:t>
        </x:is>
      </x:c>
      <x:c r="I9" s="125" t="inlineStr">
        <x:is>
          <x:t xml:space="preserve">no</x:t>
        </x:is>
      </x:c>
      <x:c r="J9" s="141" t="n">
        <x:v>46279</x:v>
      </x:c>
      <x:c r="K9" s="143" t="inlineStr">
        <x:is>
          <x:t xml:space="preserve">Local candidate; automated checks only.</x:t>
        </x:is>
      </x:c>
      <x:c r="L9" s="125" t="n">
        <x:v>1</x:v>
      </x:c>
      <x:c r="M9" s="125" t="n">
        <x:f>IF(OR(AND(I9="yes",H9="verified"),AND(I9="no",OR(H9="tested",H9="verified")),AND(H9="not applicable",K9&lt;&gt;"")),1,0)</x:f>
        <x:v>1</x:v>
      </x:c>
    </x:row>
    <x:row r="10" s="127" customFormat="1" ht="42" customHeight="1">
      <x:c r="A10" s="125" t="inlineStr">
        <x:is>
          <x:t xml:space="preserve">BC-02</x:t>
        </x:is>
      </x:c>
      <x:c r="B10" s="125" t="inlineStr">
        <x:is>
          <x:t xml:space="preserve">Anatomy</x:t>
        </x:is>
      </x:c>
      <x:c r="C10" s="125" t="inlineStr">
        <x:is>
          <x:t xml:space="preserve">All parts</x:t>
        </x:is>
      </x:c>
      <x:c r="D10" s="142" t="inlineStr">
        <x:is>
          <x:t xml:space="preserve">Eight parts preserve nav, ol, li, native links, optional linked current Page, hidden separators, Ellipsis and a native button Trigger.</x:t>
        </x:is>
      </x:c>
      <x:c r="E10" s="125" t="inlineStr">
        <x:is>
          <x:t xml:space="preserve">package</x:t>
        </x:is>
      </x:c>
      <x:c r="F10" s="125" t="inlineStr">
        <x:is>
          <x:t xml:space="preserve">component</x:t>
        </x:is>
      </x:c>
      <x:c r="G10" s="125" t="inlineStr">
        <x:is>
          <x:t xml:space="preserve">../test/components/breadcrumb/breadcrumb.test.tsx</x:t>
        </x:is>
      </x:c>
      <x:c r="H10" s="125" t="inlineStr">
        <x:is>
          <x:t xml:space="preserve">tested</x:t>
        </x:is>
      </x:c>
      <x:c r="I10" s="125" t="inlineStr">
        <x:is>
          <x:t xml:space="preserve">no</x:t>
        </x:is>
      </x:c>
      <x:c r="J10" s="141" t="n">
        <x:v>46279</x:v>
      </x:c>
      <x:c r="K10" s="143" t="inlineStr">
        <x:is>
          <x:t xml:space="preserve">Local candidate; automated checks only.</x:t>
        </x:is>
      </x:c>
      <x:c r="L10" s="125" t="n">
        <x:v>1</x:v>
      </x:c>
      <x:c r="M10" s="125" t="n">
        <x:f>IF(OR(AND(I10="yes",H10="verified"),AND(I10="no",OR(H10="tested",H10="verified")),AND(H10="not applicable",K10&lt;&gt;"")),1,0)</x:f>
        <x:v>1</x:v>
      </x:c>
    </x:row>
    <x:row r="11" s="127" customFormat="1" ht="42" customHeight="1">
      <x:c r="A11" s="125" t="inlineStr">
        <x:is>
          <x:t xml:space="preserve">BC-03</x:t>
        </x:is>
      </x:c>
      <x:c r="B11" s="125" t="inlineStr">
        <x:is>
          <x:t xml:space="preserve">Exports</x:t>
        </x:is>
      </x:c>
      <x:c r="C11" s="125" t="inlineStr">
        <x:is>
          <x:t xml:space="preserve">Breadcrumb</x:t>
        </x:is>
      </x:c>
      <x:c r="D11" s="142" t="inlineStr">
        <x:is>
          <x:t xml:space="preserve">Eight-part namespace, named parts, types, root and breadcrumb subpath retain matching runtime identities.</x:t>
        </x:is>
      </x:c>
      <x:c r="E11" s="125" t="inlineStr">
        <x:is>
          <x:t xml:space="preserve">package</x:t>
        </x:is>
      </x:c>
      <x:c r="F11" s="125" t="inlineStr">
        <x:is>
          <x:t xml:space="preserve">package</x:t>
        </x:is>
      </x:c>
      <x:c r="G11" s="125" t="inlineStr">
        <x:is>
          <x:t xml:space="preserve">../test/package/breadcrumb.test.mjs</x:t>
        </x:is>
      </x:c>
      <x:c r="H11" s="125" t="inlineStr">
        <x:is>
          <x:t xml:space="preserve">tested</x:t>
        </x:is>
      </x:c>
      <x:c r="I11" s="125" t="inlineStr">
        <x:is>
          <x:t xml:space="preserve">no</x:t>
        </x:is>
      </x:c>
      <x:c r="J11" s="141" t="n">
        <x:v>46279</x:v>
      </x:c>
      <x:c r="K11" s="143" t="inlineStr">
        <x:is>
          <x:t xml:space="preserve">Local candidate; automated checks only.</x:t>
        </x:is>
      </x:c>
      <x:c r="L11" s="125" t="n">
        <x:v>1</x:v>
      </x:c>
      <x:c r="M11" s="125" t="n">
        <x:f>IF(OR(AND(I11="yes",H11="verified"),AND(I11="no",OR(H11="tested",H11="verified")),AND(H11="not applicable",K11&lt;&gt;"")),1,0)</x:f>
        <x:v>1</x:v>
      </x:c>
    </x:row>
    <x:row r="12" s="127" customFormat="1" ht="42" customHeight="1">
      <x:c r="A12" s="125" t="inlineStr">
        <x:is>
          <x:t xml:space="preserve">BC-04</x:t>
        </x:is>
      </x:c>
      <x:c r="B12" s="125" t="inlineStr">
        <x:is>
          <x:t xml:space="preserve">Types</x:t>
        </x:is>
      </x:c>
      <x:c r="C12" s="125" t="inlineStr">
        <x:is>
          <x:t xml:space="preserve">All parts</x:t>
        </x:is>
      </x:c>
      <x:c r="D12" s="142" t="inlineStr">
        <x:is>
          <x:t xml:space="preserve">Responsive sm/md/lg size and plain/underline/subtle variants, seven tones, native naming and composition type-check. Trigger rejects destination and loading props.</x:t>
        </x:is>
      </x:c>
      <x:c r="E12" s="125" t="inlineStr">
        <x:is>
          <x:t xml:space="preserve">package</x:t>
        </x:is>
      </x:c>
      <x:c r="F12" s="125" t="inlineStr">
        <x:is>
          <x:t xml:space="preserve">types</x:t>
        </x:is>
      </x:c>
      <x:c r="G12" s="125" t="inlineStr">
        <x:is>
          <x:t xml:space="preserve">../test/types/components/breadcrumb.test.ts</x:t>
        </x:is>
      </x:c>
      <x:c r="H12" s="125" t="inlineStr">
        <x:is>
          <x:t xml:space="preserve">tested</x:t>
        </x:is>
      </x:c>
      <x:c r="I12" s="125" t="inlineStr">
        <x:is>
          <x:t xml:space="preserve">no</x:t>
        </x:is>
      </x:c>
      <x:c r="J12" s="141" t="n">
        <x:v>46279</x:v>
      </x:c>
      <x:c r="K12" s="143" t="inlineStr">
        <x:is>
          <x:t xml:space="preserve">Local candidate; automated checks only.</x:t>
        </x:is>
      </x:c>
      <x:c r="L12" s="125" t="n">
        <x:v>1</x:v>
      </x:c>
      <x:c r="M12" s="125" t="n">
        <x:f>IF(OR(AND(I12="yes",H12="verified"),AND(I12="no",OR(H12="tested",H12="verified")),AND(H12="not applicable",K12&lt;&gt;"")),1,0)</x:f>
        <x:v>1</x:v>
      </x:c>
    </x:row>
    <x:row r="13" s="127" customFormat="1" ht="42" customHeight="1">
      <x:c r="A13" s="125" t="inlineStr">
        <x:is>
          <x:t xml:space="preserve">BC-05</x:t>
        </x:is>
      </x:c>
      <x:c r="B13" s="125" t="inlineStr">
        <x:is>
          <x:t xml:space="preserve">CSS</x:t>
        </x:is>
      </x:c>
      <x:c r="C13" s="125" t="inlineStr">
        <x:is>
          <x:t xml:space="preserve">All parts</x:t>
        </x:is>
      </x:c>
      <x:c r="D13" s="142" t="inlineStr">
        <x:is>
          <x:t xml:space="preserve">Modular CSS includes Icon artwork and direction styles, all responsive recipes, semantic tones, local overrides, link spacing, focus and forced-color rules.</x:t>
        </x:is>
      </x:c>
      <x:c r="E13" s="125" t="inlineStr">
        <x:is>
          <x:t xml:space="preserve">package</x:t>
        </x:is>
      </x:c>
      <x:c r="F13" s="125" t="inlineStr">
        <x:is>
          <x:t xml:space="preserve">css</x:t>
        </x:is>
      </x:c>
      <x:c r="G13" s="125" t="inlineStr">
        <x:is>
          <x:t xml:space="preserve">../src/components/breadcrumb/breadcrumb.css</x:t>
        </x:is>
      </x:c>
      <x:c r="H13" s="125" t="inlineStr">
        <x:is>
          <x:t xml:space="preserve">tested</x:t>
        </x:is>
      </x:c>
      <x:c r="I13" s="125" t="inlineStr">
        <x:is>
          <x:t xml:space="preserve">no</x:t>
        </x:is>
      </x:c>
      <x:c r="J13" s="141" t="n">
        <x:v>46279</x:v>
      </x:c>
      <x:c r="K13" s="143" t="inlineStr">
        <x:is>
          <x:t xml:space="preserve">Local candidate; automated checks only.</x:t>
        </x:is>
      </x:c>
      <x:c r="L13" s="125" t="n">
        <x:v>1</x:v>
      </x:c>
      <x:c r="M13" s="125" t="n">
        <x:f>IF(OR(AND(I13="yes",H13="verified"),AND(I13="no",OR(H13="tested",H13="verified")),AND(H13="not applicable",K13&lt;&gt;"")),1,0)</x:f>
        <x:v>1</x:v>
      </x:c>
    </x:row>
    <x:row r="14" s="127" customFormat="1" ht="42" customHeight="1">
      <x:c r="A14" s="125" t="inlineStr">
        <x:is>
          <x:t xml:space="preserve">BC-06</x:t>
        </x:is>
      </x:c>
      <x:c r="B14" s="125" t="inlineStr">
        <x:is>
          <x:t xml:space="preserve">Defaults</x:t>
        </x:is>
      </x:c>
      <x:c r="C14" s="125" t="inlineStr">
        <x:is>
          <x:t xml:space="preserve">Root/Link/Page</x:t>
        </x:is>
      </x:c>
      <x:c r="D14" s="142" t="inlineStr">
        <x:is>
          <x:t xml:space="preserve">Default md/plain/neutral uses regular current-page weight and directional chevrons. Plain remains undecorated on interaction.</x:t>
        </x:is>
      </x:c>
      <x:c r="E14" s="125" t="inlineStr">
        <x:is>
          <x:t xml:space="preserve">package</x:t>
        </x:is>
      </x:c>
      <x:c r="F14" s="125" t="inlineStr">
        <x:is>
          <x:t xml:space="preserve">browser</x:t>
        </x:is>
      </x:c>
      <x:c r="G14" s="125" t="inlineStr">
        <x:is>
          <x:t xml:space="preserve">tests/components/breadcrumb/behavior.spec.ts</x:t>
        </x:is>
      </x:c>
      <x:c r="H14" s="125" t="inlineStr">
        <x:is>
          <x:t xml:space="preserve">tested</x:t>
        </x:is>
      </x:c>
      <x:c r="I14" s="125" t="inlineStr">
        <x:is>
          <x:t xml:space="preserve">no</x:t>
        </x:is>
      </x:c>
      <x:c r="J14" s="141" t="n">
        <x:v>46279</x:v>
      </x:c>
      <x:c r="K14" s="143" t="inlineStr">
        <x:is>
          <x:t xml:space="preserve">Local candidate; automated checks only.</x:t>
        </x:is>
      </x:c>
      <x:c r="L14" s="125" t="n">
        <x:v>1</x:v>
      </x:c>
      <x:c r="M14" s="125" t="n">
        <x:f>IF(OR(AND(I14="yes",H14="verified"),AND(I14="no",OR(H14="tested",H14="verified")),AND(H14="not applicable",K14&lt;&gt;"")),1,0)</x:f>
        <x:v>1</x:v>
      </x:c>
    </x:row>
    <x:row r="15" s="127" customFormat="1" ht="42" customHeight="1">
      <x:c r="A15" s="125" t="inlineStr">
        <x:is>
          <x:t xml:space="preserve">BC-07</x:t>
        </x:is>
      </x:c>
      <x:c r="B15" s="125" t="inlineStr">
        <x:is>
          <x:t xml:space="preserve">Variants</x:t>
        </x:is>
      </x:c>
      <x:c r="C15" s="125" t="inlineStr">
        <x:is>
          <x:t xml:space="preserve">Root/Link</x:t>
        </x:is>
      </x:c>
      <x:c r="D15" s="142" t="inlineStr">
        <x:is>
          <x:t xml:space="preserve">Plain stays undecorated, underline persists and subtle underlines on interaction. Trigger decoration is independent.</x:t>
        </x:is>
      </x:c>
      <x:c r="E15" s="125" t="inlineStr">
        <x:is>
          <x:t xml:space="preserve">package</x:t>
        </x:is>
      </x:c>
      <x:c r="F15" s="125" t="inlineStr">
        <x:is>
          <x:t xml:space="preserve">visual</x:t>
        </x:is>
      </x:c>
      <x:c r="G15" s="125" t="inlineStr">
        <x:is>
          <x:t xml:space="preserve">tests/components/breadcrumb/visual.spec.ts</x:t>
        </x:is>
      </x:c>
      <x:c r="H15" s="125" t="inlineStr">
        <x:is>
          <x:t xml:space="preserve">tested</x:t>
        </x:is>
      </x:c>
      <x:c r="I15" s="125" t="inlineStr">
        <x:is>
          <x:t xml:space="preserve">yes</x:t>
        </x:is>
      </x:c>
      <x:c r="J15" s="141" t="n">
        <x:v>46279</x:v>
      </x:c>
      <x:c r="K15" s="143" t="inlineStr">
        <x:is>
          <x:t xml:space="preserve">Automated/agent visual review; human qualification remains open.</x:t>
        </x:is>
      </x:c>
      <x:c r="L15" s="125" t="n">
        <x:v>1</x:v>
      </x:c>
      <x:c r="M15" s="125" t="n">
        <x:f>IF(OR(AND(I15="yes",H15="verified"),AND(I15="no",OR(H15="tested",H15="verified")),AND(H15="not applicable",K15&lt;&gt;"")),1,0)</x:f>
        <x:v>0</x:v>
      </x:c>
    </x:row>
    <x:row r="16" s="127" customFormat="1" ht="42" customHeight="1">
      <x:c r="A16" s="125" t="inlineStr">
        <x:is>
          <x:t xml:space="preserve">BC-08</x:t>
        </x:is>
      </x:c>
      <x:c r="B16" s="125" t="inlineStr">
        <x:is>
          <x:t xml:space="preserve">Sizes</x:t>
        </x:is>
      </x:c>
      <x:c r="C16" s="125" t="inlineStr">
        <x:is>
          <x:t xml:space="preserve">Root</x:t>
        </x:is>
      </x:c>
      <x:c r="D16" s="142" t="inlineStr">
        <x:is>
          <x:t xml:space="preserve">Sizes use 12/14/16px type, 16/20/24px line height and 4/6/8px gaps. Targets are 24/32/44px with a coarse-pointer 44px floor.</x:t>
        </x:is>
      </x:c>
      <x:c r="E16" s="125" t="inlineStr">
        <x:is>
          <x:t xml:space="preserve">package</x:t>
        </x:is>
      </x:c>
      <x:c r="F16" s="125" t="inlineStr">
        <x:is>
          <x:t xml:space="preserve">visual</x:t>
        </x:is>
      </x:c>
      <x:c r="G16" s="125" t="inlineStr">
        <x:is>
          <x:t xml:space="preserve">tests/components/breadcrumb/visual.spec.ts</x:t>
        </x:is>
      </x:c>
      <x:c r="H16" s="125" t="inlineStr">
        <x:is>
          <x:t xml:space="preserve">tested</x:t>
        </x:is>
      </x:c>
      <x:c r="I16" s="125" t="inlineStr">
        <x:is>
          <x:t xml:space="preserve">yes</x:t>
        </x:is>
      </x:c>
      <x:c r="J16" s="141" t="n">
        <x:v>46279</x:v>
      </x:c>
      <x:c r="K16" s="143" t="inlineStr">
        <x:is>
          <x:t xml:space="preserve">Automated/agent visual review; human qualification remains open.</x:t>
        </x:is>
      </x:c>
      <x:c r="L16" s="125" t="n">
        <x:v>1</x:v>
      </x:c>
      <x:c r="M16" s="125" t="n">
        <x:f>IF(OR(AND(I16="yes",H16="verified"),AND(I16="no",OR(H16="tested",H16="verified")),AND(H16="not applicable",K16&lt;&gt;"")),1,0)</x:f>
        <x:v>0</x:v>
      </x:c>
    </x:row>
    <x:row r="17" s="127" customFormat="1" ht="42" customHeight="1">
      <x:c r="A17" s="125" t="inlineStr">
        <x:is>
          <x:t xml:space="preserve">BC-09</x:t>
        </x:is>
      </x:c>
      <x:c r="B17" s="125" t="inlineStr">
        <x:is>
          <x:t xml:space="preserve">Content</x:t>
        </x:is>
      </x:c>
      <x:c r="C17" s="125" t="inlineStr">
        <x:is>
          <x:t xml:space="preserve">Link/Page/Separator</x:t>
        </x:is>
      </x:c>
      <x:c r="D17" s="142" t="inlineStr">
        <x:is>
          <x:t xml:space="preserve">Custom or null artwork, 8px owned icon spacing, long localized names and nested RTL/LTR preserve reading order and containment.</x:t>
        </x:is>
      </x:c>
      <x:c r="E17" s="125" t="inlineStr">
        <x:is>
          <x:t xml:space="preserve">package</x:t>
        </x:is>
      </x:c>
      <x:c r="F17" s="125" t="inlineStr">
        <x:is>
          <x:t xml:space="preserve">browser</x:t>
        </x:is>
      </x:c>
      <x:c r="G17" s="125" t="inlineStr">
        <x:is>
          <x:t xml:space="preserve">tests/components/breadcrumb/behavior.spec.ts; tests/components/breadcrumb/visual.spec.ts</x:t>
        </x:is>
      </x:c>
      <x:c r="H17" s="125" t="inlineStr">
        <x:is>
          <x:t xml:space="preserve">tested</x:t>
        </x:is>
      </x:c>
      <x:c r="I17" s="125" t="inlineStr">
        <x:is>
          <x:t xml:space="preserve">no</x:t>
        </x:is>
      </x:c>
      <x:c r="J17" s="141" t="n">
        <x:v>46279</x:v>
      </x:c>
      <x:c r="K17" s="143" t="inlineStr">
        <x:is>
          <x:t xml:space="preserve">Local candidate; automated checks only.</x:t>
        </x:is>
      </x:c>
      <x:c r="L17" s="125" t="n">
        <x:v>1</x:v>
      </x:c>
      <x:c r="M17" s="125" t="n">
        <x:f>IF(OR(AND(I17="yes",H17="verified"),AND(I17="no",OR(H17="tested",H17="verified")),AND(H17="not applicable",K17&lt;&gt;"")),1,0)</x:f>
        <x:v>1</x:v>
      </x:c>
    </x:row>
    <x:row r="18" s="127" customFormat="1" ht="42" customHeight="1">
      <x:c r="A18" s="125" t="inlineStr">
        <x:is>
          <x:t xml:space="preserve">BC-10</x:t>
        </x:is>
      </x:c>
      <x:c r="B18" s="125" t="inlineStr">
        <x:is>
          <x:t xml:space="preserve">Current page</x:t>
        </x:is>
      </x:c>
      <x:c r="C18" s="125" t="inlineStr">
        <x:is>
          <x:t xml:space="preserve">Page</x:t>
        </x:is>
      </x:c>
      <x:c r="D18" s="142" t="inlineStr">
        <x:is>
          <x:t xml:space="preserve">Page preserves aria-current=page as inert text or an explicitly composed real anchor. Current anchors retain visible keyboard focus.</x:t>
        </x:is>
      </x:c>
      <x:c r="E18" s="125" t="inlineStr">
        <x:is>
          <x:t xml:space="preserve">package</x:t>
        </x:is>
      </x:c>
      <x:c r="F18" s="125" t="inlineStr">
        <x:is>
          <x:t xml:space="preserve">axe</x:t>
        </x:is>
      </x:c>
      <x:c r="G18" s="125" t="inlineStr">
        <x:is>
          <x:t xml:space="preserve">../test/components/breadcrumb/breadcrumb.test.tsx; tests/components/breadcrumb/behavior.spec.ts</x:t>
        </x:is>
      </x:c>
      <x:c r="H18" s="125" t="inlineStr">
        <x:is>
          <x:t xml:space="preserve">tested</x:t>
        </x:is>
      </x:c>
      <x:c r="I18" s="125" t="inlineStr">
        <x:is>
          <x:t xml:space="preserve">no</x:t>
        </x:is>
      </x:c>
      <x:c r="J18" s="141" t="n">
        <x:v>46279</x:v>
      </x:c>
      <x:c r="K18" s="143" t="inlineStr">
        <x:is>
          <x:t xml:space="preserve">Local candidate; automated checks only.</x:t>
        </x:is>
      </x:c>
      <x:c r="L18" s="125" t="n">
        <x:v>1</x:v>
      </x:c>
      <x:c r="M18" s="125" t="n">
        <x:f>IF(OR(AND(I18="yes",H18="verified"),AND(I18="no",OR(H18="tested",H18="verified")),AND(H18="not applicable",K18&lt;&gt;"")),1,0)</x:f>
        <x:v>1</x:v>
      </x:c>
    </x:row>
    <x:row r="19" s="127" customFormat="1" ht="42" customHeight="1">
      <x:c r="A19" s="125" t="inlineStr">
        <x:is>
          <x:t xml:space="preserve">BC-11</x:t>
        </x:is>
      </x:c>
      <x:c r="B19" s="125" t="inlineStr">
        <x:is>
          <x:t xml:space="preserve">Static collapse</x:t>
        </x:is>
      </x:c>
      <x:c r="C19" s="125" t="inlineStr">
        <x:is>
          <x:t xml:space="preserve">Ellipsis</x:t>
        </x:is>
      </x:c>
      <x:c r="D19" s="142" t="inlineStr">
        <x:is>
          <x:t xml:space="preserve">Static Ellipsis belongs inside Item. Named static artwork uses role=img; decorative artwork inside a named Trigger stays hidden.</x:t>
        </x:is>
      </x:c>
      <x:c r="E19" s="125" t="inlineStr">
        <x:is>
          <x:t xml:space="preserve">package</x:t>
        </x:is>
      </x:c>
      <x:c r="F19" s="125" t="inlineStr">
        <x:is>
          <x:t xml:space="preserve">component</x:t>
        </x:is>
      </x:c>
      <x:c r="G19" s="125" t="inlineStr">
        <x:is>
          <x:t xml:space="preserve">../test/components/breadcrumb/breadcrumb.test.tsx; tests/components/breadcrumb/behavior.spec.ts</x:t>
        </x:is>
      </x:c>
      <x:c r="H19" s="125" t="inlineStr">
        <x:is>
          <x:t xml:space="preserve">tested</x:t>
        </x:is>
      </x:c>
      <x:c r="I19" s="125" t="inlineStr">
        <x:is>
          <x:t xml:space="preserve">no</x:t>
        </x:is>
      </x:c>
      <x:c r="J19" s="141" t="n">
        <x:v>46279</x:v>
      </x:c>
      <x:c r="K19" s="143" t="inlineStr">
        <x:is>
          <x:t xml:space="preserve">Local candidate; automated checks only.</x:t>
        </x:is>
      </x:c>
      <x:c r="L19" s="125" t="n">
        <x:v>1</x:v>
      </x:c>
      <x:c r="M19" s="125" t="n">
        <x:f>IF(OR(AND(I19="yes",H19="verified"),AND(I19="no",OR(H19="tested",H19="verified")),AND(H19="not applicable",K19&lt;&gt;"")),1,0)</x:f>
        <x:v>1</x:v>
      </x:c>
    </x:row>
    <x:row r="20" s="127" customFormat="1" ht="42" customHeight="1">
      <x:c r="A20" s="125" t="inlineStr">
        <x:is>
          <x:t xml:space="preserve">BC-12</x:t>
        </x:is>
      </x:c>
      <x:c r="B20" s="125" t="inlineStr">
        <x:is>
          <x:t xml:space="preserve">Interactive collapse</x:t>
        </x:is>
      </x:c>
      <x:c r="C20" s="125" t="inlineStr">
        <x:is>
          <x:t xml:space="preserve">Trigger/Ellipsis</x:t>
        </x:is>
      </x:c>
      <x:c r="D20" s="142" t="inlineStr">
        <x:is>
          <x:t xml:space="preserve">Trigger composes ancestor and collapsed menus. Enter/Space opens, native destination selection dismisses, Escape restores focus, and inline expansion transfers focus to revealed content.</x:t>
        </x:is>
      </x:c>
      <x:c r="E20" s="125" t="inlineStr">
        <x:is>
          <x:t xml:space="preserve">package</x:t>
        </x:is>
      </x:c>
      <x:c r="F20" s="125" t="inlineStr">
        <x:is>
          <x:t xml:space="preserve">browser</x:t>
        </x:is>
      </x:c>
      <x:c r="G20" s="125" t="inlineStr">
        <x:is>
          <x:t xml:space="preserve">tests/components/breadcrumb/behavior.spec.ts</x:t>
        </x:is>
      </x:c>
      <x:c r="H20" s="125" t="inlineStr">
        <x:is>
          <x:t xml:space="preserve">tested</x:t>
        </x:is>
      </x:c>
      <x:c r="I20" s="125" t="inlineStr">
        <x:is>
          <x:t xml:space="preserve">no</x:t>
        </x:is>
      </x:c>
      <x:c r="J20" s="141" t="n">
        <x:v>46279</x:v>
      </x:c>
      <x:c r="K20" s="143" t="inlineStr">
        <x:is>
          <x:t xml:space="preserve">Local candidate; automated checks only.</x:t>
        </x:is>
      </x:c>
      <x:c r="L20" s="125" t="n">
        <x:v>1</x:v>
      </x:c>
      <x:c r="M20" s="125" t="n">
        <x:f>IF(OR(AND(I20="yes",H20="verified"),AND(I20="no",OR(H20="tested",H20="verified")),AND(H20="not applicable",K20&lt;&gt;"")),1,0)</x:f>
        <x:v>1</x:v>
      </x:c>
    </x:row>
    <x:row r="21" s="127" customFormat="1" ht="42" customHeight="1">
      <x:c r="A21" s="125" t="inlineStr">
        <x:is>
          <x:t xml:space="preserve">BC-13</x:t>
        </x:is>
      </x:c>
      <x:c r="B21" s="125" t="inlineStr">
        <x:is>
          <x:t xml:space="preserve">Native links</x:t>
        </x:is>
      </x:c>
      <x:c r="C21" s="125" t="inlineStr">
        <x:is>
          <x:t xml:space="preserve">Link</x:t>
        </x:is>
      </x:c>
      <x:c r="D21" s="142" t="inlineStr">
        <x:is>
          <x:t xml:space="preserve">Ancestor links preserve href, target, rel, download and native navigation. The illustrative route adapter preserves modified-click fallback.</x:t>
        </x:is>
      </x:c>
      <x:c r="E21" s="125" t="inlineStr">
        <x:is>
          <x:t xml:space="preserve">package</x:t>
        </x:is>
      </x:c>
      <x:c r="F21" s="125" t="inlineStr">
        <x:is>
          <x:t xml:space="preserve">browser</x:t>
        </x:is>
      </x:c>
      <x:c r="G21" s="125" t="inlineStr">
        <x:is>
          <x:t xml:space="preserve">tests/components/breadcrumb/behavior.spec.ts</x:t>
        </x:is>
      </x:c>
      <x:c r="H21" s="125" t="inlineStr">
        <x:is>
          <x:t xml:space="preserve">tested</x:t>
        </x:is>
      </x:c>
      <x:c r="I21" s="125" t="inlineStr">
        <x:is>
          <x:t xml:space="preserve">no</x:t>
        </x:is>
      </x:c>
      <x:c r="J21" s="141" t="n">
        <x:v>46279</x:v>
      </x:c>
      <x:c r="K21" s="143" t="inlineStr">
        <x:is>
          <x:t xml:space="preserve">Local candidate; automated checks only.</x:t>
        </x:is>
      </x:c>
      <x:c r="L21" s="125" t="n">
        <x:v>1</x:v>
      </x:c>
      <x:c r="M21" s="125" t="n">
        <x:f>IF(OR(AND(I21="yes",H21="verified"),AND(I21="no",OR(H21="tested",H21="verified")),AND(H21="not applicable",K21&lt;&gt;"")),1,0)</x:f>
        <x:v>1</x:v>
      </x:c>
    </x:row>
    <x:row r="22" s="127" customFormat="1" ht="42" customHeight="1">
      <x:c r="A22" s="125" t="inlineStr">
        <x:is>
          <x:t xml:space="preserve">BC-14</x:t>
        </x:is>
      </x:c>
      <x:c r="B22" s="125" t="inlineStr">
        <x:is>
          <x:t xml:space="preserve">Composition</x:t>
        </x:is>
      </x:c>
      <x:c r="C22" s="125" t="inlineStr">
        <x:is>
          <x:t xml:space="preserve">All parts</x:t>
        </x:is>
      </x:c>
      <x:c r="D22" s="142" t="inlineStr">
        <x:is>
          <x:t xml:space="preserve">Native and composed landmark names, refs, render/asChild hosts and slot classes survive composition without extra interactive wrappers.</x:t>
        </x:is>
      </x:c>
      <x:c r="E22" s="125" t="inlineStr">
        <x:is>
          <x:t xml:space="preserve">package</x:t>
        </x:is>
      </x:c>
      <x:c r="F22" s="125" t="inlineStr">
        <x:is>
          <x:t xml:space="preserve">browser</x:t>
        </x:is>
      </x:c>
      <x:c r="G22" s="125" t="inlineStr">
        <x:is>
          <x:t xml:space="preserve">../test/components/breadcrumb/breadcrumb.test.tsx; tests/components/breadcrumb/behavior.spec.ts</x:t>
        </x:is>
      </x:c>
      <x:c r="H22" s="125" t="inlineStr">
        <x:is>
          <x:t xml:space="preserve">tested</x:t>
        </x:is>
      </x:c>
      <x:c r="I22" s="125" t="inlineStr">
        <x:is>
          <x:t xml:space="preserve">no</x:t>
        </x:is>
      </x:c>
      <x:c r="J22" s="141" t="n">
        <x:v>46279</x:v>
      </x:c>
      <x:c r="K22" s="143" t="inlineStr">
        <x:is>
          <x:t xml:space="preserve">Local candidate; automated checks only.</x:t>
        </x:is>
      </x:c>
      <x:c r="L22" s="125" t="n">
        <x:v>1</x:v>
      </x:c>
      <x:c r="M22" s="125" t="n">
        <x:f>IF(OR(AND(I22="yes",H22="verified"),AND(I22="no",OR(H22="tested",H22="verified")),AND(H22="not applicable",K22&lt;&gt;"")),1,0)</x:f>
        <x:v>1</x:v>
      </x:c>
    </x:row>
    <x:row r="23" s="127" customFormat="1" ht="42" customHeight="1">
      <x:c r="A23" s="125" t="inlineStr">
        <x:is>
          <x:t xml:space="preserve">BC-15</x:t>
        </x:is>
      </x:c>
      <x:c r="B23" s="125" t="inlineStr">
        <x:is>
          <x:t xml:space="preserve">Responsive</x:t>
        </x:is>
      </x:c>
      <x:c r="C23" s="125" t="inlineStr">
        <x:is>
          <x:t xml:space="preserve">Root/List</x:t>
        </x:is>
      </x:c>
      <x:c r="D23" s="142" t="inlineStr">
        <x:is>
          <x:t xml:space="preserve">Responsive size and decoration change at shared breakpoints while local overrides survive. Long trails wrap and nested direction stays local; actual browser zoom is tracked separately.</x:t>
        </x:is>
      </x:c>
      <x:c r="E23" s="125" t="inlineStr">
        <x:is>
          <x:t xml:space="preserve">package</x:t>
        </x:is>
      </x:c>
      <x:c r="F23" s="125" t="inlineStr">
        <x:is>
          <x:t xml:space="preserve">browser</x:t>
        </x:is>
      </x:c>
      <x:c r="G23" s="125" t="inlineStr">
        <x:is>
          <x:t xml:space="preserve">tests/components/breadcrumb/behavior.spec.ts; tests/components/breadcrumb/visual.spec.ts</x:t>
        </x:is>
      </x:c>
      <x:c r="H23" s="125" t="inlineStr">
        <x:is>
          <x:t xml:space="preserve">tested</x:t>
        </x:is>
      </x:c>
      <x:c r="I23" s="125" t="inlineStr">
        <x:is>
          <x:t xml:space="preserve">no</x:t>
        </x:is>
      </x:c>
      <x:c r="J23" s="141" t="n">
        <x:v>46279</x:v>
      </x:c>
      <x:c r="K23" s="143" t="inlineStr">
        <x:is>
          <x:t xml:space="preserve">Local candidate; automated checks only.</x:t>
        </x:is>
      </x:c>
      <x:c r="L23" s="125" t="n">
        <x:v>1</x:v>
      </x:c>
      <x:c r="M23" s="125" t="n">
        <x:f>IF(OR(AND(I23="yes",H23="verified"),AND(I23="no",OR(H23="tested",H23="verified")),AND(H23="not applicable",K23&lt;&gt;"")),1,0)</x:f>
        <x:v>1</x:v>
      </x:c>
    </x:row>
    <x:row r="24" s="127" customFormat="1" ht="42" customHeight="1">
      <x:c r="A24" s="125" t="inlineStr">
        <x:is>
          <x:t xml:space="preserve">BC-16</x:t>
        </x:is>
      </x:c>
      <x:c r="B24" s="125" t="inlineStr">
        <x:is>
          <x:t xml:space="preserve">Accessibility</x:t>
        </x:is>
      </x:c>
      <x:c r="C24" s="125" t="inlineStr">
        <x:is>
          <x:t xml:space="preserve">All parts</x:t>
        </x:is>
      </x:c>
      <x:c r="D24" s="142" t="inlineStr">
        <x:is>
          <x:t xml:space="preserve">Named navigation, ordered hierarchy, current links, hidden separators, visible focus and automated axe checks pass on qualification and documentation routes.</x:t>
        </x:is>
      </x:c>
      <x:c r="E24" s="125" t="inlineStr">
        <x:is>
          <x:t xml:space="preserve">package</x:t>
        </x:is>
      </x:c>
      <x:c r="F24" s="125" t="inlineStr">
        <x:is>
          <x:t xml:space="preserve">axe</x:t>
        </x:is>
      </x:c>
      <x:c r="G24" s="125" t="inlineStr">
        <x:is>
          <x:t xml:space="preserve">tests/components/breadcrumb/behavior.spec.ts</x:t>
        </x:is>
      </x:c>
      <x:c r="H24" s="125" t="inlineStr">
        <x:is>
          <x:t xml:space="preserve">tested</x:t>
        </x:is>
      </x:c>
      <x:c r="I24" s="125" t="inlineStr">
        <x:is>
          <x:t xml:space="preserve">no</x:t>
        </x:is>
      </x:c>
      <x:c r="J24" s="141" t="n">
        <x:v>46279</x:v>
      </x:c>
      <x:c r="K24" s="143" t="inlineStr">
        <x:is>
          <x:t xml:space="preserve">Local candidate; automated checks only.</x:t>
        </x:is>
      </x:c>
      <x:c r="L24" s="125" t="n">
        <x:v>1</x:v>
      </x:c>
      <x:c r="M24" s="125" t="n">
        <x:f>IF(OR(AND(I24="yes",H24="verified"),AND(I24="no",OR(H24="tested",H24="verified")),AND(H24="not applicable",K24&lt;&gt;"")),1,0)</x:f>
        <x:v>1</x:v>
      </x:c>
    </x:row>
    <x:row r="25" s="127" customFormat="1" ht="15" customHeight="1">
      <x:c r="A25" s="125" t="inlineStr">
        <x:is>
          <x:t xml:space="preserve">BC-17</x:t>
        </x:is>
      </x:c>
      <x:c r="B25" s="125" t="inlineStr">
        <x:is>
          <x:t xml:space="preserve">Visual</x:t>
        </x:is>
      </x:c>
      <x:c r="C25" s="125" t="inlineStr">
        <x:is>
          <x:t xml:space="preserve">Breadcrumb</x:t>
        </x:is>
      </x:c>
      <x:c r="D25" s="142" t="inlineStr">
        <x:is>
          <x:t xml:space="preserve">Baselines cover defaults, three variants, sizes, icons, collapse, composition, dark appearance, mobile RTL, forced colors, current links and menus.</x:t>
        </x:is>
      </x:c>
      <x:c r="E25" s="125" t="inlineStr">
        <x:is>
          <x:t xml:space="preserve">package</x:t>
        </x:is>
      </x:c>
      <x:c r="F25" s="125" t="inlineStr">
        <x:is>
          <x:t xml:space="preserve">visual</x:t>
        </x:is>
      </x:c>
      <x:c r="G25" s="125" t="inlineStr">
        <x:is>
          <x:t xml:space="preserve">tests/components/breadcrumb/visual.spec.ts</x:t>
        </x:is>
      </x:c>
      <x:c r="H25" s="125" t="inlineStr">
        <x:is>
          <x:t xml:space="preserve">tested</x:t>
        </x:is>
      </x:c>
      <x:c r="I25" s="125" t="inlineStr">
        <x:is>
          <x:t xml:space="preserve">yes</x:t>
        </x:is>
      </x:c>
      <x:c r="J25" s="141" t="n">
        <x:v>46279</x:v>
      </x:c>
      <x:c r="K25" s="142" t="inlineStr">
        <x:is>
          <x:t xml:space="preserve">Automated/agent visual review; human qualification remains open.</x:t>
        </x:is>
      </x:c>
      <x:c r="L25" s="125" t="n">
        <x:v>1</x:v>
      </x:c>
      <x:c r="M25" s="125" t="n">
        <x:f>IF(OR(AND(I25="yes",H25="verified"),AND(I25="no",OR(H25="tested",H25="verified")),AND(H25="not applicable",K25&lt;&gt;"")),1,0)</x:f>
        <x:v>0</x:v>
      </x:c>
    </x:row>
    <x:row r="26" s="127" customFormat="1" ht="15" customHeight="1">
      <x:c r="A26" s="125" t="inlineStr">
        <x:is>
          <x:t xml:space="preserve">BC-18</x:t>
        </x:is>
      </x:c>
      <x:c r="B26" s="125" t="inlineStr">
        <x:is>
          <x:t xml:space="preserve">Manual</x:t>
        </x:is>
      </x:c>
      <x:c r="C26" s="125" t="inlineStr">
        <x:is>
          <x:t xml:space="preserve">Breadcrumb</x:t>
        </x:is>
      </x:c>
      <x:c r="D26" s="142" t="inlineStr">
        <x:is>
          <x:t xml:space="preserve">A human completes keyboard, screen-reader, actual 200%/400% zoom, physical touch, appearance and platform forced-color checks.</x:t>
        </x:is>
      </x:c>
      <x:c r="E26" s="125" t="inlineStr">
        <x:is>
          <x:t xml:space="preserve">package</x:t>
        </x:is>
      </x:c>
      <x:c r="F26" s="125" t="inlineStr">
        <x:is>
          <x:t xml:space="preserve">manual</x:t>
        </x:is>
      </x:c>
      <x:c r="G26" s="125" t="inlineStr">
        <x:is>
          <x:t xml:space="preserve">manual-tests/breadcrumb.md</x:t>
        </x:is>
      </x:c>
      <x:c r="H26" s="125" t="inlineStr">
        <x:is>
          <x:t xml:space="preserve">not started</x:t>
        </x:is>
      </x:c>
      <x:c r="I26" s="125" t="inlineStr">
        <x:is>
          <x:t xml:space="preserve">yes</x:t>
        </x:is>
      </x:c>
      <x:c r="J26" s="141" t="n"/>
      <x:c r="K26" s="142" t="inlineStr">
        <x:is>
          <x:t xml:space="preserve">Physical device, screen-reader and actual zoom runs are unperformed.</x:t>
        </x:is>
      </x:c>
      <x:c r="L26" s="125" t="n">
        <x:v>1</x:v>
      </x:c>
      <x:c r="M26" s="125" t="n">
        <x:f>IF(OR(AND(I26="yes",H26="verified"),AND(I26="no",OR(H26="tested",H26="verified")),AND(H26="not applicable",K26&lt;&gt;"")),1,0)</x:f>
        <x:v>0</x:v>
      </x:c>
    </x:row>
    <x:row r="27" s="127" customFormat="1" ht="15" customHeight="1">
      <x:c r="A27" s="125" t="inlineStr">
        <x:is>
          <x:t xml:space="preserve">BC-19</x:t>
        </x:is>
      </x:c>
      <x:c r="B27" s="125" t="inlineStr">
        <x:is>
          <x:t xml:space="preserve">Docs</x:t>
        </x:is>
      </x:c>
      <x:c r="C27" s="125" t="inlineStr">
        <x:is>
          <x:t xml:space="preserve">Breadcrumb</x:t>
        </x:is>
      </x:c>
      <x:c r="D27" s="142" t="inlineStr">
        <x:is>
          <x:t xml:space="preserve">Public docs and Agent Knowledge cover all eight parts, responsive recipes, semantic roles, migration, customization and menu/router composition.</x:t>
        </x:is>
      </x:c>
      <x:c r="E27" s="125" t="inlineStr">
        <x:is>
          <x:t xml:space="preserve">package</x:t>
        </x:is>
      </x:c>
      <x:c r="F27" s="125" t="inlineStr">
        <x:is>
          <x:t xml:space="preserve">docs</x:t>
        </x:is>
      </x:c>
      <x:c r="G27" s="125" t="inlineStr">
        <x:is>
          <x:t xml:space="preserve">../docs/components/breadcrumb/README.md</x:t>
        </x:is>
      </x:c>
      <x:c r="H27" s="125" t="inlineStr">
        <x:is>
          <x:t xml:space="preserve">tested</x:t>
        </x:is>
      </x:c>
      <x:c r="I27" s="125" t="inlineStr">
        <x:is>
          <x:t xml:space="preserve">no</x:t>
        </x:is>
      </x:c>
      <x:c r="J27" s="141" t="n">
        <x:v>46279</x:v>
      </x:c>
      <x:c r="K27" s="143" t="inlineStr">
        <x:is>
          <x:t xml:space="preserve">Local candidate; automated checks only.</x:t>
        </x:is>
      </x:c>
      <x:c r="L27" s="125" t="n">
        <x:v>1</x:v>
      </x:c>
      <x:c r="M27" s="125" t="n">
        <x:f>IF(OR(AND(I27="yes",H27="verified"),AND(I27="no",OR(H27="tested",H27="verified")),AND(H27="not applicable",K27&lt;&gt;"")),1,0)</x:f>
        <x:v>1</x:v>
      </x:c>
    </x:row>
    <x:row r="28" s="127" customFormat="1" ht="15" customHeight="1">
      <x:c r="A28" s="125" t="inlineStr">
        <x:is>
          <x:t xml:space="preserve">BC-20</x:t>
        </x:is>
      </x:c>
      <x:c r="B28" s="125" t="inlineStr">
        <x:is>
          <x:t xml:space="preserve">Changelog</x:t>
        </x:is>
      </x:c>
      <x:c r="C28" s="125" t="inlineStr">
        <x:is>
          <x:t xml:space="preserve">Breadcrumb</x:t>
        </x:is>
      </x:c>
      <x:c r="D28" s="142" t="inlineStr">
        <x:is>
          <x:t xml:space="preserve">Component and package changelogs describe the new API, visual defaults, native naming and compatibility changes.</x:t>
        </x:is>
      </x:c>
      <x:c r="E28" s="125" t="inlineStr">
        <x:is>
          <x:t xml:space="preserve">package</x:t>
        </x:is>
      </x:c>
      <x:c r="F28" s="125" t="inlineStr">
        <x:is>
          <x:t xml:space="preserve">docs</x:t>
        </x:is>
      </x:c>
      <x:c r="G28" s="125" t="inlineStr">
        <x:is>
          <x:t xml:space="preserve">../docs/components/breadcrumb/CHANGELOG.md; ../CHANGELOG.md</x:t>
        </x:is>
      </x:c>
      <x:c r="H28" s="125" t="inlineStr">
        <x:is>
          <x:t xml:space="preserve">tested</x:t>
        </x:is>
      </x:c>
      <x:c r="I28" s="125" t="inlineStr">
        <x:is>
          <x:t xml:space="preserve">no</x:t>
        </x:is>
      </x:c>
      <x:c r="J28" s="141" t="n">
        <x:v>46279</x:v>
      </x:c>
      <x:c r="K28" s="143" t="inlineStr">
        <x:is>
          <x:t xml:space="preserve">Local candidate; automated checks only.</x:t>
        </x:is>
      </x:c>
      <x:c r="L28" s="125" t="n">
        <x:v>1</x:v>
      </x:c>
      <x:c r="M28" s="125" t="n">
        <x:f>IF(OR(AND(I28="yes",H28="verified"),AND(I28="no",OR(H28="tested",H28="verified")),AND(H28="not applicable",K28&lt;&gt;"")),1,0)</x:f>
        <x:v>1</x:v>
      </x:c>
    </x:row>
    <x:row r="29" s="127" customFormat="1" ht="15" customHeight="1">
      <x:c r="A29" s="125" t="inlineStr">
        <x:is>
          <x:t xml:space="preserve">BC-21</x:t>
        </x:is>
      </x:c>
      <x:c r="B29" s="125" t="inlineStr">
        <x:is>
          <x:t xml:space="preserve">Playground</x:t>
        </x:is>
      </x:c>
      <x:c r="C29" s="125" t="inlineStr">
        <x:is>
          <x:t xml:space="preserve">Breadcrumb</x:t>
        </x:is>
      </x:c>
      <x:c r="D29" s="142" t="inlineStr">
        <x:is>
          <x:t xml:space="preserve">Documentation includes 15 copyable examples and eight part tables. The qualification route preserves nine ordered evidence scenarios.</x:t>
        </x:is>
      </x:c>
      <x:c r="E29" s="125" t="inlineStr">
        <x:is>
          <x:t xml:space="preserve">package</x:t>
        </x:is>
      </x:c>
      <x:c r="F29" s="125" t="inlineStr">
        <x:is>
          <x:t xml:space="preserve">playground</x:t>
        </x:is>
      </x:c>
      <x:c r="G29" s="125" t="inlineStr">
        <x:is>
          <x:t xml:space="preserve">src/components/breadcrumb/BreadcrumbPage.tsx</x:t>
        </x:is>
      </x:c>
      <x:c r="H29" s="125" t="inlineStr">
        <x:is>
          <x:t xml:space="preserve">tested</x:t>
        </x:is>
      </x:c>
      <x:c r="I29" s="125" t="inlineStr">
        <x:is>
          <x:t xml:space="preserve">no</x:t>
        </x:is>
      </x:c>
      <x:c r="J29" s="141" t="n">
        <x:v>46279</x:v>
      </x:c>
      <x:c r="K29" s="143" t="inlineStr">
        <x:is>
          <x:t xml:space="preserve">Local candidate; automated checks only.</x:t>
        </x:is>
      </x:c>
      <x:c r="L29" s="125" t="n">
        <x:v>1</x:v>
      </x:c>
      <x:c r="M29" s="125" t="n">
        <x:f>IF(OR(AND(I29="yes",H29="verified"),AND(I29="no",OR(H29="tested",H29="verified")),AND(H29="not applicable",K29&lt;&gt;"")),1,0)</x:f>
        <x:v>1</x:v>
      </x:c>
    </x:row>
    <x:row r="30" s="127" customFormat="1" ht="15" customHeight="1">
      <x:c r="A30" s="125" t="inlineStr">
        <x:is>
          <x:t xml:space="preserve">BC-22</x:t>
        </x:is>
      </x:c>
      <x:c r="B30" s="125" t="inlineStr">
        <x:is>
          <x:t xml:space="preserve">Consumer</x:t>
        </x:is>
      </x:c>
      <x:c r="C30" s="125" t="inlineStr">
        <x:is>
          <x:t xml:space="preserve">Breadcrumb</x:t>
        </x:is>
      </x:c>
      <x:c r="D30" s="142" t="inlineStr">
        <x:is>
          <x:t xml:space="preserve">The packed Consumer uses the public subpath, responsive native-named trail and a native ancestor menu with focus return.</x:t>
        </x:is>
      </x:c>
      <x:c r="E30" s="125" t="inlineStr">
        <x:is>
          <x:t xml:space="preserve">consumer</x:t>
        </x:is>
      </x:c>
      <x:c r="F30" s="125" t="inlineStr">
        <x:is>
          <x:t xml:space="preserve">consumer</x:t>
        </x:is>
      </x:c>
      <x:c r="G30" s="125" t="inlineStr">
        <x:is>
          <x:t xml:space="preserve">../apps/consumer/src/App.tsx; ../apps/consumer/tests/consumer.spec.ts</x:t>
        </x:is>
      </x:c>
      <x:c r="H30" s="125" t="inlineStr">
        <x:is>
          <x:t xml:space="preserve">tested</x:t>
        </x:is>
      </x:c>
      <x:c r="I30" s="125" t="inlineStr">
        <x:is>
          <x:t xml:space="preserve">no</x:t>
        </x:is>
      </x:c>
      <x:c r="J30" s="141" t="n">
        <x:v>46279</x:v>
      </x:c>
      <x:c r="K30" s="143" t="inlineStr">
        <x:is>
          <x:t xml:space="preserve">Four packed Breadcrumb checks passed on desktop and mobile Chromium.</x:t>
        </x:is>
      </x:c>
      <x:c r="L30" s="125" t="n">
        <x:v>1</x:v>
      </x:c>
      <x:c r="M30" s="125" t="n">
        <x:f>IF(OR(AND(I30="yes",H30="verified"),AND(I30="no",OR(H30="tested",H30="verified")),AND(H30="not applicable",K30&lt;&gt;"")),1,0)</x:f>
        <x:v>1</x:v>
      </x:c>
    </x:row>
    <x:row r="31" s="127" customFormat="1" ht="15" customHeight="1">
      <x:c r="A31" s="125" t="inlineStr">
        <x:is>
          <x:t xml:space="preserve">BC-23</x:t>
        </x:is>
      </x:c>
      <x:c r="B31" s="125" t="inlineStr">
        <x:is>
          <x:t xml:space="preserve">Package</x:t>
        </x:is>
      </x:c>
      <x:c r="C31" s="125" t="inlineStr">
        <x:is>
          <x:t xml:space="preserve">Breadcrumb</x:t>
        </x:is>
      </x:c>
      <x:c r="D31" s="142" t="inlineStr">
        <x:is>
          <x:t xml:space="preserve">Build, SSR, package exports, React 18/19 and packed Consumer qualification use recorded Atom and Brick archives. Full repository and manual qualification remain separate gates.</x:t>
        </x:is>
      </x:c>
      <x:c r="E31" s="125" t="inlineStr">
        <x:is>
          <x:t xml:space="preserve">package</x:t>
        </x:is>
      </x:c>
      <x:c r="F31" s="125" t="inlineStr">
        <x:is>
          <x:t xml:space="preserve">package</x:t>
        </x:is>
      </x:c>
      <x:c r="G31" s="125" t="inlineStr">
        <x:is>
          <x:t xml:space="preserve">../scripts/verify-package.mjs; ../scripts/verify-consumers.mjs</x:t>
        </x:is>
      </x:c>
      <x:c r="H31" s="125" t="inlineStr">
        <x:is>
          <x:t xml:space="preserve">partial</x:t>
        </x:is>
      </x:c>
      <x:c r="I31" s="125" t="inlineStr">
        <x:is>
          <x:t xml:space="preserve">no</x:t>
        </x:is>
      </x:c>
      <x:c r="J31" s="141" t="n">
        <x:v>46279</x:v>
      </x:c>
      <x:c r="K31" s="143" t="inlineStr">
        <x:is>
          <x:t xml:space="preserve">Repository gate blocked by unrelated component documentation. No release claim.</x:t>
        </x:is>
      </x:c>
      <x:c r="L31" s="125" t="n">
        <x:v>1</x:v>
      </x:c>
      <x:c r="M31" s="125" t="n">
        <x:f>IF(OR(AND(I31="yes",H31="verified"),AND(I31="no",OR(H31="tested",H31="verified")),AND(H31="not applicable",K31&lt;&gt;"")),1,0)</x:f>
        <x:v>0</x:v>
      </x:c>
    </x:row>
  </x:sheetData>
  <x:mergeCells>
    <x:mergeCell ref="A2:M2"/>
    <x:mergeCell ref="A1:M1"/>
  </x:mergeCells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Tabs Evidence</x:t>
        </x:is>
      </x:c>
    </x:row>
    <x:row r="2" s="127" customFormat="1" ht="27.75" customHeight="1">
      <x:c r="A2" s="129" t="inlineStr">
        <x:is>
          <x:t xml:space="preserve">Assertion-level Atom-backed package, keyboard, browser, visual, accessibility, documentation, Consumer, composition, and responsive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COUNTA(A9:A31)</x:f>
        <x:v>23</x:v>
      </x:c>
      <x:c r="D4" s="130" t="inlineStr">
        <x:is>
          <x:t xml:space="preserve">Resolved</x:t>
        </x:is>
      </x:c>
      <x:c r="E4" s="131" t="n">
        <x:f>SUM(M9:M31)</x:f>
        <x:v>21</x:v>
      </x:c>
      <x:c r="G4" s="130" t="inlineStr">
        <x:is>
          <x:t xml:space="preserve">Completion</x:t>
        </x:is>
      </x:c>
      <x:c r="H4" s="132" t="n">
        <x:f>IF(B4=0,0,E4/B4)</x:f>
        <x:v>0.9130434782608695</x:v>
      </x:c>
      <x:c r="J4" s="130" t="inlineStr">
        <x:is>
          <x:t xml:space="preserve">Package gate</x:t>
        </x:is>
      </x:c>
      <x:c r="K4" s="131" t="str">
        <x:f>IF(COUNTIFS(E9:E31,"package",M9:M31,0)&gt;0,"open","complete")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IF(COUNTIFS(I9:I31,"yes",M9:M31,0)&gt;0,"open","complete")</x:f>
        <x:v>open</x:v>
      </x:c>
      <x:c r="D5" s="130" t="inlineStr">
        <x:is>
          <x:t xml:space="preserve">Consumer gate</x:t>
        </x:is>
      </x:c>
      <x:c r="E5" s="131" t="str">
        <x:f>IF(COUNTIFS(E9:E31,"consumer",M9:M31,0)&gt;0,"open","complete")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42" customHeight="1">
      <x:c r="A9" s="125" t="inlineStr">
        <x:is>
          <x:t xml:space="preserve">TB-01</x:t>
        </x:is>
      </x:c>
      <x:c r="B9" s="125" t="inlineStr">
        <x:is>
          <x:t xml:space="preserve">Ownership</x:t>
        </x:is>
      </x:c>
      <x:c r="C9" s="125" t="inlineStr">
        <x:is>
          <x:t xml:space="preserve">All parts</x:t>
        </x:is>
      </x:c>
      <x:c r="D9" s="125" t="inlineStr">
        <x:is>
          <x:t xml:space="preserve">Local digest-locked Atom 0.26.1; unpublished.</x:t>
        </x:is>
      </x:c>
      <x:c r="E9" s="125" t="inlineStr">
        <x:is>
          <x:t xml:space="preserve">package</x:t>
        </x:is>
      </x:c>
      <x:c r="F9" s="125" t="inlineStr">
        <x:is>
          <x:t xml:space="preserve">source</x:t>
        </x:is>
      </x:c>
      <x:c r="G9" s="125" t="inlineStr">
        <x:is>
          <x:t xml:space="preserve">../src/components/tabs</x:t>
        </x:is>
      </x:c>
      <x:c r="H9" s="125" t="inlineStr">
        <x:is>
          <x:t xml:space="preserve">tested</x:t>
        </x:is>
      </x:c>
      <x:c r="I9" s="125" t="inlineStr">
        <x:is>
          <x:t xml:space="preserve">no</x:t>
        </x:is>
      </x:c>
      <x:c r="J9" s="141" t="n">
        <x:v>46229</x:v>
      </x:c>
      <x:c r="L9" s="125" t="n">
        <x:v>1</x:v>
      </x:c>
      <x:c r="M9" s="125" t="n">
        <x:f>IF(OR(AND(I9="yes",H9="verified"),AND(I9="no",OR(H9="tested",H9="verified")),AND(H9="not applicable",K9&lt;&gt;"")),1,0)</x:f>
        <x:v>1</x:v>
      </x:c>
    </x:row>
    <x:row r="10" s="127" customFormat="1" ht="42" customHeight="1">
      <x:c r="A10" s="125" t="inlineStr">
        <x:is>
          <x:t xml:space="preserve">TB-02</x:t>
        </x:is>
      </x:c>
      <x:c r="B10" s="125" t="inlineStr">
        <x:is>
          <x:t xml:space="preserve">Anatomy</x:t>
        </x:is>
      </x:c>
      <x:c r="C10" s="125" t="inlineStr">
        <x:is>
          <x:t xml:space="preserve">Root/List/Trigger/Content/Indicator</x:t>
        </x:is>
      </x:c>
      <x:c r="D10" s="125" t="inlineStr">
        <x:is>
          <x:t xml:space="preserve">RootProvider, Context and ContentGroup extend compound anatomy.</x:t>
        </x:is>
      </x:c>
      <x:c r="E10" s="125" t="inlineStr">
        <x:is>
          <x:t xml:space="preserve">package</x:t>
        </x:is>
      </x:c>
      <x:c r="F10" s="125" t="inlineStr">
        <x:is>
          <x:t xml:space="preserve">component</x:t>
        </x:is>
      </x:c>
      <x:c r="G10" s="125" t="inlineStr">
        <x:is>
          <x:t xml:space="preserve">../test/components/tabs/tabs.test.tsx</x:t>
        </x:is>
      </x:c>
      <x:c r="H10" s="125" t="inlineStr">
        <x:is>
          <x:t xml:space="preserve">tested</x:t>
        </x:is>
      </x:c>
      <x:c r="I10" s="125" t="inlineStr">
        <x:is>
          <x:t xml:space="preserve">no</x:t>
        </x:is>
      </x:c>
      <x:c r="J10" s="141" t="n">
        <x:v>46229</x:v>
      </x:c>
      <x:c r="L10" s="125" t="n">
        <x:v>1</x:v>
      </x:c>
      <x:c r="M10" s="125" t="n">
        <x:f>IF(OR(AND(I10="yes",H10="verified"),AND(I10="no",OR(H10="tested",H10="verified")),AND(H10="not applicable",K10&lt;&gt;"")),1,0)</x:f>
        <x:v>1</x:v>
      </x:c>
    </x:row>
    <x:row r="11" s="127" customFormat="1" ht="42" customHeight="1">
      <x:c r="A11" s="125" t="inlineStr">
        <x:is>
          <x:t xml:space="preserve">TB-03</x:t>
        </x:is>
      </x:c>
      <x:c r="B11" s="125" t="inlineStr">
        <x:is>
          <x:t xml:space="preserve">Exports</x:t>
        </x:is>
      </x:c>
      <x:c r="C11" s="125" t="inlineStr">
        <x:is>
          <x:t xml:space="preserve">Tabs</x:t>
        </x:is>
      </x:c>
      <x:c r="D11" s="125" t="inlineStr">
        <x:is>
          <x:t xml:space="preserve">Root and tabs subpath expose the namespace, named parts, and every public type with identical runtime identities.</x:t>
        </x:is>
      </x:c>
      <x:c r="E11" s="125" t="inlineStr">
        <x:is>
          <x:t xml:space="preserve">package</x:t>
        </x:is>
      </x:c>
      <x:c r="F11" s="125" t="inlineStr">
        <x:is>
          <x:t xml:space="preserve">package</x:t>
        </x:is>
      </x:c>
      <x:c r="G11" s="125" t="inlineStr">
        <x:is>
          <x:t xml:space="preserve">../test/package/package.test.mjs</x:t>
        </x:is>
      </x:c>
      <x:c r="H11" s="125" t="inlineStr">
        <x:is>
          <x:t xml:space="preserve">tested</x:t>
        </x:is>
      </x:c>
      <x:c r="I11" s="125" t="inlineStr">
        <x:is>
          <x:t xml:space="preserve">no</x:t>
        </x:is>
      </x:c>
      <x:c r="J11" s="141" t="n">
        <x:v>46229</x:v>
      </x:c>
      <x:c r="L11" s="125" t="n">
        <x:v>1</x:v>
      </x:c>
      <x:c r="M11" s="125" t="n">
        <x:f>IF(OR(AND(I11="yes",H11="verified"),AND(I11="no",OR(H11="tested",H11="verified")),AND(H11="not applicable",K11&lt;&gt;"")),1,0)</x:f>
        <x:v>1</x:v>
      </x:c>
    </x:row>
    <x:row r="12" s="127" customFormat="1" ht="42" customHeight="1">
      <x:c r="A12" s="125" t="inlineStr">
        <x:is>
          <x:t xml:space="preserve">TB-04</x:t>
        </x:is>
      </x:c>
      <x:c r="B12" s="125" t="inlineStr">
        <x:is>
          <x:t xml:space="preserve">Types</x:t>
        </x:is>
      </x:c>
      <x:c r="C12" s="125" t="inlineStr">
        <x:is>
          <x:t xml:space="preserve">All parts</x:t>
        </x:is>
      </x:c>
      <x:c r="D12" s="125" t="inlineStr">
        <x:is>
          <x:t xml:space="preserve">Responsive recipes, shared radii and lifecycle types.</x:t>
        </x:is>
      </x:c>
      <x:c r="E12" s="125" t="inlineStr">
        <x:is>
          <x:t xml:space="preserve">package</x:t>
        </x:is>
      </x:c>
      <x:c r="F12" s="125" t="inlineStr">
        <x:is>
          <x:t xml:space="preserve">types</x:t>
        </x:is>
      </x:c>
      <x:c r="G12" s="125" t="inlineStr">
        <x:is>
          <x:t xml:space="preserve">../test/types/components/tabs.test.ts</x:t>
        </x:is>
      </x:c>
      <x:c r="H12" s="125" t="inlineStr">
        <x:is>
          <x:t xml:space="preserve">tested</x:t>
        </x:is>
      </x:c>
      <x:c r="I12" s="125" t="inlineStr">
        <x:is>
          <x:t xml:space="preserve">no</x:t>
        </x:is>
      </x:c>
      <x:c r="J12" s="141" t="n">
        <x:v>46244</x:v>
      </x:c>
      <x:c r="L12" s="125" t="n">
        <x:v>1</x:v>
      </x:c>
      <x:c r="M12" s="125" t="n">
        <x:f>IF(OR(AND(I12="yes",H12="verified"),AND(I12="no",OR(H12="tested",H12="verified")),AND(H12="not applicable",K12&lt;&gt;"")),1,0)</x:f>
        <x:v>1</x:v>
      </x:c>
    </x:row>
    <x:row r="13" s="127" customFormat="1" ht="42" customHeight="1">
      <x:c r="A13" s="125" t="inlineStr">
        <x:is>
          <x:t xml:space="preserve">TB-05</x:t>
        </x:is>
      </x:c>
      <x:c r="B13" s="125" t="inlineStr">
        <x:is>
          <x:t xml:space="preserve">CSS</x:t>
        </x:is>
      </x:c>
      <x:c r="C13" s="125" t="inlineStr">
        <x:is>
          <x:t xml:space="preserve">All parts</x:t>
        </x:is>
      </x:c>
      <x:c r="D13" s="125" t="inlineStr">
        <x:is>
          <x:t xml:space="preserve">Static CSS ships semantic orientation, responsive stacked/side visual layouts, Content inset recipes, variants, states, overflow, RTL, and forced-color behavior.</x:t>
        </x:is>
      </x:c>
      <x:c r="E13" s="125" t="inlineStr">
        <x:is>
          <x:t xml:space="preserve">package</x:t>
        </x:is>
      </x:c>
      <x:c r="F13" s="125" t="inlineStr">
        <x:is>
          <x:t xml:space="preserve">css</x:t>
        </x:is>
      </x:c>
      <x:c r="G13" s="125" t="inlineStr">
        <x:is>
          <x:t xml:space="preserve">../src/components/tabs/tabs.css</x:t>
        </x:is>
      </x:c>
      <x:c r="H13" s="125" t="inlineStr">
        <x:is>
          <x:t xml:space="preserve">tested</x:t>
        </x:is>
      </x:c>
      <x:c r="I13" s="125" t="inlineStr">
        <x:is>
          <x:t xml:space="preserve">no</x:t>
        </x:is>
      </x:c>
      <x:c r="J13" s="141" t="n">
        <x:v>46244</x:v>
      </x:c>
      <x:c r="L13" s="125" t="n">
        <x:v>1</x:v>
      </x:c>
      <x:c r="M13" s="125" t="n">
        <x:f>IF(OR(AND(I13="yes",H13="verified"),AND(I13="no",OR(H13="tested",H13="verified")),AND(H13="not applicable",K13&lt;&gt;"")),1,0)</x:f>
        <x:v>1</x:v>
      </x:c>
    </x:row>
    <x:row r="14" s="127" customFormat="1" ht="42" customHeight="1">
      <x:c r="A14" s="125" t="inlineStr">
        <x:is>
          <x:t xml:space="preserve">TB-06</x:t>
        </x:is>
      </x:c>
      <x:c r="B14" s="125" t="inlineStr">
        <x:is>
          <x:t xml:space="preserve">Defaults</x:t>
        </x:is>
      </x:c>
      <x:c r="C14" s="125" t="inlineStr">
        <x:is>
          <x:t xml:space="preserve">Root/List/Trigger/Content</x:t>
        </x:is>
      </x:c>
      <x:c r="D14" s="125" t="inlineStr">
        <x:is>
          <x:t xml:space="preserve">Medium horizontal line Tabs default to automatic looping activation with the authored initial panel selected.</x:t>
        </x:is>
      </x:c>
      <x:c r="E14" s="125" t="inlineStr">
        <x:is>
          <x:t xml:space="preserve">package</x:t>
        </x:is>
      </x:c>
      <x:c r="F14" s="125" t="inlineStr">
        <x:is>
          <x:t xml:space="preserve">browser</x:t>
        </x:is>
      </x:c>
      <x:c r="G14" s="125" t="inlineStr">
        <x:is>
          <x:t xml:space="preserve">tests/components/tabs/behavior.spec.ts</x:t>
        </x:is>
      </x:c>
      <x:c r="H14" s="125" t="inlineStr">
        <x:is>
          <x:t xml:space="preserve">tested</x:t>
        </x:is>
      </x:c>
      <x:c r="I14" s="125" t="inlineStr">
        <x:is>
          <x:t xml:space="preserve">no</x:t>
        </x:is>
      </x:c>
      <x:c r="J14" s="141" t="n">
        <x:v>46229</x:v>
      </x:c>
      <x:c r="L14" s="125" t="n">
        <x:v>1</x:v>
      </x:c>
      <x:c r="M14" s="125" t="n">
        <x:f>IF(OR(AND(I14="yes",H14="verified"),AND(I14="no",OR(H14="tested",H14="verified")),AND(H14="not applicable",K14&lt;&gt;"")),1,0)</x:f>
        <x:v>1</x:v>
      </x:c>
    </x:row>
    <x:row r="15" s="127" customFormat="1" ht="42" customHeight="1">
      <x:c r="A15" s="125" t="inlineStr">
        <x:is>
          <x:t xml:space="preserve">TB-07</x:t>
        </x:is>
      </x:c>
      <x:c r="B15" s="125" t="inlineStr">
        <x:is>
          <x:t xml:space="preserve">Variants</x:t>
        </x:is>
      </x:c>
      <x:c r="C15" s="125" t="inlineStr">
        <x:is>
          <x:t xml:space="preserve">All parts</x:t>
        </x:is>
      </x:c>
      <x:c r="D15" s="125" t="inlineStr">
        <x:is>
          <x:t xml:space="preserve">Seven names; soft/subtle alias, static and moving selection.</x:t>
        </x:is>
      </x:c>
      <x:c r="E15" s="125" t="inlineStr">
        <x:is>
          <x:t xml:space="preserve">package</x:t>
        </x:is>
      </x:c>
      <x:c r="F15" s="125" t="inlineStr">
        <x:is>
          <x:t xml:space="preserve">visual</x:t>
        </x:is>
      </x:c>
      <x:c r="G15" s="125" t="inlineStr">
        <x:is>
          <x:t xml:space="preserve">tests/components/tabs/visual.spec.ts</x:t>
        </x:is>
      </x:c>
      <x:c r="H15" s="125" t="inlineStr">
        <x:is>
          <x:t xml:space="preserve">verified</x:t>
        </x:is>
      </x:c>
      <x:c r="I15" s="125" t="inlineStr">
        <x:is>
          <x:t xml:space="preserve">yes</x:t>
        </x:is>
      </x:c>
      <x:c r="J15" s="141" t="n">
        <x:v>46229</x:v>
      </x:c>
      <x:c r="K15" s="125" t="inlineStr">
        <x:is>
          <x:t xml:space="preserve">Agent-inspected generated variants baseline.</x:t>
        </x:is>
      </x:c>
      <x:c r="L15" s="125" t="n">
        <x:v>1</x:v>
      </x:c>
      <x:c r="M15" s="125" t="n">
        <x:f>IF(OR(AND(I15="yes",H15="verified"),AND(I15="no",OR(H15="tested",H15="verified")),AND(H15="not applicable",K15&lt;&gt;"")),1,0)</x:f>
        <x:v>1</x:v>
      </x:c>
    </x:row>
    <x:row r="16" s="127" customFormat="1" ht="42" customHeight="1">
      <x:c r="A16" s="125" t="inlineStr">
        <x:is>
          <x:t xml:space="preserve">TB-08</x:t>
        </x:is>
      </x:c>
      <x:c r="B16" s="125" t="inlineStr">
        <x:is>
          <x:t xml:space="preserve">Sizes</x:t>
        </x:is>
      </x:c>
      <x:c r="C16" s="125" t="inlineStr">
        <x:is>
          <x:t xml:space="preserve">Root/Trigger/Content</x:t>
        </x:is>
      </x:c>
      <x:c r="D16" s="125" t="inlineStr">
        <x:is>
          <x:t xml:space="preserve">Sizes: 36/40/44px targets and 14/14/16px text.</x:t>
        </x:is>
      </x:c>
      <x:c r="E16" s="125" t="inlineStr">
        <x:is>
          <x:t xml:space="preserve">package</x:t>
        </x:is>
      </x:c>
      <x:c r="F16" s="125" t="inlineStr">
        <x:is>
          <x:t xml:space="preserve">visual</x:t>
        </x:is>
      </x:c>
      <x:c r="G16" s="125" t="inlineStr">
        <x:is>
          <x:t xml:space="preserve">tests/components/tabs/visual.spec.ts</x:t>
        </x:is>
      </x:c>
      <x:c r="H16" s="125" t="inlineStr">
        <x:is>
          <x:t xml:space="preserve">verified</x:t>
        </x:is>
      </x:c>
      <x:c r="I16" s="125" t="inlineStr">
        <x:is>
          <x:t xml:space="preserve">yes</x:t>
        </x:is>
      </x:c>
      <x:c r="J16" s="141" t="n">
        <x:v>46229</x:v>
      </x:c>
      <x:c r="K16" s="125" t="inlineStr">
        <x:is>
          <x:t xml:space="preserve">Agent-inspected generated sizes baseline.</x:t>
        </x:is>
      </x:c>
      <x:c r="L16" s="125" t="n">
        <x:v>1</x:v>
      </x:c>
      <x:c r="M16" s="125" t="n">
        <x:f>IF(OR(AND(I16="yes",H16="verified"),AND(I16="no",OR(H16="tested",H16="verified")),AND(H16="not applicable",K16&lt;&gt;"")),1,0)</x:f>
        <x:v>1</x:v>
      </x:c>
    </x:row>
    <x:row r="17" s="127" customFormat="1" ht="42" customHeight="1">
      <x:c r="A17" s="125" t="inlineStr">
        <x:is>
          <x:t xml:space="preserve">TB-09</x:t>
        </x:is>
      </x:c>
      <x:c r="B17" s="125" t="inlineStr">
        <x:is>
          <x:t xml:space="preserve">Layout</x:t>
        </x:is>
      </x:c>
      <x:c r="C17" s="125" t="inlineStr">
        <x:is>
          <x:t xml:space="preserve">Root/List/Trigger/Content</x:t>
        </x:is>
      </x:c>
      <x:c r="D17" s="125" t="inlineStr">
        <x:is>
          <x:t xml:space="preserve">Semantic orientation controls arrow behavior; responsive layout changes only the List/Content relationship; fullWidth distributes horizontal triggers equally.</x:t>
        </x:is>
      </x:c>
      <x:c r="E17" s="125" t="inlineStr">
        <x:is>
          <x:t xml:space="preserve">package</x:t>
        </x:is>
      </x:c>
      <x:c r="F17" s="125" t="inlineStr">
        <x:is>
          <x:t xml:space="preserve">browser</x:t>
        </x:is>
      </x:c>
      <x:c r="G17" s="125" t="inlineStr">
        <x:is>
          <x:t xml:space="preserve">tests/components/tabs/behavior.spec.ts; ../test/components/tabs/tabs.test.tsx</x:t>
        </x:is>
      </x:c>
      <x:c r="H17" s="125" t="inlineStr">
        <x:is>
          <x:t xml:space="preserve">tested</x:t>
        </x:is>
      </x:c>
      <x:c r="I17" s="125" t="inlineStr">
        <x:is>
          <x:t xml:space="preserve">no</x:t>
        </x:is>
      </x:c>
      <x:c r="J17" s="141" t="n">
        <x:v>46244</x:v>
      </x:c>
      <x:c r="L17" s="125" t="n">
        <x:v>1</x:v>
      </x:c>
      <x:c r="M17" s="125" t="n">
        <x:f>IF(OR(AND(I17="yes",H17="verified"),AND(I17="no",OR(H17="tested",H17="verified")),AND(H17="not applicable",K17&lt;&gt;"")),1,0)</x:f>
        <x:v>1</x:v>
      </x:c>
    </x:row>
    <x:row r="18" s="127" customFormat="1" ht="90" customHeight="1">
      <x:c r="A18" s="125" t="inlineStr">
        <x:is>
          <x:t xml:space="preserve">TB-10</x:t>
        </x:is>
      </x:c>
      <x:c r="B18" s="125" t="inlineStr">
        <x:is>
          <x:t xml:space="preserve">States</x:t>
        </x:is>
      </x:c>
      <x:c r="C18" s="125" t="inlineStr">
        <x:is>
          <x:t xml:space="preserve">Trigger</x:t>
        </x:is>
      </x:c>
      <x:c r="D18" s="125" t="inlineStr">
        <x:is>
          <x:t xml:space="preserve">Selected, inactive, hover, focus-visible, disabled, and composed-icon content remain aligned and distinct.</x:t>
        </x:is>
      </x:c>
      <x:c r="E18" s="125" t="inlineStr">
        <x:is>
          <x:t xml:space="preserve">package</x:t>
        </x:is>
      </x:c>
      <x:c r="F18" s="125" t="inlineStr">
        <x:is>
          <x:t xml:space="preserve">browser</x:t>
        </x:is>
      </x:c>
      <x:c r="G18" s="125" t="inlineStr">
        <x:is>
          <x:t xml:space="preserve">tests/components/tabs/behavior.spec.ts; tests/components/tabs/visual.spec.ts</x:t>
        </x:is>
      </x:c>
      <x:c r="H18" s="125" t="inlineStr">
        <x:is>
          <x:t xml:space="preserve">tested</x:t>
        </x:is>
      </x:c>
      <x:c r="I18" s="125" t="inlineStr">
        <x:is>
          <x:t xml:space="preserve">no</x:t>
        </x:is>
      </x:c>
      <x:c r="J18" s="141" t="n">
        <x:v>46229</x:v>
      </x:c>
      <x:c r="K18" s="143" t="inlineStr">
        <x:is>
          <x:t xml:space="preserve">2026-09-09: Focus pass: contained edge paint, equal corners, keyboard Home/End reveal. See focus-system/execution-report.md. Other qualification is not promoted.</x:t>
        </x:is>
      </x:c>
      <x:c r="L18" s="125" t="n">
        <x:v>1</x:v>
      </x:c>
      <x:c r="M18" s="125" t="n">
        <x:f>IF(OR(AND(I18="yes",H18="verified"),AND(I18="no",OR(H18="tested",H18="verified")),AND(H18="not applicable",K18&lt;&gt;"")),1,0)</x:f>
        <x:v>1</x:v>
      </x:c>
    </x:row>
    <x:row r="19" s="127" customFormat="1" ht="42" customHeight="1">
      <x:c r="A19" s="125" t="inlineStr">
        <x:is>
          <x:t xml:space="preserve">TB-11</x:t>
        </x:is>
      </x:c>
      <x:c r="B19" s="125" t="inlineStr">
        <x:is>
          <x:t xml:space="preserve">Activation</x:t>
        </x:is>
      </x:c>
      <x:c r="C19" s="125" t="inlineStr">
        <x:is>
          <x:t xml:space="preserve">Root/List/Trigger</x:t>
        </x:is>
      </x:c>
      <x:c r="D19" s="125" t="inlineStr">
        <x:is>
          <x:t xml:space="preserve">Automatic arrows or manual activation; owned focus callbacks.</x:t>
        </x:is>
      </x:c>
      <x:c r="E19" s="125" t="inlineStr">
        <x:is>
          <x:t xml:space="preserve">package</x:t>
        </x:is>
      </x:c>
      <x:c r="F19" s="125" t="inlineStr">
        <x:is>
          <x:t xml:space="preserve">browser</x:t>
        </x:is>
      </x:c>
      <x:c r="G19" s="125" t="inlineStr">
        <x:is>
          <x:t xml:space="preserve">tests/components/tabs/behavior.spec.ts</x:t>
        </x:is>
      </x:c>
      <x:c r="H19" s="125" t="inlineStr">
        <x:is>
          <x:t xml:space="preserve">tested</x:t>
        </x:is>
      </x:c>
      <x:c r="I19" s="125" t="inlineStr">
        <x:is>
          <x:t xml:space="preserve">no</x:t>
        </x:is>
      </x:c>
      <x:c r="J19" s="141" t="n">
        <x:v>46229</x:v>
      </x:c>
      <x:c r="L19" s="125" t="n">
        <x:v>1</x:v>
      </x:c>
      <x:c r="M19" s="125" t="n">
        <x:f>IF(OR(AND(I19="yes",H19="verified"),AND(I19="no",OR(H19="tested",H19="verified")),AND(H19="not applicable",K19&lt;&gt;"")),1,0)</x:f>
        <x:v>1</x:v>
      </x:c>
    </x:row>
    <x:row r="20" s="127" customFormat="1" ht="42" customHeight="1">
      <x:c r="A20" s="125" t="inlineStr">
        <x:is>
          <x:t xml:space="preserve">TB-12</x:t>
        </x:is>
      </x:c>
      <x:c r="B20" s="125" t="inlineStr">
        <x:is>
          <x:t xml:space="preserve">Panels</x:t>
        </x:is>
      </x:c>
      <x:c r="C20" s="125" t="inlineStr">
        <x:is>
          <x:t xml:space="preserve">Content</x:t>
        </x:is>
      </x:c>
      <x:c r="D20" s="125" t="inlineStr">
        <x:is>
          <x:t xml:space="preserve">Lazy retention, exit presence and text-panel focus.</x:t>
        </x:is>
      </x:c>
      <x:c r="E20" s="125" t="inlineStr">
        <x:is>
          <x:t xml:space="preserve">package</x:t>
        </x:is>
      </x:c>
      <x:c r="F20" s="125" t="inlineStr">
        <x:is>
          <x:t xml:space="preserve">component</x:t>
        </x:is>
      </x:c>
      <x:c r="G20" s="125" t="inlineStr">
        <x:is>
          <x:t xml:space="preserve">../test/components/tabs/tabs.test.tsx; tests/components/tabs/behavior.spec.ts</x:t>
        </x:is>
      </x:c>
      <x:c r="H20" s="125" t="inlineStr">
        <x:is>
          <x:t xml:space="preserve">tested</x:t>
        </x:is>
      </x:c>
      <x:c r="I20" s="125" t="inlineStr">
        <x:is>
          <x:t xml:space="preserve">no</x:t>
        </x:is>
      </x:c>
      <x:c r="J20" s="141" t="n">
        <x:v>46244</x:v>
      </x:c>
      <x:c r="L20" s="125" t="n">
        <x:v>1</x:v>
      </x:c>
      <x:c r="M20" s="125" t="n">
        <x:f>IF(OR(AND(I20="yes",H20="verified"),AND(I20="no",OR(H20="tested",H20="verified")),AND(H20="not applicable",K20&lt;&gt;"")),1,0)</x:f>
        <x:v>1</x:v>
      </x:c>
    </x:row>
    <x:row r="21" s="127" customFormat="1" ht="42" customHeight="1">
      <x:c r="A21" s="125" t="inlineStr">
        <x:is>
          <x:t xml:space="preserve">TB-13</x:t>
        </x:is>
      </x:c>
      <x:c r="B21" s="125" t="inlineStr">
        <x:is>
          <x:t xml:space="preserve">Indicator</x:t>
        </x:is>
      </x:c>
      <x:c r="C21" s="125" t="inlineStr">
        <x:is>
          <x:t xml:space="preserve">Indicator</x:t>
        </x:is>
      </x:c>
      <x:c r="D21" s="125" t="inlineStr">
        <x:is>
          <x:t xml:space="preserve">Scroll-local indicator and readiness handoff.</x:t>
        </x:is>
      </x:c>
      <x:c r="E21" s="125" t="inlineStr">
        <x:is>
          <x:t xml:space="preserve">package</x:t>
        </x:is>
      </x:c>
      <x:c r="F21" s="125" t="inlineStr">
        <x:is>
          <x:t xml:space="preserve">visual</x:t>
        </x:is>
      </x:c>
      <x:c r="G21" s="125" t="inlineStr">
        <x:is>
          <x:t xml:space="preserve">tests/components/tabs/visual.spec.ts</x:t>
        </x:is>
      </x:c>
      <x:c r="H21" s="125" t="inlineStr">
        <x:is>
          <x:t xml:space="preserve">verified</x:t>
        </x:is>
      </x:c>
      <x:c r="I21" s="125" t="inlineStr">
        <x:is>
          <x:t xml:space="preserve">yes</x:t>
        </x:is>
      </x:c>
      <x:c r="J21" s="141" t="n">
        <x:v>46229</x:v>
      </x:c>
      <x:c r="K21" s="125" t="inlineStr">
        <x:is>
          <x:t xml:space="preserve">Agent-inspected line and vertical baselines.</x:t>
        </x:is>
      </x:c>
      <x:c r="L21" s="125" t="n">
        <x:v>1</x:v>
      </x:c>
      <x:c r="M21" s="125" t="n">
        <x:f>IF(OR(AND(I21="yes",H21="verified"),AND(I21="no",OR(H21="tested",H21="verified")),AND(H21="not applicable",K21&lt;&gt;"")),1,0)</x:f>
        <x:v>1</x:v>
      </x:c>
    </x:row>
    <x:row r="22" s="127" customFormat="1" ht="42" customHeight="1">
      <x:c r="A22" s="125" t="inlineStr">
        <x:is>
          <x:t xml:space="preserve">TB-14</x:t>
        </x:is>
      </x:c>
      <x:c r="B22" s="125" t="inlineStr">
        <x:is>
          <x:t xml:space="preserve">Composition</x:t>
        </x:is>
      </x:c>
      <x:c r="C22" s="125" t="inlineStr">
        <x:is>
          <x:t xml:space="preserve">Root/List/Trigger/Content</x:t>
        </x:is>
      </x:c>
      <x:c r="D22" s="125" t="inlineStr">
        <x:is>
          <x:t xml:space="preserve">Native links, disabled hosts, IDs and refs.</x:t>
        </x:is>
      </x:c>
      <x:c r="E22" s="125" t="inlineStr">
        <x:is>
          <x:t xml:space="preserve">package</x:t>
        </x:is>
      </x:c>
      <x:c r="F22" s="125" t="inlineStr">
        <x:is>
          <x:t xml:space="preserve">browser</x:t>
        </x:is>
      </x:c>
      <x:c r="G22" s="125" t="inlineStr">
        <x:is>
          <x:t xml:space="preserve">../test/components/tabs/tabs.test.tsx; tests/components/tabs/behavior.spec.ts</x:t>
        </x:is>
      </x:c>
      <x:c r="H22" s="125" t="inlineStr">
        <x:is>
          <x:t xml:space="preserve">tested</x:t>
        </x:is>
      </x:c>
      <x:c r="I22" s="125" t="inlineStr">
        <x:is>
          <x:t xml:space="preserve">no</x:t>
        </x:is>
      </x:c>
      <x:c r="J22" s="141" t="n">
        <x:v>46229</x:v>
      </x:c>
      <x:c r="L22" s="125" t="n">
        <x:v>1</x:v>
      </x:c>
      <x:c r="M22" s="125" t="n">
        <x:f>IF(OR(AND(I22="yes",H22="verified"),AND(I22="no",OR(H22="tested",H22="verified")),AND(H22="not applicable",K22&lt;&gt;"")),1,0)</x:f>
        <x:v>1</x:v>
      </x:c>
    </x:row>
    <x:row r="23" s="127" customFormat="1" ht="42" customHeight="1">
      <x:c r="A23" s="125" t="inlineStr">
        <x:is>
          <x:t xml:space="preserve">TB-15</x:t>
        </x:is>
      </x:c>
      <x:c r="B23" s="125" t="inlineStr">
        <x:is>
          <x:t xml:space="preserve">Responsive</x:t>
        </x:is>
      </x:c>
      <x:c r="C23" s="125" t="inlineStr">
        <x:is>
          <x:t xml:space="preserve">Root/List/Content</x:t>
        </x:is>
      </x:c>
      <x:c r="D23" s="125" t="inlineStr">
        <x:is>
          <x:t xml:space="preserve">Responsive auto reset; keyboard orientation stays explicit.</x:t>
        </x:is>
      </x:c>
      <x:c r="E23" s="125" t="inlineStr">
        <x:is>
          <x:t xml:space="preserve">package</x:t>
        </x:is>
      </x:c>
      <x:c r="F23" s="125" t="inlineStr">
        <x:is>
          <x:t xml:space="preserve">browser</x:t>
        </x:is>
      </x:c>
      <x:c r="G23" s="125" t="inlineStr">
        <x:is>
          <x:t xml:space="preserve">tests/components/tabs/behavior.spec.ts</x:t>
        </x:is>
      </x:c>
      <x:c r="H23" s="125" t="inlineStr">
        <x:is>
          <x:t xml:space="preserve">tested</x:t>
        </x:is>
      </x:c>
      <x:c r="I23" s="125" t="inlineStr">
        <x:is>
          <x:t xml:space="preserve">no</x:t>
        </x:is>
      </x:c>
      <x:c r="J23" s="141" t="n">
        <x:v>46244</x:v>
      </x:c>
      <x:c r="L23" s="125" t="n">
        <x:v>1</x:v>
      </x:c>
      <x:c r="M23" s="125" t="n">
        <x:f>IF(OR(AND(I23="yes",H23="verified"),AND(I23="no",OR(H23="tested",H23="verified")),AND(H23="not applicable",K23&lt;&gt;"")),1,0)</x:f>
        <x:v>1</x:v>
      </x:c>
    </x:row>
    <x:row r="24" s="127" customFormat="1" ht="42" customHeight="1">
      <x:c r="A24" s="125" t="inlineStr">
        <x:is>
          <x:t xml:space="preserve">TB-16</x:t>
        </x:is>
      </x:c>
      <x:c r="B24" s="125" t="inlineStr">
        <x:is>
          <x:t xml:space="preserve">Direction</x:t>
        </x:is>
      </x:c>
      <x:c r="C24" s="125" t="inlineStr">
        <x:is>
          <x:t xml:space="preserve">Root/List</x:t>
        </x:is>
      </x:c>
      <x:c r="D24" s="125" t="inlineStr">
        <x:is>
          <x:t xml:space="preserve">Explicit RTL preserves genuine text and mirrors horizontal arrow navigation while vertical navigation is unchanged.</x:t>
        </x:is>
      </x:c>
      <x:c r="E24" s="125" t="inlineStr">
        <x:is>
          <x:t xml:space="preserve">package</x:t>
        </x:is>
      </x:c>
      <x:c r="F24" s="125" t="inlineStr">
        <x:is>
          <x:t xml:space="preserve">browser</x:t>
        </x:is>
      </x:c>
      <x:c r="G24" s="125" t="inlineStr">
        <x:is>
          <x:t xml:space="preserve">tests/components/tabs/behavior.spec.ts</x:t>
        </x:is>
      </x:c>
      <x:c r="H24" s="125" t="inlineStr">
        <x:is>
          <x:t xml:space="preserve">tested</x:t>
        </x:is>
      </x:c>
      <x:c r="I24" s="125" t="inlineStr">
        <x:is>
          <x:t xml:space="preserve">no</x:t>
        </x:is>
      </x:c>
      <x:c r="J24" s="141" t="n">
        <x:v>46229</x:v>
      </x:c>
      <x:c r="L24" s="125" t="n">
        <x:v>1</x:v>
      </x:c>
      <x:c r="M24" s="125" t="n">
        <x:f>IF(OR(AND(I24="yes",H24="verified"),AND(I24="no",OR(H24="tested",H24="verified")),AND(H24="not applicable",K24&lt;&gt;"")),1,0)</x:f>
        <x:v>1</x:v>
      </x:c>
    </x:row>
    <x:row r="25" s="127" customFormat="1" ht="42" customHeight="1">
      <x:c r="A25" s="125" t="inlineStr">
        <x:is>
          <x:t xml:space="preserve">TB-17</x:t>
        </x:is>
      </x:c>
      <x:c r="B25" s="125" t="inlineStr">
        <x:is>
          <x:t xml:space="preserve">Accessibility</x:t>
        </x:is>
      </x:c>
      <x:c r="C25" s="125" t="inlineStr">
        <x:is>
          <x:t xml:space="preserve">All parts</x:t>
        </x:is>
      </x:c>
      <x:c r="D25" s="125" t="inlineStr">
        <x:is>
          <x:t xml:space="preserve">Named tablists, selected/disabled states, relationships, roving focus, forced colors, and axe pass.</x:t>
        </x:is>
      </x:c>
      <x:c r="E25" s="125" t="inlineStr">
        <x:is>
          <x:t xml:space="preserve">package</x:t>
        </x:is>
      </x:c>
      <x:c r="F25" s="125" t="inlineStr">
        <x:is>
          <x:t xml:space="preserve">axe</x:t>
        </x:is>
      </x:c>
      <x:c r="G25" s="125" t="inlineStr">
        <x:is>
          <x:t xml:space="preserve">tests/components/tabs/behavior.spec.ts</x:t>
        </x:is>
      </x:c>
      <x:c r="H25" s="125" t="inlineStr">
        <x:is>
          <x:t xml:space="preserve">tested</x:t>
        </x:is>
      </x:c>
      <x:c r="I25" s="125" t="inlineStr">
        <x:is>
          <x:t xml:space="preserve">no</x:t>
        </x:is>
      </x:c>
      <x:c r="J25" s="141" t="n">
        <x:v>46229</x:v>
      </x:c>
      <x:c r="L25" s="125" t="n">
        <x:v>1</x:v>
      </x:c>
      <x:c r="M25" s="125" t="n">
        <x:f>IF(OR(AND(I25="yes",H25="verified"),AND(I25="no",OR(H25="tested",H25="verified")),AND(H25="not applicable",K25&lt;&gt;"")),1,0)</x:f>
        <x:v>1</x:v>
      </x:c>
    </x:row>
    <x:row r="26" s="127" customFormat="1" ht="42" customHeight="1">
      <x:c r="A26" s="125" t="inlineStr">
        <x:is>
          <x:t xml:space="preserve">TB-18</x:t>
        </x:is>
      </x:c>
      <x:c r="B26" s="125" t="inlineStr">
        <x:is>
          <x:t xml:space="preserve">Visual</x:t>
        </x:is>
      </x:c>
      <x:c r="C26" s="125" t="inlineStr">
        <x:is>
          <x:t xml:space="preserve">Tabs</x:t>
        </x:is>
      </x:c>
      <x:c r="D26" s="125" t="inlineStr">
        <x:is>
          <x:t xml:space="preserve">Reviewed baselines cover defaults, variants, sizes, layouts, content, dark appearance, mobile RTL, and forced colors.</x:t>
        </x:is>
      </x:c>
      <x:c r="E26" s="125" t="inlineStr">
        <x:is>
          <x:t xml:space="preserve">package</x:t>
        </x:is>
      </x:c>
      <x:c r="F26" s="125" t="inlineStr">
        <x:is>
          <x:t xml:space="preserve">visual</x:t>
        </x:is>
      </x:c>
      <x:c r="G26" s="125" t="inlineStr">
        <x:is>
          <x:t xml:space="preserve">tests/components/tabs/visual.spec.ts</x:t>
        </x:is>
      </x:c>
      <x:c r="H26" s="125" t="inlineStr">
        <x:is>
          <x:t xml:space="preserve">verified</x:t>
        </x:is>
      </x:c>
      <x:c r="I26" s="125" t="inlineStr">
        <x:is>
          <x:t xml:space="preserve">yes</x:t>
        </x:is>
      </x:c>
      <x:c r="J26" s="141" t="n">
        <x:v>46229</x:v>
      </x:c>
      <x:c r="K26" s="125" t="inlineStr">
        <x:is>
          <x:t xml:space="preserve">Agent-inspected every generated Tabs baseline.</x:t>
        </x:is>
      </x:c>
      <x:c r="L26" s="125" t="n">
        <x:v>1</x:v>
      </x:c>
      <x:c r="M26" s="125" t="n">
        <x:f>IF(OR(AND(I26="yes",H26="verified"),AND(I26="no",OR(H26="tested",H26="verified")),AND(H26="not applicable",K26&lt;&gt;"")),1,0)</x:f>
        <x:v>1</x:v>
      </x:c>
    </x:row>
    <x:row r="27" s="127" customFormat="1" ht="42" customHeight="1">
      <x:c r="A27" s="125" t="inlineStr">
        <x:is>
          <x:t xml:space="preserve">TB-19</x:t>
        </x:is>
      </x:c>
      <x:c r="B27" s="125" t="inlineStr">
        <x:is>
          <x:t xml:space="preserve">Manual</x:t>
        </x:is>
      </x:c>
      <x:c r="C27" s="125" t="inlineStr">
        <x:is>
          <x:t xml:space="preserve">Tabs</x:t>
        </x:is>
      </x:c>
      <x:c r="D27" s="125" t="inlineStr">
        <x:is>
          <x:t xml:space="preserve">A tester completes the concise top-to-bottom keyboard, AT, zoom, device, appearance, RTL, forced-color, and reduced-motion protocol.</x:t>
        </x:is>
      </x:c>
      <x:c r="E27" s="125" t="inlineStr">
        <x:is>
          <x:t xml:space="preserve">package</x:t>
        </x:is>
      </x:c>
      <x:c r="F27" s="125" t="inlineStr">
        <x:is>
          <x:t xml:space="preserve">manual</x:t>
        </x:is>
      </x:c>
      <x:c r="G27" s="125" t="inlineStr">
        <x:is>
          <x:t xml:space="preserve">manual-tests/tabs.md</x:t>
        </x:is>
      </x:c>
      <x:c r="H27" s="125" t="inlineStr">
        <x:is>
          <x:t xml:space="preserve">not started</x:t>
        </x:is>
      </x:c>
      <x:c r="I27" s="125" t="inlineStr">
        <x:is>
          <x:t xml:space="preserve">yes</x:t>
        </x:is>
      </x:c>
      <x:c r="J27" s="141" t="n">
        <x:v>46229</x:v>
      </x:c>
      <x:c r="K27" s="125" t="inlineStr">
        <x:is>
          <x:t xml:space="preserve">Human AT, physical device and actual zoom unperformed.</x:t>
        </x:is>
      </x:c>
      <x:c r="L27" s="125" t="n">
        <x:v>1</x:v>
      </x:c>
      <x:c r="M27" s="125" t="n">
        <x:f>IF(OR(AND(I27="yes",H27="verified"),AND(I27="no",OR(H27="tested",H27="verified")),AND(H27="not applicable",K27&lt;&gt;"")),1,0)</x:f>
        <x:v>0</x:v>
      </x:c>
    </x:row>
    <x:row r="28" s="127" customFormat="1" ht="42" customHeight="1">
      <x:c r="A28" s="125" t="inlineStr">
        <x:is>
          <x:t xml:space="preserve">TB-20</x:t>
        </x:is>
      </x:c>
      <x:c r="B28" s="125" t="inlineStr">
        <x:is>
          <x:t xml:space="preserve">Docs</x:t>
        </x:is>
      </x:c>
      <x:c r="C28" s="125" t="inlineStr">
        <x:is>
          <x:t xml:space="preserve">Tabs</x:t>
        </x:is>
      </x:c>
      <x:c r="D28" s="125" t="inlineStr">
        <x:is>
          <x:t xml:space="preserve">Controller, lifecycle, recipes and composition documented.</x:t>
        </x:is>
      </x:c>
      <x:c r="E28" s="125" t="inlineStr">
        <x:is>
          <x:t xml:space="preserve">package</x:t>
        </x:is>
      </x:c>
      <x:c r="F28" s="125" t="inlineStr">
        <x:is>
          <x:t xml:space="preserve">docs</x:t>
        </x:is>
      </x:c>
      <x:c r="G28" s="125" t="inlineStr">
        <x:is>
          <x:t xml:space="preserve">../docs/components/tabs/README.md; ../src/components/tabs/agent.md</x:t>
        </x:is>
      </x:c>
      <x:c r="H28" s="125" t="inlineStr">
        <x:is>
          <x:t xml:space="preserve">tested</x:t>
        </x:is>
      </x:c>
      <x:c r="I28" s="125" t="inlineStr">
        <x:is>
          <x:t xml:space="preserve">no</x:t>
        </x:is>
      </x:c>
      <x:c r="J28" s="141" t="n">
        <x:v>46244</x:v>
      </x:c>
      <x:c r="L28" s="125" t="n">
        <x:v>1</x:v>
      </x:c>
      <x:c r="M28" s="125" t="n">
        <x:f>IF(OR(AND(I28="yes",H28="verified"),AND(I28="no",OR(H28="tested",H28="verified")),AND(H28="not applicable",K28&lt;&gt;"")),1,0)</x:f>
        <x:v>1</x:v>
      </x:c>
    </x:row>
    <x:row r="29" s="127" customFormat="1" ht="42" customHeight="1">
      <x:c r="A29" s="125" t="inlineStr">
        <x:is>
          <x:t xml:space="preserve">TB-21</x:t>
        </x:is>
      </x:c>
      <x:c r="B29" s="125" t="inlineStr">
        <x:is>
          <x:t xml:space="preserve">Playground</x:t>
        </x:is>
      </x:c>
      <x:c r="C29" s="125" t="inlineStr">
        <x:is>
          <x:t xml:space="preserve">Tabs</x:t>
        </x:is>
      </x:c>
      <x:c r="D29" s="125" t="inlineStr">
        <x:is>
          <x:t xml:space="preserve">Focused Preview/Code examples, part props and qualification matrix.</x:t>
        </x:is>
      </x:c>
      <x:c r="E29" s="125" t="inlineStr">
        <x:is>
          <x:t xml:space="preserve">package</x:t>
        </x:is>
      </x:c>
      <x:c r="F29" s="125" t="inlineStr">
        <x:is>
          <x:t xml:space="preserve">playground</x:t>
        </x:is>
      </x:c>
      <x:c r="G29" s="125" t="inlineStr">
        <x:is>
          <x:t xml:space="preserve">src/components/tabs/TabsPage.tsx</x:t>
        </x:is>
      </x:c>
      <x:c r="H29" s="125" t="inlineStr">
        <x:is>
          <x:t xml:space="preserve">tested</x:t>
        </x:is>
      </x:c>
      <x:c r="I29" s="125" t="inlineStr">
        <x:is>
          <x:t xml:space="preserve">no</x:t>
        </x:is>
      </x:c>
      <x:c r="J29" s="141" t="n">
        <x:v>46229</x:v>
      </x:c>
      <x:c r="L29" s="125" t="n">
        <x:v>1</x:v>
      </x:c>
      <x:c r="M29" s="125" t="n">
        <x:f>IF(OR(AND(I29="yes",H29="verified"),AND(I29="no",OR(H29="tested",H29="verified")),AND(H29="not applicable",K29&lt;&gt;"")),1,0)</x:f>
        <x:v>1</x:v>
      </x:c>
    </x:row>
    <x:row r="30" s="127" customFormat="1" ht="42" customHeight="1">
      <x:c r="A30" s="125" t="inlineStr">
        <x:is>
          <x:t xml:space="preserve">TB-22</x:t>
        </x:is>
      </x:c>
      <x:c r="B30" s="125" t="inlineStr">
        <x:is>
          <x:t xml:space="preserve">Consumer</x:t>
        </x:is>
      </x:c>
      <x:c r="C30" s="125" t="inlineStr">
        <x:is>
          <x:t xml:space="preserve">Tabs</x:t>
        </x:is>
      </x:c>
      <x:c r="D30" s="125" t="inlineStr">
        <x:is>
          <x:t xml:space="preserve">Packed Consumer imports the public subpath and operates a realistic workspace preview.</x:t>
        </x:is>
      </x:c>
      <x:c r="E30" s="125" t="inlineStr">
        <x:is>
          <x:t xml:space="preserve">consumer</x:t>
        </x:is>
      </x:c>
      <x:c r="F30" s="125" t="inlineStr">
        <x:is>
          <x:t xml:space="preserve">consumer</x:t>
        </x:is>
      </x:c>
      <x:c r="G30" s="125" t="inlineStr">
        <x:is>
          <x:t xml:space="preserve">../apps/consumer/src/App.tsx; ../apps/consumer/tests/consumer.spec.ts</x:t>
        </x:is>
      </x:c>
      <x:c r="H30" s="125" t="inlineStr">
        <x:is>
          <x:t xml:space="preserve">tested</x:t>
        </x:is>
      </x:c>
      <x:c r="I30" s="125" t="inlineStr">
        <x:is>
          <x:t xml:space="preserve">no</x:t>
        </x:is>
      </x:c>
      <x:c r="J30" s="141" t="n">
        <x:v>46229</x:v>
      </x:c>
      <x:c r="L30" s="125" t="n">
        <x:v>1</x:v>
      </x:c>
      <x:c r="M30" s="125" t="n">
        <x:f>IF(OR(AND(I30="yes",H30="verified"),AND(I30="no",OR(H30="tested",H30="verified")),AND(H30="not applicable",K30&lt;&gt;"")),1,0)</x:f>
        <x:v>1</x:v>
      </x:c>
    </x:row>
    <x:row r="31" s="127" customFormat="1" ht="42" customHeight="1">
      <x:c r="A31" s="125" t="inlineStr">
        <x:is>
          <x:t xml:space="preserve">TB-23</x:t>
        </x:is>
      </x:c>
      <x:c r="B31" s="125" t="inlineStr">
        <x:is>
          <x:t xml:space="preserve">Package</x:t>
        </x:is>
      </x:c>
      <x:c r="C31" s="125" t="inlineStr">
        <x:is>
          <x:t xml:space="preserve">Tabs</x:t>
        </x:is>
      </x:c>
      <x:c r="D31" s="125" t="inlineStr">
        <x:is>
          <x:t xml:space="preserve">Build, exports, SSR, tarball, CSS, React 18/19, consumers, configured browsers, responsive layout, docs, and exact Atom dependency pass.</x:t>
        </x:is>
      </x:c>
      <x:c r="E31" s="125" t="inlineStr">
        <x:is>
          <x:t xml:space="preserve">package</x:t>
        </x:is>
      </x:c>
      <x:c r="F31" s="125" t="inlineStr">
        <x:is>
          <x:t xml:space="preserve">package</x:t>
        </x:is>
      </x:c>
      <x:c r="G31" s="125" t="inlineStr">
        <x:is>
          <x:t xml:space="preserve">../scripts/verify-package.mjs; ../scripts/verify-consumers.mjs; tests/components/tabs/behavior.spec.ts</x:t>
        </x:is>
      </x:c>
      <x:c r="H31" s="125" t="inlineStr">
        <x:is>
          <x:t xml:space="preserve">partial</x:t>
        </x:is>
      </x:c>
      <x:c r="I31" s="125" t="inlineStr">
        <x:is>
          <x:t xml:space="preserve">no</x:t>
        </x:is>
      </x:c>
      <x:c r="J31" s="141" t="n">
        <x:v>46244</x:v>
      </x:c>
      <x:c r="L31" s="125" t="n">
        <x:v>1</x:v>
      </x:c>
      <x:c r="M31" s="125" t="n">
        <x:f>IF(OR(AND(I31="yes",H31="verified"),AND(I31="no",OR(H31="tested",H31="verified")),AND(H31="not applicable",K31&lt;&gt;"")),1,0)</x:f>
        <x:v>0</x:v>
      </x:c>
    </x:row>
  </x:sheetData>
  <x:mergeCells>
    <x:mergeCell ref="A2:M2"/>
    <x:mergeCell ref="A1:M1"/>
  </x:mergeCells>
  <x:dataValidations count="2">
    <x:dataValidation type="list" errorStyle="stop" operator="between" allowBlank="0" showDropDown="0" showInputMessage="0" showErrorMessage="0" sqref="H9:H31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31">
      <x:formula1>"yes,no"</x:formula1>
      <x:formula2>0</x:formula2>
    </x:dataValidation>
  </x:dataValidation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Skeleton Evidence</x:t>
        </x:is>
      </x:c>
    </x:row>
    <x:row r="2" s="127" customFormat="1" ht="27.75" customHeight="1">
      <x:c r="A2" s="129" t="inlineStr">
        <x:is>
          <x:t xml:space="preserve">Assertion-level visual loading, motion, geometry, accessibility, package, documentation, Consumer, and responsive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COUNTA(A9:A30)</x:f>
        <x:v>22</x:v>
      </x:c>
      <x:c r="D4" s="130" t="inlineStr">
        <x:is>
          <x:t xml:space="preserve">Resolved</x:t>
        </x:is>
      </x:c>
      <x:c r="E4" s="131" t="n">
        <x:f>SUM(M9:M30)</x:f>
        <x:v>21</x:v>
      </x:c>
      <x:c r="G4" s="130" t="inlineStr">
        <x:is>
          <x:t xml:space="preserve">Completion</x:t>
        </x:is>
      </x:c>
      <x:c r="H4" s="132" t="n">
        <x:f>IF(B4=0,0,E4/B4)</x:f>
        <x:v>0.9545454545454546</x:v>
      </x:c>
      <x:c r="J4" s="130" t="inlineStr">
        <x:is>
          <x:t xml:space="preserve">Package gate</x:t>
        </x:is>
      </x:c>
      <x:c r="K4" s="131" t="str">
        <x:f>IF(COUNTIFS(E9:E30,"package",M9:M30,0)&gt;0,"open","complete")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IF(COUNTIFS(I9:I30,"yes",M9:M30,0)&gt;0,"open","complete")</x:f>
        <x:v>open</x:v>
      </x:c>
      <x:c r="D5" s="130" t="inlineStr">
        <x:is>
          <x:t xml:space="preserve">Consumer gate</x:t>
        </x:is>
      </x:c>
      <x:c r="E5" s="131" t="str">
        <x:f>IF(COUNTIFS(E9:E30,"consumer",M9:M30,0)&gt;0,"open","complete")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SK-01</x:t>
        </x:is>
      </x:c>
      <x:c r="B9" s="149" t="inlineStr">
        <x:is>
          <x:t xml:space="preserve">Ownership</x:t>
        </x:is>
      </x:c>
      <x:c r="C9" s="149" t="inlineStr">
        <x:is>
          <x:t xml:space="preserve">Skeleton</x:t>
        </x:is>
      </x:c>
      <x:c r="D9" s="150" t="inlineStr">
        <x:is>
          <x:t xml:space="preserve">Brick owns a purely visual loading placeholder; applications own loading state and region announcements, so no Atom primitive is duplicated.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../src/components/skeleton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46280</x:v>
      </x:c>
      <x:c r="K9" s="150" t="n"/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SK-02</x:t>
        </x:is>
      </x:c>
      <x:c r="B10" s="149" t="inlineStr">
        <x:is>
          <x:t xml:space="preserve">Anatomy</x:t>
        </x:is>
      </x:c>
      <x:c r="C10" s="149" t="inlineStr">
        <x:is>
          <x:t xml:space="preserve">Skeleton</x:t>
        </x:is>
      </x:c>
      <x:c r="D10" s="150" t="inlineStr">
        <x:is>
          <x:t xml:space="preserve">A stable span or asChild host retains children without a private wrapper; loading excludes focus with native inert.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../test/components/skeleton/skeleton.test.tsx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46280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SK-03</x:t>
        </x:is>
      </x:c>
      <x:c r="B11" s="149" t="inlineStr">
        <x:is>
          <x:t xml:space="preserve">Exports</x:t>
        </x:is>
      </x:c>
      <x:c r="C11" s="149" t="inlineStr">
        <x:is>
          <x:t xml:space="preserve">Skeleton</x:t>
        </x:is>
      </x:c>
      <x:c r="D11" s="150" t="inlineStr">
        <x:is>
          <x:t xml:space="preserve">Root and skeleton subpath expose the runtime component and every closed public type.</x:t>
        </x:is>
      </x:c>
      <x:c r="E11" s="149" t="inlineStr">
        <x:is>
          <x:t xml:space="preserve">package</x:t>
        </x:is>
      </x:c>
      <x:c r="F11" s="149" t="inlineStr">
        <x:is>
          <x:t xml:space="preserve">package</x:t>
        </x:is>
      </x:c>
      <x:c r="G11" s="150" t="inlineStr">
        <x:is>
          <x:t xml:space="preserve">../test/package/package.test.mjs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46280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SK-04</x:t>
        </x:is>
      </x:c>
      <x:c r="B12" s="149" t="inlineStr">
        <x:is>
          <x:t xml:space="preserve">Types</x:t>
        </x:is>
      </x:c>
      <x:c r="C12" s="149" t="inlineStr">
        <x:is>
          <x:t xml:space="preserve">Skeleton</x:t>
        </x:is>
      </x:c>
      <x:c r="D12" s="150" t="inlineStr">
        <x:is>
          <x:t xml:space="preserve">Shapes, animations, dimensions, radius, size, gap, lastLineWidth and asChild type-check.</x:t>
        </x:is>
      </x:c>
      <x:c r="E12" s="149" t="inlineStr">
        <x:is>
          <x:t xml:space="preserve">package</x:t>
        </x:is>
      </x:c>
      <x:c r="F12" s="149" t="inlineStr">
        <x:is>
          <x:t xml:space="preserve">types</x:t>
        </x:is>
      </x:c>
      <x:c r="G12" s="150" t="inlineStr">
        <x:is>
          <x:t xml:space="preserve">../test/types/components/skeleton.test.ts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46280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SK-05</x:t>
        </x:is>
      </x:c>
      <x:c r="B13" s="149" t="inlineStr">
        <x:is>
          <x:t xml:space="preserve">CSS</x:t>
        </x:is>
      </x:c>
      <x:c r="C13" s="149" t="inlineStr">
        <x:is>
          <x:t xml:space="preserve">Skeleton</x:t>
        </x:is>
      </x:c>
      <x:c r="D13" s="150" t="inlineStr">
        <x:is>
          <x:t xml:space="preserve">Static CSS ships geometry, pulse/wave/static recipes, child hiding, line layout, forced colors, reduced motion, and public variables.</x:t>
        </x:is>
      </x:c>
      <x:c r="E13" s="149" t="inlineStr">
        <x:is>
          <x:t xml:space="preserve">package</x:t>
        </x:is>
      </x:c>
      <x:c r="F13" s="149" t="inlineStr">
        <x:is>
          <x:t xml:space="preserve">css</x:t>
        </x:is>
      </x:c>
      <x:c r="G13" s="150" t="inlineStr">
        <x:is>
          <x:t xml:space="preserve">../src/components/skeleton/skeleton.css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46280</x:v>
      </x:c>
      <x:c r="K13" s="150" t="n"/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SK-06</x:t>
        </x:is>
      </x:c>
      <x:c r="B14" s="149" t="inlineStr">
        <x:is>
          <x:t xml:space="preserve">Defaults</x:t>
        </x:is>
      </x:c>
      <x:c r="C14" s="149" t="inlineStr">
        <x:is>
          <x:t xml:space="preserve">Skeleton</x:t>
        </x:is>
      </x:c>
      <x:c r="D14" s="150" t="inlineStr">
        <x:is>
          <x:t xml:space="preserve">Text, pulse, loading, and one line render as a silent full-width font-height placeholder.</x:t>
        </x:is>
      </x:c>
      <x:c r="E14" s="149" t="inlineStr">
        <x:is>
          <x:t xml:space="preserve">package</x:t>
        </x:is>
      </x:c>
      <x:c r="F14" s="149" t="inlineStr">
        <x:is>
          <x:t xml:space="preserve">browser</x:t>
        </x:is>
      </x:c>
      <x:c r="G14" s="150" t="inlineStr">
        <x:is>
          <x:t xml:space="preserve">tests/components/skeleton/behavior.spec.ts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46280</x:v>
      </x:c>
      <x:c r="K14" s="150" t="n"/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SK-07</x:t>
        </x:is>
      </x:c>
      <x:c r="B15" s="149" t="inlineStr">
        <x:is>
          <x:t xml:space="preserve">Variants</x:t>
        </x:is>
      </x:c>
      <x:c r="C15" s="149" t="inlineStr">
        <x:is>
          <x:t xml:space="preserve">Skeleton</x:t>
        </x:is>
      </x:c>
      <x:c r="D15" s="150" t="inlineStr">
        <x:is>
          <x:t xml:space="preserve">Text, circular, rectangular, and rounded change only intended geometry.</x:t>
        </x:is>
      </x:c>
      <x:c r="E15" s="149" t="inlineStr">
        <x:is>
          <x:t xml:space="preserve">package</x:t>
        </x:is>
      </x:c>
      <x:c r="F15" s="149" t="inlineStr">
        <x:is>
          <x:t xml:space="preserve">visual</x:t>
        </x:is>
      </x:c>
      <x:c r="G15" s="150" t="inlineStr">
        <x:is>
          <x:t xml:space="preserve">tests/components/skeleton/visual.spec.ts</x:t>
        </x:is>
      </x:c>
      <x:c r="H15" s="149" t="inlineStr">
        <x:is>
          <x:t xml:space="preserve">verified</x:t>
        </x:is>
      </x:c>
      <x:c r="I15" s="149" t="inlineStr">
        <x:is>
          <x:t xml:space="preserve">yes</x:t>
        </x:is>
      </x:c>
      <x:c r="J15" s="151" t="n">
        <x:v>46280</x:v>
      </x:c>
      <x:c r="K15" s="150" t="inlineStr">
        <x:is>
          <x:t xml:space="preserve">Agent-inspected generated variants baseline.</x:t>
        </x:is>
      </x:c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SK-08</x:t>
        </x:is>
      </x:c>
      <x:c r="B16" s="149" t="inlineStr">
        <x:is>
          <x:t xml:space="preserve">Animation</x:t>
        </x:is>
      </x:c>
      <x:c r="C16" s="149" t="inlineStr">
        <x:is>
          <x:t xml:space="preserve">Skeleton</x:t>
        </x:is>
      </x:c>
      <x:c r="D16" s="150" t="inlineStr">
        <x:is>
          <x:t xml:space="preserve">Pulse, wave, and none are visually distinct and all animation stops with prefers-reduced-motion.</x:t>
        </x:is>
      </x:c>
      <x:c r="E16" s="149" t="inlineStr">
        <x:is>
          <x:t xml:space="preserve">package</x:t>
        </x:is>
      </x:c>
      <x:c r="F16" s="149" t="inlineStr">
        <x:is>
          <x:t xml:space="preserve">visual</x:t>
        </x:is>
      </x:c>
      <x:c r="G16" s="150" t="inlineStr">
        <x:is>
          <x:t xml:space="preserve">tests/components/skeleton/visual.spec.ts</x:t>
        </x:is>
      </x:c>
      <x:c r="H16" s="149" t="inlineStr">
        <x:is>
          <x:t xml:space="preserve">verified</x:t>
        </x:is>
      </x:c>
      <x:c r="I16" s="149" t="inlineStr">
        <x:is>
          <x:t xml:space="preserve">yes</x:t>
        </x:is>
      </x:c>
      <x:c r="J16" s="151" t="n">
        <x:v>46280</x:v>
      </x:c>
      <x:c r="K16" s="150" t="inlineStr">
        <x:is>
          <x:t xml:space="preserve">Agent-inspected generated animation baseline.</x:t>
        </x:is>
      </x:c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SK-09</x:t>
        </x:is>
      </x:c>
      <x:c r="B17" s="149" t="inlineStr">
        <x:is>
          <x:t xml:space="preserve">Dimensions</x:t>
        </x:is>
      </x:c>
      <x:c r="C17" s="149" t="inlineStr">
        <x:is>
          <x:t xml:space="preserve">Skeleton</x:t>
        </x:is>
      </x:c>
      <x:c r="D17" s="150" t="inlineStr">
        <x:is>
          <x:t xml:space="preserve">Numeric, CSS-length, consumer style, defaults, and public variables size placeholders without a misleading component size scale.</x:t>
        </x:is>
      </x:c>
      <x:c r="E17" s="149" t="inlineStr">
        <x:is>
          <x:t xml:space="preserve">package</x:t>
        </x:is>
      </x:c>
      <x:c r="F17" s="149" t="inlineStr">
        <x:is>
          <x:t xml:space="preserve">browser</x:t>
        </x:is>
      </x:c>
      <x:c r="G17" s="150" t="inlineStr">
        <x:is>
          <x:t xml:space="preserve">tests/components/skeleton/behavior.spec.ts; tests/components/skeleton/visual.spec.ts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n">
        <x:v>46280</x:v>
      </x:c>
      <x:c r="K17" s="150" t="n"/>
      <x:c r="L17" s="149" t="n">
        <x:v>1</x:v>
      </x:c>
      <x:c r="M17" s="149" t="n">
        <x:f>IF(OR(AND(I17="yes",H17="verified"),AND(I17="no",OR(H17="tested",H17="verified")),AND(H17="not applicable",K17&lt;&gt;"")),1,0)</x:f>
        <x:v>1</x:v>
      </x:c>
    </x:row>
    <x:row r="18" s="127" customFormat="1" ht="54" customHeight="1">
      <x:c r="A18" s="149" t="inlineStr">
        <x:is>
          <x:t xml:space="preserve">SK-10</x:t>
        </x:is>
      </x:c>
      <x:c r="B18" s="149" t="inlineStr">
        <x:is>
          <x:t xml:space="preserve">Text lines</x:t>
        </x:is>
      </x:c>
      <x:c r="C18" s="149" t="inlineStr">
        <x:is>
          <x:t xml:space="preserve">Skeleton</x:t>
        </x:is>
      </x:c>
      <x:c r="D18" s="150" t="inlineStr">
        <x:is>
          <x:t xml:space="preserve">Finite counts normalize to 1–100; loaded lines have no paint and pulse runs on one layer.</x:t>
        </x:is>
      </x:c>
      <x:c r="E18" s="149" t="inlineStr">
        <x:is>
          <x:t xml:space="preserve">package</x:t>
        </x:is>
      </x:c>
      <x:c r="F18" s="149" t="inlineStr">
        <x:is>
          <x:t xml:space="preserve">browser</x:t>
        </x:is>
      </x:c>
      <x:c r="G18" s="150" t="inlineStr">
        <x:is>
          <x:t xml:space="preserve">tests/components/skeleton/behavior.spec.ts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n">
        <x:v>46280</x:v>
      </x:c>
      <x:c r="K18" s="150" t="n"/>
      <x:c r="L18" s="149" t="n">
        <x:v>1</x:v>
      </x:c>
      <x:c r="M18" s="149" t="n">
        <x:f>IF(OR(AND(I18="yes",H18="verified"),AND(I18="no",OR(H18="tested",H18="verified")),AND(H18="not applicable",K18&lt;&gt;"")),1,0)</x:f>
        <x:v>1</x:v>
      </x:c>
    </x:row>
    <x:row r="19" s="127" customFormat="1" ht="54" customHeight="1">
      <x:c r="A19" s="149" t="inlineStr">
        <x:is>
          <x:t xml:space="preserve">SK-11</x:t>
        </x:is>
      </x:c>
      <x:c r="B19" s="149" t="inlineStr">
        <x:is>
          <x:t xml:space="preserve">Loading</x:t>
        </x:is>
      </x:c>
      <x:c r="C19" s="149" t="inlineStr">
        <x:is>
          <x:t xml:space="preserve">Skeleton</x:t>
        </x:is>
      </x:c>
      <x:c r="D19" s="150" t="inlineStr">
        <x:is>
          <x:t xml:space="preserve">Composed content keeps measured dimensions, remains inert while loading and retains its host when revealed.</x:t>
        </x:is>
      </x:c>
      <x:c r="E19" s="149" t="inlineStr">
        <x:is>
          <x:t xml:space="preserve">package</x:t>
        </x:is>
      </x:c>
      <x:c r="F19" s="149" t="inlineStr">
        <x:is>
          <x:t xml:space="preserve">browser</x:t>
        </x:is>
      </x:c>
      <x:c r="G19" s="150" t="inlineStr">
        <x:is>
          <x:t xml:space="preserve">../test/components/skeleton/skeleton.test.tsx; tests/components/skeleton/behavior.spec.ts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46280</x:v>
      </x:c>
      <x:c r="K19" s="150" t="n"/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SK-12</x:t>
        </x:is>
      </x:c>
      <x:c r="B20" s="149" t="inlineStr">
        <x:is>
          <x:t xml:space="preserve">Composition</x:t>
        </x:is>
      </x:c>
      <x:c r="C20" s="149" t="inlineStr">
        <x:is>
          <x:t xml:space="preserve">Skeleton</x:t>
        </x:is>
      </x:c>
      <x:c r="D20" s="150" t="inlineStr">
        <x:is>
          <x:t xml:space="preserve">Real Brick controls, surfaces, rows, and card previews compose without Skeleton taking their semantics or data ownership.</x:t>
        </x:is>
      </x:c>
      <x:c r="E20" s="149" t="inlineStr">
        <x:is>
          <x:t xml:space="preserve">package</x:t>
        </x:is>
      </x:c>
      <x:c r="F20" s="149" t="inlineStr">
        <x:is>
          <x:t xml:space="preserve">visual</x:t>
        </x:is>
      </x:c>
      <x:c r="G20" s="150" t="inlineStr">
        <x:is>
          <x:t xml:space="preserve">tests/components/skeleton/visual.spec.ts</x:t>
        </x:is>
      </x:c>
      <x:c r="H20" s="149" t="inlineStr">
        <x:is>
          <x:t xml:space="preserve">verified</x:t>
        </x:is>
      </x:c>
      <x:c r="I20" s="149" t="inlineStr">
        <x:is>
          <x:t xml:space="preserve">yes</x:t>
        </x:is>
      </x:c>
      <x:c r="J20" s="151" t="n">
        <x:v>46280</x:v>
      </x:c>
      <x:c r="K20" s="150" t="inlineStr">
        <x:is>
          <x:t xml:space="preserve">Agent-inspected loading and composition baselines.</x:t>
        </x:is>
      </x:c>
      <x:c r="L20" s="149" t="n">
        <x:v>1</x:v>
      </x:c>
      <x:c r="M20" s="149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49" t="inlineStr">
        <x:is>
          <x:t xml:space="preserve">SK-13</x:t>
        </x:is>
      </x:c>
      <x:c r="B21" s="149" t="inlineStr">
        <x:is>
          <x:t xml:space="preserve">Accessibility</x:t>
        </x:is>
      </x:c>
      <x:c r="C21" s="149" t="inlineStr">
        <x:is>
          <x:t xml:space="preserve">Skeleton</x:t>
        </x:is>
      </x:c>
      <x:c r="D21" s="150" t="inlineStr">
        <x:is>
          <x:t xml:space="preserve">Loading placeholders are aria-hidden, never focusable or named, and the owning region demonstrates aria-busy; axe passes.</x:t>
        </x:is>
      </x:c>
      <x:c r="E21" s="149" t="inlineStr">
        <x:is>
          <x:t xml:space="preserve">package</x:t>
        </x:is>
      </x:c>
      <x:c r="F21" s="149" t="inlineStr">
        <x:is>
          <x:t xml:space="preserve">axe</x:t>
        </x:is>
      </x:c>
      <x:c r="G21" s="150" t="inlineStr">
        <x:is>
          <x:t xml:space="preserve">tests/components/skeleton/behavior.spec.ts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46280</x:v>
      </x:c>
      <x:c r="K21" s="150" t="n"/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SK-14</x:t>
        </x:is>
      </x:c>
      <x:c r="B22" s="149" t="inlineStr">
        <x:is>
          <x:t xml:space="preserve">Responsive</x:t>
        </x:is>
      </x:c>
      <x:c r="C22" s="149" t="inlineStr">
        <x:is>
          <x:t xml:space="preserve">Skeleton</x:t>
        </x:is>
      </x:c>
      <x:c r="D22" s="150" t="inlineStr">
        <x:is>
          <x:t xml:space="preserve">Responsive Frame dimensions and narrow RTL layouts stay bounded. Actual zoom is a separate manual gate.</x:t>
        </x:is>
      </x:c>
      <x:c r="E22" s="149" t="inlineStr">
        <x:is>
          <x:t xml:space="preserve">package</x:t>
        </x:is>
      </x:c>
      <x:c r="F22" s="149" t="inlineStr">
        <x:is>
          <x:t xml:space="preserve">browser</x:t>
        </x:is>
      </x:c>
      <x:c r="G22" s="150" t="inlineStr">
        <x:is>
          <x:t xml:space="preserve">tests/components/skeleton/behavior.spec.ts; tests/components/skeleton/visual.spec.ts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46280</x:v>
      </x:c>
      <x:c r="K22" s="150" t="n"/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SK-15</x:t>
        </x:is>
      </x:c>
      <x:c r="B23" s="149" t="inlineStr">
        <x:is>
          <x:t xml:space="preserve">Appearance</x:t>
        </x:is>
      </x:c>
      <x:c r="C23" s="149" t="inlineStr">
        <x:is>
          <x:t xml:space="preserve">Skeleton</x:t>
        </x:is>
      </x:c>
      <x:c r="D23" s="150" t="inlineStr">
        <x:is>
          <x:t xml:space="preserve">Semantic paint adapts in light/dark and forced colors; exact public variables match the customization example.</x:t>
        </x:is>
      </x:c>
      <x:c r="E23" s="149" t="inlineStr">
        <x:is>
          <x:t xml:space="preserve">package</x:t>
        </x:is>
      </x:c>
      <x:c r="F23" s="149" t="inlineStr">
        <x:is>
          <x:t xml:space="preserve">visual</x:t>
        </x:is>
      </x:c>
      <x:c r="G23" s="150" t="inlineStr">
        <x:is>
          <x:t xml:space="preserve">tests/components/skeleton/visual.spec.ts</x:t>
        </x:is>
      </x:c>
      <x:c r="H23" s="149" t="inlineStr">
        <x:is>
          <x:t xml:space="preserve">verified</x:t>
        </x:is>
      </x:c>
      <x:c r="I23" s="149" t="inlineStr">
        <x:is>
          <x:t xml:space="preserve">yes</x:t>
        </x:is>
      </x:c>
      <x:c r="J23" s="151" t="n">
        <x:v>46280</x:v>
      </x:c>
      <x:c r="K23" s="150" t="inlineStr">
        <x:is>
          <x:t xml:space="preserve">Agent-inspected appearance and forced-color baselines.</x:t>
        </x:is>
      </x:c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SK-16</x:t>
        </x:is>
      </x:c>
      <x:c r="B24" s="149" t="inlineStr">
        <x:is>
          <x:t xml:space="preserve">Visual</x:t>
        </x:is>
      </x:c>
      <x:c r="C24" s="149" t="inlineStr">
        <x:is>
          <x:t xml:space="preserve">Skeleton</x:t>
        </x:is>
      </x:c>
      <x:c r="D24" s="150" t="inlineStr">
        <x:is>
          <x:t xml:space="preserve">Reviewed baselines cover defaults, shapes, animation, dimensions, lines, loading, appearance, mobile, and forced colors.</x:t>
        </x:is>
      </x:c>
      <x:c r="E24" s="149" t="inlineStr">
        <x:is>
          <x:t xml:space="preserve">package</x:t>
        </x:is>
      </x:c>
      <x:c r="F24" s="149" t="inlineStr">
        <x:is>
          <x:t xml:space="preserve">visual</x:t>
        </x:is>
      </x:c>
      <x:c r="G24" s="150" t="inlineStr">
        <x:is>
          <x:t xml:space="preserve">tests/components/skeleton/visual.spec.ts</x:t>
        </x:is>
      </x:c>
      <x:c r="H24" s="149" t="inlineStr">
        <x:is>
          <x:t xml:space="preserve">verified</x:t>
        </x:is>
      </x:c>
      <x:c r="I24" s="149" t="inlineStr">
        <x:is>
          <x:t xml:space="preserve">yes</x:t>
        </x:is>
      </x:c>
      <x:c r="J24" s="151" t="n">
        <x:v>46280</x:v>
      </x:c>
      <x:c r="K24" s="150" t="inlineStr">
        <x:is>
          <x:t xml:space="preserve">Agent-inspected every generated Skeleton baseline.</x:t>
        </x:is>
      </x:c>
      <x:c r="L24" s="149" t="n">
        <x:v>1</x:v>
      </x:c>
      <x:c r="M24" s="149" t="n">
        <x:f>IF(OR(AND(I24="yes",H24="verified"),AND(I24="no",OR(H24="tested",H24="verified")),AND(H24="not applicable",K24&lt;&gt;"")),1,0)</x:f>
        <x:v>1</x:v>
      </x:c>
    </x:row>
    <x:row r="25" s="127" customFormat="1" ht="54" customHeight="1">
      <x:c r="A25" s="149" t="inlineStr">
        <x:is>
          <x:t xml:space="preserve">SK-17</x:t>
        </x:is>
      </x:c>
      <x:c r="B25" s="149" t="inlineStr">
        <x:is>
          <x:t xml:space="preserve">Manual</x:t>
        </x:is>
      </x:c>
      <x:c r="C25" s="149" t="inlineStr">
        <x:is>
          <x:t xml:space="preserve">Skeleton</x:t>
        </x:is>
      </x:c>
      <x:c r="D25" s="150" t="inlineStr">
        <x:is>
          <x:t xml:space="preserve">A tester completes the concise shape, motion, loading, AT, zoom, device, appearance, forced-color, and reduced-motion protocol.</x:t>
        </x:is>
      </x:c>
      <x:c r="E25" s="149" t="inlineStr">
        <x:is>
          <x:t xml:space="preserve">package</x:t>
        </x:is>
      </x:c>
      <x:c r="F25" s="149" t="inlineStr">
        <x:is>
          <x:t xml:space="preserve">manual</x:t>
        </x:is>
      </x:c>
      <x:c r="G25" s="150" t="inlineStr">
        <x:is>
          <x:t xml:space="preserve">manual-tests/skeleton.md</x:t>
        </x:is>
      </x:c>
      <x:c r="H25" s="149" t="inlineStr">
        <x:is>
          <x:t xml:space="preserve">not started</x:t>
        </x:is>
      </x:c>
      <x:c r="I25" s="149" t="inlineStr">
        <x:is>
          <x:t xml:space="preserve">yes</x:t>
        </x:is>
      </x:c>
      <x:c r="J25" s="151" t="n">
        <x:v>46229</x:v>
      </x:c>
      <x:c r="K25" s="150" t="inlineStr">
        <x:is>
          <x:t xml:space="preserve">Human run intentionally unclaimed.</x:t>
        </x:is>
      </x:c>
      <x:c r="L25" s="149" t="n">
        <x:v>1</x:v>
      </x:c>
      <x:c r="M25" s="149" t="n">
        <x:f>IF(OR(AND(I25="yes",H25="verified"),AND(I25="no",OR(H25="tested",H25="verified")),AND(H25="not applicable",K25&lt;&gt;"")),1,0)</x:f>
        <x:v>0</x:v>
      </x:c>
    </x:row>
    <x:row r="26" s="127" customFormat="1" ht="54" customHeight="1">
      <x:c r="A26" s="149" t="inlineStr">
        <x:is>
          <x:t xml:space="preserve">SK-18</x:t>
        </x:is>
      </x:c>
      <x:c r="B26" s="149" t="inlineStr">
        <x:is>
          <x:t xml:space="preserve">Docs</x:t>
        </x:is>
      </x:c>
      <x:c r="C26" s="149" t="inlineStr">
        <x:is>
          <x:t xml:space="preserve">Skeleton</x:t>
        </x:is>
      </x:c>
      <x:c r="D26" s="150" t="inlineStr">
        <x:is>
          <x:t xml:space="preserve">Source-backed use, anatomy, API, recipes, accessibility, responsive behavior, composition, CSS, customization, and evidence are documented.</x:t>
        </x:is>
      </x:c>
      <x:c r="E26" s="149" t="inlineStr">
        <x:is>
          <x:t xml:space="preserve">package</x:t>
        </x:is>
      </x:c>
      <x:c r="F26" s="149" t="inlineStr">
        <x:is>
          <x:t xml:space="preserve">docs</x:t>
        </x:is>
      </x:c>
      <x:c r="G26" s="150" t="inlineStr">
        <x:is>
          <x:t xml:space="preserve">../docs/components/skeleton/README.md</x:t>
        </x:is>
      </x:c>
      <x:c r="H26" s="149" t="inlineStr">
        <x:is>
          <x:t xml:space="preserve">tested</x:t>
        </x:is>
      </x:c>
      <x:c r="I26" s="149" t="inlineStr">
        <x:is>
          <x:t xml:space="preserve">no</x:t>
        </x:is>
      </x:c>
      <x:c r="J26" s="151" t="n">
        <x:v>46280</x:v>
      </x:c>
      <x:c r="K26" s="150" t="n"/>
      <x:c r="L26" s="149" t="n">
        <x:v>1</x:v>
      </x:c>
      <x:c r="M26" s="149" t="n">
        <x:f>IF(OR(AND(I26="yes",H26="verified"),AND(I26="no",OR(H26="tested",H26="verified")),AND(H26="not applicable",K26&lt;&gt;"")),1,0)</x:f>
        <x:v>1</x:v>
      </x:c>
    </x:row>
    <x:row r="27" s="127" customFormat="1" ht="54" customHeight="1">
      <x:c r="A27" s="149" t="inlineStr">
        <x:is>
          <x:t xml:space="preserve">SK-19</x:t>
        </x:is>
      </x:c>
      <x:c r="B27" s="149" t="inlineStr">
        <x:is>
          <x:t xml:space="preserve">Changelog</x:t>
        </x:is>
      </x:c>
      <x:c r="C27" s="149" t="inlineStr">
        <x:is>
          <x:t xml:space="preserve">Skeleton</x:t>
        </x:is>
      </x:c>
      <x:c r="D27" s="150" t="inlineStr">
        <x:is>
          <x:t xml:space="preserve">Skeleton owns a public changelog and the package changelog records the addition.</x:t>
        </x:is>
      </x:c>
      <x:c r="E27" s="149" t="inlineStr">
        <x:is>
          <x:t xml:space="preserve">package</x:t>
        </x:is>
      </x:c>
      <x:c r="F27" s="149" t="inlineStr">
        <x:is>
          <x:t xml:space="preserve">docs</x:t>
        </x:is>
      </x:c>
      <x:c r="G27" s="150" t="inlineStr">
        <x:is>
          <x:t xml:space="preserve">../docs/components/skeleton/CHANGELOG.md; ../CHANGELOG.md</x:t>
        </x:is>
      </x:c>
      <x:c r="H27" s="149" t="inlineStr">
        <x:is>
          <x:t xml:space="preserve">tested</x:t>
        </x:is>
      </x:c>
      <x:c r="I27" s="149" t="inlineStr">
        <x:is>
          <x:t xml:space="preserve">no</x:t>
        </x:is>
      </x:c>
      <x:c r="J27" s="151" t="n">
        <x:v>46280</x:v>
      </x:c>
      <x:c r="K27" s="150" t="n"/>
      <x:c r="L27" s="149" t="n">
        <x:v>1</x:v>
      </x:c>
      <x:c r="M27" s="149" t="n">
        <x:f>IF(OR(AND(I27="yes",H27="verified"),AND(I27="no",OR(H27="tested",H27="verified")),AND(H27="not applicable",K27&lt;&gt;"")),1,0)</x:f>
        <x:v>1</x:v>
      </x:c>
    </x:row>
    <x:row r="28" s="127" customFormat="1" ht="54" customHeight="1">
      <x:c r="A28" s="149" t="inlineStr">
        <x:is>
          <x:t xml:space="preserve">SK-20</x:t>
        </x:is>
      </x:c>
      <x:c r="B28" s="149" t="inlineStr">
        <x:is>
          <x:t xml:space="preserve">Playground</x:t>
        </x:is>
      </x:c>
      <x:c r="C28" s="149" t="inlineStr">
        <x:is>
          <x:t xml:space="preserve">Skeleton</x:t>
        </x:is>
      </x:c>
      <x:c r="D28" s="150" t="inlineStr">
        <x:is>
          <x:t xml:space="preserve">Focused docs pair eight examples with source and props; qualification retains nine scenarios.</x:t>
        </x:is>
      </x:c>
      <x:c r="E28" s="149" t="inlineStr">
        <x:is>
          <x:t xml:space="preserve">package</x:t>
        </x:is>
      </x:c>
      <x:c r="F28" s="149" t="inlineStr">
        <x:is>
          <x:t xml:space="preserve">playground</x:t>
        </x:is>
      </x:c>
      <x:c r="G28" s="150" t="inlineStr">
        <x:is>
          <x:t xml:space="preserve">src/components/skeleton/SkeletonPage.tsx</x:t>
        </x:is>
      </x:c>
      <x:c r="H28" s="149" t="inlineStr">
        <x:is>
          <x:t xml:space="preserve">tested</x:t>
        </x:is>
      </x:c>
      <x:c r="I28" s="149" t="inlineStr">
        <x:is>
          <x:t xml:space="preserve">no</x:t>
        </x:is>
      </x:c>
      <x:c r="J28" s="151" t="n">
        <x:v>46280</x:v>
      </x:c>
      <x:c r="K28" s="150" t="n"/>
      <x:c r="L28" s="149" t="n">
        <x:v>1</x:v>
      </x:c>
      <x:c r="M28" s="149" t="n">
        <x:f>IF(OR(AND(I28="yes",H28="verified"),AND(I28="no",OR(H28="tested",H28="verified")),AND(H28="not applicable",K28&lt;&gt;"")),1,0)</x:f>
        <x:v>1</x:v>
      </x:c>
    </x:row>
    <x:row r="29" s="127" customFormat="1" ht="54" customHeight="1">
      <x:c r="A29" s="149" t="inlineStr">
        <x:is>
          <x:t xml:space="preserve">SK-21</x:t>
        </x:is>
      </x:c>
      <x:c r="B29" s="149" t="inlineStr">
        <x:is>
          <x:t xml:space="preserve">Consumer</x:t>
        </x:is>
      </x:c>
      <x:c r="C29" s="149" t="inlineStr">
        <x:is>
          <x:t xml:space="preserve">Skeleton</x:t>
        </x:is>
      </x:c>
      <x:c r="D29" s="150" t="inlineStr">
        <x:is>
          <x:t xml:space="preserve">Packed Consumer imports the public subpath and renders multi-line loading geometry inside Tabs.</x:t>
        </x:is>
      </x:c>
      <x:c r="E29" s="149" t="inlineStr">
        <x:is>
          <x:t xml:space="preserve">consumer</x:t>
        </x:is>
      </x:c>
      <x:c r="F29" s="149" t="inlineStr">
        <x:is>
          <x:t xml:space="preserve">consumer</x:t>
        </x:is>
      </x:c>
      <x:c r="G29" s="150" t="inlineStr">
        <x:is>
          <x:t xml:space="preserve">../apps/consumer/src/App.tsx; ../apps/consumer/tests/consumer.spec.ts</x:t>
        </x:is>
      </x:c>
      <x:c r="H29" s="149" t="inlineStr">
        <x:is>
          <x:t xml:space="preserve">tested</x:t>
        </x:is>
      </x:c>
      <x:c r="I29" s="149" t="inlineStr">
        <x:is>
          <x:t xml:space="preserve">no</x:t>
        </x:is>
      </x:c>
      <x:c r="J29" s="151" t="n">
        <x:v>46229</x:v>
      </x:c>
      <x:c r="K29" s="150" t="n"/>
      <x:c r="L29" s="149" t="n">
        <x:v>1</x:v>
      </x:c>
      <x:c r="M29" s="149" t="n">
        <x:f>IF(OR(AND(I29="yes",H29="verified"),AND(I29="no",OR(H29="tested",H29="verified")),AND(H29="not applicable",K29&lt;&gt;"")),1,0)</x:f>
        <x:v>1</x:v>
      </x:c>
    </x:row>
    <x:row r="30" s="127" customFormat="1" ht="54" customHeight="1">
      <x:c r="A30" s="149" t="inlineStr">
        <x:is>
          <x:t xml:space="preserve">SK-22</x:t>
        </x:is>
      </x:c>
      <x:c r="B30" s="149" t="inlineStr">
        <x:is>
          <x:t xml:space="preserve">Package</x:t>
        </x:is>
      </x:c>
      <x:c r="C30" s="149" t="inlineStr">
        <x:is>
          <x:t xml:space="preserve">Skeleton</x:t>
        </x:is>
      </x:c>
      <x:c r="D30" s="150" t="inlineStr">
        <x:is>
          <x:t xml:space="preserve">Focused build, SSR, modular CSS and React 18/19 packed consumers pass; broader release gates remain separate.</x:t>
        </x:is>
      </x:c>
      <x:c r="E30" s="149" t="inlineStr">
        <x:is>
          <x:t xml:space="preserve">package</x:t>
        </x:is>
      </x:c>
      <x:c r="F30" s="149" t="inlineStr">
        <x:is>
          <x:t xml:space="preserve">package</x:t>
        </x:is>
      </x:c>
      <x:c r="G30" s="150" t="inlineStr">
        <x:is>
          <x:t xml:space="preserve">../test/package/skeleton.test.mjs; ../scripts/verify-consumers.mjs</x:t>
        </x:is>
      </x:c>
      <x:c r="H30" s="149" t="inlineStr">
        <x:is>
          <x:t xml:space="preserve">tested</x:t>
        </x:is>
      </x:c>
      <x:c r="I30" s="149" t="inlineStr">
        <x:is>
          <x:t xml:space="preserve">no</x:t>
        </x:is>
      </x:c>
      <x:c r="J30" s="151" t="n">
        <x:v>46280</x:v>
      </x:c>
      <x:c r="K30" s="150" t="n"/>
      <x:c r="L30" s="149" t="n">
        <x:v>1</x:v>
      </x:c>
      <x:c r="M30" s="149" t="n">
        <x:f>IF(OR(AND(I30="yes",H30="verified"),AND(I30="no",OR(H30="tested",H30="verified")),AND(H30="not applicable",K30&lt;&gt;"")),1,0)</x:f>
        <x:v>1</x:v>
      </x:c>
    </x:row>
  </x:sheetData>
  <x:mergeCells>
    <x:mergeCell ref="A2:M2"/>
    <x:mergeCell ref="A1:M1"/>
  </x:mergeCells>
  <x:dataValidations count="2">
    <x:dataValidation type="list" errorStyle="stop" operator="between" allowBlank="0" showDropDown="0" showInputMessage="0" showErrorMessage="0" sqref="H9:H30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30">
      <x:formula1>"yes,no"</x:formula1>
      <x:formula2>0</x:formula2>
    </x:dataValidation>
  </x:dataValidations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Dropdown Menu Evidence</x:t>
        </x:is>
      </x:c>
    </x:row>
    <x:row r="2" s="127" customFormat="1" ht="27.75" customHeight="1">
      <x:c r="A2" s="129" t="inlineStr">
        <x:is>
          <x:t xml:space="preserve">Assertion-level Atom-backed package, keyboard, browser, visual, accessibility, documentation, Consumer, composition, and responsive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COUNTA(A9:A31)</x:f>
        <x:v>23</x:v>
      </x:c>
      <x:c r="D4" s="130" t="inlineStr">
        <x:is>
          <x:t xml:space="preserve">Resolved</x:t>
        </x:is>
      </x:c>
      <x:c r="E4" s="131" t="n">
        <x:f>SUM(M9:M31)</x:f>
        <x:v>18</x:v>
      </x:c>
      <x:c r="G4" s="130" t="inlineStr">
        <x:is>
          <x:t xml:space="preserve">Completion</x:t>
        </x:is>
      </x:c>
      <x:c r="H4" s="132" t="n">
        <x:f>IF(B4=0,0,E4/B4)</x:f>
        <x:v>0.782608695652174</x:v>
      </x:c>
      <x:c r="J4" s="130" t="inlineStr">
        <x:is>
          <x:t xml:space="preserve">Package gate</x:t>
        </x:is>
      </x:c>
      <x:c r="K4" s="131" t="str">
        <x:f>IF(COUNTIFS(E9:E31,"package",M9:M31,0)&gt;0,"open","complete")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IF(COUNTIFS(I9:I31,"yes",M9:M31,0)&gt;0,"open","complete")</x:f>
        <x:v>open</x:v>
      </x:c>
      <x:c r="D5" s="130" t="inlineStr">
        <x:is>
          <x:t xml:space="preserve">Consumer gate</x:t>
        </x:is>
      </x:c>
      <x:c r="E5" s="131" t="str">
        <x:f>IF(COUNTIFS(E9:E31,"consumer",M9:M31,0)&gt;0,"open","complete")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90" customHeight="1">
      <x:c r="A9" s="169" t="inlineStr">
        <x:is>
          <x:t xml:space="preserve">DM-01</x:t>
        </x:is>
      </x:c>
      <x:c r="B9" s="169" t="inlineStr">
        <x:is>
          <x:t xml:space="preserve">Ownership</x:t>
        </x:is>
      </x:c>
      <x:c r="C9" s="169" t="inlineStr">
        <x:is>
          <x:t xml:space="preserve">All parts</x:t>
        </x:is>
      </x:c>
      <x:c r="D9" s="169" t="inlineStr">
        <x:is>
          <x:t xml:space="preserve">Brick presentation composes qualified unpublished Atom 0.26.1; SHA256 e1f6e8e6450bcd0eddac296f4cd451efaa5e3b222f84d4c6f21913d581ab03c6. No released-dependency claim.</x:t>
        </x:is>
      </x:c>
      <x:c r="E9" s="169" t="inlineStr">
        <x:is>
          <x:t xml:space="preserve">package</x:t>
        </x:is>
      </x:c>
      <x:c r="F9" s="169" t="inlineStr">
        <x:is>
          <x:t xml:space="preserve">source</x:t>
        </x:is>
      </x:c>
      <x:c r="G9" s="169" t="inlineStr">
        <x:is>
          <x:t xml:space="preserve">../src/components/dropdown-menu</x:t>
        </x:is>
      </x:c>
      <x:c r="H9" s="169" t="inlineStr">
        <x:is>
          <x:t xml:space="preserve">tested</x:t>
        </x:is>
      </x:c>
      <x:c r="I9" s="169" t="inlineStr">
        <x:is>
          <x:t xml:space="preserve">no</x:t>
        </x:is>
      </x:c>
      <x:c r="J9" s="170" t="n">
        <x:v>46279</x:v>
      </x:c>
      <x:c r="K9" s="148" t="n"/>
      <x:c r="L9" s="169" t="n">
        <x:v>1</x:v>
      </x:c>
      <x:c r="M9" s="169" t="n">
        <x:f>IF(OR(AND(I9="yes",H9="verified"),AND(I9="no",OR(H9="tested",H9="verified")),AND(H9="not applicable",K9&lt;&gt;"")),1,0)</x:f>
        <x:v>1</x:v>
      </x:c>
    </x:row>
    <x:row r="10" s="127" customFormat="1" ht="90" customHeight="1">
      <x:c r="A10" s="169" t="inlineStr">
        <x:is>
          <x:t xml:space="preserve">DM-02</x:t>
        </x:is>
      </x:c>
      <x:c r="B10" s="169" t="inlineStr">
        <x:is>
          <x:t xml:space="preserve">Anatomy</x:t>
        </x:is>
      </x:c>
      <x:c r="C10" s="169" t="inlineStr">
        <x:is>
          <x:t xml:space="preserve">All parts</x:t>
        </x:is>
      </x:c>
      <x:c r="D10" s="169" t="inlineStr">
        <x:is>
          <x:t xml:space="preserve">Namespace and named anatomy include the external controller/RootProvider/Context path without duplicating behavior owners.</x:t>
        </x:is>
      </x:c>
      <x:c r="E10" s="169" t="inlineStr">
        <x:is>
          <x:t xml:space="preserve">package</x:t>
        </x:is>
      </x:c>
      <x:c r="F10" s="169" t="inlineStr">
        <x:is>
          <x:t xml:space="preserve">component</x:t>
        </x:is>
      </x:c>
      <x:c r="G10" s="169" t="inlineStr">
        <x:is>
          <x:t xml:space="preserve">../test/components/dropdown-menu/dropdown-menu.test.tsx</x:t>
        </x:is>
      </x:c>
      <x:c r="H10" s="169" t="inlineStr">
        <x:is>
          <x:t xml:space="preserve">tested</x:t>
        </x:is>
      </x:c>
      <x:c r="I10" s="169" t="inlineStr">
        <x:is>
          <x:t xml:space="preserve">no</x:t>
        </x:is>
      </x:c>
      <x:c r="J10" s="170" t="n">
        <x:v>46279</x:v>
      </x:c>
      <x:c r="K10" s="148" t="n"/>
      <x:c r="L10" s="169" t="n">
        <x:v>1</x:v>
      </x:c>
      <x:c r="M10" s="169" t="n">
        <x:f>IF(OR(AND(I10="yes",H10="verified"),AND(I10="no",OR(H10="tested",H10="verified")),AND(H10="not applicable",K10&lt;&gt;"")),1,0)</x:f>
        <x:v>1</x:v>
      </x:c>
    </x:row>
    <x:row r="11" s="127" customFormat="1" ht="90" customHeight="1">
      <x:c r="A11" s="169" t="inlineStr">
        <x:is>
          <x:t xml:space="preserve">DM-03</x:t>
        </x:is>
      </x:c>
      <x:c r="B11" s="169" t="inlineStr">
        <x:is>
          <x:t xml:space="preserve">Exports</x:t>
        </x:is>
      </x:c>
      <x:c r="C11" s="169" t="inlineStr">
        <x:is>
          <x:t xml:space="preserve">DropdownMenu</x:t>
        </x:is>
      </x:c>
      <x:c r="D11" s="169" t="inlineStr">
        <x:is>
          <x:t xml:space="preserve">Root and dropdown-menu subpath expose the namespace, named parts, and public types with identical runtime identities.</x:t>
        </x:is>
      </x:c>
      <x:c r="E11" s="169" t="inlineStr">
        <x:is>
          <x:t xml:space="preserve">package</x:t>
        </x:is>
      </x:c>
      <x:c r="F11" s="169" t="inlineStr">
        <x:is>
          <x:t xml:space="preserve">package</x:t>
        </x:is>
      </x:c>
      <x:c r="G11" s="169" t="inlineStr">
        <x:is>
          <x:t xml:space="preserve">../test/package/package.test.mjs; ../scripts/verify-consumers.mjs</x:t>
        </x:is>
      </x:c>
      <x:c r="H11" s="169" t="inlineStr">
        <x:is>
          <x:t xml:space="preserve">tested</x:t>
        </x:is>
      </x:c>
      <x:c r="I11" s="169" t="inlineStr">
        <x:is>
          <x:t xml:space="preserve">no</x:t>
        </x:is>
      </x:c>
      <x:c r="J11" s="170" t="n">
        <x:v>46279</x:v>
      </x:c>
      <x:c r="K11" s="148" t="n"/>
      <x:c r="L11" s="169" t="n">
        <x:v>1</x:v>
      </x:c>
      <x:c r="M11" s="169" t="n">
        <x:f>IF(OR(AND(I11="yes",H11="verified"),AND(I11="no",OR(H11="tested",H11="verified")),AND(H11="not applicable",K11&lt;&gt;"")),1,0)</x:f>
        <x:v>1</x:v>
      </x:c>
    </x:row>
    <x:row r="12" s="127" customFormat="1" ht="90" customHeight="1">
      <x:c r="A12" s="169" t="inlineStr">
        <x:is>
          <x:t xml:space="preserve">DM-04</x:t>
        </x:is>
      </x:c>
      <x:c r="B12" s="169" t="inlineStr">
        <x:is>
          <x:t xml:space="preserve">Types</x:t>
        </x:is>
      </x:c>
      <x:c r="C12" s="169" t="inlineStr">
        <x:is>
          <x:t xml:space="preserve">All parts</x:t>
        </x:is>
      </x:c>
      <x:c r="D12" s="169" t="inlineStr">
        <x:is>
          <x:t xml:space="preserve">Closed visual recipes, controller/provider types, native composition and real host refs type-check through public exports.</x:t>
        </x:is>
      </x:c>
      <x:c r="E12" s="169" t="inlineStr">
        <x:is>
          <x:t xml:space="preserve">package</x:t>
        </x:is>
      </x:c>
      <x:c r="F12" s="169" t="inlineStr">
        <x:is>
          <x:t xml:space="preserve">types</x:t>
        </x:is>
      </x:c>
      <x:c r="G12" s="169" t="inlineStr">
        <x:is>
          <x:t xml:space="preserve">../test/types/components/dropdown-menu.test.ts</x:t>
        </x:is>
      </x:c>
      <x:c r="H12" s="169" t="inlineStr">
        <x:is>
          <x:t xml:space="preserve">tested</x:t>
        </x:is>
      </x:c>
      <x:c r="I12" s="169" t="inlineStr">
        <x:is>
          <x:t xml:space="preserve">no</x:t>
        </x:is>
      </x:c>
      <x:c r="J12" s="170" t="n">
        <x:v>46279</x:v>
      </x:c>
      <x:c r="K12" s="148" t="n"/>
      <x:c r="L12" s="169" t="n">
        <x:v>1</x:v>
      </x:c>
      <x:c r="M12" s="169" t="n">
        <x:f>IF(OR(AND(I12="yes",H12="verified"),AND(I12="no",OR(H12="tested",H12="verified")),AND(H12="not applicable",K12&lt;&gt;"")),1,0)</x:f>
        <x:v>1</x:v>
      </x:c>
    </x:row>
    <x:row r="13" s="127" customFormat="1" ht="90" customHeight="1">
      <x:c r="A13" s="169" t="inlineStr">
        <x:is>
          <x:t xml:space="preserve">DM-05</x:t>
        </x:is>
      </x:c>
      <x:c r="B13" s="169" t="inlineStr">
        <x:is>
          <x:t xml:space="preserve">CSS</x:t>
        </x:is>
      </x:c>
      <x:c r="C13" s="169" t="inlineStr">
        <x:is>
          <x:t xml:space="preserve">All parts</x:t>
        </x:is>
      </x:c>
      <x:c r="D13" s="169" t="inlineStr">
        <x:is>
          <x:t xml:space="preserve">Shared static recipes support 24/32/44 rows, 12/14/16 typography, subtle/solid/plain, semantic tones, panel/row inset and explicit indicators.</x:t>
        </x:is>
      </x:c>
      <x:c r="E13" s="169" t="inlineStr">
        <x:is>
          <x:t xml:space="preserve">package</x:t>
        </x:is>
      </x:c>
      <x:c r="F13" s="169" t="inlineStr">
        <x:is>
          <x:t xml:space="preserve">css</x:t>
        </x:is>
      </x:c>
      <x:c r="G13" s="169" t="inlineStr">
        <x:is>
          <x:t xml:space="preserve">../src/components/dropdown-menu/dropdown-menu.css</x:t>
        </x:is>
      </x:c>
      <x:c r="H13" s="169" t="inlineStr">
        <x:is>
          <x:t xml:space="preserve">tested</x:t>
        </x:is>
      </x:c>
      <x:c r="I13" s="169" t="inlineStr">
        <x:is>
          <x:t xml:space="preserve">no</x:t>
        </x:is>
      </x:c>
      <x:c r="J13" s="170" t="n">
        <x:v>46279</x:v>
      </x:c>
      <x:c r="K13" s="148" t="n"/>
      <x:c r="L13" s="169" t="n">
        <x:v>1</x:v>
      </x:c>
      <x:c r="M13" s="169" t="n">
        <x:f>IF(OR(AND(I13="yes",H13="verified"),AND(I13="no",OR(H13="tested",H13="verified")),AND(H13="not applicable",K13&lt;&gt;"")),1,0)</x:f>
        <x:v>1</x:v>
      </x:c>
    </x:row>
    <x:row r="14" s="127" customFormat="1" ht="90" customHeight="1">
      <x:c r="A14" s="169" t="inlineStr">
        <x:is>
          <x:t xml:space="preserve">DM-06</x:t>
        </x:is>
      </x:c>
      <x:c r="B14" s="169" t="inlineStr">
        <x:is>
          <x:t xml:space="preserve">Defaults</x:t>
        </x:is>
      </x:c>
      <x:c r="C14" s="169" t="inlineStr">
        <x:is>
          <x:t xml:space="preserve">Root/Trigger/Content/Item</x:t>
        </x:is>
      </x:c>
      <x:c r="D14" s="169" t="inlineStr">
        <x:is>
          <x:t xml:space="preserve">A medium button-triggered menu opens with neutral rows and Atom-owned focus and dismissal.</x:t>
        </x:is>
      </x:c>
      <x:c r="E14" s="169" t="inlineStr">
        <x:is>
          <x:t xml:space="preserve">package</x:t>
        </x:is>
      </x:c>
      <x:c r="F14" s="169" t="inlineStr">
        <x:is>
          <x:t xml:space="preserve">browser</x:t>
        </x:is>
      </x:c>
      <x:c r="G14" s="169" t="inlineStr">
        <x:is>
          <x:t xml:space="preserve">tests/components/dropdown-menu/behavior.spec.ts</x:t>
        </x:is>
      </x:c>
      <x:c r="H14" s="169" t="inlineStr">
        <x:is>
          <x:t xml:space="preserve">tested</x:t>
        </x:is>
      </x:c>
      <x:c r="I14" s="169" t="inlineStr">
        <x:is>
          <x:t xml:space="preserve">no</x:t>
        </x:is>
      </x:c>
      <x:c r="J14" s="170" t="n">
        <x:v>46279</x:v>
      </x:c>
      <x:c r="K14" s="148" t="n"/>
      <x:c r="L14" s="169" t="n">
        <x:v>1</x:v>
      </x:c>
      <x:c r="M14" s="169" t="n">
        <x:f>IF(OR(AND(I14="yes",H14="verified"),AND(I14="no",OR(H14="tested",H14="verified")),AND(H14="not applicable",K14&lt;&gt;"")),1,0)</x:f>
        <x:v>1</x:v>
      </x:c>
    </x:row>
    <x:row r="15" s="127" customFormat="1" ht="90" customHeight="1">
      <x:c r="A15" s="169" t="inlineStr">
        <x:is>
          <x:t xml:space="preserve">DM-07</x:t>
        </x:is>
      </x:c>
      <x:c r="B15" s="169" t="inlineStr">
        <x:is>
          <x:t xml:space="preserve">Sizes</x:t>
        </x:is>
      </x:c>
      <x:c r="C15" s="169" t="inlineStr">
        <x:is>
          <x:t xml:space="preserve">Content/SubContent</x:t>
        </x:is>
      </x:c>
      <x:c r="D15" s="169" t="inlineStr">
        <x:is>
          <x:t xml:space="preserve">Popup rows measure 24/32/44px, regular 12/14/16px typography and 4/6/8px panel insets; local token overrides remain effective.</x:t>
        </x:is>
      </x:c>
      <x:c r="E15" s="169" t="inlineStr">
        <x:is>
          <x:t xml:space="preserve">package</x:t>
        </x:is>
      </x:c>
      <x:c r="F15" s="169" t="inlineStr">
        <x:is>
          <x:t xml:space="preserve">visual</x:t>
        </x:is>
      </x:c>
      <x:c r="G15" s="169" t="inlineStr">
        <x:is>
          <x:t xml:space="preserve">tests/components/dropdown-menu/recipe-parity.spec.ts</x:t>
        </x:is>
      </x:c>
      <x:c r="H15" s="169" t="inlineStr">
        <x:is>
          <x:t xml:space="preserve">tested</x:t>
        </x:is>
      </x:c>
      <x:c r="I15" s="169" t="inlineStr">
        <x:is>
          <x:t xml:space="preserve">yes</x:t>
        </x:is>
      </x:c>
      <x:c r="J15" s="170" t="n">
        <x:v>46279</x:v>
      </x:c>
      <x:c r="K15" s="169" t="inlineStr">
        <x:is>
          <x:t xml:space="preserve">Automated and agent visual review completed; required human acceptance remains unclaimed.</x:t>
        </x:is>
      </x:c>
      <x:c r="L15" s="169" t="n">
        <x:v>1</x:v>
      </x:c>
      <x:c r="M15" s="169" t="n">
        <x:f>IF(OR(AND(I15="yes",H15="verified"),AND(I15="no",OR(H15="tested",H15="verified")),AND(H15="not applicable",K15&lt;&gt;"")),1,0)</x:f>
        <x:v>0</x:v>
      </x:c>
    </x:row>
    <x:row r="16" s="127" customFormat="1" ht="90" customHeight="1">
      <x:c r="A16" s="169" t="inlineStr">
        <x:is>
          <x:t xml:space="preserve">DM-08</x:t>
        </x:is>
      </x:c>
      <x:c r="B16" s="169" t="inlineStr">
        <x:is>
          <x:t xml:space="preserve">Anatomy</x:t>
        </x:is>
      </x:c>
      <x:c r="C16" s="169" t="inlineStr">
        <x:is>
          <x:t xml:space="preserve">Item anatomy</x:t>
        </x:is>
      </x:c>
      <x:c r="D16" s="169" t="inlineStr">
        <x:is>
          <x:t xml:space="preserve">Leading content, label, description, shortcut, groups, labels, separators, and Arrow align without changing command semantics.</x:t>
        </x:is>
      </x:c>
      <x:c r="E16" s="169" t="inlineStr">
        <x:is>
          <x:t xml:space="preserve">package</x:t>
        </x:is>
      </x:c>
      <x:c r="F16" s="169" t="inlineStr">
        <x:is>
          <x:t xml:space="preserve">visual</x:t>
        </x:is>
      </x:c>
      <x:c r="G16" s="169" t="inlineStr">
        <x:is>
          <x:t xml:space="preserve">tests/components/dropdown-menu/recipe-parity.spec.ts</x:t>
        </x:is>
      </x:c>
      <x:c r="H16" s="169" t="inlineStr">
        <x:is>
          <x:t xml:space="preserve">tested</x:t>
        </x:is>
      </x:c>
      <x:c r="I16" s="169" t="inlineStr">
        <x:is>
          <x:t xml:space="preserve">yes</x:t>
        </x:is>
      </x:c>
      <x:c r="J16" s="170" t="n">
        <x:v>46279</x:v>
      </x:c>
      <x:c r="K16" s="169" t="inlineStr">
        <x:is>
          <x:t xml:space="preserve">Automated and agent visual review completed; required human acceptance remains unclaimed.</x:t>
        </x:is>
      </x:c>
      <x:c r="L16" s="169" t="n">
        <x:v>1</x:v>
      </x:c>
      <x:c r="M16" s="169" t="n">
        <x:f>IF(OR(AND(I16="yes",H16="verified"),AND(I16="no",OR(H16="tested",H16="verified")),AND(H16="not applicable",K16&lt;&gt;"")),1,0)</x:f>
        <x:v>0</x:v>
      </x:c>
    </x:row>
    <x:row r="17" s="127" customFormat="1" ht="90" customHeight="1">
      <x:c r="A17" s="169" t="inlineStr">
        <x:is>
          <x:t xml:space="preserve">DM-09</x:t>
        </x:is>
      </x:c>
      <x:c r="B17" s="169" t="inlineStr">
        <x:is>
          <x:t xml:space="preserve">Selection</x:t>
        </x:is>
      </x:c>
      <x:c r="C17" s="169" t="inlineStr">
        <x:is>
          <x:t xml:space="preserve">CheckboxItem/RadioItem</x:t>
        </x:is>
      </x:c>
      <x:c r="D17" s="169" t="inlineStr">
        <x:is>
          <x:t xml:space="preserve">Checked, mixed, and radio choices expose persistent Atom selection and visible indicators.</x:t>
        </x:is>
      </x:c>
      <x:c r="E17" s="169" t="inlineStr">
        <x:is>
          <x:t xml:space="preserve">package</x:t>
        </x:is>
      </x:c>
      <x:c r="F17" s="169" t="inlineStr">
        <x:is>
          <x:t xml:space="preserve">browser</x:t>
        </x:is>
      </x:c>
      <x:c r="G17" s="169" t="inlineStr">
        <x:is>
          <x:t xml:space="preserve">tests/components/dropdown-menu/behavior.spec.ts</x:t>
        </x:is>
      </x:c>
      <x:c r="H17" s="169" t="inlineStr">
        <x:is>
          <x:t xml:space="preserve">tested</x:t>
        </x:is>
      </x:c>
      <x:c r="I17" s="169" t="inlineStr">
        <x:is>
          <x:t xml:space="preserve">no</x:t>
        </x:is>
      </x:c>
      <x:c r="J17" s="170" t="n">
        <x:v>46279</x:v>
      </x:c>
      <x:c r="K17" s="148" t="n"/>
      <x:c r="L17" s="169" t="n">
        <x:v>1</x:v>
      </x:c>
      <x:c r="M17" s="169" t="n">
        <x:f>IF(OR(AND(I17="yes",H17="verified"),AND(I17="no",OR(H17="tested",H17="verified")),AND(H17="not applicable",K17&lt;&gt;"")),1,0)</x:f>
        <x:v>1</x:v>
      </x:c>
    </x:row>
    <x:row r="18" s="127" customFormat="1" ht="90" customHeight="1">
      <x:c r="A18" s="169" t="inlineStr">
        <x:is>
          <x:t xml:space="preserve">DM-10</x:t>
        </x:is>
      </x:c>
      <x:c r="B18" s="169" t="inlineStr">
        <x:is>
          <x:t xml:space="preserve">States</x:t>
        </x:is>
      </x:c>
      <x:c r="C18" s="169" t="inlineStr">
        <x:is>
          <x:t xml:space="preserve">Item/SubTrigger</x:t>
        </x:is>
      </x:c>
      <x:c r="D18" s="169" t="inlineStr">
        <x:is>
          <x:t xml:space="preserve">Neutral, highlighted, disabled, and danger commands remain distinct with identical default geometry.</x:t>
        </x:is>
      </x:c>
      <x:c r="E18" s="169" t="inlineStr">
        <x:is>
          <x:t xml:space="preserve">package</x:t>
        </x:is>
      </x:c>
      <x:c r="F18" s="169" t="inlineStr">
        <x:is>
          <x:t xml:space="preserve">browser</x:t>
        </x:is>
      </x:c>
      <x:c r="G18" s="169" t="inlineStr">
        <x:is>
          <x:t xml:space="preserve">tests/components/dropdown-menu/behavior.spec.ts; tests/components/dropdown-menu/visual.spec.ts</x:t>
        </x:is>
      </x:c>
      <x:c r="H18" s="169" t="inlineStr">
        <x:is>
          <x:t xml:space="preserve">tested</x:t>
        </x:is>
      </x:c>
      <x:c r="I18" s="169" t="inlineStr">
        <x:is>
          <x:t xml:space="preserve">no</x:t>
        </x:is>
      </x:c>
      <x:c r="J18" s="170" t="n">
        <x:v>46279</x:v>
      </x:c>
      <x:c r="K18" s="148" t="n"/>
      <x:c r="L18" s="169" t="n">
        <x:v>1</x:v>
      </x:c>
      <x:c r="M18" s="169" t="n">
        <x:f>IF(OR(AND(I18="yes",H18="verified"),AND(I18="no",OR(H18="tested",H18="verified")),AND(H18="not applicable",K18&lt;&gt;"")),1,0)</x:f>
        <x:v>1</x:v>
      </x:c>
    </x:row>
    <x:row r="19" s="127" customFormat="1" ht="90" customHeight="1">
      <x:c r="A19" s="169" t="inlineStr">
        <x:is>
          <x:t xml:space="preserve">DM-11</x:t>
        </x:is>
      </x:c>
      <x:c r="B19" s="169" t="inlineStr">
        <x:is>
          <x:t xml:space="preserve">Submenus</x:t>
        </x:is>
      </x:c>
      <x:c r="C19" s="169" t="inlineStr">
        <x:is>
          <x:t xml:space="preserve">Sub/SubTrigger/SubContent</x:t>
        </x:is>
      </x:c>
      <x:c r="D19" s="169" t="inlineStr">
        <x:is>
          <x:t xml:space="preserve">Keyboard and pointer submenu opening preserves nested focus, direction, collision, and dismissal.</x:t>
        </x:is>
      </x:c>
      <x:c r="E19" s="169" t="inlineStr">
        <x:is>
          <x:t xml:space="preserve">package</x:t>
        </x:is>
      </x:c>
      <x:c r="F19" s="169" t="inlineStr">
        <x:is>
          <x:t xml:space="preserve">browser</x:t>
        </x:is>
      </x:c>
      <x:c r="G19" s="169" t="inlineStr">
        <x:is>
          <x:t xml:space="preserve">tests/components/dropdown-menu/behavior.spec.ts</x:t>
        </x:is>
      </x:c>
      <x:c r="H19" s="169" t="inlineStr">
        <x:is>
          <x:t xml:space="preserve">tested</x:t>
        </x:is>
      </x:c>
      <x:c r="I19" s="169" t="inlineStr">
        <x:is>
          <x:t xml:space="preserve">no</x:t>
        </x:is>
      </x:c>
      <x:c r="J19" s="170" t="n">
        <x:v>46279</x:v>
      </x:c>
      <x:c r="K19" s="148" t="n"/>
      <x:c r="L19" s="169" t="n">
        <x:v>1</x:v>
      </x:c>
      <x:c r="M19" s="169" t="n">
        <x:f>IF(OR(AND(I19="yes",H19="verified"),AND(I19="no",OR(H19="tested",H19="verified")),AND(H19="not applicable",K19&lt;&gt;"")),1,0)</x:f>
        <x:v>1</x:v>
      </x:c>
    </x:row>
    <x:row r="20" s="127" customFormat="1" ht="90" customHeight="1">
      <x:c r="A20" s="169" t="inlineStr">
        <x:is>
          <x:t xml:space="preserve">DM-12</x:t>
        </x:is>
      </x:c>
      <x:c r="B20" s="169" t="inlineStr">
        <x:is>
          <x:t xml:space="preserve">Keyboard</x:t>
        </x:is>
      </x:c>
      <x:c r="C20" s="169" t="inlineStr">
        <x:is>
          <x:t xml:space="preserve">Trigger/Content</x:t>
        </x:is>
      </x:c>
      <x:c r="D20" s="169" t="inlineStr">
        <x:is>
          <x:t xml:space="preserve">Enter opens, menu focus enters, Escape closes, and focus returns to the trigger.</x:t>
        </x:is>
      </x:c>
      <x:c r="E20" s="169" t="inlineStr">
        <x:is>
          <x:t xml:space="preserve">package</x:t>
        </x:is>
      </x:c>
      <x:c r="F20" s="169" t="inlineStr">
        <x:is>
          <x:t xml:space="preserve">browser</x:t>
        </x:is>
      </x:c>
      <x:c r="G20" s="169" t="inlineStr">
        <x:is>
          <x:t xml:space="preserve">tests/components/dropdown-menu/behavior.spec.ts</x:t>
        </x:is>
      </x:c>
      <x:c r="H20" s="169" t="inlineStr">
        <x:is>
          <x:t xml:space="preserve">tested</x:t>
        </x:is>
      </x:c>
      <x:c r="I20" s="169" t="inlineStr">
        <x:is>
          <x:t xml:space="preserve">no</x:t>
        </x:is>
      </x:c>
      <x:c r="J20" s="170" t="n">
        <x:v>46279</x:v>
      </x:c>
      <x:c r="K20" s="148" t="n"/>
      <x:c r="L20" s="169" t="n">
        <x:v>1</x:v>
      </x:c>
      <x:c r="M20" s="169" t="n">
        <x:f>IF(OR(AND(I20="yes",H20="verified"),AND(I20="no",OR(H20="tested",H20="verified")),AND(H20="not applicable",K20&lt;&gt;"")),1,0)</x:f>
        <x:v>1</x:v>
      </x:c>
    </x:row>
    <x:row r="21" s="127" customFormat="1" ht="90" customHeight="1">
      <x:c r="A21" s="169" t="inlineStr">
        <x:is>
          <x:t xml:space="preserve">DM-13</x:t>
        </x:is>
      </x:c>
      <x:c r="B21" s="169" t="inlineStr">
        <x:is>
          <x:t xml:space="preserve">Composition</x:t>
        </x:is>
      </x:c>
      <x:c r="C21" s="169" t="inlineStr">
        <x:is>
          <x:t xml:space="preserve">Trigger/static parts</x:t>
        </x:is>
      </x:c>
      <x:c r="D21" s="169" t="inlineStr">
        <x:is>
          <x:t xml:space="preserve">asChild and render preserve the authored host, attributes, handlers, slots, and refs without duplicate controls.</x:t>
        </x:is>
      </x:c>
      <x:c r="E21" s="169" t="inlineStr">
        <x:is>
          <x:t xml:space="preserve">package</x:t>
        </x:is>
      </x:c>
      <x:c r="F21" s="169" t="inlineStr">
        <x:is>
          <x:t xml:space="preserve">browser</x:t>
        </x:is>
      </x:c>
      <x:c r="G21" s="169" t="inlineStr">
        <x:is>
          <x:t xml:space="preserve">../test/components/dropdown-menu/dropdown-menu.test.tsx; tests/components/dropdown-menu/behavior.spec.ts</x:t>
        </x:is>
      </x:c>
      <x:c r="H21" s="169" t="inlineStr">
        <x:is>
          <x:t xml:space="preserve">tested</x:t>
        </x:is>
      </x:c>
      <x:c r="I21" s="169" t="inlineStr">
        <x:is>
          <x:t xml:space="preserve">no</x:t>
        </x:is>
      </x:c>
      <x:c r="J21" s="170" t="n">
        <x:v>46279</x:v>
      </x:c>
      <x:c r="K21" s="169" t="n"/>
      <x:c r="L21" s="169" t="n">
        <x:v>1</x:v>
      </x:c>
      <x:c r="M21" s="169" t="n">
        <x:f>IF(OR(AND(I21="yes",H21="verified"),AND(I21="no",OR(H21="tested",H21="verified")),AND(H21="not applicable",K21&lt;&gt;"")),1,0)</x:f>
        <x:v>1</x:v>
      </x:c>
    </x:row>
    <x:row r="22" s="127" customFormat="1" ht="90" customHeight="1">
      <x:c r="A22" s="169" t="inlineStr">
        <x:is>
          <x:t xml:space="preserve">DM-14</x:t>
        </x:is>
      </x:c>
      <x:c r="B22" s="169" t="inlineStr">
        <x:is>
          <x:t xml:space="preserve">Responsive</x:t>
        </x:is>
      </x:c>
      <x:c r="C22" s="169" t="inlineStr">
        <x:is>
          <x:t xml:space="preserve">Content/SubContent</x:t>
        </x:is>
      </x:c>
      <x:c r="D22" s="169" t="inlineStr">
        <x:is>
          <x:t xml:space="preserve">Constrained popups remain inside the viewport with reachable long and repeated commands.</x:t>
        </x:is>
      </x:c>
      <x:c r="E22" s="169" t="inlineStr">
        <x:is>
          <x:t xml:space="preserve">package</x:t>
        </x:is>
      </x:c>
      <x:c r="F22" s="169" t="inlineStr">
        <x:is>
          <x:t xml:space="preserve">browser</x:t>
        </x:is>
      </x:c>
      <x:c r="G22" s="169" t="inlineStr">
        <x:is>
          <x:t xml:space="preserve">tests/components/dropdown-menu/behavior.spec.ts; tests/components/dropdown-menu/visual.spec.ts</x:t>
        </x:is>
      </x:c>
      <x:c r="H22" s="169" t="inlineStr">
        <x:is>
          <x:t xml:space="preserve">tested</x:t>
        </x:is>
      </x:c>
      <x:c r="I22" s="169" t="inlineStr">
        <x:is>
          <x:t xml:space="preserve">no</x:t>
        </x:is>
      </x:c>
      <x:c r="J22" s="170" t="n">
        <x:v>46279</x:v>
      </x:c>
      <x:c r="K22" s="148" t="n"/>
      <x:c r="L22" s="169" t="n">
        <x:v>1</x:v>
      </x:c>
      <x:c r="M22" s="169" t="n">
        <x:f>IF(OR(AND(I22="yes",H22="verified"),AND(I22="no",OR(H22="tested",H22="verified")),AND(H22="not applicable",K22&lt;&gt;"")),1,0)</x:f>
        <x:v>1</x:v>
      </x:c>
    </x:row>
    <x:row r="23" s="127" customFormat="1" ht="90" customHeight="1">
      <x:c r="A23" s="169" t="inlineStr">
        <x:is>
          <x:t xml:space="preserve">DM-15</x:t>
        </x:is>
      </x:c>
      <x:c r="B23" s="169" t="inlineStr">
        <x:is>
          <x:t xml:space="preserve">Direction</x:t>
        </x:is>
      </x:c>
      <x:c r="C23" s="169" t="inlineStr">
        <x:is>
          <x:t xml:space="preserve">Content/SubContent</x:t>
        </x:is>
      </x:c>
      <x:c r="D23" s="169" t="inlineStr">
        <x:is>
          <x:t xml:space="preserve">RTL content and submenu direction mirror while authored text stays genuine.</x:t>
        </x:is>
      </x:c>
      <x:c r="E23" s="169" t="inlineStr">
        <x:is>
          <x:t xml:space="preserve">package</x:t>
        </x:is>
      </x:c>
      <x:c r="F23" s="169" t="inlineStr">
        <x:is>
          <x:t xml:space="preserve">browser</x:t>
        </x:is>
      </x:c>
      <x:c r="G23" s="169" t="inlineStr">
        <x:is>
          <x:t xml:space="preserve">tests/components/dropdown-menu/behavior.spec.ts</x:t>
        </x:is>
      </x:c>
      <x:c r="H23" s="169" t="inlineStr">
        <x:is>
          <x:t xml:space="preserve">tested</x:t>
        </x:is>
      </x:c>
      <x:c r="I23" s="169" t="inlineStr">
        <x:is>
          <x:t xml:space="preserve">no</x:t>
        </x:is>
      </x:c>
      <x:c r="J23" s="170" t="n">
        <x:v>46279</x:v>
      </x:c>
      <x:c r="K23" s="148" t="n"/>
      <x:c r="L23" s="169" t="n">
        <x:v>1</x:v>
      </x:c>
      <x:c r="M23" s="169" t="n">
        <x:f>IF(OR(AND(I23="yes",H23="verified"),AND(I23="no",OR(H23="tested",H23="verified")),AND(H23="not applicable",K23&lt;&gt;"")),1,0)</x:f>
        <x:v>1</x:v>
      </x:c>
    </x:row>
    <x:row r="24" s="127" customFormat="1" ht="90" customHeight="1">
      <x:c r="A24" s="169" t="inlineStr">
        <x:is>
          <x:t xml:space="preserve">DM-16</x:t>
        </x:is>
      </x:c>
      <x:c r="B24" s="169" t="inlineStr">
        <x:is>
          <x:t xml:space="preserve">Accessibility</x:t>
        </x:is>
      </x:c>
      <x:c r="C24" s="169" t="inlineStr">
        <x:is>
          <x:t xml:space="preserve">All parts</x:t>
        </x:is>
      </x:c>
      <x:c r="D24" s="169" t="inlineStr">
        <x:is>
          <x:t xml:space="preserve">Named triggers and menus, roles, choice states, disabled state, focus return, forced colors, and axe pass.</x:t>
        </x:is>
      </x:c>
      <x:c r="E24" s="169" t="inlineStr">
        <x:is>
          <x:t xml:space="preserve">package</x:t>
        </x:is>
      </x:c>
      <x:c r="F24" s="169" t="inlineStr">
        <x:is>
          <x:t xml:space="preserve">axe</x:t>
        </x:is>
      </x:c>
      <x:c r="G24" s="169" t="inlineStr">
        <x:is>
          <x:t xml:space="preserve">tests/components/dropdown-menu/behavior.spec.ts</x:t>
        </x:is>
      </x:c>
      <x:c r="H24" s="169" t="inlineStr">
        <x:is>
          <x:t xml:space="preserve">tested</x:t>
        </x:is>
      </x:c>
      <x:c r="I24" s="169" t="inlineStr">
        <x:is>
          <x:t xml:space="preserve">no</x:t>
        </x:is>
      </x:c>
      <x:c r="J24" s="170" t="n">
        <x:v>46279</x:v>
      </x:c>
      <x:c r="K24" s="148" t="n"/>
      <x:c r="L24" s="169" t="n">
        <x:v>1</x:v>
      </x:c>
      <x:c r="M24" s="169" t="n">
        <x:f>IF(OR(AND(I24="yes",H24="verified"),AND(I24="no",OR(H24="tested",H24="verified")),AND(H24="not applicable",K24&lt;&gt;"")),1,0)</x:f>
        <x:v>1</x:v>
      </x:c>
    </x:row>
    <x:row r="25" s="127" customFormat="1" ht="90" customHeight="1">
      <x:c r="A25" s="169" t="inlineStr">
        <x:is>
          <x:t xml:space="preserve">DM-17</x:t>
        </x:is>
      </x:c>
      <x:c r="B25" s="169" t="inlineStr">
        <x:is>
          <x:t xml:space="preserve">Visual</x:t>
        </x:is>
      </x:c>
      <x:c r="C25" s="169" t="inlineStr">
        <x:is>
          <x:t xml:space="preserve">DropdownMenu</x:t>
        </x:is>
      </x:c>
      <x:c r="D25" s="169" t="inlineStr">
        <x:is>
          <x:t xml:space="preserve">Current browser measurements and agent-inspected light/dark compositions cover menu geometry; human visual acceptance remains pending.</x:t>
        </x:is>
      </x:c>
      <x:c r="E25" s="169" t="inlineStr">
        <x:is>
          <x:t xml:space="preserve">package</x:t>
        </x:is>
      </x:c>
      <x:c r="F25" s="169" t="inlineStr">
        <x:is>
          <x:t xml:space="preserve">visual</x:t>
        </x:is>
      </x:c>
      <x:c r="G25" s="169" t="inlineStr">
        <x:is>
          <x:t xml:space="preserve">tests/components/dropdown-menu/behavior.spec.ts; tests/components/dropdown-menu/documentation.spec.ts</x:t>
        </x:is>
      </x:c>
      <x:c r="H25" s="169" t="inlineStr">
        <x:is>
          <x:t xml:space="preserve">tested</x:t>
        </x:is>
      </x:c>
      <x:c r="I25" s="169" t="inlineStr">
        <x:is>
          <x:t xml:space="preserve">yes</x:t>
        </x:is>
      </x:c>
      <x:c r="J25" s="170" t="n">
        <x:v>46279</x:v>
      </x:c>
      <x:c r="K25" s="169" t="inlineStr">
        <x:is>
          <x:t xml:space="preserve">Automated and agent visual review completed; required human acceptance remains unclaimed.</x:t>
        </x:is>
      </x:c>
      <x:c r="L25" s="169" t="n">
        <x:v>1</x:v>
      </x:c>
      <x:c r="M25" s="169" t="n">
        <x:f>IF(OR(AND(I25="yes",H25="verified"),AND(I25="no",OR(H25="tested",H25="verified")),AND(H25="not applicable",K25&lt;&gt;"")),1,0)</x:f>
        <x:v>0</x:v>
      </x:c>
    </x:row>
    <x:row r="26" s="127" customFormat="1" ht="90" customHeight="1">
      <x:c r="A26" s="169" t="inlineStr">
        <x:is>
          <x:t xml:space="preserve">DM-18</x:t>
        </x:is>
      </x:c>
      <x:c r="B26" s="169" t="inlineStr">
        <x:is>
          <x:t xml:space="preserve">Keyboard</x:t>
        </x:is>
      </x:c>
      <x:c r="C26" s="169" t="inlineStr">
        <x:is>
          <x:t xml:space="preserve">Interactive parts</x:t>
        </x:is>
      </x:c>
      <x:c r="D26" s="169" t="inlineStr">
        <x:is>
          <x:t xml:space="preserve">Keyboard opening, roving or adjacent navigation, activation, dismissal, and focus return remain Atom-owned.</x:t>
        </x:is>
      </x:c>
      <x:c r="E26" s="169" t="inlineStr">
        <x:is>
          <x:t xml:space="preserve">package</x:t>
        </x:is>
      </x:c>
      <x:c r="F26" s="169" t="inlineStr">
        <x:is>
          <x:t xml:space="preserve">browser</x:t>
        </x:is>
      </x:c>
      <x:c r="G26" s="169" t="inlineStr">
        <x:is>
          <x:t xml:space="preserve">tests/components/dropdown-menu/behavior.spec.ts</x:t>
        </x:is>
      </x:c>
      <x:c r="H26" s="169" t="inlineStr">
        <x:is>
          <x:t xml:space="preserve">tested</x:t>
        </x:is>
      </x:c>
      <x:c r="I26" s="169" t="inlineStr">
        <x:is>
          <x:t xml:space="preserve">no</x:t>
        </x:is>
      </x:c>
      <x:c r="J26" s="170" t="n">
        <x:v>46279</x:v>
      </x:c>
      <x:c r="K26" s="169" t="n"/>
      <x:c r="L26" s="169" t="n">
        <x:v>1</x:v>
      </x:c>
      <x:c r="M26" s="169" t="n">
        <x:f>IF(OR(AND(I26="yes",H26="verified"),AND(I26="no",OR(H26="tested",H26="verified")),AND(H26="not applicable",K26&lt;&gt;"")),1,0)</x:f>
        <x:v>1</x:v>
      </x:c>
    </x:row>
    <x:row r="27" s="127" customFormat="1" ht="90" customHeight="1">
      <x:c r="A27" s="169" t="inlineStr">
        <x:is>
          <x:t xml:space="preserve">DM-19</x:t>
        </x:is>
      </x:c>
      <x:c r="B27" s="169" t="inlineStr">
        <x:is>
          <x:t xml:space="preserve">Manual</x:t>
        </x:is>
      </x:c>
      <x:c r="C27" s="169" t="inlineStr">
        <x:is>
          <x:t xml:space="preserve">Dropdown Menu</x:t>
        </x:is>
      </x:c>
      <x:c r="D27" s="169" t="inlineStr">
        <x:is>
          <x:t xml:space="preserve">A tester completes the concise top-to-bottom pointer, keyboard, AT, zoom, device, appearance, RTL, forced-color, and reduced-motion protocol.</x:t>
        </x:is>
      </x:c>
      <x:c r="E27" s="169" t="inlineStr">
        <x:is>
          <x:t xml:space="preserve">package</x:t>
        </x:is>
      </x:c>
      <x:c r="F27" s="169" t="inlineStr">
        <x:is>
          <x:t xml:space="preserve">manual</x:t>
        </x:is>
      </x:c>
      <x:c r="G27" s="169" t="inlineStr">
        <x:is>
          <x:t xml:space="preserve">manual-tests/dropdown-menu.md</x:t>
        </x:is>
      </x:c>
      <x:c r="H27" s="169" t="inlineStr">
        <x:is>
          <x:t xml:space="preserve">not started</x:t>
        </x:is>
      </x:c>
      <x:c r="I27" s="169" t="inlineStr">
        <x:is>
          <x:t xml:space="preserve">yes</x:t>
        </x:is>
      </x:c>
      <x:c r="J27" s="170" t="n"/>
      <x:c r="K27" s="169" t="inlineStr">
        <x:is>
          <x:t xml:space="preserve">Screen-reader, physical-device and actual browser-zoom protocol not performed; owner review remains required.</x:t>
        </x:is>
      </x:c>
      <x:c r="L27" s="169" t="n">
        <x:v>1</x:v>
      </x:c>
      <x:c r="M27" s="169" t="n">
        <x:f>IF(OR(AND(I27="yes",H27="verified"),AND(I27="no",OR(H27="tested",H27="verified")),AND(H27="not applicable",K27&lt;&gt;"")),1,0)</x:f>
        <x:v>0</x:v>
      </x:c>
    </x:row>
    <x:row r="28" s="127" customFormat="1" ht="90" customHeight="1">
      <x:c r="A28" s="169" t="inlineStr">
        <x:is>
          <x:t xml:space="preserve">DM-20</x:t>
        </x:is>
      </x:c>
      <x:c r="B28" s="169" t="inlineStr">
        <x:is>
          <x:t xml:space="preserve">Docs</x:t>
        </x:is>
      </x:c>
      <x:c r="C28" s="169" t="inlineStr">
        <x:is>
          <x:t xml:space="preserve">Dropdown Menu</x:t>
        </x:is>
      </x:c>
      <x:c r="D28" s="169" t="inlineStr">
        <x:is>
          <x:t xml:space="preserve">Source-backed public guide, changelog and closed Agent Knowledge document controllers, visual defaults, composition, positioning, lifecycle and migration differences.</x:t>
        </x:is>
      </x:c>
      <x:c r="E28" s="169" t="inlineStr">
        <x:is>
          <x:t xml:space="preserve">package</x:t>
        </x:is>
      </x:c>
      <x:c r="F28" s="169" t="inlineStr">
        <x:is>
          <x:t xml:space="preserve">docs</x:t>
        </x:is>
      </x:c>
      <x:c r="G28" s="169" t="inlineStr">
        <x:is>
          <x:t xml:space="preserve">../src/components/dropdown-menu/README.md; ../src/components/dropdown-menu/agent.md</x:t>
        </x:is>
      </x:c>
      <x:c r="H28" s="169" t="inlineStr">
        <x:is>
          <x:t xml:space="preserve">tested</x:t>
        </x:is>
      </x:c>
      <x:c r="I28" s="169" t="inlineStr">
        <x:is>
          <x:t xml:space="preserve">no</x:t>
        </x:is>
      </x:c>
      <x:c r="J28" s="170" t="n">
        <x:v>46279</x:v>
      </x:c>
      <x:c r="K28" s="148" t="n"/>
      <x:c r="L28" s="169" t="n">
        <x:v>1</x:v>
      </x:c>
      <x:c r="M28" s="169" t="n">
        <x:f>IF(OR(AND(I28="yes",H28="verified"),AND(I28="no",OR(H28="tested",H28="verified")),AND(H28="not applicable",K28&lt;&gt;"")),1,0)</x:f>
        <x:v>1</x:v>
      </x:c>
    </x:row>
    <x:row r="29" s="127" customFormat="1" ht="90" customHeight="1">
      <x:c r="A29" s="169" t="inlineStr">
        <x:is>
          <x:t xml:space="preserve">DM-21</x:t>
        </x:is>
      </x:c>
      <x:c r="B29" s="169" t="inlineStr">
        <x:is>
          <x:t xml:space="preserve">Playground</x:t>
        </x:is>
      </x:c>
      <x:c r="C29" s="169" t="inlineStr">
        <x:is>
          <x:t xml:space="preserve">Dropdown Menu</x:t>
        </x:is>
      </x:c>
      <x:c r="D29" s="169" t="inlineStr">
        <x:is>
          <x:t xml:space="preserve">Normal docs route provides concise executable Preview/Code examples, Guide, named Props/TOC and retained independent qualification scenarios.</x:t>
        </x:is>
      </x:c>
      <x:c r="E29" s="169" t="inlineStr">
        <x:is>
          <x:t xml:space="preserve">package</x:t>
        </x:is>
      </x:c>
      <x:c r="F29" s="169" t="inlineStr">
        <x:is>
          <x:t xml:space="preserve">playground</x:t>
        </x:is>
      </x:c>
      <x:c r="G29" s="169" t="inlineStr">
        <x:is>
          <x:t xml:space="preserve">tests/components/dropdown-menu/documentation.spec.ts; src/components/dropdown-menu/documentation.ts</x:t>
        </x:is>
      </x:c>
      <x:c r="H29" s="169" t="inlineStr">
        <x:is>
          <x:t xml:space="preserve">tested</x:t>
        </x:is>
      </x:c>
      <x:c r="I29" s="169" t="inlineStr">
        <x:is>
          <x:t xml:space="preserve">no</x:t>
        </x:is>
      </x:c>
      <x:c r="J29" s="170" t="n">
        <x:v>46279</x:v>
      </x:c>
      <x:c r="K29" s="148" t="n"/>
      <x:c r="L29" s="169" t="n">
        <x:v>1</x:v>
      </x:c>
      <x:c r="M29" s="169" t="n">
        <x:f>IF(OR(AND(I29="yes",H29="verified"),AND(I29="no",OR(H29="tested",H29="verified")),AND(H29="not applicable",K29&lt;&gt;"")),1,0)</x:f>
        <x:v>1</x:v>
      </x:c>
    </x:row>
    <x:row r="30" s="127" customFormat="1" ht="90" customHeight="1">
      <x:c r="A30" s="169" t="inlineStr">
        <x:is>
          <x:t xml:space="preserve">DM-22</x:t>
        </x:is>
      </x:c>
      <x:c r="B30" s="169" t="inlineStr">
        <x:is>
          <x:t xml:space="preserve">Consumer</x:t>
        </x:is>
      </x:c>
      <x:c r="C30" s="169" t="inlineStr">
        <x:is>
          <x:t xml:space="preserve">Dropdown Menu</x:t>
        </x:is>
      </x:c>
      <x:c r="D30" s="169" t="inlineStr">
        <x:is>
          <x:t xml:space="preserve">Packed Consumer imports the public subpath and operates realistic component composition on desktop and mobile.</x:t>
        </x:is>
      </x:c>
      <x:c r="E30" s="169" t="inlineStr">
        <x:is>
          <x:t xml:space="preserve">consumer</x:t>
        </x:is>
      </x:c>
      <x:c r="F30" s="169" t="inlineStr">
        <x:is>
          <x:t xml:space="preserve">consumer</x:t>
        </x:is>
      </x:c>
      <x:c r="G30" s="169" t="inlineStr">
        <x:is>
          <x:t xml:space="preserve">../apps/consumer/src/App.tsx; ../apps/consumer/tests/consumer.spec.ts</x:t>
        </x:is>
      </x:c>
      <x:c r="H30" s="169" t="inlineStr">
        <x:is>
          <x:t xml:space="preserve">tested</x:t>
        </x:is>
      </x:c>
      <x:c r="I30" s="169" t="inlineStr">
        <x:is>
          <x:t xml:space="preserve">no</x:t>
        </x:is>
      </x:c>
      <x:c r="J30" s="170" t="n">
        <x:v>46279</x:v>
      </x:c>
      <x:c r="K30" s="148" t="n"/>
      <x:c r="L30" s="169" t="n">
        <x:v>1</x:v>
      </x:c>
      <x:c r="M30" s="169" t="n">
        <x:f>IF(OR(AND(I30="yes",H30="verified"),AND(I30="no",OR(H30="tested",H30="verified")),AND(H30="not applicable",K30&lt;&gt;"")),1,0)</x:f>
        <x:v>1</x:v>
      </x:c>
    </x:row>
    <x:row r="31" s="127" customFormat="1" ht="90" customHeight="1">
      <x:c r="A31" s="169" t="inlineStr">
        <x:is>
          <x:t xml:space="preserve">DM-23</x:t>
        </x:is>
      </x:c>
      <x:c r="B31" s="169" t="inlineStr">
        <x:is>
          <x:t xml:space="preserve">Package</x:t>
        </x:is>
      </x:c>
      <x:c r="C31" s="169" t="inlineStr">
        <x:is>
          <x:t xml:space="preserve">Dropdown Menu</x:t>
        </x:is>
      </x:c>
      <x:c r="D31" s="169" t="inlineStr">
        <x:is>
          <x:t xml:space="preserve">Local archive build, exports, SSR, CSS, React consumers and configured browser evidence qualify this candidate; manual checks and unrelated repository gates remain separate.</x:t>
        </x:is>
      </x:c>
      <x:c r="E31" s="169" t="inlineStr">
        <x:is>
          <x:t xml:space="preserve">package</x:t>
        </x:is>
      </x:c>
      <x:c r="F31" s="169" t="inlineStr">
        <x:is>
          <x:t xml:space="preserve">package</x:t>
        </x:is>
      </x:c>
      <x:c r="G31" s="169" t="inlineStr">
        <x:is>
          <x:t xml:space="preserve">../scripts/verify-package.mjs; ../scripts/verify-consumers.mjs</x:t>
        </x:is>
      </x:c>
      <x:c r="H31" s="169" t="inlineStr">
        <x:is>
          <x:t xml:space="preserve">partial</x:t>
        </x:is>
      </x:c>
      <x:c r="I31" s="169" t="inlineStr">
        <x:is>
          <x:t xml:space="preserve">no</x:t>
        </x:is>
      </x:c>
      <x:c r="J31" s="170" t="n">
        <x:v>46279</x:v>
      </x:c>
      <x:c r="K31" s="148" t="inlineStr">
        <x:is>
          <x:t xml:space="preserve">Local package and consumers verified. Broader repository ownership/prose checks and manual qualification remain open; no release authorized.</x:t>
        </x:is>
      </x:c>
      <x:c r="L31" s="169" t="n">
        <x:v>1</x:v>
      </x:c>
      <x:c r="M31" s="169" t="n">
        <x:f>IF(OR(AND(I31="yes",H31="verified"),AND(I31="no",OR(H31="tested",H31="verified")),AND(H31="not applicable",K31&lt;&gt;"")),1,0)</x:f>
        <x:v>0</x:v>
      </x:c>
    </x:row>
  </x:sheetData>
  <x:mergeCells>
    <x:mergeCell ref="A2:M2"/>
    <x:mergeCell ref="A1:M1"/>
  </x:mergeCells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Context Menu Evidence</x:t>
        </x:is>
      </x:c>
    </x:row>
    <x:row r="2" s="127" customFormat="1" ht="27.75" customHeight="1">
      <x:c r="A2" s="129" t="inlineStr">
        <x:is>
          <x:t xml:space="preserve">Assertion-level Atom-backed package, keyboard, browser, visual, accessibility, documentation, Consumer, composition, and responsive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COUNTA(A9:A31)</x:f>
        <x:v>23</x:v>
      </x:c>
      <x:c r="D4" s="130" t="inlineStr">
        <x:is>
          <x:t xml:space="preserve">Resolved</x:t>
        </x:is>
      </x:c>
      <x:c r="E4" s="131" t="n">
        <x:f>SUM(M9:M31)</x:f>
        <x:v>18</x:v>
      </x:c>
      <x:c r="G4" s="130" t="inlineStr">
        <x:is>
          <x:t xml:space="preserve">Completion</x:t>
        </x:is>
      </x:c>
      <x:c r="H4" s="132" t="n">
        <x:f>IF(B4=0,0,E4/B4)</x:f>
        <x:v>0.782608695652174</x:v>
      </x:c>
      <x:c r="J4" s="130" t="inlineStr">
        <x:is>
          <x:t xml:space="preserve">Package gate</x:t>
        </x:is>
      </x:c>
      <x:c r="K4" s="131" t="str">
        <x:f>IF(COUNTIFS(E9:E31,"package",M9:M31,0)&gt;0,"open","complete")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IF(COUNTIFS(I9:I31,"yes",M9:M31,0)&gt;0,"open","complete")</x:f>
        <x:v>open</x:v>
      </x:c>
      <x:c r="D5" s="130" t="inlineStr">
        <x:is>
          <x:t xml:space="preserve">Consumer gate</x:t>
        </x:is>
      </x:c>
      <x:c r="E5" s="131" t="str">
        <x:f>IF(COUNTIFS(E9:E31,"consumer",M9:M31,0)&gt;0,"open","complete")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90" customHeight="1">
      <x:c r="A9" s="169" t="inlineStr">
        <x:is>
          <x:t xml:space="preserve">CM-01</x:t>
        </x:is>
      </x:c>
      <x:c r="B9" s="169" t="inlineStr">
        <x:is>
          <x:t xml:space="preserve">Ownership</x:t>
        </x:is>
      </x:c>
      <x:c r="C9" s="169" t="inlineStr">
        <x:is>
          <x:t xml:space="preserve">All parts</x:t>
        </x:is>
      </x:c>
      <x:c r="D9" s="169" t="inlineStr">
        <x:is>
          <x:t xml:space="preserve">Brick presentation composes qualified unpublished Atom 0.26.1; SHA256 e1f6e8e6450bcd0eddac296f4cd451efaa5e3b222f84d4c6f21913d581ab03c6. No released-dependency claim.</x:t>
        </x:is>
      </x:c>
      <x:c r="E9" s="169" t="inlineStr">
        <x:is>
          <x:t xml:space="preserve">package</x:t>
        </x:is>
      </x:c>
      <x:c r="F9" s="169" t="inlineStr">
        <x:is>
          <x:t xml:space="preserve">source</x:t>
        </x:is>
      </x:c>
      <x:c r="G9" s="169" t="inlineStr">
        <x:is>
          <x:t xml:space="preserve">../src/components/context-menu</x:t>
        </x:is>
      </x:c>
      <x:c r="H9" s="169" t="inlineStr">
        <x:is>
          <x:t xml:space="preserve">tested</x:t>
        </x:is>
      </x:c>
      <x:c r="I9" s="169" t="inlineStr">
        <x:is>
          <x:t xml:space="preserve">no</x:t>
        </x:is>
      </x:c>
      <x:c r="J9" s="170" t="n">
        <x:v>46279</x:v>
      </x:c>
      <x:c r="K9" s="148" t="n"/>
      <x:c r="L9" s="169" t="n">
        <x:v>1</x:v>
      </x:c>
      <x:c r="M9" s="169" t="n">
        <x:f>IF(OR(AND(I9="yes",H9="verified"),AND(I9="no",OR(H9="tested",H9="verified")),AND(H9="not applicable",K9&lt;&gt;"")),1,0)</x:f>
        <x:v>1</x:v>
      </x:c>
    </x:row>
    <x:row r="10" s="127" customFormat="1" ht="90" customHeight="1">
      <x:c r="A10" s="169" t="inlineStr">
        <x:is>
          <x:t xml:space="preserve">CM-02</x:t>
        </x:is>
      </x:c>
      <x:c r="B10" s="169" t="inlineStr">
        <x:is>
          <x:t xml:space="preserve">Anatomy</x:t>
        </x:is>
      </x:c>
      <x:c r="C10" s="169" t="inlineStr">
        <x:is>
          <x:t xml:space="preserve">All parts</x:t>
        </x:is>
      </x:c>
      <x:c r="D10" s="169" t="inlineStr">
        <x:is>
          <x:t xml:space="preserve">Namespace and named anatomy include the external controller/RootProvider/Context path without duplicating behavior owners.</x:t>
        </x:is>
      </x:c>
      <x:c r="E10" s="169" t="inlineStr">
        <x:is>
          <x:t xml:space="preserve">package</x:t>
        </x:is>
      </x:c>
      <x:c r="F10" s="169" t="inlineStr">
        <x:is>
          <x:t xml:space="preserve">component</x:t>
        </x:is>
      </x:c>
      <x:c r="G10" s="169" t="inlineStr">
        <x:is>
          <x:t xml:space="preserve">../test/components/context-menu/context-menu.test.tsx</x:t>
        </x:is>
      </x:c>
      <x:c r="H10" s="169" t="inlineStr">
        <x:is>
          <x:t xml:space="preserve">tested</x:t>
        </x:is>
      </x:c>
      <x:c r="I10" s="169" t="inlineStr">
        <x:is>
          <x:t xml:space="preserve">no</x:t>
        </x:is>
      </x:c>
      <x:c r="J10" s="170" t="n">
        <x:v>46279</x:v>
      </x:c>
      <x:c r="K10" s="148" t="n"/>
      <x:c r="L10" s="169" t="n">
        <x:v>1</x:v>
      </x:c>
      <x:c r="M10" s="169" t="n">
        <x:f>IF(OR(AND(I10="yes",H10="verified"),AND(I10="no",OR(H10="tested",H10="verified")),AND(H10="not applicable",K10&lt;&gt;"")),1,0)</x:f>
        <x:v>1</x:v>
      </x:c>
    </x:row>
    <x:row r="11" s="127" customFormat="1" ht="90" customHeight="1">
      <x:c r="A11" s="169" t="inlineStr">
        <x:is>
          <x:t xml:space="preserve">CM-03</x:t>
        </x:is>
      </x:c>
      <x:c r="B11" s="169" t="inlineStr">
        <x:is>
          <x:t xml:space="preserve">Exports</x:t>
        </x:is>
      </x:c>
      <x:c r="C11" s="169" t="inlineStr">
        <x:is>
          <x:t xml:space="preserve">ContextMenu</x:t>
        </x:is>
      </x:c>
      <x:c r="D11" s="169" t="inlineStr">
        <x:is>
          <x:t xml:space="preserve">Root and component subpath expose the namespace, named parts, and public types with identical runtime identities.</x:t>
        </x:is>
      </x:c>
      <x:c r="E11" s="169" t="inlineStr">
        <x:is>
          <x:t xml:space="preserve">package</x:t>
        </x:is>
      </x:c>
      <x:c r="F11" s="169" t="inlineStr">
        <x:is>
          <x:t xml:space="preserve">package</x:t>
        </x:is>
      </x:c>
      <x:c r="G11" s="169" t="inlineStr">
        <x:is>
          <x:t xml:space="preserve">../test/package/package.test.mjs; ../scripts/verify-consumers.mjs</x:t>
        </x:is>
      </x:c>
      <x:c r="H11" s="169" t="inlineStr">
        <x:is>
          <x:t xml:space="preserve">tested</x:t>
        </x:is>
      </x:c>
      <x:c r="I11" s="169" t="inlineStr">
        <x:is>
          <x:t xml:space="preserve">no</x:t>
        </x:is>
      </x:c>
      <x:c r="J11" s="170" t="n">
        <x:v>46279</x:v>
      </x:c>
      <x:c r="K11" s="148" t="n"/>
      <x:c r="L11" s="169" t="n">
        <x:v>1</x:v>
      </x:c>
      <x:c r="M11" s="169" t="n">
        <x:f>IF(OR(AND(I11="yes",H11="verified"),AND(I11="no",OR(H11="tested",H11="verified")),AND(H11="not applicable",K11&lt;&gt;"")),1,0)</x:f>
        <x:v>1</x:v>
      </x:c>
    </x:row>
    <x:row r="12" s="127" customFormat="1" ht="90" customHeight="1">
      <x:c r="A12" s="169" t="inlineStr">
        <x:is>
          <x:t xml:space="preserve">CM-04</x:t>
        </x:is>
      </x:c>
      <x:c r="B12" s="169" t="inlineStr">
        <x:is>
          <x:t xml:space="preserve">Types</x:t>
        </x:is>
      </x:c>
      <x:c r="C12" s="169" t="inlineStr">
        <x:is>
          <x:t xml:space="preserve">All parts</x:t>
        </x:is>
      </x:c>
      <x:c r="D12" s="169" t="inlineStr">
        <x:is>
          <x:t xml:space="preserve">Closed visual recipes, controller/provider types, native composition and real host refs type-check through public exports.</x:t>
        </x:is>
      </x:c>
      <x:c r="E12" s="169" t="inlineStr">
        <x:is>
          <x:t xml:space="preserve">package</x:t>
        </x:is>
      </x:c>
      <x:c r="F12" s="169" t="inlineStr">
        <x:is>
          <x:t xml:space="preserve">types</x:t>
        </x:is>
      </x:c>
      <x:c r="G12" s="169" t="inlineStr">
        <x:is>
          <x:t xml:space="preserve">../test/types/components/context-menu.test.ts</x:t>
        </x:is>
      </x:c>
      <x:c r="H12" s="169" t="inlineStr">
        <x:is>
          <x:t xml:space="preserve">tested</x:t>
        </x:is>
      </x:c>
      <x:c r="I12" s="169" t="inlineStr">
        <x:is>
          <x:t xml:space="preserve">no</x:t>
        </x:is>
      </x:c>
      <x:c r="J12" s="170" t="n">
        <x:v>46279</x:v>
      </x:c>
      <x:c r="K12" s="148" t="n"/>
      <x:c r="L12" s="169" t="n">
        <x:v>1</x:v>
      </x:c>
      <x:c r="M12" s="169" t="n">
        <x:f>IF(OR(AND(I12="yes",H12="verified"),AND(I12="no",OR(H12="tested",H12="verified")),AND(H12="not applicable",K12&lt;&gt;"")),1,0)</x:f>
        <x:v>1</x:v>
      </x:c>
    </x:row>
    <x:row r="13" s="127" customFormat="1" ht="90" customHeight="1">
      <x:c r="A13" s="169" t="inlineStr">
        <x:is>
          <x:t xml:space="preserve">CM-05</x:t>
        </x:is>
      </x:c>
      <x:c r="B13" s="169" t="inlineStr">
        <x:is>
          <x:t xml:space="preserve">CSS</x:t>
        </x:is>
      </x:c>
      <x:c r="C13" s="169" t="inlineStr">
        <x:is>
          <x:t xml:space="preserve">All parts</x:t>
        </x:is>
      </x:c>
      <x:c r="D13" s="169" t="inlineStr">
        <x:is>
          <x:t xml:space="preserve">Shared static recipes support 24/32/44 rows, 12/14/16 typography, subtle/solid/plain, semantic tones, panel/row inset and explicit indicators.</x:t>
        </x:is>
      </x:c>
      <x:c r="E13" s="169" t="inlineStr">
        <x:is>
          <x:t xml:space="preserve">package</x:t>
        </x:is>
      </x:c>
      <x:c r="F13" s="169" t="inlineStr">
        <x:is>
          <x:t xml:space="preserve">css</x:t>
        </x:is>
      </x:c>
      <x:c r="G13" s="169" t="inlineStr">
        <x:is>
          <x:t xml:space="preserve">../src/components/context-menu/context-menu.css</x:t>
        </x:is>
      </x:c>
      <x:c r="H13" s="169" t="inlineStr">
        <x:is>
          <x:t xml:space="preserve">tested</x:t>
        </x:is>
      </x:c>
      <x:c r="I13" s="169" t="inlineStr">
        <x:is>
          <x:t xml:space="preserve">no</x:t>
        </x:is>
      </x:c>
      <x:c r="J13" s="170" t="n">
        <x:v>46279</x:v>
      </x:c>
      <x:c r="K13" s="148" t="n"/>
      <x:c r="L13" s="169" t="n">
        <x:v>1</x:v>
      </x:c>
      <x:c r="M13" s="169" t="n">
        <x:f>IF(OR(AND(I13="yes",H13="verified"),AND(I13="no",OR(H13="tested",H13="verified")),AND(H13="not applicable",K13&lt;&gt;"")),1,0)</x:f>
        <x:v>1</x:v>
      </x:c>
    </x:row>
    <x:row r="14" s="127" customFormat="1" ht="90" customHeight="1">
      <x:c r="A14" s="169" t="inlineStr">
        <x:is>
          <x:t xml:space="preserve">CM-06</x:t>
        </x:is>
      </x:c>
      <x:c r="B14" s="169" t="inlineStr">
        <x:is>
          <x:t xml:space="preserve">Invocation</x:t>
        </x:is>
      </x:c>
      <x:c r="C14" s="169" t="inlineStr">
        <x:is>
          <x:t xml:space="preserve">Trigger/Content</x:t>
        </x:is>
      </x:c>
      <x:c r="D14" s="169" t="inlineStr">
        <x:is>
          <x:t xml:space="preserve">Pointer context gesture and Shift+F10 open at the intended target while essential actions remain visibly available.</x:t>
        </x:is>
      </x:c>
      <x:c r="E14" s="169" t="inlineStr">
        <x:is>
          <x:t xml:space="preserve">package</x:t>
        </x:is>
      </x:c>
      <x:c r="F14" s="169" t="inlineStr">
        <x:is>
          <x:t xml:space="preserve">browser</x:t>
        </x:is>
      </x:c>
      <x:c r="G14" s="169" t="inlineStr">
        <x:is>
          <x:t xml:space="preserve">tests/components/context-menu/behavior.spec.ts</x:t>
        </x:is>
      </x:c>
      <x:c r="H14" s="169" t="inlineStr">
        <x:is>
          <x:t xml:space="preserve">tested</x:t>
        </x:is>
      </x:c>
      <x:c r="I14" s="169" t="inlineStr">
        <x:is>
          <x:t xml:space="preserve">no</x:t>
        </x:is>
      </x:c>
      <x:c r="J14" s="170" t="n">
        <x:v>46279</x:v>
      </x:c>
      <x:c r="K14" s="148" t="n"/>
      <x:c r="L14" s="169" t="n">
        <x:v>1</x:v>
      </x:c>
      <x:c r="M14" s="169" t="n">
        <x:f>IF(OR(AND(I14="yes",H14="verified"),AND(I14="no",OR(H14="tested",H14="verified")),AND(H14="not applicable",K14&lt;&gt;"")),1,0)</x:f>
        <x:v>1</x:v>
      </x:c>
    </x:row>
    <x:row r="15" s="127" customFormat="1" ht="90" customHeight="1">
      <x:c r="A15" s="169" t="inlineStr">
        <x:is>
          <x:t xml:space="preserve">CM-07</x:t>
        </x:is>
      </x:c>
      <x:c r="B15" s="169" t="inlineStr">
        <x:is>
          <x:t xml:space="preserve">Sizes</x:t>
        </x:is>
      </x:c>
      <x:c r="C15" s="169" t="inlineStr">
        <x:is>
          <x:t xml:space="preserve">Content/SubContent</x:t>
        </x:is>
      </x:c>
      <x:c r="D15" s="169" t="inlineStr">
        <x:is>
          <x:t xml:space="preserve">Popup rows measure 24/32/44px, regular 12/14/16px typography and 4/6/8px panel insets; local token overrides remain effective.</x:t>
        </x:is>
      </x:c>
      <x:c r="E15" s="169" t="inlineStr">
        <x:is>
          <x:t xml:space="preserve">package</x:t>
        </x:is>
      </x:c>
      <x:c r="F15" s="169" t="inlineStr">
        <x:is>
          <x:t xml:space="preserve">visual</x:t>
        </x:is>
      </x:c>
      <x:c r="G15" s="169" t="inlineStr">
        <x:is>
          <x:t xml:space="preserve">tests/components/dropdown-menu/recipe-parity.spec.ts</x:t>
        </x:is>
      </x:c>
      <x:c r="H15" s="169" t="inlineStr">
        <x:is>
          <x:t xml:space="preserve">tested</x:t>
        </x:is>
      </x:c>
      <x:c r="I15" s="169" t="inlineStr">
        <x:is>
          <x:t xml:space="preserve">yes</x:t>
        </x:is>
      </x:c>
      <x:c r="J15" s="170" t="n">
        <x:v>46279</x:v>
      </x:c>
      <x:c r="K15" s="169" t="inlineStr">
        <x:is>
          <x:t xml:space="preserve">Automated and agent visual review completed; required human acceptance remains unclaimed.</x:t>
        </x:is>
      </x:c>
      <x:c r="L15" s="169" t="n">
        <x:v>1</x:v>
      </x:c>
      <x:c r="M15" s="169" t="n">
        <x:f>IF(OR(AND(I15="yes",H15="verified"),AND(I15="no",OR(H15="tested",H15="verified")),AND(H15="not applicable",K15&lt;&gt;"")),1,0)</x:f>
        <x:v>0</x:v>
      </x:c>
    </x:row>
    <x:row r="16" s="127" customFormat="1" ht="90" customHeight="1">
      <x:c r="A16" s="169" t="inlineStr">
        <x:is>
          <x:t xml:space="preserve">CM-08</x:t>
        </x:is>
      </x:c>
      <x:c r="B16" s="169" t="inlineStr">
        <x:is>
          <x:t xml:space="preserve">Anatomy</x:t>
        </x:is>
      </x:c>
      <x:c r="C16" s="169" t="inlineStr">
        <x:is>
          <x:t xml:space="preserve">All popup parts</x:t>
        </x:is>
      </x:c>
      <x:c r="D16" s="169" t="inlineStr">
        <x:is>
          <x:t xml:space="preserve">Groups, labels, rows, supporting content, separators, Arrow, choices, danger, disabled, and submenus remain aligned.</x:t>
        </x:is>
      </x:c>
      <x:c r="E16" s="169" t="inlineStr">
        <x:is>
          <x:t xml:space="preserve">package</x:t>
        </x:is>
      </x:c>
      <x:c r="F16" s="169" t="inlineStr">
        <x:is>
          <x:t xml:space="preserve">visual</x:t>
        </x:is>
      </x:c>
      <x:c r="G16" s="169" t="inlineStr">
        <x:is>
          <x:t xml:space="preserve">tests/components/dropdown-menu/recipe-parity.spec.ts</x:t>
        </x:is>
      </x:c>
      <x:c r="H16" s="169" t="inlineStr">
        <x:is>
          <x:t xml:space="preserve">tested</x:t>
        </x:is>
      </x:c>
      <x:c r="I16" s="169" t="inlineStr">
        <x:is>
          <x:t xml:space="preserve">yes</x:t>
        </x:is>
      </x:c>
      <x:c r="J16" s="170" t="n">
        <x:v>46279</x:v>
      </x:c>
      <x:c r="K16" s="169" t="inlineStr">
        <x:is>
          <x:t xml:space="preserve">Automated and agent visual review completed; required human acceptance remains unclaimed.</x:t>
        </x:is>
      </x:c>
      <x:c r="L16" s="169" t="n">
        <x:v>1</x:v>
      </x:c>
      <x:c r="M16" s="169" t="n">
        <x:f>IF(OR(AND(I16="yes",H16="verified"),AND(I16="no",OR(H16="tested",H16="verified")),AND(H16="not applicable",K16&lt;&gt;"")),1,0)</x:f>
        <x:v>0</x:v>
      </x:c>
    </x:row>
    <x:row r="17" s="127" customFormat="1" ht="90" customHeight="1">
      <x:c r="A17" s="169" t="inlineStr">
        <x:is>
          <x:t xml:space="preserve">CM-09</x:t>
        </x:is>
      </x:c>
      <x:c r="B17" s="169" t="inlineStr">
        <x:is>
          <x:t xml:space="preserve">Selection</x:t>
        </x:is>
      </x:c>
      <x:c r="C17" s="169" t="inlineStr">
        <x:is>
          <x:t xml:space="preserve">CheckboxItem/RadioItem</x:t>
        </x:is>
      </x:c>
      <x:c r="D17" s="169" t="inlineStr">
        <x:is>
          <x:t xml:space="preserve">Checked, mixed, and radio choices preserve Atom selection and indicators.</x:t>
        </x:is>
      </x:c>
      <x:c r="E17" s="169" t="inlineStr">
        <x:is>
          <x:t xml:space="preserve">package</x:t>
        </x:is>
      </x:c>
      <x:c r="F17" s="169" t="inlineStr">
        <x:is>
          <x:t xml:space="preserve">browser</x:t>
        </x:is>
      </x:c>
      <x:c r="G17" s="169" t="inlineStr">
        <x:is>
          <x:t xml:space="preserve">tests/components/context-menu/behavior.spec.ts</x:t>
        </x:is>
      </x:c>
      <x:c r="H17" s="169" t="inlineStr">
        <x:is>
          <x:t xml:space="preserve">tested</x:t>
        </x:is>
      </x:c>
      <x:c r="I17" s="169" t="inlineStr">
        <x:is>
          <x:t xml:space="preserve">no</x:t>
        </x:is>
      </x:c>
      <x:c r="J17" s="170" t="n">
        <x:v>46279</x:v>
      </x:c>
      <x:c r="K17" s="148" t="n"/>
      <x:c r="L17" s="169" t="n">
        <x:v>1</x:v>
      </x:c>
      <x:c r="M17" s="169" t="n">
        <x:f>IF(OR(AND(I17="yes",H17="verified"),AND(I17="no",OR(H17="tested",H17="verified")),AND(H17="not applicable",K17&lt;&gt;"")),1,0)</x:f>
        <x:v>1</x:v>
      </x:c>
    </x:row>
    <x:row r="18" s="127" customFormat="1" ht="90" customHeight="1">
      <x:c r="A18" s="169" t="inlineStr">
        <x:is>
          <x:t xml:space="preserve">CM-10</x:t>
        </x:is>
      </x:c>
      <x:c r="B18" s="169" t="inlineStr">
        <x:is>
          <x:t xml:space="preserve">States</x:t>
        </x:is>
      </x:c>
      <x:c r="C18" s="169" t="inlineStr">
        <x:is>
          <x:t xml:space="preserve">Item/SubTrigger</x:t>
        </x:is>
      </x:c>
      <x:c r="D18" s="169" t="inlineStr">
        <x:is>
          <x:t xml:space="preserve">Neutral, highlighted, disabled, and danger commands stay distinct.</x:t>
        </x:is>
      </x:c>
      <x:c r="E18" s="169" t="inlineStr">
        <x:is>
          <x:t xml:space="preserve">package</x:t>
        </x:is>
      </x:c>
      <x:c r="F18" s="169" t="inlineStr">
        <x:is>
          <x:t xml:space="preserve">browser</x:t>
        </x:is>
      </x:c>
      <x:c r="G18" s="169" t="inlineStr">
        <x:is>
          <x:t xml:space="preserve">tests/components/context-menu/behavior.spec.ts</x:t>
        </x:is>
      </x:c>
      <x:c r="H18" s="169" t="inlineStr">
        <x:is>
          <x:t xml:space="preserve">tested</x:t>
        </x:is>
      </x:c>
      <x:c r="I18" s="169" t="inlineStr">
        <x:is>
          <x:t xml:space="preserve">no</x:t>
        </x:is>
      </x:c>
      <x:c r="J18" s="170" t="n">
        <x:v>46279</x:v>
      </x:c>
      <x:c r="K18" s="148" t="n"/>
      <x:c r="L18" s="169" t="n">
        <x:v>1</x:v>
      </x:c>
      <x:c r="M18" s="169" t="n">
        <x:f>IF(OR(AND(I18="yes",H18="verified"),AND(I18="no",OR(H18="tested",H18="verified")),AND(H18="not applicable",K18&lt;&gt;"")),1,0)</x:f>
        <x:v>1</x:v>
      </x:c>
    </x:row>
    <x:row r="19" s="127" customFormat="1" ht="90" customHeight="1">
      <x:c r="A19" s="169" t="inlineStr">
        <x:is>
          <x:t xml:space="preserve">CM-11</x:t>
        </x:is>
      </x:c>
      <x:c r="B19" s="169" t="inlineStr">
        <x:is>
          <x:t xml:space="preserve">Submenus</x:t>
        </x:is>
      </x:c>
      <x:c r="C19" s="169" t="inlineStr">
        <x:is>
          <x:t xml:space="preserve">Sub/SubTrigger/SubContent</x:t>
        </x:is>
      </x:c>
      <x:c r="D19" s="169" t="inlineStr">
        <x:is>
          <x:t xml:space="preserve">Nested context actions preserve keyboard direction, collision, focus, and dismissal.</x:t>
        </x:is>
      </x:c>
      <x:c r="E19" s="169" t="inlineStr">
        <x:is>
          <x:t xml:space="preserve">package</x:t>
        </x:is>
      </x:c>
      <x:c r="F19" s="169" t="inlineStr">
        <x:is>
          <x:t xml:space="preserve">browser</x:t>
        </x:is>
      </x:c>
      <x:c r="G19" s="169" t="inlineStr">
        <x:is>
          <x:t xml:space="preserve">tests/components/context-menu/behavior.spec.ts</x:t>
        </x:is>
      </x:c>
      <x:c r="H19" s="169" t="inlineStr">
        <x:is>
          <x:t xml:space="preserve">tested</x:t>
        </x:is>
      </x:c>
      <x:c r="I19" s="169" t="inlineStr">
        <x:is>
          <x:t xml:space="preserve">no</x:t>
        </x:is>
      </x:c>
      <x:c r="J19" s="170" t="n">
        <x:v>46279</x:v>
      </x:c>
      <x:c r="K19" s="148" t="n"/>
      <x:c r="L19" s="169" t="n">
        <x:v>1</x:v>
      </x:c>
      <x:c r="M19" s="169" t="n">
        <x:f>IF(OR(AND(I19="yes",H19="verified"),AND(I19="no",OR(H19="tested",H19="verified")),AND(H19="not applicable",K19&lt;&gt;"")),1,0)</x:f>
        <x:v>1</x:v>
      </x:c>
    </x:row>
    <x:row r="20" s="127" customFormat="1" ht="90" customHeight="1">
      <x:c r="A20" s="169" t="inlineStr">
        <x:is>
          <x:t xml:space="preserve">CM-12</x:t>
        </x:is>
      </x:c>
      <x:c r="B20" s="169" t="inlineStr">
        <x:is>
          <x:t xml:space="preserve">Keyboard</x:t>
        </x:is>
      </x:c>
      <x:c r="C20" s="169" t="inlineStr">
        <x:is>
          <x:t xml:space="preserve">Interactive parts</x:t>
        </x:is>
      </x:c>
      <x:c r="D20" s="169" t="inlineStr">
        <x:is>
          <x:t xml:space="preserve">Keyboard opening, roving or adjacent navigation, activation, dismissal, and focus return remain Atom-owned.</x:t>
        </x:is>
      </x:c>
      <x:c r="E20" s="169" t="inlineStr">
        <x:is>
          <x:t xml:space="preserve">package</x:t>
        </x:is>
      </x:c>
      <x:c r="F20" s="169" t="inlineStr">
        <x:is>
          <x:t xml:space="preserve">browser</x:t>
        </x:is>
      </x:c>
      <x:c r="G20" s="169" t="inlineStr">
        <x:is>
          <x:t xml:space="preserve">tests/components/context-menu/behavior.spec.ts</x:t>
        </x:is>
      </x:c>
      <x:c r="H20" s="169" t="inlineStr">
        <x:is>
          <x:t xml:space="preserve">tested</x:t>
        </x:is>
      </x:c>
      <x:c r="I20" s="169" t="inlineStr">
        <x:is>
          <x:t xml:space="preserve">no</x:t>
        </x:is>
      </x:c>
      <x:c r="J20" s="170" t="n">
        <x:v>46279</x:v>
      </x:c>
      <x:c r="K20" s="148" t="n"/>
      <x:c r="L20" s="169" t="n">
        <x:v>1</x:v>
      </x:c>
      <x:c r="M20" s="169" t="n">
        <x:f>IF(OR(AND(I20="yes",H20="verified"),AND(I20="no",OR(H20="tested",H20="verified")),AND(H20="not applicable",K20&lt;&gt;"")),1,0)</x:f>
        <x:v>1</x:v>
      </x:c>
    </x:row>
    <x:row r="21" s="127" customFormat="1" ht="90" customHeight="1">
      <x:c r="A21" s="169" t="inlineStr">
        <x:is>
          <x:t xml:space="preserve">CM-13</x:t>
        </x:is>
      </x:c>
      <x:c r="B21" s="169" t="inlineStr">
        <x:is>
          <x:t xml:space="preserve">Composition</x:t>
        </x:is>
      </x:c>
      <x:c r="C21" s="169" t="inlineStr">
        <x:is>
          <x:t xml:space="preserve">Composed parts</x:t>
        </x:is>
      </x:c>
      <x:c r="D21" s="169" t="inlineStr">
        <x:is>
          <x:t xml:space="preserve">render and asChild preserve native hosts, semantic roles, attributes, state, handlers, slots, and refs.</x:t>
        </x:is>
      </x:c>
      <x:c r="E21" s="169" t="inlineStr">
        <x:is>
          <x:t xml:space="preserve">package</x:t>
        </x:is>
      </x:c>
      <x:c r="F21" s="169" t="inlineStr">
        <x:is>
          <x:t xml:space="preserve">browser</x:t>
        </x:is>
      </x:c>
      <x:c r="G21" s="169" t="inlineStr">
        <x:is>
          <x:t xml:space="preserve">tests/components/context-menu/behavior.spec.ts</x:t>
        </x:is>
      </x:c>
      <x:c r="H21" s="169" t="inlineStr">
        <x:is>
          <x:t xml:space="preserve">tested</x:t>
        </x:is>
      </x:c>
      <x:c r="I21" s="169" t="inlineStr">
        <x:is>
          <x:t xml:space="preserve">no</x:t>
        </x:is>
      </x:c>
      <x:c r="J21" s="170" t="n">
        <x:v>46279</x:v>
      </x:c>
      <x:c r="K21" s="169" t="n"/>
      <x:c r="L21" s="169" t="n">
        <x:v>1</x:v>
      </x:c>
      <x:c r="M21" s="169" t="n">
        <x:f>IF(OR(AND(I21="yes",H21="verified"),AND(I21="no",OR(H21="tested",H21="verified")),AND(H21="not applicable",K21&lt;&gt;"")),1,0)</x:f>
        <x:v>1</x:v>
      </x:c>
    </x:row>
    <x:row r="22" s="127" customFormat="1" ht="90" customHeight="1">
      <x:c r="A22" s="169" t="inlineStr">
        <x:is>
          <x:t xml:space="preserve">CM-14</x:t>
        </x:is>
      </x:c>
      <x:c r="B22" s="169" t="inlineStr">
        <x:is>
          <x:t xml:space="preserve">Responsive</x:t>
        </x:is>
      </x:c>
      <x:c r="C22" s="169" t="inlineStr">
        <x:is>
          <x:t xml:space="preserve">All parts</x:t>
        </x:is>
      </x:c>
      <x:c r="D22" s="169" t="inlineStr">
        <x:is>
          <x:t xml:space="preserve">Narrow viewports preserve reachable controls, constrained overlays, zoom, and the documented mobile boundary.</x:t>
        </x:is>
      </x:c>
      <x:c r="E22" s="169" t="inlineStr">
        <x:is>
          <x:t xml:space="preserve">package</x:t>
        </x:is>
      </x:c>
      <x:c r="F22" s="169" t="inlineStr">
        <x:is>
          <x:t xml:space="preserve">browser</x:t>
        </x:is>
      </x:c>
      <x:c r="G22" s="169" t="inlineStr">
        <x:is>
          <x:t xml:space="preserve">tests/components/context-menu/behavior.spec.ts</x:t>
        </x:is>
      </x:c>
      <x:c r="H22" s="169" t="inlineStr">
        <x:is>
          <x:t xml:space="preserve">tested</x:t>
        </x:is>
      </x:c>
      <x:c r="I22" s="169" t="inlineStr">
        <x:is>
          <x:t xml:space="preserve">no</x:t>
        </x:is>
      </x:c>
      <x:c r="J22" s="170" t="n">
        <x:v>46279</x:v>
      </x:c>
      <x:c r="K22" s="148" t="n"/>
      <x:c r="L22" s="169" t="n">
        <x:v>1</x:v>
      </x:c>
      <x:c r="M22" s="169" t="n">
        <x:f>IF(OR(AND(I22="yes",H22="verified"),AND(I22="no",OR(H22="tested",H22="verified")),AND(H22="not applicable",K22&lt;&gt;"")),1,0)</x:f>
        <x:v>1</x:v>
      </x:c>
    </x:row>
    <x:row r="23" s="127" customFormat="1" ht="90" customHeight="1">
      <x:c r="A23" s="169" t="inlineStr">
        <x:is>
          <x:t xml:space="preserve">CM-15</x:t>
        </x:is>
      </x:c>
      <x:c r="B23" s="169" t="inlineStr">
        <x:is>
          <x:t xml:space="preserve">Direction</x:t>
        </x:is>
      </x:c>
      <x:c r="C23" s="169" t="inlineStr">
        <x:is>
          <x:t xml:space="preserve">All parts</x:t>
        </x:is>
      </x:c>
      <x:c r="D23" s="169" t="inlineStr">
        <x:is>
          <x:t xml:space="preserve">Explicit RTL mirrors logical alignment and horizontal keyboard direction while preserving genuine text.</x:t>
        </x:is>
      </x:c>
      <x:c r="E23" s="169" t="inlineStr">
        <x:is>
          <x:t xml:space="preserve">package</x:t>
        </x:is>
      </x:c>
      <x:c r="F23" s="169" t="inlineStr">
        <x:is>
          <x:t xml:space="preserve">browser</x:t>
        </x:is>
      </x:c>
      <x:c r="G23" s="169" t="inlineStr">
        <x:is>
          <x:t xml:space="preserve">tests/components/context-menu/behavior.spec.ts</x:t>
        </x:is>
      </x:c>
      <x:c r="H23" s="169" t="inlineStr">
        <x:is>
          <x:t xml:space="preserve">tested</x:t>
        </x:is>
      </x:c>
      <x:c r="I23" s="169" t="inlineStr">
        <x:is>
          <x:t xml:space="preserve">no</x:t>
        </x:is>
      </x:c>
      <x:c r="J23" s="170" t="n">
        <x:v>46279</x:v>
      </x:c>
      <x:c r="K23" s="148" t="n"/>
      <x:c r="L23" s="169" t="n">
        <x:v>1</x:v>
      </x:c>
      <x:c r="M23" s="169" t="n">
        <x:f>IF(OR(AND(I23="yes",H23="verified"),AND(I23="no",OR(H23="tested",H23="verified")),AND(H23="not applicable",K23&lt;&gt;"")),1,0)</x:f>
        <x:v>1</x:v>
      </x:c>
    </x:row>
    <x:row r="24" s="127" customFormat="1" ht="90" customHeight="1">
      <x:c r="A24" s="169" t="inlineStr">
        <x:is>
          <x:t xml:space="preserve">CM-16</x:t>
        </x:is>
      </x:c>
      <x:c r="B24" s="169" t="inlineStr">
        <x:is>
          <x:t xml:space="preserve">Accessibility</x:t>
        </x:is>
      </x:c>
      <x:c r="C24" s="169" t="inlineStr">
        <x:is>
          <x:t xml:space="preserve">All parts</x:t>
        </x:is>
      </x:c>
      <x:c r="D24" s="169" t="inlineStr">
        <x:is>
          <x:t xml:space="preserve">Names, roles, states, keyboard order, focus, forced colors, and axe remain valid.</x:t>
        </x:is>
      </x:c>
      <x:c r="E24" s="169" t="inlineStr">
        <x:is>
          <x:t xml:space="preserve">package</x:t>
        </x:is>
      </x:c>
      <x:c r="F24" s="169" t="inlineStr">
        <x:is>
          <x:t xml:space="preserve">axe</x:t>
        </x:is>
      </x:c>
      <x:c r="G24" s="169" t="inlineStr">
        <x:is>
          <x:t xml:space="preserve">tests/components/context-menu/behavior.spec.ts</x:t>
        </x:is>
      </x:c>
      <x:c r="H24" s="169" t="inlineStr">
        <x:is>
          <x:t xml:space="preserve">tested</x:t>
        </x:is>
      </x:c>
      <x:c r="I24" s="169" t="inlineStr">
        <x:is>
          <x:t xml:space="preserve">no</x:t>
        </x:is>
      </x:c>
      <x:c r="J24" s="170" t="n">
        <x:v>46279</x:v>
      </x:c>
      <x:c r="K24" s="148" t="n"/>
      <x:c r="L24" s="169" t="n">
        <x:v>1</x:v>
      </x:c>
      <x:c r="M24" s="169" t="n">
        <x:f>IF(OR(AND(I24="yes",H24="verified"),AND(I24="no",OR(H24="tested",H24="verified")),AND(H24="not applicable",K24&lt;&gt;"")),1,0)</x:f>
        <x:v>1</x:v>
      </x:c>
    </x:row>
    <x:row r="25" s="127" customFormat="1" ht="90" customHeight="1">
      <x:c r="A25" s="169" t="inlineStr">
        <x:is>
          <x:t xml:space="preserve">CM-17</x:t>
        </x:is>
      </x:c>
      <x:c r="B25" s="169" t="inlineStr">
        <x:is>
          <x:t xml:space="preserve">Visual</x:t>
        </x:is>
      </x:c>
      <x:c r="C25" s="169" t="inlineStr">
        <x:is>
          <x:t xml:space="preserve">All parts</x:t>
        </x:is>
      </x:c>
      <x:c r="D25" s="169" t="inlineStr">
        <x:is>
          <x:t xml:space="preserve">Current browser measurements and agent-inspected light/dark compositions cover menu geometry; human visual acceptance remains pending.</x:t>
        </x:is>
      </x:c>
      <x:c r="E25" s="169" t="inlineStr">
        <x:is>
          <x:t xml:space="preserve">package</x:t>
        </x:is>
      </x:c>
      <x:c r="F25" s="169" t="inlineStr">
        <x:is>
          <x:t xml:space="preserve">visual</x:t>
        </x:is>
      </x:c>
      <x:c r="G25" s="169" t="inlineStr">
        <x:is>
          <x:t xml:space="preserve">tests/components/context-menu/behavior.spec.ts; tests/components/context-menu/documentation.spec.ts</x:t>
        </x:is>
      </x:c>
      <x:c r="H25" s="169" t="inlineStr">
        <x:is>
          <x:t xml:space="preserve">tested</x:t>
        </x:is>
      </x:c>
      <x:c r="I25" s="169" t="inlineStr">
        <x:is>
          <x:t xml:space="preserve">yes</x:t>
        </x:is>
      </x:c>
      <x:c r="J25" s="170" t="n">
        <x:v>46279</x:v>
      </x:c>
      <x:c r="K25" s="169" t="inlineStr">
        <x:is>
          <x:t xml:space="preserve">Automated and agent visual review completed; required human acceptance remains unclaimed.</x:t>
        </x:is>
      </x:c>
      <x:c r="L25" s="169" t="n">
        <x:v>1</x:v>
      </x:c>
      <x:c r="M25" s="169" t="n">
        <x:f>IF(OR(AND(I25="yes",H25="verified"),AND(I25="no",OR(H25="tested",H25="verified")),AND(H25="not applicable",K25&lt;&gt;"")),1,0)</x:f>
        <x:v>0</x:v>
      </x:c>
    </x:row>
    <x:row r="26" s="127" customFormat="1" ht="90" customHeight="1">
      <x:c r="A26" s="169" t="inlineStr">
        <x:is>
          <x:t xml:space="preserve">CM-18</x:t>
        </x:is>
      </x:c>
      <x:c r="B26" s="169" t="inlineStr">
        <x:is>
          <x:t xml:space="preserve">Behavior</x:t>
        </x:is>
      </x:c>
      <x:c r="C26" s="169" t="inlineStr">
        <x:is>
          <x:t xml:space="preserve">All parts</x:t>
        </x:is>
      </x:c>
      <x:c r="D26" s="169" t="inlineStr">
        <x:is>
          <x:t xml:space="preserve">Component-specific state and interaction remain covered by focused browser and unit evidence.</x:t>
        </x:is>
      </x:c>
      <x:c r="E26" s="169" t="inlineStr">
        <x:is>
          <x:t xml:space="preserve">package</x:t>
        </x:is>
      </x:c>
      <x:c r="F26" s="169" t="inlineStr">
        <x:is>
          <x:t xml:space="preserve">browser</x:t>
        </x:is>
      </x:c>
      <x:c r="G26" s="169" t="inlineStr">
        <x:is>
          <x:t xml:space="preserve">tests/components/context-menu/behavior.spec.ts</x:t>
        </x:is>
      </x:c>
      <x:c r="H26" s="169" t="inlineStr">
        <x:is>
          <x:t xml:space="preserve">tested</x:t>
        </x:is>
      </x:c>
      <x:c r="I26" s="169" t="inlineStr">
        <x:is>
          <x:t xml:space="preserve">no</x:t>
        </x:is>
      </x:c>
      <x:c r="J26" s="170" t="n">
        <x:v>46279</x:v>
      </x:c>
      <x:c r="K26" s="169" t="n"/>
      <x:c r="L26" s="169" t="n">
        <x:v>1</x:v>
      </x:c>
      <x:c r="M26" s="169" t="n">
        <x:f>IF(OR(AND(I26="yes",H26="verified"),AND(I26="no",OR(H26="tested",H26="verified")),AND(H26="not applicable",K26&lt;&gt;"")),1,0)</x:f>
        <x:v>1</x:v>
      </x:c>
    </x:row>
    <x:row r="27" s="127" customFormat="1" ht="90" customHeight="1">
      <x:c r="A27" s="169" t="inlineStr">
        <x:is>
          <x:t xml:space="preserve">CM-19</x:t>
        </x:is>
      </x:c>
      <x:c r="B27" s="169" t="inlineStr">
        <x:is>
          <x:t xml:space="preserve">Manual</x:t>
        </x:is>
      </x:c>
      <x:c r="C27" s="169" t="inlineStr">
        <x:is>
          <x:t xml:space="preserve">Context Menu</x:t>
        </x:is>
      </x:c>
      <x:c r="D27" s="169" t="inlineStr">
        <x:is>
          <x:t xml:space="preserve">A tester completes the concise top-to-bottom pointer, keyboard, AT, zoom, device, appearance, RTL, forced-color, and reduced-motion protocol.</x:t>
        </x:is>
      </x:c>
      <x:c r="E27" s="169" t="inlineStr">
        <x:is>
          <x:t xml:space="preserve">package</x:t>
        </x:is>
      </x:c>
      <x:c r="F27" s="169" t="inlineStr">
        <x:is>
          <x:t xml:space="preserve">manual</x:t>
        </x:is>
      </x:c>
      <x:c r="G27" s="169" t="inlineStr">
        <x:is>
          <x:t xml:space="preserve">manual-tests/context-menu.md</x:t>
        </x:is>
      </x:c>
      <x:c r="H27" s="169" t="inlineStr">
        <x:is>
          <x:t xml:space="preserve">not started</x:t>
        </x:is>
      </x:c>
      <x:c r="I27" s="169" t="inlineStr">
        <x:is>
          <x:t xml:space="preserve">yes</x:t>
        </x:is>
      </x:c>
      <x:c r="J27" s="170" t="n"/>
      <x:c r="K27" s="169" t="inlineStr">
        <x:is>
          <x:t xml:space="preserve">Screen-reader, physical-device and actual browser-zoom protocol not performed; owner review remains required.</x:t>
        </x:is>
      </x:c>
      <x:c r="L27" s="169" t="n">
        <x:v>1</x:v>
      </x:c>
      <x:c r="M27" s="169" t="n">
        <x:f>IF(OR(AND(I27="yes",H27="verified"),AND(I27="no",OR(H27="tested",H27="verified")),AND(H27="not applicable",K27&lt;&gt;"")),1,0)</x:f>
        <x:v>0</x:v>
      </x:c>
    </x:row>
    <x:row r="28" s="127" customFormat="1" ht="90" customHeight="1">
      <x:c r="A28" s="169" t="inlineStr">
        <x:is>
          <x:t xml:space="preserve">CM-20</x:t>
        </x:is>
      </x:c>
      <x:c r="B28" s="169" t="inlineStr">
        <x:is>
          <x:t xml:space="preserve">Docs</x:t>
        </x:is>
      </x:c>
      <x:c r="C28" s="169" t="inlineStr">
        <x:is>
          <x:t xml:space="preserve">Context Menu</x:t>
        </x:is>
      </x:c>
      <x:c r="D28" s="169" t="inlineStr">
        <x:is>
          <x:t xml:space="preserve">Source-backed public guide, changelog and closed Agent Knowledge document controllers, visual defaults, composition, positioning, lifecycle and migration differences.</x:t>
        </x:is>
      </x:c>
      <x:c r="E28" s="169" t="inlineStr">
        <x:is>
          <x:t xml:space="preserve">package</x:t>
        </x:is>
      </x:c>
      <x:c r="F28" s="169" t="inlineStr">
        <x:is>
          <x:t xml:space="preserve">docs</x:t>
        </x:is>
      </x:c>
      <x:c r="G28" s="169" t="inlineStr">
        <x:is>
          <x:t xml:space="preserve">../src/components/context-menu/README.md; ../src/components/context-menu/agent.md</x:t>
        </x:is>
      </x:c>
      <x:c r="H28" s="169" t="inlineStr">
        <x:is>
          <x:t xml:space="preserve">tested</x:t>
        </x:is>
      </x:c>
      <x:c r="I28" s="169" t="inlineStr">
        <x:is>
          <x:t xml:space="preserve">no</x:t>
        </x:is>
      </x:c>
      <x:c r="J28" s="170" t="n">
        <x:v>46279</x:v>
      </x:c>
      <x:c r="K28" s="148" t="n"/>
      <x:c r="L28" s="169" t="n">
        <x:v>1</x:v>
      </x:c>
      <x:c r="M28" s="169" t="n">
        <x:f>IF(OR(AND(I28="yes",H28="verified"),AND(I28="no",OR(H28="tested",H28="verified")),AND(H28="not applicable",K28&lt;&gt;"")),1,0)</x:f>
        <x:v>1</x:v>
      </x:c>
    </x:row>
    <x:row r="29" s="127" customFormat="1" ht="90" customHeight="1">
      <x:c r="A29" s="169" t="inlineStr">
        <x:is>
          <x:t xml:space="preserve">CM-21</x:t>
        </x:is>
      </x:c>
      <x:c r="B29" s="169" t="inlineStr">
        <x:is>
          <x:t xml:space="preserve">Playground</x:t>
        </x:is>
      </x:c>
      <x:c r="C29" s="169" t="inlineStr">
        <x:is>
          <x:t xml:space="preserve">Context Menu</x:t>
        </x:is>
      </x:c>
      <x:c r="D29" s="169" t="inlineStr">
        <x:is>
          <x:t xml:space="preserve">Normal docs route provides concise executable Preview/Code examples, Guide, named Props/TOC and retained independent qualification scenarios.</x:t>
        </x:is>
      </x:c>
      <x:c r="E29" s="169" t="inlineStr">
        <x:is>
          <x:t xml:space="preserve">package</x:t>
        </x:is>
      </x:c>
      <x:c r="F29" s="169" t="inlineStr">
        <x:is>
          <x:t xml:space="preserve">playground</x:t>
        </x:is>
      </x:c>
      <x:c r="G29" s="169" t="inlineStr">
        <x:is>
          <x:t xml:space="preserve">tests/components/context-menu/documentation.spec.ts; src/components/context-menu/documentation.ts</x:t>
        </x:is>
      </x:c>
      <x:c r="H29" s="169" t="inlineStr">
        <x:is>
          <x:t xml:space="preserve">tested</x:t>
        </x:is>
      </x:c>
      <x:c r="I29" s="169" t="inlineStr">
        <x:is>
          <x:t xml:space="preserve">no</x:t>
        </x:is>
      </x:c>
      <x:c r="J29" s="170" t="n">
        <x:v>46279</x:v>
      </x:c>
      <x:c r="K29" s="148" t="n"/>
      <x:c r="L29" s="169" t="n">
        <x:v>1</x:v>
      </x:c>
      <x:c r="M29" s="169" t="n">
        <x:f>IF(OR(AND(I29="yes",H29="verified"),AND(I29="no",OR(H29="tested",H29="verified")),AND(H29="not applicable",K29&lt;&gt;"")),1,0)</x:f>
        <x:v>1</x:v>
      </x:c>
    </x:row>
    <x:row r="30" s="127" customFormat="1" ht="90" customHeight="1">
      <x:c r="A30" s="169" t="inlineStr">
        <x:is>
          <x:t xml:space="preserve">CM-22</x:t>
        </x:is>
      </x:c>
      <x:c r="B30" s="169" t="inlineStr">
        <x:is>
          <x:t xml:space="preserve">Consumer</x:t>
        </x:is>
      </x:c>
      <x:c r="C30" s="169" t="inlineStr">
        <x:is>
          <x:t xml:space="preserve">Context Menu</x:t>
        </x:is>
      </x:c>
      <x:c r="D30" s="169" t="inlineStr">
        <x:is>
          <x:t xml:space="preserve">Packed Consumer imports the public subpath and operates realistic component composition on desktop and mobile.</x:t>
        </x:is>
      </x:c>
      <x:c r="E30" s="169" t="inlineStr">
        <x:is>
          <x:t xml:space="preserve">consumer</x:t>
        </x:is>
      </x:c>
      <x:c r="F30" s="169" t="inlineStr">
        <x:is>
          <x:t xml:space="preserve">consumer</x:t>
        </x:is>
      </x:c>
      <x:c r="G30" s="169" t="inlineStr">
        <x:is>
          <x:t xml:space="preserve">../apps/consumer/src/App.tsx; ../apps/consumer/tests/consumer.spec.ts</x:t>
        </x:is>
      </x:c>
      <x:c r="H30" s="169" t="inlineStr">
        <x:is>
          <x:t xml:space="preserve">tested</x:t>
        </x:is>
      </x:c>
      <x:c r="I30" s="169" t="inlineStr">
        <x:is>
          <x:t xml:space="preserve">no</x:t>
        </x:is>
      </x:c>
      <x:c r="J30" s="170" t="n">
        <x:v>46279</x:v>
      </x:c>
      <x:c r="K30" s="148" t="n"/>
      <x:c r="L30" s="169" t="n">
        <x:v>1</x:v>
      </x:c>
      <x:c r="M30" s="169" t="n">
        <x:f>IF(OR(AND(I30="yes",H30="verified"),AND(I30="no",OR(H30="tested",H30="verified")),AND(H30="not applicable",K30&lt;&gt;"")),1,0)</x:f>
        <x:v>1</x:v>
      </x:c>
    </x:row>
    <x:row r="31" s="127" customFormat="1" ht="90" customHeight="1">
      <x:c r="A31" s="169" t="inlineStr">
        <x:is>
          <x:t xml:space="preserve">CM-23</x:t>
        </x:is>
      </x:c>
      <x:c r="B31" s="169" t="inlineStr">
        <x:is>
          <x:t xml:space="preserve">Package</x:t>
        </x:is>
      </x:c>
      <x:c r="C31" s="169" t="inlineStr">
        <x:is>
          <x:t xml:space="preserve">Context Menu</x:t>
        </x:is>
      </x:c>
      <x:c r="D31" s="169" t="inlineStr">
        <x:is>
          <x:t xml:space="preserve">Local archive build, exports, SSR, CSS, React consumers and configured browser evidence qualify this candidate; manual checks and unrelated repository gates remain separate.</x:t>
        </x:is>
      </x:c>
      <x:c r="E31" s="169" t="inlineStr">
        <x:is>
          <x:t xml:space="preserve">package</x:t>
        </x:is>
      </x:c>
      <x:c r="F31" s="169" t="inlineStr">
        <x:is>
          <x:t xml:space="preserve">package</x:t>
        </x:is>
      </x:c>
      <x:c r="G31" s="169" t="inlineStr">
        <x:is>
          <x:t xml:space="preserve">../scripts/verify-package.mjs; ../scripts/verify-consumers.mjs</x:t>
        </x:is>
      </x:c>
      <x:c r="H31" s="169" t="inlineStr">
        <x:is>
          <x:t xml:space="preserve">partial</x:t>
        </x:is>
      </x:c>
      <x:c r="I31" s="169" t="inlineStr">
        <x:is>
          <x:t xml:space="preserve">no</x:t>
        </x:is>
      </x:c>
      <x:c r="J31" s="170" t="n">
        <x:v>46279</x:v>
      </x:c>
      <x:c r="K31" s="148" t="inlineStr">
        <x:is>
          <x:t xml:space="preserve">Local package and consumers verified. Broader repository ownership/prose checks and manual qualification remain open; no release authorized.</x:t>
        </x:is>
      </x:c>
      <x:c r="L31" s="169" t="n">
        <x:v>1</x:v>
      </x:c>
      <x:c r="M31" s="169" t="n">
        <x:f>IF(OR(AND(I31="yes",H31="verified"),AND(I31="no",OR(H31="tested",H31="verified")),AND(H31="not applicable",K31&lt;&gt;"")),1,0)</x:f>
        <x:v>0</x:v>
      </x:c>
    </x:row>
  </x:sheetData>
  <x:mergeCells>
    <x:mergeCell ref="A2:M2"/>
    <x:mergeCell ref="A1:M1"/>
  </x:mergeCells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Menubar Evidence</x:t>
        </x:is>
      </x:c>
    </x:row>
    <x:row r="2" s="127" customFormat="1" ht="27.75" customHeight="1">
      <x:c r="A2" s="129" t="inlineStr">
        <x:is>
          <x:t xml:space="preserve">Assertion-level Atom-backed package, keyboard, browser, visual, accessibility, documentation, Consumer, composition, and responsive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COUNTA(A9:A31)</x:f>
        <x:v>23</x:v>
      </x:c>
      <x:c r="D4" s="130" t="inlineStr">
        <x:is>
          <x:t xml:space="preserve">Resolved</x:t>
        </x:is>
      </x:c>
      <x:c r="E4" s="131" t="n">
        <x:f>SUM(M9:M31)</x:f>
        <x:v>19</x:v>
      </x:c>
      <x:c r="G4" s="130" t="inlineStr">
        <x:is>
          <x:t xml:space="preserve">Completion</x:t>
        </x:is>
      </x:c>
      <x:c r="H4" s="132" t="n">
        <x:f>IF(B4=0,0,E4/B4)</x:f>
        <x:v>0.8260869565217391</x:v>
      </x:c>
      <x:c r="J4" s="130" t="inlineStr">
        <x:is>
          <x:t xml:space="preserve">Package gate</x:t>
        </x:is>
      </x:c>
      <x:c r="K4" s="131" t="str">
        <x:f>IF(COUNTIFS(E9:E31,"package",M9:M31,0)&gt;0,"open","complete")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IF(COUNTIFS(I9:I31,"yes",M9:M31,0)&gt;0,"open","complete")</x:f>
        <x:v>open</x:v>
      </x:c>
      <x:c r="D5" s="130" t="inlineStr">
        <x:is>
          <x:t xml:space="preserve">Consumer gate</x:t>
        </x:is>
      </x:c>
      <x:c r="E5" s="131" t="str">
        <x:f>IF(COUNTIFS(E9:E31,"consumer",M9:M31,0)&gt;0,"open","complete")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90" customHeight="1">
      <x:c r="A9" s="169" t="inlineStr">
        <x:is>
          <x:t xml:space="preserve">MB-01</x:t>
        </x:is>
      </x:c>
      <x:c r="B9" s="169" t="inlineStr">
        <x:is>
          <x:t xml:space="preserve">Ownership</x:t>
        </x:is>
      </x:c>
      <x:c r="C9" s="169" t="inlineStr">
        <x:is>
          <x:t xml:space="preserve">All parts</x:t>
        </x:is>
      </x:c>
      <x:c r="D9" s="169" t="inlineStr">
        <x:is>
          <x:t xml:space="preserve">Brick presentation composes qualified unpublished Atom 0.26.1; SHA256 e1f6e8e6450bcd0eddac296f4cd451efaa5e3b222f84d4c6f21913d581ab03c6. No released-dependency claim.</x:t>
        </x:is>
      </x:c>
      <x:c r="E9" s="169" t="inlineStr">
        <x:is>
          <x:t xml:space="preserve">package</x:t>
        </x:is>
      </x:c>
      <x:c r="F9" s="169" t="inlineStr">
        <x:is>
          <x:t xml:space="preserve">source</x:t>
        </x:is>
      </x:c>
      <x:c r="G9" s="169" t="inlineStr">
        <x:is>
          <x:t xml:space="preserve">../src/components/menubar</x:t>
        </x:is>
      </x:c>
      <x:c r="H9" s="169" t="inlineStr">
        <x:is>
          <x:t xml:space="preserve">tested</x:t>
        </x:is>
      </x:c>
      <x:c r="I9" s="169" t="inlineStr">
        <x:is>
          <x:t xml:space="preserve">no</x:t>
        </x:is>
      </x:c>
      <x:c r="J9" s="170" t="n">
        <x:v>46279</x:v>
      </x:c>
      <x:c r="K9" s="148" t="n"/>
      <x:c r="L9" s="169" t="n">
        <x:v>1</x:v>
      </x:c>
      <x:c r="M9" s="169" t="n">
        <x:f>IF(OR(AND(I9="yes",H9="verified"),AND(I9="no",OR(H9="tested",H9="verified")),AND(H9="not applicable",K9&lt;&gt;"")),1,0)</x:f>
        <x:v>1</x:v>
      </x:c>
    </x:row>
    <x:row r="10" s="127" customFormat="1" ht="90" customHeight="1">
      <x:c r="A10" s="169" t="inlineStr">
        <x:is>
          <x:t xml:space="preserve">MB-02</x:t>
        </x:is>
      </x:c>
      <x:c r="B10" s="169" t="inlineStr">
        <x:is>
          <x:t xml:space="preserve">Anatomy</x:t>
        </x:is>
      </x:c>
      <x:c r="C10" s="169" t="inlineStr">
        <x:is>
          <x:t xml:space="preserve">All parts</x:t>
        </x:is>
      </x:c>
      <x:c r="D10" s="169" t="inlineStr">
        <x:is>
          <x:t xml:space="preserve">Namespace and named anatomy include the external controller/RootProvider/Context path without duplicating behavior owners.</x:t>
        </x:is>
      </x:c>
      <x:c r="E10" s="169" t="inlineStr">
        <x:is>
          <x:t xml:space="preserve">package</x:t>
        </x:is>
      </x:c>
      <x:c r="F10" s="169" t="inlineStr">
        <x:is>
          <x:t xml:space="preserve">component</x:t>
        </x:is>
      </x:c>
      <x:c r="G10" s="169" t="inlineStr">
        <x:is>
          <x:t xml:space="preserve">../test/components/menubar/menubar.test.tsx</x:t>
        </x:is>
      </x:c>
      <x:c r="H10" s="169" t="inlineStr">
        <x:is>
          <x:t xml:space="preserve">tested</x:t>
        </x:is>
      </x:c>
      <x:c r="I10" s="169" t="inlineStr">
        <x:is>
          <x:t xml:space="preserve">no</x:t>
        </x:is>
      </x:c>
      <x:c r="J10" s="170" t="n">
        <x:v>46279</x:v>
      </x:c>
      <x:c r="K10" s="148" t="n"/>
      <x:c r="L10" s="169" t="n">
        <x:v>1</x:v>
      </x:c>
      <x:c r="M10" s="169" t="n">
        <x:f>IF(OR(AND(I10="yes",H10="verified"),AND(I10="no",OR(H10="tested",H10="verified")),AND(H10="not applicable",K10&lt;&gt;"")),1,0)</x:f>
        <x:v>1</x:v>
      </x:c>
    </x:row>
    <x:row r="11" s="127" customFormat="1" ht="90" customHeight="1">
      <x:c r="A11" s="169" t="inlineStr">
        <x:is>
          <x:t xml:space="preserve">MB-03</x:t>
        </x:is>
      </x:c>
      <x:c r="B11" s="169" t="inlineStr">
        <x:is>
          <x:t xml:space="preserve">Exports</x:t>
        </x:is>
      </x:c>
      <x:c r="C11" s="169" t="inlineStr">
        <x:is>
          <x:t xml:space="preserve">Menubar</x:t>
        </x:is>
      </x:c>
      <x:c r="D11" s="169" t="inlineStr">
        <x:is>
          <x:t xml:space="preserve">Root and component subpath expose the namespace, named parts, and public types with identical runtime identities.</x:t>
        </x:is>
      </x:c>
      <x:c r="E11" s="169" t="inlineStr">
        <x:is>
          <x:t xml:space="preserve">package</x:t>
        </x:is>
      </x:c>
      <x:c r="F11" s="169" t="inlineStr">
        <x:is>
          <x:t xml:space="preserve">package</x:t>
        </x:is>
      </x:c>
      <x:c r="G11" s="169" t="inlineStr">
        <x:is>
          <x:t xml:space="preserve">../test/package/package.test.mjs; ../scripts/verify-consumers.mjs</x:t>
        </x:is>
      </x:c>
      <x:c r="H11" s="169" t="inlineStr">
        <x:is>
          <x:t xml:space="preserve">tested</x:t>
        </x:is>
      </x:c>
      <x:c r="I11" s="169" t="inlineStr">
        <x:is>
          <x:t xml:space="preserve">no</x:t>
        </x:is>
      </x:c>
      <x:c r="J11" s="170" t="n">
        <x:v>46279</x:v>
      </x:c>
      <x:c r="K11" s="148" t="n"/>
      <x:c r="L11" s="169" t="n">
        <x:v>1</x:v>
      </x:c>
      <x:c r="M11" s="169" t="n">
        <x:f>IF(OR(AND(I11="yes",H11="verified"),AND(I11="no",OR(H11="tested",H11="verified")),AND(H11="not applicable",K11&lt;&gt;"")),1,0)</x:f>
        <x:v>1</x:v>
      </x:c>
    </x:row>
    <x:row r="12" s="127" customFormat="1" ht="90" customHeight="1">
      <x:c r="A12" s="169" t="inlineStr">
        <x:is>
          <x:t xml:space="preserve">MB-04</x:t>
        </x:is>
      </x:c>
      <x:c r="B12" s="169" t="inlineStr">
        <x:is>
          <x:t xml:space="preserve">Types</x:t>
        </x:is>
      </x:c>
      <x:c r="C12" s="169" t="inlineStr">
        <x:is>
          <x:t xml:space="preserve">All parts</x:t>
        </x:is>
      </x:c>
      <x:c r="D12" s="169" t="inlineStr">
        <x:is>
          <x:t xml:space="preserve">Closed visual recipes, controller/provider types, native composition and real host refs type-check through public exports.</x:t>
        </x:is>
      </x:c>
      <x:c r="E12" s="169" t="inlineStr">
        <x:is>
          <x:t xml:space="preserve">package</x:t>
        </x:is>
      </x:c>
      <x:c r="F12" s="169" t="inlineStr">
        <x:is>
          <x:t xml:space="preserve">types</x:t>
        </x:is>
      </x:c>
      <x:c r="G12" s="169" t="inlineStr">
        <x:is>
          <x:t xml:space="preserve">../test/types/components/menubar.test.ts</x:t>
        </x:is>
      </x:c>
      <x:c r="H12" s="169" t="inlineStr">
        <x:is>
          <x:t xml:space="preserve">tested</x:t>
        </x:is>
      </x:c>
      <x:c r="I12" s="169" t="inlineStr">
        <x:is>
          <x:t xml:space="preserve">no</x:t>
        </x:is>
      </x:c>
      <x:c r="J12" s="170" t="n">
        <x:v>46279</x:v>
      </x:c>
      <x:c r="K12" s="148" t="n"/>
      <x:c r="L12" s="169" t="n">
        <x:v>1</x:v>
      </x:c>
      <x:c r="M12" s="169" t="n">
        <x:f>IF(OR(AND(I12="yes",H12="verified"),AND(I12="no",OR(H12="tested",H12="verified")),AND(H12="not applicable",K12&lt;&gt;"")),1,0)</x:f>
        <x:v>1</x:v>
      </x:c>
    </x:row>
    <x:row r="13" s="127" customFormat="1" ht="90" customHeight="1">
      <x:c r="A13" s="169" t="inlineStr">
        <x:is>
          <x:t xml:space="preserve">MB-05</x:t>
        </x:is>
      </x:c>
      <x:c r="B13" s="169" t="inlineStr">
        <x:is>
          <x:t xml:space="preserve">CSS</x:t>
        </x:is>
      </x:c>
      <x:c r="C13" s="169" t="inlineStr">
        <x:is>
          <x:t xml:space="preserve">All parts</x:t>
        </x:is>
      </x:c>
      <x:c r="D13" s="169" t="inlineStr">
        <x:is>
          <x:t xml:space="preserve">Shared static recipes support 24/32/44 rows, 12/14/16 typography, subtle/solid/plain, semantic tones, panel/row inset and explicit indicators.</x:t>
        </x:is>
      </x:c>
      <x:c r="E13" s="169" t="inlineStr">
        <x:is>
          <x:t xml:space="preserve">package</x:t>
        </x:is>
      </x:c>
      <x:c r="F13" s="169" t="inlineStr">
        <x:is>
          <x:t xml:space="preserve">css</x:t>
        </x:is>
      </x:c>
      <x:c r="G13" s="169" t="inlineStr">
        <x:is>
          <x:t xml:space="preserve">../src/components/menubar/menubar.css</x:t>
        </x:is>
      </x:c>
      <x:c r="H13" s="169" t="inlineStr">
        <x:is>
          <x:t xml:space="preserve">tested</x:t>
        </x:is>
      </x:c>
      <x:c r="I13" s="169" t="inlineStr">
        <x:is>
          <x:t xml:space="preserve">no</x:t>
        </x:is>
      </x:c>
      <x:c r="J13" s="170" t="n">
        <x:v>46279</x:v>
      </x:c>
      <x:c r="K13" s="148" t="n"/>
      <x:c r="L13" s="169" t="n">
        <x:v>1</x:v>
      </x:c>
      <x:c r="M13" s="169" t="n">
        <x:f>IF(OR(AND(I13="yes",H13="verified"),AND(I13="no",OR(H13="tested",H13="verified")),AND(H13="not applicable",K13&lt;&gt;"")),1,0)</x:f>
        <x:v>1</x:v>
      </x:c>
    </x:row>
    <x:row r="14" s="127" customFormat="1" ht="90" customHeight="1">
      <x:c r="A14" s="169" t="inlineStr">
        <x:is>
          <x:t xml:space="preserve">MB-06</x:t>
        </x:is>
      </x:c>
      <x:c r="B14" s="169" t="inlineStr">
        <x:is>
          <x:t xml:space="preserve">Defaults</x:t>
        </x:is>
      </x:c>
      <x:c r="C14" s="169" t="inlineStr">
        <x:is>
          <x:t xml:space="preserve">Root/Menu/Trigger/Content</x:t>
        </x:is>
      </x:c>
      <x:c r="D14" s="169" t="inlineStr">
        <x:is>
          <x:t xml:space="preserve">A medium horizontal menubar presents adjacent command categories and one Atom-owned popup.</x:t>
        </x:is>
      </x:c>
      <x:c r="E14" s="169" t="inlineStr">
        <x:is>
          <x:t xml:space="preserve">package</x:t>
        </x:is>
      </x:c>
      <x:c r="F14" s="169" t="inlineStr">
        <x:is>
          <x:t xml:space="preserve">browser</x:t>
        </x:is>
      </x:c>
      <x:c r="G14" s="169" t="inlineStr">
        <x:is>
          <x:t xml:space="preserve">tests/components/menubar/behavior.spec.ts</x:t>
        </x:is>
      </x:c>
      <x:c r="H14" s="169" t="inlineStr">
        <x:is>
          <x:t xml:space="preserve">tested</x:t>
        </x:is>
      </x:c>
      <x:c r="I14" s="169" t="inlineStr">
        <x:is>
          <x:t xml:space="preserve">no</x:t>
        </x:is>
      </x:c>
      <x:c r="J14" s="170" t="n">
        <x:v>46279</x:v>
      </x:c>
      <x:c r="K14" s="148" t="n"/>
      <x:c r="L14" s="169" t="n">
        <x:v>1</x:v>
      </x:c>
      <x:c r="M14" s="169" t="n">
        <x:f>IF(OR(AND(I14="yes",H14="verified"),AND(I14="no",OR(H14="tested",H14="verified")),AND(H14="not applicable",K14&lt;&gt;"")),1,0)</x:f>
        <x:v>1</x:v>
      </x:c>
    </x:row>
    <x:row r="15" s="127" customFormat="1" ht="90" customHeight="1">
      <x:c r="A15" s="169" t="inlineStr">
        <x:is>
          <x:t xml:space="preserve">MB-07</x:t>
        </x:is>
      </x:c>
      <x:c r="B15" s="169" t="inlineStr">
        <x:is>
          <x:t xml:space="preserve">Orientation</x:t>
        </x:is>
      </x:c>
      <x:c r="C15" s="169" t="inlineStr">
        <x:is>
          <x:t xml:space="preserve">Root/Trigger</x:t>
        </x:is>
      </x:c>
      <x:c r="D15" s="169" t="inlineStr">
        <x:is>
          <x:t xml:space="preserve">Horizontal and vertical orientations change layout and adjacent-trigger keyboard axis together.</x:t>
        </x:is>
      </x:c>
      <x:c r="E15" s="169" t="inlineStr">
        <x:is>
          <x:t xml:space="preserve">package</x:t>
        </x:is>
      </x:c>
      <x:c r="F15" s="169" t="inlineStr">
        <x:is>
          <x:t xml:space="preserve">browser</x:t>
        </x:is>
      </x:c>
      <x:c r="G15" s="169" t="inlineStr">
        <x:is>
          <x:t xml:space="preserve">tests/components/menubar/behavior.spec.ts</x:t>
        </x:is>
      </x:c>
      <x:c r="H15" s="169" t="inlineStr">
        <x:is>
          <x:t xml:space="preserve">tested</x:t>
        </x:is>
      </x:c>
      <x:c r="I15" s="169" t="inlineStr">
        <x:is>
          <x:t xml:space="preserve">no</x:t>
        </x:is>
      </x:c>
      <x:c r="J15" s="170" t="n">
        <x:v>46279</x:v>
      </x:c>
      <x:c r="K15" s="169" t="n"/>
      <x:c r="L15" s="169" t="n">
        <x:v>1</x:v>
      </x:c>
      <x:c r="M15" s="169" t="n">
        <x:f>IF(OR(AND(I15="yes",H15="verified"),AND(I15="no",OR(H15="tested",H15="verified")),AND(H15="not applicable",K15&lt;&gt;"")),1,0)</x:f>
        <x:v>1</x:v>
      </x:c>
    </x:row>
    <x:row r="16" s="127" customFormat="1" ht="90" customHeight="1">
      <x:c r="A16" s="169" t="inlineStr">
        <x:is>
          <x:t xml:space="preserve">MB-08</x:t>
        </x:is>
      </x:c>
      <x:c r="B16" s="169" t="inlineStr">
        <x:is>
          <x:t xml:space="preserve">Sizes</x:t>
        </x:is>
      </x:c>
      <x:c r="C16" s="169" t="inlineStr">
        <x:is>
          <x:t xml:space="preserve">Root/Content</x:t>
        </x:is>
      </x:c>
      <x:c r="D16" s="169" t="inlineStr">
        <x:is>
          <x:t xml:space="preserve">Popup rows measure 24/32/44px independently of 36/40/44px command-strip controls, with complete typography and inset changes.</x:t>
        </x:is>
      </x:c>
      <x:c r="E16" s="169" t="inlineStr">
        <x:is>
          <x:t xml:space="preserve">package</x:t>
        </x:is>
      </x:c>
      <x:c r="F16" s="169" t="inlineStr">
        <x:is>
          <x:t xml:space="preserve">visual</x:t>
        </x:is>
      </x:c>
      <x:c r="G16" s="169" t="inlineStr">
        <x:is>
          <x:t xml:space="preserve">tests/components/dropdown-menu/recipe-parity.spec.ts; tests/components/menubar/parity.spec.ts</x:t>
        </x:is>
      </x:c>
      <x:c r="H16" s="169" t="inlineStr">
        <x:is>
          <x:t xml:space="preserve">tested</x:t>
        </x:is>
      </x:c>
      <x:c r="I16" s="169" t="inlineStr">
        <x:is>
          <x:t xml:space="preserve">yes</x:t>
        </x:is>
      </x:c>
      <x:c r="J16" s="170" t="n">
        <x:v>46279</x:v>
      </x:c>
      <x:c r="K16" s="169" t="inlineStr">
        <x:is>
          <x:t xml:space="preserve">Automated and agent visual review completed; required human acceptance remains unclaimed.</x:t>
        </x:is>
      </x:c>
      <x:c r="L16" s="169" t="n">
        <x:v>1</x:v>
      </x:c>
      <x:c r="M16" s="169" t="n">
        <x:f>IF(OR(AND(I16="yes",H16="verified"),AND(I16="no",OR(H16="tested",H16="verified")),AND(H16="not applicable",K16&lt;&gt;"")),1,0)</x:f>
        <x:v>0</x:v>
      </x:c>
    </x:row>
    <x:row r="17" s="127" customFormat="1" ht="90" customHeight="1">
      <x:c r="A17" s="169" t="inlineStr">
        <x:is>
          <x:t xml:space="preserve">MB-09</x:t>
        </x:is>
      </x:c>
      <x:c r="B17" s="169" t="inlineStr">
        <x:is>
          <x:t xml:space="preserve">States</x:t>
        </x:is>
      </x:c>
      <x:c r="C17" s="169" t="inlineStr">
        <x:is>
          <x:t xml:space="preserve">Trigger/Item</x:t>
        </x:is>
      </x:c>
      <x:c r="D17" s="169" t="inlineStr">
        <x:is>
          <x:t xml:space="preserve">Idle, focused, open, disabled, neutral, and danger states remain distinct.</x:t>
        </x:is>
      </x:c>
      <x:c r="E17" s="169" t="inlineStr">
        <x:is>
          <x:t xml:space="preserve">package</x:t>
        </x:is>
      </x:c>
      <x:c r="F17" s="169" t="inlineStr">
        <x:is>
          <x:t xml:space="preserve">browser</x:t>
        </x:is>
      </x:c>
      <x:c r="G17" s="169" t="inlineStr">
        <x:is>
          <x:t xml:space="preserve">tests/components/menubar/behavior.spec.ts</x:t>
        </x:is>
      </x:c>
      <x:c r="H17" s="169" t="inlineStr">
        <x:is>
          <x:t xml:space="preserve">tested</x:t>
        </x:is>
      </x:c>
      <x:c r="I17" s="169" t="inlineStr">
        <x:is>
          <x:t xml:space="preserve">no</x:t>
        </x:is>
      </x:c>
      <x:c r="J17" s="170" t="n">
        <x:v>46279</x:v>
      </x:c>
      <x:c r="K17" s="148" t="n"/>
      <x:c r="L17" s="169" t="n">
        <x:v>1</x:v>
      </x:c>
      <x:c r="M17" s="169" t="n">
        <x:f>IF(OR(AND(I17="yes",H17="verified"),AND(I17="no",OR(H17="tested",H17="verified")),AND(H17="not applicable",K17&lt;&gt;"")),1,0)</x:f>
        <x:v>1</x:v>
      </x:c>
    </x:row>
    <x:row r="18" s="127" customFormat="1" ht="90" customHeight="1">
      <x:c r="A18" s="169" t="inlineStr">
        <x:is>
          <x:t xml:space="preserve">MB-10</x:t>
        </x:is>
      </x:c>
      <x:c r="B18" s="169" t="inlineStr">
        <x:is>
          <x:t xml:space="preserve">Selection</x:t>
        </x:is>
      </x:c>
      <x:c r="C18" s="169" t="inlineStr">
        <x:is>
          <x:t xml:space="preserve">CheckboxItem/RadioItem</x:t>
        </x:is>
      </x:c>
      <x:c r="D18" s="169" t="inlineStr">
        <x:is>
          <x:t xml:space="preserve">Persistent choices and indicators work inside command categories.</x:t>
        </x:is>
      </x:c>
      <x:c r="E18" s="169" t="inlineStr">
        <x:is>
          <x:t xml:space="preserve">package</x:t>
        </x:is>
      </x:c>
      <x:c r="F18" s="169" t="inlineStr">
        <x:is>
          <x:t xml:space="preserve">browser</x:t>
        </x:is>
      </x:c>
      <x:c r="G18" s="169" t="inlineStr">
        <x:is>
          <x:t xml:space="preserve">tests/components/menubar/behavior.spec.ts</x:t>
        </x:is>
      </x:c>
      <x:c r="H18" s="169" t="inlineStr">
        <x:is>
          <x:t xml:space="preserve">tested</x:t>
        </x:is>
      </x:c>
      <x:c r="I18" s="169" t="inlineStr">
        <x:is>
          <x:t xml:space="preserve">no</x:t>
        </x:is>
      </x:c>
      <x:c r="J18" s="170" t="n">
        <x:v>46279</x:v>
      </x:c>
      <x:c r="K18" s="148" t="n"/>
      <x:c r="L18" s="169" t="n">
        <x:v>1</x:v>
      </x:c>
      <x:c r="M18" s="169" t="n">
        <x:f>IF(OR(AND(I18="yes",H18="verified"),AND(I18="no",OR(H18="tested",H18="verified")),AND(H18="not applicable",K18&lt;&gt;"")),1,0)</x:f>
        <x:v>1</x:v>
      </x:c>
    </x:row>
    <x:row r="19" s="127" customFormat="1" ht="90" customHeight="1">
      <x:c r="A19" s="169" t="inlineStr">
        <x:is>
          <x:t xml:space="preserve">MB-11</x:t>
        </x:is>
      </x:c>
      <x:c r="B19" s="169" t="inlineStr">
        <x:is>
          <x:t xml:space="preserve">Submenus</x:t>
        </x:is>
      </x:c>
      <x:c r="C19" s="169" t="inlineStr">
        <x:is>
          <x:t xml:space="preserve">Sub/SubTrigger/SubContent</x:t>
        </x:is>
      </x:c>
      <x:c r="D19" s="169" t="inlineStr">
        <x:is>
          <x:t xml:space="preserve">Nested command categories preserve focus, keyboard direction, and dismissal.</x:t>
        </x:is>
      </x:c>
      <x:c r="E19" s="169" t="inlineStr">
        <x:is>
          <x:t xml:space="preserve">package</x:t>
        </x:is>
      </x:c>
      <x:c r="F19" s="169" t="inlineStr">
        <x:is>
          <x:t xml:space="preserve">browser</x:t>
        </x:is>
      </x:c>
      <x:c r="G19" s="169" t="inlineStr">
        <x:is>
          <x:t xml:space="preserve">tests/components/menubar/behavior.spec.ts</x:t>
        </x:is>
      </x:c>
      <x:c r="H19" s="169" t="inlineStr">
        <x:is>
          <x:t xml:space="preserve">tested</x:t>
        </x:is>
      </x:c>
      <x:c r="I19" s="169" t="inlineStr">
        <x:is>
          <x:t xml:space="preserve">no</x:t>
        </x:is>
      </x:c>
      <x:c r="J19" s="170" t="n">
        <x:v>46279</x:v>
      </x:c>
      <x:c r="K19" s="148" t="n"/>
      <x:c r="L19" s="169" t="n">
        <x:v>1</x:v>
      </x:c>
      <x:c r="M19" s="169" t="n">
        <x:f>IF(OR(AND(I19="yes",H19="verified"),AND(I19="no",OR(H19="tested",H19="verified")),AND(H19="not applicable",K19&lt;&gt;"")),1,0)</x:f>
        <x:v>1</x:v>
      </x:c>
    </x:row>
    <x:row r="20" s="127" customFormat="1" ht="90" customHeight="1">
      <x:c r="A20" s="169" t="inlineStr">
        <x:is>
          <x:t xml:space="preserve">MB-12</x:t>
        </x:is>
      </x:c>
      <x:c r="B20" s="169" t="inlineStr">
        <x:is>
          <x:t xml:space="preserve">Keyboard</x:t>
        </x:is>
      </x:c>
      <x:c r="C20" s="169" t="inlineStr">
        <x:is>
          <x:t xml:space="preserve">Interactive parts</x:t>
        </x:is>
      </x:c>
      <x:c r="D20" s="169" t="inlineStr">
        <x:is>
          <x:t xml:space="preserve">Keyboard opening, roving or adjacent navigation, activation, dismissal, and focus return remain Atom-owned.</x:t>
        </x:is>
      </x:c>
      <x:c r="E20" s="169" t="inlineStr">
        <x:is>
          <x:t xml:space="preserve">package</x:t>
        </x:is>
      </x:c>
      <x:c r="F20" s="169" t="inlineStr">
        <x:is>
          <x:t xml:space="preserve">browser</x:t>
        </x:is>
      </x:c>
      <x:c r="G20" s="169" t="inlineStr">
        <x:is>
          <x:t xml:space="preserve">tests/components/menubar/behavior.spec.ts</x:t>
        </x:is>
      </x:c>
      <x:c r="H20" s="169" t="inlineStr">
        <x:is>
          <x:t xml:space="preserve">tested</x:t>
        </x:is>
      </x:c>
      <x:c r="I20" s="169" t="inlineStr">
        <x:is>
          <x:t xml:space="preserve">no</x:t>
        </x:is>
      </x:c>
      <x:c r="J20" s="170" t="n">
        <x:v>46279</x:v>
      </x:c>
      <x:c r="K20" s="148" t="n"/>
      <x:c r="L20" s="169" t="n">
        <x:v>1</x:v>
      </x:c>
      <x:c r="M20" s="169" t="n">
        <x:f>IF(OR(AND(I20="yes",H20="verified"),AND(I20="no",OR(H20="tested",H20="verified")),AND(H20="not applicable",K20&lt;&gt;"")),1,0)</x:f>
        <x:v>1</x:v>
      </x:c>
    </x:row>
    <x:row r="21" s="127" customFormat="1" ht="90" customHeight="1">
      <x:c r="A21" s="169" t="inlineStr">
        <x:is>
          <x:t xml:space="preserve">MB-13</x:t>
        </x:is>
      </x:c>
      <x:c r="B21" s="169" t="inlineStr">
        <x:is>
          <x:t xml:space="preserve">Composition</x:t>
        </x:is>
      </x:c>
      <x:c r="C21" s="169" t="inlineStr">
        <x:is>
          <x:t xml:space="preserve">Composed parts</x:t>
        </x:is>
      </x:c>
      <x:c r="D21" s="169" t="inlineStr">
        <x:is>
          <x:t xml:space="preserve">render and asChild preserve native hosts, semantic roles, attributes, state, handlers, slots, and refs.</x:t>
        </x:is>
      </x:c>
      <x:c r="E21" s="169" t="inlineStr">
        <x:is>
          <x:t xml:space="preserve">package</x:t>
        </x:is>
      </x:c>
      <x:c r="F21" s="169" t="inlineStr">
        <x:is>
          <x:t xml:space="preserve">browser</x:t>
        </x:is>
      </x:c>
      <x:c r="G21" s="169" t="inlineStr">
        <x:is>
          <x:t xml:space="preserve">tests/components/menubar/behavior.spec.ts</x:t>
        </x:is>
      </x:c>
      <x:c r="H21" s="169" t="inlineStr">
        <x:is>
          <x:t xml:space="preserve">tested</x:t>
        </x:is>
      </x:c>
      <x:c r="I21" s="169" t="inlineStr">
        <x:is>
          <x:t xml:space="preserve">no</x:t>
        </x:is>
      </x:c>
      <x:c r="J21" s="170" t="n">
        <x:v>46279</x:v>
      </x:c>
      <x:c r="K21" s="169" t="n"/>
      <x:c r="L21" s="169" t="n">
        <x:v>1</x:v>
      </x:c>
      <x:c r="M21" s="169" t="n">
        <x:f>IF(OR(AND(I21="yes",H21="verified"),AND(I21="no",OR(H21="tested",H21="verified")),AND(H21="not applicable",K21&lt;&gt;"")),1,0)</x:f>
        <x:v>1</x:v>
      </x:c>
    </x:row>
    <x:row r="22" s="127" customFormat="1" ht="90" customHeight="1">
      <x:c r="A22" s="169" t="inlineStr">
        <x:is>
          <x:t xml:space="preserve">MB-14</x:t>
        </x:is>
      </x:c>
      <x:c r="B22" s="169" t="inlineStr">
        <x:is>
          <x:t xml:space="preserve">Responsive</x:t>
        </x:is>
      </x:c>
      <x:c r="C22" s="169" t="inlineStr">
        <x:is>
          <x:t xml:space="preserve">All parts</x:t>
        </x:is>
      </x:c>
      <x:c r="D22" s="169" t="inlineStr">
        <x:is>
          <x:t xml:space="preserve">Narrow viewports preserve reachable controls, constrained overlays, zoom, and the documented mobile boundary.</x:t>
        </x:is>
      </x:c>
      <x:c r="E22" s="169" t="inlineStr">
        <x:is>
          <x:t xml:space="preserve">package</x:t>
        </x:is>
      </x:c>
      <x:c r="F22" s="169" t="inlineStr">
        <x:is>
          <x:t xml:space="preserve">browser</x:t>
        </x:is>
      </x:c>
      <x:c r="G22" s="169" t="inlineStr">
        <x:is>
          <x:t xml:space="preserve">tests/components/menubar/behavior.spec.ts</x:t>
        </x:is>
      </x:c>
      <x:c r="H22" s="169" t="inlineStr">
        <x:is>
          <x:t xml:space="preserve">tested</x:t>
        </x:is>
      </x:c>
      <x:c r="I22" s="169" t="inlineStr">
        <x:is>
          <x:t xml:space="preserve">no</x:t>
        </x:is>
      </x:c>
      <x:c r="J22" s="170" t="n">
        <x:v>46279</x:v>
      </x:c>
      <x:c r="K22" s="148" t="n"/>
      <x:c r="L22" s="169" t="n">
        <x:v>1</x:v>
      </x:c>
      <x:c r="M22" s="169" t="n">
        <x:f>IF(OR(AND(I22="yes",H22="verified"),AND(I22="no",OR(H22="tested",H22="verified")),AND(H22="not applicable",K22&lt;&gt;"")),1,0)</x:f>
        <x:v>1</x:v>
      </x:c>
    </x:row>
    <x:row r="23" s="127" customFormat="1" ht="90" customHeight="1">
      <x:c r="A23" s="169" t="inlineStr">
        <x:is>
          <x:t xml:space="preserve">MB-15</x:t>
        </x:is>
      </x:c>
      <x:c r="B23" s="169" t="inlineStr">
        <x:is>
          <x:t xml:space="preserve">Direction</x:t>
        </x:is>
      </x:c>
      <x:c r="C23" s="169" t="inlineStr">
        <x:is>
          <x:t xml:space="preserve">All parts</x:t>
        </x:is>
      </x:c>
      <x:c r="D23" s="169" t="inlineStr">
        <x:is>
          <x:t xml:space="preserve">Explicit RTL mirrors logical alignment and horizontal keyboard direction while preserving genuine text.</x:t>
        </x:is>
      </x:c>
      <x:c r="E23" s="169" t="inlineStr">
        <x:is>
          <x:t xml:space="preserve">package</x:t>
        </x:is>
      </x:c>
      <x:c r="F23" s="169" t="inlineStr">
        <x:is>
          <x:t xml:space="preserve">browser</x:t>
        </x:is>
      </x:c>
      <x:c r="G23" s="169" t="inlineStr">
        <x:is>
          <x:t xml:space="preserve">tests/components/menubar/behavior.spec.ts</x:t>
        </x:is>
      </x:c>
      <x:c r="H23" s="169" t="inlineStr">
        <x:is>
          <x:t xml:space="preserve">tested</x:t>
        </x:is>
      </x:c>
      <x:c r="I23" s="169" t="inlineStr">
        <x:is>
          <x:t xml:space="preserve">no</x:t>
        </x:is>
      </x:c>
      <x:c r="J23" s="170" t="n">
        <x:v>46279</x:v>
      </x:c>
      <x:c r="K23" s="148" t="n"/>
      <x:c r="L23" s="169" t="n">
        <x:v>1</x:v>
      </x:c>
      <x:c r="M23" s="169" t="n">
        <x:f>IF(OR(AND(I23="yes",H23="verified"),AND(I23="no",OR(H23="tested",H23="verified")),AND(H23="not applicable",K23&lt;&gt;"")),1,0)</x:f>
        <x:v>1</x:v>
      </x:c>
    </x:row>
    <x:row r="24" s="127" customFormat="1" ht="90" customHeight="1">
      <x:c r="A24" s="169" t="inlineStr">
        <x:is>
          <x:t xml:space="preserve">MB-16</x:t>
        </x:is>
      </x:c>
      <x:c r="B24" s="169" t="inlineStr">
        <x:is>
          <x:t xml:space="preserve">Accessibility</x:t>
        </x:is>
      </x:c>
      <x:c r="C24" s="169" t="inlineStr">
        <x:is>
          <x:t xml:space="preserve">All parts</x:t>
        </x:is>
      </x:c>
      <x:c r="D24" s="169" t="inlineStr">
        <x:is>
          <x:t xml:space="preserve">Names, roles, states, keyboard order, focus, forced colors, and axe remain valid.</x:t>
        </x:is>
      </x:c>
      <x:c r="E24" s="169" t="inlineStr">
        <x:is>
          <x:t xml:space="preserve">package</x:t>
        </x:is>
      </x:c>
      <x:c r="F24" s="169" t="inlineStr">
        <x:is>
          <x:t xml:space="preserve">axe</x:t>
        </x:is>
      </x:c>
      <x:c r="G24" s="169" t="inlineStr">
        <x:is>
          <x:t xml:space="preserve">tests/components/menubar/behavior.spec.ts</x:t>
        </x:is>
      </x:c>
      <x:c r="H24" s="169" t="inlineStr">
        <x:is>
          <x:t xml:space="preserve">tested</x:t>
        </x:is>
      </x:c>
      <x:c r="I24" s="169" t="inlineStr">
        <x:is>
          <x:t xml:space="preserve">no</x:t>
        </x:is>
      </x:c>
      <x:c r="J24" s="170" t="n">
        <x:v>46279</x:v>
      </x:c>
      <x:c r="K24" s="148" t="n"/>
      <x:c r="L24" s="169" t="n">
        <x:v>1</x:v>
      </x:c>
      <x:c r="M24" s="169" t="n">
        <x:f>IF(OR(AND(I24="yes",H24="verified"),AND(I24="no",OR(H24="tested",H24="verified")),AND(H24="not applicable",K24&lt;&gt;"")),1,0)</x:f>
        <x:v>1</x:v>
      </x:c>
    </x:row>
    <x:row r="25" s="127" customFormat="1" ht="90" customHeight="1">
      <x:c r="A25" s="169" t="inlineStr">
        <x:is>
          <x:t xml:space="preserve">MB-17</x:t>
        </x:is>
      </x:c>
      <x:c r="B25" s="169" t="inlineStr">
        <x:is>
          <x:t xml:space="preserve">Visual</x:t>
        </x:is>
      </x:c>
      <x:c r="C25" s="169" t="inlineStr">
        <x:is>
          <x:t xml:space="preserve">All parts</x:t>
        </x:is>
      </x:c>
      <x:c r="D25" s="169" t="inlineStr">
        <x:is>
          <x:t xml:space="preserve">Current browser measurements and agent-inspected light/dark compositions cover menu geometry; human visual acceptance remains pending.</x:t>
        </x:is>
      </x:c>
      <x:c r="E25" s="169" t="inlineStr">
        <x:is>
          <x:t xml:space="preserve">package</x:t>
        </x:is>
      </x:c>
      <x:c r="F25" s="169" t="inlineStr">
        <x:is>
          <x:t xml:space="preserve">visual</x:t>
        </x:is>
      </x:c>
      <x:c r="G25" s="169" t="inlineStr">
        <x:is>
          <x:t xml:space="preserve">tests/components/menubar/behavior.spec.ts; tests/components/menubar/documentation.spec.ts</x:t>
        </x:is>
      </x:c>
      <x:c r="H25" s="169" t="inlineStr">
        <x:is>
          <x:t xml:space="preserve">tested</x:t>
        </x:is>
      </x:c>
      <x:c r="I25" s="169" t="inlineStr">
        <x:is>
          <x:t xml:space="preserve">yes</x:t>
        </x:is>
      </x:c>
      <x:c r="J25" s="170" t="n">
        <x:v>46279</x:v>
      </x:c>
      <x:c r="K25" s="169" t="inlineStr">
        <x:is>
          <x:t xml:space="preserve">Automated and agent visual review completed; required human acceptance remains unclaimed.</x:t>
        </x:is>
      </x:c>
      <x:c r="L25" s="169" t="n">
        <x:v>1</x:v>
      </x:c>
      <x:c r="M25" s="169" t="n">
        <x:f>IF(OR(AND(I25="yes",H25="verified"),AND(I25="no",OR(H25="tested",H25="verified")),AND(H25="not applicable",K25&lt;&gt;"")),1,0)</x:f>
        <x:v>0</x:v>
      </x:c>
    </x:row>
    <x:row r="26" s="127" customFormat="1" ht="90" customHeight="1">
      <x:c r="A26" s="169" t="inlineStr">
        <x:is>
          <x:t xml:space="preserve">MB-18</x:t>
        </x:is>
      </x:c>
      <x:c r="B26" s="169" t="inlineStr">
        <x:is>
          <x:t xml:space="preserve">Behavior</x:t>
        </x:is>
      </x:c>
      <x:c r="C26" s="169" t="inlineStr">
        <x:is>
          <x:t xml:space="preserve">All parts</x:t>
        </x:is>
      </x:c>
      <x:c r="D26" s="169" t="inlineStr">
        <x:is>
          <x:t xml:space="preserve">Component-specific state and interaction remain covered by focused browser and unit evidence.</x:t>
        </x:is>
      </x:c>
      <x:c r="E26" s="169" t="inlineStr">
        <x:is>
          <x:t xml:space="preserve">package</x:t>
        </x:is>
      </x:c>
      <x:c r="F26" s="169" t="inlineStr">
        <x:is>
          <x:t xml:space="preserve">browser</x:t>
        </x:is>
      </x:c>
      <x:c r="G26" s="169" t="inlineStr">
        <x:is>
          <x:t xml:space="preserve">tests/components/menubar/behavior.spec.ts</x:t>
        </x:is>
      </x:c>
      <x:c r="H26" s="169" t="inlineStr">
        <x:is>
          <x:t xml:space="preserve">tested</x:t>
        </x:is>
      </x:c>
      <x:c r="I26" s="169" t="inlineStr">
        <x:is>
          <x:t xml:space="preserve">no</x:t>
        </x:is>
      </x:c>
      <x:c r="J26" s="170" t="n">
        <x:v>46279</x:v>
      </x:c>
      <x:c r="K26" s="169" t="n"/>
      <x:c r="L26" s="169" t="n">
        <x:v>1</x:v>
      </x:c>
      <x:c r="M26" s="169" t="n">
        <x:f>IF(OR(AND(I26="yes",H26="verified"),AND(I26="no",OR(H26="tested",H26="verified")),AND(H26="not applicable",K26&lt;&gt;"")),1,0)</x:f>
        <x:v>1</x:v>
      </x:c>
    </x:row>
    <x:row r="27" s="127" customFormat="1" ht="90" customHeight="1">
      <x:c r="A27" s="169" t="inlineStr">
        <x:is>
          <x:t xml:space="preserve">MB-19</x:t>
        </x:is>
      </x:c>
      <x:c r="B27" s="169" t="inlineStr">
        <x:is>
          <x:t xml:space="preserve">Manual</x:t>
        </x:is>
      </x:c>
      <x:c r="C27" s="169" t="inlineStr">
        <x:is>
          <x:t xml:space="preserve">Menubar</x:t>
        </x:is>
      </x:c>
      <x:c r="D27" s="169" t="inlineStr">
        <x:is>
          <x:t xml:space="preserve">A tester completes the concise top-to-bottom pointer, keyboard, AT, zoom, device, appearance, RTL, forced-color, and reduced-motion protocol.</x:t>
        </x:is>
      </x:c>
      <x:c r="E27" s="169" t="inlineStr">
        <x:is>
          <x:t xml:space="preserve">package</x:t>
        </x:is>
      </x:c>
      <x:c r="F27" s="169" t="inlineStr">
        <x:is>
          <x:t xml:space="preserve">manual</x:t>
        </x:is>
      </x:c>
      <x:c r="G27" s="169" t="inlineStr">
        <x:is>
          <x:t xml:space="preserve">manual-tests/menubar.md</x:t>
        </x:is>
      </x:c>
      <x:c r="H27" s="169" t="inlineStr">
        <x:is>
          <x:t xml:space="preserve">not started</x:t>
        </x:is>
      </x:c>
      <x:c r="I27" s="169" t="inlineStr">
        <x:is>
          <x:t xml:space="preserve">yes</x:t>
        </x:is>
      </x:c>
      <x:c r="J27" s="170" t="n"/>
      <x:c r="K27" s="169" t="inlineStr">
        <x:is>
          <x:t xml:space="preserve">Screen-reader, physical-device and actual browser-zoom protocol not performed; owner review remains required.</x:t>
        </x:is>
      </x:c>
      <x:c r="L27" s="169" t="n">
        <x:v>1</x:v>
      </x:c>
      <x:c r="M27" s="169" t="n">
        <x:f>IF(OR(AND(I27="yes",H27="verified"),AND(I27="no",OR(H27="tested",H27="verified")),AND(H27="not applicable",K27&lt;&gt;"")),1,0)</x:f>
        <x:v>0</x:v>
      </x:c>
    </x:row>
    <x:row r="28" s="127" customFormat="1" ht="90" customHeight="1">
      <x:c r="A28" s="169" t="inlineStr">
        <x:is>
          <x:t xml:space="preserve">MB-20</x:t>
        </x:is>
      </x:c>
      <x:c r="B28" s="169" t="inlineStr">
        <x:is>
          <x:t xml:space="preserve">Docs</x:t>
        </x:is>
      </x:c>
      <x:c r="C28" s="169" t="inlineStr">
        <x:is>
          <x:t xml:space="preserve">Menubar</x:t>
        </x:is>
      </x:c>
      <x:c r="D28" s="169" t="inlineStr">
        <x:is>
          <x:t xml:space="preserve">Source-backed public guide, changelog and closed Agent Knowledge document controllers, visual defaults, composition, positioning, lifecycle and migration differences.</x:t>
        </x:is>
      </x:c>
      <x:c r="E28" s="169" t="inlineStr">
        <x:is>
          <x:t xml:space="preserve">package</x:t>
        </x:is>
      </x:c>
      <x:c r="F28" s="169" t="inlineStr">
        <x:is>
          <x:t xml:space="preserve">docs</x:t>
        </x:is>
      </x:c>
      <x:c r="G28" s="169" t="inlineStr">
        <x:is>
          <x:t xml:space="preserve">../src/components/menubar/README.md; ../src/components/menubar/agent.md</x:t>
        </x:is>
      </x:c>
      <x:c r="H28" s="169" t="inlineStr">
        <x:is>
          <x:t xml:space="preserve">tested</x:t>
        </x:is>
      </x:c>
      <x:c r="I28" s="169" t="inlineStr">
        <x:is>
          <x:t xml:space="preserve">no</x:t>
        </x:is>
      </x:c>
      <x:c r="J28" s="170" t="n">
        <x:v>46279</x:v>
      </x:c>
      <x:c r="K28" s="148" t="n"/>
      <x:c r="L28" s="169" t="n">
        <x:v>1</x:v>
      </x:c>
      <x:c r="M28" s="169" t="n">
        <x:f>IF(OR(AND(I28="yes",H28="verified"),AND(I28="no",OR(H28="tested",H28="verified")),AND(H28="not applicable",K28&lt;&gt;"")),1,0)</x:f>
        <x:v>1</x:v>
      </x:c>
    </x:row>
    <x:row r="29" s="127" customFormat="1" ht="90" customHeight="1">
      <x:c r="A29" s="169" t="inlineStr">
        <x:is>
          <x:t xml:space="preserve">MB-21</x:t>
        </x:is>
      </x:c>
      <x:c r="B29" s="169" t="inlineStr">
        <x:is>
          <x:t xml:space="preserve">Playground</x:t>
        </x:is>
      </x:c>
      <x:c r="C29" s="169" t="inlineStr">
        <x:is>
          <x:t xml:space="preserve">Menubar</x:t>
        </x:is>
      </x:c>
      <x:c r="D29" s="169" t="inlineStr">
        <x:is>
          <x:t xml:space="preserve">Normal docs route provides concise executable Preview/Code examples, Guide, named Props/TOC and retained independent qualification scenarios.</x:t>
        </x:is>
      </x:c>
      <x:c r="E29" s="169" t="inlineStr">
        <x:is>
          <x:t xml:space="preserve">package</x:t>
        </x:is>
      </x:c>
      <x:c r="F29" s="169" t="inlineStr">
        <x:is>
          <x:t xml:space="preserve">playground</x:t>
        </x:is>
      </x:c>
      <x:c r="G29" s="169" t="inlineStr">
        <x:is>
          <x:t xml:space="preserve">tests/components/menubar/documentation.spec.ts; src/components/menubar/documentation.ts</x:t>
        </x:is>
      </x:c>
      <x:c r="H29" s="169" t="inlineStr">
        <x:is>
          <x:t xml:space="preserve">tested</x:t>
        </x:is>
      </x:c>
      <x:c r="I29" s="169" t="inlineStr">
        <x:is>
          <x:t xml:space="preserve">no</x:t>
        </x:is>
      </x:c>
      <x:c r="J29" s="170" t="n">
        <x:v>46279</x:v>
      </x:c>
      <x:c r="K29" s="148" t="n"/>
      <x:c r="L29" s="169" t="n">
        <x:v>1</x:v>
      </x:c>
      <x:c r="M29" s="169" t="n">
        <x:f>IF(OR(AND(I29="yes",H29="verified"),AND(I29="no",OR(H29="tested",H29="verified")),AND(H29="not applicable",K29&lt;&gt;"")),1,0)</x:f>
        <x:v>1</x:v>
      </x:c>
    </x:row>
    <x:row r="30" s="127" customFormat="1" ht="90" customHeight="1">
      <x:c r="A30" s="169" t="inlineStr">
        <x:is>
          <x:t xml:space="preserve">MB-22</x:t>
        </x:is>
      </x:c>
      <x:c r="B30" s="169" t="inlineStr">
        <x:is>
          <x:t xml:space="preserve">Consumer</x:t>
        </x:is>
      </x:c>
      <x:c r="C30" s="169" t="inlineStr">
        <x:is>
          <x:t xml:space="preserve">Menubar</x:t>
        </x:is>
      </x:c>
      <x:c r="D30" s="169" t="inlineStr">
        <x:is>
          <x:t xml:space="preserve">Packed Consumer imports the public subpath and operates realistic component composition on desktop and mobile.</x:t>
        </x:is>
      </x:c>
      <x:c r="E30" s="169" t="inlineStr">
        <x:is>
          <x:t xml:space="preserve">consumer</x:t>
        </x:is>
      </x:c>
      <x:c r="F30" s="169" t="inlineStr">
        <x:is>
          <x:t xml:space="preserve">consumer</x:t>
        </x:is>
      </x:c>
      <x:c r="G30" s="169" t="inlineStr">
        <x:is>
          <x:t xml:space="preserve">../apps/consumer/src/App.tsx; ../apps/consumer/tests/consumer.spec.ts</x:t>
        </x:is>
      </x:c>
      <x:c r="H30" s="169" t="inlineStr">
        <x:is>
          <x:t xml:space="preserve">tested</x:t>
        </x:is>
      </x:c>
      <x:c r="I30" s="169" t="inlineStr">
        <x:is>
          <x:t xml:space="preserve">no</x:t>
        </x:is>
      </x:c>
      <x:c r="J30" s="170" t="n">
        <x:v>46279</x:v>
      </x:c>
      <x:c r="K30" s="148" t="n"/>
      <x:c r="L30" s="169" t="n">
        <x:v>1</x:v>
      </x:c>
      <x:c r="M30" s="169" t="n">
        <x:f>IF(OR(AND(I30="yes",H30="verified"),AND(I30="no",OR(H30="tested",H30="verified")),AND(H30="not applicable",K30&lt;&gt;"")),1,0)</x:f>
        <x:v>1</x:v>
      </x:c>
    </x:row>
    <x:row r="31" s="127" customFormat="1" ht="90" customHeight="1">
      <x:c r="A31" s="169" t="inlineStr">
        <x:is>
          <x:t xml:space="preserve">MB-23</x:t>
        </x:is>
      </x:c>
      <x:c r="B31" s="169" t="inlineStr">
        <x:is>
          <x:t xml:space="preserve">Package</x:t>
        </x:is>
      </x:c>
      <x:c r="C31" s="169" t="inlineStr">
        <x:is>
          <x:t xml:space="preserve">Menubar</x:t>
        </x:is>
      </x:c>
      <x:c r="D31" s="169" t="inlineStr">
        <x:is>
          <x:t xml:space="preserve">Local archive build, exports, SSR, CSS, React consumers and configured browser evidence qualify this candidate; manual checks and unrelated repository gates remain separate.</x:t>
        </x:is>
      </x:c>
      <x:c r="E31" s="169" t="inlineStr">
        <x:is>
          <x:t xml:space="preserve">package</x:t>
        </x:is>
      </x:c>
      <x:c r="F31" s="169" t="inlineStr">
        <x:is>
          <x:t xml:space="preserve">package</x:t>
        </x:is>
      </x:c>
      <x:c r="G31" s="169" t="inlineStr">
        <x:is>
          <x:t xml:space="preserve">../scripts/verify-package.mjs; ../scripts/verify-consumers.mjs</x:t>
        </x:is>
      </x:c>
      <x:c r="H31" s="169" t="inlineStr">
        <x:is>
          <x:t xml:space="preserve">partial</x:t>
        </x:is>
      </x:c>
      <x:c r="I31" s="169" t="inlineStr">
        <x:is>
          <x:t xml:space="preserve">no</x:t>
        </x:is>
      </x:c>
      <x:c r="J31" s="170" t="n">
        <x:v>46279</x:v>
      </x:c>
      <x:c r="K31" s="148" t="inlineStr">
        <x:is>
          <x:t xml:space="preserve">Local package and consumers verified. Broader repository ownership/prose checks and manual qualification remain open; no release authorized.</x:t>
        </x:is>
      </x:c>
      <x:c r="L31" s="169" t="n">
        <x:v>1</x:v>
      </x:c>
      <x:c r="M31" s="169" t="n">
        <x:f>IF(OR(AND(I31="yes",H31="verified"),AND(I31="no",OR(H31="tested",H31="verified")),AND(H31="not applicable",K31&lt;&gt;"")),1,0)</x:f>
        <x:v>0</x:v>
      </x:c>
    </x:row>
  </x:sheetData>
  <x:mergeCells>
    <x:mergeCell ref="A2:M2"/>
    <x:mergeCell ref="A1:M1"/>
  </x:mergeCells>
  <x:pageMargins left="0.7" right="0.7" top="0.75" bottom="0.75" header="0.3" footer="0.3"/>
</x:worksheet>
</file>

<file path=xl/worksheets/sheet52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Navigation Menu Evidence</x:t>
        </x:is>
      </x:c>
    </x:row>
    <x:row r="2" s="127" customFormat="1" ht="27.75" customHeight="1">
      <x:c r="A2" s="129" t="inlineStr">
        <x:is>
          <x:t xml:space="preserve">Assertion-level Atom-backed package, keyboard, browser, visual, accessibility, documentation, Consumer, composition, and responsive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COUNTA(A9:A31)</x:f>
        <x:v>23</x:v>
      </x:c>
      <x:c r="D4" s="130" t="inlineStr">
        <x:is>
          <x:t xml:space="preserve">Resolved</x:t>
        </x:is>
      </x:c>
      <x:c r="E4" s="131" t="n">
        <x:f>SUM(M9:M31)</x:f>
        <x:v>19</x:v>
      </x:c>
      <x:c r="G4" s="130" t="inlineStr">
        <x:is>
          <x:t xml:space="preserve">Completion</x:t>
        </x:is>
      </x:c>
      <x:c r="H4" s="132" t="n">
        <x:f>IF(B4=0,0,E4/B4)</x:f>
        <x:v>0.8260869565217391</x:v>
      </x:c>
      <x:c r="J4" s="130" t="inlineStr">
        <x:is>
          <x:t xml:space="preserve">Package gate</x:t>
        </x:is>
      </x:c>
      <x:c r="K4" s="131" t="str">
        <x:f>IF(COUNTIFS(E9:E31,"package",M9:M31,0)&gt;0,"open","complete")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IF(COUNTIFS(I9:I31,"yes",M9:M31,0)&gt;0,"open","complete")</x:f>
        <x:v>open</x:v>
      </x:c>
      <x:c r="D5" s="130" t="inlineStr">
        <x:is>
          <x:t xml:space="preserve">Consumer gate</x:t>
        </x:is>
      </x:c>
      <x:c r="E5" s="131" t="str">
        <x:f>IF(COUNTIFS(E9:E31,"consumer",M9:M31,0)&gt;0,"open","complete")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90" customHeight="1">
      <x:c r="A9" s="169" t="inlineStr">
        <x:is>
          <x:t xml:space="preserve">NM-01</x:t>
        </x:is>
      </x:c>
      <x:c r="B9" s="169" t="inlineStr">
        <x:is>
          <x:t xml:space="preserve">Ownership</x:t>
        </x:is>
      </x:c>
      <x:c r="C9" s="169" t="inlineStr">
        <x:is>
          <x:t xml:space="preserve">All parts</x:t>
        </x:is>
      </x:c>
      <x:c r="D9" s="169" t="inlineStr">
        <x:is>
          <x:t xml:space="preserve">Brick presentation composes unpublished Atom 0.26.1, SHA256 1bc46c67c76106127a13dc864824e2f96af8e5fa918f8f27c2c9b5339ed654cb. No released-dependency claim.</x:t>
        </x:is>
      </x:c>
      <x:c r="E9" s="169" t="inlineStr">
        <x:is>
          <x:t xml:space="preserve">package</x:t>
        </x:is>
      </x:c>
      <x:c r="F9" s="169" t="inlineStr">
        <x:is>
          <x:t xml:space="preserve">source</x:t>
        </x:is>
      </x:c>
      <x:c r="G9" s="169" t="inlineStr">
        <x:is>
          <x:t xml:space="preserve">../src/components/navigation-menu</x:t>
        </x:is>
      </x:c>
      <x:c r="H9" s="169" t="inlineStr">
        <x:is>
          <x:t xml:space="preserve">tested</x:t>
        </x:is>
      </x:c>
      <x:c r="I9" s="169" t="inlineStr">
        <x:is>
          <x:t xml:space="preserve">no</x:t>
        </x:is>
      </x:c>
      <x:c r="J9" s="170" t="n">
        <x:v>46279</x:v>
      </x:c>
      <x:c r="K9" s="148" t="n"/>
      <x:c r="L9" s="169" t="n">
        <x:v>1</x:v>
      </x:c>
      <x:c r="M9" s="169" t="n">
        <x:f>IF(OR(AND(I9="yes",H9="verified"),AND(I9="no",OR(H9="tested",H9="verified")),AND(H9="not applicable",K9&lt;&gt;"")),1,0)</x:f>
        <x:v>1</x:v>
      </x:c>
    </x:row>
    <x:row r="10" s="127" customFormat="1" ht="90" customHeight="1">
      <x:c r="A10" s="169" t="inlineStr">
        <x:is>
          <x:t xml:space="preserve">NM-02</x:t>
        </x:is>
      </x:c>
      <x:c r="B10" s="169" t="inlineStr">
        <x:is>
          <x:t xml:space="preserve">Anatomy</x:t>
        </x:is>
      </x:c>
      <x:c r="C10" s="169" t="inlineStr">
        <x:is>
          <x:t xml:space="preserve">All parts including IndicatorArrow</x:t>
        </x:is>
      </x:c>
      <x:c r="D10" s="169" t="inlineStr">
        <x:is>
          <x:t xml:space="preserve">Namespace and named anatomy include the external controller/RootProvider/Context path without duplicating behavior owners.</x:t>
        </x:is>
      </x:c>
      <x:c r="E10" s="169" t="inlineStr">
        <x:is>
          <x:t xml:space="preserve">package</x:t>
        </x:is>
      </x:c>
      <x:c r="F10" s="169" t="inlineStr">
        <x:is>
          <x:t xml:space="preserve">component</x:t>
        </x:is>
      </x:c>
      <x:c r="G10" s="169" t="inlineStr">
        <x:is>
          <x:t xml:space="preserve">../test/components/navigation-menu/navigation-menu.test.tsx</x:t>
        </x:is>
      </x:c>
      <x:c r="H10" s="169" t="inlineStr">
        <x:is>
          <x:t xml:space="preserve">tested</x:t>
        </x:is>
      </x:c>
      <x:c r="I10" s="169" t="inlineStr">
        <x:is>
          <x:t xml:space="preserve">no</x:t>
        </x:is>
      </x:c>
      <x:c r="J10" s="170" t="n">
        <x:v>46279</x:v>
      </x:c>
      <x:c r="K10" s="148" t="n"/>
      <x:c r="L10" s="169" t="n">
        <x:v>1</x:v>
      </x:c>
      <x:c r="M10" s="169" t="n">
        <x:f>IF(OR(AND(I10="yes",H10="verified"),AND(I10="no",OR(H10="tested",H10="verified")),AND(H10="not applicable",K10&lt;&gt;"")),1,0)</x:f>
        <x:v>1</x:v>
      </x:c>
    </x:row>
    <x:row r="11" s="127" customFormat="1" ht="90" customHeight="1">
      <x:c r="A11" s="169" t="inlineStr">
        <x:is>
          <x:t xml:space="preserve">NM-03</x:t>
        </x:is>
      </x:c>
      <x:c r="B11" s="169" t="inlineStr">
        <x:is>
          <x:t xml:space="preserve">Exports</x:t>
        </x:is>
      </x:c>
      <x:c r="C11" s="169" t="inlineStr">
        <x:is>
          <x:t xml:space="preserve">NavigationMenu/IndicatorArrow</x:t>
        </x:is>
      </x:c>
      <x:c r="D11" s="169" t="inlineStr">
        <x:is>
          <x:t xml:space="preserve">Root and component subpath expose the namespace, named parts including IndicatorArrow, and public types with identical runtime identities.</x:t>
        </x:is>
      </x:c>
      <x:c r="E11" s="169" t="inlineStr">
        <x:is>
          <x:t xml:space="preserve">package</x:t>
        </x:is>
      </x:c>
      <x:c r="F11" s="169" t="inlineStr">
        <x:is>
          <x:t xml:space="preserve">package</x:t>
        </x:is>
      </x:c>
      <x:c r="G11" s="169" t="inlineStr">
        <x:is>
          <x:t xml:space="preserve">../test/package/package.test.mjs; ../scripts/verify-consumers.mjs</x:t>
        </x:is>
      </x:c>
      <x:c r="H11" s="169" t="inlineStr">
        <x:is>
          <x:t xml:space="preserve">tested</x:t>
        </x:is>
      </x:c>
      <x:c r="I11" s="169" t="inlineStr">
        <x:is>
          <x:t xml:space="preserve">no</x:t>
        </x:is>
      </x:c>
      <x:c r="J11" s="170" t="n">
        <x:v>46279</x:v>
      </x:c>
      <x:c r="K11" s="148" t="n"/>
      <x:c r="L11" s="169" t="n">
        <x:v>1</x:v>
      </x:c>
      <x:c r="M11" s="169" t="n">
        <x:f>IF(OR(AND(I11="yes",H11="verified"),AND(I11="no",OR(H11="tested",H11="verified")),AND(H11="not applicable",K11&lt;&gt;"")),1,0)</x:f>
        <x:v>1</x:v>
      </x:c>
    </x:row>
    <x:row r="12" s="127" customFormat="1" ht="90" customHeight="1">
      <x:c r="A12" s="169" t="inlineStr">
        <x:is>
          <x:t xml:space="preserve">NM-04</x:t>
        </x:is>
      </x:c>
      <x:c r="B12" s="169" t="inlineStr">
        <x:is>
          <x:t xml:space="preserve">Types</x:t>
        </x:is>
      </x:c>
      <x:c r="C12" s="169" t="inlineStr">
        <x:is>
          <x:t xml:space="preserve">All parts</x:t>
        </x:is>
      </x:c>
      <x:c r="D12" s="169" t="inlineStr">
        <x:is>
          <x:t xml:space="preserve">Closed visual recipes, controller/provider types, native composition and real host refs type-check through public exports.</x:t>
        </x:is>
      </x:c>
      <x:c r="E12" s="169" t="inlineStr">
        <x:is>
          <x:t xml:space="preserve">package</x:t>
        </x:is>
      </x:c>
      <x:c r="F12" s="169" t="inlineStr">
        <x:is>
          <x:t xml:space="preserve">types</x:t>
        </x:is>
      </x:c>
      <x:c r="G12" s="169" t="inlineStr">
        <x:is>
          <x:t xml:space="preserve">../test/types/components/navigation-menu.test.ts</x:t>
        </x:is>
      </x:c>
      <x:c r="H12" s="169" t="inlineStr">
        <x:is>
          <x:t xml:space="preserve">tested</x:t>
        </x:is>
      </x:c>
      <x:c r="I12" s="169" t="inlineStr">
        <x:is>
          <x:t xml:space="preserve">no</x:t>
        </x:is>
      </x:c>
      <x:c r="J12" s="170" t="n">
        <x:v>46279</x:v>
      </x:c>
      <x:c r="K12" s="148" t="n"/>
      <x:c r="L12" s="169" t="n">
        <x:v>1</x:v>
      </x:c>
      <x:c r="M12" s="169" t="n">
        <x:f>IF(OR(AND(I12="yes",H12="verified"),AND(I12="no",OR(H12="tested",H12="verified")),AND(H12="not applicable",K12&lt;&gt;"")),1,0)</x:f>
        <x:v>1</x:v>
      </x:c>
    </x:row>
    <x:row r="13" s="127" customFormat="1" ht="90" customHeight="1">
      <x:c r="A13" s="169" t="inlineStr">
        <x:is>
          <x:t xml:space="preserve">NM-05</x:t>
        </x:is>
      </x:c>
      <x:c r="B13" s="169" t="inlineStr">
        <x:is>
          <x:t xml:space="preserve">CSS</x:t>
        </x:is>
      </x:c>
      <x:c r="C13" s="169" t="inlineStr">
        <x:is>
          <x:t xml:space="preserve">All parts</x:t>
        </x:is>
      </x:c>
      <x:c r="D13" s="169" t="inlineStr">
        <x:is>
          <x:t xml:space="preserve">Navigation sizes 36/40/44px; neutral/accent/contrast; compact destination rows, raised/transparent List, Content inset and independent destination radius.</x:t>
        </x:is>
      </x:c>
      <x:c r="E13" s="169" t="inlineStr">
        <x:is>
          <x:t xml:space="preserve">package</x:t>
        </x:is>
      </x:c>
      <x:c r="F13" s="169" t="inlineStr">
        <x:is>
          <x:t xml:space="preserve">css</x:t>
        </x:is>
      </x:c>
      <x:c r="G13" s="169" t="inlineStr">
        <x:is>
          <x:t xml:space="preserve">tests/components/navigation-menu/presentation.spec.ts; ../src/components/navigation-menu/navigation-menu.css</x:t>
        </x:is>
      </x:c>
      <x:c r="H13" s="169" t="inlineStr">
        <x:is>
          <x:t xml:space="preserve">tested</x:t>
        </x:is>
      </x:c>
      <x:c r="I13" s="169" t="inlineStr">
        <x:is>
          <x:t xml:space="preserve">no</x:t>
        </x:is>
      </x:c>
      <x:c r="J13" s="170" t="n">
        <x:v>46279</x:v>
      </x:c>
      <x:c r="K13" s="148" t="n"/>
      <x:c r="L13" s="169" t="n">
        <x:v>1</x:v>
      </x:c>
      <x:c r="M13" s="169" t="n">
        <x:f>IF(OR(AND(I13="yes",H13="verified"),AND(I13="no",OR(H13="tested",H13="verified")),AND(H13="not applicable",K13&lt;&gt;"")),1,0)</x:f>
        <x:v>1</x:v>
      </x:c>
    </x:row>
    <x:row r="14" s="127" customFormat="1" ht="90" customHeight="1">
      <x:c r="A14" s="169" t="inlineStr">
        <x:is>
          <x:t xml:space="preserve">NM-06</x:t>
        </x:is>
      </x:c>
      <x:c r="B14" s="169" t="inlineStr">
        <x:is>
          <x:t xml:space="preserve">Defaults</x:t>
        </x:is>
      </x:c>
      <x:c r="C14" s="169" t="inlineStr">
        <x:is>
          <x:t xml:space="preserve">Root/List/Item/Trigger/Content</x:t>
        </x:is>
      </x:c>
      <x:c r="D14" s="169" t="inlineStr">
        <x:is>
          <x:t xml:space="preserve">Content defaults to sm inset and destination links; nested List resets control presentation; explicit variants and asChild/ref ownership are preserved.</x:t>
        </x:is>
      </x:c>
      <x:c r="E14" s="169" t="inlineStr">
        <x:is>
          <x:t xml:space="preserve">package</x:t>
        </x:is>
      </x:c>
      <x:c r="F14" s="169" t="inlineStr">
        <x:is>
          <x:t xml:space="preserve">browser</x:t>
        </x:is>
      </x:c>
      <x:c r="G14" s="169" t="inlineStr">
        <x:is>
          <x:t xml:space="preserve">../test/components/navigation-menu/navigation-menu.test.tsx; tests/components/navigation-menu/presentation.spec.ts</x:t>
        </x:is>
      </x:c>
      <x:c r="H14" s="169" t="inlineStr">
        <x:is>
          <x:t xml:space="preserve">tested</x:t>
        </x:is>
      </x:c>
      <x:c r="I14" s="169" t="inlineStr">
        <x:is>
          <x:t xml:space="preserve">no</x:t>
        </x:is>
      </x:c>
      <x:c r="J14" s="170" t="n">
        <x:v>46279</x:v>
      </x:c>
      <x:c r="K14" s="148" t="n"/>
      <x:c r="L14" s="169" t="n">
        <x:v>1</x:v>
      </x:c>
      <x:c r="M14" s="169" t="n">
        <x:f>IF(OR(AND(I14="yes",H14="verified"),AND(I14="no",OR(H14="tested",H14="verified")),AND(H14="not applicable",K14&lt;&gt;"")),1,0)</x:f>
        <x:v>1</x:v>
      </x:c>
    </x:row>
    <x:row r="15" s="127" customFormat="1" ht="90" customHeight="1">
      <x:c r="A15" s="169" t="inlineStr">
        <x:is>
          <x:t xml:space="preserve">NM-07</x:t>
        </x:is>
      </x:c>
      <x:c r="B15" s="169" t="inlineStr">
        <x:is>
          <x:t xml:space="preserve">Link model</x:t>
        </x:is>
      </x:c>
      <x:c r="C15" s="169" t="inlineStr">
        <x:is>
          <x:t xml:space="preserve">Link/Trigger</x:t>
        </x:is>
      </x:c>
      <x:c r="D15" s="169" t="inlineStr">
        <x:is>
          <x:t xml:space="preserve">Direct current links remain anchors while disclosure triggers remain buttons.</x:t>
        </x:is>
      </x:c>
      <x:c r="E15" s="169" t="inlineStr">
        <x:is>
          <x:t xml:space="preserve">package</x:t>
        </x:is>
      </x:c>
      <x:c r="F15" s="169" t="inlineStr">
        <x:is>
          <x:t xml:space="preserve">browser</x:t>
        </x:is>
      </x:c>
      <x:c r="G15" s="169" t="inlineStr">
        <x:is>
          <x:t xml:space="preserve">tests/components/navigation-menu/behavior.spec.ts</x:t>
        </x:is>
      </x:c>
      <x:c r="H15" s="169" t="inlineStr">
        <x:is>
          <x:t xml:space="preserve">tested</x:t>
        </x:is>
      </x:c>
      <x:c r="I15" s="169" t="inlineStr">
        <x:is>
          <x:t xml:space="preserve">no</x:t>
        </x:is>
      </x:c>
      <x:c r="J15" s="170" t="n">
        <x:v>46279</x:v>
      </x:c>
      <x:c r="K15" s="169" t="n"/>
      <x:c r="L15" s="169" t="n">
        <x:v>1</x:v>
      </x:c>
      <x:c r="M15" s="169" t="n">
        <x:f>IF(OR(AND(I15="yes",H15="verified"),AND(I15="no",OR(H15="tested",H15="verified")),AND(H15="not applicable",K15&lt;&gt;"")),1,0)</x:f>
        <x:v>1</x:v>
      </x:c>
    </x:row>
    <x:row r="16" s="127" customFormat="1" ht="90" customHeight="1">
      <x:c r="A16" s="169" t="inlineStr">
        <x:is>
          <x:t xml:space="preserve">NM-08</x:t>
        </x:is>
      </x:c>
      <x:c r="B16" s="169" t="inlineStr">
        <x:is>
          <x:t xml:space="preserve">Sizes</x:t>
        </x:is>
      </x:c>
      <x:c r="C16" s="169" t="inlineStr">
        <x:is>
          <x:t xml:space="preserve">Root/Sub</x:t>
        </x:is>
      </x:c>
      <x:c r="D16" s="169" t="inlineStr">
        <x:is>
          <x:t xml:space="preserve">Small, medium, and large change only navigation control geometry.</x:t>
        </x:is>
      </x:c>
      <x:c r="E16" s="169" t="inlineStr">
        <x:is>
          <x:t xml:space="preserve">package</x:t>
        </x:is>
      </x:c>
      <x:c r="F16" s="169" t="inlineStr">
        <x:is>
          <x:t xml:space="preserve">visual</x:t>
        </x:is>
      </x:c>
      <x:c r="G16" s="169" t="inlineStr">
        <x:is>
          <x:t xml:space="preserve">tests/components/navigation-menu/visual.spec.ts</x:t>
        </x:is>
      </x:c>
      <x:c r="H16" s="169" t="inlineStr">
        <x:is>
          <x:t xml:space="preserve">tested</x:t>
        </x:is>
      </x:c>
      <x:c r="I16" s="169" t="inlineStr">
        <x:is>
          <x:t xml:space="preserve">yes</x:t>
        </x:is>
      </x:c>
      <x:c r="J16" s="170" t="n">
        <x:v>46279</x:v>
      </x:c>
      <x:c r="K16" s="169" t="inlineStr">
        <x:is>
          <x:t xml:space="preserve">Automated and agent visual review completed; required human acceptance remains unclaimed.</x:t>
        </x:is>
      </x:c>
      <x:c r="L16" s="169" t="n">
        <x:v>1</x:v>
      </x:c>
      <x:c r="M16" s="169" t="n">
        <x:f>IF(OR(AND(I16="yes",H16="verified"),AND(I16="no",OR(H16="tested",H16="verified")),AND(H16="not applicable",K16&lt;&gt;"")),1,0)</x:f>
        <x:v>0</x:v>
      </x:c>
    </x:row>
    <x:row r="17" s="127" customFormat="1" ht="90" customHeight="1">
      <x:c r="A17" s="169" t="inlineStr">
        <x:is>
          <x:t xml:space="preserve">NM-09</x:t>
        </x:is>
      </x:c>
      <x:c r="B17" s="169" t="inlineStr">
        <x:is>
          <x:t xml:space="preserve">Orientation</x:t>
        </x:is>
      </x:c>
      <x:c r="C17" s="169" t="inlineStr">
        <x:is>
          <x:t xml:space="preserve">Root/List/IndicatorArrow</x:t>
        </x:is>
      </x:c>
      <x:c r="D17" s="169" t="inlineStr">
        <x:is>
          <x:t xml:space="preserve">Horizontal and vertical orientation change layout and keyboard axis together while the IndicatorArrow connects the active trigger to the Viewport on the logical side.</x:t>
        </x:is>
      </x:c>
      <x:c r="E17" s="169" t="inlineStr">
        <x:is>
          <x:t xml:space="preserve">package</x:t>
        </x:is>
      </x:c>
      <x:c r="F17" s="169" t="inlineStr">
        <x:is>
          <x:t xml:space="preserve">browser</x:t>
        </x:is>
      </x:c>
      <x:c r="G17" s="169" t="inlineStr">
        <x:is>
          <x:t xml:space="preserve">tests/components/navigation-menu/behavior.spec.ts</x:t>
        </x:is>
      </x:c>
      <x:c r="H17" s="169" t="inlineStr">
        <x:is>
          <x:t xml:space="preserve">tested</x:t>
        </x:is>
      </x:c>
      <x:c r="I17" s="169" t="inlineStr">
        <x:is>
          <x:t xml:space="preserve">no</x:t>
        </x:is>
      </x:c>
      <x:c r="J17" s="170" t="n">
        <x:v>46279</x:v>
      </x:c>
      <x:c r="K17" s="148" t="n"/>
      <x:c r="L17" s="169" t="n">
        <x:v>1</x:v>
      </x:c>
      <x:c r="M17" s="169" t="n">
        <x:f>IF(OR(AND(I17="yes",H17="verified"),AND(I17="no",OR(H17="tested",H17="verified")),AND(H17="not applicable",K17&lt;&gt;"")),1,0)</x:f>
        <x:v>1</x:v>
      </x:c>
    </x:row>
    <x:row r="18" s="127" customFormat="1" ht="90" customHeight="1">
      <x:c r="A18" s="169" t="inlineStr">
        <x:is>
          <x:t xml:space="preserve">NM-10</x:t>
        </x:is>
      </x:c>
      <x:c r="B18" s="169" t="inlineStr">
        <x:is>
          <x:t xml:space="preserve">Viewport</x:t>
        </x:is>
      </x:c>
      <x:c r="C18" s="169" t="inlineStr">
        <x:is>
          <x:t xml:space="preserve">Content/Viewport/Indicator/IndicatorArrow</x:t>
        </x:is>
      </x:c>
      <x:c r="D18" s="169" t="inlineStr">
        <x:is>
          <x:t xml:space="preserve">Fractional border-aware viewport sizing supports trigger/navigation anchoring, paired directional exchange, rapid reversal and reduced motion.</x:t>
        </x:is>
      </x:c>
      <x:c r="E18" s="169" t="inlineStr">
        <x:is>
          <x:t xml:space="preserve">package</x:t>
        </x:is>
      </x:c>
      <x:c r="F18" s="169" t="inlineStr">
        <x:is>
          <x:t xml:space="preserve">browser</x:t>
        </x:is>
      </x:c>
      <x:c r="G18" s="169" t="inlineStr">
        <x:is>
          <x:t xml:space="preserve">tests/components/navigation-menu/behavior.spec.ts; tests/components/navigation-menu/motion.spec.ts</x:t>
        </x:is>
      </x:c>
      <x:c r="H18" s="169" t="inlineStr">
        <x:is>
          <x:t xml:space="preserve">tested</x:t>
        </x:is>
      </x:c>
      <x:c r="I18" s="169" t="inlineStr">
        <x:is>
          <x:t xml:space="preserve">no</x:t>
        </x:is>
      </x:c>
      <x:c r="J18" s="170" t="n">
        <x:v>46279</x:v>
      </x:c>
      <x:c r="K18" s="148" t="n"/>
      <x:c r="L18" s="169" t="n">
        <x:v>1</x:v>
      </x:c>
      <x:c r="M18" s="169" t="n">
        <x:f>IF(OR(AND(I18="yes",H18="verified"),AND(I18="no",OR(H18="tested",H18="verified")),AND(H18="not applicable",K18&lt;&gt;"")),1,0)</x:f>
        <x:v>1</x:v>
      </x:c>
    </x:row>
    <x:row r="19" s="127" customFormat="1" ht="90" customHeight="1">
      <x:c r="A19" s="169" t="inlineStr">
        <x:is>
          <x:t xml:space="preserve">NM-11</x:t>
        </x:is>
      </x:c>
      <x:c r="B19" s="169" t="inlineStr">
        <x:is>
          <x:t xml:space="preserve">States</x:t>
        </x:is>
      </x:c>
      <x:c r="C19" s="169" t="inlineStr">
        <x:is>
          <x:t xml:space="preserve">Trigger/Link</x:t>
        </x:is>
      </x:c>
      <x:c r="D19" s="169" t="inlineStr">
        <x:is>
          <x:t xml:space="preserve">Controlled open, current link, disabled trigger, hover, and focus states remain distinct.</x:t>
        </x:is>
      </x:c>
      <x:c r="E19" s="169" t="inlineStr">
        <x:is>
          <x:t xml:space="preserve">package</x:t>
        </x:is>
      </x:c>
      <x:c r="F19" s="169" t="inlineStr">
        <x:is>
          <x:t xml:space="preserve">browser</x:t>
        </x:is>
      </x:c>
      <x:c r="G19" s="169" t="inlineStr">
        <x:is>
          <x:t xml:space="preserve">tests/components/navigation-menu/behavior.spec.ts</x:t>
        </x:is>
      </x:c>
      <x:c r="H19" s="169" t="inlineStr">
        <x:is>
          <x:t xml:space="preserve">tested</x:t>
        </x:is>
      </x:c>
      <x:c r="I19" s="169" t="inlineStr">
        <x:is>
          <x:t xml:space="preserve">no</x:t>
        </x:is>
      </x:c>
      <x:c r="J19" s="170" t="n">
        <x:v>46279</x:v>
      </x:c>
      <x:c r="K19" s="148" t="n"/>
      <x:c r="L19" s="169" t="n">
        <x:v>1</x:v>
      </x:c>
      <x:c r="M19" s="169" t="n">
        <x:f>IF(OR(AND(I19="yes",H19="verified"),AND(I19="no",OR(H19="tested",H19="verified")),AND(H19="not applicable",K19&lt;&gt;"")),1,0)</x:f>
        <x:v>1</x:v>
      </x:c>
    </x:row>
    <x:row r="20" s="127" customFormat="1" ht="90" customHeight="1">
      <x:c r="A20" s="169" t="inlineStr">
        <x:is>
          <x:t xml:space="preserve">NM-12</x:t>
        </x:is>
      </x:c>
      <x:c r="B20" s="169" t="inlineStr">
        <x:is>
          <x:t xml:space="preserve">Keyboard</x:t>
        </x:is>
      </x:c>
      <x:c r="C20" s="169" t="inlineStr">
        <x:is>
          <x:t xml:space="preserve">Interactive parts</x:t>
        </x:is>
      </x:c>
      <x:c r="D20" s="169" t="inlineStr">
        <x:is>
          <x:t xml:space="preserve">Keyboard opening, roving or adjacent navigation, activation, dismissal, and focus return remain Atom-owned.</x:t>
        </x:is>
      </x:c>
      <x:c r="E20" s="169" t="inlineStr">
        <x:is>
          <x:t xml:space="preserve">package</x:t>
        </x:is>
      </x:c>
      <x:c r="F20" s="169" t="inlineStr">
        <x:is>
          <x:t xml:space="preserve">browser</x:t>
        </x:is>
      </x:c>
      <x:c r="G20" s="169" t="inlineStr">
        <x:is>
          <x:t xml:space="preserve">tests/components/navigation-menu/behavior.spec.ts</x:t>
        </x:is>
      </x:c>
      <x:c r="H20" s="169" t="inlineStr">
        <x:is>
          <x:t xml:space="preserve">tested</x:t>
        </x:is>
      </x:c>
      <x:c r="I20" s="169" t="inlineStr">
        <x:is>
          <x:t xml:space="preserve">no</x:t>
        </x:is>
      </x:c>
      <x:c r="J20" s="170" t="n">
        <x:v>46279</x:v>
      </x:c>
      <x:c r="K20" s="148" t="n"/>
      <x:c r="L20" s="169" t="n">
        <x:v>1</x:v>
      </x:c>
      <x:c r="M20" s="169" t="n">
        <x:f>IF(OR(AND(I20="yes",H20="verified"),AND(I20="no",OR(H20="tested",H20="verified")),AND(H20="not applicable",K20&lt;&gt;"")),1,0)</x:f>
        <x:v>1</x:v>
      </x:c>
    </x:row>
    <x:row r="21" s="127" customFormat="1" ht="90" customHeight="1">
      <x:c r="A21" s="169" t="inlineStr">
        <x:is>
          <x:t xml:space="preserve">NM-13</x:t>
        </x:is>
      </x:c>
      <x:c r="B21" s="169" t="inlineStr">
        <x:is>
          <x:t xml:space="preserve">Composition</x:t>
        </x:is>
      </x:c>
      <x:c r="C21" s="169" t="inlineStr">
        <x:is>
          <x:t xml:space="preserve">Composed parts</x:t>
        </x:is>
      </x:c>
      <x:c r="D21" s="169" t="inlineStr">
        <x:is>
          <x:t xml:space="preserve">render and asChild preserve native hosts, semantic roles, attributes, state, handlers, slots, and refs.</x:t>
        </x:is>
      </x:c>
      <x:c r="E21" s="169" t="inlineStr">
        <x:is>
          <x:t xml:space="preserve">package</x:t>
        </x:is>
      </x:c>
      <x:c r="F21" s="169" t="inlineStr">
        <x:is>
          <x:t xml:space="preserve">browser</x:t>
        </x:is>
      </x:c>
      <x:c r="G21" s="169" t="inlineStr">
        <x:is>
          <x:t xml:space="preserve">tests/components/navigation-menu/behavior.spec.ts</x:t>
        </x:is>
      </x:c>
      <x:c r="H21" s="169" t="inlineStr">
        <x:is>
          <x:t xml:space="preserve">tested</x:t>
        </x:is>
      </x:c>
      <x:c r="I21" s="169" t="inlineStr">
        <x:is>
          <x:t xml:space="preserve">no</x:t>
        </x:is>
      </x:c>
      <x:c r="J21" s="170" t="n">
        <x:v>46279</x:v>
      </x:c>
      <x:c r="K21" s="169" t="n"/>
      <x:c r="L21" s="169" t="n">
        <x:v>1</x:v>
      </x:c>
      <x:c r="M21" s="169" t="n">
        <x:f>IF(OR(AND(I21="yes",H21="verified"),AND(I21="no",OR(H21="tested",H21="verified")),AND(H21="not applicable",K21&lt;&gt;"")),1,0)</x:f>
        <x:v>1</x:v>
      </x:c>
    </x:row>
    <x:row r="22" s="127" customFormat="1" ht="90" customHeight="1">
      <x:c r="A22" s="169" t="inlineStr">
        <x:is>
          <x:t xml:space="preserve">NM-14</x:t>
        </x:is>
      </x:c>
      <x:c r="B22" s="169" t="inlineStr">
        <x:is>
          <x:t xml:space="preserve">Responsive</x:t>
        </x:is>
      </x:c>
      <x:c r="C22" s="169" t="inlineStr">
        <x:is>
          <x:t xml:space="preserve">All parts</x:t>
        </x:is>
      </x:c>
      <x:c r="D22" s="169" t="inlineStr">
        <x:is>
          <x:t xml:space="preserve">Narrow viewports preserve reachable controls, constrained overlays, zoom, and the documented mobile boundary.</x:t>
        </x:is>
      </x:c>
      <x:c r="E22" s="169" t="inlineStr">
        <x:is>
          <x:t xml:space="preserve">package</x:t>
        </x:is>
      </x:c>
      <x:c r="F22" s="169" t="inlineStr">
        <x:is>
          <x:t xml:space="preserve">browser</x:t>
        </x:is>
      </x:c>
      <x:c r="G22" s="169" t="inlineStr">
        <x:is>
          <x:t xml:space="preserve">tests/components/navigation-menu/behavior.spec.ts</x:t>
        </x:is>
      </x:c>
      <x:c r="H22" s="169" t="inlineStr">
        <x:is>
          <x:t xml:space="preserve">tested</x:t>
        </x:is>
      </x:c>
      <x:c r="I22" s="169" t="inlineStr">
        <x:is>
          <x:t xml:space="preserve">no</x:t>
        </x:is>
      </x:c>
      <x:c r="J22" s="170" t="n">
        <x:v>46279</x:v>
      </x:c>
      <x:c r="K22" s="148" t="n"/>
      <x:c r="L22" s="169" t="n">
        <x:v>1</x:v>
      </x:c>
      <x:c r="M22" s="169" t="n">
        <x:f>IF(OR(AND(I22="yes",H22="verified"),AND(I22="no",OR(H22="tested",H22="verified")),AND(H22="not applicable",K22&lt;&gt;"")),1,0)</x:f>
        <x:v>1</x:v>
      </x:c>
    </x:row>
    <x:row r="23" s="127" customFormat="1" ht="90" customHeight="1">
      <x:c r="A23" s="169" t="inlineStr">
        <x:is>
          <x:t xml:space="preserve">NM-15</x:t>
        </x:is>
      </x:c>
      <x:c r="B23" s="169" t="inlineStr">
        <x:is>
          <x:t xml:space="preserve">Direction</x:t>
        </x:is>
      </x:c>
      <x:c r="C23" s="169" t="inlineStr">
        <x:is>
          <x:t xml:space="preserve">All parts</x:t>
        </x:is>
      </x:c>
      <x:c r="D23" s="169" t="inlineStr">
        <x:is>
          <x:t xml:space="preserve">Explicit RTL mirrors logical alignment and horizontal keyboard direction while preserving genuine text.</x:t>
        </x:is>
      </x:c>
      <x:c r="E23" s="169" t="inlineStr">
        <x:is>
          <x:t xml:space="preserve">package</x:t>
        </x:is>
      </x:c>
      <x:c r="F23" s="169" t="inlineStr">
        <x:is>
          <x:t xml:space="preserve">browser</x:t>
        </x:is>
      </x:c>
      <x:c r="G23" s="169" t="inlineStr">
        <x:is>
          <x:t xml:space="preserve">tests/components/navigation-menu/behavior.spec.ts</x:t>
        </x:is>
      </x:c>
      <x:c r="H23" s="169" t="inlineStr">
        <x:is>
          <x:t xml:space="preserve">tested</x:t>
        </x:is>
      </x:c>
      <x:c r="I23" s="169" t="inlineStr">
        <x:is>
          <x:t xml:space="preserve">no</x:t>
        </x:is>
      </x:c>
      <x:c r="J23" s="170" t="n">
        <x:v>46279</x:v>
      </x:c>
      <x:c r="K23" s="148" t="n"/>
      <x:c r="L23" s="169" t="n">
        <x:v>1</x:v>
      </x:c>
      <x:c r="M23" s="169" t="n">
        <x:f>IF(OR(AND(I23="yes",H23="verified"),AND(I23="no",OR(H23="tested",H23="verified")),AND(H23="not applicable",K23&lt;&gt;"")),1,0)</x:f>
        <x:v>1</x:v>
      </x:c>
    </x:row>
    <x:row r="24" s="127" customFormat="1" ht="90" customHeight="1">
      <x:c r="A24" s="169" t="inlineStr">
        <x:is>
          <x:t xml:space="preserve">NM-16</x:t>
        </x:is>
      </x:c>
      <x:c r="B24" s="169" t="inlineStr">
        <x:is>
          <x:t xml:space="preserve">Accessibility</x:t>
        </x:is>
      </x:c>
      <x:c r="C24" s="169" t="inlineStr">
        <x:is>
          <x:t xml:space="preserve">All parts</x:t>
        </x:is>
      </x:c>
      <x:c r="D24" s="169" t="inlineStr">
        <x:is>
          <x:t xml:space="preserve">Names, roles, states, keyboard order, focus, forced colors, and axe remain valid.</x:t>
        </x:is>
      </x:c>
      <x:c r="E24" s="169" t="inlineStr">
        <x:is>
          <x:t xml:space="preserve">package</x:t>
        </x:is>
      </x:c>
      <x:c r="F24" s="169" t="inlineStr">
        <x:is>
          <x:t xml:space="preserve">axe</x:t>
        </x:is>
      </x:c>
      <x:c r="G24" s="169" t="inlineStr">
        <x:is>
          <x:t xml:space="preserve">tests/components/navigation-menu/behavior.spec.ts</x:t>
        </x:is>
      </x:c>
      <x:c r="H24" s="169" t="inlineStr">
        <x:is>
          <x:t xml:space="preserve">tested</x:t>
        </x:is>
      </x:c>
      <x:c r="I24" s="169" t="inlineStr">
        <x:is>
          <x:t xml:space="preserve">no</x:t>
        </x:is>
      </x:c>
      <x:c r="J24" s="170" t="n">
        <x:v>46279</x:v>
      </x:c>
      <x:c r="K24" s="148" t="n"/>
      <x:c r="L24" s="169" t="n">
        <x:v>1</x:v>
      </x:c>
      <x:c r="M24" s="169" t="n">
        <x:f>IF(OR(AND(I24="yes",H24="verified"),AND(I24="no",OR(H24="tested",H24="verified")),AND(H24="not applicable",K24&lt;&gt;"")),1,0)</x:f>
        <x:v>1</x:v>
      </x:c>
    </x:row>
    <x:row r="25" s="127" customFormat="1" ht="90" customHeight="1">
      <x:c r="A25" s="169" t="inlineStr">
        <x:is>
          <x:t xml:space="preserve">NM-17</x:t>
        </x:is>
      </x:c>
      <x:c r="B25" s="169" t="inlineStr">
        <x:is>
          <x:t xml:space="preserve">Visual</x:t>
        </x:is>
      </x:c>
      <x:c r="C25" s="169" t="inlineStr">
        <x:is>
          <x:t xml:space="preserve">All parts</x:t>
        </x:is>
      </x:c>
      <x:c r="D25" s="169" t="inlineStr">
        <x:is>
          <x:t xml:space="preserve">Agent-inspected rich, compact hover and header keyboard-focus views in light/dark; matching surfaces and full-row highlights. Human acceptance remains pending.</x:t>
        </x:is>
      </x:c>
      <x:c r="E25" s="169" t="inlineStr">
        <x:is>
          <x:t xml:space="preserve">package</x:t>
        </x:is>
      </x:c>
      <x:c r="F25" s="169" t="inlineStr">
        <x:is>
          <x:t xml:space="preserve">visual</x:t>
        </x:is>
      </x:c>
      <x:c r="G25" s="169" t="inlineStr">
        <x:is>
          <x:t xml:space="preserve">tests/components/navigation-menu/visual.spec.ts; tests/components/navigation-menu/presentation.spec.ts</x:t>
        </x:is>
      </x:c>
      <x:c r="H25" s="169" t="inlineStr">
        <x:is>
          <x:t xml:space="preserve">tested</x:t>
        </x:is>
      </x:c>
      <x:c r="I25" s="169" t="inlineStr">
        <x:is>
          <x:t xml:space="preserve">yes</x:t>
        </x:is>
      </x:c>
      <x:c r="J25" s="170" t="n">
        <x:v>46279</x:v>
      </x:c>
      <x:c r="K25" s="169" t="inlineStr">
        <x:is>
          <x:t xml:space="preserve">Automated and agent visual review completed; required human acceptance remains unclaimed.</x:t>
        </x:is>
      </x:c>
      <x:c r="L25" s="169" t="n">
        <x:v>1</x:v>
      </x:c>
      <x:c r="M25" s="169" t="n">
        <x:f>IF(OR(AND(I25="yes",H25="verified"),AND(I25="no",OR(H25="tested",H25="verified")),AND(H25="not applicable",K25&lt;&gt;"")),1,0)</x:f>
        <x:v>0</x:v>
      </x:c>
    </x:row>
    <x:row r="26" s="127" customFormat="1" ht="90" customHeight="1">
      <x:c r="A26" s="169" t="inlineStr">
        <x:is>
          <x:t xml:space="preserve">NM-18</x:t>
        </x:is>
      </x:c>
      <x:c r="B26" s="169" t="inlineStr">
        <x:is>
          <x:t xml:space="preserve">Behavior</x:t>
        </x:is>
      </x:c>
      <x:c r="C26" s="169" t="inlineStr">
        <x:is>
          <x:t xml:space="preserve">All parts</x:t>
        </x:is>
      </x:c>
      <x:c r="D26" s="169" t="inlineStr">
        <x:is>
          <x:t xml:space="preserve">Component-specific state and interaction remain covered by focused browser and unit evidence.</x:t>
        </x:is>
      </x:c>
      <x:c r="E26" s="169" t="inlineStr">
        <x:is>
          <x:t xml:space="preserve">package</x:t>
        </x:is>
      </x:c>
      <x:c r="F26" s="169" t="inlineStr">
        <x:is>
          <x:t xml:space="preserve">browser</x:t>
        </x:is>
      </x:c>
      <x:c r="G26" s="169" t="inlineStr">
        <x:is>
          <x:t xml:space="preserve">tests/components/navigation-menu/behavior.spec.ts</x:t>
        </x:is>
      </x:c>
      <x:c r="H26" s="169" t="inlineStr">
        <x:is>
          <x:t xml:space="preserve">tested</x:t>
        </x:is>
      </x:c>
      <x:c r="I26" s="169" t="inlineStr">
        <x:is>
          <x:t xml:space="preserve">no</x:t>
        </x:is>
      </x:c>
      <x:c r="J26" s="170" t="n">
        <x:v>46279</x:v>
      </x:c>
      <x:c r="K26" s="169" t="n"/>
      <x:c r="L26" s="169" t="n">
        <x:v>1</x:v>
      </x:c>
      <x:c r="M26" s="169" t="n">
        <x:f>IF(OR(AND(I26="yes",H26="verified"),AND(I26="no",OR(H26="tested",H26="verified")),AND(H26="not applicable",K26&lt;&gt;"")),1,0)</x:f>
        <x:v>1</x:v>
      </x:c>
    </x:row>
    <x:row r="27" s="127" customFormat="1" ht="90" customHeight="1">
      <x:c r="A27" s="169" t="inlineStr">
        <x:is>
          <x:t xml:space="preserve">NM-19</x:t>
        </x:is>
      </x:c>
      <x:c r="B27" s="169" t="inlineStr">
        <x:is>
          <x:t xml:space="preserve">Manual</x:t>
        </x:is>
      </x:c>
      <x:c r="C27" s="169" t="inlineStr">
        <x:is>
          <x:t xml:space="preserve">Navigation Menu</x:t>
        </x:is>
      </x:c>
      <x:c r="D27" s="169" t="inlineStr">
        <x:is>
          <x:t xml:space="preserve">A tester completes the concise top-to-bottom pointer, keyboard, AT, zoom, device, appearance, RTL, forced-color, and reduced-motion protocol.</x:t>
        </x:is>
      </x:c>
      <x:c r="E27" s="169" t="inlineStr">
        <x:is>
          <x:t xml:space="preserve">package</x:t>
        </x:is>
      </x:c>
      <x:c r="F27" s="169" t="inlineStr">
        <x:is>
          <x:t xml:space="preserve">manual</x:t>
        </x:is>
      </x:c>
      <x:c r="G27" s="169" t="inlineStr">
        <x:is>
          <x:t xml:space="preserve">manual-tests/navigation-menu.md</x:t>
        </x:is>
      </x:c>
      <x:c r="H27" s="169" t="inlineStr">
        <x:is>
          <x:t xml:space="preserve">not started</x:t>
        </x:is>
      </x:c>
      <x:c r="I27" s="169" t="inlineStr">
        <x:is>
          <x:t xml:space="preserve">yes</x:t>
        </x:is>
      </x:c>
      <x:c r="J27" s="170" t="n"/>
      <x:c r="K27" s="169" t="inlineStr">
        <x:is>
          <x:t xml:space="preserve">Screen-reader, physical-device and actual browser-zoom protocol not performed; owner review remains required.</x:t>
        </x:is>
      </x:c>
      <x:c r="L27" s="169" t="n">
        <x:v>1</x:v>
      </x:c>
      <x:c r="M27" s="169" t="n">
        <x:f>IF(OR(AND(I27="yes",H27="verified"),AND(I27="no",OR(H27="tested",H27="verified")),AND(H27="not applicable",K27&lt;&gt;"")),1,0)</x:f>
        <x:v>0</x:v>
      </x:c>
    </x:row>
    <x:row r="28" s="127" customFormat="1" ht="90" customHeight="1">
      <x:c r="A28" s="169" t="inlineStr">
        <x:is>
          <x:t xml:space="preserve">NM-20</x:t>
        </x:is>
      </x:c>
      <x:c r="B28" s="169" t="inlineStr">
        <x:is>
          <x:t xml:space="preserve">Docs</x:t>
        </x:is>
      </x:c>
      <x:c r="C28" s="169" t="inlineStr">
        <x:is>
          <x:t xml:space="preserve">Navigation Menu</x:t>
        </x:is>
      </x:c>
      <x:c r="D28" s="169" t="inlineStr">
        <x:is>
          <x:t xml:space="preserve">Source-backed public guide, changelog and closed Agent Knowledge document controllers, visual defaults, composition, positioning, lifecycle and migration differences.</x:t>
        </x:is>
      </x:c>
      <x:c r="E28" s="169" t="inlineStr">
        <x:is>
          <x:t xml:space="preserve">package</x:t>
        </x:is>
      </x:c>
      <x:c r="F28" s="169" t="inlineStr">
        <x:is>
          <x:t xml:space="preserve">docs</x:t>
        </x:is>
      </x:c>
      <x:c r="G28" s="169" t="inlineStr">
        <x:is>
          <x:t xml:space="preserve">../docs/components/navigation-menu/README.md; ../src/components/navigation-menu/agent.md</x:t>
        </x:is>
      </x:c>
      <x:c r="H28" s="169" t="inlineStr">
        <x:is>
          <x:t xml:space="preserve">tested</x:t>
        </x:is>
      </x:c>
      <x:c r="I28" s="169" t="inlineStr">
        <x:is>
          <x:t xml:space="preserve">no</x:t>
        </x:is>
      </x:c>
      <x:c r="J28" s="170" t="n">
        <x:v>46279</x:v>
      </x:c>
      <x:c r="K28" s="148" t="n"/>
      <x:c r="L28" s="169" t="n">
        <x:v>1</x:v>
      </x:c>
      <x:c r="M28" s="169" t="n">
        <x:f>IF(OR(AND(I28="yes",H28="verified"),AND(I28="no",OR(H28="tested",H28="verified")),AND(H28="not applicable",K28&lt;&gt;"")),1,0)</x:f>
        <x:v>1</x:v>
      </x:c>
    </x:row>
    <x:row r="29" s="127" customFormat="1" ht="90" customHeight="1">
      <x:c r="A29" s="169" t="inlineStr">
        <x:is>
          <x:t xml:space="preserve">NM-21</x:t>
        </x:is>
      </x:c>
      <x:c r="B29" s="169" t="inlineStr">
        <x:is>
          <x:t xml:space="preserve">Playground</x:t>
        </x:is>
      </x:c>
      <x:c r="C29" s="169" t="inlineStr">
        <x:is>
          <x:t xml:space="preserve">Navigation Menu</x:t>
        </x:is>
      </x:c>
      <x:c r="D29" s="169" t="inlineStr">
        <x:is>
          <x:t xml:space="preserve">Normal docs route provides concise executable Preview/Code examples, Guide, named Props/TOC and retained independent qualification scenarios.</x:t>
        </x:is>
      </x:c>
      <x:c r="E29" s="169" t="inlineStr">
        <x:is>
          <x:t xml:space="preserve">package</x:t>
        </x:is>
      </x:c>
      <x:c r="F29" s="169" t="inlineStr">
        <x:is>
          <x:t xml:space="preserve">playground</x:t>
        </x:is>
      </x:c>
      <x:c r="G29" s="169" t="inlineStr">
        <x:is>
          <x:t xml:space="preserve">tests/components/navigation-menu/documentation.spec.ts; src/components/navigation-menu/documentation.ts</x:t>
        </x:is>
      </x:c>
      <x:c r="H29" s="169" t="inlineStr">
        <x:is>
          <x:t xml:space="preserve">tested</x:t>
        </x:is>
      </x:c>
      <x:c r="I29" s="169" t="inlineStr">
        <x:is>
          <x:t xml:space="preserve">no</x:t>
        </x:is>
      </x:c>
      <x:c r="J29" s="170" t="n">
        <x:v>46279</x:v>
      </x:c>
      <x:c r="K29" s="148" t="n"/>
      <x:c r="L29" s="169" t="n">
        <x:v>1</x:v>
      </x:c>
      <x:c r="M29" s="169" t="n">
        <x:f>IF(OR(AND(I29="yes",H29="verified"),AND(I29="no",OR(H29="tested",H29="verified")),AND(H29="not applicable",K29&lt;&gt;"")),1,0)</x:f>
        <x:v>1</x:v>
      </x:c>
    </x:row>
    <x:row r="30" s="127" customFormat="1" ht="90" customHeight="1">
      <x:c r="A30" s="169" t="inlineStr">
        <x:is>
          <x:t xml:space="preserve">NM-22</x:t>
        </x:is>
      </x:c>
      <x:c r="B30" s="169" t="inlineStr">
        <x:is>
          <x:t xml:space="preserve">Consumer</x:t>
        </x:is>
      </x:c>
      <x:c r="C30" s="169" t="inlineStr">
        <x:is>
          <x:t xml:space="preserve">Navigation Menu</x:t>
        </x:is>
      </x:c>
      <x:c r="D30" s="169" t="inlineStr">
        <x:is>
          <x:t xml:space="preserve">Packed Consumer imports the public subpath and operates realistic component composition on desktop and mobile.</x:t>
        </x:is>
      </x:c>
      <x:c r="E30" s="169" t="inlineStr">
        <x:is>
          <x:t xml:space="preserve">consumer</x:t>
        </x:is>
      </x:c>
      <x:c r="F30" s="169" t="inlineStr">
        <x:is>
          <x:t xml:space="preserve">consumer</x:t>
        </x:is>
      </x:c>
      <x:c r="G30" s="169" t="inlineStr">
        <x:is>
          <x:t xml:space="preserve">../apps/consumer/src/App.tsx; ../apps/consumer/tests/consumer.spec.ts</x:t>
        </x:is>
      </x:c>
      <x:c r="H30" s="169" t="inlineStr">
        <x:is>
          <x:t xml:space="preserve">tested</x:t>
        </x:is>
      </x:c>
      <x:c r="I30" s="169" t="inlineStr">
        <x:is>
          <x:t xml:space="preserve">no</x:t>
        </x:is>
      </x:c>
      <x:c r="J30" s="170" t="n">
        <x:v>46279</x:v>
      </x:c>
      <x:c r="K30" s="148" t="n"/>
      <x:c r="L30" s="169" t="n">
        <x:v>1</x:v>
      </x:c>
      <x:c r="M30" s="169" t="n">
        <x:f>IF(OR(AND(I30="yes",H30="verified"),AND(I30="no",OR(H30="tested",H30="verified")),AND(H30="not applicable",K30&lt;&gt;"")),1,0)</x:f>
        <x:v>1</x:v>
      </x:c>
    </x:row>
    <x:row r="31" s="127" customFormat="1" ht="90" customHeight="1">
      <x:c r="A31" s="169" t="inlineStr">
        <x:is>
          <x:t xml:space="preserve">NM-23</x:t>
        </x:is>
      </x:c>
      <x:c r="B31" s="169" t="inlineStr">
        <x:is>
          <x:t xml:space="preserve">Package</x:t>
        </x:is>
      </x:c>
      <x:c r="C31" s="169" t="inlineStr">
        <x:is>
          <x:t xml:space="preserve">Navigation Menu</x:t>
        </x:is>
      </x:c>
      <x:c r="D31" s="169" t="inlineStr">
        <x:is>
          <x:t xml:space="preserve">Local archive build, exports, SSR, CSS, React consumers and configured browser evidence qualify this candidate; manual checks and unrelated repository gates remain separate.</x:t>
        </x:is>
      </x:c>
      <x:c r="E31" s="169" t="inlineStr">
        <x:is>
          <x:t xml:space="preserve">package</x:t>
        </x:is>
      </x:c>
      <x:c r="F31" s="169" t="inlineStr">
        <x:is>
          <x:t xml:space="preserve">package</x:t>
        </x:is>
      </x:c>
      <x:c r="G31" s="169" t="inlineStr">
        <x:is>
          <x:t xml:space="preserve">../scripts/verify-package.mjs; ../scripts/verify-consumers.mjs</x:t>
        </x:is>
      </x:c>
      <x:c r="H31" s="169" t="inlineStr">
        <x:is>
          <x:t xml:space="preserve">partial</x:t>
        </x:is>
      </x:c>
      <x:c r="I31" s="169" t="inlineStr">
        <x:is>
          <x:t xml:space="preserve">no</x:t>
        </x:is>
      </x:c>
      <x:c r="J31" s="170" t="n">
        <x:v>46279</x:v>
      </x:c>
      <x:c r="K31" s="148" t="inlineStr">
        <x:is>
          <x:t xml:space="preserve">Local package and consumers verified. Broader repository ownership/prose checks and manual qualification remain open; no release authorized.</x:t>
        </x:is>
      </x:c>
      <x:c r="L31" s="169" t="n">
        <x:v>1</x:v>
      </x:c>
      <x:c r="M31" s="169" t="n">
        <x:f>IF(OR(AND(I31="yes",H31="verified"),AND(I31="no",OR(H31="tested",H31="verified")),AND(H31="not applicable",K31&lt;&gt;"")),1,0)</x:f>
        <x:v>0</x:v>
      </x:c>
    </x:row>
  </x:sheetData>
  <x:mergeCells>
    <x:mergeCell ref="A2:M2"/>
    <x:mergeCell ref="A1:M1"/>
  </x:mergeCells>
  <x:pageMargins left="0.7" right="0.7" top="0.75" bottom="0.75" header="0.3" footer="0.3"/>
</x:worksheet>
</file>

<file path=xl/worksheets/sheet53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Bottom Navigation Evidence</x:t>
        </x:is>
      </x:c>
    </x:row>
    <x:row r="2" s="127" customFormat="1" ht="27.75" customHeight="1">
      <x:c r="A2" s="129" t="inlineStr">
        <x:is>
          <x:t xml:space="preserve">Assertion-level Atom-backed recipes, destination behavior, position, labels, selection, accessibility, visual, documentation, Consumer, and package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COUNTA(A9:A36)</x:f>
        <x:v>28</x:v>
      </x:c>
      <x:c r="D4" s="130" t="inlineStr">
        <x:is>
          <x:t xml:space="preserve">Resolved</x:t>
        </x:is>
      </x:c>
      <x:c r="E4" s="131" t="n">
        <x:f>SUM(M9:M36)</x:f>
        <x:v>24</x:v>
      </x:c>
      <x:c r="G4" s="130" t="inlineStr">
        <x:is>
          <x:t xml:space="preserve">Completion</x:t>
        </x:is>
      </x:c>
      <x:c r="H4" s="132" t="n">
        <x:f>IF(B4=0,0,E4/B4)</x:f>
        <x:v>0.8571428571428571</x:v>
      </x:c>
      <x:c r="J4" s="130" t="inlineStr">
        <x:is>
          <x:t xml:space="preserve">Package gate</x:t>
        </x:is>
      </x:c>
      <x:c r="K4" s="131" t="str">
        <x:f>IF(COUNTIFS(E9:E36,"package",M9:M36,0)&gt;0,"open","complete")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IF(COUNTIFS(I9:I36,"yes",M9:M36,0)&gt;0,"open","complete")</x:f>
        <x:v>open</x:v>
      </x:c>
      <x:c r="D5" s="130" t="inlineStr">
        <x:is>
          <x:t xml:space="preserve">Consumer gate</x:t>
        </x:is>
      </x:c>
      <x:c r="E5" s="131" t="str">
        <x:f>IF(COUNTIFS(E9:E36,"consumer",M9:M36,0)&gt;0,"open","complete")</x:f>
        <x:v>open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BN-01</x:t>
        </x:is>
      </x:c>
      <x:c r="B9" s="149" t="inlineStr">
        <x:is>
          <x:t xml:space="preserve">Ownership</x:t>
        </x:is>
      </x:c>
      <x:c r="C9" s="149" t="inlineStr">
        <x:is>
          <x:t xml:space="preserve">All parts</x:t>
        </x:is>
      </x:c>
      <x:c r="D9" s="150" t="inlineStr">
        <x:is>
          <x:t xml:space="preserve">Brick consumes a tested, digest-locked local Atom 0.26.1 candidate; behavior remains Atom-owned. Nothing published.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../src/components/bottom-navigation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46230</x:v>
      </x:c>
      <x:c r="K9" s="150" t="n"/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BN-02</x:t>
        </x:is>
      </x:c>
      <x:c r="B10" s="149" t="inlineStr">
        <x:is>
          <x:t xml:space="preserve">Anatomy</x:t>
        </x:is>
      </x:c>
      <x:c r="C10" s="149" t="inlineStr">
        <x:is>
          <x:t xml:space="preserve">Root/Item/Icon/Label</x:t>
        </x:is>
      </x:c>
      <x:c r="D10" s="150" t="inlineStr">
        <x:is>
          <x:t xml:space="preserve">The public four-part namespace preserves Atom's native nav, anchor/button destination, authored Icon/Label spans, semantic relationships, slots, props, refs, and static-content boundaries.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../test/components/bottom-navigation/bottom-navigation.test.tsx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46230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BN-03</x:t>
        </x:is>
      </x:c>
      <x:c r="B11" s="149" t="inlineStr">
        <x:is>
          <x:t xml:space="preserve">Exports</x:t>
        </x:is>
      </x:c>
      <x:c r="C11" s="149" t="inlineStr">
        <x:is>
          <x:t xml:space="preserve">BottomNavigation</x:t>
        </x:is>
      </x:c>
      <x:c r="D11" s="150" t="inlineStr">
        <x:is>
          <x:t xml:space="preserve">Root and bottom-navigation subpath expose the namespace, named parts, recipe types, inherited position/label types, and public props with identical runtime identities.</x:t>
        </x:is>
      </x:c>
      <x:c r="E11" s="149" t="inlineStr">
        <x:is>
          <x:t xml:space="preserve">package</x:t>
        </x:is>
      </x:c>
      <x:c r="F11" s="149" t="inlineStr">
        <x:is>
          <x:t xml:space="preserve">package</x:t>
        </x:is>
      </x:c>
      <x:c r="G11" s="150" t="inlineStr">
        <x:is>
          <x:t xml:space="preserve">../test/package/package.test.mjs; ../scripts/verify-consumers.mjs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46230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BN-04</x:t>
        </x:is>
      </x:c>
      <x:c r="B12" s="149" t="inlineStr">
        <x:is>
          <x:t xml:space="preserve">Types</x:t>
        </x:is>
      </x:c>
      <x:c r="C12" s="149" t="inlineStr">
        <x:is>
          <x:t xml:space="preserve">All parts</x:t>
        </x:is>
      </x:c>
      <x:c r="D12" s="150" t="inlineStr">
        <x:is>
          <x:t xml:space="preserve">Closed recipes and the discriminated indicator/item selection shapes type-check; unsupported sizes and a circular whole-item selection fail.</x:t>
        </x:is>
      </x:c>
      <x:c r="E12" s="149" t="inlineStr">
        <x:is>
          <x:t xml:space="preserve">package</x:t>
        </x:is>
      </x:c>
      <x:c r="F12" s="149" t="inlineStr">
        <x:is>
          <x:t xml:space="preserve">types</x:t>
        </x:is>
      </x:c>
      <x:c r="G12" s="150" t="inlineStr">
        <x:is>
          <x:t xml:space="preserve">../test/types/components/bottom-navigation.test.ts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46230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BN-05</x:t>
        </x:is>
      </x:c>
      <x:c r="B13" s="149" t="inlineStr">
        <x:is>
          <x:t xml:space="preserve">CSS</x:t>
        </x:is>
      </x:c>
      <x:c r="C13" s="149" t="inlineStr">
        <x:is>
          <x:t xml:space="preserve">All parts</x:t>
        </x:is>
      </x:c>
      <x:c r="D13" s="150" t="inlineStr">
        <x:is>
          <x:t xml:space="preserve">Five surface variants, responsive size/arrangement, shared radius, named elevation and independent selected paint ship as static CSS.</x:t>
        </x:is>
      </x:c>
      <x:c r="E13" s="149" t="inlineStr">
        <x:is>
          <x:t xml:space="preserve">package</x:t>
        </x:is>
      </x:c>
      <x:c r="F13" s="149" t="inlineStr">
        <x:is>
          <x:t xml:space="preserve">css</x:t>
        </x:is>
      </x:c>
      <x:c r="G13" s="150" t="inlineStr">
        <x:is>
          <x:t xml:space="preserve">../src/components/bottom-navigation/bottom-navigation.css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46230</x:v>
      </x:c>
      <x:c r="K13" s="150" t="n"/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BN-06</x:t>
        </x:is>
      </x:c>
      <x:c r="B14" s="149" t="inlineStr">
        <x:is>
          <x:t xml:space="preserve">Defaults</x:t>
        </x:is>
      </x:c>
      <x:c r="C14" s="149" t="inlineStr">
        <x:is>
          <x:t xml:space="preserve">Root/Item/Icon/Label</x:t>
        </x:is>
      </x:c>
      <x:c r="D14" s="150" t="inlineStr">
        <x:is>
          <x:t xml:space="preserve">Defaults are outline, accent, full, equal, medium, static, indicator/pill, always-visible labels, safe-area support, and no blur or elevation.</x:t>
        </x:is>
      </x:c>
      <x:c r="E14" s="149" t="inlineStr">
        <x:is>
          <x:t xml:space="preserve">package</x:t>
        </x:is>
      </x:c>
      <x:c r="F14" s="149" t="inlineStr">
        <x:is>
          <x:t xml:space="preserve">browser</x:t>
        </x:is>
      </x:c>
      <x:c r="G14" s="150" t="inlineStr">
        <x:is>
          <x:t xml:space="preserve">tests/components/bottom-navigation/behavior.spec.ts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46230</x:v>
      </x:c>
      <x:c r="K14" s="150" t="n"/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BN-07</x:t>
        </x:is>
      </x:c>
      <x:c r="B15" s="149" t="inlineStr">
        <x:is>
          <x:t xml:space="preserve">Recipes</x:t>
        </x:is>
      </x:c>
      <x:c r="C15" s="149" t="inlineStr">
        <x:is>
          <x:t xml:space="preserve">Root</x:t>
        </x:is>
      </x:c>
      <x:c r="D15" s="150" t="inlineStr">
        <x:is>
          <x:t xml:space="preserve">Solid, soft, outline, surface and ghost are distinct. Outline is transparent; surface is opaque. Focus follows the shared theme policy.</x:t>
        </x:is>
      </x:c>
      <x:c r="E15" s="149" t="inlineStr">
        <x:is>
          <x:t xml:space="preserve">package</x:t>
        </x:is>
      </x:c>
      <x:c r="F15" s="149" t="inlineStr">
        <x:is>
          <x:t xml:space="preserve">browser</x:t>
        </x:is>
      </x:c>
      <x:c r="G15" s="150" t="inlineStr">
        <x:is>
          <x:t xml:space="preserve">tests/components/bottom-navigation/behavior.spec.ts; tests/components/bottom-navigation/visual.spec.ts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46230</x:v>
      </x:c>
      <x:c r="K15" s="150" t="n"/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BN-08</x:t>
        </x:is>
      </x:c>
      <x:c r="B16" s="149" t="inlineStr">
        <x:is>
          <x:t xml:space="preserve">Layout</x:t>
        </x:is>
      </x:c>
      <x:c r="C16" s="149" t="inlineStr">
        <x:is>
          <x:t xml:space="preserve">Root/Item</x:t>
        </x:is>
      </x:c>
      <x:c r="D16" s="150" t="inlineStr">
        <x:is>
          <x:t xml:space="preserve">Full versus floating controls outer geometry independently from equal versus centered destination distribution.</x:t>
        </x:is>
      </x:c>
      <x:c r="E16" s="149" t="inlineStr">
        <x:is>
          <x:t xml:space="preserve">package</x:t>
        </x:is>
      </x:c>
      <x:c r="F16" s="149" t="inlineStr">
        <x:is>
          <x:t xml:space="preserve">browser</x:t>
        </x:is>
      </x:c>
      <x:c r="G16" s="150" t="inlineStr">
        <x:is>
          <x:t xml:space="preserve">tests/components/bottom-navigation/behavior.spec.ts; tests/components/bottom-navigation/visual.spec.ts</x:t>
        </x:is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n">
        <x:v>46230</x:v>
      </x:c>
      <x:c r="K16" s="150" t="n"/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BN-09</x:t>
        </x:is>
      </x:c>
      <x:c r="B17" s="149" t="inlineStr">
        <x:is>
          <x:t xml:space="preserve">Sizes</x:t>
        </x:is>
      </x:c>
      <x:c r="C17" s="149" t="inlineStr">
        <x:is>
          <x:t xml:space="preserve">All parts</x:t>
        </x:is>
      </x:c>
      <x:c r="D17" s="150" t="inlineStr">
        <x:is>
          <x:t xml:space="preserve">Sizes coordinate target/icon/label geometry and respond to sparse breakpoints without changing destination order.</x:t>
        </x:is>
      </x:c>
      <x:c r="E17" s="149" t="inlineStr">
        <x:is>
          <x:t xml:space="preserve">package</x:t>
        </x:is>
      </x:c>
      <x:c r="F17" s="149" t="inlineStr">
        <x:is>
          <x:t xml:space="preserve">browser</x:t>
        </x:is>
      </x:c>
      <x:c r="G17" s="150" t="inlineStr">
        <x:is>
          <x:t xml:space="preserve">tests/components/bottom-navigation/behavior.spec.ts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n">
        <x:v>46230</x:v>
      </x:c>
      <x:c r="K17" s="150" t="n"/>
      <x:c r="L17" s="149" t="n">
        <x:v>1</x:v>
      </x:c>
      <x:c r="M17" s="149" t="n">
        <x:f>IF(OR(AND(I17="yes",H17="verified"),AND(I17="no",OR(H17="tested",H17="verified")),AND(H17="not applicable",K17&lt;&gt;"")),1,0)</x:f>
        <x:v>1</x:v>
      </x:c>
    </x:row>
    <x:row r="18" s="127" customFormat="1" ht="54" customHeight="1">
      <x:c r="A18" s="149" t="inlineStr">
        <x:is>
          <x:t xml:space="preserve">BN-10</x:t>
        </x:is>
      </x:c>
      <x:c r="B18" s="149" t="inlineStr">
        <x:is>
          <x:t xml:space="preserve">Position</x:t>
        </x:is>
      </x:c>
      <x:c r="C18" s="149" t="inlineStr">
        <x:is>
          <x:t xml:space="preserve">Root</x:t>
        </x:is>
      </x:c>
      <x:c r="D18" s="150" t="inlineStr">
        <x:is>
          <x:t xml:space="preserve">Floating absolute/fixed bars center in both LTR and RTL. Positioned safe-area protection remains static maximum-inset based.</x:t>
        </x:is>
      </x:c>
      <x:c r="E18" s="149" t="inlineStr">
        <x:is>
          <x:t xml:space="preserve">package</x:t>
        </x:is>
      </x:c>
      <x:c r="F18" s="149" t="inlineStr">
        <x:is>
          <x:t xml:space="preserve">browser</x:t>
        </x:is>
      </x:c>
      <x:c r="G18" s="150" t="inlineStr">
        <x:is>
          <x:t xml:space="preserve">tests/components/bottom-navigation/behavior.spec.ts; ../test/components/bottom-navigation/bottom-navigation.test.tsx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n">
        <x:v>46230</x:v>
      </x:c>
      <x:c r="K18" s="150" t="n"/>
      <x:c r="L18" s="149" t="n">
        <x:v>1</x:v>
      </x:c>
      <x:c r="M18" s="149" t="n">
        <x:f>IF(OR(AND(I18="yes",H18="verified"),AND(I18="no",OR(H18="tested",H18="verified")),AND(H18="not applicable",K18&lt;&gt;"")),1,0)</x:f>
        <x:v>1</x:v>
      </x:c>
    </x:row>
    <x:row r="19" s="127" customFormat="1" ht="54" customHeight="1">
      <x:c r="A19" s="149" t="inlineStr">
        <x:is>
          <x:t xml:space="preserve">BN-11</x:t>
        </x:is>
      </x:c>
      <x:c r="B19" s="149" t="inlineStr">
        <x:is>
          <x:t xml:space="preserve">Selection</x:t>
        </x:is>
      </x:c>
      <x:c r="C19" s="149" t="inlineStr">
        <x:is>
          <x:t xml:space="preserve">Root/Icon/Item</x:t>
        </x:is>
      </x:c>
      <x:c r="D19" s="150" t="inlineStr">
        <x:is>
          <x:t xml:space="preserve">Indicator selection paints only Icon with circle, rounded, or pill geometry; Item selection paints the whole destination with square, rounded, or pill geometry and no layout shift.</x:t>
        </x:is>
      </x:c>
      <x:c r="E19" s="149" t="inlineStr">
        <x:is>
          <x:t xml:space="preserve">package</x:t>
        </x:is>
      </x:c>
      <x:c r="F19" s="149" t="inlineStr">
        <x:is>
          <x:t xml:space="preserve">browser</x:t>
        </x:is>
      </x:c>
      <x:c r="G19" s="150" t="inlineStr">
        <x:is>
          <x:t xml:space="preserve">tests/components/bottom-navigation/behavior.spec.ts; tests/components/bottom-navigation/visual.spec.ts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46230</x:v>
      </x:c>
      <x:c r="K19" s="150" t="n"/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BN-12</x:t>
        </x:is>
      </x:c>
      <x:c r="B20" s="149" t="inlineStr">
        <x:is>
          <x:t xml:space="preserve">Labels</x:t>
        </x:is>
      </x:c>
      <x:c r="C20" s="149" t="inlineStr">
        <x:is>
          <x:t xml:space="preserve">Root/Label</x:t>
        </x:is>
      </x:c>
      <x:c r="D20" s="150" t="inlineStr">
        <x:is>
          <x:t xml:space="preserve">always, active, and hidden policies change only visual label presentation while every destination retains the authored accessible name.</x:t>
        </x:is>
      </x:c>
      <x:c r="E20" s="149" t="inlineStr">
        <x:is>
          <x:t xml:space="preserve">package</x:t>
        </x:is>
      </x:c>
      <x:c r="F20" s="149" t="inlineStr">
        <x:is>
          <x:t xml:space="preserve">browser</x:t>
        </x:is>
      </x:c>
      <x:c r="G20" s="150" t="inlineStr">
        <x:is>
          <x:t xml:space="preserve">tests/components/bottom-navigation/behavior.spec.ts</x:t>
        </x:is>
      </x:c>
      <x:c r="H20" s="149" t="inlineStr">
        <x:is>
          <x:t xml:space="preserve">tested</x:t>
        </x:is>
      </x:c>
      <x:c r="I20" s="149" t="inlineStr">
        <x:is>
          <x:t xml:space="preserve">no</x:t>
        </x:is>
      </x:c>
      <x:c r="J20" s="151" t="n">
        <x:v>46230</x:v>
      </x:c>
      <x:c r="K20" s="150" t="n"/>
      <x:c r="L20" s="149" t="n">
        <x:v>1</x:v>
      </x:c>
      <x:c r="M20" s="149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49" t="inlineStr">
        <x:is>
          <x:t xml:space="preserve">BN-13</x:t>
        </x:is>
      </x:c>
      <x:c r="B21" s="149" t="inlineStr">
        <x:is>
          <x:t xml:space="preserve">Selection behavior</x:t>
        </x:is>
      </x:c>
      <x:c r="C21" s="149" t="inlineStr">
        <x:is>
          <x:t xml:space="preserve">Root/Item</x:t>
        </x:is>
      </x:c>
      <x:c r="D21" s="150" t="inlineStr">
        <x:is>
          <x:t xml:space="preserve">Controlled and uncontrolled values update exactly one active destination and call the application change handler.</x:t>
        </x:is>
      </x:c>
      <x:c r="E21" s="149" t="inlineStr">
        <x:is>
          <x:t xml:space="preserve">package</x:t>
        </x:is>
      </x:c>
      <x:c r="F21" s="149" t="inlineStr">
        <x:is>
          <x:t xml:space="preserve">component</x:t>
        </x:is>
      </x:c>
      <x:c r="G21" s="150" t="inlineStr">
        <x:is>
          <x:t xml:space="preserve">../test/components/bottom-navigation/bottom-navigation.test.tsx; tests/components/bottom-navigation/behavior.spec.ts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46230</x:v>
      </x:c>
      <x:c r="K21" s="150" t="n"/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BN-14</x:t>
        </x:is>
      </x:c>
      <x:c r="B22" s="149" t="inlineStr">
        <x:is>
          <x:t xml:space="preserve">Destinations/states</x:t>
        </x:is>
      </x:c>
      <x:c r="C22" s="149" t="inlineStr">
        <x:is>
          <x:t xml:space="preserve">Item</x:t>
        </x:is>
      </x:c>
      <x:c r="D22" s="150" t="inlineStr">
        <x:is>
          <x:t xml:space="preserve">href Items remain native current-page anchors; Items without href remain buttons; hover, pressed, focus-visible, current, and disabled behavior stay distinct.</x:t>
        </x:is>
      </x:c>
      <x:c r="E22" s="149" t="inlineStr">
        <x:is>
          <x:t xml:space="preserve">package</x:t>
        </x:is>
      </x:c>
      <x:c r="F22" s="149" t="inlineStr">
        <x:is>
          <x:t xml:space="preserve">browser</x:t>
        </x:is>
      </x:c>
      <x:c r="G22" s="150" t="inlineStr">
        <x:is>
          <x:t xml:space="preserve">tests/components/bottom-navigation/behavior.spec.ts; ../test/components/bottom-navigation/bottom-navigation.test.tsx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46230</x:v>
      </x:c>
      <x:c r="K22" s="150" t="n"/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BN-15</x:t>
        </x:is>
      </x:c>
      <x:c r="B23" s="149" t="inlineStr">
        <x:is>
          <x:t xml:space="preserve">Content</x:t>
        </x:is>
      </x:c>
      <x:c r="C23" s="149" t="inlineStr">
        <x:is>
          <x:t xml:space="preserve">Icon/Label</x:t>
        </x:is>
      </x:c>
      <x:c r="D23" s="150" t="inlineStr">
        <x:is>
          <x:t xml:space="preserve">Three, four, and five destinations plus Notification Badge composition retain one destination name, one focus target, and bounded geometry.</x:t>
        </x:is>
      </x:c>
      <x:c r="E23" s="149" t="inlineStr">
        <x:is>
          <x:t xml:space="preserve">package</x:t>
        </x:is>
      </x:c>
      <x:c r="F23" s="149" t="inlineStr">
        <x:is>
          <x:t xml:space="preserve">browser</x:t>
        </x:is>
      </x:c>
      <x:c r="G23" s="150" t="inlineStr">
        <x:is>
          <x:t xml:space="preserve">tests/components/bottom-navigation/behavior.spec.ts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>
        <x:v>46230</x:v>
      </x:c>
      <x:c r="K23" s="150" t="n"/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BN-16</x:t>
        </x:is>
      </x:c>
      <x:c r="B24" s="149" t="inlineStr">
        <x:is>
          <x:t xml:space="preserve">Composition</x:t>
        </x:is>
      </x:c>
      <x:c r="C24" s="149" t="inlineStr">
        <x:is>
          <x:t xml:space="preserve">All parts</x:t>
        </x:is>
      </x:c>
      <x:c r="D24" s="150" t="inlineStr">
        <x:is>
          <x:t xml:space="preserve">Composed native buttons retain type/disabled semantics; disabled composed links lose href. Native landmark naming is preserved.</x:t>
        </x:is>
      </x:c>
      <x:c r="E24" s="149" t="inlineStr">
        <x:is>
          <x:t xml:space="preserve">package</x:t>
        </x:is>
      </x:c>
      <x:c r="F24" s="149" t="inlineStr">
        <x:is>
          <x:t xml:space="preserve">browser</x:t>
        </x:is>
      </x:c>
      <x:c r="G24" s="150" t="inlineStr">
        <x:is>
          <x:t xml:space="preserve">../test/components/bottom-navigation/bottom-navigation.test.tsx; tests/components/bottom-navigation/behavior.spec.ts</x:t>
        </x:is>
      </x:c>
      <x:c r="H24" s="149" t="inlineStr">
        <x:is>
          <x:t xml:space="preserve">tested</x:t>
        </x:is>
      </x:c>
      <x:c r="I24" s="149" t="inlineStr">
        <x:is>
          <x:t xml:space="preserve">no</x:t>
        </x:is>
      </x:c>
      <x:c r="J24" s="151" t="n">
        <x:v>46230</x:v>
      </x:c>
      <x:c r="K24" s="150" t="n"/>
      <x:c r="L24" s="149" t="n">
        <x:v>1</x:v>
      </x:c>
      <x:c r="M24" s="149" t="n">
        <x:f>IF(OR(AND(I24="yes",H24="verified"),AND(I24="no",OR(H24="tested",H24="verified")),AND(H24="not applicable",K24&lt;&gt;"")),1,0)</x:f>
        <x:v>1</x:v>
      </x:c>
    </x:row>
    <x:row r="25" s="127" customFormat="1" ht="54" customHeight="1">
      <x:c r="A25" s="149" t="inlineStr">
        <x:is>
          <x:t xml:space="preserve">BN-17</x:t>
        </x:is>
      </x:c>
      <x:c r="B25" s="149" t="inlineStr">
        <x:is>
          <x:t xml:space="preserve">Effects</x:t>
        </x:is>
      </x:c>
      <x:c r="C25" s="149" t="inlineStr">
        <x:is>
          <x:t xml:space="preserve">Root</x:t>
        </x:is>
      </x:c>
      <x:c r="D25" s="150" t="inlineStr">
        <x:is>
          <x:t xml:space="preserve">Named elevation shares semantic shadows; blur retains an opaque reduced-transparency fallback.</x:t>
        </x:is>
      </x:c>
      <x:c r="E25" s="149" t="inlineStr">
        <x:is>
          <x:t xml:space="preserve">package</x:t>
        </x:is>
      </x:c>
      <x:c r="F25" s="149" t="inlineStr">
        <x:is>
          <x:t xml:space="preserve">browser</x:t>
        </x:is>
      </x:c>
      <x:c r="G25" s="150" t="inlineStr">
        <x:is>
          <x:t xml:space="preserve">tests/components/bottom-navigation/behavior.spec.ts; tests/components/bottom-navigation/visual.spec.ts</x:t>
        </x:is>
      </x:c>
      <x:c r="H25" s="149" t="inlineStr">
        <x:is>
          <x:t xml:space="preserve">tested</x:t>
        </x:is>
      </x:c>
      <x:c r="I25" s="149" t="inlineStr">
        <x:is>
          <x:t xml:space="preserve">no</x:t>
        </x:is>
      </x:c>
      <x:c r="J25" s="151" t="n">
        <x:v>46230</x:v>
      </x:c>
      <x:c r="K25" s="150" t="n"/>
      <x:c r="L25" s="149" t="n">
        <x:v>1</x:v>
      </x:c>
      <x:c r="M25" s="149" t="n">
        <x:f>IF(OR(AND(I25="yes",H25="verified"),AND(I25="no",OR(H25="tested",H25="verified")),AND(H25="not applicable",K25&lt;&gt;"")),1,0)</x:f>
        <x:v>1</x:v>
      </x:c>
    </x:row>
    <x:row r="26" s="127" customFormat="1" ht="54" customHeight="1">
      <x:c r="A26" s="149" t="inlineStr">
        <x:is>
          <x:t xml:space="preserve">BN-18</x:t>
        </x:is>
      </x:c>
      <x:c r="B26" s="149" t="inlineStr">
        <x:is>
          <x:t xml:space="preserve">Customization</x:t>
        </x:is>
      </x:c>
      <x:c r="C26" s="149" t="inlineStr">
        <x:is>
          <x:t xml:space="preserve">Root</x:t>
        </x:is>
      </x:c>
      <x:c r="D26" s="150" t="inlineStr">
        <x:is>
          <x:t xml:space="preserve">The documented CSS variables exactly produce the amber surface, border, selected indicator, and active foreground shown beside the code.</x:t>
        </x:is>
      </x:c>
      <x:c r="E26" s="149" t="inlineStr">
        <x:is>
          <x:t xml:space="preserve">package</x:t>
        </x:is>
      </x:c>
      <x:c r="F26" s="149" t="inlineStr">
        <x:is>
          <x:t xml:space="preserve">visual</x:t>
        </x:is>
      </x:c>
      <x:c r="G26" s="150" t="inlineStr">
        <x:is>
          <x:t xml:space="preserve">src/components/bottom-navigation/BottomNavigationPage.tsx; tests/components/bottom-navigation/visual.spec.ts</x:t>
        </x:is>
      </x:c>
      <x:c r="H26" s="149" t="inlineStr">
        <x:is>
          <x:t xml:space="preserve">verified</x:t>
        </x:is>
      </x:c>
      <x:c r="I26" s="149" t="inlineStr">
        <x:is>
          <x:t xml:space="preserve">yes</x:t>
        </x:is>
      </x:c>
      <x:c r="J26" s="151" t="n">
        <x:v>46230</x:v>
      </x:c>
      <x:c r="K26" s="150" t="inlineStr">
        <x:is>
          <x:t xml:space="preserve">Agent inspected the generated customization and appearance baselines.</x:t>
        </x:is>
      </x:c>
      <x:c r="L26" s="149" t="n">
        <x:v>1</x:v>
      </x:c>
      <x:c r="M26" s="149" t="n">
        <x:f>IF(OR(AND(I26="yes",H26="verified"),AND(I26="no",OR(H26="tested",H26="verified")),AND(H26="not applicable",K26&lt;&gt;"")),1,0)</x:f>
        <x:v>1</x:v>
      </x:c>
    </x:row>
    <x:row r="27" s="127" customFormat="1" ht="54" customHeight="1">
      <x:c r="A27" s="149" t="inlineStr">
        <x:is>
          <x:t xml:space="preserve">BN-19</x:t>
        </x:is>
      </x:c>
      <x:c r="B27" s="149" t="inlineStr">
        <x:is>
          <x:t xml:space="preserve">Responsive</x:t>
        </x:is>
      </x:c>
      <x:c r="C27" s="149" t="inlineStr">
        <x:is>
          <x:t xml:space="preserve">All parts</x:t>
        </x:is>
      </x:c>
      <x:c r="D27" s="150" t="inlineStr">
        <x:is>
          <x:t xml:space="preserve">Narrow width, genuine long labels, three-to-five destinations, mobile viewports, and zoom guidance remain contained without horizontal page overflow.</x:t>
        </x:is>
      </x:c>
      <x:c r="E27" s="149" t="inlineStr">
        <x:is>
          <x:t xml:space="preserve">package</x:t>
        </x:is>
      </x:c>
      <x:c r="F27" s="149" t="inlineStr">
        <x:is>
          <x:t xml:space="preserve">browser</x:t>
        </x:is>
      </x:c>
      <x:c r="G27" s="150" t="inlineStr">
        <x:is>
          <x:t xml:space="preserve">tests/components/bottom-navigation/behavior.spec.ts; tests/components/bottom-navigation/visual.spec.ts</x:t>
        </x:is>
      </x:c>
      <x:c r="H27" s="149" t="inlineStr">
        <x:is>
          <x:t xml:space="preserve">tested</x:t>
        </x:is>
      </x:c>
      <x:c r="I27" s="149" t="inlineStr">
        <x:is>
          <x:t xml:space="preserve">no</x:t>
        </x:is>
      </x:c>
      <x:c r="J27" s="151" t="n">
        <x:v>46230</x:v>
      </x:c>
      <x:c r="K27" s="150" t="n"/>
      <x:c r="L27" s="149" t="n">
        <x:v>1</x:v>
      </x:c>
      <x:c r="M27" s="149" t="n">
        <x:f>IF(OR(AND(I27="yes",H27="verified"),AND(I27="no",OR(H27="tested",H27="verified")),AND(H27="not applicable",K27&lt;&gt;"")),1,0)</x:f>
        <x:v>1</x:v>
      </x:c>
    </x:row>
    <x:row r="28" s="127" customFormat="1" ht="54" customHeight="1">
      <x:c r="A28" s="149" t="inlineStr">
        <x:is>
          <x:t xml:space="preserve">BN-20</x:t>
        </x:is>
      </x:c>
      <x:c r="B28" s="149" t="inlineStr">
        <x:is>
          <x:t xml:space="preserve">Direction/preferences</x:t>
        </x:is>
      </x:c>
      <x:c r="C28" s="149" t="inlineStr">
        <x:is>
          <x:t xml:space="preserve">All parts</x:t>
        </x:is>
      </x:c>
      <x:c r="D28" s="150" t="inlineStr">
        <x:is>
          <x:t xml:space="preserve">RTL uses logical order and genuine Arabic content; forced colors and reduced motion preserve selection, focus, and usable geometry.</x:t>
        </x:is>
      </x:c>
      <x:c r="E28" s="149" t="inlineStr">
        <x:is>
          <x:t xml:space="preserve">package</x:t>
        </x:is>
      </x:c>
      <x:c r="F28" s="149" t="inlineStr">
        <x:is>
          <x:t xml:space="preserve">browser</x:t>
        </x:is>
      </x:c>
      <x:c r="G28" s="150" t="inlineStr">
        <x:is>
          <x:t xml:space="preserve">tests/components/bottom-navigation/behavior.spec.ts; tests/components/bottom-navigation/visual.spec.ts</x:t>
        </x:is>
      </x:c>
      <x:c r="H28" s="149" t="inlineStr">
        <x:is>
          <x:t xml:space="preserve">tested</x:t>
        </x:is>
      </x:c>
      <x:c r="I28" s="149" t="inlineStr">
        <x:is>
          <x:t xml:space="preserve">no</x:t>
        </x:is>
      </x:c>
      <x:c r="J28" s="151" t="n">
        <x:v>46230</x:v>
      </x:c>
      <x:c r="K28" s="150" t="n"/>
      <x:c r="L28" s="149" t="n">
        <x:v>1</x:v>
      </x:c>
      <x:c r="M28" s="149" t="n">
        <x:f>IF(OR(AND(I28="yes",H28="verified"),AND(I28="no",OR(H28="tested",H28="verified")),AND(H28="not applicable",K28&lt;&gt;"")),1,0)</x:f>
        <x:v>1</x:v>
      </x:c>
    </x:row>
    <x:row r="29" s="127" customFormat="1" ht="54" customHeight="1">
      <x:c r="A29" s="149" t="inlineStr">
        <x:is>
          <x:t xml:space="preserve">BN-21</x:t>
        </x:is>
      </x:c>
      <x:c r="B29" s="149" t="inlineStr">
        <x:is>
          <x:t xml:space="preserve">Accessibility</x:t>
        </x:is>
      </x:c>
      <x:c r="C29" s="149" t="inlineStr">
        <x:is>
          <x:t xml:space="preserve">All parts</x:t>
        </x:is>
      </x:c>
      <x:c r="D29" s="150" t="inlineStr">
        <x:is>
          <x:t xml:space="preserve">Named navigation landmarks, native link/button roles, aria-current, disabled state, silent Icons, hidden labels, focus, target geometry, and axe remain valid.</x:t>
        </x:is>
      </x:c>
      <x:c r="E29" s="149" t="inlineStr">
        <x:is>
          <x:t xml:space="preserve">package</x:t>
        </x:is>
      </x:c>
      <x:c r="F29" s="149" t="inlineStr">
        <x:is>
          <x:t xml:space="preserve">axe</x:t>
        </x:is>
      </x:c>
      <x:c r="G29" s="150" t="inlineStr">
        <x:is>
          <x:t xml:space="preserve">tests/components/bottom-navigation/behavior.spec.ts</x:t>
        </x:is>
      </x:c>
      <x:c r="H29" s="149" t="inlineStr">
        <x:is>
          <x:t xml:space="preserve">tested</x:t>
        </x:is>
      </x:c>
      <x:c r="I29" s="149" t="inlineStr">
        <x:is>
          <x:t xml:space="preserve">no</x:t>
        </x:is>
      </x:c>
      <x:c r="J29" s="151" t="n">
        <x:v>46230</x:v>
      </x:c>
      <x:c r="K29" s="150" t="n"/>
      <x:c r="L29" s="149" t="n">
        <x:v>1</x:v>
      </x:c>
      <x:c r="M29" s="149" t="n">
        <x:f>IF(OR(AND(I29="yes",H29="verified"),AND(I29="no",OR(H29="tested",H29="verified")),AND(H29="not applicable",K29&lt;&gt;"")),1,0)</x:f>
        <x:v>1</x:v>
      </x:c>
    </x:row>
    <x:row r="30" s="127" customFormat="1" ht="54" customHeight="1">
      <x:c r="A30" s="149" t="inlineStr">
        <x:is>
          <x:t xml:space="preserve">BN-22</x:t>
        </x:is>
      </x:c>
      <x:c r="B30" s="149" t="inlineStr">
        <x:is>
          <x:t xml:space="preserve">Visual</x:t>
        </x:is>
      </x:c>
      <x:c r="C30" s="149" t="inlineStr">
        <x:is>
          <x:t xml:space="preserve">All parts</x:t>
        </x:is>
      </x:c>
      <x:c r="D30" s="150" t="inlineStr">
        <x:is>
          <x:t xml:space="preserve">Reviewed Chromium baselines cover defaults, all recipes, layout, selection, content, behavior, effects, dark appearance, mobile RTL, safe areas, and forced colors.</x:t>
        </x:is>
      </x:c>
      <x:c r="E30" s="149" t="inlineStr">
        <x:is>
          <x:t xml:space="preserve">package</x:t>
        </x:is>
      </x:c>
      <x:c r="F30" s="149" t="inlineStr">
        <x:is>
          <x:t xml:space="preserve">visual</x:t>
        </x:is>
      </x:c>
      <x:c r="G30" s="150" t="inlineStr">
        <x:is>
          <x:t xml:space="preserve">tests/components/bottom-navigation/visual.spec.ts</x:t>
        </x:is>
      </x:c>
      <x:c r="H30" s="149" t="inlineStr">
        <x:is>
          <x:t xml:space="preserve">partial</x:t>
        </x:is>
      </x:c>
      <x:c r="I30" s="149" t="inlineStr">
        <x:is>
          <x:t xml:space="preserve">yes</x:t>
        </x:is>
      </x:c>
      <x:c r="J30" s="151" t="n">
        <x:v>46230</x:v>
      </x:c>
      <x:c r="K30" s="150" t="inlineStr">
        <x:is>
          <x:t xml:space="preserve">Visual baselines refreshed separately; human device/AT qualification remains open.</x:t>
        </x:is>
      </x:c>
      <x:c r="L30" s="149" t="n">
        <x:v>1</x:v>
      </x:c>
      <x:c r="M30" s="149" t="n">
        <x:f>IF(OR(AND(I30="yes",H30="verified"),AND(I30="no",OR(H30="tested",H30="verified")),AND(H30="not applicable",K30&lt;&gt;"")),1,0)</x:f>
        <x:v>0</x:v>
      </x:c>
    </x:row>
    <x:row r="31" s="127" customFormat="1" ht="54" customHeight="1">
      <x:c r="A31" s="149" t="inlineStr">
        <x:is>
          <x:t xml:space="preserve">BN-23</x:t>
        </x:is>
      </x:c>
      <x:c r="B31" s="149" t="inlineStr">
        <x:is>
          <x:t xml:space="preserve">Manual</x:t>
        </x:is>
      </x:c>
      <x:c r="C31" s="149" t="inlineStr">
        <x:is>
          <x:t xml:space="preserve">Bottom Navigation</x:t>
        </x:is>
      </x:c>
      <x:c r="D31" s="150" t="inlineStr">
        <x:is>
          <x:t xml:space="preserve">A tester completes the concise top-down pointer, keyboard, AT, zoom, mobile, safe-area, appearance, RTL, forced-color, and preference protocol.</x:t>
        </x:is>
      </x:c>
      <x:c r="E31" s="149" t="inlineStr">
        <x:is>
          <x:t xml:space="preserve">package</x:t>
        </x:is>
      </x:c>
      <x:c r="F31" s="149" t="inlineStr">
        <x:is>
          <x:t xml:space="preserve">manual</x:t>
        </x:is>
      </x:c>
      <x:c r="G31" s="150" t="inlineStr">
        <x:is>
          <x:t xml:space="preserve">manual-tests/bottom-navigation.md</x:t>
        </x:is>
      </x:c>
      <x:c r="H31" s="149" t="inlineStr">
        <x:is>
          <x:t xml:space="preserve">not started</x:t>
        </x:is>
      </x:c>
      <x:c r="I31" s="149" t="inlineStr">
        <x:is>
          <x:t xml:space="preserve">yes</x:t>
        </x:is>
      </x:c>
      <x:c r="J31" s="151" t="n">
        <x:v>46230</x:v>
      </x:c>
      <x:c r="K31" s="150" t="inlineStr">
        <x:is>
          <x:t xml:space="preserve">Human run intentionally unclaimed.</x:t>
        </x:is>
      </x:c>
      <x:c r="L31" s="149" t="n">
        <x:v>1</x:v>
      </x:c>
      <x:c r="M31" s="149" t="n">
        <x:f>IF(OR(AND(I31="yes",H31="verified"),AND(I31="no",OR(H31="tested",H31="verified")),AND(H31="not applicable",K31&lt;&gt;"")),1,0)</x:f>
        <x:v>0</x:v>
      </x:c>
    </x:row>
    <x:row r="32" s="127" customFormat="1" ht="54" customHeight="1">
      <x:c r="A32" s="149" t="inlineStr">
        <x:is>
          <x:t xml:space="preserve">BN-24</x:t>
        </x:is>
      </x:c>
      <x:c r="B32" s="149" t="inlineStr">
        <x:is>
          <x:t xml:space="preserve">Docs</x:t>
        </x:is>
      </x:c>
      <x:c r="C32" s="149" t="inlineStr">
        <x:is>
          <x:t xml:space="preserve">Bottom Navigation</x:t>
        </x:is>
      </x:c>
      <x:c r="D32" s="150" t="inlineStr">
        <x:is>
          <x:t xml:space="preserve">Source-backed usage, anatomy, API, recipes, positions, labels, accessibility, responsive behavior, composition, CSS, customization, and evidence are documented.</x:t>
        </x:is>
      </x:c>
      <x:c r="E32" s="149" t="inlineStr">
        <x:is>
          <x:t xml:space="preserve">package</x:t>
        </x:is>
      </x:c>
      <x:c r="F32" s="149" t="inlineStr">
        <x:is>
          <x:t xml:space="preserve">docs</x:t>
        </x:is>
      </x:c>
      <x:c r="G32" s="150" t="inlineStr">
        <x:is>
          <x:t xml:space="preserve">../docs/components/bottom-navigation/README.md</x:t>
        </x:is>
      </x:c>
      <x:c r="H32" s="149" t="inlineStr">
        <x:is>
          <x:t xml:space="preserve">tested</x:t>
        </x:is>
      </x:c>
      <x:c r="I32" s="149" t="inlineStr">
        <x:is>
          <x:t xml:space="preserve">no</x:t>
        </x:is>
      </x:c>
      <x:c r="J32" s="151" t="n">
        <x:v>46230</x:v>
      </x:c>
      <x:c r="K32" s="150" t="n"/>
      <x:c r="L32" s="149" t="n">
        <x:v>1</x:v>
      </x:c>
      <x:c r="M32" s="149" t="n">
        <x:f>IF(OR(AND(I32="yes",H32="verified"),AND(I32="no",OR(H32="tested",H32="verified")),AND(H32="not applicable",K32&lt;&gt;"")),1,0)</x:f>
        <x:v>1</x:v>
      </x:c>
    </x:row>
    <x:row r="33" s="127" customFormat="1" ht="54" customHeight="1">
      <x:c r="A33" s="149" t="inlineStr">
        <x:is>
          <x:t xml:space="preserve">BN-25</x:t>
        </x:is>
      </x:c>
      <x:c r="B33" s="149" t="inlineStr">
        <x:is>
          <x:t xml:space="preserve">Changelog</x:t>
        </x:is>
      </x:c>
      <x:c r="C33" s="149" t="inlineStr">
        <x:is>
          <x:t xml:space="preserve">Bottom Navigation</x:t>
        </x:is>
      </x:c>
      <x:c r="D33" s="150" t="inlineStr">
        <x:is>
          <x:t xml:space="preserve">Bottom Navigation owns a public changelog and the package changelog records the public addition.</x:t>
        </x:is>
      </x:c>
      <x:c r="E33" s="149" t="inlineStr">
        <x:is>
          <x:t xml:space="preserve">package</x:t>
        </x:is>
      </x:c>
      <x:c r="F33" s="149" t="inlineStr">
        <x:is>
          <x:t xml:space="preserve">docs</x:t>
        </x:is>
      </x:c>
      <x:c r="G33" s="150" t="inlineStr">
        <x:is>
          <x:t xml:space="preserve">../docs/components/bottom-navigation/CHANGELOG.md; ../CHANGELOG.md</x:t>
        </x:is>
      </x:c>
      <x:c r="H33" s="149" t="inlineStr">
        <x:is>
          <x:t xml:space="preserve">tested</x:t>
        </x:is>
      </x:c>
      <x:c r="I33" s="149" t="inlineStr">
        <x:is>
          <x:t xml:space="preserve">no</x:t>
        </x:is>
      </x:c>
      <x:c r="J33" s="151" t="n">
        <x:v>46230</x:v>
      </x:c>
      <x:c r="K33" s="150" t="n"/>
      <x:c r="L33" s="149" t="n">
        <x:v>1</x:v>
      </x:c>
      <x:c r="M33" s="149" t="n">
        <x:f>IF(OR(AND(I33="yes",H33="verified"),AND(I33="no",OR(H33="tested",H33="verified")),AND(H33="not applicable",K33&lt;&gt;"")),1,0)</x:f>
        <x:v>1</x:v>
      </x:c>
    </x:row>
    <x:row r="34" s="127" customFormat="1" ht="54" customHeight="1">
      <x:c r="A34" s="149" t="inlineStr">
        <x:is>
          <x:t xml:space="preserve">BN-26</x:t>
        </x:is>
      </x:c>
      <x:c r="B34" s="149" t="inlineStr">
        <x:is>
          <x:t xml:space="preserve">Playground</x:t>
        </x:is>
      </x:c>
      <x:c r="C34" s="149" t="inlineStr">
        <x:is>
          <x:t xml:space="preserve">Bottom Navigation</x:t>
        </x:is>
      </x:c>
      <x:c r="D34" s="150" t="inlineStr">
        <x:is>
          <x:t xml:space="preserve">The docs route has focused Preview/Code examples and per-part props/TOC; qualification retains exhaustive scenarios.</x:t>
        </x:is>
      </x:c>
      <x:c r="E34" s="149" t="inlineStr">
        <x:is>
          <x:t xml:space="preserve">package</x:t>
        </x:is>
      </x:c>
      <x:c r="F34" s="149" t="inlineStr">
        <x:is>
          <x:t xml:space="preserve">playground</x:t>
        </x:is>
      </x:c>
      <x:c r="G34" s="150" t="inlineStr">
        <x:is>
          <x:t xml:space="preserve">src/components/bottom-navigation/BottomNavigationPage.tsx</x:t>
        </x:is>
      </x:c>
      <x:c r="H34" s="149" t="inlineStr">
        <x:is>
          <x:t xml:space="preserve">tested</x:t>
        </x:is>
      </x:c>
      <x:c r="I34" s="149" t="inlineStr">
        <x:is>
          <x:t xml:space="preserve">no</x:t>
        </x:is>
      </x:c>
      <x:c r="J34" s="151" t="n">
        <x:v>46230</x:v>
      </x:c>
      <x:c r="K34" s="150" t="n"/>
      <x:c r="L34" s="149" t="n">
        <x:v>1</x:v>
      </x:c>
      <x:c r="M34" s="149" t="n">
        <x:f>IF(OR(AND(I34="yes",H34="verified"),AND(I34="no",OR(H34="tested",H34="verified")),AND(H34="not applicable",K34&lt;&gt;"")),1,0)</x:f>
        <x:v>1</x:v>
      </x:c>
    </x:row>
    <x:row r="35" s="127" customFormat="1" ht="54" customHeight="1">
      <x:c r="A35" s="149" t="inlineStr">
        <x:is>
          <x:t xml:space="preserve">BN-27</x:t>
        </x:is>
      </x:c>
      <x:c r="B35" s="149" t="inlineStr">
        <x:is>
          <x:t xml:space="preserve">Consumer</x:t>
        </x:is>
      </x:c>
      <x:c r="C35" s="149" t="inlineStr">
        <x:is>
          <x:t xml:space="preserve">Bottom Navigation</x:t>
        </x:is>
      </x:c>
      <x:c r="D35" s="150" t="inlineStr">
        <x:is>
          <x:t xml:space="preserve">Packed Consumer imports the public subpath and operates realistic controlled and badged destinations on desktop and mobile.</x:t>
        </x:is>
      </x:c>
      <x:c r="E35" s="149" t="inlineStr">
        <x:is>
          <x:t xml:space="preserve">consumer</x:t>
        </x:is>
      </x:c>
      <x:c r="F35" s="149" t="inlineStr">
        <x:is>
          <x:t xml:space="preserve">consumer</x:t>
        </x:is>
      </x:c>
      <x:c r="G35" s="150" t="inlineStr">
        <x:is>
          <x:t xml:space="preserve">../apps/consumer/src/App.tsx; ../apps/consumer/tests/consumer.spec.ts</x:t>
        </x:is>
      </x:c>
      <x:c r="H35" s="149" t="inlineStr">
        <x:is>
          <x:t xml:space="preserve">partial</x:t>
        </x:is>
      </x:c>
      <x:c r="I35" s="149" t="inlineStr">
        <x:is>
          <x:t xml:space="preserve">no</x:t>
        </x:is>
      </x:c>
      <x:c r="J35" s="151" t="n">
        <x:v>46230</x:v>
      </x:c>
      <x:c r="K35" s="150" t="inlineStr">
        <x:is>
          <x:t xml:space="preserve">React 18/19 packed consumers pass with the locked local Atom candidate. Published dependency remains unqualified.</x:t>
        </x:is>
      </x:c>
      <x:c r="L35" s="149" t="n">
        <x:v>1</x:v>
      </x:c>
      <x:c r="M35" s="149" t="n">
        <x:f>IF(OR(AND(I35="yes",H35="verified"),AND(I35="no",OR(H35="tested",H35="verified")),AND(H35="not applicable",K35&lt;&gt;"")),1,0)</x:f>
        <x:v>0</x:v>
      </x:c>
    </x:row>
    <x:row r="36" s="127" customFormat="1" ht="54" customHeight="1">
      <x:c r="A36" s="149" t="inlineStr">
        <x:is>
          <x:t xml:space="preserve">BN-28</x:t>
        </x:is>
      </x:c>
      <x:c r="B36" s="149" t="inlineStr">
        <x:is>
          <x:t xml:space="preserve">Package</x:t>
        </x:is>
      </x:c>
      <x:c r="C36" s="149" t="inlineStr">
        <x:is>
          <x:t xml:space="preserve">Bottom Navigation</x:t>
        </x:is>
      </x:c>
      <x:c r="D36" s="150" t="inlineStr">
        <x:is>
          <x:t xml:space="preserve">Build, exports, packed consumer, cross-browser checks and local Atom candidate qualification; not a published-dependency claim.</x:t>
        </x:is>
      </x:c>
      <x:c r="E36" s="149" t="inlineStr">
        <x:is>
          <x:t xml:space="preserve">package</x:t>
        </x:is>
      </x:c>
      <x:c r="F36" s="149" t="inlineStr">
        <x:is>
          <x:t xml:space="preserve">package</x:t>
        </x:is>
      </x:c>
      <x:c r="G36" s="150" t="inlineStr">
        <x:is>
          <x:t xml:space="preserve">../scripts/verify-package.mjs; ../scripts/verify-consumers.mjs</x:t>
        </x:is>
      </x:c>
      <x:c r="H36" s="149" t="inlineStr">
        <x:is>
          <x:t xml:space="preserve">partial</x:t>
        </x:is>
      </x:c>
      <x:c r="I36" s="149" t="inlineStr">
        <x:is>
          <x:t xml:space="preserve">no</x:t>
        </x:is>
      </x:c>
      <x:c r="J36" s="151" t="n">
        <x:v>46230</x:v>
      </x:c>
      <x:c r="K36" s="150" t="inlineStr">
        <x:is>
          <x:t xml:space="preserve">Unpublished local dependency; full repository release gates remain open.</x:t>
        </x:is>
      </x:c>
      <x:c r="L36" s="149" t="n">
        <x:v>1</x:v>
      </x:c>
      <x:c r="M36" s="149" t="n">
        <x:f>IF(OR(AND(I36="yes",H36="verified"),AND(I36="no",OR(H36="tested",H36="verified")),AND(H36="not applicable",K36&lt;&gt;"")),1,0)</x:f>
        <x:v>0</x:v>
      </x:c>
    </x:row>
  </x:sheetData>
  <x:mergeCells>
    <x:mergeCell ref="A2:M2"/>
    <x:mergeCell ref="A1:M1"/>
  </x:mergeCells>
  <x:dataValidations count="2">
    <x:dataValidation type="list" errorStyle="stop" operator="between" allowBlank="0" showDropDown="0" showInputMessage="0" showErrorMessage="0" sqref="H9:H36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36">
      <x:formula1>"yes,no"</x:formula1>
      <x:formula2>0</x:formula2>
    </x:dataValidation>
  </x:dataValidations>
  <x:pageMargins left="0.7" right="0.7" top="0.75" bottom="0.75" header="0.3" footer="0.3"/>
</x:worksheet>
</file>

<file path=xl/worksheets/sheet54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Visually Hidden Evidence</x:t>
        </x:is>
      </x:c>
    </x:row>
    <x:row r="2" s="127" customFormat="1" ht="27.75" customHeight="1">
      <x:c r="A2" s="129" t="inlineStr">
        <x:is>
          <x:t xml:space="preserve">Assertion-level Atom-backed assistive text, naming, composition, native ownership, accessibility, visual, documentation, Consumer, and package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COUNTA(A9:A27)</x:f>
        <x:v>19</x:v>
      </x:c>
      <x:c r="D4" s="130" t="inlineStr">
        <x:is>
          <x:t xml:space="preserve">Resolved</x:t>
        </x:is>
      </x:c>
      <x:c r="E4" s="131" t="n">
        <x:f>SUM(M9:M27)</x:f>
        <x:v>18</x:v>
      </x:c>
      <x:c r="G4" s="130" t="inlineStr">
        <x:is>
          <x:t xml:space="preserve">Completion</x:t>
        </x:is>
      </x:c>
      <x:c r="H4" s="132" t="n">
        <x:f>IF(B4=0,0,E4/B4)</x:f>
        <x:v>0.9473684210526315</x:v>
      </x:c>
      <x:c r="J4" s="130" t="inlineStr">
        <x:is>
          <x:t xml:space="preserve">Package gate</x:t>
        </x:is>
      </x:c>
      <x:c r="K4" s="131" t="str">
        <x:f>IF(COUNTIFS(E9:E27,"package",M9:M27,0)&gt;0,"open","complete")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IF(COUNTIFS(I9:I27,"yes",M9:M27,0)&gt;0,"open","complete")</x:f>
        <x:v>open</x:v>
      </x:c>
      <x:c r="D5" s="130" t="inlineStr">
        <x:is>
          <x:t xml:space="preserve">Consumer gate</x:t>
        </x:is>
      </x:c>
      <x:c r="E5" s="131" t="str">
        <x:f>IF(COUNTIFS(E9:E27,"consumer",M9:M27,0)&gt;0,"open","complete")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VH-01</x:t>
        </x:is>
      </x:c>
      <x:c r="B9" s="149" t="inlineStr">
        <x:is>
          <x:t xml:space="preserve">Ownership</x:t>
        </x:is>
      </x:c>
      <x:c r="C9" s="149" t="inlineStr">
        <x:is>
          <x:t xml:space="preserve">Root</x:t>
        </x:is>
      </x:c>
      <x:c r="D9" s="150" t="inlineStr">
        <x:is>
          <x:t xml:space="preserve">Brick delegates all assistive-text behavior to released Atom 0.20.11 Visually Hidden and adds only the stable Brick class and default slot.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../src/components/visually-hidden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46230</x:v>
      </x:c>
      <x:c r="K9" s="150" t="n"/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VH-02</x:t>
        </x:is>
      </x:c>
      <x:c r="B10" s="149" t="inlineStr">
        <x:is>
          <x:t xml:space="preserve">Anatomy</x:t>
        </x:is>
      </x:c>
      <x:c r="C10" s="149" t="inlineStr">
        <x:is>
          <x:t xml:space="preserve">Root</x:t>
        </x:is>
      </x:c>
      <x:c r="D10" s="150" t="inlineStr">
        <x:is>
          <x:t xml:space="preserve">The one-part namespace preserves Atom's default span, children, inline hiding behavior, native props, composition, and ref.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../test/components/visually-hidden/visually-hidden.test.tsx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46230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VH-03</x:t>
        </x:is>
      </x:c>
      <x:c r="B11" s="149" t="inlineStr">
        <x:is>
          <x:t xml:space="preserve">Exports</x:t>
        </x:is>
      </x:c>
      <x:c r="C11" s="149" t="inlineStr">
        <x:is>
          <x:t xml:space="preserve">VisuallyHidden</x:t>
        </x:is>
      </x:c>
      <x:c r="D11" s="150" t="inlineStr">
        <x:is>
          <x:t xml:space="preserve">Root and visually-hidden subpath expose the namespace, named Root, and Root props with identical runtime identities.</x:t>
        </x:is>
      </x:c>
      <x:c r="E11" s="149" t="inlineStr">
        <x:is>
          <x:t xml:space="preserve">package</x:t>
        </x:is>
      </x:c>
      <x:c r="F11" s="149" t="inlineStr">
        <x:is>
          <x:t xml:space="preserve">package</x:t>
        </x:is>
      </x:c>
      <x:c r="G11" s="150" t="inlineStr">
        <x:is>
          <x:t xml:space="preserve">../test/package/package.test.mjs; ../scripts/verify-consumers.mjs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46230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VH-04</x:t>
        </x:is>
      </x:c>
      <x:c r="B12" s="149" t="inlineStr">
        <x:is>
          <x:t xml:space="preserve">Types</x:t>
        </x:is>
      </x:c>
      <x:c r="C12" s="149" t="inlineStr">
        <x:is>
          <x:t xml:space="preserve">Root</x:t>
        </x:is>
      </x:c>
      <x:c r="D12" s="150" t="inlineStr">
        <x:is>
          <x:t xml:space="preserve">Children, native span attributes, style, ref, render, and asChild type-check through the public subpath.</x:t>
        </x:is>
      </x:c>
      <x:c r="E12" s="149" t="inlineStr">
        <x:is>
          <x:t xml:space="preserve">package</x:t>
        </x:is>
      </x:c>
      <x:c r="F12" s="149" t="inlineStr">
        <x:is>
          <x:t xml:space="preserve">types</x:t>
        </x:is>
      </x:c>
      <x:c r="G12" s="150" t="inlineStr">
        <x:is>
          <x:t xml:space="preserve">../test/types/components/visually-hidden.test.ts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46230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VH-05</x:t>
        </x:is>
      </x:c>
      <x:c r="B13" s="149" t="inlineStr">
        <x:is>
          <x:t xml:space="preserve">Hooks</x:t>
        </x:is>
      </x:c>
      <x:c r="C13" s="149" t="inlineStr">
        <x:is>
          <x:t xml:space="preserve">Root</x:t>
        </x:is>
      </x:c>
      <x:c r="D13" s="150" t="inlineStr">
        <x:is>
          <x:t xml:space="preserve">Root emits the stable brick-visually-hidden class and default data-slot without inventing recipe props or public CSS variables.</x:t>
        </x:is>
      </x:c>
      <x:c r="E13" s="149" t="inlineStr">
        <x:is>
          <x:t xml:space="preserve">package</x:t>
        </x:is>
      </x:c>
      <x:c r="F13" s="149" t="inlineStr">
        <x:is>
          <x:t xml:space="preserve">component</x:t>
        </x:is>
      </x:c>
      <x:c r="G13" s="150" t="inlineStr">
        <x:is>
          <x:t xml:space="preserve">../test/components/visually-hidden/visually-hidden.test.tsx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46230</x:v>
      </x:c>
      <x:c r="K13" s="150" t="n"/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VH-06</x:t>
        </x:is>
      </x:c>
      <x:c r="B14" s="149" t="inlineStr">
        <x:is>
          <x:t xml:space="preserve">Geometry</x:t>
        </x:is>
      </x:c>
      <x:c r="C14" s="149" t="inlineStr">
        <x:is>
          <x:t xml:space="preserve">Root</x:t>
        </x:is>
      </x:c>
      <x:c r="D14" s="150" t="inlineStr">
        <x:is>
          <x:t xml:space="preserve">Atom-owned inline styles resolve to an absolute 1px by 1px clipped box with no visible layout footprint.</x:t>
        </x:is>
      </x:c>
      <x:c r="E14" s="149" t="inlineStr">
        <x:is>
          <x:t xml:space="preserve">package</x:t>
        </x:is>
      </x:c>
      <x:c r="F14" s="149" t="inlineStr">
        <x:is>
          <x:t xml:space="preserve">browser</x:t>
        </x:is>
      </x:c>
      <x:c r="G14" s="150" t="inlineStr">
        <x:is>
          <x:t xml:space="preserve">tests/components/visually-hidden/behavior.spec.ts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46230</x:v>
      </x:c>
      <x:c r="K14" s="150" t="n"/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VH-07</x:t>
        </x:is>
      </x:c>
      <x:c r="B15" s="149" t="inlineStr">
        <x:is>
          <x:t xml:space="preserve">Accessible naming</x:t>
        </x:is>
      </x:c>
      <x:c r="C15" s="149" t="inlineStr">
        <x:is>
          <x:t xml:space="preserve">Root</x:t>
        </x:is>
      </x:c>
      <x:c r="D15" s="150" t="inlineStr">
        <x:is>
          <x:t xml:space="preserve">Hidden text supplies the complete accessible name for an icon-only Brick Button while the Icon remains decorative.</x:t>
        </x:is>
      </x:c>
      <x:c r="E15" s="149" t="inlineStr">
        <x:is>
          <x:t xml:space="preserve">package</x:t>
        </x:is>
      </x:c>
      <x:c r="F15" s="149" t="inlineStr">
        <x:is>
          <x:t xml:space="preserve">browser</x:t>
        </x:is>
      </x:c>
      <x:c r="G15" s="150" t="inlineStr">
        <x:is>
          <x:t xml:space="preserve">tests/components/visually-hidden/behavior.spec.ts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46230</x:v>
      </x:c>
      <x:c r="K15" s="150" t="n"/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VH-08</x:t>
        </x:is>
      </x:c>
      <x:c r="B16" s="149" t="inlineStr">
        <x:is>
          <x:t xml:space="preserve">Supplemental context</x:t>
        </x:is>
      </x:c>
      <x:c r="C16" s="149" t="inlineStr">
        <x:is>
          <x:t xml:space="preserve">Root</x:t>
        </x:is>
      </x:c>
      <x:c r="D16" s="150" t="inlineStr">
        <x:is>
          <x:t xml:space="preserve">Hidden context extends visible destructive-action text into one complete accessible name without duplicate visible copy.</x:t>
        </x:is>
      </x:c>
      <x:c r="E16" s="149" t="inlineStr">
        <x:is>
          <x:t xml:space="preserve">package</x:t>
        </x:is>
      </x:c>
      <x:c r="F16" s="149" t="inlineStr">
        <x:is>
          <x:t xml:space="preserve">browser</x:t>
        </x:is>
      </x:c>
      <x:c r="G16" s="150" t="inlineStr">
        <x:is>
          <x:t xml:space="preserve">tests/components/visually-hidden/behavior.spec.ts</x:t>
        </x:is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n">
        <x:v>46230</x:v>
      </x:c>
      <x:c r="K16" s="150" t="n"/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VH-09</x:t>
        </x:is>
      </x:c>
      <x:c r="B17" s="149" t="inlineStr">
        <x:is>
          <x:t xml:space="preserve">Composition</x:t>
        </x:is>
      </x:c>
      <x:c r="C17" s="149" t="inlineStr">
        <x:is>
          <x:t xml:space="preserve">Root</x:t>
        </x:is>
      </x:c>
      <x:c r="D17" s="150" t="inlineStr">
        <x:is>
          <x:t xml:space="preserve">render and asChild change the host to strong or em while preserving hidden behavior, authored content, class, and slot.</x:t>
        </x:is>
      </x:c>
      <x:c r="E17" s="149" t="inlineStr">
        <x:is>
          <x:t xml:space="preserve">package</x:t>
        </x:is>
      </x:c>
      <x:c r="F17" s="149" t="inlineStr">
        <x:is>
          <x:t xml:space="preserve">browser</x:t>
        </x:is>
      </x:c>
      <x:c r="G17" s="150" t="inlineStr">
        <x:is>
          <x:t xml:space="preserve">../test/components/visually-hidden/visually-hidden.test.tsx; tests/components/visually-hidden/behavior.spec.ts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n">
        <x:v>46230</x:v>
      </x:c>
      <x:c r="K17" s="150" t="n"/>
      <x:c r="L17" s="149" t="n">
        <x:v>1</x:v>
      </x:c>
      <x:c r="M17" s="149" t="n">
        <x:f>IF(OR(AND(I17="yes",H17="verified"),AND(I17="no",OR(H17="tested",H17="verified")),AND(H17="not applicable",K17&lt;&gt;"")),1,0)</x:f>
        <x:v>1</x:v>
      </x:c>
    </x:row>
    <x:row r="18" s="127" customFormat="1" ht="54" customHeight="1">
      <x:c r="A18" s="149" t="inlineStr">
        <x:is>
          <x:t xml:space="preserve">VH-10</x:t>
        </x:is>
      </x:c>
      <x:c r="B18" s="149" t="inlineStr">
        <x:is>
          <x:t xml:space="preserve">Native ownership</x:t>
        </x:is>
      </x:c>
      <x:c r="C18" s="149" t="inlineStr">
        <x:is>
          <x:t xml:space="preserve">Root</x:t>
        </x:is>
      </x:c>
      <x:c r="D18" s="150" t="inlineStr">
        <x:is>
          <x:t xml:space="preserve">Consumer class, data attributes, authored slot, styles, and the default span ref pass through and remain inspectable.</x:t>
        </x:is>
      </x:c>
      <x:c r="E18" s="149" t="inlineStr">
        <x:is>
          <x:t xml:space="preserve">package</x:t>
        </x:is>
      </x:c>
      <x:c r="F18" s="149" t="inlineStr">
        <x:is>
          <x:t xml:space="preserve">browser</x:t>
        </x:is>
      </x:c>
      <x:c r="G18" s="150" t="inlineStr">
        <x:is>
          <x:t xml:space="preserve">tests/components/visually-hidden/behavior.spec.ts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n">
        <x:v>46230</x:v>
      </x:c>
      <x:c r="K18" s="150" t="n"/>
      <x:c r="L18" s="149" t="n">
        <x:v>1</x:v>
      </x:c>
      <x:c r="M18" s="149" t="n">
        <x:f>IF(OR(AND(I18="yes",H18="verified"),AND(I18="no",OR(H18="tested",H18="verified")),AND(H18="not applicable",K18&lt;&gt;"")),1,0)</x:f>
        <x:v>1</x:v>
      </x:c>
    </x:row>
    <x:row r="19" s="127" customFormat="1" ht="54" customHeight="1">
      <x:c r="A19" s="149" t="inlineStr">
        <x:is>
          <x:t xml:space="preserve">VH-11</x:t>
        </x:is>
      </x:c>
      <x:c r="B19" s="149" t="inlineStr">
        <x:is>
          <x:t xml:space="preserve">Responsive</x:t>
        </x:is>
      </x:c>
      <x:c r="C19" s="149" t="inlineStr">
        <x:is>
          <x:t xml:space="preserve">Root</x:t>
        </x:is>
      </x:c>
      <x:c r="D19" s="150" t="inlineStr">
        <x:is>
          <x:t xml:space="preserve">Long English and Arabic names, RTL, dark appearance, narrow mobile layout, and zoom create no visible footprint or horizontal overflow.</x:t>
        </x:is>
      </x:c>
      <x:c r="E19" s="149" t="inlineStr">
        <x:is>
          <x:t xml:space="preserve">package</x:t>
        </x:is>
      </x:c>
      <x:c r="F19" s="149" t="inlineStr">
        <x:is>
          <x:t xml:space="preserve">browser</x:t>
        </x:is>
      </x:c>
      <x:c r="G19" s="150" t="inlineStr">
        <x:is>
          <x:t xml:space="preserve">tests/components/visually-hidden/behavior.spec.ts; tests/components/visually-hidden/visual.spec.ts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46230</x:v>
      </x:c>
      <x:c r="K19" s="150" t="n"/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VH-12</x:t>
        </x:is>
      </x:c>
      <x:c r="B20" s="149" t="inlineStr">
        <x:is>
          <x:t xml:space="preserve">Accessibility</x:t>
        </x:is>
      </x:c>
      <x:c r="C20" s="149" t="inlineStr">
        <x:is>
          <x:t xml:space="preserve">Root</x:t>
        </x:is>
      </x:c>
      <x:c r="D20" s="150" t="inlineStr">
        <x:is>
          <x:t xml:space="preserve">Named controls remain discoverable and the route has no automatically detectable accessibility violations across configured desktop/mobile browsers.</x:t>
        </x:is>
      </x:c>
      <x:c r="E20" s="149" t="inlineStr">
        <x:is>
          <x:t xml:space="preserve">package</x:t>
        </x:is>
      </x:c>
      <x:c r="F20" s="149" t="inlineStr">
        <x:is>
          <x:t xml:space="preserve">axe</x:t>
        </x:is>
      </x:c>
      <x:c r="G20" s="150" t="inlineStr">
        <x:is>
          <x:t xml:space="preserve">tests/components/visually-hidden/behavior.spec.ts</x:t>
        </x:is>
      </x:c>
      <x:c r="H20" s="149" t="inlineStr">
        <x:is>
          <x:t xml:space="preserve">tested</x:t>
        </x:is>
      </x:c>
      <x:c r="I20" s="149" t="inlineStr">
        <x:is>
          <x:t xml:space="preserve">no</x:t>
        </x:is>
      </x:c>
      <x:c r="J20" s="151" t="n">
        <x:v>46230</x:v>
      </x:c>
      <x:c r="K20" s="150" t="n"/>
      <x:c r="L20" s="149" t="n">
        <x:v>1</x:v>
      </x:c>
      <x:c r="M20" s="149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49" t="inlineStr">
        <x:is>
          <x:t xml:space="preserve">VH-13</x:t>
        </x:is>
      </x:c>
      <x:c r="B21" s="149" t="inlineStr">
        <x:is>
          <x:t xml:space="preserve">Visual</x:t>
        </x:is>
      </x:c>
      <x:c r="C21" s="149" t="inlineStr">
        <x:is>
          <x:t xml:space="preserve">Root</x:t>
        </x:is>
      </x:c>
      <x:c r="D21" s="150" t="inlineStr">
        <x:is>
          <x:t xml:space="preserve">Reviewed baselines prove that naming, composition, output, appearance, RTL, and mobile stress add no visible hidden-text footprint.</x:t>
        </x:is>
      </x:c>
      <x:c r="E21" s="149" t="inlineStr">
        <x:is>
          <x:t xml:space="preserve">package</x:t>
        </x:is>
      </x:c>
      <x:c r="F21" s="149" t="inlineStr">
        <x:is>
          <x:t xml:space="preserve">visual</x:t>
        </x:is>
      </x:c>
      <x:c r="G21" s="150" t="inlineStr">
        <x:is>
          <x:t xml:space="preserve">tests/components/visually-hidden/visual.spec.ts</x:t>
        </x:is>
      </x:c>
      <x:c r="H21" s="149" t="inlineStr">
        <x:is>
          <x:t xml:space="preserve">verified</x:t>
        </x:is>
      </x:c>
      <x:c r="I21" s="149" t="inlineStr">
        <x:is>
          <x:t xml:space="preserve">yes</x:t>
        </x:is>
      </x:c>
      <x:c r="J21" s="151" t="n">
        <x:v>46230</x:v>
      </x:c>
      <x:c r="K21" s="150" t="inlineStr">
        <x:is>
          <x:t xml:space="preserve">Agent inspected every Visually Hidden baseline.</x:t>
        </x:is>
      </x:c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VH-14</x:t>
        </x:is>
      </x:c>
      <x:c r="B22" s="149" t="inlineStr">
        <x:is>
          <x:t xml:space="preserve">Manual</x:t>
        </x:is>
      </x:c>
      <x:c r="C22" s="149" t="inlineStr">
        <x:is>
          <x:t xml:space="preserve">Visually Hidden</x:t>
        </x:is>
      </x:c>
      <x:c r="D22" s="150" t="inlineStr">
        <x:is>
          <x:t xml:space="preserve">A tester completes the concise naming, output, composition, native ownership, mobile, zoom, forced-color, and screen-reader protocol.</x:t>
        </x:is>
      </x:c>
      <x:c r="E22" s="149" t="inlineStr">
        <x:is>
          <x:t xml:space="preserve">package</x:t>
        </x:is>
      </x:c>
      <x:c r="F22" s="149" t="inlineStr">
        <x:is>
          <x:t xml:space="preserve">manual</x:t>
        </x:is>
      </x:c>
      <x:c r="G22" s="150" t="inlineStr">
        <x:is>
          <x:t xml:space="preserve">manual-tests/visually-hidden.md</x:t>
        </x:is>
      </x:c>
      <x:c r="H22" s="149" t="inlineStr">
        <x:is>
          <x:t xml:space="preserve">not started</x:t>
        </x:is>
      </x:c>
      <x:c r="I22" s="149" t="inlineStr">
        <x:is>
          <x:t xml:space="preserve">yes</x:t>
        </x:is>
      </x:c>
      <x:c r="J22" s="151" t="n">
        <x:v>46230</x:v>
      </x:c>
      <x:c r="K22" s="150" t="inlineStr">
        <x:is>
          <x:t xml:space="preserve">Human run intentionally unclaimed.</x:t>
        </x:is>
      </x:c>
      <x:c r="L22" s="149" t="n">
        <x:v>1</x:v>
      </x:c>
      <x:c r="M22" s="149" t="n">
        <x:f>IF(OR(AND(I22="yes",H22="verified"),AND(I22="no",OR(H22="tested",H22="verified")),AND(H22="not applicable",K22&lt;&gt;"")),1,0)</x:f>
        <x:v>0</x:v>
      </x:c>
    </x:row>
    <x:row r="23" s="127" customFormat="1" ht="54" customHeight="1">
      <x:c r="A23" s="149" t="inlineStr">
        <x:is>
          <x:t xml:space="preserve">VH-15</x:t>
        </x:is>
      </x:c>
      <x:c r="B23" s="149" t="inlineStr">
        <x:is>
          <x:t xml:space="preserve">Docs</x:t>
        </x:is>
      </x:c>
      <x:c r="C23" s="149" t="inlineStr">
        <x:is>
          <x:t xml:space="preserve">Visually Hidden</x:t>
        </x:is>
      </x:c>
      <x:c r="D23" s="150" t="inlineStr">
        <x:is>
          <x:t xml:space="preserve">Source-backed use, misuse, anatomy, API, hooks, customization limits, responsive behavior, accessibility, composition, and evidence are documented.</x:t>
        </x:is>
      </x:c>
      <x:c r="E23" s="149" t="inlineStr">
        <x:is>
          <x:t xml:space="preserve">package</x:t>
        </x:is>
      </x:c>
      <x:c r="F23" s="149" t="inlineStr">
        <x:is>
          <x:t xml:space="preserve">docs</x:t>
        </x:is>
      </x:c>
      <x:c r="G23" s="150" t="inlineStr">
        <x:is>
          <x:t xml:space="preserve">../docs/components/visually-hidden/README.md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>
        <x:v>46230</x:v>
      </x:c>
      <x:c r="K23" s="150" t="n"/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VH-16</x:t>
        </x:is>
      </x:c>
      <x:c r="B24" s="149" t="inlineStr">
        <x:is>
          <x:t xml:space="preserve">Changelog</x:t>
        </x:is>
      </x:c>
      <x:c r="C24" s="149" t="inlineStr">
        <x:is>
          <x:t xml:space="preserve">Visually Hidden</x:t>
        </x:is>
      </x:c>
      <x:c r="D24" s="150" t="inlineStr">
        <x:is>
          <x:t xml:space="preserve">Visually Hidden owns a public changelog and the package changelog records the public addition.</x:t>
        </x:is>
      </x:c>
      <x:c r="E24" s="149" t="inlineStr">
        <x:is>
          <x:t xml:space="preserve">package</x:t>
        </x:is>
      </x:c>
      <x:c r="F24" s="149" t="inlineStr">
        <x:is>
          <x:t xml:space="preserve">docs</x:t>
        </x:is>
      </x:c>
      <x:c r="G24" s="150" t="inlineStr">
        <x:is>
          <x:t xml:space="preserve">../docs/components/visually-hidden/CHANGELOG.md; ../CHANGELOG.md</x:t>
        </x:is>
      </x:c>
      <x:c r="H24" s="149" t="inlineStr">
        <x:is>
          <x:t xml:space="preserve">tested</x:t>
        </x:is>
      </x:c>
      <x:c r="I24" s="149" t="inlineStr">
        <x:is>
          <x:t xml:space="preserve">no</x:t>
        </x:is>
      </x:c>
      <x:c r="J24" s="151" t="n">
        <x:v>46230</x:v>
      </x:c>
      <x:c r="K24" s="150" t="n"/>
      <x:c r="L24" s="149" t="n">
        <x:v>1</x:v>
      </x:c>
      <x:c r="M24" s="149" t="n">
        <x:f>IF(OR(AND(I24="yes",H24="verified"),AND(I24="no",OR(H24="tested",H24="verified")),AND(H24="not applicable",K24&lt;&gt;"")),1,0)</x:f>
        <x:v>1</x:v>
      </x:c>
    </x:row>
    <x:row r="25" s="127" customFormat="1" ht="54" customHeight="1">
      <x:c r="A25" s="149" t="inlineStr">
        <x:is>
          <x:t xml:space="preserve">VH-17</x:t>
        </x:is>
      </x:c>
      <x:c r="B25" s="149" t="inlineStr">
        <x:is>
          <x:t xml:space="preserve">Playground</x:t>
        </x:is>
      </x:c>
      <x:c r="C25" s="149" t="inlineStr">
        <x:is>
          <x:t xml:space="preserve">Visually Hidden</x:t>
        </x:is>
      </x:c>
      <x:c r="D25" s="150" t="inlineStr">
        <x:is>
          <x:t xml:space="preserve">One navigable route exposes six focused scenarios, actual rendered output, composition evidence, native props, and responsive stress.</x:t>
        </x:is>
      </x:c>
      <x:c r="E25" s="149" t="inlineStr">
        <x:is>
          <x:t xml:space="preserve">package</x:t>
        </x:is>
      </x:c>
      <x:c r="F25" s="149" t="inlineStr">
        <x:is>
          <x:t xml:space="preserve">playground</x:t>
        </x:is>
      </x:c>
      <x:c r="G25" s="150" t="inlineStr">
        <x:is>
          <x:t xml:space="preserve">src/components/visually-hidden/VisuallyHiddenPage.tsx</x:t>
        </x:is>
      </x:c>
      <x:c r="H25" s="149" t="inlineStr">
        <x:is>
          <x:t xml:space="preserve">tested</x:t>
        </x:is>
      </x:c>
      <x:c r="I25" s="149" t="inlineStr">
        <x:is>
          <x:t xml:space="preserve">no</x:t>
        </x:is>
      </x:c>
      <x:c r="J25" s="151" t="n">
        <x:v>46230</x:v>
      </x:c>
      <x:c r="K25" s="150" t="n"/>
      <x:c r="L25" s="149" t="n">
        <x:v>1</x:v>
      </x:c>
      <x:c r="M25" s="149" t="n">
        <x:f>IF(OR(AND(I25="yes",H25="verified"),AND(I25="no",OR(H25="tested",H25="verified")),AND(H25="not applicable",K25&lt;&gt;"")),1,0)</x:f>
        <x:v>1</x:v>
      </x:c>
    </x:row>
    <x:row r="26" s="127" customFormat="1" ht="54" customHeight="1">
      <x:c r="A26" s="149" t="inlineStr">
        <x:is>
          <x:t xml:space="preserve">VH-18</x:t>
        </x:is>
      </x:c>
      <x:c r="B26" s="149" t="inlineStr">
        <x:is>
          <x:t xml:space="preserve">Consumer</x:t>
        </x:is>
      </x:c>
      <x:c r="C26" s="149" t="inlineStr">
        <x:is>
          <x:t xml:space="preserve">Visually Hidden</x:t>
        </x:is>
      </x:c>
      <x:c r="D26" s="150" t="inlineStr">
        <x:is>
          <x:t xml:space="preserve">Packed Consumer imports the public subpath and adds supplemental context to a real link on desktop and mobile.</x:t>
        </x:is>
      </x:c>
      <x:c r="E26" s="149" t="inlineStr">
        <x:is>
          <x:t xml:space="preserve">consumer</x:t>
        </x:is>
      </x:c>
      <x:c r="F26" s="149" t="inlineStr">
        <x:is>
          <x:t xml:space="preserve">consumer</x:t>
        </x:is>
      </x:c>
      <x:c r="G26" s="150" t="inlineStr">
        <x:is>
          <x:t xml:space="preserve">../apps/consumer/src/App.tsx; ../apps/consumer/tests/consumer.spec.ts</x:t>
        </x:is>
      </x:c>
      <x:c r="H26" s="149" t="inlineStr">
        <x:is>
          <x:t xml:space="preserve">tested</x:t>
        </x:is>
      </x:c>
      <x:c r="I26" s="149" t="inlineStr">
        <x:is>
          <x:t xml:space="preserve">no</x:t>
        </x:is>
      </x:c>
      <x:c r="J26" s="151" t="n">
        <x:v>46230</x:v>
      </x:c>
      <x:c r="K26" s="150" t="n"/>
      <x:c r="L26" s="149" t="n">
        <x:v>1</x:v>
      </x:c>
      <x:c r="M26" s="149" t="n">
        <x:f>IF(OR(AND(I26="yes",H26="verified"),AND(I26="no",OR(H26="tested",H26="verified")),AND(H26="not applicable",K26&lt;&gt;"")),1,0)</x:f>
        <x:v>1</x:v>
      </x:c>
    </x:row>
    <x:row r="27" s="127" customFormat="1" ht="54" customHeight="1">
      <x:c r="A27" s="149" t="inlineStr">
        <x:is>
          <x:t xml:space="preserve">VH-19</x:t>
        </x:is>
      </x:c>
      <x:c r="B27" s="149" t="inlineStr">
        <x:is>
          <x:t xml:space="preserve">Package</x:t>
        </x:is>
      </x:c>
      <x:c r="C27" s="149" t="inlineStr">
        <x:is>
          <x:t xml:space="preserve">Visually Hidden</x:t>
        </x:is>
      </x:c>
      <x:c r="D27" s="150" t="inlineStr">
        <x:is>
          <x:t xml:space="preserve">Build, exports, SSR, tarball, React 18/19, Consumer, configured desktop/mobile browsers, docs, ownership, and exact Atom 0.20.11 dependency pass.</x:t>
        </x:is>
      </x:c>
      <x:c r="E27" s="149" t="inlineStr">
        <x:is>
          <x:t xml:space="preserve">package</x:t>
        </x:is>
      </x:c>
      <x:c r="F27" s="149" t="inlineStr">
        <x:is>
          <x:t xml:space="preserve">package</x:t>
        </x:is>
      </x:c>
      <x:c r="G27" s="150" t="inlineStr">
        <x:is>
          <x:t xml:space="preserve">../scripts/verify-package.mjs; ../scripts/verify-consumers.mjs</x:t>
        </x:is>
      </x:c>
      <x:c r="H27" s="149" t="inlineStr">
        <x:is>
          <x:t xml:space="preserve">tested</x:t>
        </x:is>
      </x:c>
      <x:c r="I27" s="149" t="inlineStr">
        <x:is>
          <x:t xml:space="preserve">no</x:t>
        </x:is>
      </x:c>
      <x:c r="J27" s="151" t="n">
        <x:v>46230</x:v>
      </x:c>
      <x:c r="K27" s="150" t="n"/>
      <x:c r="L27" s="149" t="n">
        <x:v>1</x:v>
      </x:c>
      <x:c r="M27" s="149" t="n">
        <x:f>IF(OR(AND(I27="yes",H27="verified"),AND(I27="no",OR(H27="tested",H27="verified")),AND(H27="not applicable",K27&lt;&gt;"")),1,0)</x:f>
        <x:v>1</x:v>
      </x:c>
    </x:row>
    <x:row r="28" s="127" customFormat="1" ht="54" customHeight="1"/>
    <x:row r="29" s="127" customFormat="1" ht="54" customHeight="1"/>
    <x:row r="30" s="127" customFormat="1" ht="54" customHeight="1"/>
    <x:row r="31" s="127" customFormat="1" ht="54" customHeight="1"/>
    <x:row r="32" s="127" customFormat="1" ht="54" customHeight="1"/>
    <x:row r="33" s="127" customFormat="1" ht="54" customHeight="1"/>
    <x:row r="34" s="127" customFormat="1" ht="54" customHeight="1"/>
    <x:row r="35" s="127" customFormat="1" ht="54" customHeight="1"/>
    <x:row r="36" s="127" customFormat="1" ht="54" customHeight="1"/>
  </x:sheetData>
  <x:mergeCells>
    <x:mergeCell ref="A2:M2"/>
    <x:mergeCell ref="A1:M1"/>
  </x:mergeCells>
  <x:dataValidations count="2">
    <x:dataValidation type="list" errorStyle="stop" operator="between" allowBlank="0" showDropDown="0" showInputMessage="0" showErrorMessage="0" sqref="H9:H27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27">
      <x:formula1>"yes,no"</x:formula1>
      <x:formula2>0</x:formula2>
    </x:dataValidation>
  </x:dataValidations>
  <x:pageMargins left="0.7" right="0.7" top="0.75" bottom="0.75" header="0.3" footer="0.3"/>
</x:worksheet>
</file>

<file path=xl/worksheets/sheet55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Collapsible Evidence</x:t>
        </x:is>
      </x:c>
    </x:row>
    <x:row r="2" s="127" customFormat="1" ht="27.75" customHeight="1">
      <x:c r="A2" s="129" t="inlineStr">
        <x:is>
          <x:t xml:space="preserve">Assertion-level disclosure anatomy, state, motion, accessibility, package, documentation, Consumer, and responsive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COUNTA(A9:A33)</x:f>
        <x:v>25</x:v>
      </x:c>
      <x:c r="D4" s="130" t="inlineStr">
        <x:is>
          <x:t xml:space="preserve">Resolved</x:t>
        </x:is>
      </x:c>
      <x:c r="E4" s="131" t="n">
        <x:f>SUM(M9:M33)</x:f>
        <x:v>24</x:v>
      </x:c>
      <x:c r="G4" s="130" t="inlineStr">
        <x:is>
          <x:t xml:space="preserve">Completion</x:t>
        </x:is>
      </x:c>
      <x:c r="H4" s="132" t="n">
        <x:f>IF(B4=0,0,E4/B4)</x:f>
        <x:v>0.96</x:v>
      </x:c>
      <x:c r="J4" s="130" t="inlineStr">
        <x:is>
          <x:t xml:space="preserve">Package gate</x:t>
        </x:is>
      </x:c>
      <x:c r="K4" s="131" t="str">
        <x:f>IF(COUNTIFS(E9:E33,"package",M9:M33,0)&gt;0,"open","complete")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IF(COUNTIFS(I9:I33,"yes",M9:M33,0)&gt;0,"open","complete")</x:f>
        <x:v>open</x:v>
      </x:c>
      <x:c r="D5" s="130" t="inlineStr">
        <x:is>
          <x:t xml:space="preserve">Consumer gate</x:t>
        </x:is>
      </x:c>
      <x:c r="E5" s="131" t="str">
        <x:f>IF(COUNTIFS(E9:E33,"consumer",M9:M33,0)&gt;0,"open","complete")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CO-01</x:t>
        </x:is>
      </x:c>
      <x:c r="B9" s="149" t="inlineStr">
        <x:is>
          <x:t xml:space="preserve">Ownership</x:t>
        </x:is>
      </x:c>
      <x:c r="C9" s="149" t="inlineStr">
        <x:is>
          <x:t xml:space="preserve">Root</x:t>
        </x:is>
      </x:c>
      <x:c r="D9" s="150" t="inlineStr">
        <x:is>
          <x:t xml:space="preserve">Atom owns state, semantics, generated relationships, keyboard interaction, disabled behavior, composition, mount lifecycle, and live Content measurement; Brick owns only finished visual anatomy and recipes.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../src/components/collapsible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46230</x:v>
      </x:c>
      <x:c r="K9" s="150" t="n"/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CO-02</x:t>
        </x:is>
      </x:c>
      <x:c r="B10" s="149" t="inlineStr">
        <x:is>
          <x:t xml:space="preserve">Anatomy</x:t>
        </x:is>
      </x:c>
      <x:c r="C10" s="149" t="inlineStr">
        <x:is>
          <x:t xml:space="preserve">All parts</x:t>
        </x:is>
      </x:c>
      <x:c r="D10" s="150" t="inlineStr">
        <x:is>
          <x:t xml:space="preserve">Root, RootProvider, Trigger, Indicator, Content and ContentInner preserve slots; Context exposes nearest state without extra DOM.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../test/components/collapsible/collapsible.test.tsx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46230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CO-03</x:t>
        </x:is>
      </x:c>
      <x:c r="B11" s="149" t="inlineStr">
        <x:is>
          <x:t xml:space="preserve">Exports</x:t>
        </x:is>
      </x:c>
      <x:c r="C11" s="149" t="inlineStr">
        <x:is>
          <x:t xml:space="preserve">All parts</x:t>
        </x:is>
      </x:c>
      <x:c r="D11" s="150" t="inlineStr">
        <x:is>
          <x:t xml:space="preserve">Root and subpath expose all parts, controller/context hooks and closed presentation prop types.</x:t>
        </x:is>
      </x:c>
      <x:c r="E11" s="149" t="inlineStr">
        <x:is>
          <x:t xml:space="preserve">package</x:t>
        </x:is>
      </x:c>
      <x:c r="F11" s="149" t="inlineStr">
        <x:is>
          <x:t xml:space="preserve">package</x:t>
        </x:is>
      </x:c>
      <x:c r="G11" s="150" t="inlineStr">
        <x:is>
          <x:t xml:space="preserve">../test/package/package.test.mjs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46230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CO-04</x:t>
        </x:is>
      </x:c>
      <x:c r="B12" s="149" t="inlineStr">
        <x:is>
          <x:t xml:space="preserve">Types</x:t>
        </x:is>
      </x:c>
      <x:c r="C12" s="149" t="inlineStr">
        <x:is>
          <x:t xml:space="preserve">All parts</x:t>
        </x:is>
      </x:c>
      <x:c r="D12" s="150" t="inlineStr">
        <x:is>
          <x:t xml:space="preserve">Closed recipes, Atom prop inheritance, native attributes, refs, Indicator decoration, and ContentInner attributes type-check from both entrypoints.</x:t>
        </x:is>
      </x:c>
      <x:c r="E12" s="149" t="inlineStr">
        <x:is>
          <x:t xml:space="preserve">package</x:t>
        </x:is>
      </x:c>
      <x:c r="F12" s="149" t="inlineStr">
        <x:is>
          <x:t xml:space="preserve">types</x:t>
        </x:is>
      </x:c>
      <x:c r="G12" s="150" t="inlineStr">
        <x:is>
          <x:t xml:space="preserve">../test/types/components/collapsible.test.ts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46230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CO-05</x:t>
        </x:is>
      </x:c>
      <x:c r="B13" s="149" t="inlineStr">
        <x:is>
          <x:t xml:space="preserve">CSS</x:t>
        </x:is>
      </x:c>
      <x:c r="C13" s="149" t="inlineStr">
        <x:is>
          <x:t xml:space="preserve">All parts</x:t>
        </x:is>
      </x:c>
      <x:c r="D13" s="150" t="inlineStr">
        <x:is>
          <x:t xml:space="preserve">Static CSS ships neutral surfaces, coordinated sizes, state paint, focus, disabled treatment, measured height and width motion, RTL indicator logic, reduced motion, forced colors, and public variables.</x:t>
        </x:is>
      </x:c>
      <x:c r="E13" s="149" t="inlineStr">
        <x:is>
          <x:t xml:space="preserve">package</x:t>
        </x:is>
      </x:c>
      <x:c r="F13" s="149" t="inlineStr">
        <x:is>
          <x:t xml:space="preserve">css</x:t>
        </x:is>
      </x:c>
      <x:c r="G13" s="150" t="inlineStr">
        <x:is>
          <x:t xml:space="preserve">../src/components/collapsible/collapsible.css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46230</x:v>
      </x:c>
      <x:c r="K13" s="150" t="n"/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CO-06</x:t>
        </x:is>
      </x:c>
      <x:c r="B14" s="149" t="inlineStr">
        <x:is>
          <x:t xml:space="preserve">Defaults</x:t>
        </x:is>
      </x:c>
      <x:c r="C14" s="149" t="inlineStr">
        <x:is>
          <x:t xml:space="preserve">Root</x:t>
        </x:is>
      </x:c>
      <x:c r="D14" s="150" t="inlineStr">
        <x:is>
          <x:t xml:space="preserve">The default renders closed, plain, medium, enabled, vertical, and unmounted with one full-width Trigger and decorative end Indicator.</x:t>
        </x:is>
      </x:c>
      <x:c r="E14" s="149" t="inlineStr">
        <x:is>
          <x:t xml:space="preserve">package</x:t>
        </x:is>
      </x:c>
      <x:c r="F14" s="149" t="inlineStr">
        <x:is>
          <x:t xml:space="preserve">browser</x:t>
        </x:is>
      </x:c>
      <x:c r="G14" s="150" t="inlineStr">
        <x:is>
          <x:t xml:space="preserve">tests/components/collapsible/behavior.spec.ts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46230</x:v>
      </x:c>
      <x:c r="K14" s="150" t="n"/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CO-07</x:t>
        </x:is>
      </x:c>
      <x:c r="B15" s="149" t="inlineStr">
        <x:is>
          <x:t xml:space="preserve">Variants</x:t>
        </x:is>
      </x:c>
      <x:c r="C15" s="149" t="inlineStr">
        <x:is>
          <x:t xml:space="preserve">Root</x:t>
        </x:is>
      </x:c>
      <x:c r="D15" s="150" t="inlineStr">
        <x:is>
          <x:t xml:space="preserve">Plain, soft, and outline change only the intended containing surface while size, content, and state remain at defaults.</x:t>
        </x:is>
      </x:c>
      <x:c r="E15" s="149" t="inlineStr">
        <x:is>
          <x:t xml:space="preserve">package</x:t>
        </x:is>
      </x:c>
      <x:c r="F15" s="149" t="inlineStr">
        <x:is>
          <x:t xml:space="preserve">visual</x:t>
        </x:is>
      </x:c>
      <x:c r="G15" s="150" t="inlineStr">
        <x:is>
          <x:t xml:space="preserve">tests/components/collapsible/visual.spec.ts</x:t>
        </x:is>
      </x:c>
      <x:c r="H15" s="149" t="inlineStr">
        <x:is>
          <x:t xml:space="preserve">verified</x:t>
        </x:is>
      </x:c>
      <x:c r="I15" s="149" t="inlineStr">
        <x:is>
          <x:t xml:space="preserve">yes</x:t>
        </x:is>
      </x:c>
      <x:c r="J15" s="151" t="n">
        <x:v>46230</x:v>
      </x:c>
      <x:c r="K15" s="150" t="inlineStr">
        <x:is>
          <x:t xml:space="preserve">Agent-inspected the generated variants baseline.</x:t>
        </x:is>
      </x:c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CO-08</x:t>
        </x:is>
      </x:c>
      <x:c r="B16" s="149" t="inlineStr">
        <x:is>
          <x:t xml:space="preserve">Sizes</x:t>
        </x:is>
      </x:c>
      <x:c r="C16" s="149" t="inlineStr">
        <x:is>
          <x:t xml:space="preserve">Root</x:t>
        </x:is>
      </x:c>
      <x:c r="D16" s="150" t="inlineStr">
        <x:is>
          <x:t xml:space="preserve">Small, medium, and large coordinate trigger target, typography, spacing, indicator size, and ContentInner padding without changing other recipes.</x:t>
        </x:is>
      </x:c>
      <x:c r="E16" s="149" t="inlineStr">
        <x:is>
          <x:t xml:space="preserve">package</x:t>
        </x:is>
      </x:c>
      <x:c r="F16" s="149" t="inlineStr">
        <x:is>
          <x:t xml:space="preserve">visual</x:t>
        </x:is>
      </x:c>
      <x:c r="G16" s="150" t="inlineStr">
        <x:is>
          <x:t xml:space="preserve">tests/components/collapsible/visual.spec.ts</x:t>
        </x:is>
      </x:c>
      <x:c r="H16" s="149" t="inlineStr">
        <x:is>
          <x:t xml:space="preserve">verified</x:t>
        </x:is>
      </x:c>
      <x:c r="I16" s="149" t="inlineStr">
        <x:is>
          <x:t xml:space="preserve">yes</x:t>
        </x:is>
      </x:c>
      <x:c r="J16" s="151" t="n">
        <x:v>46230</x:v>
      </x:c>
      <x:c r="K16" s="150" t="inlineStr">
        <x:is>
          <x:t xml:space="preserve">Agent-inspected the generated sizes baseline.</x:t>
        </x:is>
      </x:c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CO-09</x:t>
        </x:is>
      </x:c>
      <x:c r="B17" s="149" t="inlineStr">
        <x:is>
          <x:t xml:space="preserve">State</x:t>
        </x:is>
      </x:c>
      <x:c r="C17" s="149" t="inlineStr">
        <x:is>
          <x:t xml:space="preserve">Root</x:t>
        </x:is>
      </x:c>
      <x:c r="D17" s="150" t="inlineStr">
        <x:is>
          <x:t xml:space="preserve">Uncontrolled and controlled open state change exactly once and preserve the authored onOpenChange and Trigger handlers.</x:t>
        </x:is>
      </x:c>
      <x:c r="E17" s="149" t="inlineStr">
        <x:is>
          <x:t xml:space="preserve">package</x:t>
        </x:is>
      </x:c>
      <x:c r="F17" s="149" t="inlineStr">
        <x:is>
          <x:t xml:space="preserve">component</x:t>
        </x:is>
      </x:c>
      <x:c r="G17" s="150" t="inlineStr">
        <x:is>
          <x:t xml:space="preserve">../test/components/collapsible/collapsible.test.tsx; tests/components/collapsible/behavior.spec.ts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n">
        <x:v>46230</x:v>
      </x:c>
      <x:c r="K17" s="150" t="n"/>
      <x:c r="L17" s="149" t="n">
        <x:v>1</x:v>
      </x:c>
      <x:c r="M17" s="149" t="n">
        <x:f>IF(OR(AND(I17="yes",H17="verified"),AND(I17="no",OR(H17="tested",H17="verified")),AND(H17="not applicable",K17&lt;&gt;"")),1,0)</x:f>
        <x:v>1</x:v>
      </x:c>
    </x:row>
    <x:row r="18" s="127" customFormat="1" ht="54" customHeight="1">
      <x:c r="A18" s="149" t="inlineStr">
        <x:is>
          <x:t xml:space="preserve">CO-10</x:t>
        </x:is>
      </x:c>
      <x:c r="B18" s="149" t="inlineStr">
        <x:is>
          <x:t xml:space="preserve">Disabled</x:t>
        </x:is>
      </x:c>
      <x:c r="C18" s="149" t="inlineStr">
        <x:is>
          <x:t xml:space="preserve">Root / Trigger</x:t>
        </x:is>
      </x:c>
      <x:c r="D18" s="150" t="inlineStr">
        <x:is>
          <x:t xml:space="preserve">Disabled state exposes Atom disabled semantics, does not open, and has no enabled hover or active response.</x:t>
        </x:is>
      </x:c>
      <x:c r="E18" s="149" t="inlineStr">
        <x:is>
          <x:t xml:space="preserve">package</x:t>
        </x:is>
      </x:c>
      <x:c r="F18" s="149" t="inlineStr">
        <x:is>
          <x:t xml:space="preserve">browser</x:t>
        </x:is>
      </x:c>
      <x:c r="G18" s="150" t="inlineStr">
        <x:is>
          <x:t xml:space="preserve">../test/components/collapsible/collapsible.test.tsx; tests/components/collapsible/behavior.spec.ts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n">
        <x:v>46230</x:v>
      </x:c>
      <x:c r="K18" s="150" t="n"/>
      <x:c r="L18" s="149" t="n">
        <x:v>1</x:v>
      </x:c>
      <x:c r="M18" s="149" t="n">
        <x:f>IF(OR(AND(I18="yes",H18="verified"),AND(I18="no",OR(H18="tested",H18="verified")),AND(H18="not applicable",K18&lt;&gt;"")),1,0)</x:f>
        <x:v>1</x:v>
      </x:c>
    </x:row>
    <x:row r="19" s="127" customFormat="1" ht="54" customHeight="1">
      <x:c r="A19" s="149" t="inlineStr">
        <x:is>
          <x:t xml:space="preserve">CO-11</x:t>
        </x:is>
      </x:c>
      <x:c r="B19" s="149" t="inlineStr">
        <x:is>
          <x:t xml:space="preserve">Lifecycle</x:t>
        </x:is>
      </x:c>
      <x:c r="C19" s="149" t="inlineStr">
        <x:is>
          <x:t xml:space="preserve">Content</x:t>
        </x:is>
      </x:c>
      <x:c r="D19" s="150" t="inlineStr">
        <x:is>
          <x:t xml:space="preserve">Lazy/unmount policies, partial inert previews, retained input and interrupted exits preserve visibility and focus. Activity requires React 19.2+.</x:t>
        </x:is>
      </x:c>
      <x:c r="E19" s="149" t="inlineStr">
        <x:is>
          <x:t xml:space="preserve">package</x:t>
        </x:is>
      </x:c>
      <x:c r="F19" s="149" t="inlineStr">
        <x:is>
          <x:t xml:space="preserve">browser</x:t>
        </x:is>
      </x:c>
      <x:c r="G19" s="150" t="inlineStr">
        <x:is>
          <x:t xml:space="preserve">../test/components/collapsible/collapsible.test.tsx; tests/components/collapsible/behavior.spec.ts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46230</x:v>
      </x:c>
      <x:c r="K19" s="150" t="n"/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CO-12</x:t>
        </x:is>
      </x:c>
      <x:c r="B20" s="149" t="inlineStr">
        <x:is>
          <x:t xml:space="preserve">Relationships</x:t>
        </x:is>
      </x:c>
      <x:c r="C20" s="149" t="inlineStr">
        <x:is>
          <x:t xml:space="preserve">Trigger / Content</x:t>
        </x:is>
      </x:c>
      <x:c r="D20" s="150" t="inlineStr">
        <x:is>
          <x:t xml:space="preserve">Trigger and Content retain matching generated aria-controls, id, aria-labelledby, region role, and expanded state.</x:t>
        </x:is>
      </x:c>
      <x:c r="E20" s="149" t="inlineStr">
        <x:is>
          <x:t xml:space="preserve">package</x:t>
        </x:is>
      </x:c>
      <x:c r="F20" s="149" t="inlineStr">
        <x:is>
          <x:t xml:space="preserve">browser</x:t>
        </x:is>
      </x:c>
      <x:c r="G20" s="150" t="inlineStr">
        <x:is>
          <x:t xml:space="preserve">tests/components/collapsible/behavior.spec.ts; ../test/package/ssr.test.mjs</x:t>
        </x:is>
      </x:c>
      <x:c r="H20" s="149" t="inlineStr">
        <x:is>
          <x:t xml:space="preserve">tested</x:t>
        </x:is>
      </x:c>
      <x:c r="I20" s="149" t="inlineStr">
        <x:is>
          <x:t xml:space="preserve">no</x:t>
        </x:is>
      </x:c>
      <x:c r="J20" s="151" t="n">
        <x:v>46230</x:v>
      </x:c>
      <x:c r="K20" s="150" t="n"/>
      <x:c r="L20" s="149" t="n">
        <x:v>1</x:v>
      </x:c>
      <x:c r="M20" s="149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49" t="inlineStr">
        <x:is>
          <x:t xml:space="preserve">CO-13</x:t>
        </x:is>
      </x:c>
      <x:c r="B21" s="149" t="inlineStr">
        <x:is>
          <x:t xml:space="preserve">Indicator</x:t>
        </x:is>
      </x:c>
      <x:c r="C21" s="149" t="inlineStr">
        <x:is>
          <x:t xml:space="preserve">Indicator</x:t>
        </x:is>
      </x:c>
      <x:c r="D21" s="150" t="inlineStr">
        <x:is>
          <x:t xml:space="preserve">Default and authored Indicator artwork remain decorative, nonshrinking, logically placed, and synchronized with open state.</x:t>
        </x:is>
      </x:c>
      <x:c r="E21" s="149" t="inlineStr">
        <x:is>
          <x:t xml:space="preserve">package</x:t>
        </x:is>
      </x:c>
      <x:c r="F21" s="149" t="inlineStr">
        <x:is>
          <x:t xml:space="preserve">visual</x:t>
        </x:is>
      </x:c>
      <x:c r="G21" s="150" t="inlineStr">
        <x:is>
          <x:t xml:space="preserve">tests/components/collapsible/visual.spec.ts</x:t>
        </x:is>
      </x:c>
      <x:c r="H21" s="149" t="inlineStr">
        <x:is>
          <x:t xml:space="preserve">verified</x:t>
        </x:is>
      </x:c>
      <x:c r="I21" s="149" t="inlineStr">
        <x:is>
          <x:t xml:space="preserve">yes</x:t>
        </x:is>
      </x:c>
      <x:c r="J21" s="151" t="n">
        <x:v>46230</x:v>
      </x:c>
      <x:c r="K21" s="150" t="inlineStr">
        <x:is>
          <x:t xml:space="preserve">Agent-inspected default, custom, state, and RTL indicator baselines.</x:t>
        </x:is>
      </x:c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CO-14</x:t>
        </x:is>
      </x:c>
      <x:c r="B22" s="149" t="inlineStr">
        <x:is>
          <x:t xml:space="preserve">Composition</x:t>
        </x:is>
      </x:c>
      <x:c r="C22" s="149" t="inlineStr">
        <x:is>
          <x:t xml:space="preserve">Root / Trigger / Content</x:t>
        </x:is>
      </x:c>
      <x:c r="D22" s="150" t="inlineStr">
        <x:is>
          <x:t xml:space="preserve">Trigger unstyled asChild delegates to Button/IconButton. Indicator placement and ContentInner inset/asChild preserve one visual owner.</x:t>
        </x:is>
      </x:c>
      <x:c r="E22" s="149" t="inlineStr">
        <x:is>
          <x:t xml:space="preserve">package</x:t>
        </x:is>
      </x:c>
      <x:c r="F22" s="149" t="inlineStr">
        <x:is>
          <x:t xml:space="preserve">component</x:t>
        </x:is>
      </x:c>
      <x:c r="G22" s="150" t="inlineStr">
        <x:is>
          <x:t xml:space="preserve">tests/components/collapsible/parity.spec.ts; ../test/components/collapsible/collapsible.test.tsx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46230</x:v>
      </x:c>
      <x:c r="K22" s="150" t="n"/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CO-15</x:t>
        </x:is>
      </x:c>
      <x:c r="B23" s="149" t="inlineStr">
        <x:is>
          <x:t xml:space="preserve">Motion</x:t>
        </x:is>
      </x:c>
      <x:c r="C23" s="149" t="inlineStr">
        <x:is>
          <x:t xml:space="preserve">Content</x:t>
        </x:is>
      </x:c>
      <x:c r="D23" s="150" t="inlineStr">
        <x:is>
          <x:t xml:space="preserve">Vertical open and close use live --content-height measurement; horizontal open and close use live --content-width measurement with stable ContentInner geometry.</x:t>
        </x:is>
      </x:c>
      <x:c r="E23" s="149" t="inlineStr">
        <x:is>
          <x:t xml:space="preserve">package</x:t>
        </x:is>
      </x:c>
      <x:c r="F23" s="149" t="inlineStr">
        <x:is>
          <x:t xml:space="preserve">browser</x:t>
        </x:is>
      </x:c>
      <x:c r="G23" s="150" t="inlineStr">
        <x:is>
          <x:t xml:space="preserve">tests/components/collapsible/behavior.spec.ts; ../test/components/collapsible/collapsible.test.tsx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>
        <x:v>46230</x:v>
      </x:c>
      <x:c r="K23" s="150" t="n"/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CO-16</x:t>
        </x:is>
      </x:c>
      <x:c r="B24" s="149" t="inlineStr">
        <x:is>
          <x:t xml:space="preserve">Accessibility</x:t>
        </x:is>
      </x:c>
      <x:c r="C24" s="149" t="inlineStr">
        <x:is>
          <x:t xml:space="preserve">All parts</x:t>
        </x:is>
      </x:c>
      <x:c r="D24" s="150" t="inlineStr">
        <x:is>
          <x:t xml:space="preserve">Keyboard activation, button/region semantics, focus retention, decoration, disabled behavior, and scoped axe checks pass.</x:t>
        </x:is>
      </x:c>
      <x:c r="E24" s="149" t="inlineStr">
        <x:is>
          <x:t xml:space="preserve">package</x:t>
        </x:is>
      </x:c>
      <x:c r="F24" s="149" t="inlineStr">
        <x:is>
          <x:t xml:space="preserve">axe</x:t>
        </x:is>
      </x:c>
      <x:c r="G24" s="150" t="inlineStr">
        <x:is>
          <x:t xml:space="preserve">tests/components/collapsible/behavior.spec.ts</x:t>
        </x:is>
      </x:c>
      <x:c r="H24" s="149" t="inlineStr">
        <x:is>
          <x:t xml:space="preserve">tested</x:t>
        </x:is>
      </x:c>
      <x:c r="I24" s="149" t="inlineStr">
        <x:is>
          <x:t xml:space="preserve">no</x:t>
        </x:is>
      </x:c>
      <x:c r="J24" s="151" t="n">
        <x:v>46230</x:v>
      </x:c>
      <x:c r="K24" s="150" t="n"/>
      <x:c r="L24" s="149" t="n">
        <x:v>1</x:v>
      </x:c>
      <x:c r="M24" s="149" t="n">
        <x:f>IF(OR(AND(I24="yes",H24="verified"),AND(I24="no",OR(H24="tested",H24="verified")),AND(H24="not applicable",K24&lt;&gt;"")),1,0)</x:f>
        <x:v>1</x:v>
      </x:c>
    </x:row>
    <x:row r="25" s="127" customFormat="1" ht="54" customHeight="1">
      <x:c r="A25" s="149" t="inlineStr">
        <x:is>
          <x:t xml:space="preserve">CO-17</x:t>
        </x:is>
      </x:c>
      <x:c r="B25" s="149" t="inlineStr">
        <x:is>
          <x:t xml:space="preserve">Responsive</x:t>
        </x:is>
      </x:c>
      <x:c r="C25" s="149" t="inlineStr">
        <x:is>
          <x:t xml:space="preserve">All parts</x:t>
        </x:is>
      </x:c>
      <x:c r="D25" s="150" t="inlineStr">
        <x:is>
          <x:t xml:space="preserve">Long text, narrow width, mobile profiles, zoom-oriented reflow, horizontal contained scrolling, and RTL remain bounded without stale dimension clipping.</x:t>
        </x:is>
      </x:c>
      <x:c r="E25" s="149" t="inlineStr">
        <x:is>
          <x:t xml:space="preserve">package</x:t>
        </x:is>
      </x:c>
      <x:c r="F25" s="149" t="inlineStr">
        <x:is>
          <x:t xml:space="preserve">browser</x:t>
        </x:is>
      </x:c>
      <x:c r="G25" s="150" t="inlineStr">
        <x:is>
          <x:t xml:space="preserve">tests/components/collapsible/behavior.spec.ts; tests/components/collapsible/visual.spec.ts</x:t>
        </x:is>
      </x:c>
      <x:c r="H25" s="149" t="inlineStr">
        <x:is>
          <x:t xml:space="preserve">tested</x:t>
        </x:is>
      </x:c>
      <x:c r="I25" s="149" t="inlineStr">
        <x:is>
          <x:t xml:space="preserve">no</x:t>
        </x:is>
      </x:c>
      <x:c r="J25" s="151" t="n">
        <x:v>46230</x:v>
      </x:c>
      <x:c r="K25" s="150" t="n"/>
      <x:c r="L25" s="149" t="n">
        <x:v>1</x:v>
      </x:c>
      <x:c r="M25" s="149" t="n">
        <x:f>IF(OR(AND(I25="yes",H25="verified"),AND(I25="no",OR(H25="tested",H25="verified")),AND(H25="not applicable",K25&lt;&gt;"")),1,0)</x:f>
        <x:v>1</x:v>
      </x:c>
    </x:row>
    <x:row r="26" s="127" customFormat="1" ht="54" customHeight="1">
      <x:c r="A26" s="149" t="inlineStr">
        <x:is>
          <x:t xml:space="preserve">CO-18</x:t>
        </x:is>
      </x:c>
      <x:c r="B26" s="149" t="inlineStr">
        <x:is>
          <x:t xml:space="preserve">Appearance</x:t>
        </x:is>
      </x:c>
      <x:c r="C26" s="149" t="inlineStr">
        <x:is>
          <x:t xml:space="preserve">All parts</x:t>
        </x:is>
      </x:c>
      <x:c r="D26" s="150" t="inlineStr">
        <x:is>
          <x:t xml:space="preserve">Semantic paint adapts in light, dark, and forced colors; supported variables exactly match the customization example.</x:t>
        </x:is>
      </x:c>
      <x:c r="E26" s="149" t="inlineStr">
        <x:is>
          <x:t xml:space="preserve">package</x:t>
        </x:is>
      </x:c>
      <x:c r="F26" s="149" t="inlineStr">
        <x:is>
          <x:t xml:space="preserve">visual</x:t>
        </x:is>
      </x:c>
      <x:c r="G26" s="150" t="inlineStr">
        <x:is>
          <x:t xml:space="preserve">tests/components/collapsible/visual.spec.ts</x:t>
        </x:is>
      </x:c>
      <x:c r="H26" s="149" t="inlineStr">
        <x:is>
          <x:t xml:space="preserve">verified</x:t>
        </x:is>
      </x:c>
      <x:c r="I26" s="149" t="inlineStr">
        <x:is>
          <x:t xml:space="preserve">yes</x:t>
        </x:is>
      </x:c>
      <x:c r="J26" s="151" t="n">
        <x:v>46230</x:v>
      </x:c>
      <x:c r="K26" s="150" t="inlineStr">
        <x:is>
          <x:t xml:space="preserve">Agent-inspected appearance, customization, and forced-color baselines.</x:t>
        </x:is>
      </x:c>
      <x:c r="L26" s="149" t="n">
        <x:v>1</x:v>
      </x:c>
      <x:c r="M26" s="149" t="n">
        <x:f>IF(OR(AND(I26="yes",H26="verified"),AND(I26="no",OR(H26="tested",H26="verified")),AND(H26="not applicable",K26&lt;&gt;"")),1,0)</x:f>
        <x:v>1</x:v>
      </x:c>
    </x:row>
    <x:row r="27" s="127" customFormat="1" ht="54" customHeight="1">
      <x:c r="A27" s="149" t="inlineStr">
        <x:is>
          <x:t xml:space="preserve">CO-19</x:t>
        </x:is>
      </x:c>
      <x:c r="B27" s="149" t="inlineStr">
        <x:is>
          <x:t xml:space="preserve">Visual</x:t>
        </x:is>
      </x:c>
      <x:c r="C27" s="149" t="inlineStr">
        <x:is>
          <x:t xml:space="preserve">All parts</x:t>
        </x:is>
      </x:c>
      <x:c r="D27" s="150" t="inlineStr">
        <x:is>
          <x:t xml:space="preserve">Reviewed baselines cover defaults, variants, sizes, states, Indicator anatomy, both orientations, appearance, mobile stress, and forced colors.</x:t>
        </x:is>
      </x:c>
      <x:c r="E27" s="149" t="inlineStr">
        <x:is>
          <x:t xml:space="preserve">package</x:t>
        </x:is>
      </x:c>
      <x:c r="F27" s="149" t="inlineStr">
        <x:is>
          <x:t xml:space="preserve">visual</x:t>
        </x:is>
      </x:c>
      <x:c r="G27" s="150" t="inlineStr">
        <x:is>
          <x:t xml:space="preserve">tests/components/collapsible/visual.spec.ts</x:t>
        </x:is>
      </x:c>
      <x:c r="H27" s="149" t="inlineStr">
        <x:is>
          <x:t xml:space="preserve">verified</x:t>
        </x:is>
      </x:c>
      <x:c r="I27" s="149" t="inlineStr">
        <x:is>
          <x:t xml:space="preserve">yes</x:t>
        </x:is>
      </x:c>
      <x:c r="J27" s="151" t="n">
        <x:v>46230</x:v>
      </x:c>
      <x:c r="K27" s="150" t="inlineStr">
        <x:is>
          <x:t xml:space="preserve">Agent-inspected every generated Collapsible baseline, including horizontal orientation and RTL.</x:t>
        </x:is>
      </x:c>
      <x:c r="L27" s="149" t="n">
        <x:v>1</x:v>
      </x:c>
      <x:c r="M27" s="149" t="n">
        <x:f>IF(OR(AND(I27="yes",H27="verified"),AND(I27="no",OR(H27="tested",H27="verified")),AND(H27="not applicable",K27&lt;&gt;"")),1,0)</x:f>
        <x:v>1</x:v>
      </x:c>
    </x:row>
    <x:row r="28" s="127" customFormat="1" ht="54" customHeight="1">
      <x:c r="A28" s="149" t="inlineStr">
        <x:is>
          <x:t xml:space="preserve">CO-20</x:t>
        </x:is>
      </x:c>
      <x:c r="B28" s="149" t="inlineStr">
        <x:is>
          <x:t xml:space="preserve">Playground</x:t>
        </x:is>
      </x:c>
      <x:c r="C28" s="149" t="inlineStr">
        <x:is>
          <x:t xml:space="preserve">All parts</x:t>
        </x:is>
      </x:c>
      <x:c r="D28" s="150" t="inlineStr">
        <x:is>
          <x:t xml:space="preserve">Docs page covers basic, state, partial previews, store, retained input, highlight, composed buttons, recipes, inset, motion and Activity. Qualification scenarios remain available.</x:t>
        </x:is>
      </x:c>
      <x:c r="E28" s="149" t="inlineStr">
        <x:is>
          <x:t xml:space="preserve">package</x:t>
        </x:is>
      </x:c>
      <x:c r="F28" s="149" t="inlineStr">
        <x:is>
          <x:t xml:space="preserve">playground</x:t>
        </x:is>
      </x:c>
      <x:c r="G28" s="150" t="inlineStr">
        <x:is>
          <x:t xml:space="preserve">src/components/collapsible/CollapsiblePage.tsx; tests/components/collapsible/parity.spec.ts</x:t>
        </x:is>
      </x:c>
      <x:c r="H28" s="149" t="inlineStr">
        <x:is>
          <x:t xml:space="preserve">tested</x:t>
        </x:is>
      </x:c>
      <x:c r="I28" s="149" t="inlineStr">
        <x:is>
          <x:t xml:space="preserve">no</x:t>
        </x:is>
      </x:c>
      <x:c r="J28" s="151" t="n">
        <x:v>46276.5</x:v>
      </x:c>
      <x:c r="K28" s="150" t="n"/>
      <x:c r="L28" s="149" t="n">
        <x:v>1</x:v>
      </x:c>
      <x:c r="M28" s="149" t="n">
        <x:f>IF(OR(AND(I28="yes",H28="verified"),AND(I28="no",OR(H28="tested",H28="verified")),AND(H28="not applicable",K28&lt;&gt;"")),1,0)</x:f>
        <x:v>1</x:v>
      </x:c>
    </x:row>
    <x:row r="29" s="127" customFormat="1" ht="54" customHeight="1">
      <x:c r="A29" s="149" t="inlineStr">
        <x:is>
          <x:t xml:space="preserve">CO-21</x:t>
        </x:is>
      </x:c>
      <x:c r="B29" s="149" t="inlineStr">
        <x:is>
          <x:t xml:space="preserve">Manual</x:t>
        </x:is>
      </x:c>
      <x:c r="C29" s="149" t="inlineStr">
        <x:is>
          <x:t xml:space="preserve">All parts</x:t>
        </x:is>
      </x:c>
      <x:c r="D29" s="150" t="inlineStr">
        <x:is>
          <x:t xml:space="preserve">A tester completes the concise pointer, keyboard, assistive-technology, appearance, zoom, mobile, RTL, forced-color, and reduced-motion protocol.</x:t>
        </x:is>
      </x:c>
      <x:c r="E29" s="149" t="inlineStr">
        <x:is>
          <x:t xml:space="preserve">package</x:t>
        </x:is>
      </x:c>
      <x:c r="F29" s="149" t="inlineStr">
        <x:is>
          <x:t xml:space="preserve">manual</x:t>
        </x:is>
      </x:c>
      <x:c r="G29" s="150" t="inlineStr">
        <x:is>
          <x:t xml:space="preserve">manual-tests/collapsible.md</x:t>
        </x:is>
      </x:c>
      <x:c r="H29" s="149" t="inlineStr">
        <x:is>
          <x:t xml:space="preserve">not started</x:t>
        </x:is>
      </x:c>
      <x:c r="I29" s="149" t="inlineStr">
        <x:is>
          <x:t xml:space="preserve">yes</x:t>
        </x:is>
      </x:c>
      <x:c r="J29" s="151" t="n">
        <x:v>46230</x:v>
      </x:c>
      <x:c r="K29" s="150" t="inlineStr">
        <x:is>
          <x:t xml:space="preserve">New parity manual pass unperformed: screen reader, physical device, real browser zoom.</x:t>
        </x:is>
      </x:c>
      <x:c r="L29" s="149" t="n">
        <x:v>1</x:v>
      </x:c>
      <x:c r="M29" s="149" t="n">
        <x:f>IF(OR(AND(I29="yes",H29="verified"),AND(I29="no",OR(H29="tested",H29="verified")),AND(H29="not applicable",K29&lt;&gt;"")),1,0)</x:f>
        <x:v>0</x:v>
      </x:c>
    </x:row>
    <x:row r="30" s="127" customFormat="1" ht="54" customHeight="1">
      <x:c r="A30" s="149" t="inlineStr">
        <x:is>
          <x:t xml:space="preserve">CO-22</x:t>
        </x:is>
      </x:c>
      <x:c r="B30" s="149" t="inlineStr">
        <x:is>
          <x:t xml:space="preserve">Docs</x:t>
        </x:is>
      </x:c>
      <x:c r="C30" s="149" t="inlineStr">
        <x:is>
          <x:t xml:space="preserve">All parts</x:t>
        </x:is>
      </x:c>
      <x:c r="D30" s="150" t="inlineStr">
        <x:is>
          <x:t xml:space="preserve">Source-backed use, anatomy, API, recipes, accessibility, responsive motion, composition, CSS hooks, customization, and evidence are documented.</x:t>
        </x:is>
      </x:c>
      <x:c r="E30" s="149" t="inlineStr">
        <x:is>
          <x:t xml:space="preserve">package</x:t>
        </x:is>
      </x:c>
      <x:c r="F30" s="149" t="inlineStr">
        <x:is>
          <x:t xml:space="preserve">docs</x:t>
        </x:is>
      </x:c>
      <x:c r="G30" s="150" t="inlineStr">
        <x:is>
          <x:t xml:space="preserve">../docs/components/collapsible/README.md</x:t>
        </x:is>
      </x:c>
      <x:c r="H30" s="149" t="inlineStr">
        <x:is>
          <x:t xml:space="preserve">tested</x:t>
        </x:is>
      </x:c>
      <x:c r="I30" s="149" t="inlineStr">
        <x:is>
          <x:t xml:space="preserve">no</x:t>
        </x:is>
      </x:c>
      <x:c r="J30" s="151" t="n">
        <x:v>46230</x:v>
      </x:c>
      <x:c r="K30" s="150" t="n"/>
      <x:c r="L30" s="149" t="n">
        <x:v>1</x:v>
      </x:c>
      <x:c r="M30" s="149" t="n">
        <x:f>IF(OR(AND(I30="yes",H30="verified"),AND(I30="no",OR(H30="tested",H30="verified")),AND(H30="not applicable",K30&lt;&gt;"")),1,0)</x:f>
        <x:v>1</x:v>
      </x:c>
    </x:row>
    <x:row r="31" s="127" customFormat="1" ht="15" customHeight="1">
      <x:c r="A31" s="149" t="inlineStr">
        <x:is>
          <x:t xml:space="preserve">CO-23</x:t>
        </x:is>
      </x:c>
      <x:c r="B31" s="149" t="inlineStr">
        <x:is>
          <x:t xml:space="preserve">Changelog</x:t>
        </x:is>
      </x:c>
      <x:c r="C31" s="149" t="inlineStr">
        <x:is>
          <x:t xml:space="preserve">Collapsible</x:t>
        </x:is>
      </x:c>
      <x:c r="D31" s="150" t="inlineStr">
        <x:is>
          <x:t xml:space="preserve">Collapsible owns a public changelog and the package changelog records the user-facing addition.</x:t>
        </x:is>
      </x:c>
      <x:c r="E31" s="149" t="inlineStr">
        <x:is>
          <x:t xml:space="preserve">package</x:t>
        </x:is>
      </x:c>
      <x:c r="F31" s="149" t="inlineStr">
        <x:is>
          <x:t xml:space="preserve">docs</x:t>
        </x:is>
      </x:c>
      <x:c r="G31" s="150" t="inlineStr">
        <x:is>
          <x:t xml:space="preserve">../docs/components/collapsible/CHANGELOG.md; ../CHANGELOG.md</x:t>
        </x:is>
      </x:c>
      <x:c r="H31" s="149" t="inlineStr">
        <x:is>
          <x:t xml:space="preserve">tested</x:t>
        </x:is>
      </x:c>
      <x:c r="I31" s="149" t="inlineStr">
        <x:is>
          <x:t xml:space="preserve">no</x:t>
        </x:is>
      </x:c>
      <x:c r="J31" s="151" t="n">
        <x:v>46230</x:v>
      </x:c>
      <x:c r="K31" s="150" t="n"/>
      <x:c r="L31" s="149" t="n">
        <x:v>1</x:v>
      </x:c>
      <x:c r="M31" s="149" t="n">
        <x:f>IF(OR(AND(I31="yes",H31="verified"),AND(I31="no",OR(H31="tested",H31="verified")),AND(H31="not applicable",K31&lt;&gt;"")),1,0)</x:f>
        <x:v>1</x:v>
      </x:c>
    </x:row>
    <x:row r="32" s="127" customFormat="1" ht="15" customHeight="1">
      <x:c r="A32" s="149" t="inlineStr">
        <x:is>
          <x:t xml:space="preserve">CO-24</x:t>
        </x:is>
      </x:c>
      <x:c r="B32" s="149" t="inlineStr">
        <x:is>
          <x:t xml:space="preserve">Consumer</x:t>
        </x:is>
      </x:c>
      <x:c r="C32" s="149" t="inlineStr">
        <x:is>
          <x:t xml:space="preserve">Collapsible</x:t>
        </x:is>
      </x:c>
      <x:c r="D32" s="150" t="inlineStr">
        <x:is>
          <x:t xml:space="preserve">Packed Consumer imports the public collapsible subpath and operates a realistic outlined disclosure on desktop and mobile.</x:t>
        </x:is>
      </x:c>
      <x:c r="E32" s="149" t="inlineStr">
        <x:is>
          <x:t xml:space="preserve">consumer</x:t>
        </x:is>
      </x:c>
      <x:c r="F32" s="149" t="inlineStr">
        <x:is>
          <x:t xml:space="preserve">consumer</x:t>
        </x:is>
      </x:c>
      <x:c r="G32" s="150" t="inlineStr">
        <x:is>
          <x:t xml:space="preserve">../apps/consumer/src/App.tsx; ../apps/consumer/tests/consumer.spec.ts</x:t>
        </x:is>
      </x:c>
      <x:c r="H32" s="149" t="inlineStr">
        <x:is>
          <x:t xml:space="preserve">tested</x:t>
        </x:is>
      </x:c>
      <x:c r="I32" s="149" t="inlineStr">
        <x:is>
          <x:t xml:space="preserve">no</x:t>
        </x:is>
      </x:c>
      <x:c r="J32" s="151" t="n">
        <x:v>46230</x:v>
      </x:c>
      <x:c r="K32" s="150" t="n"/>
      <x:c r="L32" s="149" t="n">
        <x:v>1</x:v>
      </x:c>
      <x:c r="M32" s="149" t="n">
        <x:f>IF(OR(AND(I32="yes",H32="verified"),AND(I32="no",OR(H32="tested",H32="verified")),AND(H32="not applicable",K32&lt;&gt;"")),1,0)</x:f>
        <x:v>1</x:v>
      </x:c>
    </x:row>
    <x:row r="33" s="127" customFormat="1" ht="15" customHeight="1">
      <x:c r="A33" s="149" t="inlineStr">
        <x:is>
          <x:t xml:space="preserve">CO-25</x:t>
        </x:is>
      </x:c>
      <x:c r="B33" s="149" t="inlineStr">
        <x:is>
          <x:t xml:space="preserve">Package</x:t>
        </x:is>
      </x:c>
      <x:c r="C33" s="149" t="inlineStr">
        <x:is>
          <x:t xml:space="preserve">Collapsible</x:t>
        </x:is>
      </x:c>
      <x:c r="D33" s="150" t="inlineStr">
        <x:is>
          <x:t xml:space="preserve">Build, declarations, exports, SSR, CSS, tarball, docs, ownership, component coverage, and the configured browser matrix pass for Collapsible.</x:t>
        </x:is>
      </x:c>
      <x:c r="E33" s="149" t="inlineStr">
        <x:is>
          <x:t xml:space="preserve">package</x:t>
        </x:is>
      </x:c>
      <x:c r="F33" s="149" t="inlineStr">
        <x:is>
          <x:t xml:space="preserve">package</x:t>
        </x:is>
      </x:c>
      <x:c r="G33" s="150" t="inlineStr">
        <x:is>
          <x:t xml:space="preserve">../test/package/package.test.mjs; ../test/package/ssr.test.mjs; ../scripts/verify-package.mjs</x:t>
        </x:is>
      </x:c>
      <x:c r="H33" s="149" t="inlineStr">
        <x:is>
          <x:t xml:space="preserve">tested</x:t>
        </x:is>
      </x:c>
      <x:c r="I33" s="149" t="inlineStr">
        <x:is>
          <x:t xml:space="preserve">no</x:t>
        </x:is>
      </x:c>
      <x:c r="J33" s="151" t="n">
        <x:v>46230</x:v>
      </x:c>
      <x:c r="K33" s="150" t="n"/>
      <x:c r="L33" s="149" t="n">
        <x:v>1</x:v>
      </x:c>
      <x:c r="M33" s="149" t="n">
        <x:f>IF(OR(AND(I33="yes",H33="verified"),AND(I33="no",OR(H33="tested",H33="verified")),AND(H33="not applicable",K33&lt;&gt;"")),1,0)</x:f>
        <x:v>1</x:v>
      </x:c>
    </x:row>
  </x:sheetData>
  <x:mergeCells>
    <x:mergeCell ref="A2:M2"/>
    <x:mergeCell ref="A1:M1"/>
  </x:mergeCells>
  <x:dataValidations count="2">
    <x:dataValidation type="list" errorStyle="stop" operator="between" allowBlank="0" showDropDown="0" showInputMessage="0" showErrorMessage="0" sqref="H9:H33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33">
      <x:formula1>"yes,no"</x:formula1>
      <x:formula2>0</x:formula2>
    </x:dataValidation>
  </x:dataValidations>
  <x:pageMargins left="0.7" right="0.7" top="0.75" bottom="0.75" header="0.3" footer="0.3"/>
</x:worksheet>
</file>

<file path=xl/worksheets/sheet56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Accordion Evidence</x:t>
        </x:is>
      </x:c>
    </x:row>
    <x:row r="2" s="127" customFormat="1" ht="27.75" customHeight="1">
      <x:c r="A2" s="129" t="inlineStr">
        <x:is>
          <x:t xml:space="preserve">Assertion-level grouped disclosure, selection, orientation, keyboard, accessibility, package, documentation, Consumer, and responsive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COUNTA(A9:A34)</x:f>
        <x:v>26</x:v>
      </x:c>
      <x:c r="D4" s="130" t="inlineStr">
        <x:is>
          <x:t xml:space="preserve">Resolved</x:t>
        </x:is>
      </x:c>
      <x:c r="E4" s="131" t="n">
        <x:f>SUM(M9:M34)</x:f>
        <x:v>25</x:v>
      </x:c>
      <x:c r="G4" s="130" t="inlineStr">
        <x:is>
          <x:t xml:space="preserve">Completion</x:t>
        </x:is>
      </x:c>
      <x:c r="H4" s="132" t="n">
        <x:f>IF(B4=0,0,E4/B4)</x:f>
        <x:v>0.9615384615384616</x:v>
      </x:c>
      <x:c r="J4" s="130" t="inlineStr">
        <x:is>
          <x:t xml:space="preserve">Package gate</x:t>
        </x:is>
      </x:c>
      <x:c r="K4" s="131" t="str">
        <x:f>IF(COUNTIFS(E9:E34,"package",M9:M34,0)&gt;0,"open","complete")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IF(COUNTIFS(I9:I34,"yes",M9:M34,0)&gt;0,"open","complete")</x:f>
        <x:v>open</x:v>
      </x:c>
      <x:c r="D5" s="130" t="inlineStr">
        <x:is>
          <x:t xml:space="preserve">Consumer gate</x:t>
        </x:is>
      </x:c>
      <x:c r="E5" s="131" t="str">
        <x:f>IF(COUNTIFS(E9:E34,"consumer",M9:M34,0)&gt;0,"open","complete")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AC-01</x:t>
        </x:is>
      </x:c>
      <x:c r="B9" s="149" t="inlineStr">
        <x:is>
          <x:t xml:space="preserve">Ownership</x:t>
        </x:is>
      </x:c>
      <x:c r="C9" s="149" t="inlineStr">
        <x:is>
          <x:t xml:space="preserve">Root</x:t>
        </x:is>
      </x:c>
      <x:c r="D9" s="150" t="inlineStr">
        <x:is>
          <x:t xml:space="preserve">Brick styles released Atom 0.20.11 Accordion behavior without recreating selection, generated relationships, keyboard navigation, disabled state, mount lifecycle, or live dimension measurement.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../src/components/accordion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46230</x:v>
      </x:c>
      <x:c r="K9" s="150" t="n"/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AC-02</x:t>
        </x:is>
      </x:c>
      <x:c r="B10" s="149" t="inlineStr">
        <x:is>
          <x:t xml:space="preserve">Anatomy</x:t>
        </x:is>
      </x:c>
      <x:c r="C10" s="149" t="inlineStr">
        <x:is>
          <x:t xml:space="preserve">All parts</x:t>
        </x:is>
      </x:c>
      <x:c r="D10" s="150" t="inlineStr">
        <x:is>
          <x:t xml:space="preserve">Root, Item, Header, Trigger, Indicator, Content, and ContentInner render stable public classes and slots; ContentInner alone owns visible panel padding.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../test/components/accordion/accordion.test.tsx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46230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AC-03</x:t>
        </x:is>
      </x:c>
      <x:c r="B11" s="149" t="inlineStr">
        <x:is>
          <x:t xml:space="preserve">Exports</x:t>
        </x:is>
      </x:c>
      <x:c r="C11" s="149" t="inlineStr">
        <x:is>
          <x:t xml:space="preserve">All parts</x:t>
        </x:is>
      </x:c>
      <x:c r="D11" s="150" t="inlineStr">
        <x:is>
          <x:t xml:space="preserve">The root and accordion subpath expose the namespace, seven named parts, every prop type, and closed size and variant unions with identical runtime identities.</x:t>
        </x:is>
      </x:c>
      <x:c r="E11" s="149" t="inlineStr">
        <x:is>
          <x:t xml:space="preserve">package</x:t>
        </x:is>
      </x:c>
      <x:c r="F11" s="149" t="inlineStr">
        <x:is>
          <x:t xml:space="preserve">package</x:t>
        </x:is>
      </x:c>
      <x:c r="G11" s="150" t="inlineStr">
        <x:is>
          <x:t xml:space="preserve">../test/package/package.test.mjs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46230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AC-04</x:t>
        </x:is>
      </x:c>
      <x:c r="B12" s="149" t="inlineStr">
        <x:is>
          <x:t xml:space="preserve">Types</x:t>
        </x:is>
      </x:c>
      <x:c r="C12" s="149" t="inlineStr">
        <x:is>
          <x:t xml:space="preserve">All parts</x:t>
        </x:is>
      </x:c>
      <x:c r="D12" s="150" t="inlineStr">
        <x:is>
          <x:t xml:space="preserve">Single and multiple value models, recipes, Atom props, native attributes, refs, composition, Indicator, and ContentInner type-check from the public subpath.</x:t>
        </x:is>
      </x:c>
      <x:c r="E12" s="149" t="inlineStr">
        <x:is>
          <x:t xml:space="preserve">package</x:t>
        </x:is>
      </x:c>
      <x:c r="F12" s="149" t="inlineStr">
        <x:is>
          <x:t xml:space="preserve">types</x:t>
        </x:is>
      </x:c>
      <x:c r="G12" s="150" t="inlineStr">
        <x:is>
          <x:t xml:space="preserve">../test/types/components/accordion.test.ts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46230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AC-05</x:t>
        </x:is>
      </x:c>
      <x:c r="B13" s="149" t="inlineStr">
        <x:is>
          <x:t xml:space="preserve">CSS</x:t>
        </x:is>
      </x:c>
      <x:c r="C13" s="149" t="inlineStr">
        <x:is>
          <x:t xml:space="preserve">All parts</x:t>
        </x:is>
      </x:c>
      <x:c r="D13" s="150" t="inlineStr">
        <x:is>
          <x:t xml:space="preserve">Static CSS ships surfaces, dividers, sizes, state paint, focus, disabled and locked-open treatment, two-axis motion, RTL, reduced motion, forced colors, and public variables.</x:t>
        </x:is>
      </x:c>
      <x:c r="E13" s="149" t="inlineStr">
        <x:is>
          <x:t xml:space="preserve">package</x:t>
        </x:is>
      </x:c>
      <x:c r="F13" s="149" t="inlineStr">
        <x:is>
          <x:t xml:space="preserve">css</x:t>
        </x:is>
      </x:c>
      <x:c r="G13" s="150" t="inlineStr">
        <x:is>
          <x:t xml:space="preserve">../src/components/accordion/accordion.css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46230</x:v>
      </x:c>
      <x:c r="K13" s="150" t="n"/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AC-06</x:t>
        </x:is>
      </x:c>
      <x:c r="B14" s="149" t="inlineStr">
        <x:is>
          <x:t xml:space="preserve">Defaults</x:t>
        </x:is>
      </x:c>
      <x:c r="C14" s="149" t="inlineStr">
        <x:is>
          <x:t xml:space="preserve">Root</x:t>
        </x:is>
      </x:c>
      <x:c r="D14" s="150" t="inlineStr">
        <x:is>
          <x:t xml:space="preserve">The default renders closed, plain, medium, enabled, vertical, single-selection, and collapsible with labelled panel landmarks.</x:t>
        </x:is>
      </x:c>
      <x:c r="E14" s="149" t="inlineStr">
        <x:is>
          <x:t xml:space="preserve">package</x:t>
        </x:is>
      </x:c>
      <x:c r="F14" s="149" t="inlineStr">
        <x:is>
          <x:t xml:space="preserve">browser</x:t>
        </x:is>
      </x:c>
      <x:c r="G14" s="150" t="inlineStr">
        <x:is>
          <x:t xml:space="preserve">tests/components/accordion/behavior.spec.ts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46230</x:v>
      </x:c>
      <x:c r="K14" s="150" t="n"/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AC-07</x:t>
        </x:is>
      </x:c>
      <x:c r="B15" s="149" t="inlineStr">
        <x:is>
          <x:t xml:space="preserve">Variants</x:t>
        </x:is>
      </x:c>
      <x:c r="C15" s="149" t="inlineStr">
        <x:is>
          <x:t xml:space="preserve">Root</x:t>
        </x:is>
      </x:c>
      <x:c r="D15" s="150" t="inlineStr">
        <x:is>
          <x:t xml:space="preserve">Plain, soft, and outline change only the intended group surface while content, size, orientation, and state remain at defaults.</x:t>
        </x:is>
      </x:c>
      <x:c r="E15" s="149" t="inlineStr">
        <x:is>
          <x:t xml:space="preserve">package</x:t>
        </x:is>
      </x:c>
      <x:c r="F15" s="149" t="inlineStr">
        <x:is>
          <x:t xml:space="preserve">visual</x:t>
        </x:is>
      </x:c>
      <x:c r="G15" s="150" t="inlineStr">
        <x:is>
          <x:t xml:space="preserve">tests/components/accordion/visual.spec.ts</x:t>
        </x:is>
      </x:c>
      <x:c r="H15" s="149" t="inlineStr">
        <x:is>
          <x:t xml:space="preserve">verified</x:t>
        </x:is>
      </x:c>
      <x:c r="I15" s="149" t="inlineStr">
        <x:is>
          <x:t xml:space="preserve">yes</x:t>
        </x:is>
      </x:c>
      <x:c r="J15" s="151" t="n">
        <x:v>46230</x:v>
      </x:c>
      <x:c r="K15" s="150" t="inlineStr">
        <x:is>
          <x:t xml:space="preserve">Agent-inspected the generated variants baseline.</x:t>
        </x:is>
      </x:c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AC-08</x:t>
        </x:is>
      </x:c>
      <x:c r="B16" s="149" t="inlineStr">
        <x:is>
          <x:t xml:space="preserve">Sizes</x:t>
        </x:is>
      </x:c>
      <x:c r="C16" s="149" t="inlineStr">
        <x:is>
          <x:t xml:space="preserve">Root</x:t>
        </x:is>
      </x:c>
      <x:c r="D16" s="150" t="inlineStr">
        <x:is>
          <x:t xml:space="preserve">Small, medium, and large coordinate trigger target, typography, spacing, indicator, and ContentInner padding without changing other recipes.</x:t>
        </x:is>
      </x:c>
      <x:c r="E16" s="149" t="inlineStr">
        <x:is>
          <x:t xml:space="preserve">package</x:t>
        </x:is>
      </x:c>
      <x:c r="F16" s="149" t="inlineStr">
        <x:is>
          <x:t xml:space="preserve">visual</x:t>
        </x:is>
      </x:c>
      <x:c r="G16" s="150" t="inlineStr">
        <x:is>
          <x:t xml:space="preserve">tests/components/accordion/visual.spec.ts</x:t>
        </x:is>
      </x:c>
      <x:c r="H16" s="149" t="inlineStr">
        <x:is>
          <x:t xml:space="preserve">verified</x:t>
        </x:is>
      </x:c>
      <x:c r="I16" s="149" t="inlineStr">
        <x:is>
          <x:t xml:space="preserve">yes</x:t>
        </x:is>
      </x:c>
      <x:c r="J16" s="151" t="n">
        <x:v>46230</x:v>
      </x:c>
      <x:c r="K16" s="150" t="inlineStr">
        <x:is>
          <x:t xml:space="preserve">Agent-inspected the generated sizes baseline.</x:t>
        </x:is>
      </x:c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AC-09</x:t>
        </x:is>
      </x:c>
      <x:c r="B17" s="149" t="inlineStr">
        <x:is>
          <x:t xml:space="preserve">Single selection</x:t>
        </x:is>
      </x:c>
      <x:c r="C17" s="149" t="inlineStr">
        <x:is>
          <x:t xml:space="preserve">Root / Item</x:t>
        </x:is>
      </x:c>
      <x:c r="D17" s="150" t="inlineStr">
        <x:is>
          <x:t xml:space="preserve">Single mode opens one Item, replaces the previous value, and optionally allows the active Item to close.</x:t>
        </x:is>
      </x:c>
      <x:c r="E17" s="149" t="inlineStr">
        <x:is>
          <x:t xml:space="preserve">package</x:t>
        </x:is>
      </x:c>
      <x:c r="F17" s="149" t="inlineStr">
        <x:is>
          <x:t xml:space="preserve">component</x:t>
        </x:is>
      </x:c>
      <x:c r="G17" s="150" t="inlineStr">
        <x:is>
          <x:t xml:space="preserve">../test/components/accordion/accordion.test.tsx; tests/components/accordion/behavior.spec.ts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n">
        <x:v>46230</x:v>
      </x:c>
      <x:c r="K17" s="150" t="n"/>
      <x:c r="L17" s="149" t="n">
        <x:v>1</x:v>
      </x:c>
      <x:c r="M17" s="149" t="n">
        <x:f>IF(OR(AND(I17="yes",H17="verified"),AND(I17="no",OR(H17="tested",H17="verified")),AND(H17="not applicable",K17&lt;&gt;"")),1,0)</x:f>
        <x:v>1</x:v>
      </x:c>
    </x:row>
    <x:row r="18" s="127" customFormat="1" ht="54" customHeight="1">
      <x:c r="A18" s="149" t="inlineStr">
        <x:is>
          <x:t xml:space="preserve">AC-10</x:t>
        </x:is>
      </x:c>
      <x:c r="B18" s="149" t="inlineStr">
        <x:is>
          <x:t xml:space="preserve">Multiple selection</x:t>
        </x:is>
      </x:c>
      <x:c r="C18" s="149" t="inlineStr">
        <x:is>
          <x:t xml:space="preserve">Root / Item</x:t>
        </x:is>
      </x:c>
      <x:c r="D18" s="150" t="inlineStr">
        <x:is>
          <x:t xml:space="preserve">Multiple mode independently opens and closes several unique Item values while preserving authored order.</x:t>
        </x:is>
      </x:c>
      <x:c r="E18" s="149" t="inlineStr">
        <x:is>
          <x:t xml:space="preserve">package</x:t>
        </x:is>
      </x:c>
      <x:c r="F18" s="149" t="inlineStr">
        <x:is>
          <x:t xml:space="preserve">component</x:t>
        </x:is>
      </x:c>
      <x:c r="G18" s="150" t="inlineStr">
        <x:is>
          <x:t xml:space="preserve">../test/components/accordion/accordion.test.tsx; tests/components/accordion/behavior.spec.ts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n">
        <x:v>46230</x:v>
      </x:c>
      <x:c r="K18" s="150" t="n"/>
      <x:c r="L18" s="149" t="n">
        <x:v>1</x:v>
      </x:c>
      <x:c r="M18" s="149" t="n">
        <x:f>IF(OR(AND(I18="yes",H18="verified"),AND(I18="no",OR(H18="tested",H18="verified")),AND(H18="not applicable",K18&lt;&gt;"")),1,0)</x:f>
        <x:v>1</x:v>
      </x:c>
    </x:row>
    <x:row r="19" s="127" customFormat="1" ht="54" customHeight="1">
      <x:c r="A19" s="149" t="inlineStr">
        <x:is>
          <x:t xml:space="preserve">AC-11</x:t>
        </x:is>
      </x:c>
      <x:c r="B19" s="149" t="inlineStr">
        <x:is>
          <x:t xml:space="preserve">Controlled state</x:t>
        </x:is>
      </x:c>
      <x:c r="C19" s="149" t="inlineStr">
        <x:is>
          <x:t xml:space="preserve">Root</x:t>
        </x:is>
      </x:c>
      <x:c r="D19" s="150" t="inlineStr">
        <x:is>
          <x:t xml:space="preserve">Controlled selection reports the next exact string or string-array value once and preserves the authored callback.</x:t>
        </x:is>
      </x:c>
      <x:c r="E19" s="149" t="inlineStr">
        <x:is>
          <x:t xml:space="preserve">package</x:t>
        </x:is>
      </x:c>
      <x:c r="F19" s="149" t="inlineStr">
        <x:is>
          <x:t xml:space="preserve">component</x:t>
        </x:is>
      </x:c>
      <x:c r="G19" s="150" t="inlineStr">
        <x:is>
          <x:t xml:space="preserve">../test/components/accordion/accordion.test.tsx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46230</x:v>
      </x:c>
      <x:c r="K19" s="150" t="n"/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AC-12</x:t>
        </x:is>
      </x:c>
      <x:c r="B20" s="149" t="inlineStr">
        <x:is>
          <x:t xml:space="preserve">Locked open</x:t>
        </x:is>
      </x:c>
      <x:c r="C20" s="149" t="inlineStr">
        <x:is>
          <x:t xml:space="preserve">Trigger</x:t>
        </x:is>
      </x:c>
      <x:c r="D20" s="150" t="inlineStr">
        <x:is>
          <x:t xml:space="preserve">A non-collapsible active single Trigger stays focusable, exposes aria-disabled and data-locked-open, and does not close.</x:t>
        </x:is>
      </x:c>
      <x:c r="E20" s="149" t="inlineStr">
        <x:is>
          <x:t xml:space="preserve">package</x:t>
        </x:is>
      </x:c>
      <x:c r="F20" s="149" t="inlineStr">
        <x:is>
          <x:t xml:space="preserve">browser</x:t>
        </x:is>
      </x:c>
      <x:c r="G20" s="150" t="inlineStr">
        <x:is>
          <x:t xml:space="preserve">../test/components/accordion/accordion.test.tsx; tests/components/accordion/behavior.spec.ts</x:t>
        </x:is>
      </x:c>
      <x:c r="H20" s="149" t="inlineStr">
        <x:is>
          <x:t xml:space="preserve">tested</x:t>
        </x:is>
      </x:c>
      <x:c r="I20" s="149" t="inlineStr">
        <x:is>
          <x:t xml:space="preserve">no</x:t>
        </x:is>
      </x:c>
      <x:c r="J20" s="151" t="n">
        <x:v>46230</x:v>
      </x:c>
      <x:c r="K20" s="150" t="n"/>
      <x:c r="L20" s="149" t="n">
        <x:v>1</x:v>
      </x:c>
      <x:c r="M20" s="149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49" t="inlineStr">
        <x:is>
          <x:t xml:space="preserve">AC-13</x:t>
        </x:is>
      </x:c>
      <x:c r="B21" s="149" t="inlineStr">
        <x:is>
          <x:t xml:space="preserve">Disabled</x:t>
        </x:is>
      </x:c>
      <x:c r="C21" s="149" t="inlineStr">
        <x:is>
          <x:t xml:space="preserve">Root / Item / Trigger</x:t>
        </x:is>
      </x:c>
      <x:c r="D21" s="150" t="inlineStr">
        <x:is>
          <x:t xml:space="preserve">Root and Item disabled states expose Atom semantics, are skipped by navigation, and never change selection.</x:t>
        </x:is>
      </x:c>
      <x:c r="E21" s="149" t="inlineStr">
        <x:is>
          <x:t xml:space="preserve">package</x:t>
        </x:is>
      </x:c>
      <x:c r="F21" s="149" t="inlineStr">
        <x:is>
          <x:t xml:space="preserve">browser</x:t>
        </x:is>
      </x:c>
      <x:c r="G21" s="150" t="inlineStr">
        <x:is>
          <x:t xml:space="preserve">../test/components/accordion/accordion.test.tsx; tests/components/accordion/behavior.spec.ts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46230</x:v>
      </x:c>
      <x:c r="K21" s="150" t="n"/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AC-14</x:t>
        </x:is>
      </x:c>
      <x:c r="B22" s="149" t="inlineStr">
        <x:is>
          <x:t xml:space="preserve">Lifecycle</x:t>
        </x:is>
      </x:c>
      <x:c r="C22" s="149" t="inlineStr">
        <x:is>
          <x:t xml:space="preserve">Content</x:t>
        </x:is>
      </x:c>
      <x:c r="D22" s="150" t="inlineStr">
        <x:is>
          <x:t xml:space="preserve">Closed Content unmounts unless keepMounted is requested; landmark false omits region and aria-labelledby without changing visible content.</x:t>
        </x:is>
      </x:c>
      <x:c r="E22" s="149" t="inlineStr">
        <x:is>
          <x:t xml:space="preserve">package</x:t>
        </x:is>
      </x:c>
      <x:c r="F22" s="149" t="inlineStr">
        <x:is>
          <x:t xml:space="preserve">browser</x:t>
        </x:is>
      </x:c>
      <x:c r="G22" s="150" t="inlineStr">
        <x:is>
          <x:t xml:space="preserve">../test/components/accordion/accordion.test.tsx; tests/components/accordion/behavior.spec.ts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46230</x:v>
      </x:c>
      <x:c r="K22" s="150" t="n"/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AC-15</x:t>
        </x:is>
      </x:c>
      <x:c r="B23" s="149" t="inlineStr">
        <x:is>
          <x:t xml:space="preserve">Relationships</x:t>
        </x:is>
      </x:c>
      <x:c r="C23" s="149" t="inlineStr">
        <x:is>
          <x:t xml:space="preserve">Header / Trigger / Content</x:t>
        </x:is>
      </x:c>
      <x:c r="D23" s="150" t="inlineStr">
        <x:is>
          <x:t xml:space="preserve">Heading-contained Trigger and Content retain matching generated IDs, controls, labels, expanded state, and optional region role.</x:t>
        </x:is>
      </x:c>
      <x:c r="E23" s="149" t="inlineStr">
        <x:is>
          <x:t xml:space="preserve">package</x:t>
        </x:is>
      </x:c>
      <x:c r="F23" s="149" t="inlineStr">
        <x:is>
          <x:t xml:space="preserve">browser</x:t>
        </x:is>
      </x:c>
      <x:c r="G23" s="150" t="inlineStr">
        <x:is>
          <x:t xml:space="preserve">tests/components/accordion/behavior.spec.ts; ../test/package/ssr.test.mjs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>
        <x:v>46230</x:v>
      </x:c>
      <x:c r="K23" s="150" t="n"/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AC-16</x:t>
        </x:is>
      </x:c>
      <x:c r="B24" s="149" t="inlineStr">
        <x:is>
          <x:t xml:space="preserve">Keyboard</x:t>
        </x:is>
      </x:c>
      <x:c r="C24" s="149" t="inlineStr">
        <x:is>
          <x:t xml:space="preserve">Trigger</x:t>
        </x:is>
      </x:c>
      <x:c r="D24" s="150" t="inlineStr">
        <x:is>
          <x:t xml:space="preserve">Enter and Space activate once; Home, End, and orientation-aware arrow keys move focus in enabled visual reading order.</x:t>
        </x:is>
      </x:c>
      <x:c r="E24" s="149" t="inlineStr">
        <x:is>
          <x:t xml:space="preserve">package</x:t>
        </x:is>
      </x:c>
      <x:c r="F24" s="149" t="inlineStr">
        <x:is>
          <x:t xml:space="preserve">browser</x:t>
        </x:is>
      </x:c>
      <x:c r="G24" s="150" t="inlineStr">
        <x:is>
          <x:t xml:space="preserve">tests/components/accordion/behavior.spec.ts</x:t>
        </x:is>
      </x:c>
      <x:c r="H24" s="149" t="inlineStr">
        <x:is>
          <x:t xml:space="preserve">tested</x:t>
        </x:is>
      </x:c>
      <x:c r="I24" s="149" t="inlineStr">
        <x:is>
          <x:t xml:space="preserve">no</x:t>
        </x:is>
      </x:c>
      <x:c r="J24" s="151" t="n">
        <x:v>46230</x:v>
      </x:c>
      <x:c r="K24" s="150" t="n"/>
      <x:c r="L24" s="149" t="n">
        <x:v>1</x:v>
      </x:c>
      <x:c r="M24" s="149" t="n">
        <x:f>IF(OR(AND(I24="yes",H24="verified"),AND(I24="no",OR(H24="tested",H24="verified")),AND(H24="not applicable",K24&lt;&gt;"")),1,0)</x:f>
        <x:v>1</x:v>
      </x:c>
    </x:row>
    <x:row r="25" s="127" customFormat="1" ht="54" customHeight="1">
      <x:c r="A25" s="149" t="inlineStr">
        <x:is>
          <x:t xml:space="preserve">AC-17</x:t>
        </x:is>
      </x:c>
      <x:c r="B25" s="149" t="inlineStr">
        <x:is>
          <x:t xml:space="preserve">Orientation</x:t>
        </x:is>
      </x:c>
      <x:c r="C25" s="149" t="inlineStr">
        <x:is>
          <x:t xml:space="preserve">All parts</x:t>
        </x:is>
      </x:c>
      <x:c r="D25" s="150" t="inlineStr">
        <x:is>
          <x:t xml:space="preserve">Vertical Items stack and animate measured height; horizontal Items order inline, pair Header beside Content, animate measured width, and reverse navigation in RTL.</x:t>
        </x:is>
      </x:c>
      <x:c r="E25" s="149" t="inlineStr">
        <x:is>
          <x:t xml:space="preserve">package</x:t>
        </x:is>
      </x:c>
      <x:c r="F25" s="149" t="inlineStr">
        <x:is>
          <x:t xml:space="preserve">visual</x:t>
        </x:is>
      </x:c>
      <x:c r="G25" s="150" t="inlineStr">
        <x:is>
          <x:t xml:space="preserve">tests/components/accordion/behavior.spec.ts; tests/components/accordion/visual.spec.ts</x:t>
        </x:is>
      </x:c>
      <x:c r="H25" s="149" t="inlineStr">
        <x:is>
          <x:t xml:space="preserve">verified</x:t>
        </x:is>
      </x:c>
      <x:c r="I25" s="149" t="inlineStr">
        <x:is>
          <x:t xml:space="preserve">yes</x:t>
        </x:is>
      </x:c>
      <x:c r="J25" s="151" t="n">
        <x:v>46230</x:v>
      </x:c>
      <x:c r="K25" s="150" t="inlineStr">
        <x:is>
          <x:t xml:space="preserve">Agent-inspected vertical, horizontal, narrow, and RTL baselines.</x:t>
        </x:is>
      </x:c>
      <x:c r="L25" s="149" t="n">
        <x:v>1</x:v>
      </x:c>
      <x:c r="M25" s="149" t="n">
        <x:f>IF(OR(AND(I25="yes",H25="verified"),AND(I25="no",OR(H25="tested",H25="verified")),AND(H25="not applicable",K25&lt;&gt;"")),1,0)</x:f>
        <x:v>1</x:v>
      </x:c>
    </x:row>
    <x:row r="26" s="127" customFormat="1" ht="54" customHeight="1">
      <x:c r="A26" s="149" t="inlineStr">
        <x:is>
          <x:t xml:space="preserve">AC-18</x:t>
        </x:is>
      </x:c>
      <x:c r="B26" s="149" t="inlineStr">
        <x:is>
          <x:t xml:space="preserve">Composition</x:t>
        </x:is>
      </x:c>
      <x:c r="C26" s="149" t="inlineStr">
        <x:is>
          <x:t xml:space="preserve">Atom-backed parts</x:t>
        </x:is>
      </x:c>
      <x:c r="D26" s="150" t="inlineStr">
        <x:is>
          <x:t xml:space="preserve">Render and asChild composition preserve semantic hosts, heading levels, relationships, classes, styles, slots, native props, events, and refs.</x:t>
        </x:is>
      </x:c>
      <x:c r="E26" s="149" t="inlineStr">
        <x:is>
          <x:t xml:space="preserve">package</x:t>
        </x:is>
      </x:c>
      <x:c r="F26" s="149" t="inlineStr">
        <x:is>
          <x:t xml:space="preserve">component</x:t>
        </x:is>
      </x:c>
      <x:c r="G26" s="150" t="inlineStr">
        <x:is>
          <x:t xml:space="preserve">../test/components/accordion/accordion.test.tsx</x:t>
        </x:is>
      </x:c>
      <x:c r="H26" s="149" t="inlineStr">
        <x:is>
          <x:t xml:space="preserve">tested</x:t>
        </x:is>
      </x:c>
      <x:c r="I26" s="149" t="inlineStr">
        <x:is>
          <x:t xml:space="preserve">no</x:t>
        </x:is>
      </x:c>
      <x:c r="J26" s="151" t="n">
        <x:v>46230</x:v>
      </x:c>
      <x:c r="K26" s="150" t="n"/>
      <x:c r="L26" s="149" t="n">
        <x:v>1</x:v>
      </x:c>
      <x:c r="M26" s="149" t="n">
        <x:f>IF(OR(AND(I26="yes",H26="verified"),AND(I26="no",OR(H26="tested",H26="verified")),AND(H26="not applicable",K26&lt;&gt;"")),1,0)</x:f>
        <x:v>1</x:v>
      </x:c>
    </x:row>
    <x:row r="27" s="127" customFormat="1" ht="54" customHeight="1">
      <x:c r="A27" s="149" t="inlineStr">
        <x:is>
          <x:t xml:space="preserve">AC-19</x:t>
        </x:is>
      </x:c>
      <x:c r="B27" s="149" t="inlineStr">
        <x:is>
          <x:t xml:space="preserve">Responsive and accessibility</x:t>
        </x:is>
      </x:c>
      <x:c r="C27" s="149" t="inlineStr">
        <x:is>
          <x:t xml:space="preserve">All parts</x:t>
        </x:is>
      </x:c>
      <x:c r="D27" s="150" t="inlineStr">
        <x:is>
          <x:t xml:space="preserve">Narrow horizontal scrolling stays inside Accordion, the page remains bounded, keyboard focus stays visible, and scoped axe checks pass.</x:t>
        </x:is>
      </x:c>
      <x:c r="E27" s="149" t="inlineStr">
        <x:is>
          <x:t xml:space="preserve">package</x:t>
        </x:is>
      </x:c>
      <x:c r="F27" s="149" t="inlineStr">
        <x:is>
          <x:t xml:space="preserve">axe</x:t>
        </x:is>
      </x:c>
      <x:c r="G27" s="150" t="inlineStr">
        <x:is>
          <x:t xml:space="preserve">tests/components/accordion/behavior.spec.ts</x:t>
        </x:is>
      </x:c>
      <x:c r="H27" s="149" t="inlineStr">
        <x:is>
          <x:t xml:space="preserve">tested</x:t>
        </x:is>
      </x:c>
      <x:c r="I27" s="149" t="inlineStr">
        <x:is>
          <x:t xml:space="preserve">no</x:t>
        </x:is>
      </x:c>
      <x:c r="J27" s="151" t="n">
        <x:v>46230</x:v>
      </x:c>
      <x:c r="K27" s="150" t="n"/>
      <x:c r="L27" s="149" t="n">
        <x:v>1</x:v>
      </x:c>
      <x:c r="M27" s="149" t="n">
        <x:f>IF(OR(AND(I27="yes",H27="verified"),AND(I27="no",OR(H27="tested",H27="verified")),AND(H27="not applicable",K27&lt;&gt;"")),1,0)</x:f>
        <x:v>1</x:v>
      </x:c>
    </x:row>
    <x:row r="28" s="127" customFormat="1" ht="54" customHeight="1">
      <x:c r="A28" s="149" t="inlineStr">
        <x:is>
          <x:t xml:space="preserve">AC-20</x:t>
        </x:is>
      </x:c>
      <x:c r="B28" s="149" t="inlineStr">
        <x:is>
          <x:t xml:space="preserve">Appearance</x:t>
        </x:is>
      </x:c>
      <x:c r="C28" s="149" t="inlineStr">
        <x:is>
          <x:t xml:space="preserve">All parts</x:t>
        </x:is>
      </x:c>
      <x:c r="D28" s="150" t="inlineStr">
        <x:is>
          <x:t xml:space="preserve">Semantic paint adapts in light, dark, and forced colors; supported variables exactly match the customization example.</x:t>
        </x:is>
      </x:c>
      <x:c r="E28" s="149" t="inlineStr">
        <x:is>
          <x:t xml:space="preserve">package</x:t>
        </x:is>
      </x:c>
      <x:c r="F28" s="149" t="inlineStr">
        <x:is>
          <x:t xml:space="preserve">visual</x:t>
        </x:is>
      </x:c>
      <x:c r="G28" s="150" t="inlineStr">
        <x:is>
          <x:t xml:space="preserve">tests/components/accordion/visual.spec.ts</x:t>
        </x:is>
      </x:c>
      <x:c r="H28" s="149" t="inlineStr">
        <x:is>
          <x:t xml:space="preserve">verified</x:t>
        </x:is>
      </x:c>
      <x:c r="I28" s="149" t="inlineStr">
        <x:is>
          <x:t xml:space="preserve">yes</x:t>
        </x:is>
      </x:c>
      <x:c r="J28" s="151" t="n">
        <x:v>46230</x:v>
      </x:c>
      <x:c r="K28" s="150" t="inlineStr">
        <x:is>
          <x:t xml:space="preserve">Agent-inspected appearance, customization, and forced-color baselines.</x:t>
        </x:is>
      </x:c>
      <x:c r="L28" s="149" t="n">
        <x:v>1</x:v>
      </x:c>
      <x:c r="M28" s="149" t="n">
        <x:f>IF(OR(AND(I28="yes",H28="verified"),AND(I28="no",OR(H28="tested",H28="verified")),AND(H28="not applicable",K28&lt;&gt;"")),1,0)</x:f>
        <x:v>1</x:v>
      </x:c>
    </x:row>
    <x:row r="29" s="127" customFormat="1" ht="54" customHeight="1">
      <x:c r="A29" s="149" t="inlineStr">
        <x:is>
          <x:t xml:space="preserve">AC-21</x:t>
        </x:is>
      </x:c>
      <x:c r="B29" s="149" t="inlineStr">
        <x:is>
          <x:t xml:space="preserve">Visual</x:t>
        </x:is>
      </x:c>
      <x:c r="C29" s="149" t="inlineStr">
        <x:is>
          <x:t xml:space="preserve">All parts</x:t>
        </x:is>
      </x:c>
      <x:c r="D29" s="150" t="inlineStr">
        <x:is>
          <x:t xml:space="preserve">Reviewed baselines cover defaults, variants, sizes, selection, states, both orientations, appearance, mobile RTL stress, and forced colors.</x:t>
        </x:is>
      </x:c>
      <x:c r="E29" s="149" t="inlineStr">
        <x:is>
          <x:t xml:space="preserve">package</x:t>
        </x:is>
      </x:c>
      <x:c r="F29" s="149" t="inlineStr">
        <x:is>
          <x:t xml:space="preserve">visual</x:t>
        </x:is>
      </x:c>
      <x:c r="G29" s="150" t="inlineStr">
        <x:is>
          <x:t xml:space="preserve">tests/components/accordion/visual.spec.ts</x:t>
        </x:is>
      </x:c>
      <x:c r="H29" s="149" t="inlineStr">
        <x:is>
          <x:t xml:space="preserve">verified</x:t>
        </x:is>
      </x:c>
      <x:c r="I29" s="149" t="inlineStr">
        <x:is>
          <x:t xml:space="preserve">yes</x:t>
        </x:is>
      </x:c>
      <x:c r="J29" s="151" t="n">
        <x:v>46230</x:v>
      </x:c>
      <x:c r="K29" s="150" t="inlineStr">
        <x:is>
          <x:t xml:space="preserve">Agent-inspected every generated Accordion baseline.</x:t>
        </x:is>
      </x:c>
      <x:c r="L29" s="149" t="n">
        <x:v>1</x:v>
      </x:c>
      <x:c r="M29" s="149" t="n">
        <x:f>IF(OR(AND(I29="yes",H29="verified"),AND(I29="no",OR(H29="tested",H29="verified")),AND(H29="not applicable",K29&lt;&gt;"")),1,0)</x:f>
        <x:v>1</x:v>
      </x:c>
    </x:row>
    <x:row r="30" s="127" customFormat="1" ht="54" customHeight="1">
      <x:c r="A30" s="149" t="inlineStr">
        <x:is>
          <x:t xml:space="preserve">AC-22</x:t>
        </x:is>
      </x:c>
      <x:c r="B30" s="149" t="inlineStr">
        <x:is>
          <x:t xml:space="preserve">Playground</x:t>
        </x:is>
      </x:c>
      <x:c r="C30" s="149" t="inlineStr">
        <x:is>
          <x:t xml:space="preserve">All parts</x:t>
        </x:is>
      </x:c>
      <x:c r="D30" s="150" t="inlineStr">
        <x:is>
          <x:t xml:space="preserve">One navigable route exposes nine controlled scenarios for defaults, recipes, selection, state, orientation, keyboard, composition, appearance, and stress.</x:t>
        </x:is>
      </x:c>
      <x:c r="E30" s="149" t="inlineStr">
        <x:is>
          <x:t xml:space="preserve">package</x:t>
        </x:is>
      </x:c>
      <x:c r="F30" s="149" t="inlineStr">
        <x:is>
          <x:t xml:space="preserve">playground</x:t>
        </x:is>
      </x:c>
      <x:c r="G30" s="150" t="inlineStr">
        <x:is>
          <x:t xml:space="preserve">src/components/accordion/AccordionPage.tsx</x:t>
        </x:is>
      </x:c>
      <x:c r="H30" s="149" t="inlineStr">
        <x:is>
          <x:t xml:space="preserve">tested</x:t>
        </x:is>
      </x:c>
      <x:c r="I30" s="149" t="inlineStr">
        <x:is>
          <x:t xml:space="preserve">no</x:t>
        </x:is>
      </x:c>
      <x:c r="J30" s="151" t="n">
        <x:v>46230</x:v>
      </x:c>
      <x:c r="K30" s="150" t="n"/>
      <x:c r="L30" s="149" t="n">
        <x:v>1</x:v>
      </x:c>
      <x:c r="M30" s="149" t="n">
        <x:f>IF(OR(AND(I30="yes",H30="verified"),AND(I30="no",OR(H30="tested",H30="verified")),AND(H30="not applicable",K30&lt;&gt;"")),1,0)</x:f>
        <x:v>1</x:v>
      </x:c>
    </x:row>
    <x:row r="31" s="127" customFormat="1" ht="15" customHeight="1">
      <x:c r="A31" s="149" t="inlineStr">
        <x:is>
          <x:t xml:space="preserve">AC-23</x:t>
        </x:is>
      </x:c>
      <x:c r="B31" s="149" t="inlineStr">
        <x:is>
          <x:t xml:space="preserve">Manual</x:t>
        </x:is>
      </x:c>
      <x:c r="C31" s="149" t="inlineStr">
        <x:is>
          <x:t xml:space="preserve">All parts</x:t>
        </x:is>
      </x:c>
      <x:c r="D31" s="150" t="inlineStr">
        <x:is>
          <x:t xml:space="preserve">A tester completes the concise pointer, keyboard, assistive-technology, appearance, zoom, mobile, RTL, forced-color, and reduced-motion protocol.</x:t>
        </x:is>
      </x:c>
      <x:c r="E31" s="149" t="inlineStr">
        <x:is>
          <x:t xml:space="preserve">package</x:t>
        </x:is>
      </x:c>
      <x:c r="F31" s="149" t="inlineStr">
        <x:is>
          <x:t xml:space="preserve">manual</x:t>
        </x:is>
      </x:c>
      <x:c r="G31" s="150" t="inlineStr">
        <x:is>
          <x:t xml:space="preserve">manual-tests/accordion.md</x:t>
        </x:is>
      </x:c>
      <x:c r="H31" s="149" t="inlineStr">
        <x:is>
          <x:t xml:space="preserve">not started</x:t>
        </x:is>
      </x:c>
      <x:c r="I31" s="149" t="inlineStr">
        <x:is>
          <x:t xml:space="preserve">yes</x:t>
        </x:is>
      </x:c>
      <x:c r="J31" s="151" t="n">
        <x:v>46230</x:v>
      </x:c>
      <x:c r="K31" s="150" t="inlineStr">
        <x:is>
          <x:t xml:space="preserve">Human run intentionally unclaimed.</x:t>
        </x:is>
      </x:c>
      <x:c r="L31" s="149" t="n">
        <x:v>1</x:v>
      </x:c>
      <x:c r="M31" s="149" t="n">
        <x:f>IF(OR(AND(I31="yes",H31="verified"),AND(I31="no",OR(H31="tested",H31="verified")),AND(H31="not applicable",K31&lt;&gt;"")),1,0)</x:f>
        <x:v>0</x:v>
      </x:c>
    </x:row>
    <x:row r="32" s="127" customFormat="1" ht="15" customHeight="1">
      <x:c r="A32" s="149" t="inlineStr">
        <x:is>
          <x:t xml:space="preserve">AC-24</x:t>
        </x:is>
      </x:c>
      <x:c r="B32" s="149" t="inlineStr">
        <x:is>
          <x:t xml:space="preserve">Documentation</x:t>
        </x:is>
      </x:c>
      <x:c r="C32" s="149" t="inlineStr">
        <x:is>
          <x:t xml:space="preserve">All parts</x:t>
        </x:is>
      </x:c>
      <x:c r="D32" s="150" t="inlineStr">
        <x:is>
          <x:t xml:space="preserve">Source-backed use, anatomy, API, recipes, accessibility, responsive behavior, composition, hooks, customization, evidence, and public changes are documented.</x:t>
        </x:is>
      </x:c>
      <x:c r="E32" s="149" t="inlineStr">
        <x:is>
          <x:t xml:space="preserve">package</x:t>
        </x:is>
      </x:c>
      <x:c r="F32" s="149" t="inlineStr">
        <x:is>
          <x:t xml:space="preserve">docs</x:t>
        </x:is>
      </x:c>
      <x:c r="G32" s="150" t="inlineStr">
        <x:is>
          <x:t xml:space="preserve">../docs/components/accordion/README.md; ../docs/components/accordion/CHANGELOG.md; ../CHANGELOG.md</x:t>
        </x:is>
      </x:c>
      <x:c r="H32" s="149" t="inlineStr">
        <x:is>
          <x:t xml:space="preserve">tested</x:t>
        </x:is>
      </x:c>
      <x:c r="I32" s="149" t="inlineStr">
        <x:is>
          <x:t xml:space="preserve">no</x:t>
        </x:is>
      </x:c>
      <x:c r="J32" s="151" t="n">
        <x:v>46230</x:v>
      </x:c>
      <x:c r="K32" s="150" t="n"/>
      <x:c r="L32" s="149" t="n">
        <x:v>1</x:v>
      </x:c>
      <x:c r="M32" s="149" t="n">
        <x:f>IF(OR(AND(I32="yes",H32="verified"),AND(I32="no",OR(H32="tested",H32="verified")),AND(H32="not applicable",K32&lt;&gt;"")),1,0)</x:f>
        <x:v>1</x:v>
      </x:c>
    </x:row>
    <x:row r="33" s="127" customFormat="1" ht="15" customHeight="1">
      <x:c r="A33" s="149" t="inlineStr">
        <x:is>
          <x:t xml:space="preserve">AC-25</x:t>
        </x:is>
      </x:c>
      <x:c r="B33" s="149" t="inlineStr">
        <x:is>
          <x:t xml:space="preserve">Consumer</x:t>
        </x:is>
      </x:c>
      <x:c r="C33" s="149" t="inlineStr">
        <x:is>
          <x:t xml:space="preserve">Accordion</x:t>
        </x:is>
      </x:c>
      <x:c r="D33" s="150" t="inlineStr">
        <x:is>
          <x:t xml:space="preserve">Packed Consumer imports the public accordion subpath and operates a realistic linked disclosure group on desktop and mobile.</x:t>
        </x:is>
      </x:c>
      <x:c r="E33" s="149" t="inlineStr">
        <x:is>
          <x:t xml:space="preserve">consumer</x:t>
        </x:is>
      </x:c>
      <x:c r="F33" s="149" t="inlineStr">
        <x:is>
          <x:t xml:space="preserve">consumer</x:t>
        </x:is>
      </x:c>
      <x:c r="G33" s="150" t="inlineStr">
        <x:is>
          <x:t xml:space="preserve">../apps/consumer/src/App.tsx; ../apps/consumer/tests/consumer.spec.ts</x:t>
        </x:is>
      </x:c>
      <x:c r="H33" s="149" t="inlineStr">
        <x:is>
          <x:t xml:space="preserve">tested</x:t>
        </x:is>
      </x:c>
      <x:c r="I33" s="149" t="inlineStr">
        <x:is>
          <x:t xml:space="preserve">no</x:t>
        </x:is>
      </x:c>
      <x:c r="J33" s="151" t="n">
        <x:v>46230</x:v>
      </x:c>
      <x:c r="K33" s="150" t="n"/>
      <x:c r="L33" s="149" t="n">
        <x:v>1</x:v>
      </x:c>
      <x:c r="M33" s="149" t="n">
        <x:f>IF(OR(AND(I33="yes",H33="verified"),AND(I33="no",OR(H33="tested",H33="verified")),AND(H33="not applicable",K33&lt;&gt;"")),1,0)</x:f>
        <x:v>1</x:v>
      </x:c>
    </x:row>
    <x:row r="34" s="127" customFormat="1" ht="33.75" customHeight="1">
      <x:c r="A34" s="149" t="inlineStr">
        <x:is>
          <x:t xml:space="preserve">AC-26</x:t>
        </x:is>
      </x:c>
      <x:c r="B34" s="149" t="inlineStr">
        <x:is>
          <x:t xml:space="preserve">Package</x:t>
        </x:is>
      </x:c>
      <x:c r="C34" s="149" t="inlineStr">
        <x:is>
          <x:t xml:space="preserve">Accordion</x:t>
        </x:is>
      </x:c>
      <x:c r="D34" s="150" t="inlineStr">
        <x:is>
          <x:t xml:space="preserve">Build, declarations, exports, SSR, CSS, tarball, docs, ownership, component coverage, and configured browser checks pass for Accordion.</x:t>
        </x:is>
      </x:c>
      <x:c r="E34" s="149" t="inlineStr">
        <x:is>
          <x:t xml:space="preserve">package</x:t>
        </x:is>
      </x:c>
      <x:c r="F34" s="149" t="inlineStr">
        <x:is>
          <x:t xml:space="preserve">package</x:t>
        </x:is>
      </x:c>
      <x:c r="G34" s="150" t="inlineStr">
        <x:is>
          <x:t xml:space="preserve">../test/package/package.test.mjs; ../test/package/ssr.test.mjs; ../scripts/verify-package.mjs</x:t>
        </x:is>
      </x:c>
      <x:c r="H34" s="149" t="inlineStr">
        <x:is>
          <x:t xml:space="preserve">tested</x:t>
        </x:is>
      </x:c>
      <x:c r="I34" s="149" t="inlineStr">
        <x:is>
          <x:t xml:space="preserve">no</x:t>
        </x:is>
      </x:c>
      <x:c r="J34" s="151" t="n">
        <x:v>46230</x:v>
      </x:c>
      <x:c r="K34" s="150" t="n"/>
      <x:c r="L34" s="149" t="n">
        <x:v>1</x:v>
      </x:c>
      <x:c r="M34" s="149" t="n">
        <x:f>IF(OR(AND(I34="yes",H34="verified"),AND(I34="no",OR(H34="tested",H34="verified")),AND(H34="not applicable",K34&lt;&gt;"")),1,0)</x:f>
        <x:v>1</x:v>
      </x:c>
    </x:row>
  </x:sheetData>
  <x:mergeCells>
    <x:mergeCell ref="A2:M2"/>
    <x:mergeCell ref="A1:M1"/>
  </x:mergeCells>
  <x:pageMargins left="0.7" right="0.7" top="0.75" bottom="0.75" header="0.3" footer="0.3"/>
</x:worksheet>
</file>

<file path=xl/worksheets/sheet57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Toast Evidence</x:t>
        </x:is>
      </x:c>
    </x:row>
    <x:row r="2" s="127" customFormat="1" ht="27.75" customHeight="1">
      <x:c r="A2" s="129" t="inlineStr">
        <x:is>
          <x:t xml:space="preserve">Assertion-level Atom-backed API, notification lifecycle, announcement, keyboard, visual, package, documentation, Consumer, and responsive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COUNTA(A9:A39)</x:f>
        <x:v>31</x:v>
      </x:c>
      <x:c r="D4" s="130" t="inlineStr">
        <x:is>
          <x:t xml:space="preserve">Resolved</x:t>
        </x:is>
      </x:c>
      <x:c r="E4" s="131" t="n">
        <x:f>SUM(M9:M39)</x:f>
        <x:v>27</x:v>
      </x:c>
      <x:c r="G4" s="130" t="inlineStr">
        <x:is>
          <x:t xml:space="preserve">Completion</x:t>
        </x:is>
      </x:c>
      <x:c r="H4" s="132" t="n">
        <x:f>IF(B4=0,0,E4/B4)</x:f>
        <x:v>0.8709677419354839</x:v>
      </x:c>
      <x:c r="J4" s="130" t="inlineStr">
        <x:is>
          <x:t xml:space="preserve">Package gate</x:t>
        </x:is>
      </x:c>
      <x:c r="K4" s="131" t="str">
        <x:f>IF(COUNTIFS(E9:E39,"package",M9:M39,0)&gt;0,"open","complete")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IF(COUNTIFS(I9:I39,"yes",M9:M39,0)&gt;0,"open","complete")</x:f>
        <x:v>open</x:v>
      </x:c>
      <x:c r="D5" s="130" t="inlineStr">
        <x:is>
          <x:t xml:space="preserve">Consumer gate</x:t>
        </x:is>
      </x:c>
      <x:c r="E5" s="131" t="str">
        <x:f>IF(COUNTIFS(E9:E39,"consumer",M9:M39,0)&gt;0,"open","complete")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TO-01</x:t>
        </x:is>
      </x:c>
      <x:c r="B9" s="149" t="inlineStr">
        <x:is>
          <x:t xml:space="preserve">Ownership</x:t>
        </x:is>
      </x:c>
      <x:c r="C9" s="149" t="inlineStr">
        <x:is>
          <x:t xml:space="preserve">All parts</x:t>
        </x:is>
      </x:c>
      <x:c r="D9" s="150" t="inlineStr">
        <x:is>
          <x:t xml:space="preserve">Brick delegates Toast state, queue, timer, portal, focus and announcements to Atom. The current local candidate is unpublished.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../src/components/toast/Toast.tsx; ../package.json</x:t>
        </x:is>
      </x:c>
      <x:c r="H9" s="149" t="inlineStr">
        <x:is>
          <x:t xml:space="preserve">partial</x:t>
        </x:is>
      </x:c>
      <x:c r="I9" s="149" t="inlineStr">
        <x:is>
          <x:t xml:space="preserve">no</x:t>
        </x:is>
      </x:c>
      <x:c r="J9" s="151" t="n">
        <x:v>46280.5</x:v>
      </x:c>
      <x:c r="K9" s="150" t="inlineStr">
        <x:is>
          <x:t xml:space="preserve">Local candidate only; no release authorized.</x:t>
        </x:is>
      </x:c>
      <x:c r="L9" s="149" t="n">
        <x:v>1</x:v>
      </x:c>
      <x:c r="M9" s="149" t="n">
        <x:f>IF(OR(AND(I9="yes",H9="verified"),AND(I9="no",OR(H9="tested",H9="verified")),AND(H9="not applicable",K9&lt;&gt;"")),1,0)</x:f>
        <x:v>0</x:v>
      </x:c>
    </x:row>
    <x:row r="10" s="127" customFormat="1" ht="54" customHeight="1">
      <x:c r="A10" s="149" t="inlineStr">
        <x:is>
          <x:t xml:space="preserve">TO-02</x:t>
        </x:is>
      </x:c>
      <x:c r="B10" s="149" t="inlineStr">
        <x:is>
          <x:t xml:space="preserve">API</x:t>
        </x:is>
      </x:c>
      <x:c r="C10" s="149" t="inlineStr">
        <x:is>
          <x:t xml:space="preserve">Toaster / toast</x:t>
        </x:is>
      </x:c>
      <x:c r="D10" s="150" t="inlineStr">
        <x:is>
          <x:t xml:space="preserve">One Toaster per manager. Default and scoped managers expose lifecycle, pause/resume/remove, inspection and tracked promises.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../test/components/toast/toast.test.tsx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46280.5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TO-03</x:t>
        </x:is>
      </x:c>
      <x:c r="B11" s="149" t="inlineStr">
        <x:is>
          <x:t xml:space="preserve">Anatomy</x:t>
        </x:is>
      </x:c>
      <x:c r="C11" s="149" t="inlineStr">
        <x:is>
          <x:t xml:space="preserve">All parts</x:t>
        </x:is>
      </x:c>
      <x:c r="D11" s="150" t="inlineStr">
        <x:is>
          <x:t xml:space="preserve">Root, Icon, Content, Title, Description, Actions, Action, Close, and Viewport render stable Brick classes and slots with optional parts omitted when absent.</x:t>
        </x:is>
      </x:c>
      <x:c r="E11" s="149" t="inlineStr">
        <x:is>
          <x:t xml:space="preserve">package</x:t>
        </x:is>
      </x:c>
      <x:c r="F11" s="149" t="inlineStr">
        <x:is>
          <x:t xml:space="preserve">component</x:t>
        </x:is>
      </x:c>
      <x:c r="G11" s="150" t="inlineStr">
        <x:is>
          <x:t xml:space="preserve">../test/components/toast/toast.test.tsx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46230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TO-04</x:t>
        </x:is>
      </x:c>
      <x:c r="B12" s="149" t="inlineStr">
        <x:is>
          <x:t xml:space="preserve">Exports</x:t>
        </x:is>
      </x:c>
      <x:c r="C12" s="149" t="inlineStr">
        <x:is>
          <x:t xml:space="preserve">All parts</x:t>
        </x:is>
      </x:c>
      <x:c r="D12" s="150" t="inlineStr">
        <x:is>
          <x:t xml:space="preserve">Root and toast subpath exports provide Toaster, toast, the Toast namespace, named compound parts, public option/data types, and runtime identity parity.</x:t>
        </x:is>
      </x:c>
      <x:c r="E12" s="149" t="inlineStr">
        <x:is>
          <x:t xml:space="preserve">package</x:t>
        </x:is>
      </x:c>
      <x:c r="F12" s="149" t="inlineStr">
        <x:is>
          <x:t xml:space="preserve">package</x:t>
        </x:is>
      </x:c>
      <x:c r="G12" s="150" t="inlineStr">
        <x:is>
          <x:t xml:space="preserve">../test/package/package.test.mjs; ../test/package/ssr.test.mjs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46230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TO-05</x:t>
        </x:is>
      </x:c>
      <x:c r="B13" s="149" t="inlineStr">
        <x:is>
          <x:t xml:space="preserve">Types</x:t>
        </x:is>
      </x:c>
      <x:c r="C13" s="149" t="inlineStr">
        <x:is>
          <x:t xml:space="preserve">Public surface</x:t>
        </x:is>
      </x:c>
      <x:c r="D13" s="150" t="inlineStr">
        <x:is>
          <x:t xml:space="preserve">Closed types, logical positions, widths, stacking, swipe direction, action, promise inference, native props, composition, and refs type-check while unsupported APIs fail.</x:t>
        </x:is>
      </x:c>
      <x:c r="E13" s="149" t="inlineStr">
        <x:is>
          <x:t xml:space="preserve">package</x:t>
        </x:is>
      </x:c>
      <x:c r="F13" s="149" t="inlineStr">
        <x:is>
          <x:t xml:space="preserve">types</x:t>
        </x:is>
      </x:c>
      <x:c r="G13" s="150" t="inlineStr">
        <x:is>
          <x:t xml:space="preserve">../test/types/components/toast.test.ts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46230</x:v>
      </x:c>
      <x:c r="K13" s="150" t="n"/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TO-06</x:t>
        </x:is>
      </x:c>
      <x:c r="B14" s="149" t="inlineStr">
        <x:is>
          <x:t xml:space="preserve">CSS</x:t>
        </x:is>
      </x:c>
      <x:c r="C14" s="149" t="inlineStr">
        <x:is>
          <x:t xml:space="preserve">All parts</x:t>
        </x:is>
      </x:c>
      <x:c r="D14" s="150" t="inlineStr">
        <x:is>
          <x:t xml:space="preserve">Static surface/solid, independent tone, radius, logical spacing and measured stack recipes.</x:t>
        </x:is>
      </x:c>
      <x:c r="E14" s="149" t="inlineStr">
        <x:is>
          <x:t xml:space="preserve">package</x:t>
        </x:is>
      </x:c>
      <x:c r="F14" s="149" t="inlineStr">
        <x:is>
          <x:t xml:space="preserve">css</x:t>
        </x:is>
      </x:c>
      <x:c r="G14" s="150" t="inlineStr">
        <x:is>
          <x:t xml:space="preserve">../src/components/toast/toast.css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46280.5</x:v>
      </x:c>
      <x:c r="K14" s="150" t="n"/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TO-07</x:t>
        </x:is>
      </x:c>
      <x:c r="B15" s="149" t="inlineStr">
        <x:is>
          <x:t xml:space="preserve">Defaults</x:t>
        </x:is>
      </x:c>
      <x:c r="C15" s="149" t="inlineStr">
        <x:is>
          <x:t xml:space="preserve">Toaster</x:t>
        </x:is>
      </x:c>
      <x:c r="D15" s="150" t="inlineStr">
        <x:is>
          <x:t xml:space="preserve">Defaults are bottom-end, maximum three visible, close enabled, responsive width, separated stacking, F8 region focus, paused timers on hover/focus/page loss, and no swipe.</x:t>
        </x:is>
      </x:c>
      <x:c r="E15" s="149" t="inlineStr">
        <x:is>
          <x:t xml:space="preserve">package</x:t>
        </x:is>
      </x:c>
      <x:c r="F15" s="149" t="inlineStr">
        <x:is>
          <x:t xml:space="preserve">browser</x:t>
        </x:is>
      </x:c>
      <x:c r="G15" s="150" t="inlineStr">
        <x:is>
          <x:t xml:space="preserve">tests/components/toast/behavior.spec.ts; ../test/components/toast/toast.test.tsx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46230</x:v>
      </x:c>
      <x:c r="K15" s="150" t="n"/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TO-08</x:t>
        </x:is>
      </x:c>
      <x:c r="B16" s="149" t="inlineStr">
        <x:is>
          <x:t xml:space="preserve">Types</x:t>
        </x:is>
      </x:c>
      <x:c r="C16" s="149" t="inlineStr">
        <x:is>
          <x:t xml:space="preserve">Root / Icon</x:t>
        </x:is>
      </x:c>
      <x:c r="D16" s="150" t="inlineStr">
        <x:is>
          <x:t xml:space="preserve">Default, success, error, warning, info, and loading change only semantic accent, glyph or spinner, and announcement priority while preserving geometry.</x:t>
        </x:is>
      </x:c>
      <x:c r="E16" s="149" t="inlineStr">
        <x:is>
          <x:t xml:space="preserve">package</x:t>
        </x:is>
      </x:c>
      <x:c r="F16" s="149" t="inlineStr">
        <x:is>
          <x:t xml:space="preserve">visual</x:t>
        </x:is>
      </x:c>
      <x:c r="G16" s="150" t="inlineStr">
        <x:is>
          <x:t xml:space="preserve">tests/components/toast/visual.spec.ts</x:t>
        </x:is>
      </x:c>
      <x:c r="H16" s="149" t="inlineStr">
        <x:is>
          <x:t xml:space="preserve">verified</x:t>
        </x:is>
      </x:c>
      <x:c r="I16" s="149" t="inlineStr">
        <x:is>
          <x:t xml:space="preserve">yes</x:t>
        </x:is>
      </x:c>
      <x:c r="J16" s="151" t="n">
        <x:v>46230</x:v>
      </x:c>
      <x:c r="K16" s="150" t="inlineStr">
        <x:is>
          <x:t xml:space="preserve">Agent inspected the complete six-type baseline in light and forced-color modes.</x:t>
        </x:is>
      </x:c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TO-09</x:t>
        </x:is>
      </x:c>
      <x:c r="B17" s="149" t="inlineStr">
        <x:is>
          <x:t xml:space="preserve">Content</x:t>
        </x:is>
      </x:c>
      <x:c r="C17" s="149" t="inlineStr">
        <x:is>
          <x:t xml:space="preserve">Content anatomy</x:t>
        </x:is>
      </x:c>
      <x:c r="D17" s="150" t="inlineStr">
        <x:is>
          <x:t xml:space="preserve">Title-only, description-only, combined, long localized content, component-owned default glyphs, and consumer-authored icon content preserve intended anatomy and hierarchy.</x:t>
        </x:is>
      </x:c>
      <x:c r="E17" s="149" t="inlineStr">
        <x:is>
          <x:t xml:space="preserve">package</x:t>
        </x:is>
      </x:c>
      <x:c r="F17" s="149" t="inlineStr">
        <x:is>
          <x:t xml:space="preserve">visual</x:t>
        </x:is>
      </x:c>
      <x:c r="G17" s="150" t="inlineStr">
        <x:is>
          <x:t xml:space="preserve">tests/components/toast/visual.spec.ts; ../test/components/toast/toast.test.tsx</x:t>
        </x:is>
      </x:c>
      <x:c r="H17" s="149" t="inlineStr">
        <x:is>
          <x:t xml:space="preserve">verified</x:t>
        </x:is>
      </x:c>
      <x:c r="I17" s="149" t="inlineStr">
        <x:is>
          <x:t xml:space="preserve">yes</x:t>
        </x:is>
      </x:c>
      <x:c r="J17" s="151" t="n">
        <x:v>46230</x:v>
      </x:c>
      <x:c r="K17" s="150" t="inlineStr">
        <x:is>
          <x:t xml:space="preserve">Agent inspected title-only, combined-content, custom-icon, loading, and localized-content baselines.</x:t>
        </x:is>
      </x:c>
      <x:c r="L17" s="149" t="n">
        <x:v>1</x:v>
      </x:c>
      <x:c r="M17" s="149" t="n">
        <x:f>IF(OR(AND(I17="yes",H17="verified"),AND(I17="no",OR(H17="tested",H17="verified")),AND(H17="not applicable",K17&lt;&gt;"")),1,0)</x:f>
        <x:v>1</x:v>
      </x:c>
    </x:row>
    <x:row r="18" s="127" customFormat="1" ht="54" customHeight="1">
      <x:c r="A18" s="149" t="inlineStr">
        <x:is>
          <x:t xml:space="preserve">TO-10</x:t>
        </x:is>
      </x:c>
      <x:c r="B18" s="149" t="inlineStr">
        <x:is>
          <x:t xml:space="preserve">Actions</x:t>
        </x:is>
      </x:c>
      <x:c r="C18" s="149" t="inlineStr">
        <x:is>
          <x:t xml:space="preserve">Action / Close</x:t>
        </x:is>
      </x:c>
      <x:c r="D18" s="150" t="inlineStr">
        <x:is>
          <x:t xml:space="preserve">One safe-to-ignore action runs once and dismisses only its toast; close policy resolves Toaster and per-toast settings with localized labels and dismissibility respected.</x:t>
        </x:is>
      </x:c>
      <x:c r="E18" s="149" t="inlineStr">
        <x:is>
          <x:t xml:space="preserve">package</x:t>
        </x:is>
      </x:c>
      <x:c r="F18" s="149" t="inlineStr">
        <x:is>
          <x:t xml:space="preserve">browser</x:t>
        </x:is>
      </x:c>
      <x:c r="G18" s="150" t="inlineStr">
        <x:is>
          <x:t xml:space="preserve">tests/components/toast/behavior.spec.ts; ../test/components/toast/toast.test.tsx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n">
        <x:v>46230</x:v>
      </x:c>
      <x:c r="K18" s="150" t="n"/>
      <x:c r="L18" s="149" t="n">
        <x:v>1</x:v>
      </x:c>
      <x:c r="M18" s="149" t="n">
        <x:f>IF(OR(AND(I18="yes",H18="verified"),AND(I18="no",OR(H18="tested",H18="verified")),AND(H18="not applicable",K18&lt;&gt;"")),1,0)</x:f>
        <x:v>1</x:v>
      </x:c>
    </x:row>
    <x:row r="19" s="127" customFormat="1" ht="54" customHeight="1">
      <x:c r="A19" s="149" t="inlineStr">
        <x:is>
          <x:t xml:space="preserve">TO-11</x:t>
        </x:is>
      </x:c>
      <x:c r="B19" s="149" t="inlineStr">
        <x:is>
          <x:t xml:space="preserve">Widths</x:t>
        </x:is>
      </x:c>
      <x:c r="C19" s="149" t="inlineStr">
        <x:is>
          <x:t xml:space="preserve">Viewport / Root</x:t>
        </x:is>
      </x:c>
      <x:c r="D19" s="150" t="inlineStr">
        <x:is>
          <x:t xml:space="preserve">Responsive width is near-full on narrow viewports and compact on larger screens; compact and full remain closed supported alternatives without page overflow.</x:t>
        </x:is>
      </x:c>
      <x:c r="E19" s="149" t="inlineStr">
        <x:is>
          <x:t xml:space="preserve">package</x:t>
        </x:is>
      </x:c>
      <x:c r="F19" s="149" t="inlineStr">
        <x:is>
          <x:t xml:space="preserve">browser</x:t>
        </x:is>
      </x:c>
      <x:c r="G19" s="150" t="inlineStr">
        <x:is>
          <x:t xml:space="preserve">tests/components/toast/behavior.spec.ts; tests/components/toast/visual.spec.ts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46230</x:v>
      </x:c>
      <x:c r="K19" s="150" t="n"/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TO-12</x:t>
        </x:is>
      </x:c>
      <x:c r="B20" s="149" t="inlineStr">
        <x:is>
          <x:t xml:space="preserve">Positions</x:t>
        </x:is>
      </x:c>
      <x:c r="C20" s="149" t="inlineStr">
        <x:is>
          <x:t xml:space="preserve">Viewport</x:t>
        </x:is>
      </x:c>
      <x:c r="D20" s="150" t="inlineStr">
        <x:is>
          <x:t xml:space="preserve">Top-start, top-center, top-end, bottom-start, bottom-center, and bottom-end map through logical inline direction in LTR and RTL.</x:t>
        </x:is>
      </x:c>
      <x:c r="E20" s="149" t="inlineStr">
        <x:is>
          <x:t xml:space="preserve">package</x:t>
        </x:is>
      </x:c>
      <x:c r="F20" s="149" t="inlineStr">
        <x:is>
          <x:t xml:space="preserve">visual</x:t>
        </x:is>
      </x:c>
      <x:c r="G20" s="150" t="inlineStr">
        <x:is>
          <x:t xml:space="preserve">tests/components/toast/behavior.spec.ts; tests/components/toast/visual.spec.ts</x:t>
        </x:is>
      </x:c>
      <x:c r="H20" s="149" t="inlineStr">
        <x:is>
          <x:t xml:space="preserve">verified</x:t>
        </x:is>
      </x:c>
      <x:c r="I20" s="149" t="inlineStr">
        <x:is>
          <x:t xml:space="preserve">yes</x:t>
        </x:is>
      </x:c>
      <x:c r="J20" s="151" t="n">
        <x:v>46230</x:v>
      </x:c>
      <x:c r="K20" s="150" t="inlineStr">
        <x:is>
          <x:t xml:space="preserve">Agent inspected the six-position comparison and RTL logical anatomy baseline.</x:t>
        </x:is>
      </x:c>
      <x:c r="L20" s="149" t="n">
        <x:v>1</x:v>
      </x:c>
      <x:c r="M20" s="149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49" t="inlineStr">
        <x:is>
          <x:t xml:space="preserve">TO-13</x:t>
        </x:is>
      </x:c>
      <x:c r="B21" s="149" t="inlineStr">
        <x:is>
          <x:t xml:space="preserve">Stacking</x:t>
        </x:is>
      </x:c>
      <x:c r="C21" s="149" t="inlineStr">
        <x:is>
          <x:t xml:space="preserve">Viewport / Root</x:t>
        </x:is>
      </x:c>
      <x:c r="D21" s="150" t="inlineStr">
        <x:is>
          <x:t xml:space="preserve">Separated stacking supports variable-height cards without collision; overlap layers inactive cards and expands for pointer or keyboard entry.</x:t>
        </x:is>
      </x:c>
      <x:c r="E21" s="149" t="inlineStr">
        <x:is>
          <x:t xml:space="preserve">package</x:t>
        </x:is>
      </x:c>
      <x:c r="F21" s="149" t="inlineStr">
        <x:is>
          <x:t xml:space="preserve">browser</x:t>
        </x:is>
      </x:c>
      <x:c r="G21" s="150" t="inlineStr">
        <x:is>
          <x:t xml:space="preserve">tests/components/toast/behavior.spec.ts; tests/components/toast/visual.spec.ts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46230</x:v>
      </x:c>
      <x:c r="K21" s="150" t="n"/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TO-14</x:t>
        </x:is>
      </x:c>
      <x:c r="B22" s="149" t="inlineStr">
        <x:is>
          <x:t xml:space="preserve">Queue and timers</x:t>
        </x:is>
      </x:c>
      <x:c r="C22" s="149" t="inlineStr">
        <x:is>
          <x:t xml:space="preserve">Toaster / Root</x:t>
        </x:is>
      </x:c>
      <x:c r="D22" s="150" t="inlineStr">
        <x:is>
          <x:t xml:space="preserve">FIFO queue promotion preserves reading time. Newest visible cards stay nearest the anchor; independent pause reasons compose.</x:t>
        </x:is>
      </x:c>
      <x:c r="E22" s="149" t="inlineStr">
        <x:is>
          <x:t xml:space="preserve">package</x:t>
        </x:is>
      </x:c>
      <x:c r="F22" s="149" t="inlineStr">
        <x:is>
          <x:t xml:space="preserve">browser</x:t>
        </x:is>
      </x:c>
      <x:c r="G22" s="150" t="inlineStr">
        <x:is>
          <x:t xml:space="preserve">tests/components/toast/behavior.spec.ts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46280.5</x:v>
      </x:c>
      <x:c r="K22" s="150" t="n"/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TO-15</x:t>
        </x:is>
      </x:c>
      <x:c r="B23" s="149" t="inlineStr">
        <x:is>
          <x:t xml:space="preserve">Async lifecycle</x:t>
        </x:is>
      </x:c>
      <x:c r="C23" s="149" t="inlineStr">
        <x:is>
          <x:t xml:space="preserve">toast</x:t>
        </x:is>
      </x:c>
      <x:c r="D23" s="150" t="inlineStr">
        <x:is>
          <x:t xml:space="preserve">Loading, update, promise success/error, stable immutable IDs, callbacks, and dismiss-one/all preserve one logical toast lifecycle without duplicate records.</x:t>
        </x:is>
      </x:c>
      <x:c r="E23" s="149" t="inlineStr">
        <x:is>
          <x:t xml:space="preserve">package</x:t>
        </x:is>
      </x:c>
      <x:c r="F23" s="149" t="inlineStr">
        <x:is>
          <x:t xml:space="preserve">component</x:t>
        </x:is>
      </x:c>
      <x:c r="G23" s="150" t="inlineStr">
        <x:is>
          <x:t xml:space="preserve">../test/components/toast/toast.test.tsx; tests/components/toast/behavior.spec.ts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>
        <x:v>46230</x:v>
      </x:c>
      <x:c r="K23" s="150" t="n"/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TO-16</x:t>
        </x:is>
      </x:c>
      <x:c r="B24" s="149" t="inlineStr">
        <x:is>
          <x:t xml:space="preserve">Announcements</x:t>
        </x:is>
      </x:c>
      <x:c r="C24" s="149" t="inlineStr">
        <x:is>
          <x:t xml:space="preserve">Toaster / Root</x:t>
        </x:is>
      </x:c>
      <x:c r="D24" s="150" t="inlineStr">
        <x:is>
          <x:t xml:space="preserve">Create and update use exactly one persistent Atom-owned polite or assertive announcement path; visible cards do not create a second live region.</x:t>
        </x:is>
      </x:c>
      <x:c r="E24" s="149" t="inlineStr">
        <x:is>
          <x:t xml:space="preserve">package</x:t>
        </x:is>
      </x:c>
      <x:c r="F24" s="149" t="inlineStr">
        <x:is>
          <x:t xml:space="preserve">axe</x:t>
        </x:is>
      </x:c>
      <x:c r="G24" s="150" t="inlineStr">
        <x:is>
          <x:t xml:space="preserve">tests/components/toast/behavior.spec.ts; ../test/components/toast/toast.test.tsx</x:t>
        </x:is>
      </x:c>
      <x:c r="H24" s="149" t="inlineStr">
        <x:is>
          <x:t xml:space="preserve">tested</x:t>
        </x:is>
      </x:c>
      <x:c r="I24" s="149" t="inlineStr">
        <x:is>
          <x:t xml:space="preserve">no</x:t>
        </x:is>
      </x:c>
      <x:c r="J24" s="151" t="n">
        <x:v>46230</x:v>
      </x:c>
      <x:c r="K24" s="150" t="n"/>
      <x:c r="L24" s="149" t="n">
        <x:v>1</x:v>
      </x:c>
      <x:c r="M24" s="149" t="n">
        <x:f>IF(OR(AND(I24="yes",H24="verified"),AND(I24="no",OR(H24="tested",H24="verified")),AND(H24="not applicable",K24&lt;&gt;"")),1,0)</x:f>
        <x:v>1</x:v>
      </x:c>
    </x:row>
    <x:row r="25" s="127" customFormat="1" ht="54" customHeight="1">
      <x:c r="A25" s="149" t="inlineStr">
        <x:is>
          <x:t xml:space="preserve">TO-17</x:t>
        </x:is>
      </x:c>
      <x:c r="B25" s="149" t="inlineStr">
        <x:is>
          <x:t xml:space="preserve">Keyboard</x:t>
        </x:is>
      </x:c>
      <x:c r="C25" s="149" t="inlineStr">
        <x:is>
          <x:t xml:space="preserve">Viewport / controls</x:t>
        </x:is>
      </x:c>
      <x:c r="D25" s="150" t="inlineStr">
        <x:is>
          <x:t xml:space="preserve">Appearance never steals focus; F8 enters the labelled region, Tab and Shift+Tab reach controls, focused Escape dismisses, and prior focus restores safely.</x:t>
        </x:is>
      </x:c>
      <x:c r="E25" s="149" t="inlineStr">
        <x:is>
          <x:t xml:space="preserve">package</x:t>
        </x:is>
      </x:c>
      <x:c r="F25" s="149" t="inlineStr">
        <x:is>
          <x:t xml:space="preserve">browser</x:t>
        </x:is>
      </x:c>
      <x:c r="G25" s="150" t="inlineStr">
        <x:is>
          <x:t xml:space="preserve">tests/components/toast/behavior.spec.ts</x:t>
        </x:is>
      </x:c>
      <x:c r="H25" s="149" t="inlineStr">
        <x:is>
          <x:t xml:space="preserve">tested</x:t>
        </x:is>
      </x:c>
      <x:c r="I25" s="149" t="inlineStr">
        <x:is>
          <x:t xml:space="preserve">no</x:t>
        </x:is>
      </x:c>
      <x:c r="J25" s="151" t="n">
        <x:v>46230</x:v>
      </x:c>
      <x:c r="K25" s="150" t="n"/>
      <x:c r="L25" s="149" t="n">
        <x:v>1</x:v>
      </x:c>
      <x:c r="M25" s="149" t="n">
        <x:f>IF(OR(AND(I25="yes",H25="verified"),AND(I25="no",OR(H25="tested",H25="verified")),AND(H25="not applicable",K25&lt;&gt;"")),1,0)</x:f>
        <x:v>1</x:v>
      </x:c>
    </x:row>
    <x:row r="26" s="127" customFormat="1" ht="54" customHeight="1">
      <x:c r="A26" s="149" t="inlineStr">
        <x:is>
          <x:t xml:space="preserve">TO-18</x:t>
        </x:is>
      </x:c>
      <x:c r="B26" s="149" t="inlineStr">
        <x:is>
          <x:t xml:space="preserve">Swipe</x:t>
        </x:is>
      </x:c>
      <x:c r="C26" s="149" t="inlineStr">
        <x:is>
          <x:t xml:space="preserve">Root</x:t>
        </x:is>
      </x:c>
      <x:c r="D26" s="150" t="inlineStr">
        <x:is>
          <x:t xml:space="preserve">Optional left, right, up, or down swipe dismissal exposes directional movement and cancellation at the configured threshold without enabling arbitrary dragging by default.</x:t>
        </x:is>
      </x:c>
      <x:c r="E26" s="149" t="inlineStr">
        <x:is>
          <x:t xml:space="preserve">package</x:t>
        </x:is>
      </x:c>
      <x:c r="F26" s="149" t="inlineStr">
        <x:is>
          <x:t xml:space="preserve">source</x:t>
        </x:is>
      </x:c>
      <x:c r="G26" s="150" t="inlineStr">
        <x:is>
          <x:t xml:space="preserve">../src/components/toast/Toast.tsx; ../src/components/toast/toast.css</x:t>
        </x:is>
      </x:c>
      <x:c r="H26" s="149" t="inlineStr">
        <x:is>
          <x:t xml:space="preserve">tested</x:t>
        </x:is>
      </x:c>
      <x:c r="I26" s="149" t="inlineStr">
        <x:is>
          <x:t xml:space="preserve">no</x:t>
        </x:is>
      </x:c>
      <x:c r="J26" s="151" t="n">
        <x:v>46230</x:v>
      </x:c>
      <x:c r="K26" s="150" t="n"/>
      <x:c r="L26" s="149" t="n">
        <x:v>1</x:v>
      </x:c>
      <x:c r="M26" s="149" t="n">
        <x:f>IF(OR(AND(I26="yes",H26="verified"),AND(I26="no",OR(H26="tested",H26="verified")),AND(H26="not applicable",K26&lt;&gt;"")),1,0)</x:f>
        <x:v>1</x:v>
      </x:c>
    </x:row>
    <x:row r="27" s="127" customFormat="1" ht="54" customHeight="1">
      <x:c r="A27" s="149" t="inlineStr">
        <x:is>
          <x:t xml:space="preserve">TO-19</x:t>
        </x:is>
      </x:c>
      <x:c r="B27" s="149" t="inlineStr">
        <x:is>
          <x:t xml:space="preserve">Portal and props</x:t>
        </x:is>
      </x:c>
      <x:c r="C27" s="149" t="inlineStr">
        <x:is>
          <x:t xml:space="preserve">Toaster / Viewport</x:t>
        </x:is>
      </x:c>
      <x:c r="D27" s="150" t="inlineStr">
        <x:is>
          <x:t xml:space="preserve">Body portal, custom container, disabled portal, native viewport props, style, class, data attributes, and the empty-to-visible viewport ref lifecycle preserve the public boundary.</x:t>
        </x:is>
      </x:c>
      <x:c r="E27" s="149" t="inlineStr">
        <x:is>
          <x:t xml:space="preserve">package</x:t>
        </x:is>
      </x:c>
      <x:c r="F27" s="149" t="inlineStr">
        <x:is>
          <x:t xml:space="preserve">component</x:t>
        </x:is>
      </x:c>
      <x:c r="G27" s="150" t="inlineStr">
        <x:is>
          <x:t xml:space="preserve">../test/components/toast/toast.test.tsx; ../test/package/ssr.test.mjs</x:t>
        </x:is>
      </x:c>
      <x:c r="H27" s="149" t="inlineStr">
        <x:is>
          <x:t xml:space="preserve">tested</x:t>
        </x:is>
      </x:c>
      <x:c r="I27" s="149" t="inlineStr">
        <x:is>
          <x:t xml:space="preserve">no</x:t>
        </x:is>
      </x:c>
      <x:c r="J27" s="151" t="n">
        <x:v>46230</x:v>
      </x:c>
      <x:c r="K27" s="150" t="n"/>
      <x:c r="L27" s="149" t="n">
        <x:v>1</x:v>
      </x:c>
      <x:c r="M27" s="149" t="n">
        <x:f>IF(OR(AND(I27="yes",H27="verified"),AND(I27="no",OR(H27="tested",H27="verified")),AND(H27="not applicable",K27&lt;&gt;"")),1,0)</x:f>
        <x:v>1</x:v>
      </x:c>
    </x:row>
    <x:row r="28" s="127" customFormat="1" ht="54" customHeight="1">
      <x:c r="A28" s="149" t="inlineStr">
        <x:is>
          <x:t xml:space="preserve">TO-20</x:t>
        </x:is>
      </x:c>
      <x:c r="B28" s="149" t="inlineStr">
        <x:is>
          <x:t xml:space="preserve">Customization</x:t>
        </x:is>
      </x:c>
      <x:c r="C28" s="149" t="inlineStr">
        <x:is>
          <x:t xml:space="preserve">All parts</x:t>
        </x:is>
      </x:c>
      <x:c r="D28" s="150" t="inlineStr">
        <x:is>
          <x:t xml:space="preserve">Public compound parts, renderToast, classes, variables, per-toast class, custom icons, viewport offsets, and native props customize presentation without transferring Atom behavior ownership.</x:t>
        </x:is>
      </x:c>
      <x:c r="E28" s="149" t="inlineStr">
        <x:is>
          <x:t xml:space="preserve">package</x:t>
        </x:is>
      </x:c>
      <x:c r="F28" s="149" t="inlineStr">
        <x:is>
          <x:t xml:space="preserve">component</x:t>
        </x:is>
      </x:c>
      <x:c r="G28" s="150" t="inlineStr">
        <x:is>
          <x:t xml:space="preserve">../test/components/toast/toast.test.tsx; ../docs/components/toast/README.md</x:t>
        </x:is>
      </x:c>
      <x:c r="H28" s="149" t="inlineStr">
        <x:is>
          <x:t xml:space="preserve">tested</x:t>
        </x:is>
      </x:c>
      <x:c r="I28" s="149" t="inlineStr">
        <x:is>
          <x:t xml:space="preserve">no</x:t>
        </x:is>
      </x:c>
      <x:c r="J28" s="151" t="n">
        <x:v>46230</x:v>
      </x:c>
      <x:c r="K28" s="150" t="n"/>
      <x:c r="L28" s="149" t="n">
        <x:v>1</x:v>
      </x:c>
      <x:c r="M28" s="149" t="n">
        <x:f>IF(OR(AND(I28="yes",H28="verified"),AND(I28="no",OR(H28="tested",H28="verified")),AND(H28="not applicable",K28&lt;&gt;"")),1,0)</x:f>
        <x:v>1</x:v>
      </x:c>
    </x:row>
    <x:row r="29" s="127" customFormat="1" ht="54" customHeight="1">
      <x:c r="A29" s="149" t="inlineStr">
        <x:is>
          <x:t xml:space="preserve">TO-21</x:t>
        </x:is>
      </x:c>
      <x:c r="B29" s="149" t="inlineStr">
        <x:is>
          <x:t xml:space="preserve">Responsive / RTL</x:t>
        </x:is>
      </x:c>
      <x:c r="C29" s="149" t="inlineStr">
        <x:is>
          <x:t xml:space="preserve">All parts</x:t>
        </x:is>
      </x:c>
      <x:c r="D29" s="150" t="inlineStr">
        <x:is>
          <x:t xml:space="preserve">Mobile width, long Arabic content, RTL logical anatomy, variable heights, text spacing, safe-area fixtures, and narrow containment remain readable without horizontal page overflow.</x:t>
        </x:is>
      </x:c>
      <x:c r="E29" s="149" t="inlineStr">
        <x:is>
          <x:t xml:space="preserve">package</x:t>
        </x:is>
      </x:c>
      <x:c r="F29" s="149" t="inlineStr">
        <x:is>
          <x:t xml:space="preserve">visual</x:t>
        </x:is>
      </x:c>
      <x:c r="G29" s="150" t="inlineStr">
        <x:is>
          <x:t xml:space="preserve">tests/components/toast/behavior.spec.ts; tests/components/toast/visual.spec.ts</x:t>
        </x:is>
      </x:c>
      <x:c r="H29" s="149" t="inlineStr">
        <x:is>
          <x:t xml:space="preserve">verified</x:t>
        </x:is>
      </x:c>
      <x:c r="I29" s="149" t="inlineStr">
        <x:is>
          <x:t xml:space="preserve">yes</x:t>
        </x:is>
      </x:c>
      <x:c r="J29" s="151" t="n">
        <x:v>46230</x:v>
      </x:c>
      <x:c r="K29" s="150" t="inlineStr">
        <x:is>
          <x:t xml:space="preserve">Agent inspected the mobile RTL stress and logical-position baselines.</x:t>
        </x:is>
      </x:c>
      <x:c r="L29" s="149" t="n">
        <x:v>1</x:v>
      </x:c>
      <x:c r="M29" s="149" t="n">
        <x:f>IF(OR(AND(I29="yes",H29="verified"),AND(I29="no",OR(H29="tested",H29="verified")),AND(H29="not applicable",K29&lt;&gt;"")),1,0)</x:f>
        <x:v>1</x:v>
      </x:c>
    </x:row>
    <x:row r="30" s="127" customFormat="1" ht="54" customHeight="1">
      <x:c r="A30" s="149" t="inlineStr">
        <x:is>
          <x:t xml:space="preserve">TO-22</x:t>
        </x:is>
      </x:c>
      <x:c r="B30" s="149" t="inlineStr">
        <x:is>
          <x:t xml:space="preserve">Appearance</x:t>
        </x:is>
      </x:c>
      <x:c r="C30" s="149" t="inlineStr">
        <x:is>
          <x:t xml:space="preserve">All parts</x:t>
        </x:is>
      </x:c>
      <x:c r="D30" s="150" t="inlineStr">
        <x:is>
          <x:t xml:space="preserve">Semantic surface, text, accent, glyph, close, action, focus, and elevation remain legible and intentionally hierarchical in light and dark appearance.</x:t>
        </x:is>
      </x:c>
      <x:c r="E30" s="149" t="inlineStr">
        <x:is>
          <x:t xml:space="preserve">package</x:t>
        </x:is>
      </x:c>
      <x:c r="F30" s="149" t="inlineStr">
        <x:is>
          <x:t xml:space="preserve">visual</x:t>
        </x:is>
      </x:c>
      <x:c r="G30" s="150" t="inlineStr">
        <x:is>
          <x:t xml:space="preserve">tests/components/toast/visual.spec.ts</x:t>
        </x:is>
      </x:c>
      <x:c r="H30" s="149" t="inlineStr">
        <x:is>
          <x:t xml:space="preserve">verified</x:t>
        </x:is>
      </x:c>
      <x:c r="I30" s="149" t="inlineStr">
        <x:is>
          <x:t xml:space="preserve">yes</x:t>
        </x:is>
      </x:c>
      <x:c r="J30" s="151" t="n">
        <x:v>46230</x:v>
      </x:c>
      <x:c r="K30" s="150" t="inlineStr">
        <x:is>
          <x:t xml:space="preserve">Agent inspected the light and dark appearance baseline.</x:t>
        </x:is>
      </x:c>
      <x:c r="L30" s="149" t="n">
        <x:v>1</x:v>
      </x:c>
      <x:c r="M30" s="149" t="n">
        <x:f>IF(OR(AND(I30="yes",H30="verified"),AND(I30="no",OR(H30="tested",H30="verified")),AND(H30="not applicable",K30&lt;&gt;"")),1,0)</x:f>
        <x:v>1</x:v>
      </x:c>
    </x:row>
    <x:row r="31" s="127" customFormat="1" ht="54" customHeight="1">
      <x:c r="A31" s="149" t="inlineStr">
        <x:is>
          <x:t xml:space="preserve">TO-23</x:t>
        </x:is>
      </x:c>
      <x:c r="B31" s="149" t="inlineStr">
        <x:is>
          <x:t xml:space="preserve">Preferences</x:t>
        </x:is>
      </x:c>
      <x:c r="C31" s="149" t="inlineStr">
        <x:is>
          <x:t xml:space="preserve">Root / Icon</x:t>
        </x:is>
      </x:c>
      <x:c r="D31" s="150" t="inlineStr">
        <x:is>
          <x:t xml:space="preserve">Reduced motion removes lifecycle and loading animation while preserving state; forced colors preserves boundaries, icons, text, controls, and focus geometry.</x:t>
        </x:is>
      </x:c>
      <x:c r="E31" s="149" t="inlineStr">
        <x:is>
          <x:t xml:space="preserve">package</x:t>
        </x:is>
      </x:c>
      <x:c r="F31" s="149" t="inlineStr">
        <x:is>
          <x:t xml:space="preserve">visual</x:t>
        </x:is>
      </x:c>
      <x:c r="G31" s="150" t="inlineStr">
        <x:is>
          <x:t xml:space="preserve">tests/components/toast/visual.spec.ts</x:t>
        </x:is>
      </x:c>
      <x:c r="H31" s="149" t="inlineStr">
        <x:is>
          <x:t xml:space="preserve">verified</x:t>
        </x:is>
      </x:c>
      <x:c r="I31" s="149" t="inlineStr">
        <x:is>
          <x:t xml:space="preserve">yes</x:t>
        </x:is>
      </x:c>
      <x:c r="J31" s="151" t="n">
        <x:v>46230</x:v>
      </x:c>
      <x:c r="K31" s="150" t="inlineStr">
        <x:is>
          <x:t xml:space="preserve">Agent inspected the reduced-motion loading and forced-color type baselines.</x:t>
        </x:is>
      </x:c>
      <x:c r="L31" s="149" t="n">
        <x:v>1</x:v>
      </x:c>
      <x:c r="M31" s="149" t="n">
        <x:f>IF(OR(AND(I31="yes",H31="verified"),AND(I31="no",OR(H31="tested",H31="verified")),AND(H31="not applicable",K31&lt;&gt;"")),1,0)</x:f>
        <x:v>1</x:v>
      </x:c>
    </x:row>
    <x:row r="32" s="127" customFormat="1" ht="54" customHeight="1">
      <x:c r="A32" s="149" t="inlineStr">
        <x:is>
          <x:t xml:space="preserve">TO-24</x:t>
        </x:is>
      </x:c>
      <x:c r="B32" s="149" t="inlineStr">
        <x:is>
          <x:t xml:space="preserve">Accessibility</x:t>
        </x:is>
      </x:c>
      <x:c r="C32" s="149" t="inlineStr">
        <x:is>
          <x:t xml:space="preserve">All parts</x:t>
        </x:is>
      </x:c>
      <x:c r="D32" s="150" t="inlineStr">
        <x:is>
          <x:t xml:space="preserve">Labelled region, exactly-once live semantics, decorative glyphs, native buttons, focus order, target geometry, localized labels, and scoped axe checks remain valid.</x:t>
        </x:is>
      </x:c>
      <x:c r="E32" s="149" t="inlineStr">
        <x:is>
          <x:t xml:space="preserve">package</x:t>
        </x:is>
      </x:c>
      <x:c r="F32" s="149" t="inlineStr">
        <x:is>
          <x:t xml:space="preserve">axe</x:t>
        </x:is>
      </x:c>
      <x:c r="G32" s="150" t="inlineStr">
        <x:is>
          <x:t xml:space="preserve">tests/components/toast/behavior.spec.ts</x:t>
        </x:is>
      </x:c>
      <x:c r="H32" s="149" t="inlineStr">
        <x:is>
          <x:t xml:space="preserve">tested</x:t>
        </x:is>
      </x:c>
      <x:c r="I32" s="149" t="inlineStr">
        <x:is>
          <x:t xml:space="preserve">no</x:t>
        </x:is>
      </x:c>
      <x:c r="J32" s="151" t="n">
        <x:v>46230</x:v>
      </x:c>
      <x:c r="K32" s="150" t="n"/>
      <x:c r="L32" s="149" t="n">
        <x:v>1</x:v>
      </x:c>
      <x:c r="M32" s="149" t="n">
        <x:f>IF(OR(AND(I32="yes",H32="verified"),AND(I32="no",OR(H32="tested",H32="verified")),AND(H32="not applicable",K32&lt;&gt;"")),1,0)</x:f>
        <x:v>1</x:v>
      </x:c>
    </x:row>
    <x:row r="33" s="127" customFormat="1" ht="54" customHeight="1">
      <x:c r="A33" s="149" t="inlineStr">
        <x:is>
          <x:t xml:space="preserve">TO-25</x:t>
        </x:is>
      </x:c>
      <x:c r="B33" s="149" t="inlineStr">
        <x:is>
          <x:t xml:space="preserve">Visual</x:t>
        </x:is>
      </x:c>
      <x:c r="C33" s="149" t="inlineStr">
        <x:is>
          <x:t xml:space="preserve">All parts</x:t>
        </x:is>
      </x:c>
      <x:c r="D33" s="150" t="inlineStr">
        <x:is>
          <x:t xml:space="preserve">Risk-selected visual snapshots cover recipes, compact content, stacking, light/dark, RTL and preferences.</x:t>
        </x:is>
      </x:c>
      <x:c r="E33" s="149" t="inlineStr">
        <x:is>
          <x:t xml:space="preserve">package</x:t>
        </x:is>
      </x:c>
      <x:c r="F33" s="149" t="inlineStr">
        <x:is>
          <x:t xml:space="preserve">visual</x:t>
        </x:is>
      </x:c>
      <x:c r="G33" s="150" t="inlineStr">
        <x:is>
          <x:t xml:space="preserve">tests/components/toast/visual.spec.ts</x:t>
        </x:is>
      </x:c>
      <x:c r="H33" s="149" t="inlineStr">
        <x:is>
          <x:t xml:space="preserve">partial</x:t>
        </x:is>
      </x:c>
      <x:c r="I33" s="149" t="inlineStr">
        <x:is>
          <x:t xml:space="preserve">yes</x:t>
        </x:is>
      </x:c>
      <x:c r="J33" s="151" t="n">
        <x:v>46280.5</x:v>
      </x:c>
      <x:c r="K33" s="150" t="inlineStr">
        <x:is>
          <x:t xml:space="preserve">Updated snapshots generated; final review recorded separately.</x:t>
        </x:is>
      </x:c>
      <x:c r="L33" s="149" t="n">
        <x:v>1</x:v>
      </x:c>
      <x:c r="M33" s="149" t="n">
        <x:f>IF(OR(AND(I33="yes",H33="verified"),AND(I33="no",OR(H33="tested",H33="verified")),AND(H33="not applicable",K33&lt;&gt;"")),1,0)</x:f>
        <x:v>0</x:v>
      </x:c>
    </x:row>
    <x:row r="34" s="127" customFormat="1" ht="54" customHeight="1">
      <x:c r="A34" s="149" t="inlineStr">
        <x:is>
          <x:t xml:space="preserve">TO-26</x:t>
        </x:is>
      </x:c>
      <x:c r="B34" s="149" t="inlineStr">
        <x:is>
          <x:t xml:space="preserve">Playground</x:t>
        </x:is>
      </x:c>
      <x:c r="C34" s="149" t="inlineStr">
        <x:is>
          <x:t xml:space="preserve">All parts</x:t>
        </x:is>
      </x:c>
      <x:c r="D34" s="150" t="inlineStr">
        <x:is>
          <x:t xml:space="preserve">Focused Preview/Code documentation and named props parts; nine exhaustive scenarios remain on qualification route.</x:t>
        </x:is>
      </x:c>
      <x:c r="E34" s="149" t="inlineStr">
        <x:is>
          <x:t xml:space="preserve">package</x:t>
        </x:is>
      </x:c>
      <x:c r="F34" s="149" t="inlineStr">
        <x:is>
          <x:t xml:space="preserve">playground</x:t>
        </x:is>
      </x:c>
      <x:c r="G34" s="150" t="inlineStr">
        <x:is>
          <x:t xml:space="preserve">src/components/toast/ToastPage.tsx</x:t>
        </x:is>
      </x:c>
      <x:c r="H34" s="149" t="inlineStr">
        <x:is>
          <x:t xml:space="preserve">tested</x:t>
        </x:is>
      </x:c>
      <x:c r="I34" s="149" t="inlineStr">
        <x:is>
          <x:t xml:space="preserve">no</x:t>
        </x:is>
      </x:c>
      <x:c r="J34" s="151" t="n">
        <x:v>46280.5</x:v>
      </x:c>
      <x:c r="K34" s="150" t="n"/>
      <x:c r="L34" s="149" t="n">
        <x:v>1</x:v>
      </x:c>
      <x:c r="M34" s="149" t="n">
        <x:f>IF(OR(AND(I34="yes",H34="verified"),AND(I34="no",OR(H34="tested",H34="verified")),AND(H34="not applicable",K34&lt;&gt;"")),1,0)</x:f>
        <x:v>1</x:v>
      </x:c>
    </x:row>
    <x:row r="35" s="127" customFormat="1" ht="54" customHeight="1">
      <x:c r="A35" s="149" t="inlineStr">
        <x:is>
          <x:t xml:space="preserve">TO-27</x:t>
        </x:is>
      </x:c>
      <x:c r="B35" s="149" t="inlineStr">
        <x:is>
          <x:t xml:space="preserve">Manual</x:t>
        </x:is>
      </x:c>
      <x:c r="C35" s="149" t="inlineStr">
        <x:is>
          <x:t xml:space="preserve">All parts</x:t>
        </x:is>
      </x:c>
      <x:c r="D35" s="150" t="inlineStr">
        <x:is>
          <x:t xml:space="preserve">A tester completes the pointer, keyboard, assistive-technology, announcement, timer, zoom, mobile, RTL, safe-area, appearance, forced-color, reduced-motion, and portal protocol.</x:t>
        </x:is>
      </x:c>
      <x:c r="E35" s="149" t="inlineStr">
        <x:is>
          <x:t xml:space="preserve">package</x:t>
        </x:is>
      </x:c>
      <x:c r="F35" s="149" t="inlineStr">
        <x:is>
          <x:t xml:space="preserve">manual</x:t>
        </x:is>
      </x:c>
      <x:c r="G35" s="150" t="inlineStr">
        <x:is>
          <x:t xml:space="preserve">manual-tests/toast.md</x:t>
        </x:is>
      </x:c>
      <x:c r="H35" s="149" t="inlineStr">
        <x:is>
          <x:t xml:space="preserve">not started</x:t>
        </x:is>
      </x:c>
      <x:c r="I35" s="149" t="inlineStr">
        <x:is>
          <x:t xml:space="preserve">yes</x:t>
        </x:is>
      </x:c>
      <x:c r="J35" s="151" t="n">
        <x:v>46230</x:v>
      </x:c>
      <x:c r="K35" s="150" t="inlineStr">
        <x:is>
          <x:t xml:space="preserve">Human run intentionally unclaimed.</x:t>
        </x:is>
      </x:c>
      <x:c r="L35" s="149" t="n">
        <x:v>1</x:v>
      </x:c>
      <x:c r="M35" s="149" t="n">
        <x:f>IF(OR(AND(I35="yes",H35="verified"),AND(I35="no",OR(H35="tested",H35="verified")),AND(H35="not applicable",K35&lt;&gt;"")),1,0)</x:f>
        <x:v>0</x:v>
      </x:c>
    </x:row>
    <x:row r="36" s="127" customFormat="1" ht="54" customHeight="1">
      <x:c r="A36" s="149" t="inlineStr">
        <x:is>
          <x:t xml:space="preserve">TO-28</x:t>
        </x:is>
      </x:c>
      <x:c r="B36" s="149" t="inlineStr">
        <x:is>
          <x:t xml:space="preserve">Documentation</x:t>
        </x:is>
      </x:c>
      <x:c r="C36" s="149" t="inlineStr">
        <x:is>
          <x:t xml:space="preserve">Toast</x:t>
        </x:is>
      </x:c>
      <x:c r="D36" s="150" t="inlineStr">
        <x:is>
          <x:t xml:space="preserve">Source-backed role, boundaries, setup, anatomy, API, defaults, types, positions, timers, queue, async lifecycle, focus, accessibility, CSS, customization, exclusions, and evidence are documented.</x:t>
        </x:is>
      </x:c>
      <x:c r="E36" s="149" t="inlineStr">
        <x:is>
          <x:t xml:space="preserve">package</x:t>
        </x:is>
      </x:c>
      <x:c r="F36" s="149" t="inlineStr">
        <x:is>
          <x:t xml:space="preserve">docs</x:t>
        </x:is>
      </x:c>
      <x:c r="G36" s="150" t="inlineStr">
        <x:is>
          <x:t xml:space="preserve">../docs/components/toast/README.md</x:t>
        </x:is>
      </x:c>
      <x:c r="H36" s="149" t="inlineStr">
        <x:is>
          <x:t xml:space="preserve">tested</x:t>
        </x:is>
      </x:c>
      <x:c r="I36" s="149" t="inlineStr">
        <x:is>
          <x:t xml:space="preserve">no</x:t>
        </x:is>
      </x:c>
      <x:c r="J36" s="151" t="n">
        <x:v>46230</x:v>
      </x:c>
      <x:c r="K36" s="150" t="n"/>
      <x:c r="L36" s="149" t="n">
        <x:v>1</x:v>
      </x:c>
      <x:c r="M36" s="149" t="n">
        <x:f>IF(OR(AND(I36="yes",H36="verified"),AND(I36="no",OR(H36="tested",H36="verified")),AND(H36="not applicable",K36&lt;&gt;"")),1,0)</x:f>
        <x:v>1</x:v>
      </x:c>
    </x:row>
    <x:row r="37" s="127" customFormat="1" ht="54" customHeight="1">
      <x:c r="A37" s="149" t="inlineStr">
        <x:is>
          <x:t xml:space="preserve">TO-29</x:t>
        </x:is>
      </x:c>
      <x:c r="B37" s="149" t="inlineStr">
        <x:is>
          <x:t xml:space="preserve">Changelog</x:t>
        </x:is>
      </x:c>
      <x:c r="C37" s="149" t="inlineStr">
        <x:is>
          <x:t xml:space="preserve">Toast</x:t>
        </x:is>
      </x:c>
      <x:c r="D37" s="150" t="inlineStr">
        <x:is>
          <x:t xml:space="preserve">Toast owns a public component changelog and the package changelog records the complete public addition and exact Atom dependency update.</x:t>
        </x:is>
      </x:c>
      <x:c r="E37" s="149" t="inlineStr">
        <x:is>
          <x:t xml:space="preserve">package</x:t>
        </x:is>
      </x:c>
      <x:c r="F37" s="149" t="inlineStr">
        <x:is>
          <x:t xml:space="preserve">docs</x:t>
        </x:is>
      </x:c>
      <x:c r="G37" s="150" t="inlineStr">
        <x:is>
          <x:t xml:space="preserve">../docs/components/toast/CHANGELOG.md; ../CHANGELOG.md</x:t>
        </x:is>
      </x:c>
      <x:c r="H37" s="149" t="inlineStr">
        <x:is>
          <x:t xml:space="preserve">tested</x:t>
        </x:is>
      </x:c>
      <x:c r="I37" s="149" t="inlineStr">
        <x:is>
          <x:t xml:space="preserve">no</x:t>
        </x:is>
      </x:c>
      <x:c r="J37" s="151" t="n">
        <x:v>46230</x:v>
      </x:c>
      <x:c r="K37" s="150" t="n"/>
      <x:c r="L37" s="149" t="n">
        <x:v>1</x:v>
      </x:c>
      <x:c r="M37" s="149" t="n">
        <x:f>IF(OR(AND(I37="yes",H37="verified"),AND(I37="no",OR(H37="tested",H37="verified")),AND(H37="not applicable",K37&lt;&gt;"")),1,0)</x:f>
        <x:v>1</x:v>
      </x:c>
    </x:row>
    <x:row r="38" s="127" customFormat="1" ht="54" customHeight="1">
      <x:c r="A38" s="149" t="inlineStr">
        <x:is>
          <x:t xml:space="preserve">TO-30</x:t>
        </x:is>
      </x:c>
      <x:c r="B38" s="149" t="inlineStr">
        <x:is>
          <x:t xml:space="preserve">Consumer</x:t>
        </x:is>
      </x:c>
      <x:c r="C38" s="149" t="inlineStr">
        <x:is>
          <x:t xml:space="preserve">Toaster / toast</x:t>
        </x:is>
      </x:c>
      <x:c r="D38" s="150" t="inlineStr">
        <x:is>
          <x:t xml:space="preserve">Packed Consumer imports the public toast subpath, installs one Toaster, and produces durable duplicate success feedback after publishing on desktop and mobile.</x:t>
        </x:is>
      </x:c>
      <x:c r="E38" s="149" t="inlineStr">
        <x:is>
          <x:t xml:space="preserve">consumer</x:t>
        </x:is>
      </x:c>
      <x:c r="F38" s="149" t="inlineStr">
        <x:is>
          <x:t xml:space="preserve">consumer</x:t>
        </x:is>
      </x:c>
      <x:c r="G38" s="150" t="inlineStr">
        <x:is>
          <x:t xml:space="preserve">../apps/consumer/src/App.tsx; ../apps/consumer/tests/consumer.spec.ts</x:t>
        </x:is>
      </x:c>
      <x:c r="H38" s="149" t="inlineStr">
        <x:is>
          <x:t xml:space="preserve">tested</x:t>
        </x:is>
      </x:c>
      <x:c r="I38" s="149" t="inlineStr">
        <x:is>
          <x:t xml:space="preserve">no</x:t>
        </x:is>
      </x:c>
      <x:c r="J38" s="151" t="n">
        <x:v>46230</x:v>
      </x:c>
      <x:c r="K38" s="150" t="n"/>
      <x:c r="L38" s="149" t="n">
        <x:v>1</x:v>
      </x:c>
      <x:c r="M38" s="149" t="n">
        <x:f>IF(OR(AND(I38="yes",H38="verified"),AND(I38="no",OR(H38="tested",H38="verified")),AND(H38="not applicable",K38&lt;&gt;"")),1,0)</x:f>
        <x:v>1</x:v>
      </x:c>
    </x:row>
    <x:row r="39" s="127" customFormat="1" ht="54" customHeight="1">
      <x:c r="A39" s="149" t="inlineStr">
        <x:is>
          <x:t xml:space="preserve">TO-31</x:t>
        </x:is>
      </x:c>
      <x:c r="B39" s="149" t="inlineStr">
        <x:is>
          <x:t xml:space="preserve">Package</x:t>
        </x:is>
      </x:c>
      <x:c r="C39" s="149" t="inlineStr">
        <x:is>
          <x:t xml:space="preserve">Toast</x:t>
        </x:is>
      </x:c>
      <x:c r="D39" s="150" t="inlineStr">
        <x:is>
          <x:t xml:space="preserve">Local candidate qualification only. Repository-wide failures and manual checks remain separate release gates.</x:t>
        </x:is>
      </x:c>
      <x:c r="E39" s="149" t="inlineStr">
        <x:is>
          <x:t xml:space="preserve">package</x:t>
        </x:is>
      </x:c>
      <x:c r="F39" s="149" t="inlineStr">
        <x:is>
          <x:t xml:space="preserve">package</x:t>
        </x:is>
      </x:c>
      <x:c r="G39" s="150" t="inlineStr">
        <x:is>
          <x:t xml:space="preserve">../test/package/package.test.mjs; ../test/package/ssr.test.mjs; ../scripts/verify-package.mjs; ../scripts/verify-consumers.mjs</x:t>
        </x:is>
      </x:c>
      <x:c r="H39" s="149" t="inlineStr">
        <x:is>
          <x:t xml:space="preserve">partial</x:t>
        </x:is>
      </x:c>
      <x:c r="I39" s="149" t="inlineStr">
        <x:is>
          <x:t xml:space="preserve">no</x:t>
        </x:is>
      </x:c>
      <x:c r="J39" s="151" t="n">
        <x:v>46280.5</x:v>
      </x:c>
      <x:c r="K39" s="150" t="inlineStr">
        <x:is>
          <x:t xml:space="preserve">Unpublished. Broader Pagination typecheck and typography checks are not cleared by this component pass.</x:t>
        </x:is>
      </x:c>
      <x:c r="L39" s="149" t="n">
        <x:v>1</x:v>
      </x:c>
      <x:c r="M39" s="149" t="n">
        <x:f>IF(OR(AND(I39="yes",H39="verified"),AND(I39="no",OR(H39="tested",H39="verified")),AND(H39="not applicable",K39&lt;&gt;"")),1,0)</x:f>
        <x:v>0</x:v>
      </x:c>
    </x:row>
  </x:sheetData>
  <x:mergeCells>
    <x:mergeCell ref="A2:M2"/>
    <x:mergeCell ref="A1:M1"/>
  </x:mergeCells>
  <x:dataValidations count="2">
    <x:dataValidation type="list" errorStyle="stop" operator="between" allowBlank="0" showDropDown="0" showInputMessage="0" showErrorMessage="0" sqref="H9:H39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39">
      <x:formula1>"yes,no"</x:formula1>
      <x:formula2>0</x:formula2>
    </x:dataValidation>
  </x:dataValidations>
  <x:pageMargins left="0.7" right="0.7" top="0.75" bottom="0.75" header="0.3" footer="0.3"/>
</x:worksheet>
</file>

<file path=xl/worksheets/sheet58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Table Evidence</x:t>
        </x:is>
      </x:c>
    </x:row>
    <x:row r="2" s="127" customFormat="1" ht="27.75" customHeight="1">
      <x:c r="A2" s="129" t="inlineStr">
        <x:is>
          <x:t xml:space="preserve">Assertion-level native anatomy, static recipes, sorting composition, responsive containment, package, documentation, Consumer, and accessibility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COUNTA(A9:A31)</x:f>
        <x:v>23</x:v>
      </x:c>
      <x:c r="D4" s="130" t="inlineStr">
        <x:is>
          <x:t xml:space="preserve">Resolved</x:t>
        </x:is>
      </x:c>
      <x:c r="E4" s="131" t="n">
        <x:f>SUM(M9:M31)</x:f>
        <x:v>18</x:v>
      </x:c>
      <x:c r="G4" s="130" t="inlineStr">
        <x:is>
          <x:t xml:space="preserve">Completion</x:t>
        </x:is>
      </x:c>
      <x:c r="H4" s="132" t="n">
        <x:f>IF(B4=0,0,E4/B4)</x:f>
        <x:v>0.782608695652174</x:v>
      </x:c>
      <x:c r="J4" s="130" t="inlineStr">
        <x:is>
          <x:t xml:space="preserve">Package gate</x:t>
        </x:is>
      </x:c>
      <x:c r="K4" s="131" t="str">
        <x:f>IF(COUNTIFS(E9:E31,"package",M9:M31,0)&gt;0,"open","complete")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IF(COUNTIFS(I9:I31,"yes",M9:M31,0)&gt;0,"open","complete")</x:f>
        <x:v>open</x:v>
      </x:c>
      <x:c r="D5" s="130" t="inlineStr">
        <x:is>
          <x:t xml:space="preserve">Consumer gate</x:t>
        </x:is>
      </x:c>
      <x:c r="E5" s="131" t="str">
        <x:f>IF(COUNTIFS(E9:E31,"consumer",M9:M31,0)&gt;0,"open","complete")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TA-01</x:t>
        </x:is>
      </x:c>
      <x:c r="B9" s="149" t="inlineStr">
        <x:is>
          <x:t xml:space="preserve">Ownership</x:t>
        </x:is>
      </x:c>
      <x:c r="C9" s="149" t="inlineStr">
        <x:is>
          <x:t xml:space="preserve">All parts</x:t>
        </x:is>
      </x:c>
      <x:c r="D9" s="150" t="inlineStr">
        <x:is>
          <x:t xml:space="preserve">Brick styles exact local Atom native Table semantics without recreating behavior.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../src/components/table/Table.tsx; ../package.json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46230</x:v>
      </x:c>
      <x:c r="K9" s="150" t="inlineStr">
        <x:is>
          <x:t xml:space="preserve">Local Atom 0.26.1 candidate. Unpublished. Parity qualification September 11, 2026.</x:t>
        </x:is>
      </x:c>
      <x:c r="L9" s="149" t="n">
        <x:v>1</x:v>
      </x:c>
      <x:c r="M9" s="149" t="n">
        <x:f>IF(OR(H9="tested",H9="verified"),1,0)</x:f>
        <x:v>1</x:v>
      </x:c>
    </x:row>
    <x:row r="10" s="127" customFormat="1" ht="54" customHeight="1">
      <x:c r="A10" s="149" t="inlineStr">
        <x:is>
          <x:t xml:space="preserve">TA-02</x:t>
        </x:is>
      </x:c>
      <x:c r="B10" s="149" t="inlineStr">
        <x:is>
          <x:t xml:space="preserve">API</x:t>
        </x:is>
      </x:c>
      <x:c r="C10" s="149" t="inlineStr">
        <x:is>
          <x:t xml:space="preserve">All parts</x:t>
        </x:is>
      </x:c>
      <x:c r="D10" s="150" t="inlineStr">
        <x:is>
          <x:t xml:space="preserve">Ten-part namespace and named exports expose the adopted static Table surface.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../test/components/table/table.test.tsx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46230</x:v>
      </x:c>
      <x:c r="K10" s="150" t="n"/>
      <x:c r="L10" s="149" t="n">
        <x:v>1</x:v>
      </x:c>
      <x:c r="M10" s="149" t="n">
        <x:f>IF(OR(H10="tested",H10="verified"),1,0)</x:f>
        <x:v>1</x:v>
      </x:c>
    </x:row>
    <x:row r="11" s="127" customFormat="1" ht="54" customHeight="1">
      <x:c r="A11" s="149" t="inlineStr">
        <x:is>
          <x:t xml:space="preserve">TA-03</x:t>
        </x:is>
      </x:c>
      <x:c r="B11" s="149" t="inlineStr">
        <x:is>
          <x:t xml:space="preserve">Anatomy</x:t>
        </x:is>
      </x:c>
      <x:c r="C11" s="149" t="inlineStr">
        <x:is>
          <x:t xml:space="preserve">Root and sections</x:t>
        </x:is>
      </x:c>
      <x:c r="D11" s="150" t="inlineStr">
        <x:is>
          <x:t xml:space="preserve">Container, table, caption, sections, rows, headers, cells, and indicator render exact native hosts and refs.</x:t>
        </x:is>
      </x:c>
      <x:c r="E11" s="149" t="inlineStr">
        <x:is>
          <x:t xml:space="preserve">package</x:t>
        </x:is>
      </x:c>
      <x:c r="F11" s="149" t="inlineStr">
        <x:is>
          <x:t xml:space="preserve">component</x:t>
        </x:is>
      </x:c>
      <x:c r="G11" s="150" t="inlineStr">
        <x:is>
          <x:t xml:space="preserve">../test/components/table/table.test.tsx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46230</x:v>
      </x:c>
      <x:c r="K11" s="150" t="n"/>
      <x:c r="L11" s="149" t="n">
        <x:v>1</x:v>
      </x:c>
      <x:c r="M11" s="149" t="n">
        <x:f>IF(OR(H11="tested",H11="verified"),1,0)</x:f>
        <x:v>1</x:v>
      </x:c>
    </x:row>
    <x:row r="12" s="127" customFormat="1" ht="54" customHeight="1">
      <x:c r="A12" s="149" t="inlineStr">
        <x:is>
          <x:t xml:space="preserve">TA-04</x:t>
        </x:is>
      </x:c>
      <x:c r="B12" s="149" t="inlineStr">
        <x:is>
          <x:t xml:space="preserve">Types</x:t>
        </x:is>
      </x:c>
      <x:c r="C12" s="149" t="inlineStr">
        <x:is>
          <x:t xml:space="preserve">Public surface</x:t>
        </x:is>
      </x:c>
      <x:c r="D12" s="150" t="inlineStr">
        <x:is>
          <x:t xml:space="preserve">Closed variants, sizes, densities, caption sides, logical alignment, numeric formatting, native props, composition, and refs type-check.</x:t>
        </x:is>
      </x:c>
      <x:c r="E12" s="149" t="inlineStr">
        <x:is>
          <x:t xml:space="preserve">package</x:t>
        </x:is>
      </x:c>
      <x:c r="F12" s="149" t="inlineStr">
        <x:is>
          <x:t xml:space="preserve">types</x:t>
        </x:is>
      </x:c>
      <x:c r="G12" s="150" t="inlineStr">
        <x:is>
          <x:t xml:space="preserve">../test/types/components/table.test.ts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46230</x:v>
      </x:c>
      <x:c r="K12" s="150" t="n"/>
      <x:c r="L12" s="149" t="n">
        <x:v>1</x:v>
      </x:c>
      <x:c r="M12" s="149" t="n">
        <x:f>IF(OR(H12="tested",H12="verified"),1,0)</x:f>
        <x:v>1</x:v>
      </x:c>
    </x:row>
    <x:row r="13" s="127" customFormat="1" ht="54" customHeight="1">
      <x:c r="A13" s="149" t="inlineStr">
        <x:is>
          <x:t xml:space="preserve">TA-05</x:t>
        </x:is>
      </x:c>
      <x:c r="B13" s="149" t="inlineStr">
        <x:is>
          <x:t xml:space="preserve">Exports</x:t>
        </x:is>
      </x:c>
      <x:c r="C13" s="149" t="inlineStr">
        <x:is>
          <x:t xml:space="preserve">All parts</x:t>
        </x:is>
      </x:c>
      <x:c r="D13" s="150" t="inlineStr">
        <x:is>
          <x:t xml:space="preserve">Root and table subpath exports preserve namespace and named runtime identity.</x:t>
        </x:is>
      </x:c>
      <x:c r="E13" s="149" t="inlineStr">
        <x:is>
          <x:t xml:space="preserve">package</x:t>
        </x:is>
      </x:c>
      <x:c r="F13" s="149" t="inlineStr">
        <x:is>
          <x:t xml:space="preserve">package</x:t>
        </x:is>
      </x:c>
      <x:c r="G13" s="150" t="inlineStr">
        <x:is>
          <x:t xml:space="preserve">../test/package/package.test.mjs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46230</x:v>
      </x:c>
      <x:c r="K13" s="150" t="n"/>
      <x:c r="L13" s="149" t="n">
        <x:v>1</x:v>
      </x:c>
      <x:c r="M13" s="149" t="n">
        <x:f>IF(OR(H13="tested",H13="verified"),1,0)</x:f>
        <x:v>1</x:v>
      </x:c>
    </x:row>
    <x:row r="14" s="127" customFormat="1" ht="54" customHeight="1">
      <x:c r="A14" s="149" t="inlineStr">
        <x:is>
          <x:t xml:space="preserve">TA-06</x:t>
        </x:is>
      </x:c>
      <x:c r="B14" s="149" t="inlineStr">
        <x:is>
          <x:t xml:space="preserve">SSR</x:t>
        </x:is>
      </x:c>
      <x:c r="C14" s="149" t="inlineStr">
        <x:is>
          <x:t xml:space="preserve">Root</x:t>
        </x:is>
      </x:c>
      <x:c r="D14" s="150" t="inlineStr">
        <x:is>
          <x:t xml:space="preserve">Table imports server-safely and emits deterministic native anatomy without grid roles.</x:t>
        </x:is>
      </x:c>
      <x:c r="E14" s="149" t="inlineStr">
        <x:is>
          <x:t xml:space="preserve">package</x:t>
        </x:is>
      </x:c>
      <x:c r="F14" s="149" t="inlineStr">
        <x:is>
          <x:t xml:space="preserve">package</x:t>
        </x:is>
      </x:c>
      <x:c r="G14" s="150" t="inlineStr">
        <x:is>
          <x:t xml:space="preserve">../test/package/ssr.test.mjs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46230</x:v>
      </x:c>
      <x:c r="K14" s="150" t="n"/>
      <x:c r="L14" s="149" t="n">
        <x:v>1</x:v>
      </x:c>
      <x:c r="M14" s="149" t="n">
        <x:f>IF(OR(H14="tested",H14="verified"),1,0)</x:f>
        <x:v>1</x:v>
      </x:c>
    </x:row>
    <x:row r="15" s="127" customFormat="1" ht="54" customHeight="1">
      <x:c r="A15" s="149" t="inlineStr">
        <x:is>
          <x:t xml:space="preserve">TA-07</x:t>
        </x:is>
      </x:c>
      <x:c r="B15" s="149" t="inlineStr">
        <x:is>
          <x:t xml:space="preserve">Defaults</x:t>
        </x:is>
      </x:c>
      <x:c r="C15" s="149" t="inlineStr">
        <x:is>
          <x:t xml:space="preserve">Root</x:t>
        </x:is>
      </x:c>
      <x:c r="D15" s="150" t="inlineStr">
        <x:is>
          <x:t xml:space="preserve">Defaults are line, medium, comfortable, unstriped, non-sticky, top caption, and logical-start alignment.</x:t>
        </x:is>
      </x:c>
      <x:c r="E15" s="149" t="inlineStr">
        <x:is>
          <x:t xml:space="preserve">package</x:t>
        </x:is>
      </x:c>
      <x:c r="F15" s="149" t="inlineStr">
        <x:is>
          <x:t xml:space="preserve">component</x:t>
        </x:is>
      </x:c>
      <x:c r="G15" s="150" t="inlineStr">
        <x:is>
          <x:t xml:space="preserve">../test/components/table/table.test.tsx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46230</x:v>
      </x:c>
      <x:c r="K15" s="150" t="n"/>
      <x:c r="L15" s="149" t="n">
        <x:v>1</x:v>
      </x:c>
      <x:c r="M15" s="149" t="n">
        <x:f>IF(OR(H15="tested",H15="verified"),1,0)</x:f>
        <x:v>1</x:v>
      </x:c>
    </x:row>
    <x:row r="16" s="127" customFormat="1" ht="54" customHeight="1">
      <x:c r="A16" s="149" t="inlineStr">
        <x:is>
          <x:t xml:space="preserve">TA-08</x:t>
        </x:is>
      </x:c>
      <x:c r="B16" s="149" t="inlineStr">
        <x:is>
          <x:t xml:space="preserve">Recipes</x:t>
        </x:is>
      </x:c>
      <x:c r="C16" s="149" t="inlineStr">
        <x:is>
          <x:t xml:space="preserve">Root</x:t>
        </x:is>
      </x:c>
      <x:c r="D16" s="150" t="str">
        <x:v>Responsive size, density and variant preserve sparse inheritance and shared field-family geometry.</x:v>
      </x:c>
      <x:c r="E16" s="149" t="inlineStr">
        <x:is>
          <x:t xml:space="preserve">package</x:t>
        </x:is>
      </x:c>
      <x:c r="F16" s="149" t="inlineStr">
        <x:is>
          <x:t xml:space="preserve">browser</x:t>
        </x:is>
      </x:c>
      <x:c r="G16" s="150" t="str">
        <x:v>../src/components/table/Table.css; ../playground/tests/components/data-grid/expansion.spec.ts</x:v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n">
        <x:v>46230</x:v>
      </x:c>
      <x:c r="K16" s="150" t="n"/>
      <x:c r="L16" s="149" t="n">
        <x:v>1</x:v>
      </x:c>
      <x:c r="M16" s="149" t="n">
        <x:f>IF(OR(H16="tested",H16="verified"),1,0)</x:f>
        <x:v>1</x:v>
      </x:c>
    </x:row>
    <x:row r="17" s="127" customFormat="1" ht="54" customHeight="1">
      <x:c r="A17" s="149" t="inlineStr">
        <x:is>
          <x:t xml:space="preserve">TA-09</x:t>
        </x:is>
      </x:c>
      <x:c r="B17" s="149" t="inlineStr">
        <x:is>
          <x:t xml:space="preserve">Semantics</x:t>
        </x:is>
      </x:c>
      <x:c r="C17" s="149" t="inlineStr">
        <x:is>
          <x:t xml:space="preserve">Head / Cell</x:t>
        </x:is>
      </x:c>
      <x:c r="D17" s="150" t="inlineStr">
        <x:is>
          <x:t xml:space="preserve">Scope, headers, spans, caption, section relationships, and sort metadata remain native.</x:t>
        </x:is>
      </x:c>
      <x:c r="E17" s="149" t="inlineStr">
        <x:is>
          <x:t xml:space="preserve">package</x:t>
        </x:is>
      </x:c>
      <x:c r="F17" s="149" t="inlineStr">
        <x:is>
          <x:t xml:space="preserve">component</x:t>
        </x:is>
      </x:c>
      <x:c r="G17" s="150" t="inlineStr">
        <x:is>
          <x:t xml:space="preserve">../test/components/table/table.test.tsx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n">
        <x:v>46230</x:v>
      </x:c>
      <x:c r="K17" s="150" t="n"/>
      <x:c r="L17" s="149" t="n">
        <x:v>1</x:v>
      </x:c>
      <x:c r="M17" s="149" t="n">
        <x:f>IF(OR(H17="tested",H17="verified"),1,0)</x:f>
        <x:v>1</x:v>
      </x:c>
    </x:row>
    <x:row r="18" s="127" customFormat="1" ht="54" customHeight="1">
      <x:c r="A18" s="149" t="inlineStr">
        <x:is>
          <x:t xml:space="preserve">TA-10</x:t>
        </x:is>
      </x:c>
      <x:c r="B18" s="149" t="inlineStr">
        <x:is>
          <x:t xml:space="preserve">Alignment</x:t>
        </x:is>
      </x:c>
      <x:c r="C18" s="149" t="inlineStr">
        <x:is>
          <x:t xml:space="preserve">Head / Cell</x:t>
        </x:is>
      </x:c>
      <x:c r="D18" s="150" t="inlineStr">
        <x:is>
          <x:t xml:space="preserve">Start, center, end, and numeric formatting use logical alignment and tabular figures with explicit precedence.</x:t>
        </x:is>
      </x:c>
      <x:c r="E18" s="149" t="inlineStr">
        <x:is>
          <x:t xml:space="preserve">package</x:t>
        </x:is>
      </x:c>
      <x:c r="F18" s="149" t="inlineStr">
        <x:is>
          <x:t xml:space="preserve">browser</x:t>
        </x:is>
      </x:c>
      <x:c r="G18" s="150" t="inlineStr">
        <x:is>
          <x:t xml:space="preserve">tests/components/table/behavior.spec.ts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n">
        <x:v>46230</x:v>
      </x:c>
      <x:c r="K18" s="150" t="n"/>
      <x:c r="L18" s="149" t="n">
        <x:v>1</x:v>
      </x:c>
      <x:c r="M18" s="149" t="n">
        <x:f>IF(OR(H18="tested",H18="verified"),1,0)</x:f>
        <x:v>1</x:v>
      </x:c>
    </x:row>
    <x:row r="19" s="127" customFormat="1" ht="54" customHeight="1">
      <x:c r="A19" s="149" t="inlineStr">
        <x:is>
          <x:t xml:space="preserve">TA-11</x:t>
        </x:is>
      </x:c>
      <x:c r="B19" s="149" t="inlineStr">
        <x:is>
          <x:t xml:space="preserve">Sorting</x:t>
        </x:is>
      </x:c>
      <x:c r="C19" s="149" t="inlineStr">
        <x:is>
          <x:t xml:space="preserve">Head / SortIndicator</x:t>
        </x:is>
      </x:c>
      <x:c r="D19" s="150" t="inlineStr">
        <x:is>
          <x:t xml:space="preserve">Application Button owns sorting while Head exposes aria-sort and decorative artwork remains silent.</x:t>
        </x:is>
      </x:c>
      <x:c r="E19" s="149" t="inlineStr">
        <x:is>
          <x:t xml:space="preserve">package</x:t>
        </x:is>
      </x:c>
      <x:c r="F19" s="149" t="inlineStr">
        <x:is>
          <x:t xml:space="preserve">browser</x:t>
        </x:is>
      </x:c>
      <x:c r="G19" s="150" t="inlineStr">
        <x:is>
          <x:t xml:space="preserve">tests/components/table/behavior.spec.ts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46230</x:v>
      </x:c>
      <x:c r="K19" s="150" t="n"/>
      <x:c r="L19" s="149" t="n">
        <x:v>1</x:v>
      </x:c>
      <x:c r="M19" s="149" t="n">
        <x:f>IF(OR(H19="tested",H19="verified"),1,0)</x:f>
        <x:v>1</x:v>
      </x:c>
    </x:row>
    <x:row r="20" s="127" customFormat="1" ht="54" customHeight="1">
      <x:c r="A20" s="149" t="inlineStr">
        <x:is>
          <x:t xml:space="preserve">TA-12</x:t>
        </x:is>
      </x:c>
      <x:c r="B20" s="149" t="inlineStr">
        <x:is>
          <x:t xml:space="preserve">Responsive</x:t>
        </x:is>
      </x:c>
      <x:c r="C20" s="149" t="inlineStr">
        <x:is>
          <x:t xml:space="preserve">Container</x:t>
        </x:is>
      </x:c>
      <x:c r="D20" s="150" t="inlineStr">
        <x:is>
          <x:t xml:space="preserve">Explicit horizontal containment preserves every column without page overflow or card conversion.</x:t>
        </x:is>
      </x:c>
      <x:c r="E20" s="149" t="inlineStr">
        <x:is>
          <x:t xml:space="preserve">package</x:t>
        </x:is>
      </x:c>
      <x:c r="F20" s="149" t="inlineStr">
        <x:is>
          <x:t xml:space="preserve">browser</x:t>
        </x:is>
      </x:c>
      <x:c r="G20" s="150" t="inlineStr">
        <x:is>
          <x:t xml:space="preserve">tests/components/table/behavior.spec.ts</x:t>
        </x:is>
      </x:c>
      <x:c r="H20" s="149" t="inlineStr">
        <x:is>
          <x:t xml:space="preserve">tested</x:t>
        </x:is>
      </x:c>
      <x:c r="I20" s="149" t="inlineStr">
        <x:is>
          <x:t xml:space="preserve">no</x:t>
        </x:is>
      </x:c>
      <x:c r="J20" s="151" t="n">
        <x:v>46230</x:v>
      </x:c>
      <x:c r="K20" s="150" t="n"/>
      <x:c r="L20" s="149" t="n">
        <x:v>1</x:v>
      </x:c>
      <x:c r="M20" s="149" t="n">
        <x:f>IF(OR(H20="tested",H20="verified"),1,0)</x:f>
        <x:v>1</x:v>
      </x:c>
    </x:row>
    <x:row r="21" s="127" customFormat="1" ht="54" customHeight="1">
      <x:c r="A21" s="149" t="inlineStr">
        <x:is>
          <x:t xml:space="preserve">TA-13</x:t>
        </x:is>
      </x:c>
      <x:c r="B21" s="149" t="inlineStr">
        <x:is>
          <x:t xml:space="preserve">Sticky</x:t>
        </x:is>
      </x:c>
      <x:c r="C21" s="149" t="inlineStr">
        <x:is>
          <x:t xml:space="preserve">Header</x:t>
        </x:is>
      </x:c>
      <x:c r="D21" s="150" t="inlineStr">
        <x:is>
          <x:t xml:space="preserve">Header cells remain opaque and sticky within an authored vertical scroll boundary.</x:t>
        </x:is>
      </x:c>
      <x:c r="E21" s="149" t="inlineStr">
        <x:is>
          <x:t xml:space="preserve">package</x:t>
        </x:is>
      </x:c>
      <x:c r="F21" s="149" t="inlineStr">
        <x:is>
          <x:t xml:space="preserve">browser</x:t>
        </x:is>
      </x:c>
      <x:c r="G21" s="150" t="inlineStr">
        <x:is>
          <x:t xml:space="preserve">tests/components/table/behavior.spec.ts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46230</x:v>
      </x:c>
      <x:c r="K21" s="150" t="n"/>
      <x:c r="L21" s="149" t="n">
        <x:v>1</x:v>
      </x:c>
      <x:c r="M21" s="149" t="n">
        <x:f>IF(OR(H21="tested",H21="verified"),1,0)</x:f>
        <x:v>1</x:v>
      </x:c>
    </x:row>
    <x:row r="22" s="127" customFormat="1" ht="54" customHeight="1">
      <x:c r="A22" s="149" t="inlineStr">
        <x:is>
          <x:t xml:space="preserve">TA-14</x:t>
        </x:is>
      </x:c>
      <x:c r="B22" s="149" t="inlineStr">
        <x:is>
          <x:t xml:space="preserve">RTL</x:t>
        </x:is>
      </x:c>
      <x:c r="C22" s="149" t="inlineStr">
        <x:is>
          <x:t xml:space="preserve">All parts</x:t>
        </x:is>
      </x:c>
      <x:c r="D22" s="150" t="inlineStr">
        <x:is>
          <x:t xml:space="preserve">Logical alignment and overflow remain usable with translated RTL data.</x:t>
        </x:is>
      </x:c>
      <x:c r="E22" s="149" t="inlineStr">
        <x:is>
          <x:t xml:space="preserve">package</x:t>
        </x:is>
      </x:c>
      <x:c r="F22" s="149" t="inlineStr">
        <x:is>
          <x:t xml:space="preserve">visual</x:t>
        </x:is>
      </x:c>
      <x:c r="G22" s="150" t="inlineStr">
        <x:is>
          <x:t xml:space="preserve">tests/components/table/visual.spec.ts</x:t>
        </x:is>
      </x:c>
      <x:c r="H22" s="149" t="inlineStr">
        <x:is>
          <x:t xml:space="preserve">implemented</x:t>
        </x:is>
      </x:c>
      <x:c r="I22" s="149" t="inlineStr">
        <x:is>
          <x:t xml:space="preserve">yes</x:t>
        </x:is>
      </x:c>
      <x:c r="J22" s="151" t="n">
        <x:v>46230</x:v>
      </x:c>
      <x:c r="K22" s="150" t="inlineStr">
        <x:is>
          <x:t xml:space="preserve">Requalification required for this local candidate. Historical evidence is not a current manual pass.</x:t>
        </x:is>
      </x:c>
      <x:c r="L22" s="149" t="n">
        <x:v>1</x:v>
      </x:c>
      <x:c r="M22" s="149" t="n">
        <x:f>IF(OR(H22="tested",H22="verified"),1,0)</x:f>
        <x:v>0</x:v>
      </x:c>
    </x:row>
    <x:row r="23" s="127" customFormat="1" ht="54" customHeight="1">
      <x:c r="A23" s="149" t="inlineStr">
        <x:is>
          <x:t xml:space="preserve">TA-15</x:t>
        </x:is>
      </x:c>
      <x:c r="B23" s="149" t="inlineStr">
        <x:is>
          <x:t xml:space="preserve">Appearance</x:t>
        </x:is>
      </x:c>
      <x:c r="C23" s="149" t="inlineStr">
        <x:is>
          <x:t xml:space="preserve">All parts</x:t>
        </x:is>
      </x:c>
      <x:c r="D23" s="150" t="inlineStr">
        <x:is>
          <x:t xml:space="preserve">Light, dark, forced-color, boundaries, text, badges, controls, and focus remain legible.</x:t>
        </x:is>
      </x:c>
      <x:c r="E23" s="149" t="inlineStr">
        <x:is>
          <x:t xml:space="preserve">package</x:t>
        </x:is>
      </x:c>
      <x:c r="F23" s="149" t="inlineStr">
        <x:is>
          <x:t xml:space="preserve">visual</x:t>
        </x:is>
      </x:c>
      <x:c r="G23" s="150" t="inlineStr">
        <x:is>
          <x:t xml:space="preserve">tests/components/table/visual.spec.ts</x:t>
        </x:is>
      </x:c>
      <x:c r="H23" s="149" t="inlineStr">
        <x:is>
          <x:t xml:space="preserve">implemented</x:t>
        </x:is>
      </x:c>
      <x:c r="I23" s="149" t="inlineStr">
        <x:is>
          <x:t xml:space="preserve">yes</x:t>
        </x:is>
      </x:c>
      <x:c r="J23" s="151" t="n">
        <x:v>46230</x:v>
      </x:c>
      <x:c r="K23" s="150" t="inlineStr">
        <x:is>
          <x:t xml:space="preserve">Requalification required for this local candidate. Historical evidence is not a current manual pass.</x:t>
        </x:is>
      </x:c>
      <x:c r="L23" s="149" t="n">
        <x:v>1</x:v>
      </x:c>
      <x:c r="M23" s="149" t="n">
        <x:f>IF(OR(H23="tested",H23="verified"),1,0)</x:f>
        <x:v>0</x:v>
      </x:c>
    </x:row>
    <x:row r="24" s="127" customFormat="1" ht="54" customHeight="1">
      <x:c r="A24" s="149" t="inlineStr">
        <x:is>
          <x:t xml:space="preserve">TA-16</x:t>
        </x:is>
      </x:c>
      <x:c r="B24" s="149" t="inlineStr">
        <x:is>
          <x:t xml:space="preserve">Visual</x:t>
        </x:is>
      </x:c>
      <x:c r="C24" s="149" t="inlineStr">
        <x:is>
          <x:t xml:space="preserve">All parts</x:t>
        </x:is>
      </x:c>
      <x:c r="D24" s="150" t="inlineStr">
        <x:is>
          <x:t xml:space="preserve">Ten reviewed baselines cover overview, variants, sizing, alignment, sorting, sticky, dark, responsive mobile, RTL mobile, and forced colors.</x:t>
        </x:is>
      </x:c>
      <x:c r="E24" s="149" t="inlineStr">
        <x:is>
          <x:t xml:space="preserve">package</x:t>
        </x:is>
      </x:c>
      <x:c r="F24" s="149" t="inlineStr">
        <x:is>
          <x:t xml:space="preserve">visual</x:t>
        </x:is>
      </x:c>
      <x:c r="G24" s="150" t="inlineStr">
        <x:is>
          <x:t xml:space="preserve">tests/components/table/visual.spec.ts</x:t>
        </x:is>
      </x:c>
      <x:c r="H24" s="149" t="inlineStr">
        <x:is>
          <x:t xml:space="preserve">implemented</x:t>
        </x:is>
      </x:c>
      <x:c r="I24" s="149" t="inlineStr">
        <x:is>
          <x:t xml:space="preserve">yes</x:t>
        </x:is>
      </x:c>
      <x:c r="J24" s="151" t="n">
        <x:v>46231</x:v>
      </x:c>
      <x:c r="K24" s="150" t="inlineStr">
        <x:is>
          <x:t xml:space="preserve">Requalification required for this local candidate. Historical evidence is not a current manual pass.</x:t>
        </x:is>
      </x:c>
      <x:c r="L24" s="149" t="n">
        <x:v>1</x:v>
      </x:c>
      <x:c r="M24" s="149" t="n">
        <x:f>IF(OR(H24="tested",H24="verified"),1,0)</x:f>
        <x:v>0</x:v>
      </x:c>
    </x:row>
    <x:row r="25" s="127" customFormat="1" ht="54" customHeight="1">
      <x:c r="A25" s="149" t="inlineStr">
        <x:is>
          <x:t xml:space="preserve">TA-17</x:t>
        </x:is>
      </x:c>
      <x:c r="B25" s="149" t="inlineStr">
        <x:is>
          <x:t xml:space="preserve">Accessibility</x:t>
        </x:is>
      </x:c>
      <x:c r="C25" s="149" t="inlineStr">
        <x:is>
          <x:t xml:space="preserve">All parts</x:t>
        </x:is>
      </x:c>
      <x:c r="D25" s="150" t="inlineStr">
        <x:is>
          <x:t xml:space="preserve">Native structure, independent tab stops, no grid role/tabindex, labelled scrolling, and axe remain valid.</x:t>
        </x:is>
      </x:c>
      <x:c r="E25" s="149" t="inlineStr">
        <x:is>
          <x:t xml:space="preserve">package</x:t>
        </x:is>
      </x:c>
      <x:c r="F25" s="149" t="inlineStr">
        <x:is>
          <x:t xml:space="preserve">axe</x:t>
        </x:is>
      </x:c>
      <x:c r="G25" s="150" t="inlineStr">
        <x:is>
          <x:t xml:space="preserve">tests/components/table/behavior.spec.ts</x:t>
        </x:is>
      </x:c>
      <x:c r="H25" s="149" t="inlineStr">
        <x:is>
          <x:t xml:space="preserve">tested</x:t>
        </x:is>
      </x:c>
      <x:c r="I25" s="149" t="inlineStr">
        <x:is>
          <x:t xml:space="preserve">no</x:t>
        </x:is>
      </x:c>
      <x:c r="J25" s="151" t="n">
        <x:v>46230</x:v>
      </x:c>
      <x:c r="K25" s="150" t="n"/>
      <x:c r="L25" s="149" t="n">
        <x:v>1</x:v>
      </x:c>
      <x:c r="M25" s="149" t="n">
        <x:f>IF(OR(H25="tested",H25="verified"),1,0)</x:f>
        <x:v>1</x:v>
      </x:c>
    </x:row>
    <x:row r="26" s="127" customFormat="1" ht="54" customHeight="1">
      <x:c r="A26" s="149" t="inlineStr">
        <x:is>
          <x:t xml:space="preserve">TA-18</x:t>
        </x:is>
      </x:c>
      <x:c r="B26" s="149" t="inlineStr">
        <x:is>
          <x:t xml:space="preserve">Playground</x:t>
        </x:is>
      </x:c>
      <x:c r="C26" s="149" t="inlineStr">
        <x:is>
          <x:t xml:space="preserve">All parts</x:t>
        </x:is>
      </x:c>
      <x:c r="D26" s="150" t="str">
        <x:v>Focused source-paired examples cover native sorting, responsive recipes and optional TanStack Table integration.</x:v>
      </x:c>
      <x:c r="E26" s="149" t="inlineStr">
        <x:is>
          <x:t xml:space="preserve">package</x:t>
        </x:is>
      </x:c>
      <x:c r="F26" s="149" t="inlineStr">
        <x:is>
          <x:t xml:space="preserve">playground</x:t>
        </x:is>
      </x:c>
      <x:c r="G26" s="150" t="str">
        <x:v>../playground/src/components/table/documentation.ts</x:v>
      </x:c>
      <x:c r="H26" s="149" t="inlineStr">
        <x:is>
          <x:t xml:space="preserve">tested</x:t>
        </x:is>
      </x:c>
      <x:c r="I26" s="149" t="inlineStr">
        <x:is>
          <x:t xml:space="preserve">no</x:t>
        </x:is>
      </x:c>
      <x:c r="J26" s="151" t="n">
        <x:v>46230</x:v>
      </x:c>
      <x:c r="K26" s="150" t="n"/>
      <x:c r="L26" s="149" t="n">
        <x:v>1</x:v>
      </x:c>
      <x:c r="M26" s="149" t="n">
        <x:f>IF(OR(H26="tested",H26="verified"),1,0)</x:f>
        <x:v>1</x:v>
      </x:c>
    </x:row>
    <x:row r="27" s="127" customFormat="1" ht="54" customHeight="1">
      <x:c r="A27" s="149" t="inlineStr">
        <x:is>
          <x:t xml:space="preserve">TA-19</x:t>
        </x:is>
      </x:c>
      <x:c r="B27" s="149" t="inlineStr">
        <x:is>
          <x:t xml:space="preserve">Documentation</x:t>
        </x:is>
      </x:c>
      <x:c r="C27" s="149" t="inlineStr">
        <x:is>
          <x:t xml:space="preserve">Table</x:t>
        </x:is>
      </x:c>
      <x:c r="D27" s="150" t="inlineStr">
        <x:is>
          <x:t xml:space="preserve">The public guide documents role, anatomy, API, defaults, sorting, responsive/sticky behavior, accessibility, CSS, and exclusions.</x:t>
        </x:is>
      </x:c>
      <x:c r="E27" s="149" t="inlineStr">
        <x:is>
          <x:t xml:space="preserve">package</x:t>
        </x:is>
      </x:c>
      <x:c r="F27" s="149" t="inlineStr">
        <x:is>
          <x:t xml:space="preserve">docs</x:t>
        </x:is>
      </x:c>
      <x:c r="G27" s="150" t="inlineStr">
        <x:is>
          <x:t xml:space="preserve">../docs/components/table/README.md</x:t>
        </x:is>
      </x:c>
      <x:c r="H27" s="149" t="inlineStr">
        <x:is>
          <x:t xml:space="preserve">tested</x:t>
        </x:is>
      </x:c>
      <x:c r="I27" s="149" t="inlineStr">
        <x:is>
          <x:t xml:space="preserve">no</x:t>
        </x:is>
      </x:c>
      <x:c r="J27" s="151" t="n">
        <x:v>46230</x:v>
      </x:c>
      <x:c r="K27" s="150" t="n"/>
      <x:c r="L27" s="149" t="n">
        <x:v>1</x:v>
      </x:c>
      <x:c r="M27" s="149" t="n">
        <x:f>IF(OR(H27="tested",H27="verified"),1,0)</x:f>
        <x:v>1</x:v>
      </x:c>
    </x:row>
    <x:row r="28" s="127" customFormat="1" ht="54" customHeight="1">
      <x:c r="A28" s="149" t="inlineStr">
        <x:is>
          <x:t xml:space="preserve">TA-20</x:t>
        </x:is>
      </x:c>
      <x:c r="B28" s="149" t="inlineStr">
        <x:is>
          <x:t xml:space="preserve">Changelog</x:t>
        </x:is>
      </x:c>
      <x:c r="C28" s="149" t="inlineStr">
        <x:is>
          <x:t xml:space="preserve">Table</x:t>
        </x:is>
      </x:c>
      <x:c r="D28" s="150" t="inlineStr">
        <x:is>
          <x:t xml:space="preserve">Component and package changelogs record the complete public addition.</x:t>
        </x:is>
      </x:c>
      <x:c r="E28" s="149" t="inlineStr">
        <x:is>
          <x:t xml:space="preserve">package</x:t>
        </x:is>
      </x:c>
      <x:c r="F28" s="149" t="inlineStr">
        <x:is>
          <x:t xml:space="preserve">docs</x:t>
        </x:is>
      </x:c>
      <x:c r="G28" s="150" t="inlineStr">
        <x:is>
          <x:t xml:space="preserve">../docs/components/table/CHANGELOG.md; ../CHANGELOG.md</x:t>
        </x:is>
      </x:c>
      <x:c r="H28" s="149" t="inlineStr">
        <x:is>
          <x:t xml:space="preserve">tested</x:t>
        </x:is>
      </x:c>
      <x:c r="I28" s="149" t="inlineStr">
        <x:is>
          <x:t xml:space="preserve">no</x:t>
        </x:is>
      </x:c>
      <x:c r="J28" s="151" t="n">
        <x:v>46230</x:v>
      </x:c>
      <x:c r="K28" s="150" t="n"/>
      <x:c r="L28" s="149" t="n">
        <x:v>1</x:v>
      </x:c>
      <x:c r="M28" s="149" t="n">
        <x:f>IF(OR(H28="tested",H28="verified"),1,0)</x:f>
        <x:v>1</x:v>
      </x:c>
    </x:row>
    <x:row r="29" s="127" customFormat="1" ht="54" customHeight="1">
      <x:c r="A29" s="149" t="inlineStr">
        <x:is>
          <x:t xml:space="preserve">TA-21</x:t>
        </x:is>
      </x:c>
      <x:c r="B29" s="149" t="inlineStr">
        <x:is>
          <x:t xml:space="preserve">Consumer</x:t>
        </x:is>
      </x:c>
      <x:c r="C29" s="149" t="inlineStr">
        <x:is>
          <x:t xml:space="preserve">Table</x:t>
        </x:is>
      </x:c>
      <x:c r="D29" s="150" t="inlineStr">
        <x:is>
          <x:t xml:space="preserve">Packed Consumer imports the table subpath and composes caption, headers, numeric values, Badge, Link, footer, overflow, and controlled sorting.</x:t>
        </x:is>
      </x:c>
      <x:c r="E29" s="149" t="inlineStr">
        <x:is>
          <x:t xml:space="preserve">consumer</x:t>
        </x:is>
      </x:c>
      <x:c r="F29" s="149" t="inlineStr">
        <x:is>
          <x:t xml:space="preserve">consumer</x:t>
        </x:is>
      </x:c>
      <x:c r="G29" s="150" t="str">
        <x:v>../scripts/verify-data-grid-consumers.mjs</x:v>
      </x:c>
      <x:c r="H29" s="149" t="str">
        <x:v>tested</x:v>
      </x:c>
      <x:c r="I29" s="149" t="inlineStr">
        <x:is>
          <x:t xml:space="preserve">no</x:t>
        </x:is>
      </x:c>
      <x:c r="J29" s="151" t="n">
        <x:v>46230</x:v>
      </x:c>
      <x:c r="K29" s="150" t="n"/>
      <x:c r="L29" s="149" t="n">
        <x:v>1</x:v>
      </x:c>
      <x:c r="M29" s="149" t="n">
        <x:f>IF(OR(H29="tested",H29="verified"),1,0)</x:f>
        <x:v>1</x:v>
      </x:c>
    </x:row>
    <x:row r="30" s="127" customFormat="1" ht="54" customHeight="1">
      <x:c r="A30" s="149" t="inlineStr">
        <x:is>
          <x:t xml:space="preserve">TA-22</x:t>
        </x:is>
      </x:c>
      <x:c r="B30" s="149" t="inlineStr">
        <x:is>
          <x:t xml:space="preserve">Manual</x:t>
        </x:is>
      </x:c>
      <x:c r="C30" s="149" t="inlineStr">
        <x:is>
          <x:t xml:space="preserve">All parts</x:t>
        </x:is>
      </x:c>
      <x:c r="D30" s="150" t="inlineStr">
        <x:is>
          <x:t xml:space="preserve">Owner completes visual, keyboard, screen-reader, mobile, zoom, RTL, appearance, sticky, and overflow protocol.</x:t>
        </x:is>
      </x:c>
      <x:c r="E30" s="149" t="inlineStr">
        <x:is>
          <x:t xml:space="preserve">package</x:t>
        </x:is>
      </x:c>
      <x:c r="F30" s="149" t="inlineStr">
        <x:is>
          <x:t xml:space="preserve">manual</x:t>
        </x:is>
      </x:c>
      <x:c r="G30" s="150" t="inlineStr">
        <x:is>
          <x:t xml:space="preserve">manual-tests/table.md</x:t>
        </x:is>
      </x:c>
      <x:c r="H30" s="149" t="inlineStr">
        <x:is>
          <x:t xml:space="preserve">not started</x:t>
        </x:is>
      </x:c>
      <x:c r="I30" s="149" t="inlineStr">
        <x:is>
          <x:t xml:space="preserve">yes</x:t>
        </x:is>
      </x:c>
      <x:c r="J30" s="151" t="n">
        <x:v>46230</x:v>
      </x:c>
      <x:c r="K30" s="150" t="inlineStr">
        <x:is>
          <x:t xml:space="preserve">Human run intentionally unclaimed.</x:t>
        </x:is>
      </x:c>
      <x:c r="L30" s="149" t="n">
        <x:v>1</x:v>
      </x:c>
      <x:c r="M30" s="149" t="n">
        <x:f>IF(OR(H30="tested",H30="verified"),1,0)</x:f>
        <x:v>0</x:v>
      </x:c>
    </x:row>
    <x:row r="31" s="127" customFormat="1" ht="54" customHeight="1">
      <x:c r="A31" s="149" t="inlineStr">
        <x:is>
          <x:t xml:space="preserve">TA-23</x:t>
        </x:is>
      </x:c>
      <x:c r="B31" s="149" t="inlineStr">
        <x:is>
          <x:t xml:space="preserve">Package</x:t>
        </x:is>
      </x:c>
      <x:c r="C31" s="149" t="inlineStr">
        <x:is>
          <x:t xml:space="preserve">Table</x:t>
        </x:is>
      </x:c>
      <x:c r="D31" s="150" t="inlineStr">
        <x:is>
          <x:t xml:space="preserve">Build, declarations, exports, SSR, CSS, docs, tarball, consumers, browser matrix, and CI pass.</x:t>
        </x:is>
      </x:c>
      <x:c r="E31" s="149" t="inlineStr">
        <x:is>
          <x:t xml:space="preserve">package</x:t>
        </x:is>
      </x:c>
      <x:c r="F31" s="149" t="inlineStr">
        <x:is>
          <x:t xml:space="preserve">package</x:t>
        </x:is>
      </x:c>
      <x:c r="G31" s="150" t="inlineStr">
        <x:is>
          <x:t xml:space="preserve">../test/package/package.test.mjs; ../scripts/verify-package.mjs</x:t>
        </x:is>
      </x:c>
      <x:c r="H31" s="149" t="inlineStr">
        <x:is>
          <x:t xml:space="preserve">implemented</x:t>
        </x:is>
      </x:c>
      <x:c r="I31" s="149" t="inlineStr">
        <x:is>
          <x:t xml:space="preserve">no</x:t>
        </x:is>
      </x:c>
      <x:c r="J31" s="151" t="n">
        <x:v>46231</x:v>
      </x:c>
      <x:c r="K31" s="150" t="str">
        <x:v>Full package qualification and human accessibility/device approval remain open.</x:v>
      </x:c>
      <x:c r="L31" s="149" t="n">
        <x:v>1</x:v>
      </x:c>
      <x:c r="M31" s="149" t="n">
        <x:f>IF(OR(H31="tested",H31="verified"),1,0)</x:f>
        <x:v>0</x:v>
      </x:c>
    </x:row>
    <x:row r="32" s="127" customFormat="1" ht="54" customHeight="1">
      <x:c r="A32" s="149" t="n"/>
      <x:c r="B32" s="149" t="n"/>
      <x:c r="C32" s="149" t="n"/>
      <x:c r="D32" s="150" t="n"/>
      <x:c r="E32" s="149" t="n"/>
      <x:c r="F32" s="149" t="n"/>
      <x:c r="G32" s="150" t="n"/>
      <x:c r="H32" s="149" t="n"/>
      <x:c r="I32" s="149" t="n"/>
      <x:c r="J32" s="151" t="n"/>
      <x:c r="K32" s="150" t="n"/>
      <x:c r="L32" s="149" t="n"/>
      <x:c r="M32" s="149" t="n"/>
    </x:row>
    <x:row r="33" s="127" customFormat="1" ht="54" customHeight="1">
      <x:c r="A33" s="149" t="n"/>
      <x:c r="B33" s="149" t="n"/>
      <x:c r="C33" s="149" t="n"/>
      <x:c r="D33" s="150" t="n"/>
      <x:c r="E33" s="149" t="n"/>
      <x:c r="F33" s="149" t="n"/>
      <x:c r="G33" s="150" t="n"/>
      <x:c r="H33" s="149" t="n"/>
      <x:c r="I33" s="149" t="n"/>
      <x:c r="J33" s="151" t="n"/>
      <x:c r="K33" s="150" t="n"/>
      <x:c r="L33" s="149" t="n"/>
      <x:c r="M33" s="149" t="n"/>
    </x:row>
    <x:row r="34" s="127" customFormat="1" ht="54" customHeight="1">
      <x:c r="A34" s="149" t="n"/>
      <x:c r="B34" s="149" t="n"/>
      <x:c r="C34" s="149" t="n"/>
      <x:c r="D34" s="150" t="n"/>
      <x:c r="E34" s="149" t="n"/>
      <x:c r="F34" s="149" t="n"/>
      <x:c r="G34" s="150" t="n"/>
      <x:c r="H34" s="149" t="n"/>
      <x:c r="I34" s="149" t="n"/>
      <x:c r="J34" s="151" t="n"/>
      <x:c r="K34" s="150" t="n"/>
      <x:c r="L34" s="149" t="n"/>
      <x:c r="M34" s="149" t="n"/>
    </x:row>
    <x:row r="35" s="127" customFormat="1" ht="54" customHeight="1">
      <x:c r="A35" s="149" t="n"/>
      <x:c r="B35" s="149" t="n"/>
      <x:c r="C35" s="149" t="n"/>
      <x:c r="D35" s="150" t="n"/>
      <x:c r="E35" s="149" t="n"/>
      <x:c r="F35" s="149" t="n"/>
      <x:c r="G35" s="150" t="n"/>
      <x:c r="H35" s="149" t="n"/>
      <x:c r="I35" s="149" t="n"/>
      <x:c r="J35" s="151" t="n"/>
      <x:c r="K35" s="150" t="n"/>
      <x:c r="L35" s="149" t="n"/>
      <x:c r="M35" s="149" t="n"/>
    </x:row>
    <x:row r="36" s="127" customFormat="1" ht="54" customHeight="1">
      <x:c r="A36" s="149" t="n"/>
      <x:c r="B36" s="149" t="n"/>
      <x:c r="C36" s="149" t="n"/>
      <x:c r="D36" s="150" t="n"/>
      <x:c r="E36" s="149" t="n"/>
      <x:c r="F36" s="149" t="n"/>
      <x:c r="G36" s="150" t="n"/>
      <x:c r="H36" s="149" t="n"/>
      <x:c r="I36" s="149" t="n"/>
      <x:c r="J36" s="151" t="n"/>
      <x:c r="K36" s="150" t="n"/>
      <x:c r="L36" s="149" t="n"/>
      <x:c r="M36" s="149" t="n"/>
    </x:row>
    <x:row r="37" s="127" customFormat="1" ht="54" customHeight="1">
      <x:c r="A37" s="149" t="n"/>
      <x:c r="B37" s="149" t="n"/>
      <x:c r="C37" s="149" t="n"/>
      <x:c r="D37" s="150" t="n"/>
      <x:c r="E37" s="149" t="n"/>
      <x:c r="F37" s="149" t="n"/>
      <x:c r="G37" s="150" t="n"/>
      <x:c r="H37" s="149" t="n"/>
      <x:c r="I37" s="149" t="n"/>
      <x:c r="J37" s="151" t="n"/>
      <x:c r="K37" s="150" t="n"/>
      <x:c r="L37" s="149" t="n"/>
      <x:c r="M37" s="149" t="n"/>
    </x:row>
    <x:row r="38" s="127" customFormat="1" ht="54" customHeight="1">
      <x:c r="A38" s="149" t="n"/>
      <x:c r="B38" s="149" t="n"/>
      <x:c r="C38" s="149" t="n"/>
      <x:c r="D38" s="150" t="n"/>
      <x:c r="E38" s="149" t="n"/>
      <x:c r="F38" s="149" t="n"/>
      <x:c r="G38" s="150" t="n"/>
      <x:c r="H38" s="149" t="n"/>
      <x:c r="I38" s="149" t="n"/>
      <x:c r="J38" s="151" t="n"/>
      <x:c r="K38" s="150" t="n"/>
      <x:c r="L38" s="149" t="n"/>
      <x:c r="M38" s="149" t="n"/>
    </x:row>
    <x:row r="39" s="127" customFormat="1" ht="54" customHeight="1">
      <x:c r="A39" s="149" t="n"/>
      <x:c r="B39" s="149" t="n"/>
      <x:c r="C39" s="149" t="n"/>
      <x:c r="D39" s="150" t="n"/>
      <x:c r="E39" s="149" t="n"/>
      <x:c r="F39" s="149" t="n"/>
      <x:c r="G39" s="150" t="n"/>
      <x:c r="H39" s="149" t="n"/>
      <x:c r="I39" s="149" t="n"/>
      <x:c r="J39" s="151" t="n"/>
      <x:c r="K39" s="150" t="n"/>
      <x:c r="L39" s="149" t="n"/>
      <x:c r="M39" s="149" t="n"/>
    </x:row>
  </x:sheetData>
  <x:mergeCells>
    <x:mergeCell ref="A2:M2"/>
    <x:mergeCell ref="A1:M1"/>
  </x:mergeCells>
  <x:pageMargins left="0.7" right="0.7" top="0.75" bottom="0.75" header="0.3" footer="0.3"/>
</x:worksheet>
</file>

<file path=xl/worksheets/sheet59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Pagination Evidence</x:t>
        </x:is>
      </x:c>
    </x:row>
    <x:row r="2" s="127" customFormat="1" ht="27.75" customHeight="1">
      <x:c r="A2" s="129" t="inlineStr">
        <x:is>
          <x:t xml:space="preserve">Count/controller state, shared Button presentation, native links, summaries and optional list/group composition.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COUNTA(A9:A33)</x:f>
        <x:v>25</x:v>
      </x:c>
      <x:c r="D4" s="130" t="inlineStr">
        <x:is>
          <x:t xml:space="preserve">Resolved</x:t>
        </x:is>
      </x:c>
      <x:c r="E4" s="131" t="n">
        <x:f>SUM(M9:M33)</x:f>
        <x:v>11</x:v>
      </x:c>
      <x:c r="G4" s="130" t="inlineStr">
        <x:is>
          <x:t xml:space="preserve">Completion</x:t>
        </x:is>
      </x:c>
      <x:c r="H4" s="132" t="n">
        <x:f>IF(B4=0,0,E4/B4)</x:f>
        <x:v>0.44</x:v>
      </x:c>
      <x:c r="J4" s="130" t="inlineStr">
        <x:is>
          <x:t xml:space="preserve">Package gate</x:t>
        </x:is>
      </x:c>
      <x:c r="K4" s="131" t="str">
        <x:f>IF(COUNTIFS(E9:E33,"package",M9:M33,0)&gt;0,"open","complete")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IF(COUNTIFS(I9:I33,"yes",M9:M33,0)&gt;0,"open","complete")</x:f>
        <x:v>open</x:v>
      </x:c>
      <x:c r="D5" s="130" t="inlineStr">
        <x:is>
          <x:t xml:space="preserve">Consumer gate</x:t>
        </x:is>
      </x:c>
      <x:c r="E5" s="131" t="str">
        <x:f>IF(COUNTIFS(E9:E33,"consumer",M9:M33,0)&gt;0,"open","complete")</x:f>
        <x:v>open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PA-01</x:t>
        </x:is>
      </x:c>
      <x:c r="B9" s="149" t="inlineStr">
        <x:is>
          <x:t xml:space="preserve">Ownership</x:t>
        </x:is>
      </x:c>
      <x:c r="C9" s="149" t="inlineStr">
        <x:is>
          <x:t xml:space="preserve">All parts</x:t>
        </x:is>
      </x:c>
      <x:c r="D9" s="150" t="inlineStr">
        <x:is>
          <x:t xml:space="preserve">Brick presents Atom Pagination without duplicating its count, page-size or range state.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../src/components/pagination/Pagination.tsx; ../package.json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46279.5</x:v>
      </x:c>
      <x:c r="K9" s="150" t="n"/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PA-02</x:t>
        </x:is>
      </x:c>
      <x:c r="B10" s="149" t="inlineStr">
        <x:is>
          <x:t xml:space="preserve">API</x:t>
        </x:is>
      </x:c>
      <x:c r="C10" s="149" t="inlineStr">
        <x:is>
          <x:t xml:space="preserve">All parts</x:t>
        </x:is>
      </x:c>
      <x:c r="D10" s="150" t="inlineStr">
        <x:is>
          <x:t xml:space="preserve">RootProvider, Context, First, Last, PageText and controller join the existing public parts.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../test/components/pagination/pagination.test.tsx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46279.5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PA-03</x:t>
        </x:is>
      </x:c>
      <x:c r="B11" s="149" t="inlineStr">
        <x:is>
          <x:t xml:space="preserve">Anatomy</x:t>
        </x:is>
      </x:c>
      <x:c r="C11" s="149" t="inlineStr">
        <x:is>
          <x:t xml:space="preserve">All parts</x:t>
        </x:is>
      </x:c>
      <x:c r="D11" s="150" t="inlineStr">
        <x:is>
          <x:t xml:space="preserve">List owns li wrappers; direct custom generated controls do not nest interactive hosts.</x:t>
        </x:is>
      </x:c>
      <x:c r="E11" s="149" t="inlineStr">
        <x:is>
          <x:t xml:space="preserve">package</x:t>
        </x:is>
      </x:c>
      <x:c r="F11" s="149" t="inlineStr">
        <x:is>
          <x:t xml:space="preserve">component</x:t>
        </x:is>
      </x:c>
      <x:c r="G11" s="150" t="inlineStr">
        <x:is>
          <x:t xml:space="preserve">../test/components/pagination/pagination.test.tsx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46279.5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PA-04</x:t>
        </x:is>
      </x:c>
      <x:c r="B12" s="149" t="inlineStr">
        <x:is>
          <x:t xml:space="preserve">Types</x:t>
        </x:is>
      </x:c>
      <x:c r="C12" s="149" t="inlineStr">
        <x:is>
          <x:t xml:space="preserve">Public surface</x:t>
        </x:is>
      </x:c>
      <x:c r="D12" s="150" t="inlineStr">
        <x:is>
          <x:t xml:space="preserve">Count models are mutually exclusive; visual props and sparse responsive Button sizes type-check.</x:t>
        </x:is>
      </x:c>
      <x:c r="E12" s="149" t="inlineStr">
        <x:is>
          <x:t xml:space="preserve">package</x:t>
        </x:is>
      </x:c>
      <x:c r="F12" s="149" t="inlineStr">
        <x:is>
          <x:t xml:space="preserve">types</x:t>
        </x:is>
      </x:c>
      <x:c r="G12" s="150" t="inlineStr">
        <x:is>
          <x:t xml:space="preserve">../test/types/components/pagination.test.ts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46279.5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PA-05</x:t>
        </x:is>
      </x:c>
      <x:c r="B13" s="149" t="inlineStr">
        <x:is>
          <x:t xml:space="preserve">Exports</x:t>
        </x:is>
      </x:c>
      <x:c r="C13" s="149" t="inlineStr">
        <x:is>
          <x:t xml:space="preserve">All parts</x:t>
        </x:is>
      </x:c>
      <x:c r="D13" s="150" t="inlineStr">
        <x:is>
          <x:t xml:space="preserve">Root and pagination subpath exports preserve namespace and named runtime identity.</x:t>
        </x:is>
      </x:c>
      <x:c r="E13" s="149" t="inlineStr">
        <x:is>
          <x:t xml:space="preserve">package</x:t>
        </x:is>
      </x:c>
      <x:c r="F13" s="149" t="inlineStr">
        <x:is>
          <x:t xml:space="preserve">package</x:t>
        </x:is>
      </x:c>
      <x:c r="G13" s="150" t="inlineStr">
        <x:is>
          <x:t xml:space="preserve">../test/package/package.test.mjs</x:t>
        </x:is>
      </x:c>
      <x:c r="H13" s="149" t="inlineStr">
        <x:is>
          <x:t xml:space="preserve">partial</x:t>
        </x:is>
      </x:c>
      <x:c r="I13" s="149" t="inlineStr">
        <x:is>
          <x:t xml:space="preserve">no</x:t>
        </x:is>
      </x:c>
      <x:c r="J13" s="151" t="n">
        <x:v>46231</x:v>
      </x:c>
      <x:c r="K13" s="150" t="inlineStr">
        <x:is>
          <x:t xml:space="preserve">Requalification required after Pagination API expansion; previous evidence does not establish the new surface.</x:t>
        </x:is>
      </x:c>
      <x:c r="L13" s="149" t="n">
        <x:v>1</x:v>
      </x:c>
      <x:c r="M13" s="149" t="n">
        <x:f>IF(OR(AND(I13="yes",H13="verified"),AND(I13="no",OR(H13="tested",H13="verified")),AND(H13="not applicable",K13&lt;&gt;"")),1,0)</x:f>
        <x:v>0</x:v>
      </x:c>
    </x:row>
    <x:row r="14" s="127" customFormat="1" ht="54" customHeight="1">
      <x:c r="A14" s="149" t="inlineStr">
        <x:is>
          <x:t xml:space="preserve">PA-06</x:t>
        </x:is>
      </x:c>
      <x:c r="B14" s="149" t="inlineStr">
        <x:is>
          <x:t xml:space="preserve">SSR</x:t>
        </x:is>
      </x:c>
      <x:c r="C14" s="149" t="inlineStr">
        <x:is>
          <x:t xml:space="preserve">All parts</x:t>
        </x:is>
      </x:c>
      <x:c r="D14" s="150" t="inlineStr">
        <x:is>
          <x:t xml:space="preserve">Pagination imports server-safely and emits deterministic generated native anatomy.</x:t>
        </x:is>
      </x:c>
      <x:c r="E14" s="149" t="inlineStr">
        <x:is>
          <x:t xml:space="preserve">package</x:t>
        </x:is>
      </x:c>
      <x:c r="F14" s="149" t="inlineStr">
        <x:is>
          <x:t xml:space="preserve">package</x:t>
        </x:is>
      </x:c>
      <x:c r="G14" s="150" t="inlineStr">
        <x:is>
          <x:t xml:space="preserve">../test/package/ssr.test.mjs</x:t>
        </x:is>
      </x:c>
      <x:c r="H14" s="149" t="inlineStr">
        <x:is>
          <x:t xml:space="preserve">partial</x:t>
        </x:is>
      </x:c>
      <x:c r="I14" s="149" t="inlineStr">
        <x:is>
          <x:t xml:space="preserve">no</x:t>
        </x:is>
      </x:c>
      <x:c r="J14" s="151" t="n">
        <x:v>46231</x:v>
      </x:c>
      <x:c r="K14" s="150" t="inlineStr">
        <x:is>
          <x:t xml:space="preserve">Requalification required after Pagination API expansion; previous evidence does not establish the new surface.</x:t>
        </x:is>
      </x:c>
      <x:c r="L14" s="149" t="n">
        <x:v>1</x:v>
      </x:c>
      <x:c r="M14" s="149" t="n">
        <x:f>IF(OR(AND(I14="yes",H14="verified"),AND(I14="no",OR(H14="tested",H14="verified")),AND(H14="not applicable",K14&lt;&gt;"")),1,0)</x:f>
        <x:v>0</x:v>
      </x:c>
    </x:row>
    <x:row r="15" s="127" customFormat="1" ht="54" customHeight="1">
      <x:c r="A15" s="149" t="inlineStr">
        <x:is>
          <x:t xml:space="preserve">PA-07</x:t>
        </x:is>
      </x:c>
      <x:c r="B15" s="149" t="inlineStr">
        <x:is>
          <x:t xml:space="preserve">Defaults</x:t>
        </x:is>
      </x:c>
      <x:c r="C15" s="149" t="inlineStr">
        <x:is>
          <x:t xml:space="preserve">Root</x:t>
        </x:is>
      </x:c>
      <x:c r="D15" s="150" t="inlineStr">
        <x:is>
          <x:t xml:space="preserve">Default controls use neutral ghost, selected outline and md size; sparse breakpoints inherit md.</x:t>
        </x:is>
      </x:c>
      <x:c r="E15" s="149" t="inlineStr">
        <x:is>
          <x:t xml:space="preserve">package</x:t>
        </x:is>
      </x:c>
      <x:c r="F15" s="149" t="inlineStr">
        <x:is>
          <x:t xml:space="preserve">component</x:t>
        </x:is>
      </x:c>
      <x:c r="G15" s="150" t="inlineStr">
        <x:is>
          <x:t xml:space="preserve">../test/components/pagination/pagination.test.tsx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46279.5</x:v>
      </x:c>
      <x:c r="K15" s="150" t="n"/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PA-08</x:t>
        </x:is>
      </x:c>
      <x:c r="B16" s="149" t="inlineStr">
        <x:is>
          <x:t xml:space="preserve">Recipes</x:t>
        </x:is>
      </x:c>
      <x:c r="C16" s="149" t="inlineStr">
        <x:is>
          <x:t xml:space="preserve">Root</x:t>
        </x:is>
      </x:c>
      <x:c r="D16" s="150" t="inlineStr">
        <x:is>
          <x:t xml:space="preserve">Shared Button variants and sizes preserve target geometry, including attached composition.</x:t>
        </x:is>
      </x:c>
      <x:c r="E16" s="149" t="inlineStr">
        <x:is>
          <x:t xml:space="preserve">package</x:t>
        </x:is>
      </x:c>
      <x:c r="F16" s="149" t="inlineStr">
        <x:is>
          <x:t xml:space="preserve">browser</x:t>
        </x:is>
      </x:c>
      <x:c r="G16" s="150" t="inlineStr">
        <x:is>
          <x:t xml:space="preserve">tests/components/pagination/behavior.spec.ts</x:t>
        </x:is>
      </x:c>
      <x:c r="H16" s="149" t="inlineStr">
        <x:is>
          <x:t xml:space="preserve">partial</x:t>
        </x:is>
      </x:c>
      <x:c r="I16" s="149" t="inlineStr">
        <x:is>
          <x:t xml:space="preserve">no</x:t>
        </x:is>
      </x:c>
      <x:c r="J16" s="151" t="n">
        <x:v>46279.5</x:v>
      </x:c>
      <x:c r="K16" s="150" t="n"/>
      <x:c r="L16" s="149" t="n">
        <x:v>1</x:v>
      </x:c>
      <x:c r="M16" s="149" t="n">
        <x:f>IF(OR(AND(I16="yes",H16="verified"),AND(I16="no",OR(H16="tested",H16="verified")),AND(H16="not applicable",K16&lt;&gt;"")),1,0)</x:f>
        <x:v>0</x:v>
      </x:c>
    </x:row>
    <x:row r="17" s="127" customFormat="1" ht="54" customHeight="1">
      <x:c r="A17" s="149" t="inlineStr">
        <x:is>
          <x:t xml:space="preserve">PA-09</x:t>
        </x:is>
      </x:c>
      <x:c r="B17" s="149" t="inlineStr">
        <x:is>
          <x:t xml:space="preserve">Range</x:t>
        </x:is>
      </x:c>
      <x:c r="C17" s="149" t="inlineStr">
        <x:is>
          <x:t xml:space="preserve">Items</x:t>
        </x:is>
      </x:c>
      <x:c r="D17" s="150" t="inlineStr">
        <x:is>
          <x:t xml:space="preserve">Items renders Atom's generated stable page and Ellipsis range without a Brick algorithm copy.</x:t>
        </x:is>
      </x:c>
      <x:c r="E17" s="149" t="inlineStr">
        <x:is>
          <x:t xml:space="preserve">package</x:t>
        </x:is>
      </x:c>
      <x:c r="F17" s="149" t="inlineStr">
        <x:is>
          <x:t xml:space="preserve">component</x:t>
        </x:is>
      </x:c>
      <x:c r="G17" s="150" t="inlineStr">
        <x:is>
          <x:t xml:space="preserve">../test/components/pagination/pagination.test.tsx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n">
        <x:v>46231</x:v>
      </x:c>
      <x:c r="K17" s="150" t="n"/>
      <x:c r="L17" s="149" t="n">
        <x:v>1</x:v>
      </x:c>
      <x:c r="M17" s="149" t="n">
        <x:f>IF(OR(AND(I17="yes",H17="verified"),AND(I17="no",OR(H17="tested",H17="verified")),AND(H17="not applicable",K17&lt;&gt;"")),1,0)</x:f>
        <x:v>1</x:v>
      </x:c>
    </x:row>
    <x:row r="18" s="127" customFormat="1" ht="54" customHeight="1">
      <x:c r="A18" s="149" t="inlineStr">
        <x:is>
          <x:t xml:space="preserve">PA-10</x:t>
        </x:is>
      </x:c>
      <x:c r="B18" s="149" t="inlineStr">
        <x:is>
          <x:t xml:space="preserve">State</x:t>
        </x:is>
      </x:c>
      <x:c r="C18" s="149" t="inlineStr">
        <x:is>
          <x:t xml:space="preserve">Controls</x:t>
        </x:is>
      </x:c>
      <x:c r="D18" s="150" t="inlineStr">
        <x:is>
          <x:t xml:space="preserve">Count/page-size transitions preserve the first visible record and clamp at total changes.</x:t>
        </x:is>
      </x:c>
      <x:c r="E18" s="149" t="inlineStr">
        <x:is>
          <x:t xml:space="preserve">package</x:t>
        </x:is>
      </x:c>
      <x:c r="F18" s="149" t="inlineStr">
        <x:is>
          <x:t xml:space="preserve">component</x:t>
        </x:is>
      </x:c>
      <x:c r="G18" s="150" t="inlineStr">
        <x:is>
          <x:t xml:space="preserve">Atom test/primitives/pagination.test.mjs: controller changes size while preserving the first visible record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n">
        <x:v>46279.5</x:v>
      </x:c>
      <x:c r="K18" s="150" t="n"/>
      <x:c r="L18" s="149" t="n">
        <x:v>1</x:v>
      </x:c>
      <x:c r="M18" s="149" t="n">
        <x:f>IF(OR(AND(I18="yes",H18="verified"),AND(I18="no",OR(H18="tested",H18="verified")),AND(H18="not applicable",K18&lt;&gt;"")),1,0)</x:f>
        <x:v>1</x:v>
      </x:c>
    </x:row>
    <x:row r="19" s="127" customFormat="1" ht="54" customHeight="1">
      <x:c r="A19" s="149" t="inlineStr">
        <x:is>
          <x:t xml:space="preserve">PA-11</x:t>
        </x:is>
      </x:c>
      <x:c r="B19" s="149" t="inlineStr">
        <x:is>
          <x:t xml:space="preserve">Localization</x:t>
        </x:is>
      </x:c>
      <x:c r="C19" s="149" t="inlineStr">
        <x:is>
          <x:t xml:space="preserve">Controls</x:t>
        </x:is>
      </x:c>
      <x:c r="D19" s="150" t="inlineStr">
        <x:is>
          <x:t xml:space="preserve">Labels and visible numbers can localize independently; PageText accepts a translation formatter.</x:t>
        </x:is>
      </x:c>
      <x:c r="E19" s="149" t="inlineStr">
        <x:is>
          <x:t xml:space="preserve">package</x:t>
        </x:is>
      </x:c>
      <x:c r="F19" s="149" t="inlineStr">
        <x:is>
          <x:t xml:space="preserve">component</x:t>
        </x:is>
      </x:c>
      <x:c r="G19" s="150" t="inlineStr">
        <x:is>
          <x:t xml:space="preserve">../test/components/pagination/pagination.test.tsx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46279.5</x:v>
      </x:c>
      <x:c r="K19" s="150" t="n"/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PA-12</x:t>
        </x:is>
      </x:c>
      <x:c r="B20" s="149" t="inlineStr">
        <x:is>
          <x:t xml:space="preserve">Icons</x:t>
        </x:is>
      </x:c>
      <x:c r="C20" s="149" t="inlineStr">
        <x:is>
          <x:t xml:space="preserve">Previous / Next</x:t>
        </x:is>
      </x:c>
      <x:c r="D20" s="150" t="inlineStr">
        <x:is>
          <x:t xml:space="preserve">Boundary artwork follows Button icon sizes and mirrors in RTL.</x:t>
        </x:is>
      </x:c>
      <x:c r="E20" s="149" t="inlineStr">
        <x:is>
          <x:t xml:space="preserve">package</x:t>
        </x:is>
      </x:c>
      <x:c r="F20" s="149" t="inlineStr">
        <x:is>
          <x:t xml:space="preserve">browser</x:t>
        </x:is>
      </x:c>
      <x:c r="G20" s="150" t="inlineStr">
        <x:is>
          <x:t xml:space="preserve">tests/components/pagination/behavior.spec.ts</x:t>
        </x:is>
      </x:c>
      <x:c r="H20" s="149" t="inlineStr">
        <x:is>
          <x:t xml:space="preserve">partial</x:t>
        </x:is>
      </x:c>
      <x:c r="I20" s="149" t="inlineStr">
        <x:is>
          <x:t xml:space="preserve">no</x:t>
        </x:is>
      </x:c>
      <x:c r="J20" s="151" t="n">
        <x:v>46279.5</x:v>
      </x:c>
      <x:c r="K20" s="150" t="n"/>
      <x:c r="L20" s="149" t="n">
        <x:v>1</x:v>
      </x:c>
      <x:c r="M20" s="149" t="n">
        <x:f>IF(OR(AND(I20="yes",H20="verified"),AND(I20="no",OR(H20="tested",H20="verified")),AND(H20="not applicable",K20&lt;&gt;"")),1,0)</x:f>
        <x:v>0</x:v>
      </x:c>
    </x:row>
    <x:row r="21" s="127" customFormat="1" ht="54" customHeight="1">
      <x:c r="A21" s="149" t="inlineStr">
        <x:is>
          <x:t xml:space="preserve">PA-13</x:t>
        </x:is>
      </x:c>
      <x:c r="B21" s="149" t="inlineStr">
        <x:is>
          <x:t xml:space="preserve">Accessibility</x:t>
        </x:is>
      </x:c>
      <x:c r="C21" s="149" t="inlineStr">
        <x:is>
          <x:t xml:space="preserve">All parts</x:t>
        </x:is>
      </x:c>
      <x:c r="D21" s="150" t="inlineStr">
        <x:is>
          <x:t xml:space="preserve">Distinct example landmarks, current-page semantics and keyboard navigation pass browser accessibility checks.</x:t>
        </x:is>
      </x:c>
      <x:c r="E21" s="149" t="inlineStr">
        <x:is>
          <x:t xml:space="preserve">package</x:t>
        </x:is>
      </x:c>
      <x:c r="F21" s="149" t="inlineStr">
        <x:is>
          <x:t xml:space="preserve">browser</x:t>
        </x:is>
      </x:c>
      <x:c r="G21" s="150" t="inlineStr">
        <x:is>
          <x:t xml:space="preserve">tests/components/pagination/behavior.spec.ts</x:t>
        </x:is>
      </x:c>
      <x:c r="H21" s="149" t="inlineStr">
        <x:is>
          <x:t xml:space="preserve">partial</x:t>
        </x:is>
      </x:c>
      <x:c r="I21" s="149" t="inlineStr">
        <x:is>
          <x:t xml:space="preserve">no</x:t>
        </x:is>
      </x:c>
      <x:c r="J21" s="151" t="n">
        <x:v>46279.5</x:v>
      </x:c>
      <x:c r="K21" s="150" t="n"/>
      <x:c r="L21" s="149" t="n">
        <x:v>1</x:v>
      </x:c>
      <x:c r="M21" s="149" t="n">
        <x:f>IF(OR(AND(I21="yes",H21="verified"),AND(I21="no",OR(H21="tested",H21="verified")),AND(H21="not applicable",K21&lt;&gt;"")),1,0)</x:f>
        <x:v>0</x:v>
      </x:c>
    </x:row>
    <x:row r="22" s="127" customFormat="1" ht="54" customHeight="1">
      <x:c r="A22" s="149" t="inlineStr">
        <x:is>
          <x:t xml:space="preserve">PA-14</x:t>
        </x:is>
      </x:c>
      <x:c r="B22" s="149" t="inlineStr">
        <x:is>
          <x:t xml:space="preserve">Responsive</x:t>
        </x:is>
      </x:c>
      <x:c r="C22" s="149" t="inlineStr">
        <x:is>
          <x:t xml:space="preserve">Root / List</x:t>
        </x:is>
      </x:c>
      <x:c r="D22" s="150" t="inlineStr">
        <x:is>
          <x:t xml:space="preserve">List contains narrow horizontal overflow; compact summary composition can omit List.</x:t>
        </x:is>
      </x:c>
      <x:c r="E22" s="149" t="inlineStr">
        <x:is>
          <x:t xml:space="preserve">package</x:t>
        </x:is>
      </x:c>
      <x:c r="F22" s="149" t="inlineStr">
        <x:is>
          <x:t xml:space="preserve">browser</x:t>
        </x:is>
      </x:c>
      <x:c r="G22" s="150" t="inlineStr">
        <x:is>
          <x:t xml:space="preserve">tests/components/pagination/behavior.spec.ts</x:t>
        </x:is>
      </x:c>
      <x:c r="H22" s="149" t="inlineStr">
        <x:is>
          <x:t xml:space="preserve">partial</x:t>
        </x:is>
      </x:c>
      <x:c r="I22" s="149" t="inlineStr">
        <x:is>
          <x:t xml:space="preserve">no</x:t>
        </x:is>
      </x:c>
      <x:c r="J22" s="151" t="n">
        <x:v>46279.5</x:v>
      </x:c>
      <x:c r="K22" s="150" t="n"/>
      <x:c r="L22" s="149" t="n">
        <x:v>1</x:v>
      </x:c>
      <x:c r="M22" s="149" t="n">
        <x:f>IF(OR(AND(I22="yes",H22="verified"),AND(I22="no",OR(H22="tested",H22="verified")),AND(H22="not applicable",K22&lt;&gt;"")),1,0)</x:f>
        <x:v>0</x:v>
      </x:c>
    </x:row>
    <x:row r="23" s="127" customFormat="1" ht="54" customHeight="1">
      <x:c r="A23" s="149" t="inlineStr">
        <x:is>
          <x:t xml:space="preserve">PA-15</x:t>
        </x:is>
      </x:c>
      <x:c r="B23" s="149" t="inlineStr">
        <x:is>
          <x:t xml:space="preserve">Appearance</x:t>
        </x:is>
      </x:c>
      <x:c r="C23" s="149" t="inlineStr">
        <x:is>
          <x:t xml:space="preserve">All parts</x:t>
        </x:is>
      </x:c>
      <x:c r="D23" s="150" t="inlineStr">
        <x:is>
          <x:t xml:space="preserve">Light and dark semantic scopes preserve current, neutral, disabled, and surface recipes.</x:t>
        </x:is>
      </x:c>
      <x:c r="E23" s="149" t="inlineStr">
        <x:is>
          <x:t xml:space="preserve">package</x:t>
        </x:is>
      </x:c>
      <x:c r="F23" s="149" t="inlineStr">
        <x:is>
          <x:t xml:space="preserve">visual</x:t>
        </x:is>
      </x:c>
      <x:c r="G23" s="150" t="inlineStr">
        <x:is>
          <x:t xml:space="preserve">tests/components/pagination/visual.spec.ts</x:t>
        </x:is>
      </x:c>
      <x:c r="H23" s="149" t="inlineStr">
        <x:is>
          <x:t xml:space="preserve">implemented</x:t>
        </x:is>
      </x:c>
      <x:c r="I23" s="149" t="inlineStr">
        <x:is>
          <x:t xml:space="preserve">yes</x:t>
        </x:is>
      </x:c>
      <x:c r="J23" s="151" t="n">
        <x:v>46231</x:v>
      </x:c>
      <x:c r="K23" s="150" t="inlineStr">
        <x:is>
          <x:t xml:space="preserve">Owner visual review not yet recorded.</x:t>
        </x:is>
      </x:c>
      <x:c r="L23" s="149" t="n">
        <x:v>1</x:v>
      </x:c>
      <x:c r="M23" s="149" t="n">
        <x:f>IF(OR(AND(I23="yes",H23="verified"),AND(I23="no",OR(H23="tested",H23="verified")),AND(H23="not applicable",K23&lt;&gt;"")),1,0)</x:f>
        <x:v>0</x:v>
      </x:c>
    </x:row>
    <x:row r="24" s="127" customFormat="1" ht="54" customHeight="1">
      <x:c r="A24" s="149" t="inlineStr">
        <x:is>
          <x:t xml:space="preserve">PA-16</x:t>
        </x:is>
      </x:c>
      <x:c r="B24" s="149" t="inlineStr">
        <x:is>
          <x:t xml:space="preserve">Preferences</x:t>
        </x:is>
      </x:c>
      <x:c r="C24" s="149" t="inlineStr">
        <x:is>
          <x:t xml:space="preserve">Controls</x:t>
        </x:is>
      </x:c>
      <x:c r="D24" s="150" t="inlineStr">
        <x:is>
          <x:t xml:space="preserve">Forced colors keeps current, disabled, and focus distinctions; reduced motion removes color transitions.</x:t>
        </x:is>
      </x:c>
      <x:c r="E24" s="149" t="inlineStr">
        <x:is>
          <x:t xml:space="preserve">package</x:t>
        </x:is>
      </x:c>
      <x:c r="F24" s="149" t="inlineStr">
        <x:is>
          <x:t xml:space="preserve">manual</x:t>
        </x:is>
      </x:c>
      <x:c r="G24" s="150" t="inlineStr">
        <x:is>
          <x:t xml:space="preserve">manual-tests/pagination.md</x:t>
        </x:is>
      </x:c>
      <x:c r="H24" s="149" t="inlineStr">
        <x:is>
          <x:t xml:space="preserve">implemented</x:t>
        </x:is>
      </x:c>
      <x:c r="I24" s="149" t="inlineStr">
        <x:is>
          <x:t xml:space="preserve">yes</x:t>
        </x:is>
      </x:c>
      <x:c r="J24" s="151" t="n">
        <x:v>46231</x:v>
      </x:c>
      <x:c r="K24" s="150" t="inlineStr">
        <x:is>
          <x:t xml:space="preserve">Owner forced-colors and reduced-motion review not yet recorded.</x:t>
        </x:is>
      </x:c>
      <x:c r="L24" s="149" t="n">
        <x:v>1</x:v>
      </x:c>
      <x:c r="M24" s="149" t="n">
        <x:f>IF(OR(AND(I24="yes",H24="verified"),AND(I24="no",OR(H24="tested",H24="verified")),AND(H24="not applicable",K24&lt;&gt;"")),1,0)</x:f>
        <x:v>0</x:v>
      </x:c>
    </x:row>
    <x:row r="25" s="127" customFormat="1" ht="54" customHeight="1">
      <x:c r="A25" s="149" t="inlineStr">
        <x:is>
          <x:t xml:space="preserve">PA-17</x:t>
        </x:is>
      </x:c>
      <x:c r="B25" s="149" t="inlineStr">
        <x:is>
          <x:t xml:space="preserve">Visual</x:t>
        </x:is>
      </x:c>
      <x:c r="C25" s="149" t="inlineStr">
        <x:is>
          <x:t xml:space="preserve">All parts</x:t>
        </x:is>
      </x:c>
      <x:c r="D25" s="150" t="inlineStr">
        <x:is>
          <x:t xml:space="preserve">Reviewed baselines cover overview, variants, sizes, appearance, customization, responsive overflow, and RTL.</x:t>
        </x:is>
      </x:c>
      <x:c r="E25" s="149" t="inlineStr">
        <x:is>
          <x:t xml:space="preserve">package</x:t>
        </x:is>
      </x:c>
      <x:c r="F25" s="149" t="inlineStr">
        <x:is>
          <x:t xml:space="preserve">visual</x:t>
        </x:is>
      </x:c>
      <x:c r="G25" s="150" t="inlineStr">
        <x:is>
          <x:t xml:space="preserve">tests/components/pagination/visual.spec.ts</x:t>
        </x:is>
      </x:c>
      <x:c r="H25" s="149" t="inlineStr">
        <x:is>
          <x:t xml:space="preserve">implemented</x:t>
        </x:is>
      </x:c>
      <x:c r="I25" s="149" t="inlineStr">
        <x:is>
          <x:t xml:space="preserve">yes</x:t>
        </x:is>
      </x:c>
      <x:c r="J25" s="151" t="n">
        <x:v>46231</x:v>
      </x:c>
      <x:c r="K25" s="150" t="inlineStr">
        <x:is>
          <x:t xml:space="preserve">Owner baseline approval not yet recorded.</x:t>
        </x:is>
      </x:c>
      <x:c r="L25" s="149" t="n">
        <x:v>1</x:v>
      </x:c>
      <x:c r="M25" s="149" t="n">
        <x:f>IF(OR(AND(I25="yes",H25="verified"),AND(I25="no",OR(H25="tested",H25="verified")),AND(H25="not applicable",K25&lt;&gt;"")),1,0)</x:f>
        <x:v>0</x:v>
      </x:c>
    </x:row>
    <x:row r="26" s="127" customFormat="1" ht="54" customHeight="1">
      <x:c r="A26" s="149" t="inlineStr">
        <x:is>
          <x:t xml:space="preserve">PA-18</x:t>
        </x:is>
      </x:c>
      <x:c r="B26" s="149" t="inlineStr">
        <x:is>
          <x:t xml:space="preserve">Customization</x:t>
        </x:is>
      </x:c>
      <x:c r="C26" s="149" t="inlineStr">
        <x:is>
          <x:t xml:space="preserve">Root / parts</x:t>
        </x:is>
      </x:c>
      <x:c r="D26" s="150" t="inlineStr">
        <x:is>
          <x:t xml:space="preserve">Public visual props replace retired pagination paint variables; list-gap remains supported.</x:t>
        </x:is>
      </x:c>
      <x:c r="E26" s="149" t="inlineStr">
        <x:is>
          <x:t xml:space="preserve">package</x:t>
        </x:is>
      </x:c>
      <x:c r="F26" s="149" t="inlineStr">
        <x:is>
          <x:t xml:space="preserve">component</x:t>
        </x:is>
      </x:c>
      <x:c r="G26" s="150" t="inlineStr">
        <x:is>
          <x:t xml:space="preserve">../test/components/pagination/pagination.test.tsx</x:t>
        </x:is>
      </x:c>
      <x:c r="H26" s="149" t="inlineStr">
        <x:is>
          <x:t xml:space="preserve">tested</x:t>
        </x:is>
      </x:c>
      <x:c r="I26" s="149" t="inlineStr">
        <x:is>
          <x:t xml:space="preserve">no</x:t>
        </x:is>
      </x:c>
      <x:c r="J26" s="151" t="n">
        <x:v>46279.5</x:v>
      </x:c>
      <x:c r="K26" s="150" t="n"/>
      <x:c r="L26" s="149" t="n">
        <x:v>1</x:v>
      </x:c>
      <x:c r="M26" s="149" t="n">
        <x:f>IF(OR(AND(I26="yes",H26="verified"),AND(I26="no",OR(H26="tested",H26="verified")),AND(H26="not applicable",K26&lt;&gt;"")),1,0)</x:f>
        <x:v>1</x:v>
      </x:c>
    </x:row>
    <x:row r="27" s="127" customFormat="1" ht="54" customHeight="1">
      <x:c r="A27" s="149" t="inlineStr">
        <x:is>
          <x:t xml:space="preserve">PA-19</x:t>
        </x:is>
      </x:c>
      <x:c r="B27" s="149" t="inlineStr">
        <x:is>
          <x:t xml:space="preserve">Documentation</x:t>
        </x:is>
      </x:c>
      <x:c r="C27" s="149" t="inlineStr">
        <x:is>
          <x:t xml:space="preserve">Public guide</x:t>
        </x:is>
      </x:c>
      <x:c r="D27" s="150" t="inlineStr">
        <x:is>
          <x:t xml:space="preserve">README documents count/controller APIs, composition, defaults and migration.</x:t>
        </x:is>
      </x:c>
      <x:c r="E27" s="149" t="inlineStr">
        <x:is>
          <x:t xml:space="preserve">package</x:t>
        </x:is>
      </x:c>
      <x:c r="F27" s="149" t="inlineStr">
        <x:is>
          <x:t xml:space="preserve">documentation</x:t>
        </x:is>
      </x:c>
      <x:c r="G27" s="150" t="inlineStr">
        <x:is>
          <x:t xml:space="preserve">../docs/components/pagination/README.md</x:t>
        </x:is>
      </x:c>
      <x:c r="H27" s="149" t="inlineStr">
        <x:is>
          <x:t xml:space="preserve">tested</x:t>
        </x:is>
      </x:c>
      <x:c r="I27" s="149" t="inlineStr">
        <x:is>
          <x:t xml:space="preserve">no</x:t>
        </x:is>
      </x:c>
      <x:c r="J27" s="151" t="n">
        <x:v>46279.5</x:v>
      </x:c>
      <x:c r="K27" s="150" t="n"/>
      <x:c r="L27" s="149" t="n">
        <x:v>1</x:v>
      </x:c>
      <x:c r="M27" s="149" t="n">
        <x:f>IF(OR(AND(I27="yes",H27="verified"),AND(I27="no",OR(H27="tested",H27="verified")),AND(H27="not applicable",K27&lt;&gt;"")),1,0)</x:f>
        <x:v>1</x:v>
      </x:c>
    </x:row>
    <x:row r="28" s="127" customFormat="1" ht="54" customHeight="1">
      <x:c r="A28" s="149" t="inlineStr">
        <x:is>
          <x:t xml:space="preserve">PA-20</x:t>
        </x:is>
      </x:c>
      <x:c r="B28" s="149" t="inlineStr">
        <x:is>
          <x:t xml:space="preserve">Changelog</x:t>
        </x:is>
      </x:c>
      <x:c r="C28" s="149" t="inlineStr">
        <x:is>
          <x:t xml:space="preserve">Public record</x:t>
        </x:is>
      </x:c>
      <x:c r="D28" s="150" t="inlineStr">
        <x:is>
          <x:t xml:space="preserve">Changelog describes public behavior and recipe changes.</x:t>
        </x:is>
      </x:c>
      <x:c r="E28" s="149" t="inlineStr">
        <x:is>
          <x:t xml:space="preserve">package</x:t>
        </x:is>
      </x:c>
      <x:c r="F28" s="149" t="inlineStr">
        <x:is>
          <x:t xml:space="preserve">documentation</x:t>
        </x:is>
      </x:c>
      <x:c r="G28" s="150" t="inlineStr">
        <x:is>
          <x:t xml:space="preserve">../docs/components/pagination/CHANGELOG.md; ../CHANGELOG.md</x:t>
        </x:is>
      </x:c>
      <x:c r="H28" s="149" t="inlineStr">
        <x:is>
          <x:t xml:space="preserve">implemented</x:t>
        </x:is>
      </x:c>
      <x:c r="I28" s="149" t="inlineStr">
        <x:is>
          <x:t xml:space="preserve">no</x:t>
        </x:is>
      </x:c>
      <x:c r="J28" s="151" t="n">
        <x:v>46279.5</x:v>
      </x:c>
      <x:c r="K28" s="150" t="n"/>
      <x:c r="L28" s="149" t="n">
        <x:v>1</x:v>
      </x:c>
      <x:c r="M28" s="149" t="n">
        <x:f>IF(OR(AND(I28="yes",H28="verified"),AND(I28="no",OR(H28="tested",H28="verified")),AND(H28="not applicable",K28&lt;&gt;"")),1,0)</x:f>
        <x:v>0</x:v>
      </x:c>
    </x:row>
    <x:row r="29" s="127" customFormat="1" ht="54" customHeight="1">
      <x:c r="A29" s="149" t="inlineStr">
        <x:is>
          <x:t xml:space="preserve">PA-21</x:t>
        </x:is>
      </x:c>
      <x:c r="B29" s="149" t="inlineStr">
        <x:is>
          <x:t xml:space="preserve">Playground</x:t>
        </x:is>
      </x:c>
      <x:c r="C29" s="149" t="inlineStr">
        <x:is>
          <x:t xml:space="preserve">All parts</x:t>
        </x:is>
      </x:c>
      <x:c r="D29" s="150" t="inlineStr">
        <x:is>
          <x:t xml:space="preserve">Focused documentation examples expose count, controller, links, custom content and attached composition.</x:t>
        </x:is>
      </x:c>
      <x:c r="E29" s="149" t="inlineStr">
        <x:is>
          <x:t xml:space="preserve">package</x:t>
        </x:is>
      </x:c>
      <x:c r="F29" s="149" t="inlineStr">
        <x:is>
          <x:t xml:space="preserve">playground</x:t>
        </x:is>
      </x:c>
      <x:c r="G29" s="150" t="inlineStr">
        <x:is>
          <x:t xml:space="preserve">../playground/src/components/pagination/PaginationPage.tsx</x:t>
        </x:is>
      </x:c>
      <x:c r="H29" s="149" t="inlineStr">
        <x:is>
          <x:t xml:space="preserve">implemented</x:t>
        </x:is>
      </x:c>
      <x:c r="I29" s="149" t="inlineStr">
        <x:is>
          <x:t xml:space="preserve">no</x:t>
        </x:is>
      </x:c>
      <x:c r="J29" s="151" t="n">
        <x:v>46279.5</x:v>
      </x:c>
      <x:c r="K29" s="150" t="n"/>
      <x:c r="L29" s="149" t="n">
        <x:v>1</x:v>
      </x:c>
      <x:c r="M29" s="149" t="n">
        <x:f>IF(OR(AND(I29="yes",H29="verified"),AND(I29="no",OR(H29="tested",H29="verified")),AND(H29="not applicable",K29&lt;&gt;"")),1,0)</x:f>
        <x:v>0</x:v>
      </x:c>
    </x:row>
    <x:row r="30" s="127" customFormat="1" ht="54" customHeight="1">
      <x:c r="A30" s="149" t="inlineStr">
        <x:is>
          <x:t xml:space="preserve">PA-22</x:t>
        </x:is>
      </x:c>
      <x:c r="B30" s="149" t="inlineStr">
        <x:is>
          <x:t xml:space="preserve">Manual</x:t>
        </x:is>
      </x:c>
      <x:c r="C30" s="149" t="inlineStr">
        <x:is>
          <x:t xml:space="preserve">All parts</x:t>
        </x:is>
      </x:c>
      <x:c r="D30" s="150" t="inlineStr">
        <x:is>
          <x:t xml:space="preserve">Numbered protocol reviews semantics, recipes, preferences, zoom, RTL, overflow, and physical touch.</x:t>
        </x:is>
      </x:c>
      <x:c r="E30" s="149" t="inlineStr">
        <x:is>
          <x:t xml:space="preserve">package</x:t>
        </x:is>
      </x:c>
      <x:c r="F30" s="149" t="inlineStr">
        <x:is>
          <x:t xml:space="preserve">manual</x:t>
        </x:is>
      </x:c>
      <x:c r="G30" s="150" t="inlineStr">
        <x:is>
          <x:t xml:space="preserve">manual-tests/pagination.md</x:t>
        </x:is>
      </x:c>
      <x:c r="H30" s="149" t="inlineStr">
        <x:is>
          <x:t xml:space="preserve">not started</x:t>
        </x:is>
      </x:c>
      <x:c r="I30" s="149" t="inlineStr">
        <x:is>
          <x:t xml:space="preserve">yes</x:t>
        </x:is>
      </x:c>
      <x:c r="J30" s="151" t="n">
        <x:v>46231</x:v>
      </x:c>
      <x:c r="K30" s="150" t="inlineStr">
        <x:is>
          <x:t xml:space="preserve">Owner manual run not yet completed.</x:t>
        </x:is>
      </x:c>
      <x:c r="L30" s="149" t="n">
        <x:v>1</x:v>
      </x:c>
      <x:c r="M30" s="149" t="n">
        <x:f>IF(OR(AND(I30="yes",H30="verified"),AND(I30="no",OR(H30="tested",H30="verified")),AND(H30="not applicable",K30&lt;&gt;"")),1,0)</x:f>
        <x:v>0</x:v>
      </x:c>
    </x:row>
    <x:row r="31" s="127" customFormat="1" ht="54" customHeight="1">
      <x:c r="A31" s="149" t="inlineStr">
        <x:is>
          <x:t xml:space="preserve">PA-23</x:t>
        </x:is>
      </x:c>
      <x:c r="B31" s="149" t="inlineStr">
        <x:is>
          <x:t xml:space="preserve">Consumer</x:t>
        </x:is>
      </x:c>
      <x:c r="C31" s="149" t="inlineStr">
        <x:is>
          <x:t xml:space="preserve">Root / generated controls</x:t>
        </x:is>
      </x:c>
      <x:c r="D31" s="150" t="inlineStr">
        <x:is>
          <x:t xml:space="preserve">Packed Consumer composes controlled Pagination through its public subpath.</x:t>
        </x:is>
      </x:c>
      <x:c r="E31" s="149" t="inlineStr">
        <x:is>
          <x:t xml:space="preserve">consumer</x:t>
        </x:is>
      </x:c>
      <x:c r="F31" s="149" t="inlineStr">
        <x:is>
          <x:t xml:space="preserve">consumer</x:t>
        </x:is>
      </x:c>
      <x:c r="G31" s="150" t="inlineStr">
        <x:is>
          <x:t xml:space="preserve">../apps/consumer/src/App.tsx; ../apps/consumer/tests/consumer.spec.ts</x:t>
        </x:is>
      </x:c>
      <x:c r="H31" s="149" t="inlineStr">
        <x:is>
          <x:t xml:space="preserve">partial</x:t>
        </x:is>
      </x:c>
      <x:c r="I31" s="149" t="inlineStr">
        <x:is>
          <x:t xml:space="preserve">no</x:t>
        </x:is>
      </x:c>
      <x:c r="J31" s="151" t="n">
        <x:v>46231</x:v>
      </x:c>
      <x:c r="K31" s="150" t="inlineStr">
        <x:is>
          <x:t xml:space="preserve">Requalification required after Pagination API expansion; previous evidence does not establish the new surface.</x:t>
        </x:is>
      </x:c>
      <x:c r="L31" s="149" t="n">
        <x:v>1</x:v>
      </x:c>
      <x:c r="M31" s="149" t="n">
        <x:f>IF(OR(AND(I31="yes",H31="verified"),AND(I31="no",OR(H31="tested",H31="verified")),AND(H31="not applicable",K31&lt;&gt;"")),1,0)</x:f>
        <x:v>0</x:v>
      </x:c>
    </x:row>
    <x:row r="32" s="127" customFormat="1" ht="54" customHeight="1">
      <x:c r="A32" s="149" t="inlineStr">
        <x:is>
          <x:t xml:space="preserve">PA-24</x:t>
        </x:is>
      </x:c>
      <x:c r="B32" s="149" t="inlineStr">
        <x:is>
          <x:t xml:space="preserve">Package</x:t>
        </x:is>
      </x:c>
      <x:c r="C32" s="149" t="inlineStr">
        <x:is>
          <x:t xml:space="preserve">Artifact</x:t>
        </x:is>
      </x:c>
      <x:c r="D32" s="150" t="inlineStr">
        <x:is>
          <x:t xml:space="preserve">Packed archive includes root/subpath declarations, runtime exports, CSS, exact Atom dependency, and React 18/19 compatibility.</x:t>
        </x:is>
      </x:c>
      <x:c r="E32" s="149" t="inlineStr">
        <x:is>
          <x:t xml:space="preserve">package</x:t>
        </x:is>
      </x:c>
      <x:c r="F32" s="149" t="inlineStr">
        <x:is>
          <x:t xml:space="preserve">package</x:t>
        </x:is>
      </x:c>
      <x:c r="G32" s="150" t="inlineStr">
        <x:is>
          <x:t xml:space="preserve">../scripts/verify-package.mjs; ../scripts/verify-consumers.mjs</x:t>
        </x:is>
      </x:c>
      <x:c r="H32" s="149" t="inlineStr">
        <x:is>
          <x:t xml:space="preserve">partial</x:t>
        </x:is>
      </x:c>
      <x:c r="I32" s="149" t="inlineStr">
        <x:is>
          <x:t xml:space="preserve">no</x:t>
        </x:is>
      </x:c>
      <x:c r="J32" s="151" t="n">
        <x:v>46231</x:v>
      </x:c>
      <x:c r="K32" s="150" t="inlineStr">
        <x:is>
          <x:t xml:space="preserve">Requalification required after Pagination API expansion; previous evidence does not establish the new surface.</x:t>
        </x:is>
      </x:c>
      <x:c r="L32" s="149" t="n">
        <x:v>1</x:v>
      </x:c>
      <x:c r="M32" s="149" t="n">
        <x:f>IF(OR(AND(I32="yes",H32="verified"),AND(I32="no",OR(H32="tested",H32="verified")),AND(H32="not applicable",K32&lt;&gt;"")),1,0)</x:f>
        <x:v>0</x:v>
      </x:c>
    </x:row>
    <x:row r="33" s="127" customFormat="1" ht="54" customHeight="1">
      <x:c r="A33" s="149" t="inlineStr">
        <x:is>
          <x:t xml:space="preserve">PA-25</x:t>
        </x:is>
      </x:c>
      <x:c r="B33" s="149" t="inlineStr">
        <x:is>
          <x:t xml:space="preserve">Exclusion</x:t>
        </x:is>
      </x:c>
      <x:c r="C33" s="149" t="inlineStr">
        <x:is>
          <x:t xml:space="preserve">All parts</x:t>
        </x:is>
      </x:c>
      <x:c r="D33" s="150" t="inlineStr">
        <x:is>
          <x:t xml:space="preserve">Fetching, sorting, routing policy and result focus remain application-owned; count/page size belong to Atom.</x:t>
        </x:is>
      </x:c>
      <x:c r="E33" s="149" t="inlineStr">
        <x:is>
          <x:t xml:space="preserve">package</x:t>
        </x:is>
      </x:c>
      <x:c r="F33" s="149" t="inlineStr">
        <x:is>
          <x:t xml:space="preserve">documentation</x:t>
        </x:is>
      </x:c>
      <x:c r="G33" s="150" t="inlineStr">
        <x:is>
          <x:t xml:space="preserve">../docs/components/pagination/README.md</x:t>
        </x:is>
      </x:c>
      <x:c r="H33" s="149" t="inlineStr">
        <x:is>
          <x:t xml:space="preserve">tested</x:t>
        </x:is>
      </x:c>
      <x:c r="I33" s="149" t="inlineStr">
        <x:is>
          <x:t xml:space="preserve">no</x:t>
        </x:is>
      </x:c>
      <x:c r="J33" s="151" t="n">
        <x:v>46279.5</x:v>
      </x:c>
      <x:c r="K33" s="150" t="n"/>
      <x:c r="L33" s="149" t="n">
        <x:v>1</x:v>
      </x:c>
      <x:c r="M33" s="149" t="n">
        <x:f>IF(OR(AND(I33="yes",H33="verified"),AND(I33="no",OR(H33="tested",H33="verified")),AND(H33="not applicable",K33&lt;&gt;"")),1,0)</x:f>
        <x:v>1</x:v>
      </x:c>
    </x:row>
    <x:row r="34" s="127" customFormat="1" ht="54" customHeight="1"/>
    <x:row r="35" s="127" customFormat="1" ht="54" customHeight="1"/>
    <x:row r="36" s="127" customFormat="1" ht="54" customHeight="1"/>
    <x:row r="37" s="127" customFormat="1" ht="54" customHeight="1"/>
    <x:row r="38" s="127" customFormat="1" ht="54" customHeight="1"/>
    <x:row r="39" s="127" customFormat="1" ht="54" customHeight="1"/>
  </x:sheetData>
  <x:mergeCells>
    <x:mergeCell ref="A2:M2"/>
    <x:mergeCell ref="A1:M1"/>
  </x:mergeCells>
  <x:dataValidations count="2">
    <x:dataValidation type="list" errorStyle="stop" operator="between" allowBlank="0" showDropDown="0" showInputMessage="0" showErrorMessage="0" sqref="H9:H33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33">
      <x:formula1>"yes,no"</x:formula1>
      <x:formula2>0</x:formula2>
    </x:dataValidation>
  </x:dataValidations>
  <x:pageMargins left="0.7" right="0.7" top="0.75" bottom="0.75" header="0.3" footer="0.3"/>
</x:worksheet>
</file>

<file path=xl/worksheets/sheet60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Data Grid Evidence</x:t>
        </x:is>
      </x:c>
    </x:row>
    <x:row r="2" s="127" customFormat="1" ht="27.75" customHeight="1">
      <x:c r="A2" s="129" t="inlineStr">
        <x:is>
          <x:t xml:space="preserve">Assertion-level anatomy, navigation, selection, sorting activation, visual recipes, responsive containment, package, documentation, Consumer, and accessibility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COUNTA(A9:A34)</x:f>
        <x:v>26</x:v>
      </x:c>
      <x:c r="D4" s="130" t="inlineStr">
        <x:is>
          <x:t xml:space="preserve">Resolved</x:t>
        </x:is>
      </x:c>
      <x:c r="E4" s="131" t="n">
        <x:f>SUM(M9:M34)</x:f>
        <x:v>21</x:v>
      </x:c>
      <x:c r="G4" s="130" t="inlineStr">
        <x:is>
          <x:t xml:space="preserve">Completion</x:t>
        </x:is>
      </x:c>
      <x:c r="H4" s="132" t="n">
        <x:f>IF(B4=0,0,E4/B4)</x:f>
        <x:v>0.8076923076923077</x:v>
      </x:c>
      <x:c r="J4" s="130" t="inlineStr">
        <x:is>
          <x:t xml:space="preserve">Package gate</x:t>
        </x:is>
      </x:c>
      <x:c r="K4" s="131" t="str">
        <x:f>IF(COUNTIFS(E9:E34,"package",M9:M34,0)&gt;0,"open","complete")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IF(COUNTIFS(I9:I34,"yes",M9:M34,0)&gt;0,"open","complete")</x:f>
        <x:v>open</x:v>
      </x:c>
      <x:c r="D5" s="130" t="inlineStr">
        <x:is>
          <x:t xml:space="preserve">Consumer gate</x:t>
        </x:is>
      </x:c>
      <x:c r="E5" s="131" t="str">
        <x:f>IF(COUNTIFS(E9:E34,"consumer",M9:M34,0)&gt;0,"open","complete")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DG-01</x:t>
        </x:is>
      </x:c>
      <x:c r="B9" s="149" t="inlineStr">
        <x:is>
          <x:t xml:space="preserve">Ownership</x:t>
        </x:is>
      </x:c>
      <x:c r="C9" s="149" t="inlineStr">
        <x:is>
          <x:t xml:space="preserve">All parts</x:t>
        </x:is>
      </x:c>
      <x:c r="D9" s="150" t="str">
        <x:v>Brick styles digest-locked local Atom 0.26.1 grid behavior. Candidate remains unpublished.</x:v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../src/components/data-grid/DataGrid.tsx; ../package.json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46231</x:v>
      </x:c>
      <x:c r="K9" s="150" t="n"/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DG-02</x:t>
        </x:is>
      </x:c>
      <x:c r="B10" s="149" t="inlineStr">
        <x:is>
          <x:t xml:space="preserve">API</x:t>
        </x:is>
      </x:c>
      <x:c r="C10" s="149" t="inlineStr">
        <x:is>
          <x:t xml:space="preserve">All parts</x:t>
        </x:is>
      </x:c>
      <x:c r="D10" s="150" t="str">
        <x:v>Namespace and named root/subpath exports include RowHeader and ColumnResizeHandle.</x:v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../test/components/data-grid/data-grid.test.tsx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46231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DG-03</x:t>
        </x:is>
      </x:c>
      <x:c r="B11" s="149" t="inlineStr">
        <x:is>
          <x:t xml:space="preserve">Anatomy</x:t>
        </x:is>
      </x:c>
      <x:c r="C11" s="149" t="inlineStr">
        <x:is>
          <x:t xml:space="preserve">All parts</x:t>
        </x:is>
      </x:c>
      <x:c r="D11" s="150" t="inlineStr">
        <x:is>
          <x:t xml:space="preserve">Explicit Container and exact native table hosts, grid roles, slots, refs, indexes, and counts render deterministically.</x:t>
        </x:is>
      </x:c>
      <x:c r="E11" s="149" t="inlineStr">
        <x:is>
          <x:t xml:space="preserve">package</x:t>
        </x:is>
      </x:c>
      <x:c r="F11" s="149" t="inlineStr">
        <x:is>
          <x:t xml:space="preserve">component</x:t>
        </x:is>
      </x:c>
      <x:c r="G11" s="150" t="inlineStr">
        <x:is>
          <x:t xml:space="preserve">../test/components/data-grid/data-grid.test.tsx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46231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DG-04</x:t>
        </x:is>
      </x:c>
      <x:c r="B12" s="149" t="inlineStr">
        <x:is>
          <x:t xml:space="preserve">Types</x:t>
        </x:is>
      </x:c>
      <x:c r="C12" s="149" t="inlineStr">
        <x:is>
          <x:t xml:space="preserve">Public surface</x:t>
        </x:is>
      </x:c>
      <x:c r="D12" s="150" t="inlineStr">
        <x:is>
          <x:t xml:space="preserve">Closed recipes, logical alignment, Atom state, indexes, controlled selection, active cell, sorting action, native props, and refs type-check.</x:t>
        </x:is>
      </x:c>
      <x:c r="E12" s="149" t="inlineStr">
        <x:is>
          <x:t xml:space="preserve">package</x:t>
        </x:is>
      </x:c>
      <x:c r="F12" s="149" t="inlineStr">
        <x:is>
          <x:t xml:space="preserve">types</x:t>
        </x:is>
      </x:c>
      <x:c r="G12" s="150" t="inlineStr">
        <x:is>
          <x:t xml:space="preserve">../test/types/components/data-grid.test.ts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46231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DG-05</x:t>
        </x:is>
      </x:c>
      <x:c r="B13" s="149" t="inlineStr">
        <x:is>
          <x:t xml:space="preserve">Exports</x:t>
        </x:is>
      </x:c>
      <x:c r="C13" s="149" t="inlineStr">
        <x:is>
          <x:t xml:space="preserve">All parts</x:t>
        </x:is>
      </x:c>
      <x:c r="D13" s="150" t="inlineStr">
        <x:is>
          <x:t xml:space="preserve">Root and data-grid subpath exports preserve namespace and named runtime identity.</x:t>
        </x:is>
      </x:c>
      <x:c r="E13" s="149" t="inlineStr">
        <x:is>
          <x:t xml:space="preserve">package</x:t>
        </x:is>
      </x:c>
      <x:c r="F13" s="149" t="inlineStr">
        <x:is>
          <x:t xml:space="preserve">package</x:t>
        </x:is>
      </x:c>
      <x:c r="G13" s="150" t="inlineStr">
        <x:is>
          <x:t xml:space="preserve">../test/package/package.test.mjs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46231</x:v>
      </x:c>
      <x:c r="K13" s="150" t="n"/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DG-06</x:t>
        </x:is>
      </x:c>
      <x:c r="B14" s="149" t="inlineStr">
        <x:is>
          <x:t xml:space="preserve">SSR</x:t>
        </x:is>
      </x:c>
      <x:c r="C14" s="149" t="inlineStr">
        <x:is>
          <x:t xml:space="preserve">Root / cells</x:t>
        </x:is>
      </x:c>
      <x:c r="D14" s="150" t="inlineStr">
        <x:is>
          <x:t xml:space="preserve">Data Grid imports server-safely and emits deterministic labelled grid, coordinate, and sort anatomy.</x:t>
        </x:is>
      </x:c>
      <x:c r="E14" s="149" t="inlineStr">
        <x:is>
          <x:t xml:space="preserve">package</x:t>
        </x:is>
      </x:c>
      <x:c r="F14" s="149" t="inlineStr">
        <x:is>
          <x:t xml:space="preserve">package</x:t>
        </x:is>
      </x:c>
      <x:c r="G14" s="150" t="inlineStr">
        <x:is>
          <x:t xml:space="preserve">../test/package/ssr.test.mjs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46231</x:v>
      </x:c>
      <x:c r="K14" s="150" t="n"/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DG-07</x:t>
        </x:is>
      </x:c>
      <x:c r="B15" s="149" t="inlineStr">
        <x:is>
          <x:t xml:space="preserve">Defaults</x:t>
        </x:is>
      </x:c>
      <x:c r="C15" s="149" t="inlineStr">
        <x:is>
          <x:t xml:space="preserve">Root / Caption</x:t>
        </x:is>
      </x:c>
      <x:c r="D15" s="150" t="inlineStr">
        <x:is>
          <x:t xml:space="preserve">Defaults are line, medium, comfortable, bottom caption, and logical-start alignment.</x:t>
        </x:is>
      </x:c>
      <x:c r="E15" s="149" t="inlineStr">
        <x:is>
          <x:t xml:space="preserve">package</x:t>
        </x:is>
      </x:c>
      <x:c r="F15" s="149" t="inlineStr">
        <x:is>
          <x:t xml:space="preserve">component</x:t>
        </x:is>
      </x:c>
      <x:c r="G15" s="150" t="inlineStr">
        <x:is>
          <x:t xml:space="preserve">../test/components/data-grid/data-grid.test.tsx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46231</x:v>
      </x:c>
      <x:c r="K15" s="150" t="n"/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DG-08</x:t>
        </x:is>
      </x:c>
      <x:c r="B16" s="149" t="inlineStr">
        <x:is>
          <x:t xml:space="preserve">Recipes</x:t>
        </x:is>
      </x:c>
      <x:c r="C16" s="149" t="inlineStr">
        <x:is>
          <x:t xml:space="preserve">Root</x:t>
        </x:is>
      </x:c>
      <x:c r="D16" s="150" t="str">
        <x:v>Responsive size, density and variant, neutral/accent selection, logical sticky cells and shared row geometry.</x:v>
      </x:c>
      <x:c r="E16" s="149" t="inlineStr">
        <x:is>
          <x:t xml:space="preserve">package</x:t>
        </x:is>
      </x:c>
      <x:c r="F16" s="149" t="inlineStr">
        <x:is>
          <x:t xml:space="preserve">browser</x:t>
        </x:is>
      </x:c>
      <x:c r="G16" s="150" t="inlineStr">
        <x:is>
          <x:t xml:space="preserve">tests/components/data-grid/behavior.spec.ts</x:t>
        </x:is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n">
        <x:v>46231</x:v>
      </x:c>
      <x:c r="K16" s="150" t="n"/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DG-09</x:t>
        </x:is>
      </x:c>
      <x:c r="B17" s="149" t="inlineStr">
        <x:is>
          <x:t xml:space="preserve">Navigation</x:t>
        </x:is>
      </x:c>
      <x:c r="C17" s="149" t="inlineStr">
        <x:is>
          <x:t xml:space="preserve">Root / cells</x:t>
        </x:is>
      </x:c>
      <x:c r="D17" s="150" t="str">
        <x:v>Entry and recovery, RTL arrows, page keys and interactive-child Enter/F2/Escape preserve real focus ownership.</x:v>
      </x:c>
      <x:c r="E17" s="149" t="inlineStr">
        <x:is>
          <x:t xml:space="preserve">package</x:t>
        </x:is>
      </x:c>
      <x:c r="F17" s="149" t="inlineStr">
        <x:is>
          <x:t xml:space="preserve">browser</x:t>
        </x:is>
      </x:c>
      <x:c r="G17" s="150" t="inlineStr">
        <x:is>
          <x:t xml:space="preserve">tests/components/data-grid/behavior.spec.ts; @flowstack-ui/atom 0.17.0 behavior suite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n">
        <x:v>46231</x:v>
      </x:c>
      <x:c r="K17" s="150" t="n"/>
      <x:c r="L17" s="149" t="n">
        <x:v>1</x:v>
      </x:c>
      <x:c r="M17" s="149" t="n">
        <x:f>IF(OR(AND(I17="yes",H17="verified"),AND(I17="no",OR(H17="tested",H17="verified")),AND(H17="not applicable",K17&lt;&gt;"")),1,0)</x:f>
        <x:v>1</x:v>
      </x:c>
    </x:row>
    <x:row r="18" s="127" customFormat="1" ht="54" customHeight="1">
      <x:c r="A18" s="149" t="inlineStr">
        <x:is>
          <x:t xml:space="preserve">DG-10</x:t>
        </x:is>
      </x:c>
      <x:c r="B18" s="149" t="inlineStr">
        <x:is>
          <x:t xml:space="preserve">Selection</x:t>
        </x:is>
      </x:c>
      <x:c r="C18" s="149" t="inlineStr">
        <x:is>
          <x:t xml:space="preserve">Root / Row</x:t>
        </x:is>
      </x:c>
      <x:c r="D18" s="150" t="str">
        <x:v>Controlled row selection supports anchored ranges and mounted select-all while retaining offscreen IDs.</x:v>
      </x:c>
      <x:c r="E18" s="149" t="inlineStr">
        <x:is>
          <x:t xml:space="preserve">package</x:t>
        </x:is>
      </x:c>
      <x:c r="F18" s="149" t="inlineStr">
        <x:is>
          <x:t xml:space="preserve">browser</x:t>
        </x:is>
      </x:c>
      <x:c r="G18" s="150" t="inlineStr">
        <x:is>
          <x:t xml:space="preserve">tests/components/data-grid/behavior.spec.ts; @flowstack-ui/atom 0.17.0 behavior suite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n">
        <x:v>46231</x:v>
      </x:c>
      <x:c r="K18" s="150" t="n"/>
      <x:c r="L18" s="149" t="n">
        <x:v>1</x:v>
      </x:c>
      <x:c r="M18" s="149" t="n">
        <x:f>IF(OR(AND(I18="yes",H18="verified"),AND(I18="no",OR(H18="tested",H18="verified")),AND(H18="not applicable",K18&lt;&gt;"")),1,0)</x:f>
        <x:v>1</x:v>
      </x:c>
    </x:row>
    <x:row r="19" s="127" customFormat="1" ht="54" customHeight="1">
      <x:c r="A19" s="149" t="inlineStr">
        <x:is>
          <x:t xml:space="preserve">DG-11</x:t>
        </x:is>
      </x:c>
      <x:c r="B19" s="149" t="inlineStr">
        <x:is>
          <x:t xml:space="preserve">Sorting</x:t>
        </x:is>
      </x:c>
      <x:c r="C19" s="149" t="inlineStr">
        <x:is>
          <x:t xml:space="preserve">ColumnHeader / SortIndicator</x:t>
        </x:is>
      </x:c>
      <x:c r="D19" s="150" t="inlineStr">
        <x:is>
          <x:t xml:space="preserve">Indexed actionable headers request application sorting by pointer and Enter; aria-sort stays controlled and artwork stays silent.</x:t>
        </x:is>
      </x:c>
      <x:c r="E19" s="149" t="inlineStr">
        <x:is>
          <x:t xml:space="preserve">package</x:t>
        </x:is>
      </x:c>
      <x:c r="F19" s="149" t="inlineStr">
        <x:is>
          <x:t xml:space="preserve">browser</x:t>
        </x:is>
      </x:c>
      <x:c r="G19" s="150" t="inlineStr">
        <x:is>
          <x:t xml:space="preserve">tests/components/data-grid/behavior.spec.ts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46231</x:v>
      </x:c>
      <x:c r="K19" s="150" t="n"/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DG-12</x:t>
        </x:is>
      </x:c>
      <x:c r="B20" s="149" t="inlineStr">
        <x:is>
          <x:t xml:space="preserve">Alignment</x:t>
        </x:is>
      </x:c>
      <x:c r="C20" s="149" t="inlineStr">
        <x:is>
          <x:t xml:space="preserve">ColumnHeader / Cell</x:t>
        </x:is>
      </x:c>
      <x:c r="D20" s="150" t="inlineStr">
        <x:is>
          <x:t xml:space="preserve">Start, center, end, and numeric formatting use logical alignment, tabular figures, and explicit precedence.</x:t>
        </x:is>
      </x:c>
      <x:c r="E20" s="149" t="inlineStr">
        <x:is>
          <x:t xml:space="preserve">package</x:t>
        </x:is>
      </x:c>
      <x:c r="F20" s="149" t="inlineStr">
        <x:is>
          <x:t xml:space="preserve">component</x:t>
        </x:is>
      </x:c>
      <x:c r="G20" s="150" t="inlineStr">
        <x:is>
          <x:t xml:space="preserve">../test/components/data-grid/data-grid.test.tsx</x:t>
        </x:is>
      </x:c>
      <x:c r="H20" s="149" t="inlineStr">
        <x:is>
          <x:t xml:space="preserve">tested</x:t>
        </x:is>
      </x:c>
      <x:c r="I20" s="149" t="inlineStr">
        <x:is>
          <x:t xml:space="preserve">no</x:t>
        </x:is>
      </x:c>
      <x:c r="J20" s="151" t="n">
        <x:v>46231</x:v>
      </x:c>
      <x:c r="K20" s="150" t="n"/>
      <x:c r="L20" s="149" t="n">
        <x:v>1</x:v>
      </x:c>
      <x:c r="M20" s="149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49" t="inlineStr">
        <x:is>
          <x:t xml:space="preserve">DG-13</x:t>
        </x:is>
      </x:c>
      <x:c r="B21" s="149" t="inlineStr">
        <x:is>
          <x:t xml:space="preserve">States</x:t>
        </x:is>
      </x:c>
      <x:c r="C21" s="149" t="inlineStr">
        <x:is>
          <x:t xml:space="preserve">Rows / cells</x:t>
        </x:is>
      </x:c>
      <x:c r="D21" s="150" t="inlineStr">
        <x:is>
          <x:t xml:space="preserve">Selected, active, disabled, selectable, actionable, hover, and sorted paint follows Atom attributes without geometry changes.</x:t>
        </x:is>
      </x:c>
      <x:c r="E21" s="149" t="inlineStr">
        <x:is>
          <x:t xml:space="preserve">package</x:t>
        </x:is>
      </x:c>
      <x:c r="F21" s="149" t="inlineStr">
        <x:is>
          <x:t xml:space="preserve">browser</x:t>
        </x:is>
      </x:c>
      <x:c r="G21" s="150" t="inlineStr">
        <x:is>
          <x:t xml:space="preserve">tests/components/data-grid/behavior.spec.ts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46231</x:v>
      </x:c>
      <x:c r="K21" s="150" t="n"/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DG-14</x:t>
        </x:is>
      </x:c>
      <x:c r="B22" s="149" t="inlineStr">
        <x:is>
          <x:t xml:space="preserve">Responsive</x:t>
        </x:is>
      </x:c>
      <x:c r="C22" s="149" t="inlineStr">
        <x:is>
          <x:t xml:space="preserve">Container</x:t>
        </x:is>
      </x:c>
      <x:c r="D22" s="150" t="inlineStr">
        <x:is>
          <x:t xml:space="preserve">Explicit horizontal containment preserves columns without page overflow, card conversion, or implicit wrapping.</x:t>
        </x:is>
      </x:c>
      <x:c r="E22" s="149" t="inlineStr">
        <x:is>
          <x:t xml:space="preserve">package</x:t>
        </x:is>
      </x:c>
      <x:c r="F22" s="149" t="inlineStr">
        <x:is>
          <x:t xml:space="preserve">browser</x:t>
        </x:is>
      </x:c>
      <x:c r="G22" s="150" t="inlineStr">
        <x:is>
          <x:t xml:space="preserve">tests/components/data-grid/behavior.spec.ts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46231</x:v>
      </x:c>
      <x:c r="K22" s="150" t="n"/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DG-15</x:t>
        </x:is>
      </x:c>
      <x:c r="B23" s="149" t="inlineStr">
        <x:is>
          <x:t xml:space="preserve">RTL</x:t>
        </x:is>
      </x:c>
      <x:c r="C23" s="149" t="inlineStr">
        <x:is>
          <x:t xml:space="preserve">All parts</x:t>
        </x:is>
      </x:c>
      <x:c r="D23" s="150" t="inlineStr">
        <x:is>
          <x:t xml:space="preserve">Logical navigation, alignment, sorting indicator placement, and overflow remain usable with RTL content.</x:t>
        </x:is>
      </x:c>
      <x:c r="E23" s="149" t="inlineStr">
        <x:is>
          <x:t xml:space="preserve">package</x:t>
        </x:is>
      </x:c>
      <x:c r="F23" s="149" t="inlineStr">
        <x:is>
          <x:t xml:space="preserve">visual</x:t>
        </x:is>
      </x:c>
      <x:c r="G23" s="150" t="inlineStr">
        <x:is>
          <x:t xml:space="preserve">tests/components/data-grid/visual.spec.ts</x:t>
        </x:is>
      </x:c>
      <x:c r="H23" s="149" t="inlineStr">
        <x:is>
          <x:t xml:space="preserve">implemented</x:t>
        </x:is>
      </x:c>
      <x:c r="I23" s="149" t="inlineStr">
        <x:is>
          <x:t xml:space="preserve">yes</x:t>
        </x:is>
      </x:c>
      <x:c r="J23" s="151" t="n">
        <x:v>46231</x:v>
      </x:c>
      <x:c r="K23" s="150" t="inlineStr">
        <x:is>
          <x:t xml:space="preserve">Owner visual review not yet recorded.</x:t>
        </x:is>
      </x:c>
      <x:c r="L23" s="149" t="n">
        <x:v>1</x:v>
      </x:c>
      <x:c r="M23" s="149" t="n">
        <x:f>IF(OR(AND(I23="yes",H23="verified"),AND(I23="no",OR(H23="tested",H23="verified")),AND(H23="not applicable",K23&lt;&gt;"")),1,0)</x:f>
        <x:v>0</x:v>
      </x:c>
    </x:row>
    <x:row r="24" s="127" customFormat="1" ht="54" customHeight="1">
      <x:c r="A24" s="149" t="inlineStr">
        <x:is>
          <x:t xml:space="preserve">DG-16</x:t>
        </x:is>
      </x:c>
      <x:c r="B24" s="149" t="inlineStr">
        <x:is>
          <x:t xml:space="preserve">Appearance</x:t>
        </x:is>
      </x:c>
      <x:c r="C24" s="149" t="inlineStr">
        <x:is>
          <x:t xml:space="preserve">All parts</x:t>
        </x:is>
      </x:c>
      <x:c r="D24" s="150" t="inlineStr">
        <x:is>
          <x:t xml:space="preserve">Light, dark, and forced-color surfaces preserve boundaries, state distinctions, badges, and focus.</x:t>
        </x:is>
      </x:c>
      <x:c r="E24" s="149" t="inlineStr">
        <x:is>
          <x:t xml:space="preserve">package</x:t>
        </x:is>
      </x:c>
      <x:c r="F24" s="149" t="inlineStr">
        <x:is>
          <x:t xml:space="preserve">visual</x:t>
        </x:is>
      </x:c>
      <x:c r="G24" s="150" t="inlineStr">
        <x:is>
          <x:t xml:space="preserve">tests/components/data-grid/visual.spec.ts</x:t>
        </x:is>
      </x:c>
      <x:c r="H24" s="149" t="inlineStr">
        <x:is>
          <x:t xml:space="preserve">implemented</x:t>
        </x:is>
      </x:c>
      <x:c r="I24" s="149" t="inlineStr">
        <x:is>
          <x:t xml:space="preserve">yes</x:t>
        </x:is>
      </x:c>
      <x:c r="J24" s="151" t="n">
        <x:v>46231</x:v>
      </x:c>
      <x:c r="K24" s="150" t="inlineStr">
        <x:is>
          <x:t xml:space="preserve">Owner visual review not yet recorded.</x:t>
        </x:is>
      </x:c>
      <x:c r="L24" s="149" t="n">
        <x:v>1</x:v>
      </x:c>
      <x:c r="M24" s="149" t="n">
        <x:f>IF(OR(AND(I24="yes",H24="verified"),AND(I24="no",OR(H24="tested",H24="verified")),AND(H24="not applicable",K24&lt;&gt;"")),1,0)</x:f>
        <x:v>0</x:v>
      </x:c>
    </x:row>
    <x:row r="25" s="127" customFormat="1" ht="54" customHeight="1">
      <x:c r="A25" s="149" t="inlineStr">
        <x:is>
          <x:t xml:space="preserve">DG-17</x:t>
        </x:is>
      </x:c>
      <x:c r="B25" s="149" t="inlineStr">
        <x:is>
          <x:t xml:space="preserve">Visual</x:t>
        </x:is>
      </x:c>
      <x:c r="C25" s="149" t="inlineStr">
        <x:is>
          <x:t xml:space="preserve">All parts</x:t>
        </x:is>
      </x:c>
      <x:c r="D25" s="150" t="inlineStr">
        <x:is>
          <x:t xml:space="preserve">Baselines cover overview, variants, sizing, selection, sorting, dark customization, responsive mobile, RTL mobile, and forced colors.</x:t>
        </x:is>
      </x:c>
      <x:c r="E25" s="149" t="inlineStr">
        <x:is>
          <x:t xml:space="preserve">package</x:t>
        </x:is>
      </x:c>
      <x:c r="F25" s="149" t="inlineStr">
        <x:is>
          <x:t xml:space="preserve">visual</x:t>
        </x:is>
      </x:c>
      <x:c r="G25" s="150" t="inlineStr">
        <x:is>
          <x:t xml:space="preserve">tests/components/data-grid/visual.spec.ts</x:t>
        </x:is>
      </x:c>
      <x:c r="H25" s="149" t="inlineStr">
        <x:is>
          <x:t xml:space="preserve">implemented</x:t>
        </x:is>
      </x:c>
      <x:c r="I25" s="149" t="inlineStr">
        <x:is>
          <x:t xml:space="preserve">yes</x:t>
        </x:is>
      </x:c>
      <x:c r="J25" s="151" t="n">
        <x:v>46231</x:v>
      </x:c>
      <x:c r="K25" s="150" t="inlineStr">
        <x:is>
          <x:t xml:space="preserve">Owner baseline review not yet recorded.</x:t>
        </x:is>
      </x:c>
      <x:c r="L25" s="149" t="n">
        <x:v>1</x:v>
      </x:c>
      <x:c r="M25" s="149" t="n">
        <x:f>IF(OR(AND(I25="yes",H25="verified"),AND(I25="no",OR(H25="tested",H25="verified")),AND(H25="not applicable",K25&lt;&gt;"")),1,0)</x:f>
        <x:v>0</x:v>
      </x:c>
    </x:row>
    <x:row r="26" s="127" customFormat="1" ht="54" customHeight="1">
      <x:c r="A26" s="149" t="inlineStr">
        <x:is>
          <x:t xml:space="preserve">DG-18</x:t>
        </x:is>
      </x:c>
      <x:c r="B26" s="149" t="inlineStr">
        <x:is>
          <x:t xml:space="preserve">Customization</x:t>
        </x:is>
      </x:c>
      <x:c r="C26" s="149" t="inlineStr">
        <x:is>
          <x:t xml:space="preserve">All parts</x:t>
        </x:is>
      </x:c>
      <x:c r="D26" s="150" t="inlineStr">
        <x:is>
          <x:t xml:space="preserve">Stable classes, slots, public variables, classes, styles, and custom indicator content preserve behavior.</x:t>
        </x:is>
      </x:c>
      <x:c r="E26" s="149" t="inlineStr">
        <x:is>
          <x:t xml:space="preserve">package</x:t>
        </x:is>
      </x:c>
      <x:c r="F26" s="149" t="inlineStr">
        <x:is>
          <x:t xml:space="preserve">component</x:t>
        </x:is>
      </x:c>
      <x:c r="G26" s="150" t="inlineStr">
        <x:is>
          <x:t xml:space="preserve">../test/components/data-grid/data-grid.test.tsx; ../docs/components/data-grid/README.md</x:t>
        </x:is>
      </x:c>
      <x:c r="H26" s="149" t="inlineStr">
        <x:is>
          <x:t xml:space="preserve">tested</x:t>
        </x:is>
      </x:c>
      <x:c r="I26" s="149" t="inlineStr">
        <x:is>
          <x:t xml:space="preserve">no</x:t>
        </x:is>
      </x:c>
      <x:c r="J26" s="151" t="n">
        <x:v>46231</x:v>
      </x:c>
      <x:c r="K26" s="150" t="n"/>
      <x:c r="L26" s="149" t="n">
        <x:v>1</x:v>
      </x:c>
      <x:c r="M26" s="149" t="n">
        <x:f>IF(OR(AND(I26="yes",H26="verified"),AND(I26="no",OR(H26="tested",H26="verified")),AND(H26="not applicable",K26&lt;&gt;"")),1,0)</x:f>
        <x:v>1</x:v>
      </x:c>
    </x:row>
    <x:row r="27" s="127" customFormat="1" ht="54" customHeight="1">
      <x:c r="A27" s="149" t="inlineStr">
        <x:is>
          <x:t xml:space="preserve">DG-19</x:t>
        </x:is>
      </x:c>
      <x:c r="B27" s="149" t="inlineStr">
        <x:is>
          <x:t xml:space="preserve">Accessibility</x:t>
        </x:is>
      </x:c>
      <x:c r="C27" s="149" t="inlineStr">
        <x:is>
          <x:t xml:space="preserve">All parts</x:t>
        </x:is>
      </x:c>
      <x:c r="D27" s="150" t="inlineStr">
        <x:is>
          <x:t xml:space="preserve">Label, roles, counts, coordinates, selection, disabled, active descendant, sort metadata, and axe checks pass.</x:t>
        </x:is>
      </x:c>
      <x:c r="E27" s="149" t="inlineStr">
        <x:is>
          <x:t xml:space="preserve">package</x:t>
        </x:is>
      </x:c>
      <x:c r="F27" s="149" t="inlineStr">
        <x:is>
          <x:t xml:space="preserve">axe</x:t>
        </x:is>
      </x:c>
      <x:c r="G27" s="150" t="inlineStr">
        <x:is>
          <x:t xml:space="preserve">tests/components/data-grid/behavior.spec.ts</x:t>
        </x:is>
      </x:c>
      <x:c r="H27" s="149" t="inlineStr">
        <x:is>
          <x:t xml:space="preserve">tested</x:t>
        </x:is>
      </x:c>
      <x:c r="I27" s="149" t="inlineStr">
        <x:is>
          <x:t xml:space="preserve">no</x:t>
        </x:is>
      </x:c>
      <x:c r="J27" s="151" t="n">
        <x:v>46231</x:v>
      </x:c>
      <x:c r="K27" s="150" t="n"/>
      <x:c r="L27" s="149" t="n">
        <x:v>1</x:v>
      </x:c>
      <x:c r="M27" s="149" t="n">
        <x:f>IF(OR(AND(I27="yes",H27="verified"),AND(I27="no",OR(H27="tested",H27="verified")),AND(H27="not applicable",K27&lt;&gt;"")),1,0)</x:f>
        <x:v>1</x:v>
      </x:c>
    </x:row>
    <x:row r="28" s="127" customFormat="1" ht="54" customHeight="1">
      <x:c r="A28" s="149" t="inlineStr">
        <x:is>
          <x:t xml:space="preserve">DG-20</x:t>
        </x:is>
      </x:c>
      <x:c r="B28" s="149" t="inlineStr">
        <x:is>
          <x:t xml:space="preserve">Playground</x:t>
        </x:is>
      </x:c>
      <x:c r="C28" s="149" t="inlineStr">
        <x:is>
          <x:t xml:space="preserve">All parts</x:t>
        </x:is>
      </x:c>
      <x:c r="D28" s="150" t="str">
        <x:v>Fifteen focused source-paired examples cover selection, sorting, editing, resizing, engine integration and virtualization.</x:v>
      </x:c>
      <x:c r="E28" s="149" t="inlineStr">
        <x:is>
          <x:t xml:space="preserve">package</x:t>
        </x:is>
      </x:c>
      <x:c r="F28" s="149" t="inlineStr">
        <x:is>
          <x:t xml:space="preserve">playground</x:t>
        </x:is>
      </x:c>
      <x:c r="G28" s="150" t="str">
        <x:v>../playground/src/components/data-grid/documentation.ts</x:v>
      </x:c>
      <x:c r="H28" s="149" t="inlineStr">
        <x:is>
          <x:t xml:space="preserve">tested</x:t>
        </x:is>
      </x:c>
      <x:c r="I28" s="149" t="inlineStr">
        <x:is>
          <x:t xml:space="preserve">no</x:t>
        </x:is>
      </x:c>
      <x:c r="J28" s="151" t="n">
        <x:v>46231</x:v>
      </x:c>
      <x:c r="K28" s="150" t="n"/>
      <x:c r="L28" s="149" t="n">
        <x:v>1</x:v>
      </x:c>
      <x:c r="M28" s="149" t="n">
        <x:f>IF(OR(AND(I28="yes",H28="verified"),AND(I28="no",OR(H28="tested",H28="verified")),AND(H28="not applicable",K28&lt;&gt;"")),1,0)</x:f>
        <x:v>1</x:v>
      </x:c>
    </x:row>
    <x:row r="29" s="127" customFormat="1" ht="54" customHeight="1">
      <x:c r="A29" s="149" t="inlineStr">
        <x:is>
          <x:t xml:space="preserve">DG-21</x:t>
        </x:is>
      </x:c>
      <x:c r="B29" s="149" t="inlineStr">
        <x:is>
          <x:t xml:space="preserve">Documentation</x:t>
        </x:is>
      </x:c>
      <x:c r="C29" s="149" t="inlineStr">
        <x:is>
          <x:t xml:space="preserve">Public guide</x:t>
        </x:is>
      </x:c>
      <x:c r="D29" s="150" t="inlineStr">
        <x:is>
          <x:t xml:space="preserve">Guide documents boundary, anatomy, API, recipes, keyboard, selection, sorting, containment, accessibility, CSS, and exclusions.</x:t>
        </x:is>
      </x:c>
      <x:c r="E29" s="149" t="inlineStr">
        <x:is>
          <x:t xml:space="preserve">package</x:t>
        </x:is>
      </x:c>
      <x:c r="F29" s="149" t="inlineStr">
        <x:is>
          <x:t xml:space="preserve">documentation</x:t>
        </x:is>
      </x:c>
      <x:c r="G29" s="150" t="inlineStr">
        <x:is>
          <x:t xml:space="preserve">../docs/components/data-grid/README.md</x:t>
        </x:is>
      </x:c>
      <x:c r="H29" s="149" t="inlineStr">
        <x:is>
          <x:t xml:space="preserve">tested</x:t>
        </x:is>
      </x:c>
      <x:c r="I29" s="149" t="inlineStr">
        <x:is>
          <x:t xml:space="preserve">no</x:t>
        </x:is>
      </x:c>
      <x:c r="J29" s="151" t="n">
        <x:v>46231</x:v>
      </x:c>
      <x:c r="K29" s="150" t="n"/>
      <x:c r="L29" s="149" t="n">
        <x:v>1</x:v>
      </x:c>
      <x:c r="M29" s="149" t="n">
        <x:f>IF(OR(AND(I29="yes",H29="verified"),AND(I29="no",OR(H29="tested",H29="verified")),AND(H29="not applicable",K29&lt;&gt;"")),1,0)</x:f>
        <x:v>1</x:v>
      </x:c>
    </x:row>
    <x:row r="30" s="127" customFormat="1" ht="54" customHeight="1">
      <x:c r="A30" s="149" t="inlineStr">
        <x:is>
          <x:t xml:space="preserve">DG-22</x:t>
        </x:is>
      </x:c>
      <x:c r="B30" s="149" t="inlineStr">
        <x:is>
          <x:t xml:space="preserve">Changelog</x:t>
        </x:is>
      </x:c>
      <x:c r="C30" s="149" t="inlineStr">
        <x:is>
          <x:t xml:space="preserve">Public record</x:t>
        </x:is>
      </x:c>
      <x:c r="D30" s="150" t="inlineStr">
        <x:is>
          <x:t xml:space="preserve">Component and package changelogs describe the release-facing Data Grid addition.</x:t>
        </x:is>
      </x:c>
      <x:c r="E30" s="149" t="inlineStr">
        <x:is>
          <x:t xml:space="preserve">package</x:t>
        </x:is>
      </x:c>
      <x:c r="F30" s="149" t="inlineStr">
        <x:is>
          <x:t xml:space="preserve">documentation</x:t>
        </x:is>
      </x:c>
      <x:c r="G30" s="150" t="inlineStr">
        <x:is>
          <x:t xml:space="preserve">../docs/components/data-grid/CHANGELOG.md; ../CHANGELOG.md</x:t>
        </x:is>
      </x:c>
      <x:c r="H30" s="149" t="inlineStr">
        <x:is>
          <x:t xml:space="preserve">tested</x:t>
        </x:is>
      </x:c>
      <x:c r="I30" s="149" t="inlineStr">
        <x:is>
          <x:t xml:space="preserve">no</x:t>
        </x:is>
      </x:c>
      <x:c r="J30" s="151" t="n">
        <x:v>46231</x:v>
      </x:c>
      <x:c r="K30" s="150" t="n"/>
      <x:c r="L30" s="149" t="n">
        <x:v>1</x:v>
      </x:c>
      <x:c r="M30" s="149" t="n">
        <x:f>IF(OR(AND(I30="yes",H30="verified"),AND(I30="no",OR(H30="tested",H30="verified")),AND(H30="not applicable",K30&lt;&gt;"")),1,0)</x:f>
        <x:v>1</x:v>
      </x:c>
    </x:row>
    <x:row r="31" s="127" customFormat="1" ht="54" customHeight="1">
      <x:c r="A31" s="149" t="inlineStr">
        <x:is>
          <x:t xml:space="preserve">DG-23</x:t>
        </x:is>
      </x:c>
      <x:c r="B31" s="149" t="inlineStr">
        <x:is>
          <x:t xml:space="preserve">Consumer</x:t>
        </x:is>
      </x:c>
      <x:c r="C31" s="149" t="inlineStr">
        <x:is>
          <x:t xml:space="preserve">All parts</x:t>
        </x:is>
      </x:c>
      <x:c r="D31" s="150" t="inlineStr">
        <x:is>
          <x:t xml:space="preserve">Packed Consumer composes Data Grid with controlled sorting and selection plus external Toolbar, Pagination, and Badge.</x:t>
        </x:is>
      </x:c>
      <x:c r="E31" s="149" t="inlineStr">
        <x:is>
          <x:t xml:space="preserve">consumer</x:t>
        </x:is>
      </x:c>
      <x:c r="F31" s="149" t="inlineStr">
        <x:is>
          <x:t xml:space="preserve">consumer</x:t>
        </x:is>
      </x:c>
      <x:c r="G31" s="150" t="str">
        <x:v>../scripts/verify-data-grid-consumers.mjs</x:v>
      </x:c>
      <x:c r="H31" s="149" t="str">
        <x:v>tested</x:v>
      </x:c>
      <x:c r="I31" s="149" t="inlineStr">
        <x:is>
          <x:t xml:space="preserve">no</x:t>
        </x:is>
      </x:c>
      <x:c r="J31" s="151" t="n">
        <x:v>46231</x:v>
      </x:c>
      <x:c r="K31" s="150" t="inlineStr">
        <x:is>
          <x:t xml:space="preserve">Packed Consumer passed 74 desktop/mobile checks on July 28, 2026.</x:t>
        </x:is>
      </x:c>
      <x:c r="L31" s="149" t="n">
        <x:v>1</x:v>
      </x:c>
      <x:c r="M31" s="149" t="n">
        <x:f>IF(OR(AND(I31="yes",H31="verified"),AND(I31="no",OR(H31="tested",H31="verified")),AND(H31="not applicable",K31&lt;&gt;"")),1,0)</x:f>
        <x:v>1</x:v>
      </x:c>
    </x:row>
    <x:row r="32" s="127" customFormat="1" ht="54" customHeight="1">
      <x:c r="A32" s="149" t="inlineStr">
        <x:is>
          <x:t xml:space="preserve">DG-24</x:t>
        </x:is>
      </x:c>
      <x:c r="B32" s="149" t="inlineStr">
        <x:is>
          <x:t xml:space="preserve">Manual</x:t>
        </x:is>
      </x:c>
      <x:c r="C32" s="149" t="inlineStr">
        <x:is>
          <x:t xml:space="preserve">All parts</x:t>
        </x:is>
      </x:c>
      <x:c r="D32" s="150" t="inlineStr">
        <x:is>
          <x:t xml:space="preserve">Owner reviews keyboard, screen reader, zoom, mobile overflow, RTL, appearance, preferences, and component boundaries.</x:t>
        </x:is>
      </x:c>
      <x:c r="E32" s="149" t="inlineStr">
        <x:is>
          <x:t xml:space="preserve">package</x:t>
        </x:is>
      </x:c>
      <x:c r="F32" s="149" t="inlineStr">
        <x:is>
          <x:t xml:space="preserve">manual</x:t>
        </x:is>
      </x:c>
      <x:c r="G32" s="150" t="inlineStr">
        <x:is>
          <x:t xml:space="preserve">manual-tests/data-grid.md</x:t>
        </x:is>
      </x:c>
      <x:c r="H32" s="149" t="inlineStr">
        <x:is>
          <x:t xml:space="preserve">not started</x:t>
        </x:is>
      </x:c>
      <x:c r="I32" s="149" t="inlineStr">
        <x:is>
          <x:t xml:space="preserve">yes</x:t>
        </x:is>
      </x:c>
      <x:c r="J32" s="151" t="n">
        <x:v>46231</x:v>
      </x:c>
      <x:c r="K32" s="150" t="inlineStr">
        <x:is>
          <x:t xml:space="preserve">Human run intentionally unclaimed.</x:t>
        </x:is>
      </x:c>
      <x:c r="L32" s="149" t="n">
        <x:v>1</x:v>
      </x:c>
      <x:c r="M32" s="149" t="n">
        <x:f>IF(OR(AND(I32="yes",H32="verified"),AND(I32="no",OR(H32="tested",H32="verified")),AND(H32="not applicable",K32&lt;&gt;"")),1,0)</x:f>
        <x:v>0</x:v>
      </x:c>
    </x:row>
    <x:row r="33" s="127" customFormat="1" ht="54" customHeight="1">
      <x:c r="A33" s="149" t="inlineStr">
        <x:is>
          <x:t xml:space="preserve">DG-25</x:t>
        </x:is>
      </x:c>
      <x:c r="B33" s="149" t="inlineStr">
        <x:is>
          <x:t xml:space="preserve">Package</x:t>
        </x:is>
      </x:c>
      <x:c r="C33" s="149" t="inlineStr">
        <x:is>
          <x:t xml:space="preserve">Artifact</x:t>
        </x:is>
      </x:c>
      <x:c r="D33" s="150" t="inlineStr">
        <x:is>
          <x:t xml:space="preserve">Build, declarations, exports, SSR, CSS, docs, tarball, consumers, browser matrix, and CI pass.</x:t>
        </x:is>
      </x:c>
      <x:c r="E33" s="149" t="inlineStr">
        <x:is>
          <x:t xml:space="preserve">package</x:t>
        </x:is>
      </x:c>
      <x:c r="F33" s="149" t="inlineStr">
        <x:is>
          <x:t xml:space="preserve">package</x:t>
        </x:is>
      </x:c>
      <x:c r="G33" s="150" t="inlineStr">
        <x:is>
          <x:t xml:space="preserve">../test/package/package.test.mjs; ../scripts/verify-package.mjs</x:t>
        </x:is>
      </x:c>
      <x:c r="H33" s="149" t="str">
        <x:v>implemented</x:v>
      </x:c>
      <x:c r="I33" s="149" t="inlineStr">
        <x:is>
          <x:t xml:space="preserve">no</x:t>
        </x:is>
      </x:c>
      <x:c r="J33" s="151" t="n">
        <x:v>46231</x:v>
      </x:c>
      <x:c r="K33" s="150" t="str">
        <x:v>Full package qualification and human accessibility/device approval remain open.</x:v>
      </x:c>
      <x:c r="L33" s="149" t="n">
        <x:v>1</x:v>
      </x:c>
      <x:c r="M33" s="149" t="n">
        <x:f>IF(OR(AND(I33="yes",H33="verified"),AND(I33="no",OR(H33="tested",H33="verified")),AND(H33="not applicable",K33&lt;&gt;"")),1,0)</x:f>
        <x:v>0</x:v>
      </x:c>
    </x:row>
    <x:row r="34" s="127" customFormat="1" ht="54" customHeight="1">
      <x:c r="A34" s="149" t="inlineStr">
        <x:is>
          <x:t xml:space="preserve">DG-26</x:t>
        </x:is>
      </x:c>
      <x:c r="B34" s="149" t="inlineStr">
        <x:is>
          <x:t xml:space="preserve">Boundary</x:t>
        </x:is>
      </x:c>
      <x:c r="C34" s="149" t="inlineStr">
        <x:is>
          <x:t xml:space="preserve">All parts</x:t>
        </x:is>
      </x:c>
      <x:c r="D34" s="150" t="str">
        <x:v>Atom owns mounted-grid interaction and resizing. Applications own editing transactions, filtering, paging and virtualizer geometry. Hierarchy and enterprise engines remain separate.</x:v>
      </x:c>
      <x:c r="E34" s="149" t="inlineStr">
        <x:is>
          <x:t xml:space="preserve">package</x:t>
        </x:is>
      </x:c>
      <x:c r="F34" s="149" t="inlineStr">
        <x:is>
          <x:t xml:space="preserve">documentation</x:t>
        </x:is>
      </x:c>
      <x:c r="G34" s="150" t="inlineStr">
        <x:is>
          <x:t xml:space="preserve">../docs/components/data-grid/README.md</x:t>
        </x:is>
      </x:c>
      <x:c r="H34" s="149" t="inlineStr">
        <x:is>
          <x:t xml:space="preserve">tested</x:t>
        </x:is>
      </x:c>
      <x:c r="I34" s="149" t="inlineStr">
        <x:is>
          <x:t xml:space="preserve">no</x:t>
        </x:is>
      </x:c>
      <x:c r="J34" s="151" t="n">
        <x:v>46231</x:v>
      </x:c>
      <x:c r="K34" s="150" t="n"/>
      <x:c r="L34" s="149" t="n">
        <x:v>1</x:v>
      </x:c>
      <x:c r="M34" s="149" t="n">
        <x:f>IF(OR(AND(I34="yes",H34="verified"),AND(I34="no",OR(H34="tested",H34="verified")),AND(H34="not applicable",K34&lt;&gt;"")),1,0)</x:f>
        <x:v>1</x:v>
      </x:c>
    </x:row>
    <x:row r="35" s="127" customFormat="1" ht="54" customHeight="1">
      <x:c r="A35" s="149" t="n"/>
      <x:c r="B35" s="149" t="n"/>
      <x:c r="C35" s="149" t="n"/>
      <x:c r="D35" s="150" t="n"/>
      <x:c r="E35" s="149" t="n"/>
      <x:c r="F35" s="149" t="n"/>
      <x:c r="G35" s="150" t="n"/>
      <x:c r="H35" s="149" t="n"/>
      <x:c r="I35" s="149" t="n"/>
      <x:c r="J35" s="151" t="n"/>
      <x:c r="K35" s="150" t="n"/>
      <x:c r="L35" s="149" t="n"/>
      <x:c r="M35" s="149" t="n"/>
    </x:row>
    <x:row r="36" s="127" customFormat="1" ht="54" customHeight="1">
      <x:c r="A36" s="149" t="n"/>
      <x:c r="B36" s="149" t="n"/>
      <x:c r="C36" s="149" t="n"/>
      <x:c r="D36" s="150" t="n"/>
      <x:c r="E36" s="149" t="n"/>
      <x:c r="F36" s="149" t="n"/>
      <x:c r="G36" s="150" t="n"/>
      <x:c r="H36" s="149" t="n"/>
      <x:c r="I36" s="149" t="n"/>
      <x:c r="J36" s="151" t="n"/>
      <x:c r="K36" s="150" t="n"/>
      <x:c r="L36" s="149" t="n"/>
      <x:c r="M36" s="149" t="n"/>
    </x:row>
    <x:row r="37" s="127" customFormat="1" ht="54" customHeight="1">
      <x:c r="A37" s="149" t="n"/>
      <x:c r="B37" s="149" t="n"/>
      <x:c r="C37" s="149" t="n"/>
      <x:c r="D37" s="150" t="n"/>
      <x:c r="E37" s="149" t="n"/>
      <x:c r="F37" s="149" t="n"/>
      <x:c r="G37" s="150" t="n"/>
      <x:c r="H37" s="149" t="n"/>
      <x:c r="I37" s="149" t="n"/>
      <x:c r="J37" s="151" t="n"/>
      <x:c r="K37" s="150" t="n"/>
      <x:c r="L37" s="149" t="n"/>
      <x:c r="M37" s="149" t="n"/>
    </x:row>
    <x:row r="38" s="127" customFormat="1" ht="54" customHeight="1">
      <x:c r="A38" s="149" t="n"/>
      <x:c r="B38" s="149" t="n"/>
      <x:c r="C38" s="149" t="n"/>
      <x:c r="D38" s="150" t="n"/>
      <x:c r="E38" s="149" t="n"/>
      <x:c r="F38" s="149" t="n"/>
      <x:c r="G38" s="150" t="n"/>
      <x:c r="H38" s="149" t="n"/>
      <x:c r="I38" s="149" t="n"/>
      <x:c r="J38" s="151" t="n"/>
      <x:c r="K38" s="150" t="n"/>
      <x:c r="L38" s="149" t="n"/>
      <x:c r="M38" s="149" t="n"/>
    </x:row>
    <x:row r="39" s="127" customFormat="1" ht="54" customHeight="1">
      <x:c r="A39" s="149" t="n"/>
      <x:c r="B39" s="149" t="n"/>
      <x:c r="C39" s="149" t="n"/>
      <x:c r="D39" s="150" t="n"/>
      <x:c r="E39" s="149" t="n"/>
      <x:c r="F39" s="149" t="n"/>
      <x:c r="G39" s="150" t="n"/>
      <x:c r="H39" s="149" t="n"/>
      <x:c r="I39" s="149" t="n"/>
      <x:c r="J39" s="151" t="n"/>
      <x:c r="K39" s="150" t="n"/>
      <x:c r="L39" s="149" t="n"/>
      <x:c r="M39" s="149" t="n"/>
    </x:row>
  </x:sheetData>
  <x:mergeCells>
    <x:mergeCell ref="A2:M2"/>
    <x:mergeCell ref="A1:M1"/>
  </x:mergeCells>
  <x:pageMargins left="0.7" right="0.7" top="0.75" bottom="0.75" header="0.3" footer="0.3"/>
</x:worksheet>
</file>

<file path=xl/worksheets/sheet61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Tree Grid Evidence</x:t>
        </x:is>
      </x:c>
    </x:row>
    <x:row r="2" s="127" customFormat="1" ht="27.75" customHeight="1">
      <x:c r="A2" s="129" t="inlineStr">
        <x:is>
          <x:t xml:space="preserve">Assertion-level anatomy, hierarchy, navigation, expansion, selection, sorting activation, visual recipes, responsive containment, package, documentation, Consumer, and accessibility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COUNTA(A9:A36)</x:f>
        <x:v>28</x:v>
      </x:c>
      <x:c r="D4" s="130" t="inlineStr">
        <x:is>
          <x:t xml:space="preserve">Resolved</x:t>
        </x:is>
      </x:c>
      <x:c r="E4" s="131" t="n">
        <x:f>SUM(M9:M36)</x:f>
        <x:v>23</x:v>
      </x:c>
      <x:c r="G4" s="130" t="inlineStr">
        <x:is>
          <x:t xml:space="preserve">Completion</x:t>
        </x:is>
      </x:c>
      <x:c r="H4" s="132" t="n">
        <x:f>IF(B4=0,0,E4/B4)</x:f>
        <x:v>0.8214285714285714</x:v>
      </x:c>
      <x:c r="J4" s="130" t="inlineStr">
        <x:is>
          <x:t xml:space="preserve">Package gate</x:t>
        </x:is>
      </x:c>
      <x:c r="K4" s="131" t="str">
        <x:f>IF(COUNTIFS(E9:E36,"package",M9:M36,0)&gt;0,"open","complete")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IF(COUNTIFS(I9:I36,"yes",M9:M36,0)&gt;0,"open","complete")</x:f>
        <x:v>open</x:v>
      </x:c>
      <x:c r="D5" s="130" t="inlineStr">
        <x:is>
          <x:t xml:space="preserve">Consumer gate</x:t>
        </x:is>
      </x:c>
      <x:c r="E5" s="131" t="str">
        <x:f>IF(COUNTIFS(E9:E36,"consumer",M9:M36,0)&gt;0,"open","complete")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TG-01</x:t>
        </x:is>
      </x:c>
      <x:c r="B9" s="149" t="inlineStr">
        <x:is>
          <x:t xml:space="preserve">Ownership</x:t>
        </x:is>
      </x:c>
      <x:c r="C9" s="149" t="inlineStr">
        <x:is>
          <x:t xml:space="preserve">All parts</x:t>
        </x:is>
      </x:c>
      <x:c r="D9" s="150" t="str">
        <x:v>Brick styles the unpublished Atom 0.26.1 candidate without reimplementing interaction.</x:v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../src/components/tree-grid/TreeGrid.tsx; ../package.json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46284</x:v>
      </x:c>
      <x:c r="K9" s="150" t="n"/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TG-02</x:t>
        </x:is>
      </x:c>
      <x:c r="B10" s="149" t="inlineStr">
        <x:is>
          <x:t xml:space="preserve">API</x:t>
        </x:is>
      </x:c>
      <x:c r="C10" s="149" t="inlineStr">
        <x:is>
          <x:t xml:space="preserve">All parts</x:t>
        </x:is>
      </x:c>
      <x:c r="D10" s="150" t="str">
        <x:v>Sixteen parts include independent Trigger and ColumnResizeHandle; native table structure is preserved.</x:v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../test/components/tree-grid/tree-grid.test.tsx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46284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TG-03</x:t>
        </x:is>
      </x:c>
      <x:c r="B11" s="149" t="inlineStr">
        <x:is>
          <x:t xml:space="preserve">Anatomy</x:t>
        </x:is>
      </x:c>
      <x:c r="C11" s="149" t="inlineStr">
        <x:is>
          <x:t xml:space="preserve">All parts</x:t>
        </x:is>
      </x:c>
      <x:c r="D11" s="150" t="inlineStr">
        <x:is>
          <x:t xml:space="preserve">Explicit Container, exact native table hosts, treegrid roles, silent indicators, slots, refs, indexes, and counts render deterministically.</x:t>
        </x:is>
      </x:c>
      <x:c r="E11" s="149" t="inlineStr">
        <x:is>
          <x:t xml:space="preserve">package</x:t>
        </x:is>
      </x:c>
      <x:c r="F11" s="149" t="inlineStr">
        <x:is>
          <x:t xml:space="preserve">component</x:t>
        </x:is>
      </x:c>
      <x:c r="G11" s="150" t="inlineStr">
        <x:is>
          <x:t xml:space="preserve">../test/components/tree-grid/tree-grid.test.tsx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46231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TG-04</x:t>
        </x:is>
      </x:c>
      <x:c r="B12" s="149" t="inlineStr">
        <x:is>
          <x:t xml:space="preserve">Types</x:t>
        </x:is>
      </x:c>
      <x:c r="C12" s="149" t="inlineStr">
        <x:is>
          <x:t xml:space="preserve">Public surface</x:t>
        </x:is>
      </x:c>
      <x:c r="D12" s="150" t="inlineStr">
        <x:is>
          <x:t xml:space="preserve">Closed recipes, logical alignment, hierarchy, Atom state, controlled expansion, selection, active cell, sorting action, native props, and refs type-check.</x:t>
        </x:is>
      </x:c>
      <x:c r="E12" s="149" t="inlineStr">
        <x:is>
          <x:t xml:space="preserve">package</x:t>
        </x:is>
      </x:c>
      <x:c r="F12" s="149" t="inlineStr">
        <x:is>
          <x:t xml:space="preserve">types</x:t>
        </x:is>
      </x:c>
      <x:c r="G12" s="150" t="inlineStr">
        <x:is>
          <x:t xml:space="preserve">../test/types/components/tree-grid.test.ts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46231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TG-05</x:t>
        </x:is>
      </x:c>
      <x:c r="B13" s="149" t="inlineStr">
        <x:is>
          <x:t xml:space="preserve">Exports</x:t>
        </x:is>
      </x:c>
      <x:c r="C13" s="149" t="inlineStr">
        <x:is>
          <x:t xml:space="preserve">All parts</x:t>
        </x:is>
      </x:c>
      <x:c r="D13" s="150" t="inlineStr">
        <x:is>
          <x:t xml:space="preserve">Root and tree-grid subpath exports preserve namespace and named runtime identity.</x:t>
        </x:is>
      </x:c>
      <x:c r="E13" s="149" t="inlineStr">
        <x:is>
          <x:t xml:space="preserve">package</x:t>
        </x:is>
      </x:c>
      <x:c r="F13" s="149" t="inlineStr">
        <x:is>
          <x:t xml:space="preserve">package</x:t>
        </x:is>
      </x:c>
      <x:c r="G13" s="150" t="inlineStr">
        <x:is>
          <x:t xml:space="preserve">../test/package/package.test.mjs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46231</x:v>
      </x:c>
      <x:c r="K13" s="150" t="inlineStr">
        <x:is>
          <x:t xml:space="preserve">Root/subpath runtime identity passed in the complete package check on July 28, 2026.</x:t>
        </x:is>
      </x:c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TG-06</x:t>
        </x:is>
      </x:c>
      <x:c r="B14" s="149" t="inlineStr">
        <x:is>
          <x:t xml:space="preserve">SSR</x:t>
        </x:is>
      </x:c>
      <x:c r="C14" s="149" t="inlineStr">
        <x:is>
          <x:t xml:space="preserve">Root / cells</x:t>
        </x:is>
      </x:c>
      <x:c r="D14" s="150" t="inlineStr">
        <x:is>
          <x:t xml:space="preserve">Tree Grid imports server-safely and emits deterministic labelled treegrid, hierarchy, coordinate, and sort anatomy.</x:t>
        </x:is>
      </x:c>
      <x:c r="E14" s="149" t="inlineStr">
        <x:is>
          <x:t xml:space="preserve">package</x:t>
        </x:is>
      </x:c>
      <x:c r="F14" s="149" t="inlineStr">
        <x:is>
          <x:t xml:space="preserve">package</x:t>
        </x:is>
      </x:c>
      <x:c r="G14" s="150" t="inlineStr">
        <x:is>
          <x:t xml:space="preserve">../test/package/ssr.test.mjs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46231</x:v>
      </x:c>
      <x:c r="K14" s="150" t="inlineStr">
        <x:is>
          <x:t xml:space="preserve">Tree Grid SSR anatomy passed in the complete package check on July 28, 2026.</x:t>
        </x:is>
      </x:c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TG-07</x:t>
        </x:is>
      </x:c>
      <x:c r="B15" s="149" t="inlineStr">
        <x:is>
          <x:t xml:space="preserve">Defaults</x:t>
        </x:is>
      </x:c>
      <x:c r="C15" s="149" t="inlineStr">
        <x:is>
          <x:t xml:space="preserve">Root / Caption</x:t>
        </x:is>
      </x:c>
      <x:c r="D15" s="150" t="inlineStr">
        <x:is>
          <x:t xml:space="preserve">Defaults are line, medium, comfortable, bottom caption, and logical-start alignment.</x:t>
        </x:is>
      </x:c>
      <x:c r="E15" s="149" t="inlineStr">
        <x:is>
          <x:t xml:space="preserve">package</x:t>
        </x:is>
      </x:c>
      <x:c r="F15" s="149" t="inlineStr">
        <x:is>
          <x:t xml:space="preserve">component</x:t>
        </x:is>
      </x:c>
      <x:c r="G15" s="150" t="inlineStr">
        <x:is>
          <x:t xml:space="preserve">../test/components/tree-grid/tree-grid.test.tsx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46231</x:v>
      </x:c>
      <x:c r="K15" s="150" t="n"/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TG-08</x:t>
        </x:is>
      </x:c>
      <x:c r="B16" s="149" t="inlineStr">
        <x:is>
          <x:t xml:space="preserve">Recipes</x:t>
        </x:is>
      </x:c>
      <x:c r="C16" s="149" t="inlineStr">
        <x:is>
          <x:t xml:space="preserve">Root</x:t>
        </x:is>
      </x:c>
      <x:c r="D16" s="150" t="str">
        <x:v>Responsive size, density and variant remain independent from selection tone, stripes and sticky columns.</x:v>
      </x:c>
      <x:c r="E16" s="149" t="inlineStr">
        <x:is>
          <x:t xml:space="preserve">package</x:t>
        </x:is>
      </x:c>
      <x:c r="F16" s="149" t="inlineStr">
        <x:is>
          <x:t xml:space="preserve">browser</x:t>
        </x:is>
      </x:c>
      <x:c r="G16" s="150" t="inlineStr">
        <x:is>
          <x:t xml:space="preserve">tests/components/tree-grid/behavior.spec.ts</x:t>
        </x:is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n">
        <x:v>46284</x:v>
      </x:c>
      <x:c r="K16" s="150" t="inlineStr">
        <x:is>
          <x:t xml:space="preserve">Focused Chromium behavior and visual owners passed on July 28, 2026.</x:t>
        </x:is>
      </x:c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TG-09</x:t>
        </x:is>
      </x:c>
      <x:c r="B17" s="149" t="inlineStr">
        <x:is>
          <x:t xml:space="preserve">Hierarchy</x:t>
        </x:is>
      </x:c>
      <x:c r="C17" s="149" t="inlineStr">
        <x:is>
          <x:t xml:space="preserve">Row / RowHeader / Indicator</x:t>
        </x:is>
      </x:c>
      <x:c r="D17" s="150" t="str">
        <x:v>Logical depth has no selector cap. Stable parent and sibling metadata survive sorted and windowed rendering.</x:v>
      </x:c>
      <x:c r="E17" s="149" t="inlineStr">
        <x:is>
          <x:t xml:space="preserve">package</x:t>
        </x:is>
      </x:c>
      <x:c r="F17" s="149" t="inlineStr">
        <x:is>
          <x:t xml:space="preserve">browser</x:t>
        </x:is>
      </x:c>
      <x:c r="G17" s="150" t="inlineStr">
        <x:is>
          <x:t xml:space="preserve">tests/components/tree-grid/behavior.spec.ts; @flowstack-ui/atom 0.18.0 behavior suite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n">
        <x:v>46284</x:v>
      </x:c>
      <x:c r="K17" s="150" t="inlineStr">
        <x:is>
          <x:t xml:space="preserve">Behavior owner passed Chromium, Firefox, WebKit, Pixel 7, and iPhone 15 profiles on July 28, 2026.</x:t>
        </x:is>
      </x:c>
      <x:c r="L17" s="149" t="n">
        <x:v>1</x:v>
      </x:c>
      <x:c r="M17" s="149" t="n">
        <x:f>IF(OR(AND(I17="yes",H17="verified"),AND(I17="no",OR(H17="tested",H17="verified")),AND(H17="not applicable",K17&lt;&gt;"")),1,0)</x:f>
        <x:v>1</x:v>
      </x:c>
    </x:row>
    <x:row r="18" s="127" customFormat="1" ht="54" customHeight="1">
      <x:c r="A18" s="149" t="inlineStr">
        <x:is>
          <x:t xml:space="preserve">TG-10</x:t>
        </x:is>
      </x:c>
      <x:c r="B18" s="149" t="inlineStr">
        <x:is>
          <x:t xml:space="preserve">Navigation</x:t>
        </x:is>
      </x:c>
      <x:c r="C18" s="149" t="inlineStr">
        <x:is>
          <x:t xml:space="preserve">Root / cells</x:t>
        </x:is>
      </x:c>
      <x:c r="D18" s="150" t="inlineStr">
        <x:is>
          <x:t xml:space="preserve">Root owns focus and active descendant while visible-cell boundaries, hierarchy movement, RTL, and disabled-cell navigation remain Atom-owned.</x:t>
        </x:is>
      </x:c>
      <x:c r="E18" s="149" t="inlineStr">
        <x:is>
          <x:t xml:space="preserve">package</x:t>
        </x:is>
      </x:c>
      <x:c r="F18" s="149" t="inlineStr">
        <x:is>
          <x:t xml:space="preserve">browser</x:t>
        </x:is>
      </x:c>
      <x:c r="G18" s="150" t="inlineStr">
        <x:is>
          <x:t xml:space="preserve">tests/components/tree-grid/behavior.spec.ts; @flowstack-ui/atom 0.18.0 behavior suite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n">
        <x:v>46231</x:v>
      </x:c>
      <x:c r="K18" s="150" t="inlineStr">
        <x:is>
          <x:t xml:space="preserve">Behavior owner and Atom 0.20.11 collapse regression passed on July 28, 2026.</x:t>
        </x:is>
      </x:c>
      <x:c r="L18" s="149" t="n">
        <x:v>1</x:v>
      </x:c>
      <x:c r="M18" s="149" t="n">
        <x:f>IF(OR(AND(I18="yes",H18="verified"),AND(I18="no",OR(H18="tested",H18="verified")),AND(H18="not applicable",K18&lt;&gt;"")),1,0)</x:f>
        <x:v>1</x:v>
      </x:c>
    </x:row>
    <x:row r="19" s="127" customFormat="1" ht="54" customHeight="1">
      <x:c r="A19" s="149" t="inlineStr">
        <x:is>
          <x:t xml:space="preserve">TG-11</x:t>
        </x:is>
      </x:c>
      <x:c r="B19" s="149" t="inlineStr">
        <x:is>
          <x:t xml:space="preserve">Collapse</x:t>
        </x:is>
      </x:c>
      <x:c r="C19" s="149" t="inlineStr">
        <x:is>
          <x:t xml:space="preserve">Root / Row</x:t>
        </x:is>
      </x:c>
      <x:c r="D19" s="150" t="inlineStr">
        <x:is>
          <x:t xml:space="preserve">Collapsing a branch that hides the active descendant relocates active state to the ancestor's column-1 cell.</x:t>
        </x:is>
      </x:c>
      <x:c r="E19" s="149" t="inlineStr">
        <x:is>
          <x:t xml:space="preserve">package</x:t>
        </x:is>
      </x:c>
      <x:c r="F19" s="149" t="inlineStr">
        <x:is>
          <x:t xml:space="preserve">browser</x:t>
        </x:is>
      </x:c>
      <x:c r="G19" s="150" t="inlineStr">
        <x:is>
          <x:t xml:space="preserve">tests/components/tree-grid/behavior.spec.ts; @flowstack-ui/atom 0.18.0 behavior suite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46231</x:v>
      </x:c>
      <x:c r="K19" s="150" t="inlineStr">
        <x:is>
          <x:t xml:space="preserve">Behavior owner passed Chromium, Firefox, WebKit, Pixel 7, and iPhone 15 profiles on July 28, 2026.</x:t>
        </x:is>
      </x:c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TG-12</x:t>
        </x:is>
      </x:c>
      <x:c r="B20" s="149" t="inlineStr">
        <x:is>
          <x:t xml:space="preserve">Selection</x:t>
        </x:is>
      </x:c>
      <x:c r="C20" s="149" t="inlineStr">
        <x:is>
          <x:t xml:space="preserve">Root / Row</x:t>
        </x:is>
      </x:c>
      <x:c r="D20" s="150" t="str">
        <x:v>Range selection, visible select-all, independent disclosure and checkbox cells preserve eligibility.</x:v>
      </x:c>
      <x:c r="E20" s="149" t="inlineStr">
        <x:is>
          <x:t xml:space="preserve">package</x:t>
        </x:is>
      </x:c>
      <x:c r="F20" s="149" t="inlineStr">
        <x:is>
          <x:t xml:space="preserve">browser</x:t>
        </x:is>
      </x:c>
      <x:c r="G20" s="150" t="str">
        <x:v>tests/components/tree/family-features.spec.ts; tests/components/tree-grid/behavior.spec.ts</x:v>
      </x:c>
      <x:c r="H20" s="149" t="inlineStr">
        <x:is>
          <x:t xml:space="preserve">tested</x:t>
        </x:is>
      </x:c>
      <x:c r="I20" s="149" t="inlineStr">
        <x:is>
          <x:t xml:space="preserve">no</x:t>
        </x:is>
      </x:c>
      <x:c r="J20" s="151" t="n">
        <x:v>46284</x:v>
      </x:c>
      <x:c r="K20" s="150" t="inlineStr">
        <x:is>
          <x:t xml:space="preserve">Focused collapse relocation passed in five browser/device profiles on July 28, 2026.</x:t>
        </x:is>
      </x:c>
      <x:c r="L20" s="149" t="n">
        <x:v>1</x:v>
      </x:c>
      <x:c r="M20" s="149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49" t="inlineStr">
        <x:is>
          <x:t xml:space="preserve">TG-13</x:t>
        </x:is>
      </x:c>
      <x:c r="B21" s="149" t="inlineStr">
        <x:is>
          <x:t xml:space="preserve">Sorting</x:t>
        </x:is>
      </x:c>
      <x:c r="C21" s="149" t="inlineStr">
        <x:is>
          <x:t xml:space="preserve">ColumnHeader / SortIndicator</x:t>
        </x:is>
      </x:c>
      <x:c r="D21" s="150" t="inlineStr">
        <x:is>
          <x:t xml:space="preserve">Indexed actionable headers request application sorting by pointer and Enter; aria-sort stays controlled and artwork stays silent.</x:t>
        </x:is>
      </x:c>
      <x:c r="E21" s="149" t="inlineStr">
        <x:is>
          <x:t xml:space="preserve">package</x:t>
        </x:is>
      </x:c>
      <x:c r="F21" s="149" t="inlineStr">
        <x:is>
          <x:t xml:space="preserve">browser</x:t>
        </x:is>
      </x:c>
      <x:c r="G21" s="150" t="inlineStr">
        <x:is>
          <x:t xml:space="preserve">tests/components/tree-grid/behavior.spec.ts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46231</x:v>
      </x:c>
      <x:c r="K21" s="150" t="inlineStr">
        <x:is>
          <x:t xml:space="preserve">Selection and read-only coverage passed in five browser/device profiles on July 28, 2026.</x:t>
        </x:is>
      </x:c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TG-14</x:t>
        </x:is>
      </x:c>
      <x:c r="B22" s="149" t="inlineStr">
        <x:is>
          <x:t xml:space="preserve">Alignment</x:t>
        </x:is>
      </x:c>
      <x:c r="C22" s="149" t="inlineStr">
        <x:is>
          <x:t xml:space="preserve">ColumnHeader / RowHeader / Cell</x:t>
        </x:is>
      </x:c>
      <x:c r="D22" s="150" t="inlineStr">
        <x:is>
          <x:t xml:space="preserve">Start, center, end, and numeric formatting use logical alignment, tabular figures, and explicit precedence.</x:t>
        </x:is>
      </x:c>
      <x:c r="E22" s="149" t="inlineStr">
        <x:is>
          <x:t xml:space="preserve">package</x:t>
        </x:is>
      </x:c>
      <x:c r="F22" s="149" t="inlineStr">
        <x:is>
          <x:t xml:space="preserve">component</x:t>
        </x:is>
      </x:c>
      <x:c r="G22" s="150" t="inlineStr">
        <x:is>
          <x:t xml:space="preserve">../test/components/tree-grid/tree-grid.test.tsx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46231</x:v>
      </x:c>
      <x:c r="K22" s="150" t="inlineStr">
        <x:is>
          <x:t xml:space="preserve">Pointer and Enter sorting parity passed in five browser/device profiles on July 28, 2026.</x:t>
        </x:is>
      </x:c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TG-15</x:t>
        </x:is>
      </x:c>
      <x:c r="B23" s="149" t="inlineStr">
        <x:is>
          <x:t xml:space="preserve">States</x:t>
        </x:is>
      </x:c>
      <x:c r="C23" s="149" t="inlineStr">
        <x:is>
          <x:t xml:space="preserve">Rows / cells</x:t>
        </x:is>
      </x:c>
      <x:c r="D23" s="150" t="inlineStr">
        <x:is>
          <x:t xml:space="preserve">Selected, active, expanded, disabled, read-only, actionable, hover, and sorted paint follows Atom attributes without geometry changes.</x:t>
        </x:is>
      </x:c>
      <x:c r="E23" s="149" t="inlineStr">
        <x:is>
          <x:t xml:space="preserve">package</x:t>
        </x:is>
      </x:c>
      <x:c r="F23" s="149" t="inlineStr">
        <x:is>
          <x:t xml:space="preserve">browser</x:t>
        </x:is>
      </x:c>
      <x:c r="G23" s="150" t="inlineStr">
        <x:is>
          <x:t xml:space="preserve">tests/components/tree-grid/behavior.spec.ts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>
        <x:v>46231</x:v>
      </x:c>
      <x:c r="K23" s="150" t="n"/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TG-16</x:t>
        </x:is>
      </x:c>
      <x:c r="B24" s="149" t="inlineStr">
        <x:is>
          <x:t xml:space="preserve">Responsive</x:t>
        </x:is>
      </x:c>
      <x:c r="C24" s="149" t="inlineStr">
        <x:is>
          <x:t xml:space="preserve">Container</x:t>
        </x:is>
      </x:c>
      <x:c r="D24" s="150" t="inlineStr">
        <x:is>
          <x:t xml:space="preserve">Explicit horizontal containment preserves hierarchy and columns without page overflow, card conversion, or implicit root scrolling.</x:t>
        </x:is>
      </x:c>
      <x:c r="E24" s="149" t="inlineStr">
        <x:is>
          <x:t xml:space="preserve">package</x:t>
        </x:is>
      </x:c>
      <x:c r="F24" s="149" t="inlineStr">
        <x:is>
          <x:t xml:space="preserve">browser</x:t>
        </x:is>
      </x:c>
      <x:c r="G24" s="150" t="inlineStr">
        <x:is>
          <x:t xml:space="preserve">tests/components/tree-grid/behavior.spec.ts</x:t>
        </x:is>
      </x:c>
      <x:c r="H24" s="149" t="inlineStr">
        <x:is>
          <x:t xml:space="preserve">tested</x:t>
        </x:is>
      </x:c>
      <x:c r="I24" s="149" t="inlineStr">
        <x:is>
          <x:t xml:space="preserve">no</x:t>
        </x:is>
      </x:c>
      <x:c r="J24" s="151" t="n">
        <x:v>46231</x:v>
      </x:c>
      <x:c r="K24" s="150" t="inlineStr">
        <x:is>
          <x:t xml:space="preserve">State and geometry checks passed in five browser/device profiles on July 28, 2026.</x:t>
        </x:is>
      </x:c>
      <x:c r="L24" s="149" t="n">
        <x:v>1</x:v>
      </x:c>
      <x:c r="M24" s="149" t="n">
        <x:f>IF(OR(AND(I24="yes",H24="verified"),AND(I24="no",OR(H24="tested",H24="verified")),AND(H24="not applicable",K24&lt;&gt;"")),1,0)</x:f>
        <x:v>1</x:v>
      </x:c>
    </x:row>
    <x:row r="25" s="127" customFormat="1" ht="54" customHeight="1">
      <x:c r="A25" s="149" t="inlineStr">
        <x:is>
          <x:t xml:space="preserve">TG-17</x:t>
        </x:is>
      </x:c>
      <x:c r="B25" s="149" t="inlineStr">
        <x:is>
          <x:t xml:space="preserve">RTL</x:t>
        </x:is>
      </x:c>
      <x:c r="C25" s="149" t="inlineStr">
        <x:is>
          <x:t xml:space="preserve">All parts</x:t>
        </x:is>
      </x:c>
      <x:c r="D25" s="150" t="inlineStr">
        <x:is>
          <x:t xml:space="preserve">Logical hierarchy navigation, indentation, indicator direction, alignment, sorting placement, and overflow remain usable with localized RTL content.</x:t>
        </x:is>
      </x:c>
      <x:c r="E25" s="149" t="inlineStr">
        <x:is>
          <x:t xml:space="preserve">package</x:t>
        </x:is>
      </x:c>
      <x:c r="F25" s="149" t="inlineStr">
        <x:is>
          <x:t xml:space="preserve">visual</x:t>
        </x:is>
      </x:c>
      <x:c r="G25" s="150" t="inlineStr">
        <x:is>
          <x:t xml:space="preserve">tests/components/tree-grid/visual.spec.ts</x:t>
        </x:is>
      </x:c>
      <x:c r="H25" s="149" t="inlineStr">
        <x:is>
          <x:t xml:space="preserve">implemented</x:t>
        </x:is>
      </x:c>
      <x:c r="I25" s="149" t="inlineStr">
        <x:is>
          <x:t xml:space="preserve">yes</x:t>
        </x:is>
      </x:c>
      <x:c r="J25" s="151" t="n">
        <x:v>46231</x:v>
      </x:c>
      <x:c r="K25" s="150" t="inlineStr">
        <x:is>
          <x:t xml:space="preserve">Containment and page-overflow checks passed in five browser/device profiles on July 28, 2026.</x:t>
        </x:is>
      </x:c>
      <x:c r="L25" s="149" t="n">
        <x:v>1</x:v>
      </x:c>
      <x:c r="M25" s="149" t="n">
        <x:f>IF(OR(AND(I25="yes",H25="verified"),AND(I25="no",OR(H25="tested",H25="verified")),AND(H25="not applicable",K25&lt;&gt;"")),1,0)</x:f>
        <x:v>0</x:v>
      </x:c>
    </x:row>
    <x:row r="26" s="127" customFormat="1" ht="54" customHeight="1">
      <x:c r="A26" s="149" t="inlineStr">
        <x:is>
          <x:t xml:space="preserve">TG-18</x:t>
        </x:is>
      </x:c>
      <x:c r="B26" s="149" t="inlineStr">
        <x:is>
          <x:t xml:space="preserve">Appearance</x:t>
        </x:is>
      </x:c>
      <x:c r="C26" s="149" t="inlineStr">
        <x:is>
          <x:t xml:space="preserve">All parts</x:t>
        </x:is>
      </x:c>
      <x:c r="D26" s="150" t="inlineStr">
        <x:is>
          <x:t xml:space="preserve">Light and dark badges plus forced-color surfaces preserve clipped boundaries, hierarchy, state distinctions, and focus.</x:t>
        </x:is>
      </x:c>
      <x:c r="E26" s="149" t="inlineStr">
        <x:is>
          <x:t xml:space="preserve">package</x:t>
        </x:is>
      </x:c>
      <x:c r="F26" s="149" t="inlineStr">
        <x:is>
          <x:t xml:space="preserve">visual</x:t>
        </x:is>
      </x:c>
      <x:c r="G26" s="150" t="inlineStr">
        <x:is>
          <x:t xml:space="preserve">tests/components/tree-grid/visual.spec.ts</x:t>
        </x:is>
      </x:c>
      <x:c r="H26" s="149" t="inlineStr">
        <x:is>
          <x:t xml:space="preserve">implemented</x:t>
        </x:is>
      </x:c>
      <x:c r="I26" s="149" t="inlineStr">
        <x:is>
          <x:t xml:space="preserve">yes</x:t>
        </x:is>
      </x:c>
      <x:c r="J26" s="151" t="n">
        <x:v>46231</x:v>
      </x:c>
      <x:c r="K26" s="150" t="inlineStr">
        <x:is>
          <x:t xml:space="preserve">Owner visual review not yet recorded.</x:t>
        </x:is>
      </x:c>
      <x:c r="L26" s="149" t="n">
        <x:v>1</x:v>
      </x:c>
      <x:c r="M26" s="149" t="n">
        <x:f>IF(OR(AND(I26="yes",H26="verified"),AND(I26="no",OR(H26="tested",H26="verified")),AND(H26="not applicable",K26&lt;&gt;"")),1,0)</x:f>
        <x:v>0</x:v>
      </x:c>
    </x:row>
    <x:row r="27" s="127" customFormat="1" ht="54" customHeight="1">
      <x:c r="A27" s="149" t="inlineStr">
        <x:is>
          <x:t xml:space="preserve">TG-19</x:t>
        </x:is>
      </x:c>
      <x:c r="B27" s="149" t="inlineStr">
        <x:is>
          <x:t xml:space="preserve">Visual</x:t>
        </x:is>
      </x:c>
      <x:c r="C27" s="149" t="inlineStr">
        <x:is>
          <x:t xml:space="preserve">All parts</x:t>
        </x:is>
      </x:c>
      <x:c r="D27" s="150" t="inlineStr">
        <x:is>
          <x:t xml:space="preserve">Baselines cover overview, variants, sizing, hierarchy, controlled sorting, dark customization, responsive mobile, RTL mobile, and forced colors.</x:t>
        </x:is>
      </x:c>
      <x:c r="E27" s="149" t="inlineStr">
        <x:is>
          <x:t xml:space="preserve">package</x:t>
        </x:is>
      </x:c>
      <x:c r="F27" s="149" t="inlineStr">
        <x:is>
          <x:t xml:space="preserve">visual</x:t>
        </x:is>
      </x:c>
      <x:c r="G27" s="150" t="inlineStr">
        <x:is>
          <x:t xml:space="preserve">tests/components/tree-grid/visual.spec.ts</x:t>
        </x:is>
      </x:c>
      <x:c r="H27" s="149" t="inlineStr">
        <x:is>
          <x:t xml:space="preserve">implemented</x:t>
        </x:is>
      </x:c>
      <x:c r="I27" s="149" t="inlineStr">
        <x:is>
          <x:t xml:space="preserve">yes</x:t>
        </x:is>
      </x:c>
      <x:c r="J27" s="151" t="n">
        <x:v>46231</x:v>
      </x:c>
      <x:c r="K27" s="150" t="inlineStr">
        <x:is>
          <x:t xml:space="preserve">Owner baseline review not yet recorded.</x:t>
        </x:is>
      </x:c>
      <x:c r="L27" s="149" t="n">
        <x:v>1</x:v>
      </x:c>
      <x:c r="M27" s="149" t="n">
        <x:f>IF(OR(AND(I27="yes",H27="verified"),AND(I27="no",OR(H27="tested",H27="verified")),AND(H27="not applicable",K27&lt;&gt;"")),1,0)</x:f>
        <x:v>0</x:v>
      </x:c>
    </x:row>
    <x:row r="28" s="127" customFormat="1" ht="54" customHeight="1">
      <x:c r="A28" s="149" t="inlineStr">
        <x:is>
          <x:t xml:space="preserve">TG-20</x:t>
        </x:is>
      </x:c>
      <x:c r="B28" s="149" t="inlineStr">
        <x:is>
          <x:t xml:space="preserve">Customization</x:t>
        </x:is>
      </x:c>
      <x:c r="C28" s="149" t="inlineStr">
        <x:is>
          <x:t xml:space="preserve">All parts</x:t>
        </x:is>
      </x:c>
      <x:c r="D28" s="150" t="inlineStr">
        <x:is>
          <x:t xml:space="preserve">Stable classes, slots, public variables, styles, custom indicators, and accent outline clipping preserve behavior and rounded edges.</x:t>
        </x:is>
      </x:c>
      <x:c r="E28" s="149" t="inlineStr">
        <x:is>
          <x:t xml:space="preserve">package</x:t>
        </x:is>
      </x:c>
      <x:c r="F28" s="149" t="inlineStr">
        <x:is>
          <x:t xml:space="preserve">component</x:t>
        </x:is>
      </x:c>
      <x:c r="G28" s="150" t="inlineStr">
        <x:is>
          <x:t xml:space="preserve">../test/components/tree-grid/tree-grid.test.tsx; ../docs/components/tree-grid/README.md</x:t>
        </x:is>
      </x:c>
      <x:c r="H28" s="149" t="inlineStr">
        <x:is>
          <x:t xml:space="preserve">tested</x:t>
        </x:is>
      </x:c>
      <x:c r="I28" s="149" t="inlineStr">
        <x:is>
          <x:t xml:space="preserve">no</x:t>
        </x:is>
      </x:c>
      <x:c r="J28" s="151" t="n">
        <x:v>46231</x:v>
      </x:c>
      <x:c r="K28" s="150" t="n"/>
      <x:c r="L28" s="149" t="n">
        <x:v>1</x:v>
      </x:c>
      <x:c r="M28" s="149" t="n">
        <x:f>IF(OR(AND(I28="yes",H28="verified"),AND(I28="no",OR(H28="tested",H28="verified")),AND(H28="not applicable",K28&lt;&gt;"")),1,0)</x:f>
        <x:v>1</x:v>
      </x:c>
    </x:row>
    <x:row r="29" s="127" customFormat="1" ht="54" customHeight="1">
      <x:c r="A29" s="149" t="inlineStr">
        <x:is>
          <x:t xml:space="preserve">TG-21</x:t>
        </x:is>
      </x:c>
      <x:c r="B29" s="149" t="inlineStr">
        <x:is>
          <x:t xml:space="preserve">Accessibility</x:t>
        </x:is>
      </x:c>
      <x:c r="C29" s="149" t="inlineStr">
        <x:is>
          <x:t xml:space="preserve">All parts</x:t>
        </x:is>
      </x:c>
      <x:c r="D29" s="150" t="inlineStr">
        <x:is>
          <x:t xml:space="preserve">Name, roles, hierarchy, counts, coordinates, expansion, selection, disabled/read-only, active descendant, sort metadata, and axe checks pass.</x:t>
        </x:is>
      </x:c>
      <x:c r="E29" s="149" t="inlineStr">
        <x:is>
          <x:t xml:space="preserve">package</x:t>
        </x:is>
      </x:c>
      <x:c r="F29" s="149" t="inlineStr">
        <x:is>
          <x:t xml:space="preserve">axe</x:t>
        </x:is>
      </x:c>
      <x:c r="G29" s="150" t="inlineStr">
        <x:is>
          <x:t xml:space="preserve">tests/components/tree-grid/behavior.spec.ts</x:t>
        </x:is>
      </x:c>
      <x:c r="H29" s="149" t="inlineStr">
        <x:is>
          <x:t xml:space="preserve">tested</x:t>
        </x:is>
      </x:c>
      <x:c r="I29" s="149" t="inlineStr">
        <x:is>
          <x:t xml:space="preserve">no</x:t>
        </x:is>
      </x:c>
      <x:c r="J29" s="151" t="n">
        <x:v>46231</x:v>
      </x:c>
      <x:c r="K29" s="150" t="inlineStr">
        <x:is>
          <x:t xml:space="preserve">Axe and accessibility assertions passed in five browser/device profiles on July 28, 2026.</x:t>
        </x:is>
      </x:c>
      <x:c r="L29" s="149" t="n">
        <x:v>1</x:v>
      </x:c>
      <x:c r="M29" s="149" t="n">
        <x:f>IF(OR(AND(I29="yes",H29="verified"),AND(I29="no",OR(H29="tested",H29="verified")),AND(H29="not applicable",K29&lt;&gt;"")),1,0)</x:f>
        <x:v>1</x:v>
      </x:c>
    </x:row>
    <x:row r="30" s="127" customFormat="1" ht="54" customHeight="1">
      <x:c r="A30" s="149" t="inlineStr">
        <x:is>
          <x:t xml:space="preserve">TG-22</x:t>
        </x:is>
      </x:c>
      <x:c r="B30" s="149" t="inlineStr">
        <x:is>
          <x:t xml:space="preserve">Playground</x:t>
        </x:is>
      </x:c>
      <x:c r="C30" s="149" t="inlineStr">
        <x:is>
          <x:t xml:space="preserve">All parts</x:t>
        </x:is>
      </x:c>
      <x:c r="D30" s="150" t="str">
        <x:v>Focused source-paired examples cover sorting, editing, resizing, loading, server pages and fixed-row windowing.</x:v>
      </x:c>
      <x:c r="E30" s="149" t="inlineStr">
        <x:is>
          <x:t xml:space="preserve">package</x:t>
        </x:is>
      </x:c>
      <x:c r="F30" s="149" t="inlineStr">
        <x:is>
          <x:t xml:space="preserve">playground</x:t>
        </x:is>
      </x:c>
      <x:c r="G30" s="150" t="inlineStr">
        <x:is>
          <x:t xml:space="preserve">src/components/tree-grid/TreeGridPage.tsx</x:t>
        </x:is>
      </x:c>
      <x:c r="H30" s="149" t="inlineStr">
        <x:is>
          <x:t xml:space="preserve">tested</x:t>
        </x:is>
      </x:c>
      <x:c r="I30" s="149" t="inlineStr">
        <x:is>
          <x:t xml:space="preserve">no</x:t>
        </x:is>
      </x:c>
      <x:c r="J30" s="151" t="n">
        <x:v>46284</x:v>
      </x:c>
      <x:c r="K30" s="150" t="n"/>
      <x:c r="L30" s="149" t="n">
        <x:v>1</x:v>
      </x:c>
      <x:c r="M30" s="149" t="n">
        <x:f>IF(OR(AND(I30="yes",H30="verified"),AND(I30="no",OR(H30="tested",H30="verified")),AND(H30="not applicable",K30&lt;&gt;"")),1,0)</x:f>
        <x:v>1</x:v>
      </x:c>
    </x:row>
    <x:row r="31" s="127" customFormat="1" ht="54" customHeight="1">
      <x:c r="A31" s="149" t="inlineStr">
        <x:is>
          <x:t xml:space="preserve">TG-23</x:t>
        </x:is>
      </x:c>
      <x:c r="B31" s="149" t="inlineStr">
        <x:is>
          <x:t xml:space="preserve">Documentation</x:t>
        </x:is>
      </x:c>
      <x:c r="C31" s="149" t="inlineStr">
        <x:is>
          <x:t xml:space="preserve">Public guide</x:t>
        </x:is>
      </x:c>
      <x:c r="D31" s="150" t="inlineStr">
        <x:is>
          <x:t xml:space="preserve">Guide documents boundary, anatomy, authored coordinates, API, recipes, hierarchy, keyboard, expansion, selection, sorting, containment, accessibility, CSS, and exclusions.</x:t>
        </x:is>
      </x:c>
      <x:c r="E31" s="149" t="inlineStr">
        <x:is>
          <x:t xml:space="preserve">package</x:t>
        </x:is>
      </x:c>
      <x:c r="F31" s="149" t="inlineStr">
        <x:is>
          <x:t xml:space="preserve">documentation</x:t>
        </x:is>
      </x:c>
      <x:c r="G31" s="150" t="inlineStr">
        <x:is>
          <x:t xml:space="preserve">../docs/components/tree-grid/README.md</x:t>
        </x:is>
      </x:c>
      <x:c r="H31" s="149" t="inlineStr">
        <x:is>
          <x:t xml:space="preserve">tested</x:t>
        </x:is>
      </x:c>
      <x:c r="I31" s="149" t="inlineStr">
        <x:is>
          <x:t xml:space="preserve">no</x:t>
        </x:is>
      </x:c>
      <x:c r="J31" s="151" t="n">
        <x:v>46231</x:v>
      </x:c>
      <x:c r="K31" s="150" t="n"/>
      <x:c r="L31" s="149" t="n">
        <x:v>1</x:v>
      </x:c>
      <x:c r="M31" s="149" t="n">
        <x:f>IF(OR(AND(I31="yes",H31="verified"),AND(I31="no",OR(H31="tested",H31="verified")),AND(H31="not applicable",K31&lt;&gt;"")),1,0)</x:f>
        <x:v>1</x:v>
      </x:c>
    </x:row>
    <x:row r="32" s="127" customFormat="1" ht="54" customHeight="1">
      <x:c r="A32" s="149" t="inlineStr">
        <x:is>
          <x:t xml:space="preserve">TG-24</x:t>
        </x:is>
      </x:c>
      <x:c r="B32" s="149" t="inlineStr">
        <x:is>
          <x:t xml:space="preserve">Changelog</x:t>
        </x:is>
      </x:c>
      <x:c r="C32" s="149" t="inlineStr">
        <x:is>
          <x:t xml:space="preserve">Public record</x:t>
        </x:is>
      </x:c>
      <x:c r="D32" s="150" t="inlineStr">
        <x:is>
          <x:t xml:space="preserve">Component and package changelogs describe the release-facing Tree Grid addition.</x:t>
        </x:is>
      </x:c>
      <x:c r="E32" s="149" t="inlineStr">
        <x:is>
          <x:t xml:space="preserve">package</x:t>
        </x:is>
      </x:c>
      <x:c r="F32" s="149" t="inlineStr">
        <x:is>
          <x:t xml:space="preserve">documentation</x:t>
        </x:is>
      </x:c>
      <x:c r="G32" s="150" t="inlineStr">
        <x:is>
          <x:t xml:space="preserve">../docs/components/tree-grid/CHANGELOG.md; ../CHANGELOG.md</x:t>
        </x:is>
      </x:c>
      <x:c r="H32" s="149" t="inlineStr">
        <x:is>
          <x:t xml:space="preserve">tested</x:t>
        </x:is>
      </x:c>
      <x:c r="I32" s="149" t="inlineStr">
        <x:is>
          <x:t xml:space="preserve">no</x:t>
        </x:is>
      </x:c>
      <x:c r="J32" s="151" t="n">
        <x:v>46231</x:v>
      </x:c>
      <x:c r="K32" s="150" t="n"/>
      <x:c r="L32" s="149" t="n">
        <x:v>1</x:v>
      </x:c>
      <x:c r="M32" s="149" t="n">
        <x:f>IF(OR(AND(I32="yes",H32="verified"),AND(I32="no",OR(H32="tested",H32="verified")),AND(H32="not applicable",K32&lt;&gt;"")),1,0)</x:f>
        <x:v>1</x:v>
      </x:c>
    </x:row>
    <x:row r="33" s="127" customFormat="1" ht="54" customHeight="1">
      <x:c r="A33" s="149" t="inlineStr">
        <x:is>
          <x:t xml:space="preserve">TG-25</x:t>
        </x:is>
      </x:c>
      <x:c r="B33" s="149" t="inlineStr">
        <x:is>
          <x:t xml:space="preserve">Consumer</x:t>
        </x:is>
      </x:c>
      <x:c r="C33" s="149" t="inlineStr">
        <x:is>
          <x:t xml:space="preserve">All parts</x:t>
        </x:is>
      </x:c>
      <x:c r="D33" s="150" t="inlineStr">
        <x:is>
          <x:t xml:space="preserve">Packed Consumer composes Tree Grid with controlled hierarchy, sorting and selection plus external Toolbar, Badge metadata, and a details Surface.</x:t>
        </x:is>
      </x:c>
      <x:c r="E33" s="149" t="inlineStr">
        <x:is>
          <x:t xml:space="preserve">consumer</x:t>
        </x:is>
      </x:c>
      <x:c r="F33" s="149" t="inlineStr">
        <x:is>
          <x:t xml:space="preserve">consumer</x:t>
        </x:is>
      </x:c>
      <x:c r="G33" s="150" t="str">
        <x:v>../scripts/verify-tree-family-consumers.mjs</x:v>
      </x:c>
      <x:c r="H33" s="149" t="inlineStr">
        <x:is>
          <x:t xml:space="preserve">tested</x:t>
        </x:is>
      </x:c>
      <x:c r="I33" s="149" t="inlineStr">
        <x:is>
          <x:t xml:space="preserve">no</x:t>
        </x:is>
      </x:c>
      <x:c r="J33" s="151" t="n">
        <x:v>46284</x:v>
      </x:c>
      <x:c r="K33" s="150" t="str">
        <x:v>Packed React 18/19 types, hydration, refs, focus and cleanup passed. Broader Consumer remains separate.</x:v>
      </x:c>
      <x:c r="L33" s="149" t="n">
        <x:v>1</x:v>
      </x:c>
      <x:c r="M33" s="149" t="n">
        <x:f>IF(OR(AND(I33="yes",H33="verified"),AND(I33="no",OR(H33="tested",H33="verified")),AND(H33="not applicable",K33&lt;&gt;"")),1,0)</x:f>
        <x:v>1</x:v>
      </x:c>
    </x:row>
    <x:row r="34" s="127" customFormat="1" ht="54" customHeight="1">
      <x:c r="A34" s="149" t="inlineStr">
        <x:is>
          <x:t xml:space="preserve">TG-26</x:t>
        </x:is>
      </x:c>
      <x:c r="B34" s="149" t="inlineStr">
        <x:is>
          <x:t xml:space="preserve">Manual</x:t>
        </x:is>
      </x:c>
      <x:c r="C34" s="149" t="inlineStr">
        <x:is>
          <x:t xml:space="preserve">All parts</x:t>
        </x:is>
      </x:c>
      <x:c r="D34" s="150" t="inlineStr">
        <x:is>
          <x:t xml:space="preserve">Owner reviews hierarchy keyboard, collapse focus, screen reader, zoom, touch, RTL, appearances, preferences, rounded clipping, and component boundaries.</x:t>
        </x:is>
      </x:c>
      <x:c r="E34" s="149" t="inlineStr">
        <x:is>
          <x:t xml:space="preserve">package</x:t>
        </x:is>
      </x:c>
      <x:c r="F34" s="149" t="inlineStr">
        <x:is>
          <x:t xml:space="preserve">manual</x:t>
        </x:is>
      </x:c>
      <x:c r="G34" s="150" t="inlineStr">
        <x:is>
          <x:t xml:space="preserve">manual-tests/tree-grid.md</x:t>
        </x:is>
      </x:c>
      <x:c r="H34" s="149" t="inlineStr">
        <x:is>
          <x:t xml:space="preserve">not started</x:t>
        </x:is>
      </x:c>
      <x:c r="I34" s="149" t="inlineStr">
        <x:is>
          <x:t xml:space="preserve">yes</x:t>
        </x:is>
      </x:c>
      <x:c r="J34" s="151" t="n">
        <x:v>46231</x:v>
      </x:c>
      <x:c r="K34" s="150" t="inlineStr">
        <x:is>
          <x:t xml:space="preserve">Human run intentionally unclaimed.</x:t>
        </x:is>
      </x:c>
      <x:c r="L34" s="149" t="n">
        <x:v>1</x:v>
      </x:c>
      <x:c r="M34" s="149" t="n">
        <x:f>IF(OR(AND(I34="yes",H34="verified"),AND(I34="no",OR(H34="tested",H34="verified")),AND(H34="not applicable",K34&lt;&gt;"")),1,0)</x:f>
        <x:v>0</x:v>
      </x:c>
    </x:row>
    <x:row r="35" s="127" customFormat="1" ht="54" customHeight="1">
      <x:c r="A35" s="149" t="inlineStr">
        <x:is>
          <x:t xml:space="preserve">TG-27</x:t>
        </x:is>
      </x:c>
      <x:c r="B35" s="149" t="inlineStr">
        <x:is>
          <x:t xml:space="preserve">Package</x:t>
        </x:is>
      </x:c>
      <x:c r="C35" s="149" t="inlineStr">
        <x:is>
          <x:t xml:space="preserve">Artifact</x:t>
        </x:is>
      </x:c>
      <x:c r="D35" s="150" t="inlineStr">
        <x:is>
          <x:t xml:space="preserve">Build, declarations, exports, SSR, CSS, docs, tarball, clean React consumers, focused browser/device matrix, and Consumer pass.</x:t>
        </x:is>
      </x:c>
      <x:c r="E35" s="149" t="inlineStr">
        <x:is>
          <x:t xml:space="preserve">package</x:t>
        </x:is>
      </x:c>
      <x:c r="F35" s="149" t="inlineStr">
        <x:is>
          <x:t xml:space="preserve">package</x:t>
        </x:is>
      </x:c>
      <x:c r="G35" s="150" t="inlineStr">
        <x:is>
          <x:t xml:space="preserve">../test/package/package.test.mjs; ../scripts/verify-package.mjs</x:t>
        </x:is>
      </x:c>
      <x:c r="H35" s="149" t="str">
        <x:v>implemented</x:v>
      </x:c>
      <x:c r="I35" s="149" t="inlineStr">
        <x:is>
          <x:t xml:space="preserve">no</x:t>
        </x:is>
      </x:c>
      <x:c r="J35" s="151" t="n">
        <x:v>46284</x:v>
      </x:c>
      <x:c r="K35" s="150" t="str">
        <x:v>Focused checks passed; broad package, CI and full manual qualification remain open.</x:v>
      </x:c>
      <x:c r="L35" s="149" t="n">
        <x:v>1</x:v>
      </x:c>
      <x:c r="M35" s="149" t="n">
        <x:f>IF(OR(AND(I35="yes",H35="verified"),AND(I35="no",OR(H35="tested",H35="verified")),AND(H35="not applicable",K35&lt;&gt;"")),1,0)</x:f>
        <x:v>0</x:v>
      </x:c>
    </x:row>
    <x:row r="36" s="127" customFormat="1" ht="54" customHeight="1">
      <x:c r="A36" s="149" t="inlineStr">
        <x:is>
          <x:t xml:space="preserve">TG-28</x:t>
        </x:is>
      </x:c>
      <x:c r="B36" s="149" t="inlineStr">
        <x:is>
          <x:t xml:space="preserve">Boundary</x:t>
        </x:is>
      </x:c>
      <x:c r="C36" s="149" t="inlineStr">
        <x:is>
          <x:t xml:space="preserve">All parts</x:t>
        </x:is>
      </x:c>
      <x:c r="D36" s="150" t="str">
        <x:v>Applications own transforms, server data, persistence and virtual adapters. Atom owns interaction, disclosure and resize gestures.</x:v>
      </x:c>
      <x:c r="E36" s="149" t="inlineStr">
        <x:is>
          <x:t xml:space="preserve">package</x:t>
        </x:is>
      </x:c>
      <x:c r="F36" s="149" t="inlineStr">
        <x:is>
          <x:t xml:space="preserve">documentation</x:t>
        </x:is>
      </x:c>
      <x:c r="G36" s="150" t="inlineStr">
        <x:is>
          <x:t xml:space="preserve">../docs/components/tree-grid/README.md</x:t>
        </x:is>
      </x:c>
      <x:c r="H36" s="149" t="inlineStr">
        <x:is>
          <x:t xml:space="preserve">tested</x:t>
        </x:is>
      </x:c>
      <x:c r="I36" s="149" t="inlineStr">
        <x:is>
          <x:t xml:space="preserve">no</x:t>
        </x:is>
      </x:c>
      <x:c r="J36" s="151" t="n">
        <x:v>46284</x:v>
      </x:c>
      <x:c r="K36" s="150" t="n"/>
      <x:c r="L36" s="149" t="n">
        <x:v>1</x:v>
      </x:c>
      <x:c r="M36" s="149" t="n">
        <x:f>IF(OR(AND(I36="yes",H36="verified"),AND(I36="no",OR(H36="tested",H36="verified")),AND(H36="not applicable",K36&lt;&gt;"")),1,0)</x:f>
        <x:v>1</x:v>
      </x:c>
    </x:row>
    <x:row r="37" s="127" customFormat="1" ht="54" customHeight="1">
      <x:c r="A37" s="149" t="n"/>
      <x:c r="B37" s="149" t="n"/>
      <x:c r="C37" s="149" t="n"/>
      <x:c r="D37" s="150" t="n"/>
      <x:c r="E37" s="149" t="n"/>
      <x:c r="F37" s="149" t="n"/>
      <x:c r="G37" s="150" t="n"/>
      <x:c r="H37" s="149" t="n"/>
      <x:c r="I37" s="149" t="n"/>
      <x:c r="J37" s="151" t="n"/>
      <x:c r="K37" s="150" t="n"/>
      <x:c r="L37" s="149" t="n"/>
      <x:c r="M37" s="149" t="n"/>
    </x:row>
    <x:row r="38" s="127" customFormat="1" ht="54" customHeight="1">
      <x:c r="A38" s="149" t="n"/>
      <x:c r="B38" s="149" t="n"/>
      <x:c r="C38" s="149" t="n"/>
      <x:c r="D38" s="150" t="n"/>
      <x:c r="E38" s="149" t="n"/>
      <x:c r="F38" s="149" t="n"/>
      <x:c r="G38" s="150" t="n"/>
      <x:c r="H38" s="149" t="n"/>
      <x:c r="I38" s="149" t="n"/>
      <x:c r="J38" s="151" t="n"/>
      <x:c r="K38" s="150" t="n"/>
      <x:c r="L38" s="149" t="n"/>
      <x:c r="M38" s="149" t="n"/>
    </x:row>
    <x:row r="39" s="127" customFormat="1" ht="54" customHeight="1">
      <x:c r="A39" s="149" t="n"/>
      <x:c r="B39" s="149" t="n"/>
      <x:c r="C39" s="149" t="n"/>
      <x:c r="D39" s="150" t="n"/>
      <x:c r="E39" s="149" t="n"/>
      <x:c r="F39" s="149" t="n"/>
      <x:c r="G39" s="150" t="n"/>
      <x:c r="H39" s="149" t="n"/>
      <x:c r="I39" s="149" t="n"/>
      <x:c r="J39" s="151" t="n"/>
      <x:c r="K39" s="150" t="n"/>
      <x:c r="L39" s="149" t="n"/>
      <x:c r="M39" s="149" t="n"/>
    </x:row>
  </x:sheetData>
  <x:mergeCells>
    <x:mergeCell ref="A2:M2"/>
    <x:mergeCell ref="A1:M1"/>
  </x:mergeCells>
  <x:conditionalFormatting sqref="H9:H24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1" showDropDown="0" showInputMessage="1" showErrorMessage="1" sqref="H9:H24">
      <x:formula1>"not started,partial,implemented,tested,verified,blocked,not applicable"</x:formula1>
      <x:formula2>0</x:formula2>
    </x:dataValidation>
    <x:dataValidation type="list" errorStyle="stop" operator="between" allowBlank="1" showDropDown="0" showInputMessage="1" showErrorMessage="1" sqref="I9:I24">
      <x:formula1>"yes,no"</x:formula1>
      <x:formula2>0</x:formula2>
    </x:dataValidation>
  </x:dataValidations>
  <x:pageMargins left="0.7" right="0.7" top="0.75" bottom="0.75" header="0.3" footer="0.3"/>
</x:worksheet>
</file>

<file path=xl/worksheets/sheet62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Tree Evidence</x:t>
        </x:is>
      </x:c>
    </x:row>
    <x:row r="2" s="127" customFormat="1" ht="27.75" customHeight="1">
      <x:c r="A2" s="129" t="inlineStr">
        <x:is>
          <x:t xml:space="preserve">Assertion-level anatomy, focus, navigation, selection, expansion, visual recipes, hierarchy guides, responsive direction, package, documentation, Consumer, and accessibility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COUNTA(A9:A34)</x:f>
        <x:v>26</x:v>
      </x:c>
      <x:c r="D4" s="130" t="inlineStr">
        <x:is>
          <x:t xml:space="preserve">Resolved</x:t>
        </x:is>
      </x:c>
      <x:c r="E4" s="131" t="n">
        <x:f>SUM(M9:M34)</x:f>
        <x:v>21</x:v>
      </x:c>
      <x:c r="G4" s="130" t="inlineStr">
        <x:is>
          <x:t xml:space="preserve">Completion</x:t>
        </x:is>
      </x:c>
      <x:c r="H4" s="132" t="n">
        <x:f>IF(B4=0,0,E4/B4)</x:f>
        <x:v>0.8076923076923077</x:v>
      </x:c>
      <x:c r="J4" s="130" t="inlineStr">
        <x:is>
          <x:t xml:space="preserve">Package gate</x:t>
        </x:is>
      </x:c>
      <x:c r="K4" s="131" t="str">
        <x:f>IF(COUNTIFS(E9:E34,"package",M9:M34,0)&gt;0,"open","complete")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IF(COUNTIFS(I9:I34,"yes",M9:M34,0)&gt;0,"open","complete")</x:f>
        <x:v>open</x:v>
      </x:c>
      <x:c r="D5" s="130" t="inlineStr">
        <x:is>
          <x:t xml:space="preserve">Consumer gate</x:t>
        </x:is>
      </x:c>
      <x:c r="E5" s="131" t="str">
        <x:f>IF(COUNTIFS(E9:E34,"consumer",M9:M34,0)&gt;0,"open","complete")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TR-01</x:t>
        </x:is>
      </x:c>
      <x:c r="B9" s="149" t="inlineStr">
        <x:is>
          <x:t xml:space="preserve">Ownership</x:t>
        </x:is>
      </x:c>
      <x:c r="C9" s="149" t="inlineStr">
        <x:is>
          <x:t xml:space="preserve">All parts</x:t>
        </x:is>
      </x:c>
      <x:c r="D9" s="150" t="str">
        <x:v>Brick styles the unpublished Atom 0.26.1 candidate without reimplementing interaction.</x:v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../src/components/tree/Tree.tsx; ../package.json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46284</x:v>
      </x:c>
      <x:c r="K9" s="150" t="n"/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TR-02</x:t>
        </x:is>
      </x:c>
      <x:c r="B10" s="149" t="inlineStr">
        <x:is>
          <x:t xml:space="preserve">API</x:t>
        </x:is>
      </x:c>
      <x:c r="C10" s="149" t="inlineStr">
        <x:is>
          <x:t xml:space="preserve">All parts</x:t>
        </x:is>
      </x:c>
      <x:c r="D10" s="150" t="str">
        <x:v>Nine parts include RootProvider, Trigger and Checkbox, plus collection and controller exports.</x:v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../test/components/tree/tree.test.tsx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46284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TR-03</x:t>
        </x:is>
      </x:c>
      <x:c r="B11" s="149" t="inlineStr">
        <x:is>
          <x:t xml:space="preserve">Anatomy</x:t>
        </x:is>
      </x:c>
      <x:c r="C11" s="149" t="inlineStr">
        <x:is>
          <x:t xml:space="preserve">All parts</x:t>
        </x:is>
      </x:c>
      <x:c r="D11" s="150" t="inlineStr">
        <x:is>
          <x:t xml:space="preserve">Atom-backed semantic parts and Brick-owned content-row and indicator hosts, roles, slots, state attributes, and refs render deterministically.</x:t>
        </x:is>
      </x:c>
      <x:c r="E11" s="149" t="inlineStr">
        <x:is>
          <x:t xml:space="preserve">package</x:t>
        </x:is>
      </x:c>
      <x:c r="F11" s="149" t="inlineStr">
        <x:is>
          <x:t xml:space="preserve">component</x:t>
        </x:is>
      </x:c>
      <x:c r="G11" s="150" t="inlineStr">
        <x:is>
          <x:t xml:space="preserve">../test/components/tree/tree.test.tsx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46231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TR-04</x:t>
        </x:is>
      </x:c>
      <x:c r="B12" s="149" t="inlineStr">
        <x:is>
          <x:t xml:space="preserve">Types</x:t>
        </x:is>
      </x:c>
      <x:c r="C12" s="149" t="inlineStr">
        <x:is>
          <x:t xml:space="preserve">Public surface</x:t>
        </x:is>
      </x:c>
      <x:c r="D12" s="150" t="inlineStr">
        <x:is>
          <x:t xml:space="preserve">Closed recipes, vertical-only omission, Atom selection and expansion props, native props, and refs type-check.</x:t>
        </x:is>
      </x:c>
      <x:c r="E12" s="149" t="inlineStr">
        <x:is>
          <x:t xml:space="preserve">package</x:t>
        </x:is>
      </x:c>
      <x:c r="F12" s="149" t="inlineStr">
        <x:is>
          <x:t xml:space="preserve">types</x:t>
        </x:is>
      </x:c>
      <x:c r="G12" s="150" t="inlineStr">
        <x:is>
          <x:t xml:space="preserve">../test/types/components/tree.test.ts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46231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TR-05</x:t>
        </x:is>
      </x:c>
      <x:c r="B13" s="149" t="inlineStr">
        <x:is>
          <x:t xml:space="preserve">Exports</x:t>
        </x:is>
      </x:c>
      <x:c r="C13" s="149" t="inlineStr">
        <x:is>
          <x:t xml:space="preserve">All parts</x:t>
        </x:is>
      </x:c>
      <x:c r="D13" s="150" t="inlineStr">
        <x:is>
          <x:t xml:space="preserve">Root and tree subpath exports preserve namespace and named runtime identity.</x:t>
        </x:is>
      </x:c>
      <x:c r="E13" s="149" t="inlineStr">
        <x:is>
          <x:t xml:space="preserve">package</x:t>
        </x:is>
      </x:c>
      <x:c r="F13" s="149" t="inlineStr">
        <x:is>
          <x:t xml:space="preserve">package</x:t>
        </x:is>
      </x:c>
      <x:c r="G13" s="150" t="inlineStr">
        <x:is>
          <x:t xml:space="preserve">../test/package/package.test.mjs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46231</x:v>
      </x:c>
      <x:c r="K13" s="150" t="n"/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TR-06</x:t>
        </x:is>
      </x:c>
      <x:c r="B14" s="149" t="inlineStr">
        <x:is>
          <x:t xml:space="preserve">SSR</x:t>
        </x:is>
      </x:c>
      <x:c r="C14" s="149" t="inlineStr">
        <x:is>
          <x:t xml:space="preserve">All parts</x:t>
        </x:is>
      </x:c>
      <x:c r="D14" s="150" t="inlineStr">
        <x:is>
          <x:t xml:space="preserve">Tree imports server-safely and emits deterministic labelled tree, item, text, indicator, and group anatomy.</x:t>
        </x:is>
      </x:c>
      <x:c r="E14" s="149" t="inlineStr">
        <x:is>
          <x:t xml:space="preserve">package</x:t>
        </x:is>
      </x:c>
      <x:c r="F14" s="149" t="inlineStr">
        <x:is>
          <x:t xml:space="preserve">package</x:t>
        </x:is>
      </x:c>
      <x:c r="G14" s="150" t="inlineStr">
        <x:is>
          <x:t xml:space="preserve">../test/package/ssr.test.mjs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46231</x:v>
      </x:c>
      <x:c r="K14" s="150" t="n"/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TR-07</x:t>
        </x:is>
      </x:c>
      <x:c r="B15" s="149" t="inlineStr">
        <x:is>
          <x:t xml:space="preserve">Defaults</x:t>
        </x:is>
      </x:c>
      <x:c r="C15" s="149" t="inlineStr">
        <x:is>
          <x:t xml:space="preserve">Root</x:t>
        </x:is>
      </x:c>
      <x:c r="D15" s="150" t="inlineStr">
        <x:is>
          <x:t xml:space="preserve">Defaults are plain, medium, guides off, vertical orientation, and bounded navigation.</x:t>
        </x:is>
      </x:c>
      <x:c r="E15" s="149" t="inlineStr">
        <x:is>
          <x:t xml:space="preserve">package</x:t>
        </x:is>
      </x:c>
      <x:c r="F15" s="149" t="inlineStr">
        <x:is>
          <x:t xml:space="preserve">component</x:t>
        </x:is>
      </x:c>
      <x:c r="G15" s="150" t="inlineStr">
        <x:is>
          <x:t xml:space="preserve">../test/components/tree/tree.test.tsx; tests/components/tree/behavior.spec.ts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46231</x:v>
      </x:c>
      <x:c r="K15" s="150" t="n"/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TR-08</x:t>
        </x:is>
      </x:c>
      <x:c r="B16" s="149" t="inlineStr">
        <x:is>
          <x:t xml:space="preserve">Recipes</x:t>
        </x:is>
      </x:c>
      <x:c r="C16" s="149" t="inlineStr">
        <x:is>
          <x:t xml:space="preserve">Root</x:t>
        </x:is>
      </x:c>
      <x:c r="D16" s="150" t="str">
        <x:v>Responsive xs/sm/md, density and variants; neutral/accent tones and subtle/solid selection.</x:v>
      </x:c>
      <x:c r="E16" s="149" t="inlineStr">
        <x:is>
          <x:t xml:space="preserve">package</x:t>
        </x:is>
      </x:c>
      <x:c r="F16" s="149" t="inlineStr">
        <x:is>
          <x:t xml:space="preserve">browser</x:t>
        </x:is>
      </x:c>
      <x:c r="G16" s="150" t="inlineStr">
        <x:is>
          <x:t xml:space="preserve">tests/components/tree/behavior.spec.ts</x:t>
        </x:is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n">
        <x:v>46284</x:v>
      </x:c>
      <x:c r="K16" s="150" t="n"/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TR-09</x:t>
        </x:is>
      </x:c>
      <x:c r="B17" s="149" t="inlineStr">
        <x:is>
          <x:t xml:space="preserve">Focus</x:t>
        </x:is>
      </x:c>
      <x:c r="C17" s="149" t="inlineStr">
        <x:is>
          <x:t xml:space="preserve">Root / Item</x:t>
        </x:is>
      </x:c>
      <x:c r="D17" s="150" t="inlineStr">
        <x:is>
          <x:t xml:space="preserve">Initial focus activates the first visible selected item, then the first enabled visible item; focus remains distinct from selection.</x:t>
        </x:is>
      </x:c>
      <x:c r="E17" s="149" t="inlineStr">
        <x:is>
          <x:t xml:space="preserve">package</x:t>
        </x:is>
      </x:c>
      <x:c r="F17" s="149" t="inlineStr">
        <x:is>
          <x:t xml:space="preserve">browser</x:t>
        </x:is>
      </x:c>
      <x:c r="G17" s="150" t="inlineStr">
        <x:is>
          <x:t xml:space="preserve">tests/components/tree/behavior.spec.ts; @flowstack-ui/atom 0.17.1 behavior suite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n">
        <x:v>46231</x:v>
      </x:c>
      <x:c r="K17" s="150" t="n"/>
      <x:c r="L17" s="149" t="n">
        <x:v>1</x:v>
      </x:c>
      <x:c r="M17" s="149" t="n">
        <x:f>IF(OR(AND(I17="yes",H17="verified"),AND(I17="no",OR(H17="tested",H17="verified")),AND(H17="not applicable",K17&lt;&gt;"")),1,0)</x:f>
        <x:v>1</x:v>
      </x:c>
    </x:row>
    <x:row r="18" s="127" customFormat="1" ht="54" customHeight="1">
      <x:c r="A18" s="149" t="inlineStr">
        <x:is>
          <x:t xml:space="preserve">TR-10</x:t>
        </x:is>
      </x:c>
      <x:c r="B18" s="149" t="inlineStr">
        <x:is>
          <x:t xml:space="preserve">Navigation</x:t>
        </x:is>
      </x:c>
      <x:c r="C18" s="149" t="inlineStr">
        <x:is>
          <x:t xml:space="preserve">Root / Item</x:t>
        </x:is>
      </x:c>
      <x:c r="D18" s="150" t="inlineStr">
        <x:is>
          <x:t xml:space="preserve">Arrow keys, Home/End, bounded default movement, opt-in loop, typeahead, disabled skipping, and logical expansion remain Atom-owned.</x:t>
        </x:is>
      </x:c>
      <x:c r="E18" s="149" t="inlineStr">
        <x:is>
          <x:t xml:space="preserve">package</x:t>
        </x:is>
      </x:c>
      <x:c r="F18" s="149" t="inlineStr">
        <x:is>
          <x:t xml:space="preserve">browser</x:t>
        </x:is>
      </x:c>
      <x:c r="G18" s="150" t="inlineStr">
        <x:is>
          <x:t xml:space="preserve">tests/components/tree/behavior.spec.ts; @flowstack-ui/atom 0.17.1 behavior suite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n">
        <x:v>46231</x:v>
      </x:c>
      <x:c r="K18" s="150" t="n"/>
      <x:c r="L18" s="149" t="n">
        <x:v>1</x:v>
      </x:c>
      <x:c r="M18" s="149" t="n">
        <x:f>IF(OR(AND(I18="yes",H18="verified"),AND(I18="no",OR(H18="tested",H18="verified")),AND(H18="not applicable",K18&lt;&gt;"")),1,0)</x:f>
        <x:v>1</x:v>
      </x:c>
    </x:row>
    <x:row r="19" s="127" customFormat="1" ht="54" customHeight="1">
      <x:c r="A19" s="149" t="inlineStr">
        <x:is>
          <x:t xml:space="preserve">TR-11</x:t>
        </x:is>
      </x:c>
      <x:c r="B19" s="149" t="inlineStr">
        <x:is>
          <x:t xml:space="preserve">Selection</x:t>
        </x:is>
      </x:c>
      <x:c r="C19" s="149" t="inlineStr">
        <x:is>
          <x:t xml:space="preserve">Root / Item</x:t>
        </x:is>
      </x:c>
      <x:c r="D19" s="150" t="str">
        <x:v>Selection, nonselectable branches and checking stay independent. Range and visible select-all exclude ineligible items.</x:v>
      </x:c>
      <x:c r="E19" s="149" t="inlineStr">
        <x:is>
          <x:t xml:space="preserve">package</x:t>
        </x:is>
      </x:c>
      <x:c r="F19" s="149" t="inlineStr">
        <x:is>
          <x:t xml:space="preserve">browser</x:t>
        </x:is>
      </x:c>
      <x:c r="G19" s="150" t="str">
        <x:v>tests/components/tree/family-features.spec.ts; Atom Tree regressions</x:v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46284</x:v>
      </x:c>
      <x:c r="K19" s="150" t="n"/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TR-12</x:t>
        </x:is>
      </x:c>
      <x:c r="B20" s="149" t="inlineStr">
        <x:is>
          <x:t xml:space="preserve">Expansion</x:t>
        </x:is>
      </x:c>
      <x:c r="C20" s="149" t="inlineStr">
        <x:is>
          <x:t xml:space="preserve">Item / Group / Indicator</x:t>
        </x:is>
      </x:c>
      <x:c r="D20" s="150" t="str">
        <x:v>Expansion, measured motion reversal, lazy-load errors and retry preserve hierarchy and focus.</x:v>
      </x:c>
      <x:c r="E20" s="149" t="inlineStr">
        <x:is>
          <x:t xml:space="preserve">package</x:t>
        </x:is>
      </x:c>
      <x:c r="F20" s="149" t="inlineStr">
        <x:is>
          <x:t xml:space="preserve">browser</x:t>
        </x:is>
      </x:c>
      <x:c r="G20" s="150" t="str">
        <x:v>tests/components/tree/family-features.spec.ts</x:v>
      </x:c>
      <x:c r="H20" s="149" t="inlineStr">
        <x:is>
          <x:t xml:space="preserve">tested</x:t>
        </x:is>
      </x:c>
      <x:c r="I20" s="149" t="inlineStr">
        <x:is>
          <x:t xml:space="preserve">no</x:t>
        </x:is>
      </x:c>
      <x:c r="J20" s="151" t="n">
        <x:v>46284</x:v>
      </x:c>
      <x:c r="K20" s="150" t="n"/>
      <x:c r="L20" s="149" t="n">
        <x:v>1</x:v>
      </x:c>
      <x:c r="M20" s="149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49" t="inlineStr">
        <x:is>
          <x:t xml:space="preserve">TR-13</x:t>
        </x:is>
      </x:c>
      <x:c r="B21" s="149" t="inlineStr">
        <x:is>
          <x:t xml:space="preserve">States</x:t>
        </x:is>
      </x:c>
      <x:c r="C21" s="149" t="inlineStr">
        <x:is>
          <x:t xml:space="preserve">ItemContent</x:t>
        </x:is>
      </x:c>
      <x:c r="D21" s="150" t="inlineStr">
        <x:is>
          <x:t xml:space="preserve">Hover, active focus, selected, expanded, and disabled paint follows Atom attributes without painting Group descendants or changing geometry.</x:t>
        </x:is>
      </x:c>
      <x:c r="E21" s="149" t="inlineStr">
        <x:is>
          <x:t xml:space="preserve">package</x:t>
        </x:is>
      </x:c>
      <x:c r="F21" s="149" t="inlineStr">
        <x:is>
          <x:t xml:space="preserve">browser</x:t>
        </x:is>
      </x:c>
      <x:c r="G21" s="150" t="inlineStr">
        <x:is>
          <x:t xml:space="preserve">tests/components/tree/behavior.spec.ts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46231</x:v>
      </x:c>
      <x:c r="K21" s="150" t="n"/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TR-14</x:t>
        </x:is>
      </x:c>
      <x:c r="B22" s="149" t="inlineStr">
        <x:is>
          <x:t xml:space="preserve">Responsive</x:t>
        </x:is>
      </x:c>
      <x:c r="C22" s="149" t="inlineStr">
        <x:is>
          <x:t xml:space="preserve">Root / ItemContent</x:t>
        </x:is>
      </x:c>
      <x:c r="D22" s="150" t="inlineStr">
        <x:is>
          <x:t xml:space="preserve">Inline containment and wrapping preserve indicators, metadata, indentation, and focus without page overflow at 320 CSS px.</x:t>
        </x:is>
      </x:c>
      <x:c r="E22" s="149" t="inlineStr">
        <x:is>
          <x:t xml:space="preserve">package</x:t>
        </x:is>
      </x:c>
      <x:c r="F22" s="149" t="inlineStr">
        <x:is>
          <x:t xml:space="preserve">browser</x:t>
        </x:is>
      </x:c>
      <x:c r="G22" s="150" t="inlineStr">
        <x:is>
          <x:t xml:space="preserve">tests/components/tree/behavior.spec.ts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46231</x:v>
      </x:c>
      <x:c r="K22" s="150" t="n"/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TR-15</x:t>
        </x:is>
      </x:c>
      <x:c r="B23" s="149" t="inlineStr">
        <x:is>
          <x:t xml:space="preserve">RTL</x:t>
        </x:is>
      </x:c>
      <x:c r="C23" s="149" t="inlineStr">
        <x:is>
          <x:t xml:space="preserve">All parts</x:t>
        </x:is>
      </x:c>
      <x:c r="D23" s="150" t="inlineStr">
        <x:is>
          <x:t xml:space="preserve">Logical indentation, hierarchy guides, trailing metadata, and closed chevrons mirror while expanded chevrons remain downward.</x:t>
        </x:is>
      </x:c>
      <x:c r="E23" s="149" t="inlineStr">
        <x:is>
          <x:t xml:space="preserve">package</x:t>
        </x:is>
      </x:c>
      <x:c r="F23" s="149" t="inlineStr">
        <x:is>
          <x:t xml:space="preserve">visual</x:t>
        </x:is>
      </x:c>
      <x:c r="G23" s="150" t="inlineStr">
        <x:is>
          <x:t xml:space="preserve">tests/components/tree/visual.spec.ts</x:t>
        </x:is>
      </x:c>
      <x:c r="H23" s="149" t="inlineStr">
        <x:is>
          <x:t xml:space="preserve">implemented</x:t>
        </x:is>
      </x:c>
      <x:c r="I23" s="149" t="inlineStr">
        <x:is>
          <x:t xml:space="preserve">yes</x:t>
        </x:is>
      </x:c>
      <x:c r="J23" s="151" t="n">
        <x:v>46231</x:v>
      </x:c>
      <x:c r="K23" s="150" t="inlineStr">
        <x:is>
          <x:t xml:space="preserve">Owner visual review not yet recorded.</x:t>
        </x:is>
      </x:c>
      <x:c r="L23" s="149" t="n">
        <x:v>1</x:v>
      </x:c>
      <x:c r="M23" s="149" t="n">
        <x:f>IF(OR(AND(I23="yes",H23="verified"),AND(I23="no",OR(H23="tested",H23="verified")),AND(H23="not applicable",K23&lt;&gt;"")),1,0)</x:f>
        <x:v>0</x:v>
      </x:c>
    </x:row>
    <x:row r="24" s="127" customFormat="1" ht="54" customHeight="1">
      <x:c r="A24" s="149" t="inlineStr">
        <x:is>
          <x:t xml:space="preserve">TR-16</x:t>
        </x:is>
      </x:c>
      <x:c r="B24" s="149" t="inlineStr">
        <x:is>
          <x:t xml:space="preserve">Appearance</x:t>
        </x:is>
      </x:c>
      <x:c r="C24" s="149" t="inlineStr">
        <x:is>
          <x:t xml:space="preserve">All parts</x:t>
        </x:is>
      </x:c>
      <x:c r="D24" s="150" t="inlineStr">
        <x:is>
          <x:t xml:space="preserve">Light, dark, and forced-color surfaces preserve hierarchy boundaries, focus, selection, and disabled distinctions.</x:t>
        </x:is>
      </x:c>
      <x:c r="E24" s="149" t="inlineStr">
        <x:is>
          <x:t xml:space="preserve">package</x:t>
        </x:is>
      </x:c>
      <x:c r="F24" s="149" t="inlineStr">
        <x:is>
          <x:t xml:space="preserve">visual</x:t>
        </x:is>
      </x:c>
      <x:c r="G24" s="150" t="inlineStr">
        <x:is>
          <x:t xml:space="preserve">tests/components/tree/visual.spec.ts</x:t>
        </x:is>
      </x:c>
      <x:c r="H24" s="149" t="inlineStr">
        <x:is>
          <x:t xml:space="preserve">implemented</x:t>
        </x:is>
      </x:c>
      <x:c r="I24" s="149" t="inlineStr">
        <x:is>
          <x:t xml:space="preserve">yes</x:t>
        </x:is>
      </x:c>
      <x:c r="J24" s="151" t="n">
        <x:v>46231</x:v>
      </x:c>
      <x:c r="K24" s="150" t="inlineStr">
        <x:is>
          <x:t xml:space="preserve">Owner visual review not yet recorded.</x:t>
        </x:is>
      </x:c>
      <x:c r="L24" s="149" t="n">
        <x:v>1</x:v>
      </x:c>
      <x:c r="M24" s="149" t="n">
        <x:f>IF(OR(AND(I24="yes",H24="verified"),AND(I24="no",OR(H24="tested",H24="verified")),AND(H24="not applicable",K24&lt;&gt;"")),1,0)</x:f>
        <x:v>0</x:v>
      </x:c>
    </x:row>
    <x:row r="25" s="127" customFormat="1" ht="54" customHeight="1">
      <x:c r="A25" s="149" t="inlineStr">
        <x:is>
          <x:t xml:space="preserve">TR-17</x:t>
        </x:is>
      </x:c>
      <x:c r="B25" s="149" t="inlineStr">
        <x:is>
          <x:t xml:space="preserve">Visual</x:t>
        </x:is>
      </x:c>
      <x:c r="C25" s="149" t="inlineStr">
        <x:is>
          <x:t xml:space="preserve">All parts</x:t>
        </x:is>
      </x:c>
      <x:c r="D25" s="150" t="inlineStr">
        <x:is>
          <x:t xml:space="preserve">Baselines cover overview, variants, sizing and guides, selection, dark customization, responsive mobile, RTL mobile, and forced colors.</x:t>
        </x:is>
      </x:c>
      <x:c r="E25" s="149" t="inlineStr">
        <x:is>
          <x:t xml:space="preserve">package</x:t>
        </x:is>
      </x:c>
      <x:c r="F25" s="149" t="inlineStr">
        <x:is>
          <x:t xml:space="preserve">visual</x:t>
        </x:is>
      </x:c>
      <x:c r="G25" s="150" t="inlineStr">
        <x:is>
          <x:t xml:space="preserve">tests/components/tree/visual.spec.ts</x:t>
        </x:is>
      </x:c>
      <x:c r="H25" s="149" t="inlineStr">
        <x:is>
          <x:t xml:space="preserve">implemented</x:t>
        </x:is>
      </x:c>
      <x:c r="I25" s="149" t="inlineStr">
        <x:is>
          <x:t xml:space="preserve">yes</x:t>
        </x:is>
      </x:c>
      <x:c r="J25" s="151" t="n">
        <x:v>46231</x:v>
      </x:c>
      <x:c r="K25" s="150" t="inlineStr">
        <x:is>
          <x:t xml:space="preserve">Owner baseline review not yet recorded.</x:t>
        </x:is>
      </x:c>
      <x:c r="L25" s="149" t="n">
        <x:v>1</x:v>
      </x:c>
      <x:c r="M25" s="149" t="n">
        <x:f>IF(OR(AND(I25="yes",H25="verified"),AND(I25="no",OR(H25="tested",H25="verified")),AND(H25="not applicable",K25&lt;&gt;"")),1,0)</x:f>
        <x:v>0</x:v>
      </x:c>
    </x:row>
    <x:row r="26" s="127" customFormat="1" ht="54" customHeight="1">
      <x:c r="A26" s="149" t="inlineStr">
        <x:is>
          <x:t xml:space="preserve">TR-18</x:t>
        </x:is>
      </x:c>
      <x:c r="B26" s="149" t="inlineStr">
        <x:is>
          <x:t xml:space="preserve">Customization</x:t>
        </x:is>
      </x:c>
      <x:c r="C26" s="149" t="inlineStr">
        <x:is>
          <x:t xml:space="preserve">All parts</x:t>
        </x:is>
      </x:c>
      <x:c r="D26" s="150" t="inlineStr">
        <x:is>
          <x:t xml:space="preserve">Stable classes, slots, public variables, native props, custom row content, and custom decorative indicator content preserve behavior.</x:t>
        </x:is>
      </x:c>
      <x:c r="E26" s="149" t="inlineStr">
        <x:is>
          <x:t xml:space="preserve">package</x:t>
        </x:is>
      </x:c>
      <x:c r="F26" s="149" t="inlineStr">
        <x:is>
          <x:t xml:space="preserve">component</x:t>
        </x:is>
      </x:c>
      <x:c r="G26" s="150" t="inlineStr">
        <x:is>
          <x:t xml:space="preserve">../test/components/tree/tree.test.tsx; ../docs/components/tree/README.md</x:t>
        </x:is>
      </x:c>
      <x:c r="H26" s="149" t="inlineStr">
        <x:is>
          <x:t xml:space="preserve">tested</x:t>
        </x:is>
      </x:c>
      <x:c r="I26" s="149" t="inlineStr">
        <x:is>
          <x:t xml:space="preserve">no</x:t>
        </x:is>
      </x:c>
      <x:c r="J26" s="151" t="n">
        <x:v>46231</x:v>
      </x:c>
      <x:c r="K26" s="150" t="n"/>
      <x:c r="L26" s="149" t="n">
        <x:v>1</x:v>
      </x:c>
      <x:c r="M26" s="149" t="n">
        <x:f>IF(OR(AND(I26="yes",H26="verified"),AND(I26="no",OR(H26="tested",H26="verified")),AND(H26="not applicable",K26&lt;&gt;"")),1,0)</x:f>
        <x:v>1</x:v>
      </x:c>
    </x:row>
    <x:row r="27" s="127" customFormat="1" ht="54" customHeight="1">
      <x:c r="A27" s="149" t="inlineStr">
        <x:is>
          <x:t xml:space="preserve">TR-19</x:t>
        </x:is>
      </x:c>
      <x:c r="B27" s="149" t="inlineStr">
        <x:is>
          <x:t xml:space="preserve">Accessibility</x:t>
        </x:is>
      </x:c>
      <x:c r="C27" s="149" t="inlineStr">
        <x:is>
          <x:t xml:space="preserve">All parts</x:t>
        </x:is>
      </x:c>
      <x:c r="D27" s="150" t="inlineStr">
        <x:is>
          <x:t xml:space="preserve">Accessible naming, roles, levels, selection, expansion, disabled state, active descendant, silent decoration, and axe checks pass.</x:t>
        </x:is>
      </x:c>
      <x:c r="E27" s="149" t="inlineStr">
        <x:is>
          <x:t xml:space="preserve">package</x:t>
        </x:is>
      </x:c>
      <x:c r="F27" s="149" t="inlineStr">
        <x:is>
          <x:t xml:space="preserve">axe</x:t>
        </x:is>
      </x:c>
      <x:c r="G27" s="150" t="inlineStr">
        <x:is>
          <x:t xml:space="preserve">tests/components/tree/behavior.spec.ts</x:t>
        </x:is>
      </x:c>
      <x:c r="H27" s="149" t="inlineStr">
        <x:is>
          <x:t xml:space="preserve">tested</x:t>
        </x:is>
      </x:c>
      <x:c r="I27" s="149" t="inlineStr">
        <x:is>
          <x:t xml:space="preserve">no</x:t>
        </x:is>
      </x:c>
      <x:c r="J27" s="151" t="n">
        <x:v>46231</x:v>
      </x:c>
      <x:c r="K27" s="150" t="n"/>
      <x:c r="L27" s="149" t="n">
        <x:v>1</x:v>
      </x:c>
      <x:c r="M27" s="149" t="n">
        <x:f>IF(OR(AND(I27="yes",H27="verified"),AND(I27="no",OR(H27="tested",H27="verified")),AND(H27="not applicable",K27&lt;&gt;"")),1,0)</x:f>
        <x:v>1</x:v>
      </x:c>
    </x:row>
    <x:row r="28" s="127" customFormat="1" ht="54" customHeight="1">
      <x:c r="A28" s="149" t="inlineStr">
        <x:is>
          <x:t xml:space="preserve">TR-20</x:t>
        </x:is>
      </x:c>
      <x:c r="B28" s="149" t="inlineStr">
        <x:is>
          <x:t xml:space="preserve">Playground</x:t>
        </x:is>
      </x:c>
      <x:c r="C28" s="149" t="inlineStr">
        <x:is>
          <x:t xml:space="preserve">All parts</x:t>
        </x:is>
      </x:c>
      <x:c r="D28" s="150" t="str">
        <x:v>Focused source-paired examples cover controllers, forms, checking, rename, lazy loading and fixed-row windowing.</x:v>
      </x:c>
      <x:c r="E28" s="149" t="inlineStr">
        <x:is>
          <x:t xml:space="preserve">package</x:t>
        </x:is>
      </x:c>
      <x:c r="F28" s="149" t="inlineStr">
        <x:is>
          <x:t xml:space="preserve">playground</x:t>
        </x:is>
      </x:c>
      <x:c r="G28" s="150" t="inlineStr">
        <x:is>
          <x:t xml:space="preserve">src/components/tree/TreePage.tsx</x:t>
        </x:is>
      </x:c>
      <x:c r="H28" s="149" t="inlineStr">
        <x:is>
          <x:t xml:space="preserve">tested</x:t>
        </x:is>
      </x:c>
      <x:c r="I28" s="149" t="inlineStr">
        <x:is>
          <x:t xml:space="preserve">no</x:t>
        </x:is>
      </x:c>
      <x:c r="J28" s="151" t="n">
        <x:v>46284</x:v>
      </x:c>
      <x:c r="K28" s="150" t="n"/>
      <x:c r="L28" s="149" t="n">
        <x:v>1</x:v>
      </x:c>
      <x:c r="M28" s="149" t="n">
        <x:f>IF(OR(AND(I28="yes",H28="verified"),AND(I28="no",OR(H28="tested",H28="verified")),AND(H28="not applicable",K28&lt;&gt;"")),1,0)</x:f>
        <x:v>1</x:v>
      </x:c>
    </x:row>
    <x:row r="29" s="127" customFormat="1" ht="54" customHeight="1">
      <x:c r="A29" s="149" t="inlineStr">
        <x:is>
          <x:t xml:space="preserve">TR-21</x:t>
        </x:is>
      </x:c>
      <x:c r="B29" s="149" t="inlineStr">
        <x:is>
          <x:t xml:space="preserve">Documentation</x:t>
        </x:is>
      </x:c>
      <x:c r="C29" s="149" t="inlineStr">
        <x:is>
          <x:t xml:space="preserve">Public guide</x:t>
        </x:is>
      </x:c>
      <x:c r="D29" s="150" t="inlineStr">
        <x:is>
          <x:t xml:space="preserve">Guide documents boundary, anatomy, API, recipes, keyboard, selection, expansion, responsive behavior, accessibility, CSS, and exclusions.</x:t>
        </x:is>
      </x:c>
      <x:c r="E29" s="149" t="inlineStr">
        <x:is>
          <x:t xml:space="preserve">package</x:t>
        </x:is>
      </x:c>
      <x:c r="F29" s="149" t="inlineStr">
        <x:is>
          <x:t xml:space="preserve">documentation</x:t>
        </x:is>
      </x:c>
      <x:c r="G29" s="150" t="inlineStr">
        <x:is>
          <x:t xml:space="preserve">../docs/components/tree/README.md</x:t>
        </x:is>
      </x:c>
      <x:c r="H29" s="149" t="inlineStr">
        <x:is>
          <x:t xml:space="preserve">tested</x:t>
        </x:is>
      </x:c>
      <x:c r="I29" s="149" t="inlineStr">
        <x:is>
          <x:t xml:space="preserve">no</x:t>
        </x:is>
      </x:c>
      <x:c r="J29" s="151" t="n">
        <x:v>46231</x:v>
      </x:c>
      <x:c r="K29" s="150" t="n"/>
      <x:c r="L29" s="149" t="n">
        <x:v>1</x:v>
      </x:c>
      <x:c r="M29" s="149" t="n">
        <x:f>IF(OR(AND(I29="yes",H29="verified"),AND(I29="no",OR(H29="tested",H29="verified")),AND(H29="not applicable",K29&lt;&gt;"")),1,0)</x:f>
        <x:v>1</x:v>
      </x:c>
    </x:row>
    <x:row r="30" s="127" customFormat="1" ht="54" customHeight="1">
      <x:c r="A30" s="149" t="inlineStr">
        <x:is>
          <x:t xml:space="preserve">TR-22</x:t>
        </x:is>
      </x:c>
      <x:c r="B30" s="149" t="inlineStr">
        <x:is>
          <x:t xml:space="preserve">Changelog</x:t>
        </x:is>
      </x:c>
      <x:c r="C30" s="149" t="inlineStr">
        <x:is>
          <x:t xml:space="preserve">Public record</x:t>
        </x:is>
      </x:c>
      <x:c r="D30" s="150" t="inlineStr">
        <x:is>
          <x:t xml:space="preserve">Component and package changelogs describe the release-facing Tree addition.</x:t>
        </x:is>
      </x:c>
      <x:c r="E30" s="149" t="inlineStr">
        <x:is>
          <x:t xml:space="preserve">package</x:t>
        </x:is>
      </x:c>
      <x:c r="F30" s="149" t="inlineStr">
        <x:is>
          <x:t xml:space="preserve">documentation</x:t>
        </x:is>
      </x:c>
      <x:c r="G30" s="150" t="inlineStr">
        <x:is>
          <x:t xml:space="preserve">../docs/components/tree/CHANGELOG.md; ../CHANGELOG.md</x:t>
        </x:is>
      </x:c>
      <x:c r="H30" s="149" t="inlineStr">
        <x:is>
          <x:t xml:space="preserve">tested</x:t>
        </x:is>
      </x:c>
      <x:c r="I30" s="149" t="inlineStr">
        <x:is>
          <x:t xml:space="preserve">no</x:t>
        </x:is>
      </x:c>
      <x:c r="J30" s="151" t="n">
        <x:v>46231</x:v>
      </x:c>
      <x:c r="K30" s="150" t="n"/>
      <x:c r="L30" s="149" t="n">
        <x:v>1</x:v>
      </x:c>
      <x:c r="M30" s="149" t="n">
        <x:f>IF(OR(AND(I30="yes",H30="verified"),AND(I30="no",OR(H30="tested",H30="verified")),AND(H30="not applicable",K30&lt;&gt;"")),1,0)</x:f>
        <x:v>1</x:v>
      </x:c>
    </x:row>
    <x:row r="31" s="127" customFormat="1" ht="54" customHeight="1">
      <x:c r="A31" s="149" t="inlineStr">
        <x:is>
          <x:t xml:space="preserve">TR-23</x:t>
        </x:is>
      </x:c>
      <x:c r="B31" s="149" t="inlineStr">
        <x:is>
          <x:t xml:space="preserve">Consumer</x:t>
        </x:is>
      </x:c>
      <x:c r="C31" s="149" t="inlineStr">
        <x:is>
          <x:t xml:space="preserve">All parts</x:t>
        </x:is>
      </x:c>
      <x:c r="D31" s="150" t="inlineStr">
        <x:is>
          <x:t xml:space="preserve">Packed Consumer composes Tree with selection, expansion, guides, metadata Badge, and public subpath imports.</x:t>
        </x:is>
      </x:c>
      <x:c r="E31" s="149" t="inlineStr">
        <x:is>
          <x:t xml:space="preserve">consumer</x:t>
        </x:is>
      </x:c>
      <x:c r="F31" s="149" t="inlineStr">
        <x:is>
          <x:t xml:space="preserve">consumer</x:t>
        </x:is>
      </x:c>
      <x:c r="G31" s="150" t="str">
        <x:v>../scripts/verify-tree-family-consumers.mjs</x:v>
      </x:c>
      <x:c r="H31" s="149" t="inlineStr">
        <x:is>
          <x:t xml:space="preserve">tested</x:t>
        </x:is>
      </x:c>
      <x:c r="I31" s="149" t="inlineStr">
        <x:is>
          <x:t xml:space="preserve">no</x:t>
        </x:is>
      </x:c>
      <x:c r="J31" s="151" t="n">
        <x:v>46284</x:v>
      </x:c>
      <x:c r="K31" s="150" t="str">
        <x:v>Packed React 18/19 types, hydration, refs, focus and cleanup passed. Broader Consumer remains separate.</x:v>
      </x:c>
      <x:c r="L31" s="149" t="n">
        <x:v>1</x:v>
      </x:c>
      <x:c r="M31" s="149" t="n">
        <x:f>IF(OR(AND(I31="yes",H31="verified"),AND(I31="no",OR(H31="tested",H31="verified")),AND(H31="not applicable",K31&lt;&gt;"")),1,0)</x:f>
        <x:v>1</x:v>
      </x:c>
    </x:row>
    <x:row r="32" s="127" customFormat="1" ht="54" customHeight="1">
      <x:c r="A32" s="149" t="inlineStr">
        <x:is>
          <x:t xml:space="preserve">TR-24</x:t>
        </x:is>
      </x:c>
      <x:c r="B32" s="149" t="inlineStr">
        <x:is>
          <x:t xml:space="preserve">Manual</x:t>
        </x:is>
      </x:c>
      <x:c r="C32" s="149" t="inlineStr">
        <x:is>
          <x:t xml:space="preserve">All parts</x:t>
        </x:is>
      </x:c>
      <x:c r="D32" s="150" t="inlineStr">
        <x:is>
          <x:t xml:space="preserve">Owner reviews keyboard, screen reader, zoom, touch, RTL, appearance, preferences, content stress, and component boundaries.</x:t>
        </x:is>
      </x:c>
      <x:c r="E32" s="149" t="inlineStr">
        <x:is>
          <x:t xml:space="preserve">package</x:t>
        </x:is>
      </x:c>
      <x:c r="F32" s="149" t="inlineStr">
        <x:is>
          <x:t xml:space="preserve">manual</x:t>
        </x:is>
      </x:c>
      <x:c r="G32" s="150" t="inlineStr">
        <x:is>
          <x:t xml:space="preserve">manual-tests/tree.md</x:t>
        </x:is>
      </x:c>
      <x:c r="H32" s="149" t="inlineStr">
        <x:is>
          <x:t xml:space="preserve">not started</x:t>
        </x:is>
      </x:c>
      <x:c r="I32" s="149" t="inlineStr">
        <x:is>
          <x:t xml:space="preserve">yes</x:t>
        </x:is>
      </x:c>
      <x:c r="J32" s="151" t="n">
        <x:v>46231</x:v>
      </x:c>
      <x:c r="K32" s="150" t="inlineStr">
        <x:is>
          <x:t xml:space="preserve">Human run intentionally unclaimed.</x:t>
        </x:is>
      </x:c>
      <x:c r="L32" s="149" t="n">
        <x:v>1</x:v>
      </x:c>
      <x:c r="M32" s="149" t="n">
        <x:f>IF(OR(AND(I32="yes",H32="verified"),AND(I32="no",OR(H32="tested",H32="verified")),AND(H32="not applicable",K32&lt;&gt;"")),1,0)</x:f>
        <x:v>0</x:v>
      </x:c>
    </x:row>
    <x:row r="33" s="127" customFormat="1" ht="54" customHeight="1">
      <x:c r="A33" s="149" t="inlineStr">
        <x:is>
          <x:t xml:space="preserve">TR-25</x:t>
        </x:is>
      </x:c>
      <x:c r="B33" s="149" t="inlineStr">
        <x:is>
          <x:t xml:space="preserve">Package</x:t>
        </x:is>
      </x:c>
      <x:c r="C33" s="149" t="inlineStr">
        <x:is>
          <x:t xml:space="preserve">Artifact</x:t>
        </x:is>
      </x:c>
      <x:c r="D33" s="150" t="inlineStr">
        <x:is>
          <x:t xml:space="preserve">Build, declarations, exports, SSR, CSS, docs, tarball, consumers, browser matrix, and CI pass.</x:t>
        </x:is>
      </x:c>
      <x:c r="E33" s="149" t="inlineStr">
        <x:is>
          <x:t xml:space="preserve">package</x:t>
        </x:is>
      </x:c>
      <x:c r="F33" s="149" t="inlineStr">
        <x:is>
          <x:t xml:space="preserve">package</x:t>
        </x:is>
      </x:c>
      <x:c r="G33" s="150" t="inlineStr">
        <x:is>
          <x:t xml:space="preserve">../test/package/package.test.mjs; ../scripts/verify-package.mjs</x:t>
        </x:is>
      </x:c>
      <x:c r="H33" s="149" t="str">
        <x:v>implemented</x:v>
      </x:c>
      <x:c r="I33" s="149" t="inlineStr">
        <x:is>
          <x:t xml:space="preserve">no</x:t>
        </x:is>
      </x:c>
      <x:c r="J33" s="151" t="n">
        <x:v>46284</x:v>
      </x:c>
      <x:c r="K33" s="150" t="str">
        <x:v>Focused checks passed; broad package, CI and full manual qualification remain open.</x:v>
      </x:c>
      <x:c r="L33" s="149" t="n">
        <x:v>1</x:v>
      </x:c>
      <x:c r="M33" s="149" t="n">
        <x:f>IF(OR(AND(I33="yes",H33="verified"),AND(I33="no",OR(H33="tested",H33="verified")),AND(H33="not applicable",K33&lt;&gt;"")),1,0)</x:f>
        <x:v>0</x:v>
      </x:c>
    </x:row>
    <x:row r="34" s="127" customFormat="1" ht="54" customHeight="1">
      <x:c r="A34" s="149" t="inlineStr">
        <x:is>
          <x:t xml:space="preserve">TR-26</x:t>
        </x:is>
      </x:c>
      <x:c r="B34" s="149" t="inlineStr">
        <x:is>
          <x:t xml:space="preserve">Boundary</x:t>
        </x:is>
      </x:c>
      <x:c r="C34" s="149" t="inlineStr">
        <x:is>
          <x:t xml:space="preserve">All parts</x:t>
        </x:is>
      </x:c>
      <x:c r="D34" s="150" t="str">
        <x:v>Applications own data, routing, persistence, drag/drop and virtual adapters. Atom owns checking, loading lifecycle and interactive focus.</x:v>
      </x:c>
      <x:c r="E34" s="149" t="inlineStr">
        <x:is>
          <x:t xml:space="preserve">package</x:t>
        </x:is>
      </x:c>
      <x:c r="F34" s="149" t="inlineStr">
        <x:is>
          <x:t xml:space="preserve">documentation</x:t>
        </x:is>
      </x:c>
      <x:c r="G34" s="150" t="inlineStr">
        <x:is>
          <x:t xml:space="preserve">../docs/components/tree/README.md</x:t>
        </x:is>
      </x:c>
      <x:c r="H34" s="149" t="inlineStr">
        <x:is>
          <x:t xml:space="preserve">tested</x:t>
        </x:is>
      </x:c>
      <x:c r="I34" s="149" t="inlineStr">
        <x:is>
          <x:t xml:space="preserve">no</x:t>
        </x:is>
      </x:c>
      <x:c r="J34" s="151" t="n">
        <x:v>46284</x:v>
      </x:c>
      <x:c r="K34" s="150" t="n"/>
      <x:c r="L34" s="149" t="n">
        <x:v>1</x:v>
      </x:c>
      <x:c r="M34" s="149" t="n">
        <x:f>IF(OR(AND(I34="yes",H34="verified"),AND(I34="no",OR(H34="tested",H34="verified")),AND(H34="not applicable",K34&lt;&gt;"")),1,0)</x:f>
        <x:v>1</x:v>
      </x:c>
    </x:row>
    <x:row r="35" s="127" customFormat="1" ht="54" customHeight="1">
      <x:c r="A35" s="149" t="n"/>
      <x:c r="B35" s="149" t="n"/>
      <x:c r="C35" s="149" t="n"/>
      <x:c r="D35" s="150" t="n"/>
      <x:c r="E35" s="149" t="n"/>
      <x:c r="F35" s="149" t="n"/>
      <x:c r="G35" s="150" t="n"/>
      <x:c r="H35" s="149" t="n"/>
      <x:c r="I35" s="149" t="n"/>
      <x:c r="J35" s="151" t="n"/>
      <x:c r="K35" s="150" t="n"/>
      <x:c r="L35" s="149" t="n"/>
      <x:c r="M35" s="149" t="n"/>
    </x:row>
    <x:row r="36" s="127" customFormat="1" ht="54" customHeight="1">
      <x:c r="A36" s="149" t="n"/>
      <x:c r="B36" s="149" t="n"/>
      <x:c r="C36" s="149" t="n"/>
      <x:c r="D36" s="150" t="n"/>
      <x:c r="E36" s="149" t="n"/>
      <x:c r="F36" s="149" t="n"/>
      <x:c r="G36" s="150" t="n"/>
      <x:c r="H36" s="149" t="n"/>
      <x:c r="I36" s="149" t="n"/>
      <x:c r="J36" s="151" t="n"/>
      <x:c r="K36" s="150" t="n"/>
      <x:c r="L36" s="149" t="n"/>
      <x:c r="M36" s="149" t="n"/>
    </x:row>
    <x:row r="37" s="127" customFormat="1" ht="54" customHeight="1">
      <x:c r="A37" s="149" t="n"/>
      <x:c r="B37" s="149" t="n"/>
      <x:c r="C37" s="149" t="n"/>
      <x:c r="D37" s="150" t="n"/>
      <x:c r="E37" s="149" t="n"/>
      <x:c r="F37" s="149" t="n"/>
      <x:c r="G37" s="150" t="n"/>
      <x:c r="H37" s="149" t="n"/>
      <x:c r="I37" s="149" t="n"/>
      <x:c r="J37" s="151" t="n"/>
      <x:c r="K37" s="150" t="n"/>
      <x:c r="L37" s="149" t="n"/>
      <x:c r="M37" s="149" t="n"/>
    </x:row>
    <x:row r="38" s="127" customFormat="1" ht="54" customHeight="1">
      <x:c r="A38" s="149" t="n"/>
      <x:c r="B38" s="149" t="n"/>
      <x:c r="C38" s="149" t="n"/>
      <x:c r="D38" s="150" t="n"/>
      <x:c r="E38" s="149" t="n"/>
      <x:c r="F38" s="149" t="n"/>
      <x:c r="G38" s="150" t="n"/>
      <x:c r="H38" s="149" t="n"/>
      <x:c r="I38" s="149" t="n"/>
      <x:c r="J38" s="151" t="n"/>
      <x:c r="K38" s="150" t="n"/>
      <x:c r="L38" s="149" t="n"/>
      <x:c r="M38" s="149" t="n"/>
    </x:row>
    <x:row r="39" s="127" customFormat="1" ht="54" customHeight="1">
      <x:c r="A39" s="149" t="n"/>
      <x:c r="B39" s="149" t="n"/>
      <x:c r="C39" s="149" t="n"/>
      <x:c r="D39" s="150" t="n"/>
      <x:c r="E39" s="149" t="n"/>
      <x:c r="F39" s="149" t="n"/>
      <x:c r="G39" s="150" t="n"/>
      <x:c r="H39" s="149" t="n"/>
      <x:c r="I39" s="149" t="n"/>
      <x:c r="J39" s="151" t="n"/>
      <x:c r="K39" s="150" t="n"/>
      <x:c r="L39" s="149" t="n"/>
      <x:c r="M39" s="149" t="n"/>
    </x:row>
  </x:sheetData>
  <x:mergeCells>
    <x:mergeCell ref="A2:M2"/>
    <x:mergeCell ref="A1:M1"/>
  </x:mergeCells>
  <x:pageMargins left="0.7" right="0.7" top="0.75" bottom="0.75" header="0.3" footer="0.3"/>
</x:worksheet>
</file>

<file path=xl/worksheets/sheet63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Feed Evidence</x:t>
        </x:is>
      </x:c>
    </x:row>
    <x:row r="2" s="127" customFormat="1" ht="27.75" customHeight="1">
      <x:c r="A2" s="129" t="inlineStr">
        <x:is>
          <x:t xml:space="preserve">Assertion-level Atom ownership, direct anatomy, dynamic positions, keyboard focus, recipes, accessibility, package, Consumer, playground, visual, and manual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COUNTA(A9:A39)</x:f>
        <x:v>31</x:v>
      </x:c>
      <x:c r="D4" s="130" t="inlineStr">
        <x:is>
          <x:t xml:space="preserve">Resolved</x:t>
        </x:is>
      </x:c>
      <x:c r="E4" s="131" t="n">
        <x:f>SUM(M9:M39)</x:f>
        <x:v>28</x:v>
      </x:c>
      <x:c r="G4" s="130" t="inlineStr">
        <x:is>
          <x:t xml:space="preserve">Completion</x:t>
        </x:is>
      </x:c>
      <x:c r="H4" s="132" t="n">
        <x:f>IF(B4=0,0,E4/B4)</x:f>
        <x:v>0.9032258064516129</x:v>
      </x:c>
      <x:c r="J4" s="130" t="inlineStr">
        <x:is>
          <x:t xml:space="preserve">Package gate</x:t>
        </x:is>
      </x:c>
      <x:c r="K4" s="131" t="str">
        <x:f>IF(COUNTIFS(E9:E39,"package",M9:M39,0)&gt;0,"open","complete")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IF(COUNTIFS(I9:I39,"yes",M9:M39,0)&gt;0,"open","complete")</x:f>
        <x:v>open</x:v>
      </x:c>
      <x:c r="D5" s="130" t="inlineStr">
        <x:is>
          <x:t xml:space="preserve">Consumer gate</x:t>
        </x:is>
      </x:c>
      <x:c r="E5" s="131" t="str">
        <x:f>IF(COUNTIFS(E9:E39,"consumer",M9:M39,0)&gt;0,"open","complete")</x:f>
        <x:v>open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FD-01</x:t>
        </x:is>
      </x:c>
      <x:c r="B9" s="149" t="inlineStr">
        <x:is>
          <x:t xml:space="preserve">Atom ownership</x:t>
        </x:is>
      </x:c>
      <x:c r="C9" s="149" t="inlineStr">
        <x:is>
          <x:t xml:space="preserve">Root / Item</x:t>
        </x:is>
      </x:c>
      <x:c r="D9" s="150" t="str">
        <x:v>Brick adapts a digest-locked local Atom 0.26.1 Feed. Atom owns semantics, logical positions, eligible article navigation and outside focus.</x:v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str">
        <x:v>../src/components/feed/Feed.tsx; @flowstack-ui/atom 0.26.1 local candidate</x:v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46284</x:v>
      </x:c>
      <x:c r="K9" s="150" t="str">
        <x:v>Unpublished candidate installed with manifest and lockfile preservation; archive digest recorded in implementation evidence.</x:v>
      </x:c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FD-02</x:t>
        </x:is>
      </x:c>
      <x:c r="B10" s="149" t="inlineStr">
        <x:is>
          <x:t xml:space="preserve">API</x:t>
        </x:is>
      </x:c>
      <x:c r="C10" s="149" t="inlineStr">
        <x:is>
          <x:t xml:space="preserve">Root / Item</x:t>
        </x:is>
      </x:c>
      <x:c r="D10" s="150" t="str">
        <x:v>Feed exposes Root, Item and a styling-only PropsProvider plus named exports. No data engine, selection or article-content schema.</x:v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str">
        <x:v>../test/components/feed/feed.test.tsx; ../docs/components/feed/README.md</x:v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46284</x:v>
      </x:c>
      <x:c r="K10" s="150" t="str">
        <x:v>5 Brick unit tests and public type checks pass, including provider precedence and sparse responsive maps.</x:v>
      </x:c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FD-03</x:t>
        </x:is>
      </x:c>
      <x:c r="B11" s="149" t="inlineStr">
        <x:is>
          <x:t xml:space="preserve">Anatomy</x:t>
        </x:is>
      </x:c>
      <x:c r="C11" s="149" t="inlineStr">
        <x:is>
          <x:t xml:space="preserve">Root / Item</x:t>
        </x:is>
      </x:c>
      <x:c r="D11" s="150" t="inlineStr">
        <x:is>
          <x:t xml:space="preserve">Root directly contains focusable Item article hosts without a Brick wrapper, cloned child, or invented internal content element.</x:t>
        </x:is>
      </x:c>
      <x:c r="E11" s="149" t="inlineStr">
        <x:is>
          <x:t xml:space="preserve">package</x:t>
        </x:is>
      </x:c>
      <x:c r="F11" s="149" t="inlineStr">
        <x:is>
          <x:t xml:space="preserve">component</x:t>
        </x:is>
      </x:c>
      <x:c r="G11" s="150" t="str">
        <x:v>../test/components/feed/feed.test.tsx; tests/components/feed/behavior.spec.ts</x:v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46284</x:v>
      </x:c>
      <x:c r="K11" s="150" t="inlineStr">
        <x:is>
          <x:t xml:space="preserve">Direct-child and rendered anatomy assertions pass.</x:t>
        </x:is>
      </x:c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FD-04</x:t>
        </x:is>
      </x:c>
      <x:c r="B12" s="149" t="inlineStr">
        <x:is>
          <x:t xml:space="preserve">Root semantics</x:t>
        </x:is>
      </x:c>
      <x:c r="C12" s="149" t="inlineStr">
        <x:is>
          <x:t xml:space="preserve">Root</x:t>
        </x:is>
      </x:c>
      <x:c r="D12" s="150" t="inlineStr">
        <x:is>
          <x:t xml:space="preserve">The native div exposes role feed, accessible naming, aria-busy only while busy, and an optional known or unknown set size without inventing live-region behavior.</x:t>
        </x:is>
      </x:c>
      <x:c r="E12" s="149" t="inlineStr">
        <x:is>
          <x:t xml:space="preserve">browser</x:t>
        </x:is>
      </x:c>
      <x:c r="F12" s="149" t="inlineStr">
        <x:is>
          <x:t xml:space="preserve">browser</x:t>
        </x:is>
      </x:c>
      <x:c r="G12" s="150" t="str">
        <x:v>tests/components/feed/behavior.spec.ts; @flowstack-ui/atom 0.26.1 local candidate behavior suite</x:v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46284</x:v>
      </x:c>
      <x:c r="K12" s="150" t="inlineStr">
        <x:is>
          <x:t xml:space="preserve">Semantic and dynamic metadata assertions pass in five projects.</x:t>
        </x:is>
      </x:c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FD-05</x:t>
        </x:is>
      </x:c>
      <x:c r="B13" s="149" t="inlineStr">
        <x:is>
          <x:t xml:space="preserve">Item semantics</x:t>
        </x:is>
      </x:c>
      <x:c r="C13" s="149" t="inlineStr">
        <x:is>
          <x:t xml:space="preserve">Item</x:t>
        </x:is>
      </x:c>
      <x:c r="D13" s="150" t="inlineStr">
        <x:is>
          <x:t xml:space="preserve">Each direct article is programmatically named, receives a one-based position and optional known set size, remains focusable, and preserves nested interactive descendants.</x:t>
        </x:is>
      </x:c>
      <x:c r="E13" s="149" t="inlineStr">
        <x:is>
          <x:t xml:space="preserve">browser</x:t>
        </x:is>
      </x:c>
      <x:c r="F13" s="149" t="inlineStr">
        <x:is>
          <x:t xml:space="preserve">browser</x:t>
        </x:is>
      </x:c>
      <x:c r="G13" s="150" t="str">
        <x:v>tests/components/feed/behavior.spec.ts; @flowstack-ui/atom 0.26.1 local candidate behavior suite</x:v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46284</x:v>
      </x:c>
      <x:c r="K13" s="150" t="inlineStr">
        <x:is>
          <x:t xml:space="preserve">Article relationships and descendant-interaction assertions pass.</x:t>
        </x:is>
      </x:c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FD-06</x:t>
        </x:is>
      </x:c>
      <x:c r="B14" s="149" t="inlineStr">
        <x:is>
          <x:t xml:space="preserve">Dynamic positions</x:t>
        </x:is>
      </x:c>
      <x:c r="C14" s="149" t="inlineStr">
        <x:is>
          <x:t xml:space="preserve">Root / Item</x:t>
        </x:is>
      </x:c>
      <x:c r="D14" s="150" t="inlineStr">
        <x:is>
          <x:t xml:space="preserve">Application-owned prepend, append, remove, busy, known-size, and unknown-size updates keep every surviving Item position and Root size coherent.</x:t>
        </x:is>
      </x:c>
      <x:c r="E14" s="149" t="inlineStr">
        <x:is>
          <x:t xml:space="preserve">browser</x:t>
        </x:is>
      </x:c>
      <x:c r="F14" s="149" t="inlineStr">
        <x:is>
          <x:t xml:space="preserve">browser</x:t>
        </x:is>
      </x:c>
      <x:c r="G14" s="150" t="str">
        <x:v>tests/components/feed/behavior.spec.ts</x:v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46284</x:v>
      </x:c>
      <x:c r="K14" s="150" t="inlineStr">
        <x:is>
          <x:t xml:space="preserve">Mutation and metadata assertions pass in all configured projects.</x:t>
        </x:is>
      </x:c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FD-07</x:t>
        </x:is>
      </x:c>
      <x:c r="B15" s="149" t="inlineStr">
        <x:is>
          <x:t xml:space="preserve">Keyboard</x:t>
        </x:is>
      </x:c>
      <x:c r="C15" s="149" t="inlineStr">
        <x:is>
          <x:t xml:space="preserve">Root / Item</x:t>
        </x:is>
      </x:c>
      <x:c r="D15" s="150" t="str">
        <x:v>Page keys navigate eligible direct articles, skip hidden/inert targets, and preserve native editor and nested-feed ownership.</x:v>
      </x:c>
      <x:c r="E15" s="149" t="inlineStr">
        <x:is>
          <x:t xml:space="preserve">browser</x:t>
        </x:is>
      </x:c>
      <x:c r="F15" s="149" t="inlineStr">
        <x:is>
          <x:t xml:space="preserve">browser</x:t>
        </x:is>
      </x:c>
      <x:c r="G15" s="150" t="str">
        <x:v>tests/components/feed/behavior.spec.ts; @flowstack-ui/atom 0.26.1 local candidate behavior suite</x:v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46284</x:v>
      </x:c>
      <x:c r="K15" s="150" t="str">
        <x:v>Regression passes in all five browser profiles; focused Atom tests cover hidden exits and negative tabIndex.</x:v>
      </x:c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FD-08</x:t>
        </x:is>
      </x:c>
      <x:c r="B16" s="149" t="inlineStr">
        <x:is>
          <x:t xml:space="preserve">Focus boundary</x:t>
        </x:is>
      </x:c>
      <x:c r="C16" s="149" t="inlineStr">
        <x:is>
          <x:t xml:space="preserve">Root / Item</x:t>
        </x:is>
      </x:c>
      <x:c r="D16" s="150" t="str">
        <x:v>Control/Command Home and End move to eligible outside controls. Page keys remain clamped at the first/last article.</x:v>
      </x:c>
      <x:c r="E16" s="149" t="inlineStr">
        <x:is>
          <x:t xml:space="preserve">browser</x:t>
        </x:is>
      </x:c>
      <x:c r="F16" s="149" t="inlineStr">
        <x:is>
          <x:t xml:space="preserve">browser</x:t>
        </x:is>
      </x:c>
      <x:c r="G16" s="150" t="str">
        <x:v>tests/components/feed/behavior.spec.ts; @flowstack-ui/atom 0.26.1 local candidate behavior suite</x:v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n">
        <x:v>46284</x:v>
      </x:c>
      <x:c r="K16" s="150" t="str">
        <x:v>Outside handoff and unavailable target eligibility verified; native editors retain their own shortcuts.</x:v>
      </x:c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FD-09</x:t>
        </x:is>
      </x:c>
      <x:c r="B17" s="149" t="inlineStr">
        <x:is>
          <x:t xml:space="preserve">Reveal</x:t>
        </x:is>
      </x:c>
      <x:c r="C17" s="149" t="inlineStr">
        <x:is>
          <x:t xml:space="preserve">Item</x:t>
        </x:is>
      </x:c>
      <x:c r="D17" s="150" t="inlineStr">
        <x:is>
          <x:t xml:space="preserve">Keyboard movement focuses the destination Item and scrolls it into the nearest visible position inside a bounded Scroll Area.</x:t>
        </x:is>
      </x:c>
      <x:c r="E17" s="149" t="inlineStr">
        <x:is>
          <x:t xml:space="preserve">browser</x:t>
        </x:is>
      </x:c>
      <x:c r="F17" s="149" t="inlineStr">
        <x:is>
          <x:t xml:space="preserve">browser</x:t>
        </x:is>
      </x:c>
      <x:c r="G17" s="150" t="str">
        <x:v>tests/components/feed/behavior.spec.ts; @flowstack-ui/atom 0.26.1 local candidate behavior suite</x:v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n">
        <x:v>46284</x:v>
      </x:c>
      <x:c r="K17" s="150" t="inlineStr">
        <x:is>
          <x:t xml:space="preserve">Offscreen destination reveal passes in Chromium, Firefox, and WebKit.</x:t>
        </x:is>
      </x:c>
      <x:c r="L17" s="149" t="n">
        <x:v>1</x:v>
      </x:c>
      <x:c r="M17" s="149" t="n">
        <x:f>IF(OR(AND(I17="yes",H17="verified"),AND(I17="no",OR(H17="tested",H17="verified")),AND(H17="not applicable",K17&lt;&gt;"")),1,0)</x:f>
        <x:v>1</x:v>
      </x:c>
    </x:row>
    <x:row r="18" s="127" customFormat="1" ht="54" customHeight="1">
      <x:c r="A18" s="149" t="inlineStr">
        <x:is>
          <x:t xml:space="preserve">FD-10</x:t>
        </x:is>
      </x:c>
      <x:c r="B18" s="149" t="inlineStr">
        <x:is>
          <x:t xml:space="preserve">Event ownership</x:t>
        </x:is>
      </x:c>
      <x:c r="C18" s="149" t="inlineStr">
        <x:is>
          <x:t xml:space="preserve">Root</x:t>
        </x:is>
      </x:c>
      <x:c r="D18" s="150" t="inlineStr">
        <x:is>
          <x:t xml:space="preserve">A consumer onKeyDown handler can prevent the Atom Page-key movement before the default focus change occurs.</x:t>
        </x:is>
      </x:c>
      <x:c r="E18" s="149" t="inlineStr">
        <x:is>
          <x:t xml:space="preserve">browser</x:t>
        </x:is>
      </x:c>
      <x:c r="F18" s="149" t="inlineStr">
        <x:is>
          <x:t xml:space="preserve">browser</x:t>
        </x:is>
      </x:c>
      <x:c r="G18" s="150" t="str">
        <x:v>tests/components/feed/behavior.spec.ts; @flowstack-ui/atom 0.26.1 local candidate behavior suite</x:v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n">
        <x:v>46284</x:v>
      </x:c>
      <x:c r="K18" s="150" t="inlineStr">
        <x:is>
          <x:t xml:space="preserve">Consumer prevention assertion passes in five projects.</x:t>
        </x:is>
      </x:c>
      <x:c r="L18" s="149" t="n">
        <x:v>1</x:v>
      </x:c>
      <x:c r="M18" s="149" t="n">
        <x:f>IF(OR(AND(I18="yes",H18="verified"),AND(I18="no",OR(H18="tested",H18="verified")),AND(H18="not applicable",K18&lt;&gt;"")),1,0)</x:f>
        <x:v>1</x:v>
      </x:c>
    </x:row>
    <x:row r="19" s="127" customFormat="1" ht="54" customHeight="1">
      <x:c r="A19" s="149" t="inlineStr">
        <x:is>
          <x:t xml:space="preserve">FD-11</x:t>
        </x:is>
      </x:c>
      <x:c r="B19" s="149" t="inlineStr">
        <x:is>
          <x:t xml:space="preserve">Exports</x:t>
        </x:is>
      </x:c>
      <x:c r="C19" s="149" t="inlineStr">
        <x:is>
          <x:t xml:space="preserve">Feed</x:t>
        </x:is>
      </x:c>
      <x:c r="D19" s="150" t="str">
        <x:v>Root and feed subpath exports include namespace, named Root/Item/PropsProvider and recipe/part/provider types.</x:v>
      </x:c>
      <x:c r="E19" s="149" t="inlineStr">
        <x:is>
          <x:t xml:space="preserve">package</x:t>
        </x:is>
      </x:c>
      <x:c r="F19" s="149" t="inlineStr">
        <x:is>
          <x:t xml:space="preserve">package</x:t>
        </x:is>
      </x:c>
      <x:c r="G19" s="150" t="str">
        <x:v>../scripts/verify-feed-consumers.mjs; ../test/types/components/feed.test.ts</x:v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46284</x:v>
      </x:c>
      <x:c r="K19" s="150" t="str">
        <x:v>Exact packed React 18.3.1 and 19.2.3 exports, types, refs and hydration pass.</x:v>
      </x:c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FD-12</x:t>
        </x:is>
      </x:c>
      <x:c r="B20" s="149" t="inlineStr">
        <x:is>
          <x:t xml:space="preserve">Types</x:t>
        </x:is>
      </x:c>
      <x:c r="C20" s="149" t="inlineStr">
        <x:is>
          <x:t xml:space="preserve">Public surface</x:t>
        </x:is>
      </x:c>
      <x:c r="D20" s="150" t="str">
        <x:v>Native props, refs, composition, responsive closed recipes and styling provider defaults type-check.</x:v>
      </x:c>
      <x:c r="E20" s="149" t="inlineStr">
        <x:is>
          <x:t xml:space="preserve">package</x:t>
        </x:is>
      </x:c>
      <x:c r="F20" s="149" t="inlineStr">
        <x:is>
          <x:t xml:space="preserve">types</x:t>
        </x:is>
      </x:c>
      <x:c r="G20" s="150" t="str">
        <x:v>../test/types/components/feed.test.ts</x:v>
      </x:c>
      <x:c r="H20" s="149" t="inlineStr">
        <x:is>
          <x:t xml:space="preserve">tested</x:t>
        </x:is>
      </x:c>
      <x:c r="I20" s="149" t="inlineStr">
        <x:is>
          <x:t xml:space="preserve">no</x:t>
        </x:is>
      </x:c>
      <x:c r="J20" s="151" t="n">
        <x:v>46284</x:v>
      </x:c>
      <x:c r="K20" s="150" t="inlineStr">
        <x:is>
          <x:t xml:space="preserve">Positive and negative public-surface type checks pass.</x:t>
        </x:is>
      </x:c>
      <x:c r="L20" s="149" t="n">
        <x:v>1</x:v>
      </x:c>
      <x:c r="M20" s="149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49" t="inlineStr">
        <x:is>
          <x:t xml:space="preserve">FD-13</x:t>
        </x:is>
      </x:c>
      <x:c r="B21" s="149" t="inlineStr">
        <x:is>
          <x:t xml:space="preserve">SSR</x:t>
        </x:is>
      </x:c>
      <x:c r="C21" s="149" t="inlineStr">
        <x:is>
          <x:t xml:space="preserve">Root / Item</x:t>
        </x:is>
      </x:c>
      <x:c r="D21" s="150" t="inlineStr">
        <x:is>
          <x:t xml:space="preserve">Feed imports server-safely and emits deterministic direct role feed and article anatomy without browser reads during render.</x:t>
        </x:is>
      </x:c>
      <x:c r="E21" s="149" t="inlineStr">
        <x:is>
          <x:t xml:space="preserve">package</x:t>
        </x:is>
      </x:c>
      <x:c r="F21" s="149" t="inlineStr">
        <x:is>
          <x:t xml:space="preserve">package</x:t>
        </x:is>
      </x:c>
      <x:c r="G21" s="150" t="str">
        <x:v>../test/package/ssr.test.mjs</x:v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46284</x:v>
      </x:c>
      <x:c r="K21" s="150" t="str">
        <x:v>Exact packed React 18/19 SSR, hydration, refs and cleanup pass.</x:v>
      </x:c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FD-14</x:t>
        </x:is>
      </x:c>
      <x:c r="B22" s="149" t="inlineStr">
        <x:is>
          <x:t xml:space="preserve">CSS</x:t>
        </x:is>
      </x:c>
      <x:c r="C22" s="149" t="inlineStr">
        <x:is>
          <x:t xml:space="preserve">Root / Item</x:t>
        </x:is>
      </x:c>
      <x:c r="D22" s="150" t="inlineStr">
        <x:is>
          <x:t xml:space="preserve">Production CSS ships the documented variables, logical layout, divided separators, outline item boundaries, preference fallbacks, and no undeclared global selector.</x:t>
        </x:is>
      </x:c>
      <x:c r="E22" s="149" t="inlineStr">
        <x:is>
          <x:t xml:space="preserve">package</x:t>
        </x:is>
      </x:c>
      <x:c r="F22" s="149" t="inlineStr">
        <x:is>
          <x:t xml:space="preserve">css</x:t>
        </x:is>
      </x:c>
      <x:c r="G22" s="150" t="str">
        <x:v>../src/components/feed/feed.css; ../scripts/build-styles.mjs</x:v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46284</x:v>
      </x:c>
      <x:c r="K22" s="150" t="inlineStr">
        <x:is>
          <x:t xml:space="preserve">Production CSS, prototype, package, and semantic documentation checks pass.</x:t>
        </x:is>
      </x:c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FD-15</x:t>
        </x:is>
      </x:c>
      <x:c r="B23" s="149" t="inlineStr">
        <x:is>
          <x:t xml:space="preserve">Variants</x:t>
        </x:is>
      </x:c>
      <x:c r="C23" s="149" t="inlineStr">
        <x:is>
          <x:t xml:space="preserve">Root / Item</x:t>
        </x:is>
      </x:c>
      <x:c r="D23" s="150" t="inlineStr">
        <x:is>
          <x:t xml:space="preserve">Plain, divided, and outline recipes change only article separation and neutral surface treatment; each outline Item owns its rounded background and border.</x:t>
        </x:is>
      </x:c>
      <x:c r="E23" s="149" t="inlineStr">
        <x:is>
          <x:t xml:space="preserve">browser</x:t>
        </x:is>
      </x:c>
      <x:c r="F23" s="149" t="inlineStr">
        <x:is>
          <x:t xml:space="preserve">visual</x:t>
        </x:is>
      </x:c>
      <x:c r="G23" s="150" t="str">
        <x:v>tests/components/feed/behavior.spec.ts; tests/components/feed/visual.spec.ts</x:v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>
        <x:v>46284</x:v>
      </x:c>
      <x:c r="K23" s="150" t="inlineStr">
        <x:is>
          <x:t xml:space="preserve">Recipe geometry and rounded containment baselines pass.</x:t>
        </x:is>
      </x:c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FD-16</x:t>
        </x:is>
      </x:c>
      <x:c r="B24" s="149" t="inlineStr">
        <x:is>
          <x:t xml:space="preserve">Density</x:t>
        </x:is>
      </x:c>
      <x:c r="C24" s="149" t="inlineStr">
        <x:is>
          <x:t xml:space="preserve">Root / Item</x:t>
        </x:is>
      </x:c>
      <x:c r="D24" s="150" t="str">
        <x:v>Compact/comfortable density, variants and divider strengths respond in both directions across viewport breakpoints.</x:v>
      </x:c>
      <x:c r="E24" s="149" t="inlineStr">
        <x:is>
          <x:t xml:space="preserve">browser</x:t>
        </x:is>
      </x:c>
      <x:c r="F24" s="149" t="inlineStr">
        <x:is>
          <x:t xml:space="preserve">visual</x:t>
        </x:is>
      </x:c>
      <x:c r="G24" s="150" t="str">
        <x:v>tests/components/feed/documentation.spec.ts; ../test/components/feed/feed.test.tsx</x:v>
      </x:c>
      <x:c r="H24" s="149" t="inlineStr">
        <x:is>
          <x:t xml:space="preserve">tested</x:t>
        </x:is>
      </x:c>
      <x:c r="I24" s="149" t="inlineStr">
        <x:is>
          <x:t xml:space="preserve">no</x:t>
        </x:is>
      </x:c>
      <x:c r="J24" s="151" t="n">
        <x:v>46284</x:v>
      </x:c>
      <x:c r="K24" s="150" t="str">
        <x:v>Responsive recipe reversals, sparse defaults and padding assertions pass across five profiles.</x:v>
      </x:c>
      <x:c r="L24" s="149" t="n">
        <x:v>1</x:v>
      </x:c>
      <x:c r="M24" s="149" t="n">
        <x:f>IF(OR(AND(I24="yes",H24="verified"),AND(I24="no",OR(H24="tested",H24="verified")),AND(H24="not applicable",K24&lt;&gt;"")),1,0)</x:f>
        <x:v>1</x:v>
      </x:c>
    </x:row>
    <x:row r="25" s="127" customFormat="1" ht="54" customHeight="1">
      <x:c r="A25" s="149" t="inlineStr">
        <x:is>
          <x:t xml:space="preserve">FD-17</x:t>
        </x:is>
      </x:c>
      <x:c r="B25" s="149" t="inlineStr">
        <x:is>
          <x:t xml:space="preserve">Focus paint</x:t>
        </x:is>
      </x:c>
      <x:c r="C25" s="149" t="inlineStr">
        <x:is>
          <x:t xml:space="preserve">Item / descendants</x:t>
        </x:is>
      </x:c>
      <x:c r="D25" s="150" t="inlineStr">
        <x:is>
          <x:t xml:space="preserve">Focus-visible paint belongs only to the focused Item; focusing a nested link or button paints that descendant without adding an Item outline.</x:t>
        </x:is>
      </x:c>
      <x:c r="E25" s="149" t="inlineStr">
        <x:is>
          <x:t xml:space="preserve">browser</x:t>
        </x:is>
      </x:c>
      <x:c r="F25" s="149" t="inlineStr">
        <x:is>
          <x:t xml:space="preserve">visual</x:t>
        </x:is>
      </x:c>
      <x:c r="G25" s="150" t="str">
        <x:v>tests/components/feed/behavior.spec.ts; tests/components/feed/visual.spec.ts</x:v>
      </x:c>
      <x:c r="H25" s="149" t="inlineStr">
        <x:is>
          <x:t xml:space="preserve">tested</x:t>
        </x:is>
      </x:c>
      <x:c r="I25" s="149" t="inlineStr">
        <x:is>
          <x:t xml:space="preserve">no</x:t>
        </x:is>
      </x:c>
      <x:c r="J25" s="151" t="n">
        <x:v>46284</x:v>
      </x:c>
      <x:c r="K25" s="150" t="inlineStr">
        <x:is>
          <x:t xml:space="preserve">Item and descendant focus baselines and computed-style assertions pass.</x:t>
        </x:is>
      </x:c>
      <x:c r="L25" s="149" t="n">
        <x:v>1</x:v>
      </x:c>
      <x:c r="M25" s="149" t="n">
        <x:f>IF(OR(AND(I25="yes",H25="verified"),AND(I25="no",OR(H25="tested",H25="verified")),AND(H25="not applicable",K25&lt;&gt;"")),1,0)</x:f>
        <x:v>1</x:v>
      </x:c>
    </x:row>
    <x:row r="26" s="127" customFormat="1" ht="54" customHeight="1">
      <x:c r="A26" s="149" t="inlineStr">
        <x:is>
          <x:t xml:space="preserve">FD-18</x:t>
        </x:is>
      </x:c>
      <x:c r="B26" s="149" t="inlineStr">
        <x:is>
          <x:t xml:space="preserve">Native composition</x:t>
        </x:is>
      </x:c>
      <x:c r="C26" s="149" t="inlineStr">
        <x:is>
          <x:t xml:space="preserve">Root / Item</x:t>
        </x:is>
      </x:c>
      <x:c r="D26" s="150" t="inlineStr">
        <x:is>
          <x:t xml:space="preserve">Classes merge Brick first, public slots remain stable, and className, style, native events, aria/data attributes, children, refs, render, and asChild target the public hosts.</x:t>
        </x:is>
      </x:c>
      <x:c r="E26" s="149" t="inlineStr">
        <x:is>
          <x:t xml:space="preserve">package</x:t>
        </x:is>
      </x:c>
      <x:c r="F26" s="149" t="inlineStr">
        <x:is>
          <x:t xml:space="preserve">component</x:t>
        </x:is>
      </x:c>
      <x:c r="G26" s="150" t="str">
        <x:v>../test/components/feed/feed.test.tsx; tests/components/feed/behavior.spec.ts</x:v>
      </x:c>
      <x:c r="H26" s="149" t="inlineStr">
        <x:is>
          <x:t xml:space="preserve">tested</x:t>
        </x:is>
      </x:c>
      <x:c r="I26" s="149" t="inlineStr">
        <x:is>
          <x:t xml:space="preserve">no</x:t>
        </x:is>
      </x:c>
      <x:c r="J26" s="151" t="n">
        <x:v>46284</x:v>
      </x:c>
      <x:c r="K26" s="150" t="inlineStr">
        <x:is>
          <x:t xml:space="preserve">Component and browser composition assertions pass.</x:t>
        </x:is>
      </x:c>
      <x:c r="L26" s="149" t="n">
        <x:v>1</x:v>
      </x:c>
      <x:c r="M26" s="149" t="n">
        <x:f>IF(OR(AND(I26="yes",H26="verified"),AND(I26="no",OR(H26="tested",H26="verified")),AND(H26="not applicable",K26&lt;&gt;"")),1,0)</x:f>
        <x:v>1</x:v>
      </x:c>
    </x:row>
    <x:row r="27" s="127" customFormat="1" ht="54" customHeight="1">
      <x:c r="A27" s="149" t="inlineStr">
        <x:is>
          <x:t xml:space="preserve">FD-19</x:t>
        </x:is>
      </x:c>
      <x:c r="B27" s="149" t="inlineStr">
        <x:is>
          <x:t xml:space="preserve">Rich content</x:t>
        </x:is>
      </x:c>
      <x:c r="C27" s="149" t="inlineStr">
        <x:is>
          <x:t xml:space="preserve">Item children</x:t>
        </x:is>
      </x:c>
      <x:c r="D27" s="150" t="inlineStr">
        <x:is>
          <x:t xml:space="preserve">Badges, headings, metadata, links, buttons, and arbitrary authored article content remain ordinary children and keep their own semantics and interaction.</x:t>
        </x:is>
      </x:c>
      <x:c r="E27" s="149" t="inlineStr">
        <x:is>
          <x:t xml:space="preserve">browser</x:t>
        </x:is>
      </x:c>
      <x:c r="F27" s="149" t="inlineStr">
        <x:is>
          <x:t xml:space="preserve">browser</x:t>
        </x:is>
      </x:c>
      <x:c r="G27" s="150" t="str">
        <x:v>tests/components/feed/behavior.spec.ts; src/components/feed/FeedPage.tsx</x:v>
      </x:c>
      <x:c r="H27" s="149" t="inlineStr">
        <x:is>
          <x:t xml:space="preserve">tested</x:t>
        </x:is>
      </x:c>
      <x:c r="I27" s="149" t="inlineStr">
        <x:is>
          <x:t xml:space="preserve">no</x:t>
        </x:is>
      </x:c>
      <x:c r="J27" s="151" t="n">
        <x:v>46284</x:v>
      </x:c>
      <x:c r="K27" s="150" t="inlineStr">
        <x:is>
          <x:t xml:space="preserve">Nested-content interaction and accessibility assertions pass.</x:t>
        </x:is>
      </x:c>
      <x:c r="L27" s="149" t="n">
        <x:v>1</x:v>
      </x:c>
      <x:c r="M27" s="149" t="n">
        <x:f>IF(OR(AND(I27="yes",H27="verified"),AND(I27="no",OR(H27="tested",H27="verified")),AND(H27="not applicable",K27&lt;&gt;"")),1,0)</x:f>
        <x:v>1</x:v>
      </x:c>
    </x:row>
    <x:row r="28" s="127" customFormat="1" ht="54" customHeight="1">
      <x:c r="A28" s="149" t="inlineStr">
        <x:is>
          <x:t xml:space="preserve">FD-20</x:t>
        </x:is>
      </x:c>
      <x:c r="B28" s="149" t="inlineStr">
        <x:is>
          <x:t xml:space="preserve">Responsive</x:t>
        </x:is>
      </x:c>
      <x:c r="C28" s="149" t="inlineStr">
        <x:is>
          <x:t xml:space="preserve">Root / Item</x:t>
        </x:is>
      </x:c>
      <x:c r="D28" s="150" t="inlineStr">
        <x:is>
          <x:t xml:space="preserve">Full-width and 320px-constrained streams wrap long localized headings, metadata, summaries, and actions without horizontal component overflow.</x:t>
        </x:is>
      </x:c>
      <x:c r="E28" s="149" t="inlineStr">
        <x:is>
          <x:t xml:space="preserve">browser</x:t>
        </x:is>
      </x:c>
      <x:c r="F28" s="149" t="inlineStr">
        <x:is>
          <x:t xml:space="preserve">browser</x:t>
        </x:is>
      </x:c>
      <x:c r="G28" s="150" t="str">
        <x:v>tests/components/feed/behavior.spec.ts; tests/components/feed/visual.spec.ts</x:v>
      </x:c>
      <x:c r="H28" s="149" t="inlineStr">
        <x:is>
          <x:t xml:space="preserve">tested</x:t>
        </x:is>
      </x:c>
      <x:c r="I28" s="149" t="inlineStr">
        <x:is>
          <x:t xml:space="preserve">no</x:t>
        </x:is>
      </x:c>
      <x:c r="J28" s="151" t="n">
        <x:v>46284</x:v>
      </x:c>
      <x:c r="K28" s="150" t="inlineStr">
        <x:is>
          <x:t xml:space="preserve">Narrow containment passes in desktop and mobile projects.</x:t>
        </x:is>
      </x:c>
      <x:c r="L28" s="149" t="n">
        <x:v>1</x:v>
      </x:c>
      <x:c r="M28" s="149" t="n">
        <x:f>IF(OR(AND(I28="yes",H28="verified"),AND(I28="no",OR(H28="tested",H28="verified")),AND(H28="not applicable",K28&lt;&gt;"")),1,0)</x:f>
        <x:v>1</x:v>
      </x:c>
    </x:row>
    <x:row r="29" s="127" customFormat="1" ht="54" customHeight="1">
      <x:c r="A29" s="149" t="inlineStr">
        <x:is>
          <x:t xml:space="preserve">FD-21</x:t>
        </x:is>
      </x:c>
      <x:c r="B29" s="149" t="inlineStr">
        <x:is>
          <x:t xml:space="preserve">RTL</x:t>
        </x:is>
      </x:c>
      <x:c r="C29" s="149" t="inlineStr">
        <x:is>
          <x:t xml:space="preserve">Root / Item</x:t>
        </x:is>
      </x:c>
      <x:c r="D29" s="150" t="inlineStr">
        <x:is>
          <x:t xml:space="preserve">Logical padding, metadata, actions, separators, and outline radii visibly follow genuine Arabic page direction without reversing article order or introducing overflow.</x:t>
        </x:is>
      </x:c>
      <x:c r="E29" s="149" t="inlineStr">
        <x:is>
          <x:t xml:space="preserve">browser</x:t>
        </x:is>
      </x:c>
      <x:c r="F29" s="149" t="inlineStr">
        <x:is>
          <x:t xml:space="preserve">browser</x:t>
        </x:is>
      </x:c>
      <x:c r="G29" s="150" t="str">
        <x:v>tests/components/feed/behavior.spec.ts; tests/components/feed/visual.spec.ts</x:v>
      </x:c>
      <x:c r="H29" s="149" t="inlineStr">
        <x:is>
          <x:t xml:space="preserve">tested</x:t>
        </x:is>
      </x:c>
      <x:c r="I29" s="149" t="inlineStr">
        <x:is>
          <x:t xml:space="preserve">no</x:t>
        </x:is>
      </x:c>
      <x:c r="J29" s="151" t="n">
        <x:v>46284</x:v>
      </x:c>
      <x:c r="K29" s="150" t="inlineStr">
        <x:is>
          <x:t xml:space="preserve">RTL direction, placement, and mobile baseline assertions pass.</x:t>
        </x:is>
      </x:c>
      <x:c r="L29" s="149" t="n">
        <x:v>1</x:v>
      </x:c>
      <x:c r="M29" s="149" t="n">
        <x:f>IF(OR(AND(I29="yes",H29="verified"),AND(I29="no",OR(H29="tested",H29="verified")),AND(H29="not applicable",K29&lt;&gt;"")),1,0)</x:f>
        <x:v>1</x:v>
      </x:c>
    </x:row>
    <x:row r="30" s="127" customFormat="1" ht="54" customHeight="1">
      <x:c r="A30" s="149" t="inlineStr">
        <x:is>
          <x:t xml:space="preserve">FD-22</x:t>
        </x:is>
      </x:c>
      <x:c r="B30" s="149" t="inlineStr">
        <x:is>
          <x:t xml:space="preserve">Appearance and preferences</x:t>
        </x:is>
      </x:c>
      <x:c r="C30" s="149" t="inlineStr">
        <x:is>
          <x:t xml:space="preserve">Root / Item</x:t>
        </x:is>
      </x:c>
      <x:c r="D30" s="150" t="inlineStr">
        <x:is>
          <x:t xml:space="preserve">Separate light and dark scopes, forced colors, and reduced motion retain boundaries, focus visibility, readable content, and no color-only state distinction.</x:t>
        </x:is>
      </x:c>
      <x:c r="E30" s="149" t="inlineStr">
        <x:is>
          <x:t xml:space="preserve">browser</x:t>
        </x:is>
      </x:c>
      <x:c r="F30" s="149" t="inlineStr">
        <x:is>
          <x:t xml:space="preserve">visual</x:t>
        </x:is>
      </x:c>
      <x:c r="G30" s="150" t="str">
        <x:v>tests/components/feed/behavior.spec.ts; tests/components/feed/visual.spec.ts</x:v>
      </x:c>
      <x:c r="H30" s="149" t="inlineStr">
        <x:is>
          <x:t xml:space="preserve">tested</x:t>
        </x:is>
      </x:c>
      <x:c r="I30" s="149" t="inlineStr">
        <x:is>
          <x:t xml:space="preserve">no</x:t>
        </x:is>
      </x:c>
      <x:c r="J30" s="151" t="n">
        <x:v>46284</x:v>
      </x:c>
      <x:c r="K30" s="150" t="inlineStr">
        <x:is>
          <x:t xml:space="preserve">Appearance and forced-color evidence passes.</x:t>
        </x:is>
      </x:c>
      <x:c r="L30" s="149" t="n">
        <x:v>1</x:v>
      </x:c>
      <x:c r="M30" s="149" t="n">
        <x:f>IF(OR(AND(I30="yes",H30="verified"),AND(I30="no",OR(H30="tested",H30="verified")),AND(H30="not applicable",K30&lt;&gt;"")),1,0)</x:f>
        <x:v>1</x:v>
      </x:c>
    </x:row>
    <x:row r="31" s="127" customFormat="1" ht="54" customHeight="1">
      <x:c r="A31" s="149" t="inlineStr">
        <x:is>
          <x:t xml:space="preserve">FD-23</x:t>
        </x:is>
      </x:c>
      <x:c r="B31" s="149" t="inlineStr">
        <x:is>
          <x:t xml:space="preserve">Customization</x:t>
        </x:is>
      </x:c>
      <x:c r="C31" s="149" t="inlineStr">
        <x:is>
          <x:t xml:space="preserve">Root / Item</x:t>
        </x:is>
      </x:c>
      <x:c r="D31" s="150" t="str">
        <x:v>Public Feed tokens inherit from ancestors without recipe resets; hidden first articles do not create a leading separator.</x:v>
      </x:c>
      <x:c r="E31" s="149" t="inlineStr">
        <x:is>
          <x:t xml:space="preserve">package</x:t>
        </x:is>
      </x:c>
      <x:c r="F31" s="149" t="inlineStr">
        <x:is>
          <x:t xml:space="preserve">component</x:t>
        </x:is>
      </x:c>
      <x:c r="G31" s="150" t="str">
        <x:v>tests/components/feed/documentation.spec.ts; ../src/components/feed/feed.css</x:v>
      </x:c>
      <x:c r="H31" s="149" t="inlineStr">
        <x:is>
          <x:t xml:space="preserve">tested</x:t>
        </x:is>
      </x:c>
      <x:c r="I31" s="149" t="inlineStr">
        <x:is>
          <x:t xml:space="preserve">no</x:t>
        </x:is>
      </x:c>
      <x:c r="J31" s="151" t="n">
        <x:v>46284</x:v>
      </x:c>
      <x:c r="K31" s="150" t="str">
        <x:v>Inherited padding and hidden-first separator assertions pass in five browser profiles.</x:v>
      </x:c>
      <x:c r="L31" s="149" t="n">
        <x:v>1</x:v>
      </x:c>
      <x:c r="M31" s="149" t="n">
        <x:f>IF(OR(AND(I31="yes",H31="verified"),AND(I31="no",OR(H31="tested",H31="verified")),AND(H31="not applicable",K31&lt;&gt;"")),1,0)</x:f>
        <x:v>1</x:v>
      </x:c>
    </x:row>
    <x:row r="32" s="127" customFormat="1" ht="54" customHeight="1">
      <x:c r="A32" s="149" t="inlineStr">
        <x:is>
          <x:t xml:space="preserve">FD-24</x:t>
        </x:is>
      </x:c>
      <x:c r="B32" s="149" t="inlineStr">
        <x:is>
          <x:t xml:space="preserve">Accessibility</x:t>
        </x:is>
      </x:c>
      <x:c r="C32" s="149" t="inlineStr">
        <x:is>
          <x:t xml:space="preserve">Root / Item</x:t>
        </x:is>
      </x:c>
      <x:c r="D32" s="150" t="inlineStr">
        <x:is>
          <x:t xml:space="preserve">Accessible Feed and Item names, direct article structure, dynamic positions, focus order, keyboard movement, descendant controls, forced-color focus, and focused axe checks pass.</x:t>
        </x:is>
      </x:c>
      <x:c r="E32" s="149" t="inlineStr">
        <x:is>
          <x:t xml:space="preserve">browser</x:t>
        </x:is>
      </x:c>
      <x:c r="F32" s="149" t="inlineStr">
        <x:is>
          <x:t xml:space="preserve">axe</x:t>
        </x:is>
      </x:c>
      <x:c r="G32" s="150" t="str">
        <x:v>tests/components/feed/behavior.spec.ts; @flowstack-ui/atom 0.26.1 local candidate behavior suite</x:v>
      </x:c>
      <x:c r="H32" s="149" t="inlineStr">
        <x:is>
          <x:t xml:space="preserve">tested</x:t>
        </x:is>
      </x:c>
      <x:c r="I32" s="149" t="inlineStr">
        <x:is>
          <x:t xml:space="preserve">no</x:t>
        </x:is>
      </x:c>
      <x:c r="J32" s="151" t="n">
        <x:v>46284</x:v>
      </x:c>
      <x:c r="K32" s="150" t="inlineStr">
        <x:is>
          <x:t xml:space="preserve">Semantic and axe assertions pass across the focused five-project matrix.</x:t>
        </x:is>
      </x:c>
      <x:c r="L32" s="149" t="n">
        <x:v>1</x:v>
      </x:c>
      <x:c r="M32" s="149" t="n">
        <x:f>IF(OR(AND(I32="yes",H32="verified"),AND(I32="no",OR(H32="tested",H32="verified")),AND(H32="not applicable",K32&lt;&gt;"")),1,0)</x:f>
        <x:v>1</x:v>
      </x:c>
    </x:row>
    <x:row r="33" s="127" customFormat="1" ht="54" customHeight="1">
      <x:c r="A33" s="149" t="inlineStr">
        <x:is>
          <x:t xml:space="preserve">FD-25</x:t>
        </x:is>
      </x:c>
      <x:c r="B33" s="149" t="inlineStr">
        <x:is>
          <x:t xml:space="preserve">Playground</x:t>
        </x:is>
      </x:c>
      <x:c r="C33" s="149" t="inlineStr">
        <x:is>
          <x:t xml:space="preserve">Root / Item</x:t>
        </x:is>
      </x:c>
      <x:c r="D33" s="150" t="str">
        <x:v>Normal documentation has basic plus nine focused source-paired examples, Props and TOC. Legacy qualification remains separate.</x:v>
      </x:c>
      <x:c r="E33" s="149" t="inlineStr">
        <x:is>
          <x:t xml:space="preserve">package</x:t>
        </x:is>
      </x:c>
      <x:c r="F33" s="149" t="inlineStr">
        <x:is>
          <x:t xml:space="preserve">playground</x:t>
        </x:is>
      </x:c>
      <x:c r="G33" s="150" t="str">
        <x:v>src/components/feed/documentation.ts; src/components/feed/examples; tests/components/feed/documentation.spec.ts</x:v>
      </x:c>
      <x:c r="H33" s="149" t="inlineStr">
        <x:is>
          <x:t xml:space="preserve">tested</x:t>
        </x:is>
      </x:c>
      <x:c r="I33" s="149" t="inlineStr">
        <x:is>
          <x:t xml:space="preserve">no</x:t>
        </x:is>
      </x:c>
      <x:c r="J33" s="151" t="n">
        <x:v>46284</x:v>
      </x:c>
      <x:c r="K33" s="150" t="str">
        <x:v>Source formatting, preview inventory and focused browser checks pass. Broader playground type failures are unrelated.</x:v>
      </x:c>
      <x:c r="L33" s="149" t="n">
        <x:v>1</x:v>
      </x:c>
      <x:c r="M33" s="149" t="n">
        <x:f>IF(OR(AND(I33="yes",H33="verified"),AND(I33="no",OR(H33="tested",H33="verified")),AND(H33="not applicable",K33&lt;&gt;"")),1,0)</x:f>
        <x:v>1</x:v>
      </x:c>
    </x:row>
    <x:row r="34" s="127" customFormat="1" ht="54" customHeight="1">
      <x:c r="A34" s="149" t="inlineStr">
        <x:is>
          <x:t xml:space="preserve">FD-26</x:t>
        </x:is>
      </x:c>
      <x:c r="B34" s="149" t="inlineStr">
        <x:is>
          <x:t xml:space="preserve">Visual baselines</x:t>
        </x:is>
      </x:c>
      <x:c r="C34" s="149" t="inlineStr">
        <x:is>
          <x:t xml:space="preserve">Root / Item</x:t>
        </x:is>
      </x:c>
      <x:c r="D34" s="150" t="inlineStr">
        <x:is>
          <x:t xml:space="preserve">Reviewed baselines cover defaults, variants, density, Item focus, descendant focus, busy state, appearance, customization, mobile RTL, and forced colors.</x:t>
        </x:is>
      </x:c>
      <x:c r="E34" s="149" t="inlineStr">
        <x:is>
          <x:t xml:space="preserve">browser</x:t>
        </x:is>
      </x:c>
      <x:c r="F34" s="149" t="inlineStr">
        <x:is>
          <x:t xml:space="preserve">visual</x:t>
        </x:is>
      </x:c>
      <x:c r="G34" s="150" t="str">
        <x:v>tests/components/feed/visual.spec.ts; tests/components/feed/visual.spec.ts-snapshots</x:v>
      </x:c>
      <x:c r="H34" s="149" t="inlineStr">
        <x:is>
          <x:t xml:space="preserve">verified</x:t>
        </x:is>
      </x:c>
      <x:c r="I34" s="149" t="inlineStr">
        <x:is>
          <x:t xml:space="preserve">yes</x:t>
        </x:is>
      </x:c>
      <x:c r="J34" s="151" t="n">
        <x:v>46284</x:v>
      </x:c>
      <x:c r="K34" s="150" t="str">
        <x:v>Agent reviewed four new documentation baselines and ten updated legacy baselines; human manual approval remains open.</x:v>
      </x:c>
      <x:c r="L34" s="149" t="n">
        <x:v>1</x:v>
      </x:c>
      <x:c r="M34" s="149" t="n">
        <x:f>IF(OR(AND(I34="yes",H34="verified"),AND(I34="no",OR(H34="tested",H34="verified")),AND(H34="not applicable",K34&lt;&gt;"")),1,0)</x:f>
        <x:v>1</x:v>
      </x:c>
    </x:row>
    <x:row r="35" s="127" customFormat="1" ht="54" customHeight="1">
      <x:c r="A35" s="149" t="inlineStr">
        <x:is>
          <x:t xml:space="preserve">FD-27</x:t>
        </x:is>
      </x:c>
      <x:c r="B35" s="149" t="inlineStr">
        <x:is>
          <x:t xml:space="preserve">Documentation</x:t>
        </x:is>
      </x:c>
      <x:c r="C35" s="149" t="inlineStr">
        <x:is>
          <x:t xml:space="preserve">Public guide / changelog</x:t>
        </x:is>
      </x:c>
      <x:c r="D35" s="150" t="inlineStr">
        <x:is>
          <x:t xml:space="preserve">The guide documents role, exclusions, anatomy, API, dynamic metadata, keyboard/focus, constraints, recipes, accessibility, customization, refs, examples, and evidence; changelogs record the addition.</x:t>
        </x:is>
      </x:c>
      <x:c r="E35" s="149" t="inlineStr">
        <x:is>
          <x:t xml:space="preserve">package</x:t>
        </x:is>
      </x:c>
      <x:c r="F35" s="149" t="inlineStr">
        <x:is>
          <x:t xml:space="preserve">documentation</x:t>
        </x:is>
      </x:c>
      <x:c r="G35" s="150" t="str">
        <x:v>../docs/components/feed/README.md; ../docs/components/feed/CHANGELOG.md; ../CHANGELOG.md</x:v>
      </x:c>
      <x:c r="H35" s="149" t="inlineStr">
        <x:is>
          <x:t xml:space="preserve">tested</x:t>
        </x:is>
      </x:c>
      <x:c r="I35" s="149" t="inlineStr">
        <x:is>
          <x:t xml:space="preserve">no</x:t>
        </x:is>
      </x:c>
      <x:c r="J35" s="151" t="n">
        <x:v>46284</x:v>
      </x:c>
      <x:c r="K35" s="150" t="inlineStr">
        <x:is>
          <x:t xml:space="preserve">Structural, semantic, index, and changelog verification passes.</x:t>
        </x:is>
      </x:c>
      <x:c r="L35" s="149" t="n">
        <x:v>1</x:v>
      </x:c>
      <x:c r="M35" s="149" t="n">
        <x:f>IF(OR(AND(I35="yes",H35="verified"),AND(I35="no",OR(H35="tested",H35="verified")),AND(H35="not applicable",K35&lt;&gt;"")),1,0)</x:f>
        <x:v>1</x:v>
      </x:c>
    </x:row>
    <x:row r="36" s="127" customFormat="1" ht="54" customHeight="1">
      <x:c r="A36" s="149" t="inlineStr">
        <x:is>
          <x:t xml:space="preserve">FD-28</x:t>
        </x:is>
      </x:c>
      <x:c r="B36" s="149" t="inlineStr">
        <x:is>
          <x:t xml:space="preserve">Consumer</x:t>
        </x:is>
      </x:c>
      <x:c r="C36" s="149" t="inlineStr">
        <x:is>
          <x:t xml:space="preserve">Root / Item</x:t>
        </x:is>
      </x:c>
      <x:c r="D36" s="150" t="str">
        <x:v>The packed Consumer app and clean React 18/19 consumers qualify public Feed composition and dynamic behavior.</x:v>
      </x:c>
      <x:c r="E36" s="149" t="inlineStr">
        <x:is>
          <x:t xml:space="preserve">consumer</x:t>
        </x:is>
      </x:c>
      <x:c r="F36" s="149" t="inlineStr">
        <x:is>
          <x:t xml:space="preserve">consumer</x:t>
        </x:is>
      </x:c>
      <x:c r="G36" s="150" t="str">
        <x:v>../scripts/verify-feed-consumers.mjs; ../apps/consumer/tests/consumer.spec.ts</x:v>
      </x:c>
      <x:c r="H36" s="149" t="str">
        <x:v>blocked</x:v>
      </x:c>
      <x:c r="I36" s="149" t="inlineStr">
        <x:is>
          <x:t xml:space="preserve">no</x:t>
        </x:is>
      </x:c>
      <x:c r="J36" s="151" t="n">
        <x:v>46284</x:v>
      </x:c>
      <x:c r="K36" s="150" t="str">
        <x:v>Clean packed React 18/19 consumers pass; full application Consumer matrix was not rerun for this candidate.</x:v>
      </x:c>
      <x:c r="L36" s="149" t="n">
        <x:v>1</x:v>
      </x:c>
      <x:c r="M36" s="149" t="n">
        <x:f>IF(OR(AND(I36="yes",H36="verified"),AND(I36="no",OR(H36="tested",H36="verified")),AND(H36="not applicable",K36&lt;&gt;"")),1,0)</x:f>
        <x:v>0</x:v>
      </x:c>
    </x:row>
    <x:row r="37" s="127" customFormat="1" ht="54" customHeight="1">
      <x:c r="A37" s="149" t="inlineStr">
        <x:is>
          <x:t xml:space="preserve">FD-29</x:t>
        </x:is>
      </x:c>
      <x:c r="B37" s="149" t="inlineStr">
        <x:is>
          <x:t xml:space="preserve">Manual</x:t>
        </x:is>
      </x:c>
      <x:c r="C37" s="149" t="inlineStr">
        <x:is>
          <x:t xml:space="preserve">Root / Item</x:t>
        </x:is>
      </x:c>
      <x:c r="D37" s="150" t="inlineStr">
        <x:is>
          <x:t xml:space="preserve">A tester completes the numbered desktop/mobile, keyboard, scroll reveal, focus handoff, nested-action, dynamic-update, zoom, appearance, preferences, RTL, and assistive-technology protocol.</x:t>
        </x:is>
      </x:c>
      <x:c r="E37" s="149" t="inlineStr">
        <x:is>
          <x:t xml:space="preserve">human</x:t>
        </x:is>
      </x:c>
      <x:c r="F37" s="149" t="inlineStr">
        <x:is>
          <x:t xml:space="preserve">manual</x:t>
        </x:is>
      </x:c>
      <x:c r="G37" s="150" t="inlineStr">
        <x:is>
          <x:t xml:space="preserve">manual-tests/feed.md</x:t>
        </x:is>
      </x:c>
      <x:c r="H37" s="149" t="inlineStr">
        <x:is>
          <x:t xml:space="preserve">not started</x:t>
        </x:is>
      </x:c>
      <x:c r="I37" s="149" t="inlineStr">
        <x:is>
          <x:t xml:space="preserve">yes</x:t>
        </x:is>
      </x:c>
      <x:c r="J37" s="151" t="n"/>
      <x:c r="K37" s="150" t="inlineStr">
        <x:is>
          <x:t xml:space="preserve">Human manual run intentionally remains the sole component gate.</x:t>
        </x:is>
      </x:c>
      <x:c r="L37" s="149" t="n">
        <x:v>1</x:v>
      </x:c>
      <x:c r="M37" s="149" t="n">
        <x:f>IF(OR(AND(I37="yes",H37="verified"),AND(I37="no",OR(H37="tested",H37="verified")),AND(H37="not applicable",K37&lt;&gt;"")),1,0)</x:f>
        <x:v>0</x:v>
      </x:c>
    </x:row>
    <x:row r="38" s="127" customFormat="1" ht="54" customHeight="1">
      <x:c r="A38" s="149" t="inlineStr">
        <x:is>
          <x:t xml:space="preserve">FD-30</x:t>
        </x:is>
      </x:c>
      <x:c r="B38" s="149" t="inlineStr">
        <x:is>
          <x:t xml:space="preserve">Package</x:t>
        </x:is>
      </x:c>
      <x:c r="C38" s="149" t="inlineStr">
        <x:is>
          <x:t xml:space="preserve">Artifact</x:t>
        </x:is>
      </x:c>
      <x:c r="D38" s="150" t="str">
        <x:v>Build, exports, CSS, documentation, exact archive guidance, packed consumers and repository package gates pass.</x:v>
      </x:c>
      <x:c r="E38" s="149" t="inlineStr">
        <x:is>
          <x:t xml:space="preserve">package</x:t>
        </x:is>
      </x:c>
      <x:c r="F38" s="149" t="inlineStr">
        <x:is>
          <x:t xml:space="preserve">package</x:t>
        </x:is>
      </x:c>
      <x:c r="G38" s="150" t="str">
        <x:v>../scripts/verify-package.mjs; ../scripts/verify-consumers.mjs; ../scripts/verify-app-consumer.mjs</x:v>
      </x:c>
      <x:c r="H38" s="149" t="str">
        <x:v>blocked</x:v>
      </x:c>
      <x:c r="I38" s="149" t="inlineStr">
        <x:is>
          <x:t xml:space="preserve">no</x:t>
        </x:is>
      </x:c>
      <x:c r="J38" s="151" t="n">
        <x:v>46284</x:v>
      </x:c>
      <x:c r="K38" s="150" t="str">
        <x:v>Focused checks pass. Full package/repository qualification remains open due unrelated validation failures and incomplete application/manual matrix.</x:v>
      </x:c>
      <x:c r="L38" s="149" t="n">
        <x:v>1</x:v>
      </x:c>
      <x:c r="M38" s="149" t="n">
        <x:f>IF(OR(AND(I38="yes",H38="verified"),AND(I38="no",OR(H38="tested",H38="verified")),AND(H38="not applicable",K38&lt;&gt;"")),1,0)</x:f>
        <x:v>0</x:v>
      </x:c>
    </x:row>
    <x:row r="39" s="127" customFormat="1" ht="54" customHeight="1">
      <x:c r="A39" s="149" t="inlineStr">
        <x:is>
          <x:t xml:space="preserve">FD-31</x:t>
        </x:is>
      </x:c>
      <x:c r="B39" s="149" t="inlineStr">
        <x:is>
          <x:t xml:space="preserve">Boundary</x:t>
        </x:is>
      </x:c>
      <x:c r="C39" s="149" t="inlineStr">
        <x:is>
          <x:t xml:space="preserve">Root / Item</x:t>
        </x:is>
      </x:c>
      <x:c r="D39" s="150" t="inlineStr">
        <x:is>
          <x:t xml:space="preserve">Fetching, loading triggers, infinite-scroll observation, virtualization, ranking, filtering, selection, unread state, timestamps, moderation, persistence, and whole-row links remain application-owned.</x:t>
        </x:is>
      </x:c>
      <x:c r="E39" s="149" t="inlineStr">
        <x:is>
          <x:t xml:space="preserve">package</x:t>
        </x:is>
      </x:c>
      <x:c r="F39" s="149" t="inlineStr">
        <x:is>
          <x:t xml:space="preserve">documentation</x:t>
        </x:is>
      </x:c>
      <x:c r="G39" s="150" t="str">
        <x:v>../docs/components/feed/README.md</x:v>
      </x:c>
      <x:c r="H39" s="149" t="inlineStr">
        <x:is>
          <x:t xml:space="preserve">tested</x:t>
        </x:is>
      </x:c>
      <x:c r="I39" s="149" t="inlineStr">
        <x:is>
          <x:t xml:space="preserve">no</x:t>
        </x:is>
      </x:c>
      <x:c r="J39" s="151" t="n">
        <x:v>46284</x:v>
      </x:c>
      <x:c r="K39" s="150" t="inlineStr">
        <x:is>
          <x:t xml:space="preserve">Public boundary and exclusions are documented and verified.</x:t>
        </x:is>
      </x:c>
      <x:c r="L39" s="149" t="n">
        <x:v>1</x:v>
      </x:c>
      <x:c r="M39" s="149" t="n">
        <x:f>IF(OR(AND(I39="yes",H39="verified"),AND(I39="no",OR(H39="tested",H39="verified")),AND(H39="not applicable",K39&lt;&gt;"")),1,0)</x:f>
        <x:v>1</x:v>
      </x:c>
    </x:row>
  </x:sheetData>
  <x:mergeCells>
    <x:mergeCell ref="A2:M2"/>
    <x:mergeCell ref="A1:M1"/>
  </x:mergeCells>
  <x:dataValidations count="2">
    <x:dataValidation type="list" errorStyle="stop" operator="between" allowBlank="0" showDropDown="0" showInputMessage="0" showErrorMessage="0" sqref="H9:H39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39">
      <x:formula1>"yes,no"</x:formula1>
      <x:formula2>0</x:formula2>
    </x:dataValidation>
  </x:dataValidations>
  <x:pageMargins left="0.7" right="0.7" top="0.75" bottom="0.75" header="0.3" footer="0.3"/>
</x:worksheet>
</file>

<file path=xl/worksheets/sheet64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Aspect Ratio Evidence</x:t>
        </x:is>
      </x:c>
    </x:row>
    <x:row r="2" s="127" customFormat="1" ht="27.75" customHeight="1">
      <x:c r="A2" s="129" t="inlineStr">
        <x:is>
          <x:t xml:space="preserve">Assertion-level Atom ownership, one-part anatomy, numeric geometry, framing recipes, composition, responsive containment, package, documentation, Consumer, and accessibility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COUNTA(A9:A34)</x:f>
        <x:v>26</x:v>
      </x:c>
      <x:c r="D4" s="130" t="inlineStr">
        <x:is>
          <x:t xml:space="preserve">Resolved</x:t>
        </x:is>
      </x:c>
      <x:c r="E4" s="131" t="n">
        <x:f>SUM(M9:M34)</x:f>
        <x:v>21</x:v>
      </x:c>
      <x:c r="G4" s="130" t="inlineStr">
        <x:is>
          <x:t xml:space="preserve">Completion</x:t>
        </x:is>
      </x:c>
      <x:c r="H4" s="132" t="n">
        <x:f>IF(B4=0,0,E4/B4)</x:f>
        <x:v>0.8076923076923077</x:v>
      </x:c>
      <x:c r="J4" s="130" t="inlineStr">
        <x:is>
          <x:t xml:space="preserve">Package gate</x:t>
        </x:is>
      </x:c>
      <x:c r="K4" s="131" t="str">
        <x:f>IF(COUNTIFS(E9:E34,"package",M9:M34,0)&gt;0,"open","complete")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IF(COUNTIFS(I9:I34,"yes",M9:M34,0)&gt;0,"open","complete")</x:f>
        <x:v>open</x:v>
      </x:c>
      <x:c r="D5" s="130" t="inlineStr">
        <x:is>
          <x:t xml:space="preserve">Consumer gate</x:t>
        </x:is>
      </x:c>
      <x:c r="E5" s="131" t="str">
        <x:f>IF(COUNTIFS(E9:E34,"consumer",M9:M34,0)&gt;0,"open","complete")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AR-01</x:t>
        </x:is>
      </x:c>
      <x:c r="B9" s="149" t="inlineStr">
        <x:is>
          <x:t xml:space="preserve">Ownership</x:t>
        </x:is>
      </x:c>
      <x:c r="C9" s="149" t="inlineStr">
        <x:is>
          <x:t xml:space="preserve">Root</x:t>
        </x:is>
      </x:c>
      <x:c r="D9" s="150" t="inlineStr">
        <x:is>
          <x:t xml:space="preserve">Brick styles Atom AspectRatio geometry. Local digest-locked Atom 0.26.1 supplies a CSS-variable bridge; nothing released.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../src/components/aspect-ratio/AspectRatio.tsx; ../package.json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46231</x:v>
      </x:c>
      <x:c r="K9" s="150" t="inlineStr">
        <x:is>
          <x:t xml:space="preserve">Exact Atom boundary is covered by source and component tests.</x:t>
        </x:is>
      </x:c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AR-02</x:t>
        </x:is>
      </x:c>
      <x:c r="B10" s="149" t="inlineStr">
        <x:is>
          <x:t xml:space="preserve">API</x:t>
        </x:is>
      </x:c>
      <x:c r="C10" s="149" t="inlineStr">
        <x:is>
          <x:t xml:space="preserve">Root</x:t>
        </x:is>
      </x:c>
      <x:c r="D10" s="150" t="inlineStr">
        <x:is>
          <x:t xml:space="preserve">Root and named exports include AspectRatioRoot, numeric aspectRatios and public recipe types.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../test/components/aspect-ratio/aspect-ratio.test.tsx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46231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AR-03</x:t>
        </x:is>
      </x:c>
      <x:c r="B11" s="149" t="inlineStr">
        <x:is>
          <x:t xml:space="preserve">Anatomy</x:t>
        </x:is>
      </x:c>
      <x:c r="C11" s="149" t="inlineStr">
        <x:is>
          <x:t xml:space="preserve">Root</x:t>
        </x:is>
      </x:c>
      <x:c r="D11" s="150" t="inlineStr">
        <x:is>
          <x:t xml:space="preserve">One default div, no Content wrapper, HTMLDivElement ref, Brick class, Atom slot, and recipe attributes render deterministically.</x:t>
        </x:is>
      </x:c>
      <x:c r="E11" s="149" t="inlineStr">
        <x:is>
          <x:t xml:space="preserve">package</x:t>
        </x:is>
      </x:c>
      <x:c r="F11" s="149" t="inlineStr">
        <x:is>
          <x:t xml:space="preserve">component</x:t>
        </x:is>
      </x:c>
      <x:c r="G11" s="150" t="inlineStr">
        <x:is>
          <x:t xml:space="preserve">../test/components/aspect-ratio/aspect-ratio.test.tsx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46231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AR-04</x:t>
        </x:is>
      </x:c>
      <x:c r="B12" s="149" t="inlineStr">
        <x:is>
          <x:t xml:space="preserve">Types</x:t>
        </x:is>
      </x:c>
      <x:c r="C12" s="149" t="inlineStr">
        <x:is>
          <x:t xml:space="preserve">Public surface</x:t>
        </x:is>
      </x:c>
      <x:c r="D12" s="150" t="inlineStr">
        <x:is>
          <x:t xml:space="preserve">Closed visual unions, numeric responsive ratios, sparse defaults, native props and composition type-check; strings, empty objects and base keys are rejected.</x:t>
        </x:is>
      </x:c>
      <x:c r="E12" s="149" t="inlineStr">
        <x:is>
          <x:t xml:space="preserve">package</x:t>
        </x:is>
      </x:c>
      <x:c r="F12" s="149" t="inlineStr">
        <x:is>
          <x:t xml:space="preserve">types</x:t>
        </x:is>
      </x:c>
      <x:c r="G12" s="150" t="inlineStr">
        <x:is>
          <x:t xml:space="preserve">../test/types/components/aspect-ratio.test.ts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46231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AR-05</x:t>
        </x:is>
      </x:c>
      <x:c r="B13" s="149" t="inlineStr">
        <x:is>
          <x:t xml:space="preserve">Exports</x:t>
        </x:is>
      </x:c>
      <x:c r="C13" s="149" t="inlineStr">
        <x:is>
          <x:t xml:space="preserve">Root</x:t>
        </x:is>
      </x:c>
      <x:c r="D13" s="150" t="inlineStr">
        <x:is>
          <x:t xml:space="preserve">Root and aspect-ratio subpath exports preserve namespace and named runtime identity.</x:t>
        </x:is>
      </x:c>
      <x:c r="E13" s="149" t="inlineStr">
        <x:is>
          <x:t xml:space="preserve">package</x:t>
        </x:is>
      </x:c>
      <x:c r="F13" s="149" t="inlineStr">
        <x:is>
          <x:t xml:space="preserve">package</x:t>
        </x:is>
      </x:c>
      <x:c r="G13" s="150" t="inlineStr">
        <x:is>
          <x:t xml:space="preserve">../test/package/package.test.mjs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46231</x:v>
      </x:c>
      <x:c r="K13" s="150" t="n"/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AR-06</x:t>
        </x:is>
      </x:c>
      <x:c r="B14" s="149" t="inlineStr">
        <x:is>
          <x:t xml:space="preserve">SSR</x:t>
        </x:is>
      </x:c>
      <x:c r="C14" s="149" t="inlineStr">
        <x:is>
          <x:t xml:space="preserve">Root</x:t>
        </x:is>
      </x:c>
      <x:c r="D14" s="150" t="inlineStr">
        <x:is>
          <x:t xml:space="preserve">Aspect Ratio imports server-safely and emits deterministic layout-only anatomy with child semantics intact.</x:t>
        </x:is>
      </x:c>
      <x:c r="E14" s="149" t="inlineStr">
        <x:is>
          <x:t xml:space="preserve">package</x:t>
        </x:is>
      </x:c>
      <x:c r="F14" s="149" t="inlineStr">
        <x:is>
          <x:t xml:space="preserve">package</x:t>
        </x:is>
      </x:c>
      <x:c r="G14" s="150" t="inlineStr">
        <x:is>
          <x:t xml:space="preserve">../test/package/ssr.test.mjs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46231</x:v>
      </x:c>
      <x:c r="K14" s="150" t="n"/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AR-07</x:t>
        </x:is>
      </x:c>
      <x:c r="B15" s="149" t="inlineStr">
        <x:is>
          <x:t xml:space="preserve">Geometry</x:t>
        </x:is>
      </x:c>
      <x:c r="C15" s="149" t="inlineStr">
        <x:is>
          <x:t xml:space="preserve">Root</x:t>
        </x:is>
      </x:c>
      <x:c r="D15" s="150" t="inlineStr">
        <x:is>
          <x:t xml:space="preserve">Default 16:9, positive numeric ratios, and invalid-value normalization remain Atom-owned and browser-accurate.</x:t>
        </x:is>
      </x:c>
      <x:c r="E15" s="149" t="inlineStr">
        <x:is>
          <x:t xml:space="preserve">package</x:t>
        </x:is>
      </x:c>
      <x:c r="F15" s="149" t="inlineStr">
        <x:is>
          <x:t xml:space="preserve">browser</x:t>
        </x:is>
      </x:c>
      <x:c r="G15" s="150" t="inlineStr">
        <x:is>
          <x:t xml:space="preserve">tests/components/aspect-ratio/behavior.spec.ts; @flowstack-ui/atom 0.18.0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46231</x:v>
      </x:c>
      <x:c r="K15" s="150" t="n"/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AR-08</x:t>
        </x:is>
      </x:c>
      <x:c r="B16" s="149" t="inlineStr">
        <x:is>
          <x:t xml:space="preserve">Variants</x:t>
        </x:is>
      </x:c>
      <x:c r="C16" s="149" t="inlineStr">
        <x:is>
          <x:t xml:space="preserve">Root</x:t>
        </x:is>
      </x:c>
      <x:c r="D16" s="150" t="inlineStr">
        <x:is>
          <x:t xml:space="preserve">Plain, subtle, and outline change frame paint only without geometry, content, or semantic drift.</x:t>
        </x:is>
      </x:c>
      <x:c r="E16" s="149" t="inlineStr">
        <x:is>
          <x:t xml:space="preserve">package</x:t>
        </x:is>
      </x:c>
      <x:c r="F16" s="149" t="inlineStr">
        <x:is>
          <x:t xml:space="preserve">browser</x:t>
        </x:is>
      </x:c>
      <x:c r="G16" s="150" t="inlineStr">
        <x:is>
          <x:t xml:space="preserve">tests/components/aspect-ratio/behavior.spec.ts</x:t>
        </x:is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n">
        <x:v>46231</x:v>
      </x:c>
      <x:c r="K16" s="150" t="n"/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AR-09</x:t>
        </x:is>
      </x:c>
      <x:c r="B17" s="149" t="inlineStr">
        <x:is>
          <x:t xml:space="preserve">Radius</x:t>
        </x:is>
      </x:c>
      <x:c r="C17" s="149" t="inlineStr">
        <x:is>
          <x:t xml:space="preserve">Root</x:t>
        </x:is>
      </x:c>
      <x:c r="D17" s="150" t="inlineStr">
        <x:is>
          <x:t xml:space="preserve">Shared Radius selects core sizes or semantic roles; omitted radius stays none and authored style wins.</x:t>
        </x:is>
      </x:c>
      <x:c r="E17" s="149" t="inlineStr">
        <x:is>
          <x:t xml:space="preserve">package</x:t>
        </x:is>
      </x:c>
      <x:c r="F17" s="149" t="inlineStr">
        <x:is>
          <x:t xml:space="preserve">browser</x:t>
        </x:is>
      </x:c>
      <x:c r="G17" s="150" t="inlineStr">
        <x:is>
          <x:t xml:space="preserve">tests/components/aspect-ratio/behavior.spec.ts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n">
        <x:v>46231</x:v>
      </x:c>
      <x:c r="K17" s="150" t="n"/>
      <x:c r="L17" s="149" t="n">
        <x:v>1</x:v>
      </x:c>
      <x:c r="M17" s="149" t="n">
        <x:f>IF(OR(AND(I17="yes",H17="verified"),AND(I17="no",OR(H17="tested",H17="verified")),AND(H17="not applicable",K17&lt;&gt;"")),1,0)</x:f>
        <x:v>1</x:v>
      </x:c>
    </x:row>
    <x:row r="18" s="127" customFormat="1" ht="54" customHeight="1">
      <x:c r="A18" s="149" t="inlineStr">
        <x:is>
          <x:t xml:space="preserve">AR-10</x:t>
        </x:is>
      </x:c>
      <x:c r="B18" s="149" t="inlineStr">
        <x:is>
          <x:t xml:space="preserve">Overflow</x:t>
        </x:is>
      </x:c>
      <x:c r="C18" s="149" t="inlineStr">
        <x:is>
          <x:t xml:space="preserve">Root</x:t>
        </x:is>
      </x:c>
      <x:c r="D18" s="150" t="inlineStr">
        <x:is>
          <x:t xml:space="preserve">Hidden clips authored edges and visible permits overflow without changing the ratio box size.</x:t>
        </x:is>
      </x:c>
      <x:c r="E18" s="149" t="inlineStr">
        <x:is>
          <x:t xml:space="preserve">package</x:t>
        </x:is>
      </x:c>
      <x:c r="F18" s="149" t="inlineStr">
        <x:is>
          <x:t xml:space="preserve">browser</x:t>
        </x:is>
      </x:c>
      <x:c r="G18" s="150" t="inlineStr">
        <x:is>
          <x:t xml:space="preserve">tests/components/aspect-ratio/behavior.spec.ts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n">
        <x:v>46231</x:v>
      </x:c>
      <x:c r="K18" s="150" t="n"/>
      <x:c r="L18" s="149" t="n">
        <x:v>1</x:v>
      </x:c>
      <x:c r="M18" s="149" t="n">
        <x:f>IF(OR(AND(I18="yes",H18="verified"),AND(I18="no",OR(H18="tested",H18="verified")),AND(H18="not applicable",K18&lt;&gt;"")),1,0)</x:f>
        <x:v>1</x:v>
      </x:c>
    </x:row>
    <x:row r="19" s="127" customFormat="1" ht="94.5" customHeight="1">
      <x:c r="A19" s="149" t="inlineStr">
        <x:is>
          <x:t xml:space="preserve">AR-11</x:t>
        </x:is>
      </x:c>
      <x:c r="B19" s="149" t="inlineStr">
        <x:is>
          <x:t xml:space="preserve">Content</x:t>
        </x:is>
      </x:c>
      <x:c r="C19" s="149" t="inlineStr">
        <x:is>
          <x:t xml:space="preserve">Children</x:t>
        </x:is>
      </x:c>
      <x:c r="D19" s="150" t="inlineStr">
        <x:is>
          <x:t xml:space="preserve">Immediate element children fill the frame by default. Natural flow is an explicit opt-out; native media and Image retain semantics.</x:t>
        </x:is>
      </x:c>
      <x:c r="E19" s="149" t="inlineStr">
        <x:is>
          <x:t xml:space="preserve">package</x:t>
        </x:is>
      </x:c>
      <x:c r="F19" s="149" t="inlineStr">
        <x:is>
          <x:t xml:space="preserve">browser</x:t>
        </x:is>
      </x:c>
      <x:c r="G19" s="150" t="inlineStr">
        <x:is>
          <x:t xml:space="preserve">tests/components/aspect-ratio/behavior.spec.ts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46231</x:v>
      </x:c>
      <x:c r="K19" s="144" t="inlineStr">
        <x:is>
          <x:t xml:space="preserve">2026-09-09: Fill geometry and flow opt-out tested in three browsers. Child semantics preserved. See behavior.spec.ts.</x:t>
        </x:is>
      </x:c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AR-12</x:t>
        </x:is>
      </x:c>
      <x:c r="B20" s="149" t="inlineStr">
        <x:is>
          <x:t xml:space="preserve">Composition</x:t>
        </x:is>
      </x:c>
      <x:c r="C20" s="149" t="inlineStr">
        <x:is>
          <x:t xml:space="preserve">Root</x:t>
        </x:is>
      </x:c>
      <x:c r="D20" s="150" t="inlineStr">
        <x:is>
          <x:t xml:space="preserve">Native attributes, events, class, style, custom slot, ref, asChild, and render remain supported without recipe leakage.</x:t>
        </x:is>
      </x:c>
      <x:c r="E20" s="149" t="inlineStr">
        <x:is>
          <x:t xml:space="preserve">package</x:t>
        </x:is>
      </x:c>
      <x:c r="F20" s="149" t="inlineStr">
        <x:is>
          <x:t xml:space="preserve">component</x:t>
        </x:is>
      </x:c>
      <x:c r="G20" s="150" t="inlineStr">
        <x:is>
          <x:t xml:space="preserve">../test/components/aspect-ratio/aspect-ratio.test.tsx</x:t>
        </x:is>
      </x:c>
      <x:c r="H20" s="149" t="inlineStr">
        <x:is>
          <x:t xml:space="preserve">tested</x:t>
        </x:is>
      </x:c>
      <x:c r="I20" s="149" t="inlineStr">
        <x:is>
          <x:t xml:space="preserve">no</x:t>
        </x:is>
      </x:c>
      <x:c r="J20" s="151" t="n">
        <x:v>46231</x:v>
      </x:c>
      <x:c r="K20" s="150" t="n"/>
      <x:c r="L20" s="149" t="n">
        <x:v>1</x:v>
      </x:c>
      <x:c r="M20" s="149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49" t="inlineStr">
        <x:is>
          <x:t xml:space="preserve">AR-13</x:t>
        </x:is>
      </x:c>
      <x:c r="B21" s="149" t="inlineStr">
        <x:is>
          <x:t xml:space="preserve">Semantics</x:t>
        </x:is>
      </x:c>
      <x:c r="C21" s="149" t="inlineStr">
        <x:is>
          <x:t xml:space="preserve">Root / children</x:t>
        </x:is>
      </x:c>
      <x:c r="D21" s="150" t="inlineStr">
        <x:is>
          <x:t xml:space="preserve">Root adds no role, name, focus, state, or announcement while child image and iframe naming remains authoritative.</x:t>
        </x:is>
      </x:c>
      <x:c r="E21" s="149" t="inlineStr">
        <x:is>
          <x:t xml:space="preserve">package</x:t>
        </x:is>
      </x:c>
      <x:c r="F21" s="149" t="inlineStr">
        <x:is>
          <x:t xml:space="preserve">browser</x:t>
        </x:is>
      </x:c>
      <x:c r="G21" s="150" t="inlineStr">
        <x:is>
          <x:t xml:space="preserve">tests/components/aspect-ratio/behavior.spec.ts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46231</x:v>
      </x:c>
      <x:c r="K21" s="150" t="n"/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AR-14</x:t>
        </x:is>
      </x:c>
      <x:c r="B22" s="149" t="inlineStr">
        <x:is>
          <x:t xml:space="preserve">Accessibility</x:t>
        </x:is>
      </x:c>
      <x:c r="C22" s="149" t="inlineStr">
        <x:is>
          <x:t xml:space="preserve">Root / children</x:t>
        </x:is>
      </x:c>
      <x:c r="D22" s="150" t="inlineStr">
        <x:is>
          <x:t xml:space="preserve">Authored semantics, focusable descendants, narrow containment, and the component-owned axe scan pass.</x:t>
        </x:is>
      </x:c>
      <x:c r="E22" s="149" t="inlineStr">
        <x:is>
          <x:t xml:space="preserve">package</x:t>
        </x:is>
      </x:c>
      <x:c r="F22" s="149" t="inlineStr">
        <x:is>
          <x:t xml:space="preserve">axe</x:t>
        </x:is>
      </x:c>
      <x:c r="G22" s="150" t="inlineStr">
        <x:is>
          <x:t xml:space="preserve">tests/components/aspect-ratio/behavior.spec.ts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46231</x:v>
      </x:c>
      <x:c r="K22" s="150" t="n"/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94.5" customHeight="1">
      <x:c r="A23" s="149" t="inlineStr">
        <x:is>
          <x:t xml:space="preserve">AR-15</x:t>
        </x:is>
      </x:c>
      <x:c r="B23" s="149" t="inlineStr">
        <x:is>
          <x:t xml:space="preserve">Responsive</x:t>
        </x:is>
      </x:c>
      <x:c r="C23" s="149" t="inlineStr">
        <x:is>
          <x:t xml:space="preserve">Root</x:t>
        </x:is>
      </x:c>
      <x:c r="D23" s="150" t="inlineStr">
        <x:is>
          <x:t xml:space="preserve">Responsive ratios track all four breakpoints, sparse defaults and nested independence without remounting or horizontal overflow.</x:t>
        </x:is>
      </x:c>
      <x:c r="E23" s="149" t="inlineStr">
        <x:is>
          <x:t xml:space="preserve">package</x:t>
        </x:is>
      </x:c>
      <x:c r="F23" s="149" t="inlineStr">
        <x:is>
          <x:t xml:space="preserve">browser</x:t>
        </x:is>
      </x:c>
      <x:c r="G23" s="150" t="inlineStr">
        <x:is>
          <x:t xml:space="preserve">tests/components/aspect-ratio/behavior.spec.ts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>
        <x:v>46231</x:v>
      </x:c>
      <x:c r="K23" s="144" t="inlineStr">
        <x:is>
          <x:t xml:space="preserve">2026-09-09: All four breakpoints, sparse defaults, nested independence and resize without remounting pass in Chromium, Firefox and WebKit.</x:t>
        </x:is>
      </x:c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AR-16</x:t>
        </x:is>
      </x:c>
      <x:c r="B24" s="149" t="inlineStr">
        <x:is>
          <x:t xml:space="preserve">RTL</x:t>
        </x:is>
      </x:c>
      <x:c r="C24" s="149" t="inlineStr">
        <x:is>
          <x:t xml:space="preserve">Root / children</x:t>
        </x:is>
      </x:c>
      <x:c r="D24" s="150" t="inlineStr">
        <x:is>
          <x:t xml:space="preserve">Direction-neutral geometry matches LTR while localized Arabic child content retains RTL direction.</x:t>
        </x:is>
      </x:c>
      <x:c r="E24" s="149" t="inlineStr">
        <x:is>
          <x:t xml:space="preserve">package</x:t>
        </x:is>
      </x:c>
      <x:c r="F24" s="149" t="inlineStr">
        <x:is>
          <x:t xml:space="preserve">visual</x:t>
        </x:is>
      </x:c>
      <x:c r="G24" s="150" t="inlineStr">
        <x:is>
          <x:t xml:space="preserve">tests/components/aspect-ratio/visual.spec.ts</x:t>
        </x:is>
      </x:c>
      <x:c r="H24" s="149" t="inlineStr">
        <x:is>
          <x:t xml:space="preserve">implemented</x:t>
        </x:is>
      </x:c>
      <x:c r="I24" s="149" t="inlineStr">
        <x:is>
          <x:t xml:space="preserve">yes</x:t>
        </x:is>
      </x:c>
      <x:c r="J24" s="151" t="n">
        <x:v>46231</x:v>
      </x:c>
      <x:c r="K24" s="150" t="inlineStr">
        <x:is>
          <x:t xml:space="preserve">Automated geometry passes; owner visual judgment remains open.</x:t>
        </x:is>
      </x:c>
      <x:c r="L24" s="149" t="n">
        <x:v>1</x:v>
      </x:c>
      <x:c r="M24" s="149" t="n">
        <x:f>IF(OR(AND(I24="yes",H24="verified"),AND(I24="no",OR(H24="tested",H24="verified")),AND(H24="not applicable",K24&lt;&gt;"")),1,0)</x:f>
        <x:v>0</x:v>
      </x:c>
    </x:row>
    <x:row r="25" s="127" customFormat="1" ht="54" customHeight="1">
      <x:c r="A25" s="149" t="inlineStr">
        <x:is>
          <x:t xml:space="preserve">AR-17</x:t>
        </x:is>
      </x:c>
      <x:c r="B25" s="149" t="inlineStr">
        <x:is>
          <x:t xml:space="preserve">Appearance</x:t>
        </x:is>
      </x:c>
      <x:c r="C25" s="149" t="inlineStr">
        <x:is>
          <x:t xml:space="preserve">Root</x:t>
        </x:is>
      </x:c>
      <x:c r="D25" s="150" t="inlineStr">
        <x:is>
          <x:t xml:space="preserve">Light and dark badge scopes preserve neutral framing and the customized accent specimen remains legible.</x:t>
        </x:is>
      </x:c>
      <x:c r="E25" s="149" t="inlineStr">
        <x:is>
          <x:t xml:space="preserve">package</x:t>
        </x:is>
      </x:c>
      <x:c r="F25" s="149" t="inlineStr">
        <x:is>
          <x:t xml:space="preserve">visual</x:t>
        </x:is>
      </x:c>
      <x:c r="G25" s="150" t="inlineStr">
        <x:is>
          <x:t xml:space="preserve">tests/components/aspect-ratio/visual.spec.ts</x:t>
        </x:is>
      </x:c>
      <x:c r="H25" s="149" t="inlineStr">
        <x:is>
          <x:t xml:space="preserve">implemented</x:t>
        </x:is>
      </x:c>
      <x:c r="I25" s="149" t="inlineStr">
        <x:is>
          <x:t xml:space="preserve">yes</x:t>
        </x:is>
      </x:c>
      <x:c r="J25" s="151" t="n">
        <x:v>46231</x:v>
      </x:c>
      <x:c r="K25" s="150" t="inlineStr">
        <x:is>
          <x:t xml:space="preserve">Owner appearance review remains open.</x:t>
        </x:is>
      </x:c>
      <x:c r="L25" s="149" t="n">
        <x:v>1</x:v>
      </x:c>
      <x:c r="M25" s="149" t="n">
        <x:f>IF(OR(AND(I25="yes",H25="verified"),AND(I25="no",OR(H25="tested",H25="verified")),AND(H25="not applicable",K25&lt;&gt;"")),1,0)</x:f>
        <x:v>0</x:v>
      </x:c>
    </x:row>
    <x:row r="26" s="127" customFormat="1" ht="54" customHeight="1">
      <x:c r="A26" s="149" t="inlineStr">
        <x:is>
          <x:t xml:space="preserve">AR-18</x:t>
        </x:is>
      </x:c>
      <x:c r="B26" s="149" t="inlineStr">
        <x:is>
          <x:t xml:space="preserve">Preferences</x:t>
        </x:is>
      </x:c>
      <x:c r="C26" s="149" t="inlineStr">
        <x:is>
          <x:t xml:space="preserve">Root</x:t>
        </x:is>
      </x:c>
      <x:c r="D26" s="150" t="inlineStr">
        <x:is>
          <x:t xml:space="preserve">Forced colors preserves outline boundaries and reduced motion adds no component animation.</x:t>
        </x:is>
      </x:c>
      <x:c r="E26" s="149" t="inlineStr">
        <x:is>
          <x:t xml:space="preserve">package</x:t>
        </x:is>
      </x:c>
      <x:c r="F26" s="149" t="inlineStr">
        <x:is>
          <x:t xml:space="preserve">visual</x:t>
        </x:is>
      </x:c>
      <x:c r="G26" s="150" t="inlineStr">
        <x:is>
          <x:t xml:space="preserve">tests/components/aspect-ratio/visual.spec.ts; manual-tests/aspect-ratio.md</x:t>
        </x:is>
      </x:c>
      <x:c r="H26" s="149" t="inlineStr">
        <x:is>
          <x:t xml:space="preserve">implemented</x:t>
        </x:is>
      </x:c>
      <x:c r="I26" s="149" t="inlineStr">
        <x:is>
          <x:t xml:space="preserve">yes</x:t>
        </x:is>
      </x:c>
      <x:c r="J26" s="151" t="n">
        <x:v>46231</x:v>
      </x:c>
      <x:c r="K26" s="150" t="inlineStr">
        <x:is>
          <x:t xml:space="preserve">Automated forced-color baseline exists; complete human preference review remains open.</x:t>
        </x:is>
      </x:c>
      <x:c r="L26" s="149" t="n">
        <x:v>1</x:v>
      </x:c>
      <x:c r="M26" s="149" t="n">
        <x:f>IF(OR(AND(I26="yes",H26="verified"),AND(I26="no",OR(H26="tested",H26="verified")),AND(H26="not applicable",K26&lt;&gt;"")),1,0)</x:f>
        <x:v>0</x:v>
      </x:c>
    </x:row>
    <x:row r="27" s="127" customFormat="1" ht="54" customHeight="1">
      <x:c r="A27" s="149" t="inlineStr">
        <x:is>
          <x:t xml:space="preserve">AR-19</x:t>
        </x:is>
      </x:c>
      <x:c r="B27" s="149" t="inlineStr">
        <x:is>
          <x:t xml:space="preserve">Customization</x:t>
        </x:is>
      </x:c>
      <x:c r="C27" s="149" t="inlineStr">
        <x:is>
          <x:t xml:space="preserve">Root</x:t>
        </x:is>
      </x:c>
      <x:c r="D27" s="150" t="inlineStr">
        <x:is>
          <x:t xml:space="preserve">Five public variables, class, slot, recipe attributes, and consumer style customize framing without overriding Atom ratio authority.</x:t>
        </x:is>
      </x:c>
      <x:c r="E27" s="149" t="inlineStr">
        <x:is>
          <x:t xml:space="preserve">package</x:t>
        </x:is>
      </x:c>
      <x:c r="F27" s="149" t="inlineStr">
        <x:is>
          <x:t xml:space="preserve">component</x:t>
        </x:is>
      </x:c>
      <x:c r="G27" s="150" t="inlineStr">
        <x:is>
          <x:t xml:space="preserve">../test/components/aspect-ratio/aspect-ratio.test.tsx; ../docs/components/aspect-ratio/README.md</x:t>
        </x:is>
      </x:c>
      <x:c r="H27" s="149" t="inlineStr">
        <x:is>
          <x:t xml:space="preserve">tested</x:t>
        </x:is>
      </x:c>
      <x:c r="I27" s="149" t="inlineStr">
        <x:is>
          <x:t xml:space="preserve">no</x:t>
        </x:is>
      </x:c>
      <x:c r="J27" s="151" t="n">
        <x:v>46231</x:v>
      </x:c>
      <x:c r="K27" s="150" t="n"/>
      <x:c r="L27" s="149" t="n">
        <x:v>1</x:v>
      </x:c>
      <x:c r="M27" s="149" t="n">
        <x:f>IF(OR(AND(I27="yes",H27="verified"),AND(I27="no",OR(H27="tested",H27="verified")),AND(H27="not applicable",K27&lt;&gt;"")),1,0)</x:f>
        <x:v>1</x:v>
      </x:c>
    </x:row>
    <x:row r="28" s="127" customFormat="1" ht="54" customHeight="1">
      <x:c r="A28" s="149" t="inlineStr">
        <x:is>
          <x:t xml:space="preserve">AR-20</x:t>
        </x:is>
      </x:c>
      <x:c r="B28" s="149" t="inlineStr">
        <x:is>
          <x:t xml:space="preserve">Playground</x:t>
        </x:is>
      </x:c>
      <x:c r="C28" s="149" t="inlineStr">
        <x:is>
          <x:t xml:space="preserve">Root</x:t>
        </x:is>
      </x:c>
      <x:c r="D28" s="150" t="inlineStr">
        <x:is>
          <x:t xml:space="preserve">Docs show paired examples and the token Guide. ?qualification=1 preserves exhaustive scenario evidence.</x:t>
        </x:is>
      </x:c>
      <x:c r="E28" s="149" t="inlineStr">
        <x:is>
          <x:t xml:space="preserve">package</x:t>
        </x:is>
      </x:c>
      <x:c r="F28" s="149" t="inlineStr">
        <x:is>
          <x:t xml:space="preserve">playground</x:t>
        </x:is>
      </x:c>
      <x:c r="G28" s="150" t="inlineStr">
        <x:is>
          <x:t xml:space="preserve">src/components/aspect-ratio/AspectRatioPage.tsx</x:t>
        </x:is>
      </x:c>
      <x:c r="H28" s="149" t="inlineStr">
        <x:is>
          <x:t xml:space="preserve">tested</x:t>
        </x:is>
      </x:c>
      <x:c r="I28" s="149" t="inlineStr">
        <x:is>
          <x:t xml:space="preserve">no</x:t>
        </x:is>
      </x:c>
      <x:c r="J28" s="151" t="n">
        <x:v>46231</x:v>
      </x:c>
      <x:c r="K28" s="150" t="n"/>
      <x:c r="L28" s="149" t="n">
        <x:v>1</x:v>
      </x:c>
      <x:c r="M28" s="149" t="n">
        <x:f>IF(OR(AND(I28="yes",H28="verified"),AND(I28="no",OR(H28="tested",H28="verified")),AND(H28="not applicable",K28&lt;&gt;"")),1,0)</x:f>
        <x:v>1</x:v>
      </x:c>
    </x:row>
    <x:row r="29" s="127" customFormat="1" ht="54" customHeight="1">
      <x:c r="A29" s="149" t="inlineStr">
        <x:is>
          <x:t xml:space="preserve">AR-21</x:t>
        </x:is>
      </x:c>
      <x:c r="B29" s="149" t="inlineStr">
        <x:is>
          <x:t xml:space="preserve">Documentation</x:t>
        </x:is>
      </x:c>
      <x:c r="C29" s="149" t="inlineStr">
        <x:is>
          <x:t xml:space="preserve">Public guide</x:t>
        </x:is>
      </x:c>
      <x:c r="D29" s="150" t="inlineStr">
        <x:is>
          <x:t xml:space="preserve">Guide documents role, boundaries, anatomy, API, sizing caveat, recipes, semantics, composition, CSS, customization, and exclusions.</x:t>
        </x:is>
      </x:c>
      <x:c r="E29" s="149" t="inlineStr">
        <x:is>
          <x:t xml:space="preserve">package</x:t>
        </x:is>
      </x:c>
      <x:c r="F29" s="149" t="inlineStr">
        <x:is>
          <x:t xml:space="preserve">documentation</x:t>
        </x:is>
      </x:c>
      <x:c r="G29" s="150" t="inlineStr">
        <x:is>
          <x:t xml:space="preserve">../docs/components/aspect-ratio/README.md</x:t>
        </x:is>
      </x:c>
      <x:c r="H29" s="149" t="inlineStr">
        <x:is>
          <x:t xml:space="preserve">tested</x:t>
        </x:is>
      </x:c>
      <x:c r="I29" s="149" t="inlineStr">
        <x:is>
          <x:t xml:space="preserve">no</x:t>
        </x:is>
      </x:c>
      <x:c r="J29" s="151" t="n">
        <x:v>46231</x:v>
      </x:c>
      <x:c r="K29" s="150" t="n"/>
      <x:c r="L29" s="149" t="n">
        <x:v>1</x:v>
      </x:c>
      <x:c r="M29" s="149" t="n">
        <x:f>IF(OR(AND(I29="yes",H29="verified"),AND(I29="no",OR(H29="tested",H29="verified")),AND(H29="not applicable",K29&lt;&gt;"")),1,0)</x:f>
        <x:v>1</x:v>
      </x:c>
    </x:row>
    <x:row r="30" s="127" customFormat="1" ht="54" customHeight="1">
      <x:c r="A30" s="149" t="inlineStr">
        <x:is>
          <x:t xml:space="preserve">AR-22</x:t>
        </x:is>
      </x:c>
      <x:c r="B30" s="149" t="inlineStr">
        <x:is>
          <x:t xml:space="preserve">Changelog</x:t>
        </x:is>
      </x:c>
      <x:c r="C30" s="149" t="inlineStr">
        <x:is>
          <x:t xml:space="preserve">Public record</x:t>
        </x:is>
      </x:c>
      <x:c r="D30" s="150" t="inlineStr">
        <x:is>
          <x:t xml:space="preserve">Component and package changelogs describe the release-facing AspectRatio addition.</x:t>
        </x:is>
      </x:c>
      <x:c r="E30" s="149" t="inlineStr">
        <x:is>
          <x:t xml:space="preserve">package</x:t>
        </x:is>
      </x:c>
      <x:c r="F30" s="149" t="inlineStr">
        <x:is>
          <x:t xml:space="preserve">documentation</x:t>
        </x:is>
      </x:c>
      <x:c r="G30" s="150" t="inlineStr">
        <x:is>
          <x:t xml:space="preserve">../docs/components/aspect-ratio/CHANGELOG.md; ../CHANGELOG.md</x:t>
        </x:is>
      </x:c>
      <x:c r="H30" s="149" t="inlineStr">
        <x:is>
          <x:t xml:space="preserve">tested</x:t>
        </x:is>
      </x:c>
      <x:c r="I30" s="149" t="inlineStr">
        <x:is>
          <x:t xml:space="preserve">no</x:t>
        </x:is>
      </x:c>
      <x:c r="J30" s="151" t="n">
        <x:v>46231</x:v>
      </x:c>
      <x:c r="K30" s="150" t="n"/>
      <x:c r="L30" s="149" t="n">
        <x:v>1</x:v>
      </x:c>
      <x:c r="M30" s="149" t="n">
        <x:f>IF(OR(AND(I30="yes",H30="verified"),AND(I30="no",OR(H30="tested",H30="verified")),AND(H30="not applicable",K30&lt;&gt;"")),1,0)</x:f>
        <x:v>1</x:v>
      </x:c>
    </x:row>
    <x:row r="31" s="127" customFormat="1" ht="54" customHeight="1">
      <x:c r="A31" s="149" t="inlineStr">
        <x:is>
          <x:t xml:space="preserve">AR-23</x:t>
        </x:is>
      </x:c>
      <x:c r="B31" s="149" t="inlineStr">
        <x:is>
          <x:t xml:space="preserve">Consumer</x:t>
        </x:is>
      </x:c>
      <x:c r="C31" s="149" t="inlineStr">
        <x:is>
          <x:t xml:space="preserve">Root</x:t>
        </x:is>
      </x:c>
      <x:c r="D31" s="150" t="inlineStr">
        <x:is>
          <x:t xml:space="preserve">Packed Consumer composes Aspect Ratio from its public subpath with Badge/Text metadata inside a realistic project Card.</x:t>
        </x:is>
      </x:c>
      <x:c r="E31" s="149" t="inlineStr">
        <x:is>
          <x:t xml:space="preserve">consumer</x:t>
        </x:is>
      </x:c>
      <x:c r="F31" s="149" t="inlineStr">
        <x:is>
          <x:t xml:space="preserve">consumer</x:t>
        </x:is>
      </x:c>
      <x:c r="G31" s="150" t="inlineStr">
        <x:is>
          <x:t xml:space="preserve">../apps/consumer/src/App.tsx; ../apps/consumer/tests/consumer.spec.ts</x:t>
        </x:is>
      </x:c>
      <x:c r="H31" s="149" t="inlineStr">
        <x:is>
          <x:t xml:space="preserve">tested</x:t>
        </x:is>
      </x:c>
      <x:c r="I31" s="149" t="inlineStr">
        <x:is>
          <x:t xml:space="preserve">no</x:t>
        </x:is>
      </x:c>
      <x:c r="J31" s="151" t="inlineStr">
        <x:is>
          <x:t xml:space="preserve">2026-07-28</x:t>
        </x:is>
      </x:c>
      <x:c r="K31" s="150" t="inlineStr">
        <x:is>
          <x:t xml:space="preserve">Tested through the packed public subpath in the real Consumer on desktop and mobile Chromium.</x:t>
        </x:is>
      </x:c>
      <x:c r="L31" s="149" t="n">
        <x:v>1</x:v>
      </x:c>
      <x:c r="M31" s="149" t="n">
        <x:f>IF(OR(AND(I31="yes",H31="verified"),AND(I31="no",OR(H31="tested",H31="verified")),AND(H31="not applicable",K31&lt;&gt;"")),1,0)</x:f>
        <x:v>1</x:v>
      </x:c>
    </x:row>
    <x:row r="32" s="127" customFormat="1" ht="54" customHeight="1">
      <x:c r="A32" s="149" t="inlineStr">
        <x:is>
          <x:t xml:space="preserve">AR-24</x:t>
        </x:is>
      </x:c>
      <x:c r="B32" s="149" t="inlineStr">
        <x:is>
          <x:t xml:space="preserve">Visual</x:t>
        </x:is>
      </x:c>
      <x:c r="C32" s="149" t="inlineStr">
        <x:is>
          <x:t xml:space="preserve">Root / children</x:t>
        </x:is>
      </x:c>
      <x:c r="D32" s="150" t="inlineStr">
        <x:is>
          <x:t xml:space="preserve">Baselines cover overview, ratios, variants, radii, content, dark customization, mobile RTL, and forced colors.</x:t>
        </x:is>
      </x:c>
      <x:c r="E32" s="149" t="inlineStr">
        <x:is>
          <x:t xml:space="preserve">package</x:t>
        </x:is>
      </x:c>
      <x:c r="F32" s="149" t="inlineStr">
        <x:is>
          <x:t xml:space="preserve">visual</x:t>
        </x:is>
      </x:c>
      <x:c r="G32" s="150" t="inlineStr">
        <x:is>
          <x:t xml:space="preserve">tests/components/aspect-ratio/visual.spec.ts</x:t>
        </x:is>
      </x:c>
      <x:c r="H32" s="149" t="inlineStr">
        <x:is>
          <x:t xml:space="preserve">implemented</x:t>
        </x:is>
      </x:c>
      <x:c r="I32" s="149" t="inlineStr">
        <x:is>
          <x:t xml:space="preserve">yes</x:t>
        </x:is>
      </x:c>
      <x:c r="J32" s="151" t="n">
        <x:v>46231</x:v>
      </x:c>
      <x:c r="K32" s="150" t="inlineStr">
        <x:is>
          <x:t xml:space="preserve">Owner baseline review remains open.</x:t>
        </x:is>
      </x:c>
      <x:c r="L32" s="149" t="n">
        <x:v>1</x:v>
      </x:c>
      <x:c r="M32" s="149" t="n">
        <x:f>IF(OR(AND(I32="yes",H32="verified"),AND(I32="no",OR(H32="tested",H32="verified")),AND(H32="not applicable",K32&lt;&gt;"")),1,0)</x:f>
        <x:v>0</x:v>
      </x:c>
    </x:row>
    <x:row r="33" s="127" customFormat="1" ht="54" customHeight="1">
      <x:c r="A33" s="149" t="inlineStr">
        <x:is>
          <x:t xml:space="preserve">AR-25</x:t>
        </x:is>
      </x:c>
      <x:c r="B33" s="149" t="inlineStr">
        <x:is>
          <x:t xml:space="preserve">Manual</x:t>
        </x:is>
      </x:c>
      <x:c r="C33" s="149" t="inlineStr">
        <x:is>
          <x:t xml:space="preserve">Root / children</x:t>
        </x:is>
      </x:c>
      <x:c r="D33" s="150" t="inlineStr">
        <x:is>
          <x:t xml:space="preserve">Owner reviews geometry, clipping, semantics, keyboard focus, zoom, touch, RTL, appearances, and preferences.</x:t>
        </x:is>
      </x:c>
      <x:c r="E33" s="149" t="inlineStr">
        <x:is>
          <x:t xml:space="preserve">package</x:t>
        </x:is>
      </x:c>
      <x:c r="F33" s="149" t="inlineStr">
        <x:is>
          <x:t xml:space="preserve">manual</x:t>
        </x:is>
      </x:c>
      <x:c r="G33" s="150" t="inlineStr">
        <x:is>
          <x:t xml:space="preserve">manual-tests/aspect-ratio.md</x:t>
        </x:is>
      </x:c>
      <x:c r="H33" s="149" t="inlineStr">
        <x:is>
          <x:t xml:space="preserve">not started</x:t>
        </x:is>
      </x:c>
      <x:c r="I33" s="149" t="inlineStr">
        <x:is>
          <x:t xml:space="preserve">yes</x:t>
        </x:is>
      </x:c>
      <x:c r="J33" s="151" t="n"/>
      <x:c r="K33" s="150" t="inlineStr">
        <x:is>
          <x:t xml:space="preserve">Human run intentionally unclaimed.</x:t>
        </x:is>
      </x:c>
      <x:c r="L33" s="149" t="n">
        <x:v>1</x:v>
      </x:c>
      <x:c r="M33" s="149" t="n">
        <x:f>IF(OR(AND(I33="yes",H33="verified"),AND(I33="no",OR(H33="tested",H33="verified")),AND(H33="not applicable",K33&lt;&gt;"")),1,0)</x:f>
        <x:v>0</x:v>
      </x:c>
    </x:row>
    <x:row r="34" s="127" customFormat="1" ht="54" customHeight="1">
      <x:c r="A34" s="149" t="inlineStr">
        <x:is>
          <x:t xml:space="preserve">AR-26</x:t>
        </x:is>
      </x:c>
      <x:c r="B34" s="149" t="inlineStr">
        <x:is>
          <x:t xml:space="preserve">Package</x:t>
        </x:is>
      </x:c>
      <x:c r="C34" s="149" t="inlineStr">
        <x:is>
          <x:t xml:space="preserve">Artifact</x:t>
        </x:is>
      </x:c>
      <x:c r="D34" s="150" t="inlineStr">
        <x:is>
          <x:t xml:space="preserve">Build, declarations, exports, SSR, CSS, docs, tarball, React 18/19, browser matrix, and packed Consumer pass.</x:t>
        </x:is>
      </x:c>
      <x:c r="E34" s="149" t="inlineStr">
        <x:is>
          <x:t xml:space="preserve">package</x:t>
        </x:is>
      </x:c>
      <x:c r="F34" s="149" t="inlineStr">
        <x:is>
          <x:t xml:space="preserve">package</x:t>
        </x:is>
      </x:c>
      <x:c r="G34" s="150" t="inlineStr">
        <x:is>
          <x:t xml:space="preserve">../test/package/package.test.mjs; ../scripts/verify-package.mjs</x:t>
        </x:is>
      </x:c>
      <x:c r="H34" s="149" t="inlineStr">
        <x:is>
          <x:t xml:space="preserve">tested</x:t>
        </x:is>
      </x:c>
      <x:c r="I34" s="149" t="inlineStr">
        <x:is>
          <x:t xml:space="preserve">no</x:t>
        </x:is>
      </x:c>
      <x:c r="J34" s="151" t="inlineStr">
        <x:is>
          <x:t xml:space="preserve">2026-07-28</x:t>
        </x:is>
      </x:c>
      <x:c r="K34" s="150" t="inlineStr">
        <x:is>
          <x:t xml:space="preserve">Unit, type, package, SSR, browser, visual, documentation, ownership, Consumer, and CSS build gates pass.</x:t>
        </x:is>
      </x:c>
      <x:c r="L34" s="149" t="n">
        <x:v>1</x:v>
      </x:c>
      <x:c r="M34" s="149" t="n">
        <x:f>IF(OR(AND(I34="yes",H34="verified"),AND(I34="no",OR(H34="tested",H34="verified")),AND(H34="not applicable",K34&lt;&gt;"")),1,0)</x:f>
        <x:v>1</x:v>
      </x:c>
    </x:row>
    <x:row r="35" s="127" customFormat="1" ht="54" customHeight="1"/>
    <x:row r="36" s="127" customFormat="1" ht="54" customHeight="1"/>
    <x:row r="37" s="127" customFormat="1" ht="54" customHeight="1"/>
    <x:row r="38" s="127" customFormat="1" ht="54" customHeight="1"/>
    <x:row r="39" s="127" customFormat="1" ht="54" customHeight="1"/>
  </x:sheetData>
  <x:mergeCells>
    <x:mergeCell ref="A2:M2"/>
    <x:mergeCell ref="A1:M1"/>
  </x:mergeCells>
  <x:conditionalFormatting sqref="H9:H24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1" showDropDown="0" showInputMessage="1" showErrorMessage="1" sqref="H9:H24">
      <x:formula1>"not started,partial,implemented,tested,verified,blocked,not applicable"</x:formula1>
      <x:formula2>0</x:formula2>
    </x:dataValidation>
    <x:dataValidation type="list" errorStyle="stop" operator="between" allowBlank="1" showDropDown="0" showInputMessage="1" showErrorMessage="1" sqref="I9:I24">
      <x:formula1>"yes,no"</x:formula1>
      <x:formula2>0</x:formula2>
    </x:dataValidation>
  </x:dataValidations>
  <x:pageMargins left="0.7" right="0.7" top="0.75" bottom="0.75" header="0.3" footer="0.3"/>
</x:worksheet>
</file>

<file path=xl/worksheets/sheet65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Toolbar Evidence</x:t>
        </x:is>
      </x:c>
    </x:row>
    <x:row r="2" s="127" customFormat="1" ht="27.75" customHeight="1">
      <x:c r="A2" s="129" t="inlineStr">
        <x:is>
          <x:t xml:space="preserve">Eight-part Toolbar anatomy, shared control recipes, disabled state, input editing, responsive containment and qualification.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COUNTA(A9:A38)</x:f>
        <x:v>30</x:v>
      </x:c>
      <x:c r="D4" s="130" t="inlineStr">
        <x:is>
          <x:t xml:space="preserve">Resolved</x:t>
        </x:is>
      </x:c>
      <x:c r="E4" s="131" t="n">
        <x:f>SUM(M9:M38)</x:f>
        <x:v>21</x:v>
      </x:c>
      <x:c r="G4" s="130" t="inlineStr">
        <x:is>
          <x:t xml:space="preserve">Completion</x:t>
        </x:is>
      </x:c>
      <x:c r="H4" s="132" t="n">
        <x:f>IF(B4=0,0,E4/B4)</x:f>
        <x:v>0.7</x:v>
      </x:c>
      <x:c r="J4" s="130" t="inlineStr">
        <x:is>
          <x:t xml:space="preserve">Package gate</x:t>
        </x:is>
      </x:c>
      <x:c r="K4" s="131" t="str">
        <x:f>IF(COUNTIFS(E9:E38,"package",M9:M38,0)&gt;0,"open","complete")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IF(COUNTIFS(I9:I38,"yes",M9:M38,0)&gt;0,"open","complete")</x:f>
        <x:v>open</x:v>
      </x:c>
      <x:c r="D5" s="130" t="inlineStr">
        <x:is>
          <x:t xml:space="preserve">Consumer gate</x:t>
        </x:is>
      </x:c>
      <x:c r="E5" s="131" t="str">
        <x:f>IF(COUNTIFS(E9:E38,"consumer",M9:M38,0)&gt;0,"open","complete")</x:f>
        <x:v>open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TB-01</x:t>
        </x:is>
      </x:c>
      <x:c r="B9" s="149" t="inlineStr">
        <x:is>
          <x:t xml:space="preserve">Ownership</x:t>
        </x:is>
      </x:c>
      <x:c r="C9" s="149" t="inlineStr">
        <x:is>
          <x:t xml:space="preserve">All parts</x:t>
        </x:is>
      </x:c>
      <x:c r="D9" s="150" t="inlineStr">
        <x:is>
          <x:t xml:space="preserve">Brick consumes a digest-locked local Atom 0.26.1 candidate. Behavior remains owned by Atom.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../src/components/toolbar/Toolbar.tsx; ../package.json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46281.5</x:v>
      </x:c>
      <x:c r="K9" s="150" t="inlineStr">
        <x:is>
          <x:t xml:space="preserve">Unpublished candidate c203e94d5441f69e2c6987832ef2f810bb055c1f48a851795f4bc0af49a3b307.</x:t>
        </x:is>
      </x:c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TB-02</x:t>
        </x:is>
      </x:c>
      <x:c r="B10" s="149" t="inlineStr">
        <x:is>
          <x:t xml:space="preserve">API</x:t>
        </x:is>
      </x:c>
      <x:c r="C10" s="149" t="inlineStr">
        <x:is>
          <x:t xml:space="preserve">Public surface</x:t>
        </x:is>
      </x:c>
      <x:c r="D10" s="150" t="inlineStr">
        <x:is>
          <x:t xml:space="preserve">Namespace and named exports include Root, Button, Link, Separator, Group, Input, ToggleGroup and ToggleItem with their public types.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../test/components/toolbar/toolbar.test.tsx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46281.5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TB-03</x:t>
        </x:is>
      </x:c>
      <x:c r="B11" s="149" t="inlineStr">
        <x:is>
          <x:t xml:space="preserve">Anatomy</x:t>
        </x:is>
      </x:c>
      <x:c r="C11" s="149" t="inlineStr">
        <x:is>
          <x:t xml:space="preserve">All parts</x:t>
        </x:is>
      </x:c>
      <x:c r="D11" s="150" t="inlineStr">
        <x:is>
          <x:t xml:space="preserve">Eight parts preserve one focus scope; Group adds named grouping and Input forwards its native input ref. Button content wrappers match Button.</x:t>
        </x:is>
      </x:c>
      <x:c r="E11" s="149" t="inlineStr">
        <x:is>
          <x:t xml:space="preserve">package</x:t>
        </x:is>
      </x:c>
      <x:c r="F11" s="149" t="inlineStr">
        <x:is>
          <x:t xml:space="preserve">component</x:t>
        </x:is>
      </x:c>
      <x:c r="G11" s="150" t="inlineStr">
        <x:is>
          <x:t xml:space="preserve">../test/components/toolbar/toolbar.test.tsx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46281.5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TB-04</x:t>
        </x:is>
      </x:c>
      <x:c r="B12" s="149" t="inlineStr">
        <x:is>
          <x:t xml:space="preserve">Types</x:t>
        </x:is>
      </x:c>
      <x:c r="C12" s="149" t="inlineStr">
        <x:is>
          <x:t xml:space="preserve">Public surface</x:t>
        </x:is>
      </x:c>
      <x:c r="D12" s="150" t="inlineStr">
        <x:is>
          <x:t xml:space="preserve">Closed variant and size unions, native props, orientation, direction, refs, asChild, render, and toggle models type-check.</x:t>
        </x:is>
      </x:c>
      <x:c r="E12" s="149" t="inlineStr">
        <x:is>
          <x:t xml:space="preserve">package</x:t>
        </x:is>
      </x:c>
      <x:c r="F12" s="149" t="inlineStr">
        <x:is>
          <x:t xml:space="preserve">types</x:t>
        </x:is>
      </x:c>
      <x:c r="G12" s="150" t="inlineStr">
        <x:is>
          <x:t xml:space="preserve">../test/types/components/toolbar.test.ts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46281.5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TB-05</x:t>
        </x:is>
      </x:c>
      <x:c r="B13" s="149" t="inlineStr">
        <x:is>
          <x:t xml:space="preserve">Exports</x:t>
        </x:is>
      </x:c>
      <x:c r="C13" s="149" t="inlineStr">
        <x:is>
          <x:t xml:space="preserve">All parts</x:t>
        </x:is>
      </x:c>
      <x:c r="D13" s="150" t="inlineStr">
        <x:is>
          <x:t xml:space="preserve">Root and toolbar subpath exports preserve namespace and named runtime identity in the packed package.</x:t>
        </x:is>
      </x:c>
      <x:c r="E13" s="149" t="inlineStr">
        <x:is>
          <x:t xml:space="preserve">package</x:t>
        </x:is>
      </x:c>
      <x:c r="F13" s="149" t="inlineStr">
        <x:is>
          <x:t xml:space="preserve">package</x:t>
        </x:is>
      </x:c>
      <x:c r="G13" s="150" t="inlineStr">
        <x:is>
          <x:t xml:space="preserve">../test/package/package.test.mjs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46231</x:v>
      </x:c>
      <x:c r="K13" s="150" t="n"/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TB-06</x:t>
        </x:is>
      </x:c>
      <x:c r="B14" s="149" t="inlineStr">
        <x:is>
          <x:t xml:space="preserve">SSR</x:t>
        </x:is>
      </x:c>
      <x:c r="C14" s="149" t="inlineStr">
        <x:is>
          <x:t xml:space="preserve">All parts</x:t>
        </x:is>
      </x:c>
      <x:c r="D14" s="150" t="inlineStr">
        <x:is>
          <x:t xml:space="preserve">Toolbar imports server-safely and emits deterministic toolbar, command, link, separator, group, and pressed-state anatomy.</x:t>
        </x:is>
      </x:c>
      <x:c r="E14" s="149" t="inlineStr">
        <x:is>
          <x:t xml:space="preserve">package</x:t>
        </x:is>
      </x:c>
      <x:c r="F14" s="149" t="inlineStr">
        <x:is>
          <x:t xml:space="preserve">package</x:t>
        </x:is>
      </x:c>
      <x:c r="G14" s="150" t="inlineStr">
        <x:is>
          <x:t xml:space="preserve">../test/package/ssr.test.mjs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46231</x:v>
      </x:c>
      <x:c r="K14" s="150" t="n"/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TB-07</x:t>
        </x:is>
      </x:c>
      <x:c r="B15" s="149" t="inlineStr">
        <x:is>
          <x:t xml:space="preserve">Defaults</x:t>
        </x:is>
      </x:c>
      <x:c r="C15" s="149" t="inlineStr">
        <x:is>
          <x:t xml:space="preserve">Root</x:t>
        </x:is>
      </x:c>
      <x:c r="D15" s="150" t="inlineStr">
        <x:is>
          <x:t xml:space="preserve">The default soft, medium, horizontal, LTR Toolbar remains content-sized and exposes one named toolbar landmark.</x:t>
        </x:is>
      </x:c>
      <x:c r="E15" s="149" t="inlineStr">
        <x:is>
          <x:t xml:space="preserve">package</x:t>
        </x:is>
      </x:c>
      <x:c r="F15" s="149" t="inlineStr">
        <x:is>
          <x:t xml:space="preserve">browser</x:t>
        </x:is>
      </x:c>
      <x:c r="G15" s="150" t="inlineStr">
        <x:is>
          <x:t xml:space="preserve">tests/components/toolbar/behavior.spec.ts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46231</x:v>
      </x:c>
      <x:c r="K15" s="150" t="n"/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TB-08</x:t>
        </x:is>
      </x:c>
      <x:c r="B16" s="149" t="inlineStr">
        <x:is>
          <x:t xml:space="preserve">Variants</x:t>
        </x:is>
      </x:c>
      <x:c r="C16" s="149" t="inlineStr">
        <x:is>
          <x:t xml:space="preserve">Root</x:t>
        </x:is>
      </x:c>
      <x:c r="D16" s="150" t="inlineStr">
        <x:is>
          <x:t xml:space="preserve">Plain, soft, transparent outline and filled surface change the container treatment.</x:t>
        </x:is>
      </x:c>
      <x:c r="E16" s="149" t="inlineStr">
        <x:is>
          <x:t xml:space="preserve">package</x:t>
        </x:is>
      </x:c>
      <x:c r="F16" s="149" t="inlineStr">
        <x:is>
          <x:t xml:space="preserve">visual</x:t>
        </x:is>
      </x:c>
      <x:c r="G16" s="150" t="inlineStr">
        <x:is>
          <x:t xml:space="preserve">tests/components/toolbar/visual.spec.ts</x:t>
        </x:is>
      </x:c>
      <x:c r="H16" s="149" t="inlineStr">
        <x:is>
          <x:t xml:space="preserve">implemented</x:t>
        </x:is>
      </x:c>
      <x:c r="I16" s="149" t="inlineStr">
        <x:is>
          <x:t xml:space="preserve">yes</x:t>
        </x:is>
      </x:c>
      <x:c r="J16" s="151" t="n">
        <x:v>46231</x:v>
      </x:c>
      <x:c r="K16" s="150" t="inlineStr">
        <x:is>
          <x:t xml:space="preserve">Owner comparison review remains open.</x:t>
        </x:is>
      </x:c>
      <x:c r="L16" s="149" t="n">
        <x:v>1</x:v>
      </x:c>
      <x:c r="M16" s="149" t="n">
        <x:f>IF(OR(AND(I16="yes",H16="verified"),AND(I16="no",OR(H16="tested",H16="verified")),AND(H16="not applicable",K16&lt;&gt;"")),1,0)</x:f>
        <x:v>0</x:v>
      </x:c>
    </x:row>
    <x:row r="17" s="127" customFormat="1" ht="54" customHeight="1">
      <x:c r="A17" s="149" t="inlineStr">
        <x:is>
          <x:t xml:space="preserve">TB-09</x:t>
        </x:is>
      </x:c>
      <x:c r="B17" s="149" t="inlineStr">
        <x:is>
          <x:t xml:space="preserve">Sizes</x:t>
        </x:is>
      </x:c>
      <x:c r="C17" s="149" t="inlineStr">
        <x:is>
          <x:t xml:space="preserve">Root / items</x:t>
        </x:is>
      </x:c>
      <x:c r="D17" s="150" t="inlineStr">
        <x:is>
          <x:t xml:space="preserve">Seven responsive sizes inherit into Button, ToggleItem and Input with explicit child overrides.</x:t>
        </x:is>
      </x:c>
      <x:c r="E17" s="149" t="inlineStr">
        <x:is>
          <x:t xml:space="preserve">package</x:t>
        </x:is>
      </x:c>
      <x:c r="F17" s="149" t="inlineStr">
        <x:is>
          <x:t xml:space="preserve">visual</x:t>
        </x:is>
      </x:c>
      <x:c r="G17" s="150" t="inlineStr">
        <x:is>
          <x:t xml:space="preserve">tests/components/toolbar/visual.spec.ts</x:t>
        </x:is>
      </x:c>
      <x:c r="H17" s="149" t="inlineStr">
        <x:is>
          <x:t xml:space="preserve">implemented</x:t>
        </x:is>
      </x:c>
      <x:c r="I17" s="149" t="inlineStr">
        <x:is>
          <x:t xml:space="preserve">yes</x:t>
        </x:is>
      </x:c>
      <x:c r="J17" s="151" t="n">
        <x:v>46231</x:v>
      </x:c>
      <x:c r="K17" s="150" t="inlineStr">
        <x:is>
          <x:t xml:space="preserve">Owner size review remains open.</x:t>
        </x:is>
      </x:c>
      <x:c r="L17" s="149" t="n">
        <x:v>1</x:v>
      </x:c>
      <x:c r="M17" s="149" t="n">
        <x:f>IF(OR(AND(I17="yes",H17="verified"),AND(I17="no",OR(H17="tested",H17="verified")),AND(H17="not applicable",K17&lt;&gt;"")),1,0)</x:f>
        <x:v>0</x:v>
      </x:c>
    </x:row>
    <x:row r="18" s="127" customFormat="1" ht="54" customHeight="1">
      <x:c r="A18" s="149" t="inlineStr">
        <x:is>
          <x:t xml:space="preserve">TB-10</x:t>
        </x:is>
      </x:c>
      <x:c r="B18" s="149" t="inlineStr">
        <x:is>
          <x:t xml:space="preserve">Commands</x:t>
        </x:is>
      </x:c>
      <x:c r="C18" s="149" t="inlineStr">
        <x:is>
          <x:t xml:space="preserve">Button</x:t>
        </x:is>
      </x:c>
      <x:c r="D18" s="150" t="inlineStr">
        <x:is>
          <x:t xml:space="preserve">Shared Button rendering preserves individual/root disabled, loading and focusable-but-inert disabled states.</x:t>
        </x:is>
      </x:c>
      <x:c r="E18" s="149" t="inlineStr">
        <x:is>
          <x:t xml:space="preserve">package</x:t>
        </x:is>
      </x:c>
      <x:c r="F18" s="149" t="inlineStr">
        <x:is>
          <x:t xml:space="preserve">component</x:t>
        </x:is>
      </x:c>
      <x:c r="G18" s="150" t="inlineStr">
        <x:is>
          <x:t xml:space="preserve">../test/components/toolbar/toolbar.test.tsx; tests/components/toolbar/behavior.spec.ts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n">
        <x:v>46281.5</x:v>
      </x:c>
      <x:c r="K18" s="150" t="n"/>
      <x:c r="L18" s="149" t="n">
        <x:v>1</x:v>
      </x:c>
      <x:c r="M18" s="149" t="n">
        <x:f>IF(OR(AND(I18="yes",H18="verified"),AND(I18="no",OR(H18="tested",H18="verified")),AND(H18="not applicable",K18&lt;&gt;"")),1,0)</x:f>
        <x:v>1</x:v>
      </x:c>
    </x:row>
    <x:row r="19" s="127" customFormat="1" ht="54" customHeight="1">
      <x:c r="A19" s="149" t="inlineStr">
        <x:is>
          <x:t xml:space="preserve">TB-11</x:t>
        </x:is>
      </x:c>
      <x:c r="B19" s="149" t="inlineStr">
        <x:is>
          <x:t xml:space="preserve">Links</x:t>
        </x:is>
      </x:c>
      <x:c r="C19" s="149" t="inlineStr">
        <x:is>
          <x:t xml:space="preserve">Link</x:t>
        </x:is>
      </x:c>
      <x:c r="D19" s="150" t="inlineStr">
        <x:is>
          <x:t xml:space="preserve">Links retain native anchor navigation and participate in the Toolbar roving-focus sequence without button semantics.</x:t>
        </x:is>
      </x:c>
      <x:c r="E19" s="149" t="inlineStr">
        <x:is>
          <x:t xml:space="preserve">package</x:t>
        </x:is>
      </x:c>
      <x:c r="F19" s="149" t="inlineStr">
        <x:is>
          <x:t xml:space="preserve">browser</x:t>
        </x:is>
      </x:c>
      <x:c r="G19" s="150" t="inlineStr">
        <x:is>
          <x:t xml:space="preserve">tests/components/toolbar/behavior.spec.ts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46231</x:v>
      </x:c>
      <x:c r="K19" s="150" t="n"/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TB-12</x:t>
        </x:is>
      </x:c>
      <x:c r="B20" s="149" t="inlineStr">
        <x:is>
          <x:t xml:space="preserve">Separators</x:t>
        </x:is>
      </x:c>
      <x:c r="C20" s="149" t="inlineStr">
        <x:is>
          <x:t xml:space="preserve">Separator</x:t>
        </x:is>
      </x:c>
      <x:c r="D20" s="150" t="inlineStr">
        <x:is>
          <x:t xml:space="preserve">Separator forwards refs and defaults perpendicular to Root; decorative hides it from accessibility APIs.</x:t>
        </x:is>
      </x:c>
      <x:c r="E20" s="149" t="inlineStr">
        <x:is>
          <x:t xml:space="preserve">package</x:t>
        </x:is>
      </x:c>
      <x:c r="F20" s="149" t="inlineStr">
        <x:is>
          <x:t xml:space="preserve">component</x:t>
        </x:is>
      </x:c>
      <x:c r="G20" s="150" t="inlineStr">
        <x:is>
          <x:t xml:space="preserve">../test/components/toolbar/toolbar.test.tsx</x:t>
        </x:is>
      </x:c>
      <x:c r="H20" s="149" t="inlineStr">
        <x:is>
          <x:t xml:space="preserve">tested</x:t>
        </x:is>
      </x:c>
      <x:c r="I20" s="149" t="inlineStr">
        <x:is>
          <x:t xml:space="preserve">no</x:t>
        </x:is>
      </x:c>
      <x:c r="J20" s="151" t="n">
        <x:v>46281.5</x:v>
      </x:c>
      <x:c r="K20" s="150" t="n"/>
      <x:c r="L20" s="149" t="n">
        <x:v>1</x:v>
      </x:c>
      <x:c r="M20" s="149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49" t="inlineStr">
        <x:is>
          <x:t xml:space="preserve">TB-13</x:t>
        </x:is>
      </x:c>
      <x:c r="B21" s="149" t="inlineStr">
        <x:is>
          <x:t xml:space="preserve">Single toggle</x:t>
        </x:is>
      </x:c>
      <x:c r="C21" s="149" t="inlineStr">
        <x:is>
          <x:t xml:space="preserve">ToggleGroup / ToggleItem</x:t>
        </x:is>
      </x:c>
      <x:c r="D21" s="150" t="inlineStr">
        <x:is>
          <x:t xml:space="preserve">Single-value toggles preserve controlled and uncontrolled Atom state with exact aria-pressed output.</x:t>
        </x:is>
      </x:c>
      <x:c r="E21" s="149" t="inlineStr">
        <x:is>
          <x:t xml:space="preserve">package</x:t>
        </x:is>
      </x:c>
      <x:c r="F21" s="149" t="inlineStr">
        <x:is>
          <x:t xml:space="preserve">component</x:t>
        </x:is>
      </x:c>
      <x:c r="G21" s="150" t="inlineStr">
        <x:is>
          <x:t xml:space="preserve">../test/components/toolbar/toolbar.test.tsx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46231</x:v>
      </x:c>
      <x:c r="K21" s="150" t="n"/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TB-14</x:t>
        </x:is>
      </x:c>
      <x:c r="B22" s="149" t="inlineStr">
        <x:is>
          <x:t xml:space="preserve">Multiple toggle</x:t>
        </x:is>
      </x:c>
      <x:c r="C22" s="149" t="inlineStr">
        <x:is>
          <x:t xml:space="preserve">ToggleGroup / ToggleItem</x:t>
        </x:is>
      </x:c>
      <x:c r="D22" s="150" t="inlineStr">
        <x:is>
          <x:t xml:space="preserve">Multiple-value toggles preserve independent pressed state without Toolbar absorbing selection ownership.</x:t>
        </x:is>
      </x:c>
      <x:c r="E22" s="149" t="inlineStr">
        <x:is>
          <x:t xml:space="preserve">package</x:t>
        </x:is>
      </x:c>
      <x:c r="F22" s="149" t="inlineStr">
        <x:is>
          <x:t xml:space="preserve">browser</x:t>
        </x:is>
      </x:c>
      <x:c r="G22" s="150" t="inlineStr">
        <x:is>
          <x:t xml:space="preserve">tests/components/toolbar/behavior.spec.ts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46231</x:v>
      </x:c>
      <x:c r="K22" s="150" t="n"/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TB-15</x:t>
        </x:is>
      </x:c>
      <x:c r="B23" s="149" t="inlineStr">
        <x:is>
          <x:t xml:space="preserve">Keyboard</x:t>
        </x:is>
      </x:c>
      <x:c r="C23" s="149" t="inlineStr">
        <x:is>
          <x:t xml:space="preserve">All focusable parts</x:t>
        </x:is>
      </x:c>
      <x:c r="D23" s="150" t="inlineStr">
        <x:is>
          <x:t xml:space="preserve">One Tab entry, orientation-aware arrows, Home, End, looping, and disabled-item omission remain Atom-owned.</x:t>
        </x:is>
      </x:c>
      <x:c r="E23" s="149" t="inlineStr">
        <x:is>
          <x:t xml:space="preserve">package</x:t>
        </x:is>
      </x:c>
      <x:c r="F23" s="149" t="inlineStr">
        <x:is>
          <x:t xml:space="preserve">browser</x:t>
        </x:is>
      </x:c>
      <x:c r="G23" s="150" t="inlineStr">
        <x:is>
          <x:t xml:space="preserve">tests/components/toolbar/behavior.spec.ts; Atom Toolbar interaction tests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>
        <x:v>46231</x:v>
      </x:c>
      <x:c r="K23" s="150" t="n"/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TB-16</x:t>
        </x:is>
      </x:c>
      <x:c r="B24" s="149" t="inlineStr">
        <x:is>
          <x:t xml:space="preserve">Orientation</x:t>
        </x:is>
      </x:c>
      <x:c r="C24" s="149" t="inlineStr">
        <x:is>
          <x:t xml:space="preserve">Root / Separator</x:t>
        </x:is>
      </x:c>
      <x:c r="D24" s="150" t="inlineStr">
        <x:is>
          <x:t xml:space="preserve">Horizontal and vertical layouts coordinate main-axis overflow, separator orientation, and direction-aware keyboard order.</x:t>
        </x:is>
      </x:c>
      <x:c r="E24" s="149" t="inlineStr">
        <x:is>
          <x:t xml:space="preserve">package</x:t>
        </x:is>
      </x:c>
      <x:c r="F24" s="149" t="inlineStr">
        <x:is>
          <x:t xml:space="preserve">browser</x:t>
        </x:is>
      </x:c>
      <x:c r="G24" s="150" t="inlineStr">
        <x:is>
          <x:t xml:space="preserve">tests/components/toolbar/behavior.spec.ts</x:t>
        </x:is>
      </x:c>
      <x:c r="H24" s="149" t="inlineStr">
        <x:is>
          <x:t xml:space="preserve">tested</x:t>
        </x:is>
      </x:c>
      <x:c r="I24" s="149" t="inlineStr">
        <x:is>
          <x:t xml:space="preserve">no</x:t>
        </x:is>
      </x:c>
      <x:c r="J24" s="151" t="n">
        <x:v>46231</x:v>
      </x:c>
      <x:c r="K24" s="150" t="n"/>
      <x:c r="L24" s="149" t="n">
        <x:v>1</x:v>
      </x:c>
      <x:c r="M24" s="149" t="n">
        <x:f>IF(OR(AND(I24="yes",H24="verified"),AND(I24="no",OR(H24="tested",H24="verified")),AND(H24="not applicable",K24&lt;&gt;"")),1,0)</x:f>
        <x:v>1</x:v>
      </x:c>
    </x:row>
    <x:row r="25" s="127" customFormat="1" ht="54" customHeight="1">
      <x:c r="A25" s="149" t="inlineStr">
        <x:is>
          <x:t xml:space="preserve">TB-17</x:t>
        </x:is>
      </x:c>
      <x:c r="B25" s="149" t="inlineStr">
        <x:is>
          <x:t xml:space="preserve">Composition</x:t>
        </x:is>
      </x:c>
      <x:c r="C25" s="149" t="inlineStr">
        <x:is>
          <x:t xml:space="preserve">Root / items</x:t>
        </x:is>
      </x:c>
      <x:c r="D25" s="150" t="inlineStr">
        <x:is>
          <x:t xml:space="preserve">Refs, child cancellation, native names, iframe focus, Input editing and one-host popup composition remain owned by Atom.</x:t>
        </x:is>
      </x:c>
      <x:c r="E25" s="149" t="inlineStr">
        <x:is>
          <x:t xml:space="preserve">package</x:t>
        </x:is>
      </x:c>
      <x:c r="F25" s="149" t="inlineStr">
        <x:is>
          <x:t xml:space="preserve">component</x:t>
        </x:is>
      </x:c>
      <x:c r="G25" s="150" t="inlineStr">
        <x:is>
          <x:t xml:space="preserve">../test/components/toolbar/toolbar.test.tsx; src/components/toolbar/ToolbarPage.tsx</x:t>
        </x:is>
      </x:c>
      <x:c r="H25" s="149" t="inlineStr">
        <x:is>
          <x:t xml:space="preserve">tested</x:t>
        </x:is>
      </x:c>
      <x:c r="I25" s="149" t="inlineStr">
        <x:is>
          <x:t xml:space="preserve">no</x:t>
        </x:is>
      </x:c>
      <x:c r="J25" s="151" t="n">
        <x:v>46281.5</x:v>
      </x:c>
      <x:c r="K25" s="150" t="n"/>
      <x:c r="L25" s="149" t="n">
        <x:v>1</x:v>
      </x:c>
      <x:c r="M25" s="149" t="n">
        <x:f>IF(OR(AND(I25="yes",H25="verified"),AND(I25="no",OR(H25="tested",H25="verified")),AND(H25="not applicable",K25&lt;&gt;"")),1,0)</x:f>
        <x:v>1</x:v>
      </x:c>
    </x:row>
    <x:row r="26" s="127" customFormat="1" ht="54" customHeight="1">
      <x:c r="A26" s="149" t="inlineStr">
        <x:is>
          <x:t xml:space="preserve">TB-18</x:t>
        </x:is>
      </x:c>
      <x:c r="B26" s="149" t="inlineStr">
        <x:is>
          <x:t xml:space="preserve">Responsive</x:t>
        </x:is>
      </x:c>
      <x:c r="C26" s="149" t="inlineStr">
        <x:is>
          <x:t xml:space="preserve">Root</x:t>
        </x:is>
      </x:c>
      <x:c r="D26" s="150" t="inlineStr">
        <x:is>
          <x:t xml:space="preserve">Toolbar never wraps and uses main-axis overflow at narrow widths while consumers retain item-priority and overflow-menu ownership.</x:t>
        </x:is>
      </x:c>
      <x:c r="E26" s="149" t="inlineStr">
        <x:is>
          <x:t xml:space="preserve">package</x:t>
        </x:is>
      </x:c>
      <x:c r="F26" s="149" t="inlineStr">
        <x:is>
          <x:t xml:space="preserve">browser</x:t>
        </x:is>
      </x:c>
      <x:c r="G26" s="150" t="inlineStr">
        <x:is>
          <x:t xml:space="preserve">tests/components/toolbar/behavior.spec.ts</x:t>
        </x:is>
      </x:c>
      <x:c r="H26" s="149" t="inlineStr">
        <x:is>
          <x:t xml:space="preserve">tested</x:t>
        </x:is>
      </x:c>
      <x:c r="I26" s="149" t="inlineStr">
        <x:is>
          <x:t xml:space="preserve">no</x:t>
        </x:is>
      </x:c>
      <x:c r="J26" s="151" t="n">
        <x:v>46231</x:v>
      </x:c>
      <x:c r="K26" s="150" t="n"/>
      <x:c r="L26" s="149" t="n">
        <x:v>1</x:v>
      </x:c>
      <x:c r="M26" s="149" t="n">
        <x:f>IF(OR(AND(I26="yes",H26="verified"),AND(I26="no",OR(H26="tested",H26="verified")),AND(H26="not applicable",K26&lt;&gt;"")),1,0)</x:f>
        <x:v>1</x:v>
      </x:c>
    </x:row>
    <x:row r="27" s="127" customFormat="1" ht="54" customHeight="1">
      <x:c r="A27" s="149" t="inlineStr">
        <x:is>
          <x:t xml:space="preserve">TB-19</x:t>
        </x:is>
      </x:c>
      <x:c r="B27" s="149" t="inlineStr">
        <x:is>
          <x:t xml:space="preserve">RTL</x:t>
        </x:is>
      </x:c>
      <x:c r="C27" s="149" t="inlineStr">
        <x:is>
          <x:t xml:space="preserve">Root / items</x:t>
        </x:is>
      </x:c>
      <x:c r="D27" s="150" t="inlineStr">
        <x:is>
          <x:t xml:space="preserve">Localized RTL evidence aligns logically and reverses horizontal Arrow navigation without changing authored DOM order.</x:t>
        </x:is>
      </x:c>
      <x:c r="E27" s="149" t="inlineStr">
        <x:is>
          <x:t xml:space="preserve">package</x:t>
        </x:is>
      </x:c>
      <x:c r="F27" s="149" t="inlineStr">
        <x:is>
          <x:t xml:space="preserve">visual</x:t>
        </x:is>
      </x:c>
      <x:c r="G27" s="150" t="inlineStr">
        <x:is>
          <x:t xml:space="preserve">tests/components/toolbar/visual.spec.ts; tests/components/toolbar/behavior.spec.ts</x:t>
        </x:is>
      </x:c>
      <x:c r="H27" s="149" t="inlineStr">
        <x:is>
          <x:t xml:space="preserve">implemented</x:t>
        </x:is>
      </x:c>
      <x:c r="I27" s="149" t="inlineStr">
        <x:is>
          <x:t xml:space="preserve">yes</x:t>
        </x:is>
      </x:c>
      <x:c r="J27" s="151" t="n">
        <x:v>46231</x:v>
      </x:c>
      <x:c r="K27" s="150" t="inlineStr">
        <x:is>
          <x:t xml:space="preserve">Automated RTL behavior passes; owner visual judgment remains open.</x:t>
        </x:is>
      </x:c>
      <x:c r="L27" s="149" t="n">
        <x:v>1</x:v>
      </x:c>
      <x:c r="M27" s="149" t="n">
        <x:f>IF(OR(AND(I27="yes",H27="verified"),AND(I27="no",OR(H27="tested",H27="verified")),AND(H27="not applicable",K27&lt;&gt;"")),1,0)</x:f>
        <x:v>0</x:v>
      </x:c>
    </x:row>
    <x:row r="28" s="127" customFormat="1" ht="54" customHeight="1">
      <x:c r="A28" s="149" t="inlineStr">
        <x:is>
          <x:t xml:space="preserve">TB-20</x:t>
        </x:is>
      </x:c>
      <x:c r="B28" s="149" t="inlineStr">
        <x:is>
          <x:t xml:space="preserve">Accessibility</x:t>
        </x:is>
      </x:c>
      <x:c r="C28" s="149" t="inlineStr">
        <x:is>
          <x:t xml:space="preserve">All parts</x:t>
        </x:is>
      </x:c>
      <x:c r="D28" s="150" t="inlineStr">
        <x:is>
          <x:t xml:space="preserve">Named toolbar/group semantics, native commands and links, pressed state, focus order, disabled omission, and the focused axe scan pass.</x:t>
        </x:is>
      </x:c>
      <x:c r="E28" s="149" t="inlineStr">
        <x:is>
          <x:t xml:space="preserve">package</x:t>
        </x:is>
      </x:c>
      <x:c r="F28" s="149" t="inlineStr">
        <x:is>
          <x:t xml:space="preserve">axe</x:t>
        </x:is>
      </x:c>
      <x:c r="G28" s="150" t="inlineStr">
        <x:is>
          <x:t xml:space="preserve">tests/components/toolbar/behavior.spec.ts</x:t>
        </x:is>
      </x:c>
      <x:c r="H28" s="149" t="inlineStr">
        <x:is>
          <x:t xml:space="preserve">tested</x:t>
        </x:is>
      </x:c>
      <x:c r="I28" s="149" t="inlineStr">
        <x:is>
          <x:t xml:space="preserve">no</x:t>
        </x:is>
      </x:c>
      <x:c r="J28" s="151" t="n">
        <x:v>46231</x:v>
      </x:c>
      <x:c r="K28" s="150" t="n"/>
      <x:c r="L28" s="149" t="n">
        <x:v>1</x:v>
      </x:c>
      <x:c r="M28" s="149" t="n">
        <x:f>IF(OR(AND(I28="yes",H28="verified"),AND(I28="no",OR(H28="tested",H28="verified")),AND(H28="not applicable",K28&lt;&gt;"")),1,0)</x:f>
        <x:v>1</x:v>
      </x:c>
    </x:row>
    <x:row r="29" s="127" customFormat="1" ht="54" customHeight="1">
      <x:c r="A29" s="149" t="inlineStr">
        <x:is>
          <x:t xml:space="preserve">TB-21</x:t>
        </x:is>
      </x:c>
      <x:c r="B29" s="149" t="inlineStr">
        <x:is>
          <x:t xml:space="preserve">Appearance</x:t>
        </x:is>
      </x:c>
      <x:c r="C29" s="149" t="inlineStr">
        <x:is>
          <x:t xml:space="preserve">All parts</x:t>
        </x:is>
      </x:c>
      <x:c r="D29" s="150" t="inlineStr">
        <x:is>
          <x:t xml:space="preserve">Light and dark scopes preserve surface, text, state, separator, and focus contrast; customization remains legible.</x:t>
        </x:is>
      </x:c>
      <x:c r="E29" s="149" t="inlineStr">
        <x:is>
          <x:t xml:space="preserve">package</x:t>
        </x:is>
      </x:c>
      <x:c r="F29" s="149" t="inlineStr">
        <x:is>
          <x:t xml:space="preserve">visual</x:t>
        </x:is>
      </x:c>
      <x:c r="G29" s="150" t="inlineStr">
        <x:is>
          <x:t xml:space="preserve">tests/components/toolbar/visual.spec.ts</x:t>
        </x:is>
      </x:c>
      <x:c r="H29" s="149" t="inlineStr">
        <x:is>
          <x:t xml:space="preserve">implemented</x:t>
        </x:is>
      </x:c>
      <x:c r="I29" s="149" t="inlineStr">
        <x:is>
          <x:t xml:space="preserve">yes</x:t>
        </x:is>
      </x:c>
      <x:c r="J29" s="151" t="n">
        <x:v>46231</x:v>
      </x:c>
      <x:c r="K29" s="150" t="inlineStr">
        <x:is>
          <x:t xml:space="preserve">Owner appearance review remains open.</x:t>
        </x:is>
      </x:c>
      <x:c r="L29" s="149" t="n">
        <x:v>1</x:v>
      </x:c>
      <x:c r="M29" s="149" t="n">
        <x:f>IF(OR(AND(I29="yes",H29="verified"),AND(I29="no",OR(H29="tested",H29="verified")),AND(H29="not applicable",K29&lt;&gt;"")),1,0)</x:f>
        <x:v>0</x:v>
      </x:c>
    </x:row>
    <x:row r="30" s="127" customFormat="1" ht="54" customHeight="1">
      <x:c r="A30" s="149" t="inlineStr">
        <x:is>
          <x:t xml:space="preserve">TB-22</x:t>
        </x:is>
      </x:c>
      <x:c r="B30" s="149" t="inlineStr">
        <x:is>
          <x:t xml:space="preserve">Preferences</x:t>
        </x:is>
      </x:c>
      <x:c r="C30" s="149" t="inlineStr">
        <x:is>
          <x:t xml:space="preserve">All parts</x:t>
        </x:is>
      </x:c>
      <x:c r="D30" s="150" t="inlineStr">
        <x:is>
          <x:t xml:space="preserve">Forced colors preserves boundaries, separators, focus, disabled, and pressed cues; reduced motion adds no Toolbar-owned motion.</x:t>
        </x:is>
      </x:c>
      <x:c r="E30" s="149" t="inlineStr">
        <x:is>
          <x:t xml:space="preserve">package</x:t>
        </x:is>
      </x:c>
      <x:c r="F30" s="149" t="inlineStr">
        <x:is>
          <x:t xml:space="preserve">visual</x:t>
        </x:is>
      </x:c>
      <x:c r="G30" s="150" t="inlineStr">
        <x:is>
          <x:t xml:space="preserve">tests/components/toolbar/visual.spec.ts; manual-tests/toolbar.md</x:t>
        </x:is>
      </x:c>
      <x:c r="H30" s="149" t="inlineStr">
        <x:is>
          <x:t xml:space="preserve">implemented</x:t>
        </x:is>
      </x:c>
      <x:c r="I30" s="149" t="inlineStr">
        <x:is>
          <x:t xml:space="preserve">yes</x:t>
        </x:is>
      </x:c>
      <x:c r="J30" s="151" t="n">
        <x:v>46231</x:v>
      </x:c>
      <x:c r="K30" s="150" t="inlineStr">
        <x:is>
          <x:t xml:space="preserve">Automated preference baselines exist; human review remains open.</x:t>
        </x:is>
      </x:c>
      <x:c r="L30" s="149" t="n">
        <x:v>1</x:v>
      </x:c>
      <x:c r="M30" s="149" t="n">
        <x:f>IF(OR(AND(I30="yes",H30="verified"),AND(I30="no",OR(H30="tested",H30="verified")),AND(H30="not applicable",K30&lt;&gt;"")),1,0)</x:f>
        <x:v>0</x:v>
      </x:c>
    </x:row>
    <x:row r="31" s="127" customFormat="1" ht="54" customHeight="1">
      <x:c r="A31" s="149" t="inlineStr">
        <x:is>
          <x:t xml:space="preserve">TB-23</x:t>
        </x:is>
      </x:c>
      <x:c r="B31" s="149" t="inlineStr">
        <x:is>
          <x:t xml:space="preserve">Customization</x:t>
        </x:is>
      </x:c>
      <x:c r="C31" s="149" t="inlineStr">
        <x:is>
          <x:t xml:space="preserve">All parts</x:t>
        </x:is>
      </x:c>
      <x:c r="D31" s="150" t="inlineStr">
        <x:is>
          <x:t xml:space="preserve">Documented --brick-toolbar-* variables, stable classes, slots, data attributes, className, and style customize visuals without behavior drift.</x:t>
        </x:is>
      </x:c>
      <x:c r="E31" s="149" t="inlineStr">
        <x:is>
          <x:t xml:space="preserve">package</x:t>
        </x:is>
      </x:c>
      <x:c r="F31" s="149" t="inlineStr">
        <x:is>
          <x:t xml:space="preserve">documentation</x:t>
        </x:is>
      </x:c>
      <x:c r="G31" s="150" t="inlineStr">
        <x:is>
          <x:t xml:space="preserve">../docs/components/toolbar/README.md; src/components/toolbar/ToolbarPage.tsx</x:t>
        </x:is>
      </x:c>
      <x:c r="H31" s="149" t="inlineStr">
        <x:is>
          <x:t xml:space="preserve">tested</x:t>
        </x:is>
      </x:c>
      <x:c r="I31" s="149" t="inlineStr">
        <x:is>
          <x:t xml:space="preserve">no</x:t>
        </x:is>
      </x:c>
      <x:c r="J31" s="151" t="n">
        <x:v>46231</x:v>
      </x:c>
      <x:c r="K31" s="150" t="n"/>
      <x:c r="L31" s="149" t="n">
        <x:v>1</x:v>
      </x:c>
      <x:c r="M31" s="149" t="n">
        <x:f>IF(OR(AND(I31="yes",H31="verified"),AND(I31="no",OR(H31="tested",H31="verified")),AND(H31="not applicable",K31&lt;&gt;"")),1,0)</x:f>
        <x:v>1</x:v>
      </x:c>
    </x:row>
    <x:row r="32" s="127" customFormat="1" ht="54" customHeight="1">
      <x:c r="A32" s="149" t="inlineStr">
        <x:is>
          <x:t xml:space="preserve">TB-24</x:t>
        </x:is>
      </x:c>
      <x:c r="B32" s="149" t="inlineStr">
        <x:is>
          <x:t xml:space="preserve">Playground</x:t>
        </x:is>
      </x:c>
      <x:c r="C32" s="149" t="inlineStr">
        <x:is>
          <x:t xml:space="preserve">All parts</x:t>
        </x:is>
      </x:c>
      <x:c r="D32" s="150" t="inlineStr">
        <x:is>
          <x:t xml:space="preserve">Focused Preview/Code examples and eight named props tables accompany separate nine-scenario qualification.</x:t>
        </x:is>
      </x:c>
      <x:c r="E32" s="149" t="inlineStr">
        <x:is>
          <x:t xml:space="preserve">package</x:t>
        </x:is>
      </x:c>
      <x:c r="F32" s="149" t="inlineStr">
        <x:is>
          <x:t xml:space="preserve">playground</x:t>
        </x:is>
      </x:c>
      <x:c r="G32" s="150" t="inlineStr">
        <x:is>
          <x:t xml:space="preserve">src/components/toolbar/ToolbarPage.tsx</x:t>
        </x:is>
      </x:c>
      <x:c r="H32" s="149" t="inlineStr">
        <x:is>
          <x:t xml:space="preserve">tested</x:t>
        </x:is>
      </x:c>
      <x:c r="I32" s="149" t="inlineStr">
        <x:is>
          <x:t xml:space="preserve">no</x:t>
        </x:is>
      </x:c>
      <x:c r="J32" s="151" t="n">
        <x:v>46281.5</x:v>
      </x:c>
      <x:c r="K32" s="150" t="n"/>
      <x:c r="L32" s="149" t="n">
        <x:v>1</x:v>
      </x:c>
      <x:c r="M32" s="149" t="n">
        <x:f>IF(OR(AND(I32="yes",H32="verified"),AND(I32="no",OR(H32="tested",H32="verified")),AND(H32="not applicable",K32&lt;&gt;"")),1,0)</x:f>
        <x:v>1</x:v>
      </x:c>
    </x:row>
    <x:row r="33" s="127" customFormat="1" ht="54" customHeight="1">
      <x:c r="A33" s="149" t="inlineStr">
        <x:is>
          <x:t xml:space="preserve">TB-25</x:t>
        </x:is>
      </x:c>
      <x:c r="B33" s="149" t="inlineStr">
        <x:is>
          <x:t xml:space="preserve">Documentation</x:t>
        </x:is>
      </x:c>
      <x:c r="C33" s="149" t="inlineStr">
        <x:is>
          <x:t xml:space="preserve">Public guide</x:t>
        </x:is>
      </x:c>
      <x:c r="D33" s="150" t="inlineStr">
        <x:is>
          <x:t xml:space="preserve">Guide documents eight parts, responsive control recipes, input editing, disabled/loading behavior and composition.</x:t>
        </x:is>
      </x:c>
      <x:c r="E33" s="149" t="inlineStr">
        <x:is>
          <x:t xml:space="preserve">package</x:t>
        </x:is>
      </x:c>
      <x:c r="F33" s="149" t="inlineStr">
        <x:is>
          <x:t xml:space="preserve">documentation</x:t>
        </x:is>
      </x:c>
      <x:c r="G33" s="150" t="inlineStr">
        <x:is>
          <x:t xml:space="preserve">../docs/components/toolbar/README.md</x:t>
        </x:is>
      </x:c>
      <x:c r="H33" s="149" t="inlineStr">
        <x:is>
          <x:t xml:space="preserve">tested</x:t>
        </x:is>
      </x:c>
      <x:c r="I33" s="149" t="inlineStr">
        <x:is>
          <x:t xml:space="preserve">no</x:t>
        </x:is>
      </x:c>
      <x:c r="J33" s="151" t="n">
        <x:v>46281.5</x:v>
      </x:c>
      <x:c r="K33" s="150" t="n"/>
      <x:c r="L33" s="149" t="n">
        <x:v>1</x:v>
      </x:c>
      <x:c r="M33" s="149" t="n">
        <x:f>IF(OR(AND(I33="yes",H33="verified"),AND(I33="no",OR(H33="tested",H33="verified")),AND(H33="not applicable",K33&lt;&gt;"")),1,0)</x:f>
        <x:v>1</x:v>
      </x:c>
    </x:row>
    <x:row r="34" s="127" customFormat="1" ht="54" customHeight="1">
      <x:c r="A34" s="149" t="inlineStr">
        <x:is>
          <x:t xml:space="preserve">TB-26</x:t>
        </x:is>
      </x:c>
      <x:c r="B34" s="149" t="inlineStr">
        <x:is>
          <x:t xml:space="preserve">Changelog</x:t>
        </x:is>
      </x:c>
      <x:c r="C34" s="149" t="inlineStr">
        <x:is>
          <x:t xml:space="preserve">Public record</x:t>
        </x:is>
      </x:c>
      <x:c r="D34" s="150" t="inlineStr">
        <x:is>
          <x:t xml:space="preserve">Component and package changelogs describe the release-facing Toolbar family.</x:t>
        </x:is>
      </x:c>
      <x:c r="E34" s="149" t="inlineStr">
        <x:is>
          <x:t xml:space="preserve">package</x:t>
        </x:is>
      </x:c>
      <x:c r="F34" s="149" t="inlineStr">
        <x:is>
          <x:t xml:space="preserve">documentation</x:t>
        </x:is>
      </x:c>
      <x:c r="G34" s="150" t="inlineStr">
        <x:is>
          <x:t xml:space="preserve">../docs/components/toolbar/CHANGELOG.md; ../CHANGELOG.md</x:t>
        </x:is>
      </x:c>
      <x:c r="H34" s="149" t="inlineStr">
        <x:is>
          <x:t xml:space="preserve">tested</x:t>
        </x:is>
      </x:c>
      <x:c r="I34" s="149" t="inlineStr">
        <x:is>
          <x:t xml:space="preserve">no</x:t>
        </x:is>
      </x:c>
      <x:c r="J34" s="151" t="n">
        <x:v>46231</x:v>
      </x:c>
      <x:c r="K34" s="150" t="n"/>
      <x:c r="L34" s="149" t="n">
        <x:v>1</x:v>
      </x:c>
      <x:c r="M34" s="149" t="n">
        <x:f>IF(OR(AND(I34="yes",H34="verified"),AND(I34="no",OR(H34="tested",H34="verified")),AND(H34="not applicable",K34&lt;&gt;"")),1,0)</x:f>
        <x:v>1</x:v>
      </x:c>
    </x:row>
    <x:row r="35" s="127" customFormat="1" ht="54" customHeight="1">
      <x:c r="A35" s="149" t="inlineStr">
        <x:is>
          <x:t xml:space="preserve">TB-27</x:t>
        </x:is>
      </x:c>
      <x:c r="B35" s="149" t="inlineStr">
        <x:is>
          <x:t xml:space="preserve">Consumer</x:t>
        </x:is>
      </x:c>
      <x:c r="C35" s="149" t="inlineStr">
        <x:is>
          <x:t xml:space="preserve">All parts</x:t>
        </x:is>
      </x:c>
      <x:c r="D35" s="150" t="inlineStr">
        <x:is>
          <x:t xml:space="preserve">The packed Consumer composes document-view commands, separator, view toggles, and a help link through the public Toolbar subpath.</x:t>
        </x:is>
      </x:c>
      <x:c r="E35" s="149" t="inlineStr">
        <x:is>
          <x:t xml:space="preserve">consumer</x:t>
        </x:is>
      </x:c>
      <x:c r="F35" s="149" t="inlineStr">
        <x:is>
          <x:t xml:space="preserve">consumer</x:t>
        </x:is>
      </x:c>
      <x:c r="G35" s="150" t="inlineStr">
        <x:is>
          <x:t xml:space="preserve">../apps/consumer/src/App.tsx; ../apps/consumer/tests/consumer.spec.ts</x:t>
        </x:is>
      </x:c>
      <x:c r="H35" s="149" t="inlineStr">
        <x:is>
          <x:t xml:space="preserve">partial</x:t>
        </x:is>
      </x:c>
      <x:c r="I35" s="149" t="inlineStr">
        <x:is>
          <x:t xml:space="preserve">no</x:t>
        </x:is>
      </x:c>
      <x:c r="J35" s="151" t="n">
        <x:v>46231</x:v>
      </x:c>
      <x:c r="K35" s="150" t="inlineStr">
        <x:is>
          <x:t xml:space="preserve">Clean React 18/19 consumers and packed desktop/mobile Toolbar scenarios pass. Full app run: 117 passed; two Pagination assertions and one accessibility timeout remain open.</x:t>
        </x:is>
      </x:c>
      <x:c r="L35" s="149" t="n">
        <x:v>1</x:v>
      </x:c>
      <x:c r="M35" s="149" t="n">
        <x:f>IF(OR(AND(I35="yes",H35="verified"),AND(I35="no",OR(H35="tested",H35="verified")),AND(H35="not applicable",K35&lt;&gt;"")),1,0)</x:f>
        <x:v>0</x:v>
      </x:c>
    </x:row>
    <x:row r="36" s="127" customFormat="1" ht="54" customHeight="1">
      <x:c r="A36" s="149" t="inlineStr">
        <x:is>
          <x:t xml:space="preserve">TB-28</x:t>
        </x:is>
      </x:c>
      <x:c r="B36" s="149" t="inlineStr">
        <x:is>
          <x:t xml:space="preserve">Visual</x:t>
        </x:is>
      </x:c>
      <x:c r="C36" s="149" t="inlineStr">
        <x:is>
          <x:t xml:space="preserve">All parts</x:t>
        </x:is>
      </x:c>
      <x:c r="D36" s="150" t="inlineStr">
        <x:is>
          <x:t xml:space="preserve">Baselines cover overview, anatomy, variants, sizes, commands, toggles, orientations, appearance, customization, responsive overflow, RTL, and preferences.</x:t>
        </x:is>
      </x:c>
      <x:c r="E36" s="149" t="inlineStr">
        <x:is>
          <x:t xml:space="preserve">package</x:t>
        </x:is>
      </x:c>
      <x:c r="F36" s="149" t="inlineStr">
        <x:is>
          <x:t xml:space="preserve">visual</x:t>
        </x:is>
      </x:c>
      <x:c r="G36" s="150" t="inlineStr">
        <x:is>
          <x:t xml:space="preserve">tests/components/toolbar/visual.spec.ts</x:t>
        </x:is>
      </x:c>
      <x:c r="H36" s="149" t="inlineStr">
        <x:is>
          <x:t xml:space="preserve">implemented</x:t>
        </x:is>
      </x:c>
      <x:c r="I36" s="149" t="inlineStr">
        <x:is>
          <x:t xml:space="preserve">yes</x:t>
        </x:is>
      </x:c>
      <x:c r="J36" s="151" t="n">
        <x:v>46231</x:v>
      </x:c>
      <x:c r="K36" s="150" t="inlineStr">
        <x:is>
          <x:t xml:space="preserve">Visual baseline updates and review are recorded separately; no physical-device claim.</x:t>
        </x:is>
      </x:c>
      <x:c r="L36" s="149" t="n">
        <x:v>1</x:v>
      </x:c>
      <x:c r="M36" s="149" t="n">
        <x:f>IF(OR(AND(I36="yes",H36="verified"),AND(I36="no",OR(H36="tested",H36="verified")),AND(H36="not applicable",K36&lt;&gt;"")),1,0)</x:f>
        <x:v>0</x:v>
      </x:c>
    </x:row>
    <x:row r="37" s="127" customFormat="1" ht="54" customHeight="1">
      <x:c r="A37" s="149" t="inlineStr">
        <x:is>
          <x:t xml:space="preserve">TB-29</x:t>
        </x:is>
      </x:c>
      <x:c r="B37" s="149" t="inlineStr">
        <x:is>
          <x:t xml:space="preserve">Manual</x:t>
        </x:is>
      </x:c>
      <x:c r="C37" s="149" t="inlineStr">
        <x:is>
          <x:t xml:space="preserve">All parts</x:t>
        </x:is>
      </x:c>
      <x:c r="D37" s="150" t="inlineStr">
        <x:is>
          <x:t xml:space="preserve">Owner reviews semantics, keyboard order, focus, commands, links, toggles, overflow, zoom, touch, RTL, appearances, and preferences.</x:t>
        </x:is>
      </x:c>
      <x:c r="E37" s="149" t="inlineStr">
        <x:is>
          <x:t xml:space="preserve">package</x:t>
        </x:is>
      </x:c>
      <x:c r="F37" s="149" t="inlineStr">
        <x:is>
          <x:t xml:space="preserve">manual</x:t>
        </x:is>
      </x:c>
      <x:c r="G37" s="150" t="inlineStr">
        <x:is>
          <x:t xml:space="preserve">manual-tests/toolbar.md</x:t>
        </x:is>
      </x:c>
      <x:c r="H37" s="149" t="inlineStr">
        <x:is>
          <x:t xml:space="preserve">not started</x:t>
        </x:is>
      </x:c>
      <x:c r="I37" s="149" t="inlineStr">
        <x:is>
          <x:t xml:space="preserve">yes</x:t>
        </x:is>
      </x:c>
      <x:c r="J37" s="151" t="n"/>
      <x:c r="K37" s="150" t="inlineStr">
        <x:is>
          <x:t xml:space="preserve">Human run intentionally unclaimed.</x:t>
        </x:is>
      </x:c>
      <x:c r="L37" s="149" t="n">
        <x:v>1</x:v>
      </x:c>
      <x:c r="M37" s="149" t="n">
        <x:f>IF(OR(AND(I37="yes",H37="verified"),AND(I37="no",OR(H37="tested",H37="verified")),AND(H37="not applicable",K37&lt;&gt;"")),1,0)</x:f>
        <x:v>0</x:v>
      </x:c>
    </x:row>
    <x:row r="38" s="127" customFormat="1" ht="54" customHeight="1">
      <x:c r="A38" s="149" t="inlineStr">
        <x:is>
          <x:t xml:space="preserve">TB-30</x:t>
        </x:is>
      </x:c>
      <x:c r="B38" s="149" t="inlineStr">
        <x:is>
          <x:t xml:space="preserve">Package</x:t>
        </x:is>
      </x:c>
      <x:c r="C38" s="149" t="inlineStr">
        <x:is>
          <x:t xml:space="preserve">Artifact</x:t>
        </x:is>
      </x:c>
      <x:c r="D38" s="150" t="inlineStr">
        <x:is>
          <x:t xml:space="preserve">Build, declarations, exports, SSR, CSS, docs, tarball, React 18/19, browser matrix, packed Consumer, and release gates pass.</x:t>
        </x:is>
      </x:c>
      <x:c r="E38" s="149" t="inlineStr">
        <x:is>
          <x:t xml:space="preserve">package</x:t>
        </x:is>
      </x:c>
      <x:c r="F38" s="149" t="inlineStr">
        <x:is>
          <x:t xml:space="preserve">package</x:t>
        </x:is>
      </x:c>
      <x:c r="G38" s="150" t="inlineStr">
        <x:is>
          <x:t xml:space="preserve">../test/package/package.test.mjs; ../scripts/verify-package.mjs</x:t>
        </x:is>
      </x:c>
      <x:c r="H38" s="149" t="inlineStr">
        <x:is>
          <x:t xml:space="preserve">partial</x:t>
        </x:is>
      </x:c>
      <x:c r="I38" s="149" t="inlineStr">
        <x:is>
          <x:t xml:space="preserve">no</x:t>
        </x:is>
      </x:c>
      <x:c r="J38" s="151" t="n">
        <x:v>46231</x:v>
      </x:c>
      <x:c r="K38" s="150" t="inlineStr">
        <x:is>
          <x:t xml:space="preserve">Unpublished local candidate. Manual gates and unrelated repository-wide failures remain open.</x:t>
        </x:is>
      </x:c>
      <x:c r="L38" s="149" t="n">
        <x:v>1</x:v>
      </x:c>
      <x:c r="M38" s="149" t="n">
        <x:f>IF(OR(AND(I38="yes",H38="verified"),AND(I38="no",OR(H38="tested",H38="verified")),AND(H38="not applicable",K38&lt;&gt;"")),1,0)</x:f>
        <x:v>0</x:v>
      </x:c>
    </x:row>
    <x:row r="39" s="127" customFormat="1" ht="54" customHeight="1"/>
  </x:sheetData>
  <x:mergeCells>
    <x:mergeCell ref="A2:M2"/>
    <x:mergeCell ref="A1:M1"/>
  </x:mergeCells>
  <x:conditionalFormatting sqref="H9:H38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0" showDropDown="0" showInputMessage="0" showErrorMessage="0" sqref="H9:H38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38">
      <x:formula1>"yes,no"</x:formula1>
      <x:formula2>0</x:formula2>
    </x:dataValidation>
  </x:dataValidations>
  <x:pageMargins left="0.7" right="0.7" top="0.75" bottom="0.75" header="0.3" footer="0.3"/>
</x:worksheet>
</file>

<file path=xl/worksheets/sheet66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baseColWidth="8" defaultColWidth="8.6796875" defaultRowHeight="15"/>
  <x:cols>
    <x:col min="1" max="1" width="16" style="125" customWidth="1"/>
    <x:col min="2" max="2" width="18" style="125" customWidth="1"/>
    <x:col min="3" max="3" width="22" style="125" customWidth="1"/>
    <x:col min="4" max="4" width="64" style="125" customWidth="1"/>
    <x:col min="5" max="6" width="16" style="138" customWidth="1"/>
    <x:col min="7" max="7" width="58" style="125" customWidth="1"/>
    <x:col min="8" max="8" width="18" style="125" customWidth="1"/>
    <x:col min="9" max="9" width="16" style="125" customWidth="1"/>
    <x:col min="10" max="10" width="16" style="141" customWidth="1"/>
    <x:col min="11" max="11" width="48" style="125" customWidth="1"/>
    <x:col min="12" max="13" width="10" style="138" customWidth="1"/>
  </x:cols>
  <x:sheetData>
    <x:row r="1" s="127" customFormat="1" ht="27.75" customHeight="1">
      <x:c r="A1" s="171" t="inlineStr">
        <x:is>
          <x:t xml:space="preserve">Chip Evidence</x:t>
        </x:is>
      </x:c>
    </x:row>
    <x:row r="2" s="127" customFormat="1" ht="42" customHeight="1">
      <x:c r="A2" s="172" t="inlineStr">
        <x:is>
          <x:t xml:space="preserve">September 7 local candidate. Focused automated evidence is separate from manual, packed and release gates.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COUNTA(A9:A25)</x:f>
        <x:v>17</x:v>
      </x:c>
      <x:c r="D4" s="130" t="inlineStr">
        <x:is>
          <x:t xml:space="preserve">Resolved</x:t>
        </x:is>
      </x:c>
      <x:c r="E4" s="131" t="n">
        <x:f>SUM(M9:M25)</x:f>
        <x:v>11</x:v>
      </x:c>
      <x:c r="G4" s="130" t="inlineStr">
        <x:is>
          <x:t xml:space="preserve">Completion</x:t>
        </x:is>
      </x:c>
      <x:c r="H4" s="173" t="n">
        <x:f>IF(B4=0,0,E4/B4)</x:f>
        <x:v>0.6470588235294118</x:v>
      </x:c>
      <x:c r="J4" s="130" t="inlineStr">
        <x:is>
          <x:t xml:space="preserve">Package gate</x:t>
        </x:is>
      </x:c>
      <x:c r="K4" s="131" t="str">
        <x:f>IF(COUNTIFS(E9:E25,"package",M9:M25,0)&gt;0,"open","complete")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IF(COUNTIFS(I9:I25,"yes",M9:M25,0)&gt;0,"open","complete")</x:f>
        <x:v>open</x:v>
      </x:c>
      <x:c r="D5" s="130" t="inlineStr">
        <x:is>
          <x:t xml:space="preserve">Consumer gate</x:t>
        </x:is>
      </x:c>
      <x:c r="E5" s="131" t="str">
        <x:f>IF(COUNTIFS(E9:E25,"consumer",M9:M25,0)&gt;0,"open","complete")</x:f>
        <x:v>open</x:v>
      </x:c>
    </x:row>
    <x:row r="6"/>
    <x:row r="7"/>
    <x:row r="8" s="127" customFormat="1" ht="27.75" customHeight="1">
      <x:c r="A8" s="174" t="inlineStr">
        <x:is>
          <x:t xml:space="preserve">ID</x:t>
        </x:is>
      </x:c>
      <x:c r="B8" s="174" t="inlineStr">
        <x:is>
          <x:t xml:space="preserve">Area</x:t>
        </x:is>
      </x:c>
      <x:c r="C8" s="174" t="inlineStr">
        <x:is>
          <x:t xml:space="preserve">Part</x:t>
        </x:is>
      </x:c>
      <x:c r="D8" s="174" t="inlineStr">
        <x:is>
          <x:t xml:space="preserve">Requirement</x:t>
        </x:is>
      </x:c>
      <x:c r="E8" s="174" t="inlineStr">
        <x:is>
          <x:t xml:space="preserve">Gate</x:t>
        </x:is>
      </x:c>
      <x:c r="F8" s="174" t="inlineStr">
        <x:is>
          <x:t xml:space="preserve">Evidence type</x:t>
        </x:is>
      </x:c>
      <x:c r="G8" s="174" t="inlineStr">
        <x:is>
          <x:t xml:space="preserve">Evidence / link</x:t>
        </x:is>
      </x:c>
      <x:c r="H8" s="174" t="inlineStr">
        <x:is>
          <x:t xml:space="preserve">Status</x:t>
        </x:is>
      </x:c>
      <x:c r="I8" s="174" t="inlineStr">
        <x:is>
          <x:t xml:space="preserve">Human review?</x:t>
        </x:is>
      </x:c>
      <x:c r="J8" s="175" t="inlineStr">
        <x:is>
          <x:t xml:space="preserve">Last verified</x:t>
        </x:is>
      </x:c>
      <x:c r="K8" s="174" t="inlineStr">
        <x:is>
          <x:t xml:space="preserve">Blocker / N/A reason</x:t>
        </x:is>
      </x:c>
      <x:c r="L8" s="174" t="inlineStr">
        <x:is>
          <x:t xml:space="preserve">Weight</x:t>
        </x:is>
      </x:c>
      <x:c r="M8" s="174" t="inlineStr">
        <x:is>
          <x:t xml:space="preserve">Resolved</x:t>
        </x:is>
      </x:c>
    </x:row>
    <x:row r="9" s="127" customFormat="1" ht="61.5" customHeight="1">
      <x:c r="A9" s="176" t="inlineStr">
        <x:is>
          <x:t xml:space="preserve">chip-01</x:t>
        </x:is>
      </x:c>
      <x:c r="B9" s="176" t="inlineStr">
        <x:is>
          <x:t xml:space="preserve">Source</x:t>
        </x:is>
      </x:c>
      <x:c r="C9" s="176" t="inlineStr">
        <x:is>
          <x:t xml:space="preserve">Root</x:t>
        </x:is>
      </x:c>
      <x:c r="D9" s="176" t="inlineStr">
        <x:is>
          <x:t xml:space="preserve">Root remains passive; Atom Button owns explicit actions.</x:t>
        </x:is>
      </x:c>
      <x:c r="E9" s="176" t="inlineStr">
        <x:is>
          <x:t xml:space="preserve">package</x:t>
        </x:is>
      </x:c>
      <x:c r="F9" s="176" t="inlineStr">
        <x:is>
          <x:t xml:space="preserve">component</x:t>
        </x:is>
      </x:c>
      <x:c r="G9" s="176" t="inlineStr">
        <x:is>
          <x:t xml:space="preserve">../test/components/chip/chip.test.tsx</x:t>
        </x:is>
      </x:c>
      <x:c r="H9" s="176" t="inlineStr">
        <x:is>
          <x:t xml:space="preserve">tested</x:t>
        </x:is>
      </x:c>
      <x:c r="I9" s="176" t="inlineStr">
        <x:is>
          <x:t xml:space="preserve">no</x:t>
        </x:is>
      </x:c>
      <x:c r="J9" s="177" t="inlineStr">
        <x:is>
          <x:t xml:space="preserve">2026-09-07</x:t>
        </x:is>
      </x:c>
      <x:c r="K9" s="176" t="n"/>
      <x:c r="L9" s="176" t="n">
        <x:v>1</x:v>
      </x:c>
      <x:c r="M9" s="176" t="n">
        <x:f>IF(OR(AND(I9="yes",H9="verified"),AND(I9="no",OR(H9="tested",H9="verified")),AND(H9="not applicable",K9&lt;&gt;"")),1,0)</x:f>
        <x:v>1</x:v>
      </x:c>
    </x:row>
    <x:row r="10" s="127" customFormat="1" ht="61.5" customHeight="1">
      <x:c r="A10" s="178" t="inlineStr">
        <x:is>
          <x:t xml:space="preserve">chip-02</x:t>
        </x:is>
      </x:c>
      <x:c r="B10" s="178" t="inlineStr">
        <x:is>
          <x:t xml:space="preserve">API</x:t>
        </x:is>
      </x:c>
      <x:c r="C10" s="178" t="inlineStr">
        <x:is>
          <x:t xml:space="preserve">Parts</x:t>
        </x:is>
      </x:c>
      <x:c r="D10" s="178" t="inlineStr">
        <x:is>
          <x:t xml:space="preserve">Namespace and direct exports include adornment and action parts.</x:t>
        </x:is>
      </x:c>
      <x:c r="E10" s="178" t="inlineStr">
        <x:is>
          <x:t xml:space="preserve">package</x:t>
        </x:is>
      </x:c>
      <x:c r="F10" s="178" t="inlineStr">
        <x:is>
          <x:t xml:space="preserve">component</x:t>
        </x:is>
      </x:c>
      <x:c r="G10" s="178" t="inlineStr">
        <x:is>
          <x:t xml:space="preserve">../test/components/chip/chip.test.tsx</x:t>
        </x:is>
      </x:c>
      <x:c r="H10" s="178" t="inlineStr">
        <x:is>
          <x:t xml:space="preserve">tested</x:t>
        </x:is>
      </x:c>
      <x:c r="I10" s="178" t="inlineStr">
        <x:is>
          <x:t xml:space="preserve">no</x:t>
        </x:is>
      </x:c>
      <x:c r="J10" s="179" t="inlineStr">
        <x:is>
          <x:t xml:space="preserve">2026-09-07</x:t>
        </x:is>
      </x:c>
      <x:c r="K10" s="178" t="n"/>
      <x:c r="L10" s="178" t="n">
        <x:v>1</x:v>
      </x:c>
      <x:c r="M10" s="178" t="n">
        <x:f>IF(OR(AND(I10="yes",H10="verified"),AND(I10="no",OR(H10="tested",H10="verified")),AND(H10="not applicable",K10&lt;&gt;"")),1,0)</x:f>
        <x:v>1</x:v>
      </x:c>
    </x:row>
    <x:row r="11" s="127" customFormat="1" ht="61.5" customHeight="1">
      <x:c r="A11" s="176" t="inlineStr">
        <x:is>
          <x:t xml:space="preserve">chip-03</x:t>
        </x:is>
      </x:c>
      <x:c r="B11" s="176" t="inlineStr">
        <x:is>
          <x:t xml:space="preserve">Types</x:t>
        </x:is>
      </x:c>
      <x:c r="C11" s="176" t="inlineStr">
        <x:is>
          <x:t xml:space="preserve">Recipes</x:t>
        </x:is>
      </x:c>
      <x:c r="D11" s="176" t="inlineStr">
        <x:is>
          <x:t xml:space="preserve">Closed density/size/variant/tone unions and required action naming compile.</x:t>
        </x:is>
      </x:c>
      <x:c r="E11" s="176" t="inlineStr">
        <x:is>
          <x:t xml:space="preserve">package</x:t>
        </x:is>
      </x:c>
      <x:c r="F11" s="176" t="inlineStr">
        <x:is>
          <x:t xml:space="preserve">types</x:t>
        </x:is>
      </x:c>
      <x:c r="G11" s="176" t="inlineStr">
        <x:is>
          <x:t xml:space="preserve">../test/types/components/chip.test.ts</x:t>
        </x:is>
      </x:c>
      <x:c r="H11" s="176" t="inlineStr">
        <x:is>
          <x:t xml:space="preserve">tested</x:t>
        </x:is>
      </x:c>
      <x:c r="I11" s="176" t="inlineStr">
        <x:is>
          <x:t xml:space="preserve">no</x:t>
        </x:is>
      </x:c>
      <x:c r="J11" s="177" t="inlineStr">
        <x:is>
          <x:t xml:space="preserve">2026-09-07</x:t>
        </x:is>
      </x:c>
      <x:c r="K11" s="176" t="n"/>
      <x:c r="L11" s="176" t="n">
        <x:v>1</x:v>
      </x:c>
      <x:c r="M11" s="176" t="n">
        <x:f>IF(OR(AND(I11="yes",H11="verified"),AND(I11="no",OR(H11="tested",H11="verified")),AND(H11="not applicable",K11&lt;&gt;"")),1,0)</x:f>
        <x:v>1</x:v>
      </x:c>
    </x:row>
    <x:row r="12" s="127" customFormat="1" ht="61.5" customHeight="1">
      <x:c r="A12" s="178" t="inlineStr">
        <x:is>
          <x:t xml:space="preserve">chip-04</x:t>
        </x:is>
      </x:c>
      <x:c r="B12" s="178" t="inlineStr">
        <x:is>
          <x:t xml:space="preserve">Geometry</x:t>
        </x:is>
      </x:c>
      <x:c r="C12" s="178" t="inlineStr">
        <x:is>
          <x:t xml:space="preserve">Compact</x:t>
        </x:is>
      </x:c>
      <x:c r="D12" s="178" t="inlineStr">
        <x:is>
          <x:t xml:space="preserve">Passive compact heights are 18/20/24/32px.</x:t>
        </x:is>
      </x:c>
      <x:c r="E12" s="178" t="inlineStr">
        <x:is>
          <x:t xml:space="preserve">package</x:t>
        </x:is>
      </x:c>
      <x:c r="F12" s="178" t="inlineStr">
        <x:is>
          <x:t xml:space="preserve">browser</x:t>
        </x:is>
      </x:c>
      <x:c r="G12" s="178" t="inlineStr">
        <x:is>
          <x:t xml:space="preserve">tests/components/chip/behavior.spec.ts</x:t>
        </x:is>
      </x:c>
      <x:c r="H12" s="178" t="inlineStr">
        <x:is>
          <x:t xml:space="preserve">tested</x:t>
        </x:is>
      </x:c>
      <x:c r="I12" s="178" t="inlineStr">
        <x:is>
          <x:t xml:space="preserve">no</x:t>
        </x:is>
      </x:c>
      <x:c r="J12" s="179" t="inlineStr">
        <x:is>
          <x:t xml:space="preserve">2026-09-07</x:t>
        </x:is>
      </x:c>
      <x:c r="K12" s="178" t="n"/>
      <x:c r="L12" s="178" t="n">
        <x:v>1</x:v>
      </x:c>
      <x:c r="M12" s="178" t="n">
        <x:f>IF(OR(AND(I12="yes",H12="verified"),AND(I12="no",OR(H12="tested",H12="verified")),AND(H12="not applicable",K12&lt;&gt;"")),1,0)</x:f>
        <x:v>1</x:v>
      </x:c>
    </x:row>
    <x:row r="13" s="127" customFormat="1" ht="61.5" customHeight="1">
      <x:c r="A13" s="176" t="inlineStr">
        <x:is>
          <x:t xml:space="preserve">chip-05</x:t>
        </x:is>
      </x:c>
      <x:c r="B13" s="176" t="inlineStr">
        <x:is>
          <x:t xml:space="preserve">Geometry</x:t>
        </x:is>
      </x:c>
      <x:c r="C13" s="176" t="inlineStr">
        <x:is>
          <x:t xml:space="preserve">Adornment</x:t>
        </x:is>
      </x:c>
      <x:c r="D13" s="176" t="inlineStr">
        <x:is>
          <x:t xml:space="preserve">Avatar and icon geometry changes with compact size.</x:t>
        </x:is>
      </x:c>
      <x:c r="E13" s="176" t="inlineStr">
        <x:is>
          <x:t xml:space="preserve">package</x:t>
        </x:is>
      </x:c>
      <x:c r="F13" s="176" t="inlineStr">
        <x:is>
          <x:t xml:space="preserve">browser</x:t>
        </x:is>
      </x:c>
      <x:c r="G13" s="176" t="inlineStr">
        <x:is>
          <x:t xml:space="preserve">tests/components/chip/behavior.spec.ts</x:t>
        </x:is>
      </x:c>
      <x:c r="H13" s="176" t="inlineStr">
        <x:is>
          <x:t xml:space="preserve">tested</x:t>
        </x:is>
      </x:c>
      <x:c r="I13" s="176" t="inlineStr">
        <x:is>
          <x:t xml:space="preserve">no</x:t>
        </x:is>
      </x:c>
      <x:c r="J13" s="177" t="inlineStr">
        <x:is>
          <x:t xml:space="preserve">2026-09-07</x:t>
        </x:is>
      </x:c>
      <x:c r="K13" s="176" t="n"/>
      <x:c r="L13" s="176" t="n">
        <x:v>1</x:v>
      </x:c>
      <x:c r="M13" s="176" t="n">
        <x:f>IF(OR(AND(I13="yes",H13="verified"),AND(I13="no",OR(H13="tested",H13="verified")),AND(H13="not applicable",K13&lt;&gt;"")),1,0)</x:f>
        <x:v>1</x:v>
      </x:c>
    </x:row>
    <x:row r="14" s="127" customFormat="1" ht="61.5" customHeight="1">
      <x:c r="A14" s="178" t="inlineStr">
        <x:is>
          <x:t xml:space="preserve">chip-06</x:t>
        </x:is>
      </x:c>
      <x:c r="B14" s="178" t="inlineStr">
        <x:is>
          <x:t xml:space="preserve">Actions</x:t>
        </x:is>
      </x:c>
      <x:c r="C14" s="178" t="inlineStr">
        <x:is>
          <x:t xml:space="preserve">Action / Remove</x:t>
        </x:is>
      </x:c>
      <x:c r="D14" s="178" t="inlineStr">
        <x:is>
          <x:t xml:space="preserve">Main action and removal are separate sibling controls.</x:t>
        </x:is>
      </x:c>
      <x:c r="E14" s="178" t="inlineStr">
        <x:is>
          <x:t xml:space="preserve">package</x:t>
        </x:is>
      </x:c>
      <x:c r="F14" s="178" t="inlineStr">
        <x:is>
          <x:t xml:space="preserve">browser</x:t>
        </x:is>
      </x:c>
      <x:c r="G14" s="178" t="inlineStr">
        <x:is>
          <x:t xml:space="preserve">tests/components/chip/behavior.spec.ts</x:t>
        </x:is>
      </x:c>
      <x:c r="H14" s="178" t="inlineStr">
        <x:is>
          <x:t xml:space="preserve">tested</x:t>
        </x:is>
      </x:c>
      <x:c r="I14" s="178" t="inlineStr">
        <x:is>
          <x:t xml:space="preserve">no</x:t>
        </x:is>
      </x:c>
      <x:c r="J14" s="179" t="inlineStr">
        <x:is>
          <x:t xml:space="preserve">2026-09-07</x:t>
        </x:is>
      </x:c>
      <x:c r="K14" s="178" t="n"/>
      <x:c r="L14" s="178" t="n">
        <x:v>1</x:v>
      </x:c>
      <x:c r="M14" s="178" t="n">
        <x:f>IF(OR(AND(I14="yes",H14="verified"),AND(I14="no",OR(H14="tested",H14="verified")),AND(H14="not applicable",K14&lt;&gt;"")),1,0)</x:f>
        <x:v>1</x:v>
      </x:c>
    </x:row>
    <x:row r="15" s="127" customFormat="1" ht="61.5" customHeight="1">
      <x:c r="A15" s="176" t="inlineStr">
        <x:is>
          <x:t xml:space="preserve">chip-07</x:t>
        </x:is>
      </x:c>
      <x:c r="B15" s="176" t="inlineStr">
        <x:is>
          <x:t xml:space="preserve">Actions</x:t>
        </x:is>
      </x:c>
      <x:c r="C15" s="176" t="inlineStr">
        <x:is>
          <x:t xml:space="preserve">Disabled</x:t>
        </x:is>
      </x:c>
      <x:c r="D15" s="176" t="inlineStr">
        <x:is>
          <x:t xml:space="preserve">Unavailable removal does not mutate application data.</x:t>
        </x:is>
      </x:c>
      <x:c r="E15" s="176" t="inlineStr">
        <x:is>
          <x:t xml:space="preserve">package</x:t>
        </x:is>
      </x:c>
      <x:c r="F15" s="176" t="inlineStr">
        <x:is>
          <x:t xml:space="preserve">browser</x:t>
        </x:is>
      </x:c>
      <x:c r="G15" s="176" t="inlineStr">
        <x:is>
          <x:t xml:space="preserve">tests/components/chip/behavior.spec.ts</x:t>
        </x:is>
      </x:c>
      <x:c r="H15" s="176" t="inlineStr">
        <x:is>
          <x:t xml:space="preserve">tested</x:t>
        </x:is>
      </x:c>
      <x:c r="I15" s="176" t="inlineStr">
        <x:is>
          <x:t xml:space="preserve">no</x:t>
        </x:is>
      </x:c>
      <x:c r="J15" s="177" t="inlineStr">
        <x:is>
          <x:t xml:space="preserve">2026-09-07</x:t>
        </x:is>
      </x:c>
      <x:c r="K15" s="176" t="n"/>
      <x:c r="L15" s="176" t="n">
        <x:v>1</x:v>
      </x:c>
      <x:c r="M15" s="176" t="n">
        <x:f>IF(OR(AND(I15="yes",H15="verified"),AND(I15="no",OR(H15="tested",H15="verified")),AND(H15="not applicable",K15&lt;&gt;"")),1,0)</x:f>
        <x:v>1</x:v>
      </x:c>
    </x:row>
    <x:row r="16" s="127" customFormat="1" ht="61.5" customHeight="1">
      <x:c r="A16" s="178" t="inlineStr">
        <x:is>
          <x:t xml:space="preserve">chip-08</x:t>
        </x:is>
      </x:c>
      <x:c r="B16" s="178" t="inlineStr">
        <x:is>
          <x:t xml:space="preserve">Appearance</x:t>
        </x:is>
      </x:c>
      <x:c r="C16" s="178" t="inlineStr">
        <x:is>
          <x:t xml:space="preserve">Palette</x:t>
        </x:is>
      </x:c>
      <x:c r="D16" s="178" t="inlineStr">
        <x:is>
          <x:t xml:space="preserve">Semantic recipes have distinct paint and preserve contrast signals.</x:t>
        </x:is>
      </x:c>
      <x:c r="E16" s="178" t="inlineStr">
        <x:is>
          <x:t xml:space="preserve">package</x:t>
        </x:is>
      </x:c>
      <x:c r="F16" s="178" t="inlineStr">
        <x:is>
          <x:t xml:space="preserve">browser</x:t>
        </x:is>
      </x:c>
      <x:c r="G16" s="178" t="inlineStr">
        <x:is>
          <x:t xml:space="preserve">tests/components/chip/behavior.spec.ts</x:t>
        </x:is>
      </x:c>
      <x:c r="H16" s="178" t="inlineStr">
        <x:is>
          <x:t xml:space="preserve">tested</x:t>
        </x:is>
      </x:c>
      <x:c r="I16" s="178" t="inlineStr">
        <x:is>
          <x:t xml:space="preserve">no</x:t>
        </x:is>
      </x:c>
      <x:c r="J16" s="179" t="inlineStr">
        <x:is>
          <x:t xml:space="preserve">2026-09-07</x:t>
        </x:is>
      </x:c>
      <x:c r="K16" s="178" t="n"/>
      <x:c r="L16" s="178" t="n">
        <x:v>1</x:v>
      </x:c>
      <x:c r="M16" s="178" t="n">
        <x:f>IF(OR(AND(I16="yes",H16="verified"),AND(I16="no",OR(H16="tested",H16="verified")),AND(H16="not applicable",K16&lt;&gt;"")),1,0)</x:f>
        <x:v>1</x:v>
      </x:c>
    </x:row>
    <x:row r="17" s="127" customFormat="1" ht="61.5" customHeight="1">
      <x:c r="A17" s="176" t="inlineStr">
        <x:is>
          <x:t xml:space="preserve">chip-09</x:t>
        </x:is>
      </x:c>
      <x:c r="B17" s="176" t="inlineStr">
        <x:is>
          <x:t xml:space="preserve">Responsive</x:t>
        </x:is>
      </x:c>
      <x:c r="C17" s="176" t="inlineStr">
        <x:is>
          <x:t xml:space="preserve">Containment</x:t>
        </x:is>
      </x:c>
      <x:c r="D17" s="176" t="inlineStr">
        <x:is>
          <x:t xml:space="preserve">Long values remain contained on narrow RTL surfaces.</x:t>
        </x:is>
      </x:c>
      <x:c r="E17" s="176" t="inlineStr">
        <x:is>
          <x:t xml:space="preserve">package</x:t>
        </x:is>
      </x:c>
      <x:c r="F17" s="176" t="inlineStr">
        <x:is>
          <x:t xml:space="preserve">browser</x:t>
        </x:is>
      </x:c>
      <x:c r="G17" s="176" t="inlineStr">
        <x:is>
          <x:t xml:space="preserve">tests/components/chip/behavior.spec.ts</x:t>
        </x:is>
      </x:c>
      <x:c r="H17" s="176" t="inlineStr">
        <x:is>
          <x:t xml:space="preserve">tested</x:t>
        </x:is>
      </x:c>
      <x:c r="I17" s="176" t="inlineStr">
        <x:is>
          <x:t xml:space="preserve">no</x:t>
        </x:is>
      </x:c>
      <x:c r="J17" s="177" t="inlineStr">
        <x:is>
          <x:t xml:space="preserve">2026-09-07</x:t>
        </x:is>
      </x:c>
      <x:c r="K17" s="176" t="n"/>
      <x:c r="L17" s="176" t="n">
        <x:v>1</x:v>
      </x:c>
      <x:c r="M17" s="176" t="n">
        <x:f>IF(OR(AND(I17="yes",H17="verified"),AND(I17="no",OR(H17="tested",H17="verified")),AND(H17="not applicable",K17&lt;&gt;"")),1,0)</x:f>
        <x:v>1</x:v>
      </x:c>
    </x:row>
    <x:row r="18" s="127" customFormat="1" ht="61.5" customHeight="1">
      <x:c r="A18" s="178" t="inlineStr">
        <x:is>
          <x:t xml:space="preserve">chip-10</x:t>
        </x:is>
      </x:c>
      <x:c r="B18" s="178" t="inlineStr">
        <x:is>
          <x:t xml:space="preserve">Accessibility</x:t>
        </x:is>
      </x:c>
      <x:c r="C18" s="178" t="inlineStr">
        <x:is>
          <x:t xml:space="preserve">Names / axe</x:t>
        </x:is>
      </x:c>
      <x:c r="D18" s="178" t="inlineStr">
        <x:is>
          <x:t xml:space="preserve">Passive root and named removal have no detected axe violations.</x:t>
        </x:is>
      </x:c>
      <x:c r="E18" s="178" t="inlineStr">
        <x:is>
          <x:t xml:space="preserve">package</x:t>
        </x:is>
      </x:c>
      <x:c r="F18" s="178" t="inlineStr">
        <x:is>
          <x:t xml:space="preserve">browser</x:t>
        </x:is>
      </x:c>
      <x:c r="G18" s="178" t="inlineStr">
        <x:is>
          <x:t xml:space="preserve">tests/components/chip/behavior.spec.ts</x:t>
        </x:is>
      </x:c>
      <x:c r="H18" s="178" t="inlineStr">
        <x:is>
          <x:t xml:space="preserve">tested</x:t>
        </x:is>
      </x:c>
      <x:c r="I18" s="178" t="inlineStr">
        <x:is>
          <x:t xml:space="preserve">no</x:t>
        </x:is>
      </x:c>
      <x:c r="J18" s="179" t="inlineStr">
        <x:is>
          <x:t xml:space="preserve">2026-09-07</x:t>
        </x:is>
      </x:c>
      <x:c r="K18" s="178" t="n"/>
      <x:c r="L18" s="178" t="n">
        <x:v>1</x:v>
      </x:c>
      <x:c r="M18" s="178" t="n">
        <x:f>IF(OR(AND(I18="yes",H18="verified"),AND(I18="no",OR(H18="tested",H18="verified")),AND(H18="not applicable",K18&lt;&gt;"")),1,0)</x:f>
        <x:v>1</x:v>
      </x:c>
    </x:row>
    <x:row r="19" s="127" customFormat="1" ht="61.5" customHeight="1">
      <x:c r="A19" s="176" t="inlineStr">
        <x:is>
          <x:t xml:space="preserve">chip-11</x:t>
        </x:is>
      </x:c>
      <x:c r="B19" s="176" t="inlineStr">
        <x:is>
          <x:t xml:space="preserve">Compatibility</x:t>
        </x:is>
      </x:c>
      <x:c r="C19" s="176" t="inlineStr">
        <x:is>
          <x:t xml:space="preserve">Comfortable</x:t>
        </x:is>
      </x:c>
      <x:c r="D19" s="176" t="inlineStr">
        <x:is>
          <x:t xml:space="preserve">Existing comfortable sizes retain legacy minimum geometry.</x:t>
        </x:is>
      </x:c>
      <x:c r="E19" s="176" t="inlineStr">
        <x:is>
          <x:t xml:space="preserve">package</x:t>
        </x:is>
      </x:c>
      <x:c r="F19" s="176" t="inlineStr">
        <x:is>
          <x:t xml:space="preserve">browser</x:t>
        </x:is>
      </x:c>
      <x:c r="G19" s="176" t="inlineStr">
        <x:is>
          <x:t xml:space="preserve">tests/components/chip/behavior.spec.ts</x:t>
        </x:is>
      </x:c>
      <x:c r="H19" s="176" t="inlineStr">
        <x:is>
          <x:t xml:space="preserve">tested</x:t>
        </x:is>
      </x:c>
      <x:c r="I19" s="176" t="inlineStr">
        <x:is>
          <x:t xml:space="preserve">no</x:t>
        </x:is>
      </x:c>
      <x:c r="J19" s="177" t="inlineStr">
        <x:is>
          <x:t xml:space="preserve">2026-09-07</x:t>
        </x:is>
      </x:c>
      <x:c r="K19" s="176" t="n"/>
      <x:c r="L19" s="176" t="n">
        <x:v>1</x:v>
      </x:c>
      <x:c r="M19" s="176" t="n">
        <x:f>IF(OR(AND(I19="yes",H19="verified"),AND(I19="no",OR(H19="tested",H19="verified")),AND(H19="not applicable",K19&lt;&gt;"")),1,0)</x:f>
        <x:v>1</x:v>
      </x:c>
    </x:row>
    <x:row r="20" s="127" customFormat="1" ht="61.5" customHeight="1">
      <x:c r="A20" s="178" t="inlineStr">
        <x:is>
          <x:t xml:space="preserve">chip-12</x:t>
        </x:is>
      </x:c>
      <x:c r="B20" s="178" t="inlineStr">
        <x:is>
          <x:t xml:space="preserve">Visual</x:t>
        </x:is>
      </x:c>
      <x:c r="C20" s="178" t="inlineStr">
        <x:is>
          <x:t xml:space="preserve">Snapshots</x:t>
        </x:is>
      </x:c>
      <x:c r="D20" s="178" t="inlineStr">
        <x:is>
          <x:t xml:space="preserve">Reviewed captures include compact, slots, actions and existing scenarios.</x:t>
        </x:is>
      </x:c>
      <x:c r="E20" s="178" t="inlineStr">
        <x:is>
          <x:t xml:space="preserve">package</x:t>
        </x:is>
      </x:c>
      <x:c r="F20" s="178" t="inlineStr">
        <x:is>
          <x:t xml:space="preserve">visual</x:t>
        </x:is>
      </x:c>
      <x:c r="G20" s="178" t="inlineStr">
        <x:is>
          <x:t xml:space="preserve">tests/components/chip/visual.spec.ts</x:t>
        </x:is>
      </x:c>
      <x:c r="H20" s="178" t="inlineStr">
        <x:is>
          <x:t xml:space="preserve">implemented</x:t>
        </x:is>
      </x:c>
      <x:c r="I20" s="178" t="inlineStr">
        <x:is>
          <x:t xml:space="preserve">no</x:t>
        </x:is>
      </x:c>
      <x:c r="J20" s="179" t="n"/>
      <x:c r="K20" s="178" t="n"/>
      <x:c r="L20" s="178" t="n">
        <x:v>1</x:v>
      </x:c>
      <x:c r="M20" s="178" t="n">
        <x:f>IF(OR(AND(I20="yes",H20="verified"),AND(I20="no",OR(H20="tested",H20="verified")),AND(H20="not applicable",K20&lt;&gt;"")),1,0)</x:f>
        <x:v>0</x:v>
      </x:c>
    </x:row>
    <x:row r="21" s="127" customFormat="1" ht="61.5" customHeight="1">
      <x:c r="A21" s="176" t="inlineStr">
        <x:is>
          <x:t xml:space="preserve">chip-13</x:t>
        </x:is>
      </x:c>
      <x:c r="B21" s="176" t="inlineStr">
        <x:is>
          <x:t xml:space="preserve">Docs</x:t>
        </x:is>
      </x:c>
      <x:c r="C21" s="176" t="inlineStr">
        <x:is>
          <x:t xml:space="preserve">Guide / AK</x:t>
        </x:is>
      </x:c>
      <x:c r="D21" s="176" t="inlineStr">
        <x:is>
          <x:t xml:space="preserve">Public docs and source Agent Knowledge describe supported composition.</x:t>
        </x:is>
      </x:c>
      <x:c r="E21" s="176" t="inlineStr">
        <x:is>
          <x:t xml:space="preserve">package</x:t>
        </x:is>
      </x:c>
      <x:c r="F21" s="176" t="inlineStr">
        <x:is>
          <x:t xml:space="preserve">docs</x:t>
        </x:is>
      </x:c>
      <x:c r="G21" s="176" t="inlineStr">
        <x:is>
          <x:t xml:space="preserve">../docs/components/chip/README.md; ../src/components/chip/agent.json</x:t>
        </x:is>
      </x:c>
      <x:c r="H21" s="176" t="inlineStr">
        <x:is>
          <x:t xml:space="preserve">implemented</x:t>
        </x:is>
      </x:c>
      <x:c r="I21" s="176" t="inlineStr">
        <x:is>
          <x:t xml:space="preserve">no</x:t>
        </x:is>
      </x:c>
      <x:c r="J21" s="177" t="n"/>
      <x:c r="K21" s="176" t="n"/>
      <x:c r="L21" s="176" t="n">
        <x:v>1</x:v>
      </x:c>
      <x:c r="M21" s="176" t="n">
        <x:f>IF(OR(AND(I21="yes",H21="verified"),AND(I21="no",OR(H21="tested",H21="verified")),AND(H21="not applicable",K21&lt;&gt;"")),1,0)</x:f>
        <x:v>0</x:v>
      </x:c>
    </x:row>
    <x:row r="22" s="127" customFormat="1" ht="61.5" customHeight="1">
      <x:c r="A22" s="178" t="inlineStr">
        <x:is>
          <x:t xml:space="preserve">chip-14</x:t>
        </x:is>
      </x:c>
      <x:c r="B22" s="178" t="inlineStr">
        <x:is>
          <x:t xml:space="preserve">Playground</x:t>
        </x:is>
      </x:c>
      <x:c r="C22" s="178" t="inlineStr">
        <x:is>
          <x:t xml:space="preserve">Scenarios</x:t>
        </x:is>
      </x:c>
      <x:c r="D22" s="178" t="inlineStr">
        <x:is>
          <x:t xml:space="preserve">Twelve ordered scenarios cover the expanded capability contract.</x:t>
        </x:is>
      </x:c>
      <x:c r="E22" s="178" t="inlineStr">
        <x:is>
          <x:t xml:space="preserve">package</x:t>
        </x:is>
      </x:c>
      <x:c r="F22" s="178" t="inlineStr">
        <x:is>
          <x:t xml:space="preserve">page</x:t>
        </x:is>
      </x:c>
      <x:c r="G22" s="178" t="inlineStr">
        <x:is>
          <x:t xml:space="preserve">src/components/chip/ChipPage.tsx</x:t>
        </x:is>
      </x:c>
      <x:c r="H22" s="178" t="inlineStr">
        <x:is>
          <x:t xml:space="preserve">implemented</x:t>
        </x:is>
      </x:c>
      <x:c r="I22" s="178" t="inlineStr">
        <x:is>
          <x:t xml:space="preserve">no</x:t>
        </x:is>
      </x:c>
      <x:c r="J22" s="179" t="n"/>
      <x:c r="K22" s="178" t="n"/>
      <x:c r="L22" s="178" t="n">
        <x:v>1</x:v>
      </x:c>
      <x:c r="M22" s="178" t="n">
        <x:f>IF(OR(AND(I22="yes",H22="verified"),AND(I22="no",OR(H22="tested",H22="verified")),AND(H22="not applicable",K22&lt;&gt;"")),1,0)</x:f>
        <x:v>0</x:v>
      </x:c>
    </x:row>
    <x:row r="23" s="127" customFormat="1" ht="61.5" customHeight="1">
      <x:c r="A23" s="176" t="inlineStr">
        <x:is>
          <x:t xml:space="preserve">chip-15</x:t>
        </x:is>
      </x:c>
      <x:c r="B23" s="176" t="inlineStr">
        <x:is>
          <x:t xml:space="preserve">Consumer</x:t>
        </x:is>
      </x:c>
      <x:c r="C23" s="176" t="inlineStr">
        <x:is>
          <x:t xml:space="preserve">Composition</x:t>
        </x:is>
      </x:c>
      <x:c r="D23" s="176" t="inlineStr">
        <x:is>
          <x:t xml:space="preserve">Workspace summary uses action chips with removal focus recovery.</x:t>
        </x:is>
      </x:c>
      <x:c r="E23" s="176" t="inlineStr">
        <x:is>
          <x:t xml:space="preserve">consumer</x:t>
        </x:is>
      </x:c>
      <x:c r="F23" s="176" t="inlineStr">
        <x:is>
          <x:t xml:space="preserve">consumer</x:t>
        </x:is>
      </x:c>
      <x:c r="G23" s="176" t="inlineStr">
        <x:is>
          <x:t xml:space="preserve">../apps/consumer/src/DataDisplaySummary.tsx</x:t>
        </x:is>
      </x:c>
      <x:c r="H23" s="176" t="inlineStr">
        <x:is>
          <x:t xml:space="preserve">implemented</x:t>
        </x:is>
      </x:c>
      <x:c r="I23" s="176" t="inlineStr">
        <x:is>
          <x:t xml:space="preserve">no</x:t>
        </x:is>
      </x:c>
      <x:c r="J23" s="177" t="n"/>
      <x:c r="K23" s="176" t="n"/>
      <x:c r="L23" s="176" t="n">
        <x:v>1</x:v>
      </x:c>
      <x:c r="M23" s="176" t="n">
        <x:f>IF(OR(AND(I23="yes",H23="verified"),AND(I23="no",OR(H23="tested",H23="verified")),AND(H23="not applicable",K23&lt;&gt;"")),1,0)</x:f>
        <x:v>0</x:v>
      </x:c>
    </x:row>
    <x:row r="24" s="127" customFormat="1" ht="61.5" customHeight="1">
      <x:c r="A24" s="178" t="inlineStr">
        <x:is>
          <x:t xml:space="preserve">chip-16</x:t>
        </x:is>
      </x:c>
      <x:c r="B24" s="178" t="inlineStr">
        <x:is>
          <x:t xml:space="preserve">Package</x:t>
        </x:is>
      </x:c>
      <x:c r="C24" s="178" t="inlineStr">
        <x:is>
          <x:t xml:space="preserve">Artifact</x:t>
        </x:is>
      </x:c>
      <x:c r="D24" s="178" t="inlineStr">
        <x:is>
          <x:t xml:space="preserve">Packed exports, React 18/19 and complete repository/release gates.</x:t>
        </x:is>
      </x:c>
      <x:c r="E24" s="178" t="inlineStr">
        <x:is>
          <x:t xml:space="preserve">package</x:t>
        </x:is>
      </x:c>
      <x:c r="F24" s="178" t="inlineStr">
        <x:is>
          <x:t xml:space="preserve">package</x:t>
        </x:is>
      </x:c>
      <x:c r="G24" s="178" t="inlineStr">
        <x:is>
          <x:t xml:space="preserve">../scripts/verify-package.mjs</x:t>
        </x:is>
      </x:c>
      <x:c r="H24" s="178" t="inlineStr">
        <x:is>
          <x:t xml:space="preserve">partial</x:t>
        </x:is>
      </x:c>
      <x:c r="I24" s="178" t="inlineStr">
        <x:is>
          <x:t xml:space="preserve">no</x:t>
        </x:is>
      </x:c>
      <x:c r="J24" s="179" t="n"/>
      <x:c r="K24" s="178" t="inlineStr">
        <x:is>
          <x:t xml:space="preserve">Full batch qualification remains pending.</x:t>
        </x:is>
      </x:c>
      <x:c r="L24" s="178" t="n">
        <x:v>1</x:v>
      </x:c>
      <x:c r="M24" s="178" t="n">
        <x:f>IF(OR(AND(I24="yes",H24="verified"),AND(I24="no",OR(H24="tested",H24="verified")),AND(H24="not applicable",K24&lt;&gt;"")),1,0)</x:f>
        <x:v>0</x:v>
      </x:c>
    </x:row>
    <x:row r="25" s="127" customFormat="1" ht="61.5" customHeight="1">
      <x:c r="A25" s="176" t="inlineStr">
        <x:is>
          <x:t xml:space="preserve">chip-17</x:t>
        </x:is>
      </x:c>
      <x:c r="B25" s="176" t="inlineStr">
        <x:is>
          <x:t xml:space="preserve">Manual</x:t>
        </x:is>
      </x:c>
      <x:c r="C25" s="176" t="inlineStr">
        <x:is>
          <x:t xml:space="preserve">Screen reader / device</x:t>
        </x:is>
      </x:c>
      <x:c r="D25" s="176" t="inlineStr">
        <x:is>
          <x:t xml:space="preserve">Verify names, removal focus, touch and real zoom on named devices.</x:t>
        </x:is>
      </x:c>
      <x:c r="E25" s="176" t="inlineStr">
        <x:is>
          <x:t xml:space="preserve">package</x:t>
        </x:is>
      </x:c>
      <x:c r="F25" s="176" t="inlineStr">
        <x:is>
          <x:t xml:space="preserve">manual</x:t>
        </x:is>
      </x:c>
      <x:c r="G25" s="176" t="inlineStr">
        <x:is>
          <x:t xml:space="preserve">manual-tests/chip.md</x:t>
        </x:is>
      </x:c>
      <x:c r="H25" s="176" t="inlineStr">
        <x:is>
          <x:t xml:space="preserve">not started</x:t>
        </x:is>
      </x:c>
      <x:c r="I25" s="176" t="inlineStr">
        <x:is>
          <x:t xml:space="preserve">yes</x:t>
        </x:is>
      </x:c>
      <x:c r="J25" s="177" t="n"/>
      <x:c r="K25" s="176" t="inlineStr">
        <x:is>
          <x:t xml:space="preserve">Not performed; no human result claimed.</x:t>
        </x:is>
      </x:c>
      <x:c r="L25" s="176" t="n">
        <x:v>1</x:v>
      </x:c>
      <x:c r="M25" s="176" t="n">
        <x:f>IF(OR(AND(I25="yes",H25="verified"),AND(I25="no",OR(H25="tested",H25="verified")),AND(H25="not applicable",K25&lt;&gt;"")),1,0)</x:f>
        <x:v>0</x:v>
      </x:c>
    </x:row>
    <x:row r="26" s="127" customFormat="1" ht="54" customHeight="1">
      <x:c r="A26" s="149" t="n"/>
      <x:c r="B26" s="149" t="n"/>
      <x:c r="C26" s="149" t="n"/>
      <x:c r="D26" s="150" t="n"/>
      <x:c r="E26" s="149" t="n"/>
      <x:c r="F26" s="149" t="n"/>
      <x:c r="G26" s="150" t="n"/>
      <x:c r="H26" s="149" t="n"/>
      <x:c r="I26" s="149" t="n"/>
      <x:c r="J26" s="151" t="n"/>
      <x:c r="K26" s="150" t="n"/>
      <x:c r="L26" s="149" t="n"/>
      <x:c r="M26" s="149" t="n"/>
    </x:row>
    <x:row r="27" s="127" customFormat="1" ht="54" customHeight="1">
      <x:c r="A27" s="149" t="n"/>
      <x:c r="B27" s="149" t="n"/>
      <x:c r="C27" s="149" t="n"/>
      <x:c r="D27" s="150" t="n"/>
      <x:c r="E27" s="149" t="n"/>
      <x:c r="F27" s="149" t="n"/>
      <x:c r="G27" s="150" t="n"/>
      <x:c r="H27" s="149" t="n"/>
      <x:c r="I27" s="149" t="n"/>
      <x:c r="J27" s="151" t="n"/>
      <x:c r="K27" s="150" t="n"/>
      <x:c r="L27" s="149" t="n"/>
      <x:c r="M27" s="149" t="n"/>
    </x:row>
    <x:row r="28" s="127" customFormat="1" ht="54" customHeight="1">
      <x:c r="A28" s="149" t="n"/>
      <x:c r="B28" s="149" t="n"/>
      <x:c r="C28" s="149" t="n"/>
      <x:c r="D28" s="150" t="n"/>
      <x:c r="E28" s="149" t="n"/>
      <x:c r="F28" s="149" t="n"/>
      <x:c r="G28" s="150" t="n"/>
      <x:c r="H28" s="149" t="n"/>
      <x:c r="I28" s="149" t="n"/>
      <x:c r="J28" s="151" t="n"/>
      <x:c r="K28" s="150" t="n"/>
      <x:c r="L28" s="149" t="n"/>
      <x:c r="M28" s="149" t="n"/>
    </x:row>
    <x:row r="29" s="127" customFormat="1" ht="54" customHeight="1">
      <x:c r="A29" s="149" t="n"/>
      <x:c r="B29" s="149" t="n"/>
      <x:c r="C29" s="149" t="n"/>
      <x:c r="D29" s="150" t="n"/>
      <x:c r="E29" s="149" t="n"/>
      <x:c r="F29" s="149" t="n"/>
      <x:c r="G29" s="150" t="n"/>
      <x:c r="H29" s="149" t="n"/>
      <x:c r="I29" s="149" t="n"/>
      <x:c r="J29" s="151" t="n"/>
      <x:c r="K29" s="150" t="n"/>
      <x:c r="L29" s="149" t="n"/>
      <x:c r="M29" s="149" t="n"/>
    </x:row>
    <x:row r="30" s="127" customFormat="1" ht="54" customHeight="1">
      <x:c r="A30" s="149" t="n"/>
      <x:c r="B30" s="149" t="n"/>
      <x:c r="C30" s="149" t="n"/>
      <x:c r="D30" s="150" t="n"/>
      <x:c r="E30" s="149" t="n"/>
      <x:c r="F30" s="149" t="n"/>
      <x:c r="G30" s="150" t="n"/>
      <x:c r="H30" s="149" t="n"/>
      <x:c r="I30" s="149" t="n"/>
      <x:c r="J30" s="151" t="n"/>
      <x:c r="K30" s="150" t="n"/>
      <x:c r="L30" s="149" t="n"/>
      <x:c r="M30" s="149" t="n"/>
    </x:row>
    <x:row r="31" s="127" customFormat="1" ht="54" customHeight="1">
      <x:c r="A31" s="149" t="n"/>
      <x:c r="B31" s="149" t="n"/>
      <x:c r="C31" s="149" t="n"/>
      <x:c r="D31" s="150" t="n"/>
      <x:c r="E31" s="149" t="n"/>
      <x:c r="F31" s="149" t="n"/>
      <x:c r="G31" s="150" t="n"/>
      <x:c r="H31" s="149" t="n"/>
      <x:c r="I31" s="149" t="n"/>
      <x:c r="J31" s="151" t="n"/>
      <x:c r="K31" s="150" t="n"/>
      <x:c r="L31" s="149" t="n"/>
      <x:c r="M31" s="149" t="n"/>
    </x:row>
    <x:row r="32" s="127" customFormat="1" ht="54" customHeight="1">
      <x:c r="A32" s="149" t="n"/>
      <x:c r="B32" s="149" t="n"/>
      <x:c r="C32" s="149" t="n"/>
      <x:c r="D32" s="150" t="n"/>
      <x:c r="E32" s="149" t="n"/>
      <x:c r="F32" s="149" t="n"/>
      <x:c r="G32" s="150" t="n"/>
      <x:c r="H32" s="149" t="n"/>
      <x:c r="I32" s="149" t="n"/>
      <x:c r="J32" s="151" t="n"/>
      <x:c r="K32" s="150" t="n"/>
      <x:c r="L32" s="149" t="n"/>
      <x:c r="M32" s="149" t="n"/>
    </x:row>
    <x:row r="33" s="127" customFormat="1" ht="54" customHeight="1">
      <x:c r="A33" s="149" t="n"/>
      <x:c r="B33" s="149" t="n"/>
      <x:c r="C33" s="149" t="n"/>
      <x:c r="D33" s="150" t="n"/>
      <x:c r="E33" s="149" t="n"/>
      <x:c r="F33" s="149" t="n"/>
      <x:c r="G33" s="150" t="n"/>
      <x:c r="H33" s="149" t="n"/>
      <x:c r="I33" s="149" t="n"/>
      <x:c r="J33" s="151" t="n"/>
      <x:c r="K33" s="150" t="n"/>
      <x:c r="L33" s="149" t="n"/>
      <x:c r="M33" s="149" t="n"/>
    </x:row>
    <x:row r="34" s="127" customFormat="1" ht="54" customHeight="1">
      <x:c r="A34" s="149" t="n"/>
      <x:c r="B34" s="149" t="n"/>
      <x:c r="C34" s="149" t="n"/>
      <x:c r="D34" s="150" t="n"/>
      <x:c r="E34" s="149" t="n"/>
      <x:c r="F34" s="149" t="n"/>
      <x:c r="G34" s="150" t="n"/>
      <x:c r="H34" s="149" t="n"/>
      <x:c r="I34" s="149" t="n"/>
      <x:c r="J34" s="151" t="n"/>
      <x:c r="K34" s="150" t="n"/>
      <x:c r="L34" s="149" t="n"/>
      <x:c r="M34" s="149" t="n"/>
    </x:row>
    <x:row r="35" s="127" customFormat="1" ht="54" customHeight="1">
      <x:c r="A35" s="149" t="n"/>
      <x:c r="B35" s="149" t="n"/>
      <x:c r="C35" s="149" t="n"/>
      <x:c r="D35" s="150" t="n"/>
      <x:c r="E35" s="149" t="n"/>
      <x:c r="F35" s="149" t="n"/>
      <x:c r="G35" s="150" t="n"/>
      <x:c r="H35" s="149" t="n"/>
      <x:c r="I35" s="149" t="n"/>
      <x:c r="J35" s="151" t="n"/>
      <x:c r="K35" s="150" t="n"/>
      <x:c r="L35" s="149" t="n"/>
      <x:c r="M35" s="149" t="n"/>
    </x:row>
    <x:row r="36" s="127" customFormat="1" ht="54" customHeight="1">
      <x:c r="A36" s="149" t="n"/>
      <x:c r="B36" s="149" t="n"/>
      <x:c r="C36" s="149" t="n"/>
      <x:c r="D36" s="150" t="n"/>
      <x:c r="E36" s="149" t="n"/>
      <x:c r="F36" s="149" t="n"/>
      <x:c r="G36" s="150" t="n"/>
      <x:c r="H36" s="149" t="n"/>
      <x:c r="I36" s="149" t="n"/>
      <x:c r="J36" s="151" t="n"/>
      <x:c r="K36" s="150" t="n"/>
      <x:c r="L36" s="149" t="n"/>
      <x:c r="M36" s="149" t="n"/>
    </x:row>
    <x:row r="37" s="127" customFormat="1" ht="54" customHeight="1">
      <x:c r="A37" s="149" t="n"/>
      <x:c r="B37" s="149" t="n"/>
      <x:c r="C37" s="149" t="n"/>
      <x:c r="D37" s="150" t="n"/>
      <x:c r="E37" s="149" t="n"/>
      <x:c r="F37" s="149" t="n"/>
      <x:c r="G37" s="150" t="n"/>
      <x:c r="H37" s="149" t="n"/>
      <x:c r="I37" s="149" t="n"/>
      <x:c r="J37" s="151" t="n"/>
      <x:c r="K37" s="150" t="n"/>
      <x:c r="L37" s="149" t="n"/>
      <x:c r="M37" s="149" t="n"/>
    </x:row>
    <x:row r="38" s="127" customFormat="1" ht="54" customHeight="1">
      <x:c r="A38" s="149" t="n"/>
      <x:c r="B38" s="149" t="n"/>
      <x:c r="C38" s="149" t="n"/>
      <x:c r="D38" s="150" t="n"/>
      <x:c r="E38" s="149" t="n"/>
      <x:c r="F38" s="149" t="n"/>
      <x:c r="G38" s="150" t="n"/>
      <x:c r="H38" s="149" t="n"/>
      <x:c r="I38" s="149" t="n"/>
      <x:c r="J38" s="151" t="n"/>
      <x:c r="K38" s="150" t="n"/>
      <x:c r="L38" s="149" t="n"/>
      <x:c r="M38" s="149" t="n"/>
    </x:row>
    <x:row r="39" s="127" customFormat="1" ht="54" customHeight="1">
      <x:c r="A39" s="149" t="n"/>
      <x:c r="B39" s="149" t="n"/>
      <x:c r="C39" s="149" t="n"/>
      <x:c r="D39" s="150" t="n"/>
      <x:c r="E39" s="149" t="n"/>
      <x:c r="F39" s="149" t="n"/>
      <x:c r="G39" s="150" t="n"/>
      <x:c r="H39" s="149" t="n"/>
      <x:c r="I39" s="149" t="n"/>
      <x:c r="J39" s="151" t="n"/>
      <x:c r="K39" s="150" t="n"/>
      <x:c r="L39" s="149" t="n"/>
      <x:c r="M39" s="149" t="n"/>
    </x:row>
  </x:sheetData>
  <x:mergeCells>
    <x:mergeCell ref="A2:M2"/>
    <x:mergeCell ref="A1:M1"/>
  </x:mergeCells>
  <x:dataValidations count="1">
    <x:dataValidation type="list" errorStyle="stop" operator="between" allowBlank="0" showDropDown="0" showInputMessage="0" showErrorMessage="0" sqref="H9:H25">
      <x:formula1>"not started,partial,implemented,tested,verified,blocked,not applicable"</x:formula1>
      <x:formula2>0</x:formula2>
    </x:dataValidation>
  </x:dataValidations>
  <x:pageMargins left="0.7" right="0.7" top="0.75" bottom="0.75" header="0.3" footer="0.3"/>
</x:worksheet>
</file>

<file path=xl/worksheets/sheet67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Combobox Evidence</x:t>
        </x:is>
      </x:c>
    </x:row>
    <x:row r="2" s="127" customFormat="1" ht="27.75" customHeight="1">
      <x:c r="A2" s="129" t="inlineStr">
        <x:is>
          <x:t xml:space="preserve">Assertion-level Atom-backed package, browser, mobile, human-review, documentation, Consumer, filtering, and positioning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COUNTA(A9:A30)</x:f>
        <x:v>22</x:v>
      </x:c>
      <x:c r="D4" s="130" t="inlineStr">
        <x:is>
          <x:t xml:space="preserve">Resolved</x:t>
        </x:is>
      </x:c>
      <x:c r="E4" s="131" t="n">
        <x:f>SUM(M9:M30)</x:f>
        <x:v>12</x:v>
      </x:c>
      <x:c r="G4" s="130" t="inlineStr">
        <x:is>
          <x:t xml:space="preserve">Completion</x:t>
        </x:is>
      </x:c>
      <x:c r="H4" s="132" t="n">
        <x:f>IF(B4=0,0,E4/B4)</x:f>
        <x:v>0.5454545454545454</x:v>
      </x:c>
      <x:c r="J4" s="130" t="inlineStr">
        <x:is>
          <x:t xml:space="preserve">Package gate</x:t>
        </x:is>
      </x:c>
      <x:c r="K4" s="131" t="str">
        <x:f>IF(COUNTIFS(E9:E24,"package",M9:M24,0)&gt;0,"open","complete")</x:f>
        <x:v>complete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IF(COUNTIFS(I9:I30,"yes",M9:M30,0)&gt;0,"open","complete")</x:f>
        <x:v>open</x:v>
      </x:c>
      <x:c r="D5" s="130" t="inlineStr">
        <x:is>
          <x:t xml:space="preserve">Consumer gate</x:t>
        </x:is>
      </x:c>
      <x:c r="E5" s="131" t="str">
        <x:f>IF(COUNTIFS(E9:E30,"consumer",M9:M30,0)&gt;0,"open","complete")</x:f>
        <x:v>open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CB-01</x:t>
        </x:is>
      </x:c>
      <x:c r="B9" s="149" t="inlineStr">
        <x:is>
          <x:t xml:space="preserve">Implementation</x:t>
        </x:is>
      </x:c>
      <x:c r="C9" s="149" t="inlineStr">
        <x:is>
          <x:t xml:space="preserve">Root/Control</x:t>
        </x:is>
      </x:c>
      <x:c r="D9" s="150" t="inlineStr">
        <x:is>
          <x:t xml:space="preserve">Compound behavior adapts digest-locked local Atom 0.26.1. Multiple selection, controller and input policies remain Atom-owned.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../src/components/combobox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inlineStr">
        <x:is>
          <x:t xml:space="preserve">2026-09-19 parity pass; human and package qualification remain open.</x:t>
        </x:is>
      </x:c>
      <x:c r="K9" s="150" t="n"/>
      <x:c r="L9" s="149" t="n"/>
      <x:c r="M9" s="149" t="n">
        <x:f>IF(OR(H9="tested",H9="verified",H9="not applicable"),1,0)</x:f>
        <x:v>1</x:v>
      </x:c>
    </x:row>
    <x:row r="10" s="127" customFormat="1" ht="54" customHeight="1">
      <x:c r="A10" s="149" t="inlineStr">
        <x:is>
          <x:t xml:space="preserve">CB-02</x:t>
        </x:is>
      </x:c>
      <x:c r="B10" s="149" t="inlineStr">
        <x:is>
          <x:t xml:space="preserve">Anatomy</x:t>
        </x:is>
      </x:c>
      <x:c r="C10" s="149" t="inlineStr">
        <x:is>
          <x:t xml:space="preserve">All parts</x:t>
        </x:is>
      </x:c>
      <x:c r="D10" s="150" t="inlineStr">
        <x:is>
          <x:t xml:space="preserve">RootProvider, IndicatorGroup, ItemText and ItemIndicator extend the existing compound anatomy.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../test/components/combobox/combobox.test.tsx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inlineStr">
        <x:is>
          <x:t xml:space="preserve">2026-09-19 parity pass; human and package qualification remain open.</x:t>
        </x:is>
      </x:c>
      <x:c r="K10" s="150" t="n"/>
      <x:c r="L10" s="149" t="n"/>
      <x:c r="M10" s="149" t="n">
        <x:f>IF(OR(H10="tested",H10="verified",H10="not applicable"),1,0)</x:f>
        <x:v>1</x:v>
      </x:c>
    </x:row>
    <x:row r="11" s="127" customFormat="1" ht="54" customHeight="1">
      <x:c r="A11" s="149" t="inlineStr">
        <x:is>
          <x:t xml:space="preserve">CB-03</x:t>
        </x:is>
      </x:c>
      <x:c r="B11" s="149" t="inlineStr">
        <x:is>
          <x:t xml:space="preserve">Exports</x:t>
        </x:is>
      </x:c>
      <x:c r="C11" s="149" t="inlineStr">
        <x:is>
          <x:t xml:space="preserve">Combobox</x:t>
        </x:is>
      </x:c>
      <x:c r="D11" s="150" t="inlineStr">
        <x:is>
          <x:t xml:space="preserve">Root and combobox subpath exports expose the namespace, named parts, and public types.</x:t>
        </x:is>
      </x:c>
      <x:c r="E11" s="149" t="inlineStr">
        <x:is>
          <x:t xml:space="preserve">package</x:t>
        </x:is>
      </x:c>
      <x:c r="F11" s="149" t="inlineStr">
        <x:is>
          <x:t xml:space="preserve">package</x:t>
        </x:is>
      </x:c>
      <x:c r="G11" s="150" t="inlineStr">
        <x:is>
          <x:t xml:space="preserve">../test/package/package.test.mjs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inlineStr">
        <x:is>
          <x:t xml:space="preserve">2026-09-19 parity pass; human and package qualification remain open.</x:t>
        </x:is>
      </x:c>
      <x:c r="K11" s="150" t="n"/>
      <x:c r="L11" s="149" t="n"/>
      <x:c r="M11" s="149" t="n">
        <x:f>IF(OR(H11="tested",H11="verified",H11="not applicable"),1,0)</x:f>
        <x:v>1</x:v>
      </x:c>
    </x:row>
    <x:row r="12" s="127" customFormat="1" ht="54" customHeight="1">
      <x:c r="A12" s="149" t="inlineStr">
        <x:is>
          <x:t xml:space="preserve">CB-04</x:t>
        </x:is>
      </x:c>
      <x:c r="B12" s="149" t="inlineStr">
        <x:is>
          <x:t xml:space="preserve">Types</x:t>
        </x:is>
      </x:c>
      <x:c r="C12" s="149" t="inlineStr">
        <x:is>
          <x:t xml:space="preserve">Root/parts</x:t>
        </x:is>
      </x:c>
      <x:c r="D12" s="150" t="inlineStr">
        <x:is>
          <x:t xml:space="preserve">Recipes, refs, native props, and underline shape exclusion type-check.</x:t>
        </x:is>
      </x:c>
      <x:c r="E12" s="149" t="inlineStr">
        <x:is>
          <x:t xml:space="preserve">package</x:t>
        </x:is>
      </x:c>
      <x:c r="F12" s="149" t="inlineStr">
        <x:is>
          <x:t xml:space="preserve">types</x:t>
        </x:is>
      </x:c>
      <x:c r="G12" s="150" t="inlineStr">
        <x:is>
          <x:t xml:space="preserve">../test/types/components/combobox.test.ts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inlineStr">
        <x:is>
          <x:t xml:space="preserve">2026-09-19 parity pass; human and package qualification remain open.</x:t>
        </x:is>
      </x:c>
      <x:c r="K12" s="150" t="n"/>
      <x:c r="L12" s="149" t="n"/>
      <x:c r="M12" s="149" t="n">
        <x:f>IF(OR(H12="tested",H12="verified",H12="not applicable"),1,0)</x:f>
        <x:v>1</x:v>
      </x:c>
    </x:row>
    <x:row r="13" s="127" customFormat="1" ht="54" customHeight="1">
      <x:c r="A13" s="149" t="inlineStr">
        <x:is>
          <x:t xml:space="preserve">CB-05</x:t>
        </x:is>
      </x:c>
      <x:c r="B13" s="149" t="inlineStr">
        <x:is>
          <x:t xml:space="preserve">CSS</x:t>
        </x:is>
      </x:c>
      <x:c r="C13" s="149" t="inlineStr">
        <x:is>
          <x:t xml:space="preserve">Control/Content/Item</x:t>
        </x:is>
      </x:c>
      <x:c r="D13" s="150" t="inlineStr">
        <x:is>
          <x:t xml:space="preserve">Static CSS ships recipes, geometry, states, popup, options, artwork, and documented variables.</x:t>
        </x:is>
      </x:c>
      <x:c r="E13" s="149" t="inlineStr">
        <x:is>
          <x:t xml:space="preserve">package</x:t>
        </x:is>
      </x:c>
      <x:c r="F13" s="149" t="inlineStr">
        <x:is>
          <x:t xml:space="preserve">css</x:t>
        </x:is>
      </x:c>
      <x:c r="G13" s="150" t="inlineStr">
        <x:is>
          <x:t xml:space="preserve">../src/components/combobox/combobox.css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inlineStr">
        <x:is>
          <x:t xml:space="preserve">2026-09-19 parity pass; human and package qualification remain open.</x:t>
        </x:is>
      </x:c>
      <x:c r="K13" s="150" t="n"/>
      <x:c r="L13" s="149" t="n"/>
      <x:c r="M13" s="149" t="n">
        <x:f>IF(OR(H13="tested",H13="verified",H13="not applicable"),1,0)</x:f>
        <x:v>1</x:v>
      </x:c>
    </x:row>
    <x:row r="14" s="127" customFormat="1" ht="54" customHeight="1">
      <x:c r="A14" s="149" t="inlineStr">
        <x:is>
          <x:t xml:space="preserve">CB-06</x:t>
        </x:is>
      </x:c>
      <x:c r="B14" s="149" t="inlineStr">
        <x:is>
          <x:t xml:space="preserve">Filtering</x:t>
        </x:is>
      </x:c>
      <x:c r="C14" s="149" t="inlineStr">
        <x:is>
          <x:t xml:space="preserve">Input/Listbox</x:t>
        </x:is>
      </x:c>
      <x:c r="D14" s="150" t="inlineStr">
        <x:is>
          <x:t xml:space="preserve">Typing filters authored options and exposes an empty result.</x:t>
        </x:is>
      </x:c>
      <x:c r="E14" s="149" t="inlineStr">
        <x:is>
          <x:t xml:space="preserve">browser</x:t>
        </x:is>
      </x:c>
      <x:c r="F14" s="149" t="inlineStr">
        <x:is>
          <x:t xml:space="preserve">browser</x:t>
        </x:is>
      </x:c>
      <x:c r="G14" s="150" t="inlineStr">
        <x:is>
          <x:t xml:space="preserve">tests/components/combobox/behavior.spec.ts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inlineStr">
        <x:is>
          <x:t xml:space="preserve">2026-09-19 parity pass; human and package qualification remain open.</x:t>
        </x:is>
      </x:c>
      <x:c r="K14" s="144" t="inlineStr">
        <x:is>
          <x:t xml:space="preserve">Surface pass: outline/rest/hover and surface fill checked in light/dark. Full owner review remains separate; see form-surface-recipes assertions in the owner browser suite.</x:t>
        </x:is>
      </x:c>
      <x:c r="L14" s="149" t="n"/>
      <x:c r="M14" s="149" t="n">
        <x:f>IF(OR(H14="tested",H14="verified",H14="not applicable"),1,0)</x:f>
        <x:v>1</x:v>
      </x:c>
    </x:row>
    <x:row r="15" s="127" customFormat="1" ht="54" customHeight="1">
      <x:c r="A15" s="149" t="inlineStr">
        <x:is>
          <x:t xml:space="preserve">CB-07</x:t>
        </x:is>
      </x:c>
      <x:c r="B15" s="149" t="inlineStr">
        <x:is>
          <x:t xml:space="preserve">Selection</x:t>
        </x:is>
      </x:c>
      <x:c r="C15" s="149" t="inlineStr">
        <x:is>
          <x:t xml:space="preserve">Input/Item/Clear</x:t>
        </x:is>
      </x:c>
      <x:c r="D15" s="150" t="inlineStr">
        <x:is>
          <x:t xml:space="preserve">Keyboard and pointer selection update one value and Clear removes it.</x:t>
        </x:is>
      </x:c>
      <x:c r="E15" s="149" t="inlineStr">
        <x:is>
          <x:t xml:space="preserve">browser</x:t>
        </x:is>
      </x:c>
      <x:c r="F15" s="149" t="inlineStr">
        <x:is>
          <x:t xml:space="preserve">browser</x:t>
        </x:is>
      </x:c>
      <x:c r="G15" s="150" t="inlineStr">
        <x:is>
          <x:t xml:space="preserve">tests/components/combobox/behavior.spec.ts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inlineStr">
        <x:is>
          <x:t xml:space="preserve">2026-09-19 parity pass; human and package qualification remain open.</x:t>
        </x:is>
      </x:c>
      <x:c r="K15" s="150" t="n"/>
      <x:c r="L15" s="149" t="n"/>
      <x:c r="M15" s="149" t="n">
        <x:f>IF(OR(H15="tested",H15="verified",H15="not applicable"),1,0)</x:f>
        <x:v>1</x:v>
      </x:c>
    </x:row>
    <x:row r="16" s="127" customFormat="1" ht="54" customHeight="1">
      <x:c r="A16" s="149" t="inlineStr">
        <x:is>
          <x:t xml:space="preserve">CB-08</x:t>
        </x:is>
      </x:c>
      <x:c r="B16" s="149" t="inlineStr">
        <x:is>
          <x:t xml:space="preserve">Free text</x:t>
        </x:is>
      </x:c>
      <x:c r="C16" s="149" t="inlineStr">
        <x:is>
          <x:t xml:space="preserve">Root/Input</x:t>
        </x:is>
      </x:c>
      <x:c r="D16" s="150" t="inlineStr">
        <x:is>
          <x:t xml:space="preserve">freeSolo permits values outside the option set.</x:t>
        </x:is>
      </x:c>
      <x:c r="E16" s="149" t="inlineStr">
        <x:is>
          <x:t xml:space="preserve">package</x:t>
        </x:is>
      </x:c>
      <x:c r="F16" s="149" t="inlineStr">
        <x:is>
          <x:t xml:space="preserve">component</x:t>
        </x:is>
      </x:c>
      <x:c r="G16" s="150" t="inlineStr">
        <x:is>
          <x:t xml:space="preserve">../test/components/combobox/combobox.test.tsx</x:t>
        </x:is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inlineStr">
        <x:is>
          <x:t xml:space="preserve">2026-09-19 parity pass; human and package qualification remain open.</x:t>
        </x:is>
      </x:c>
      <x:c r="K16" s="150" t="n"/>
      <x:c r="L16" s="149" t="n"/>
      <x:c r="M16" s="149" t="n">
        <x:f>IF(OR(H16="tested",H16="verified",H16="not applicable"),1,0)</x:f>
        <x:v>1</x:v>
      </x:c>
    </x:row>
    <x:row r="17" s="127" customFormat="1" ht="54" customHeight="1">
      <x:c r="A17" s="149" t="inlineStr">
        <x:is>
          <x:t xml:space="preserve">CB-09</x:t>
        </x:is>
      </x:c>
      <x:c r="B17" s="149" t="inlineStr">
        <x:is>
          <x:t xml:space="preserve">States</x:t>
        </x:is>
      </x:c>
      <x:c r="C17" s="149" t="inlineStr">
        <x:is>
          <x:t xml:space="preserve">Input/Item/Messages</x:t>
        </x:is>
      </x:c>
      <x:c r="D17" s="150" t="inlineStr">
        <x:is>
          <x:t xml:space="preserve">Disabled, read-only, highlighted, selected, empty, and loading states remain distinct.</x:t>
        </x:is>
      </x:c>
      <x:c r="E17" s="149" t="inlineStr">
        <x:is>
          <x:t xml:space="preserve">human</x:t>
        </x:is>
      </x:c>
      <x:c r="F17" s="149" t="inlineStr">
        <x:is>
          <x:t xml:space="preserve">visual</x:t>
        </x:is>
      </x:c>
      <x:c r="G17" s="150" t="inlineStr">
        <x:is>
          <x:t xml:space="preserve">tests/components/combobox/visual.spec.ts</x:t>
        </x:is>
      </x:c>
      <x:c r="H17" s="149" t="inlineStr">
        <x:is>
          <x:t xml:space="preserve">implemented</x:t>
        </x:is>
      </x:c>
      <x:c r="I17" s="149" t="inlineStr">
        <x:is>
          <x:t xml:space="preserve">yes</x:t>
        </x:is>
      </x:c>
      <x:c r="J17" s="151" t="inlineStr">
        <x:is>
          <x:t xml:space="preserve">2026-09-19 parity pass; human and package qualification remain open.</x:t>
        </x:is>
      </x:c>
      <x:c r="K17" s="150" t="n"/>
      <x:c r="L17" s="149" t="n"/>
      <x:c r="M17" s="149" t="n">
        <x:f>IF(OR(H17="tested",H17="verified",H17="not applicable"),1,0)</x:f>
        <x:v>0</x:v>
      </x:c>
    </x:row>
    <x:row r="18" s="127" customFormat="1" ht="54" customHeight="1">
      <x:c r="A18" s="149" t="inlineStr">
        <x:is>
          <x:t xml:space="preserve">CB-10</x:t>
        </x:is>
      </x:c>
      <x:c r="B18" s="149" t="inlineStr">
        <x:is>
          <x:t xml:space="preserve">Recipes</x:t>
        </x:is>
      </x:c>
      <x:c r="C18" s="149" t="inlineStr">
        <x:is>
          <x:t xml:space="preserve">Control</x:t>
        </x:is>
      </x:c>
      <x:c r="D18" s="150" t="inlineStr">
        <x:is>
          <x:t xml:space="preserve">Outline, soft, underline, sizes, shapes, and width retain closed recipe data.</x:t>
        </x:is>
      </x:c>
      <x:c r="E18" s="149" t="inlineStr">
        <x:is>
          <x:t xml:space="preserve">browser</x:t>
        </x:is>
      </x:c>
      <x:c r="F18" s="149" t="inlineStr">
        <x:is>
          <x:t xml:space="preserve">browser</x:t>
        </x:is>
      </x:c>
      <x:c r="G18" s="150" t="inlineStr">
        <x:is>
          <x:t xml:space="preserve">tests/components/combobox/behavior.spec.ts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inlineStr">
        <x:is>
          <x:t xml:space="preserve">2026-09-19 parity pass; human and package qualification remain open.</x:t>
        </x:is>
      </x:c>
      <x:c r="K18" s="150" t="n"/>
      <x:c r="L18" s="149" t="n"/>
      <x:c r="M18" s="149" t="n">
        <x:f>IF(OR(H18="tested",H18="verified",H18="not applicable"),1,0)</x:f>
        <x:v>1</x:v>
      </x:c>
    </x:row>
    <x:row r="19" s="127" customFormat="1" ht="54" customHeight="1">
      <x:c r="A19" s="149" t="inlineStr">
        <x:is>
          <x:t xml:space="preserve">CB-11</x:t>
        </x:is>
      </x:c>
      <x:c r="B19" s="149" t="inlineStr">
        <x:is>
          <x:t xml:space="preserve">Positioning</x:t>
        </x:is>
      </x:c>
      <x:c r="C19" s="149" t="inlineStr">
        <x:is>
          <x:t xml:space="preserve">Content</x:t>
        </x:is>
      </x:c>
      <x:c r="D19" s="150" t="inlineStr">
        <x:is>
          <x:t xml:space="preserve">Popup exposes collision-resolved side and remains viewport bounded.</x:t>
        </x:is>
      </x:c>
      <x:c r="E19" s="149" t="inlineStr">
        <x:is>
          <x:t xml:space="preserve">browser</x:t>
        </x:is>
      </x:c>
      <x:c r="F19" s="149" t="inlineStr">
        <x:is>
          <x:t xml:space="preserve">browser</x:t>
        </x:is>
      </x:c>
      <x:c r="G19" s="150" t="inlineStr">
        <x:is>
          <x:t xml:space="preserve">tests/components/combobox/behavior.spec.ts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inlineStr">
        <x:is>
          <x:t xml:space="preserve">2026-09-19 parity pass; human and package qualification remain open.</x:t>
        </x:is>
      </x:c>
      <x:c r="K19" s="150" t="n"/>
      <x:c r="L19" s="149" t="n"/>
      <x:c r="M19" s="149" t="n">
        <x:f>IF(OR(H19="tested",H19="verified",H19="not applicable"),1,0)</x:f>
        <x:v>1</x:v>
      </x:c>
    </x:row>
    <x:row r="20" s="127" customFormat="1" ht="54" customHeight="1">
      <x:c r="A20" s="149" t="inlineStr">
        <x:is>
          <x:t xml:space="preserve">CB-12</x:t>
        </x:is>
      </x:c>
      <x:c r="B20" s="149" t="inlineStr">
        <x:is>
          <x:t xml:space="preserve">Touch</x:t>
        </x:is>
      </x:c>
      <x:c r="C20" s="149" t="inlineStr">
        <x:is>
          <x:t xml:space="preserve">Content</x:t>
        </x:is>
      </x:c>
      <x:c r="D20" s="150" t="inlineStr">
        <x:is>
          <x:t xml:space="preserve">Atom 0.20.11 defers outside-touch dismissal; physical mobile scrolling and flipping remain reachable.</x:t>
        </x:is>
      </x:c>
      <x:c r="E20" s="149" t="inlineStr">
        <x:is>
          <x:t xml:space="preserve">human</x:t>
        </x:is>
      </x:c>
      <x:c r="F20" s="149" t="inlineStr">
        <x:is>
          <x:t xml:space="preserve">manual</x:t>
        </x:is>
      </x:c>
      <x:c r="G20" s="150" t="inlineStr">
        <x:is>
          <x:t xml:space="preserve">manual-tests/combobox.md</x:t>
        </x:is>
      </x:c>
      <x:c r="H20" s="149" t="inlineStr">
        <x:is>
          <x:t xml:space="preserve">implemented</x:t>
        </x:is>
      </x:c>
      <x:c r="I20" s="149" t="inlineStr">
        <x:is>
          <x:t xml:space="preserve">yes</x:t>
        </x:is>
      </x:c>
      <x:c r="J20" s="151" t="inlineStr">
        <x:is>
          <x:t xml:space="preserve">2026-09-19 parity pass; human and package qualification remain open.</x:t>
        </x:is>
      </x:c>
      <x:c r="K20" s="150" t="n"/>
      <x:c r="L20" s="149" t="n"/>
      <x:c r="M20" s="149" t="n">
        <x:f>IF(OR(H20="tested",H20="verified",H20="not applicable"),1,0)</x:f>
        <x:v>0</x:v>
      </x:c>
    </x:row>
    <x:row r="21" s="127" customFormat="1" ht="54" customHeight="1">
      <x:c r="A21" s="149" t="inlineStr">
        <x:is>
          <x:t xml:space="preserve">CB-13</x:t>
        </x:is>
      </x:c>
      <x:c r="B21" s="149" t="inlineStr">
        <x:is>
          <x:t xml:space="preserve">Accessibility</x:t>
        </x:is>
      </x:c>
      <x:c r="C21" s="149" t="inlineStr">
        <x:is>
          <x:t xml:space="preserve">All parts</x:t>
        </x:is>
      </x:c>
      <x:c r="D21" s="150" t="inlineStr">
        <x:is>
          <x:t xml:space="preserve">Combobox route has no automated axe violations and preserves native roles.</x:t>
        </x:is>
      </x:c>
      <x:c r="E21" s="149" t="inlineStr">
        <x:is>
          <x:t xml:space="preserve">browser</x:t>
        </x:is>
      </x:c>
      <x:c r="F21" s="149" t="inlineStr">
        <x:is>
          <x:t xml:space="preserve">axe</x:t>
        </x:is>
      </x:c>
      <x:c r="G21" s="150" t="inlineStr">
        <x:is>
          <x:t xml:space="preserve">tests/components/combobox/behavior.spec.ts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inlineStr">
        <x:is>
          <x:t xml:space="preserve">2026-09-19 parity pass; human and package qualification remain open.</x:t>
        </x:is>
      </x:c>
      <x:c r="K21" s="150" t="n"/>
      <x:c r="L21" s="149" t="n"/>
      <x:c r="M21" s="149" t="n">
        <x:f>IF(OR(H21="tested",H21="verified",H21="not applicable"),1,0)</x:f>
        <x:v>1</x:v>
      </x:c>
    </x:row>
    <x:row r="22" s="127" customFormat="1" ht="54" customHeight="1">
      <x:c r="A22" s="149" t="inlineStr">
        <x:is>
          <x:t xml:space="preserve">CB-14</x:t>
        </x:is>
      </x:c>
      <x:c r="B22" s="149" t="inlineStr">
        <x:is>
          <x:t xml:space="preserve">Appearance</x:t>
        </x:is>
      </x:c>
      <x:c r="C22" s="149" t="inlineStr">
        <x:is>
          <x:t xml:space="preserve">All parts</x:t>
        </x:is>
      </x:c>
      <x:c r="D22" s="150" t="inlineStr">
        <x:is>
          <x:t xml:space="preserve">Light, dark, and forced-color states retain contrast and visible focus.</x:t>
        </x:is>
      </x:c>
      <x:c r="E22" s="149" t="inlineStr">
        <x:is>
          <x:t xml:space="preserve">human</x:t>
        </x:is>
      </x:c>
      <x:c r="F22" s="149" t="inlineStr">
        <x:is>
          <x:t xml:space="preserve">visual</x:t>
        </x:is>
      </x:c>
      <x:c r="G22" s="150" t="inlineStr">
        <x:is>
          <x:t xml:space="preserve">tests/components/combobox/visual.spec.ts</x:t>
        </x:is>
      </x:c>
      <x:c r="H22" s="149" t="inlineStr">
        <x:is>
          <x:t xml:space="preserve">implemented</x:t>
        </x:is>
      </x:c>
      <x:c r="I22" s="149" t="inlineStr">
        <x:is>
          <x:t xml:space="preserve">yes</x:t>
        </x:is>
      </x:c>
      <x:c r="J22" s="151" t="inlineStr">
        <x:is>
          <x:t xml:space="preserve">2026-09-19 parity pass; human and package qualification remain open.</x:t>
        </x:is>
      </x:c>
      <x:c r="K22" s="150" t="n"/>
      <x:c r="L22" s="149" t="n"/>
      <x:c r="M22" s="149" t="n">
        <x:f>IF(OR(H22="tested",H22="verified",H22="not applicable"),1,0)</x:f>
        <x:v>0</x:v>
      </x:c>
    </x:row>
    <x:row r="23" s="127" customFormat="1" ht="54" customHeight="1">
      <x:c r="A23" s="149" t="inlineStr">
        <x:is>
          <x:t xml:space="preserve">CB-15</x:t>
        </x:is>
      </x:c>
      <x:c r="B23" s="149" t="inlineStr">
        <x:is>
          <x:t xml:space="preserve">Responsive</x:t>
        </x:is>
      </x:c>
      <x:c r="C23" s="149" t="inlineStr">
        <x:is>
          <x:t xml:space="preserve">Control/Content</x:t>
        </x:is>
      </x:c>
      <x:c r="D23" s="150" t="inlineStr">
        <x:is>
          <x:t xml:space="preserve">Narrow, zoomed, and keyboard-open layouts remain reachable without page overflow.</x:t>
        </x:is>
      </x:c>
      <x:c r="E23" s="149" t="inlineStr">
        <x:is>
          <x:t xml:space="preserve">human</x:t>
        </x:is>
      </x:c>
      <x:c r="F23" s="149" t="inlineStr">
        <x:is>
          <x:t xml:space="preserve">manual</x:t>
        </x:is>
      </x:c>
      <x:c r="G23" s="150" t="inlineStr">
        <x:is>
          <x:t xml:space="preserve">manual-tests/combobox.md</x:t>
        </x:is>
      </x:c>
      <x:c r="H23" s="149" t="inlineStr">
        <x:is>
          <x:t xml:space="preserve">implemented</x:t>
        </x:is>
      </x:c>
      <x:c r="I23" s="149" t="inlineStr">
        <x:is>
          <x:t xml:space="preserve">yes</x:t>
        </x:is>
      </x:c>
      <x:c r="J23" s="151" t="inlineStr">
        <x:is>
          <x:t xml:space="preserve">2026-09-19 parity pass; human and package qualification remain open.</x:t>
        </x:is>
      </x:c>
      <x:c r="K23" s="150" t="n"/>
      <x:c r="L23" s="149" t="n"/>
      <x:c r="M23" s="149" t="n">
        <x:f>IF(OR(H23="tested",H23="verified",H23="not applicable"),1,0)</x:f>
        <x:v>0</x:v>
      </x:c>
    </x:row>
    <x:row r="24" s="127" customFormat="1" ht="54" customHeight="1">
      <x:c r="A24" s="149" t="inlineStr">
        <x:is>
          <x:t xml:space="preserve">CB-16</x:t>
        </x:is>
      </x:c>
      <x:c r="B24" s="149" t="inlineStr">
        <x:is>
          <x:t xml:space="preserve">RTL</x:t>
        </x:is>
      </x:c>
      <x:c r="C24" s="149" t="inlineStr">
        <x:is>
          <x:t xml:space="preserve">Control/Content</x:t>
        </x:is>
      </x:c>
      <x:c r="D24" s="150" t="inlineStr">
        <x:is>
          <x:t xml:space="preserve">Arabic RTL uses logical control and popup placement.</x:t>
        </x:is>
      </x:c>
      <x:c r="E24" s="149" t="inlineStr">
        <x:is>
          <x:t xml:space="preserve">human</x:t>
        </x:is>
      </x:c>
      <x:c r="F24" s="149" t="inlineStr">
        <x:is>
          <x:t xml:space="preserve">visual</x:t>
        </x:is>
      </x:c>
      <x:c r="G24" s="150" t="inlineStr">
        <x:is>
          <x:t xml:space="preserve">tests/components/combobox/visual.spec.ts</x:t>
        </x:is>
      </x:c>
      <x:c r="H24" s="149" t="inlineStr">
        <x:is>
          <x:t xml:space="preserve">implemented</x:t>
        </x:is>
      </x:c>
      <x:c r="I24" s="149" t="inlineStr">
        <x:is>
          <x:t xml:space="preserve">yes</x:t>
        </x:is>
      </x:c>
      <x:c r="J24" s="151" t="inlineStr">
        <x:is>
          <x:t xml:space="preserve">2026-09-19 parity pass; human and package qualification remain open.</x:t>
        </x:is>
      </x:c>
      <x:c r="K24" s="150" t="n"/>
      <x:c r="L24" s="149" t="n"/>
      <x:c r="M24" s="149" t="n">
        <x:f>IF(OR(H24="tested",H24="verified",H24="not applicable"),1,0)</x:f>
        <x:v>0</x:v>
      </x:c>
    </x:row>
    <x:row r="25" s="127" customFormat="1" ht="23.25" customHeight="1">
      <x:c r="A25" s="149" t="inlineStr">
        <x:is>
          <x:t xml:space="preserve">CB-17</x:t>
        </x:is>
      </x:c>
      <x:c r="B25" s="149" t="inlineStr">
        <x:is>
          <x:t xml:space="preserve">Customization</x:t>
        </x:is>
      </x:c>
      <x:c r="C25" s="149" t="inlineStr">
        <x:is>
          <x:t xml:space="preserve">Control</x:t>
        </x:is>
      </x:c>
      <x:c r="D25" s="150" t="inlineStr">
        <x:is>
          <x:t xml:space="preserve">Documented variables customize paint and radius without changing anatomy.</x:t>
        </x:is>
      </x:c>
      <x:c r="E25" s="149" t="inlineStr">
        <x:is>
          <x:t xml:space="preserve">human</x:t>
        </x:is>
      </x:c>
      <x:c r="F25" s="149" t="inlineStr">
        <x:is>
          <x:t xml:space="preserve">manual</x:t>
        </x:is>
      </x:c>
      <x:c r="G25" s="150" t="inlineStr">
        <x:is>
          <x:t xml:space="preserve">manual-tests/combobox.md</x:t>
        </x:is>
      </x:c>
      <x:c r="H25" s="149" t="inlineStr">
        <x:is>
          <x:t xml:space="preserve">implemented</x:t>
        </x:is>
      </x:c>
      <x:c r="I25" s="149" t="inlineStr">
        <x:is>
          <x:t xml:space="preserve">yes</x:t>
        </x:is>
      </x:c>
      <x:c r="J25" s="151" t="inlineStr">
        <x:is>
          <x:t xml:space="preserve">2026-09-19 parity pass; human and package qualification remain open.</x:t>
        </x:is>
      </x:c>
      <x:c r="K25" s="150" t="n"/>
      <x:c r="L25" s="149" t="n"/>
      <x:c r="M25" s="149" t="n">
        <x:f>IF(OR(H25="tested",H25="verified",H25="not applicable"),1,0)</x:f>
        <x:v>0</x:v>
      </x:c>
    </x:row>
    <x:row r="26" s="127" customFormat="1" ht="23.25" customHeight="1">
      <x:c r="A26" s="149" t="inlineStr">
        <x:is>
          <x:t xml:space="preserve">CB-18</x:t>
        </x:is>
      </x:c>
      <x:c r="B26" s="149" t="inlineStr">
        <x:is>
          <x:t xml:space="preserve">Documentation</x:t>
        </x:is>
      </x:c>
      <x:c r="C26" s="149" t="inlineStr">
        <x:is>
          <x:t xml:space="preserve">Combobox</x:t>
        </x:is>
      </x:c>
      <x:c r="D26" s="150" t="inlineStr">
        <x:is>
          <x:t xml:space="preserve">Guide, changelog, semantic contract and 32 paired examples with TOC agree.</x:t>
        </x:is>
      </x:c>
      <x:c r="E26" s="149" t="inlineStr">
        <x:is>
          <x:t xml:space="preserve">package</x:t>
        </x:is>
      </x:c>
      <x:c r="F26" s="149" t="inlineStr">
        <x:is>
          <x:t xml:space="preserve">docs</x:t>
        </x:is>
      </x:c>
      <x:c r="G26" s="150" t="inlineStr">
        <x:is>
          <x:t xml:space="preserve">../docs/components/combobox/README.md</x:t>
        </x:is>
      </x:c>
      <x:c r="H26" s="149" t="inlineStr">
        <x:is>
          <x:t xml:space="preserve">tested</x:t>
        </x:is>
      </x:c>
      <x:c r="I26" s="149" t="inlineStr">
        <x:is>
          <x:t xml:space="preserve">no</x:t>
        </x:is>
      </x:c>
      <x:c r="J26" s="151" t="inlineStr">
        <x:is>
          <x:t xml:space="preserve">2026-09-19 parity pass; human and package qualification remain open.</x:t>
        </x:is>
      </x:c>
      <x:c r="K26" s="150" t="n"/>
      <x:c r="L26" s="149" t="n"/>
      <x:c r="M26" s="149" t="n">
        <x:f>IF(OR(H26="tested",H26="verified",H26="not applicable"),1,0)</x:f>
        <x:v>1</x:v>
      </x:c>
    </x:row>
    <x:row r="27" s="127" customFormat="1" ht="23.25" customHeight="1">
      <x:c r="A27" s="149" t="inlineStr">
        <x:is>
          <x:t xml:space="preserve">CB-19</x:t>
        </x:is>
      </x:c>
      <x:c r="B27" s="149" t="inlineStr">
        <x:is>
          <x:t xml:space="preserve">Consumer</x:t>
        </x:is>
      </x:c>
      <x:c r="C27" s="149" t="inlineStr">
        <x:is>
          <x:t xml:space="preserve">Combobox</x:t>
        </x:is>
      </x:c>
      <x:c r="D27" s="150" t="inlineStr">
        <x:is>
          <x:t xml:space="preserve">Packed Consumer imports the public subpath and filters/selects a realistic city.</x:t>
        </x:is>
      </x:c>
      <x:c r="E27" s="149" t="inlineStr">
        <x:is>
          <x:t xml:space="preserve">consumer</x:t>
        </x:is>
      </x:c>
      <x:c r="F27" s="149" t="inlineStr">
        <x:is>
          <x:t xml:space="preserve">consumer</x:t>
        </x:is>
      </x:c>
      <x:c r="G27" s="150" t="inlineStr">
        <x:is>
          <x:t xml:space="preserve">../apps/consumer/tests/consumer.spec.ts</x:t>
        </x:is>
      </x:c>
      <x:c r="H27" s="149" t="inlineStr">
        <x:is>
          <x:t xml:space="preserve">partial</x:t>
        </x:is>
      </x:c>
      <x:c r="I27" s="149" t="inlineStr">
        <x:is>
          <x:t xml:space="preserve">no</x:t>
        </x:is>
      </x:c>
      <x:c r="J27" s="151" t="inlineStr">
        <x:is>
          <x:t xml:space="preserve">2026-09-19 parity pass; human and package qualification remain open.</x:t>
        </x:is>
      </x:c>
      <x:c r="K27" s="150" t="inlineStr">
        <x:is>
          <x:t xml:space="preserve">Current candidate Consumer qualification remains open.</x:t>
        </x:is>
      </x:c>
      <x:c r="L27" s="149" t="n"/>
      <x:c r="M27" s="149" t="n">
        <x:f>IF(OR(H27="tested",H27="verified",H27="not applicable"),1,0)</x:f>
        <x:v>0</x:v>
      </x:c>
    </x:row>
    <x:row r="28" s="127" customFormat="1" ht="23.25" customHeight="1">
      <x:c r="A28" s="149" t="inlineStr">
        <x:is>
          <x:t xml:space="preserve">CB-20</x:t>
        </x:is>
      </x:c>
      <x:c r="B28" s="149" t="inlineStr">
        <x:is>
          <x:t xml:space="preserve">Package</x:t>
        </x:is>
      </x:c>
      <x:c r="C28" s="149" t="inlineStr">
        <x:is>
          <x:t xml:space="preserve">Combobox</x:t>
        </x:is>
      </x:c>
      <x:c r="D28" s="150" t="inlineStr">
        <x:is>
          <x:t xml:space="preserve">Packed Brick and digest-locked Atom 0.26.1 resolve in clean React 18/19 consumers.</x:t>
        </x:is>
      </x:c>
      <x:c r="E28" s="149" t="inlineStr">
        <x:is>
          <x:t xml:space="preserve">consumer</x:t>
        </x:is>
      </x:c>
      <x:c r="F28" s="149" t="inlineStr">
        <x:is>
          <x:t xml:space="preserve">package</x:t>
        </x:is>
      </x:c>
      <x:c r="G28" s="150" t="inlineStr">
        <x:is>
          <x:t xml:space="preserve">../scripts/verify-consumers.mjs</x:t>
        </x:is>
      </x:c>
      <x:c r="H28" s="149" t="inlineStr">
        <x:is>
          <x:t xml:space="preserve">partial</x:t>
        </x:is>
      </x:c>
      <x:c r="I28" s="149" t="inlineStr">
        <x:is>
          <x:t xml:space="preserve">no</x:t>
        </x:is>
      </x:c>
      <x:c r="J28" s="151" t="inlineStr">
        <x:is>
          <x:t xml:space="preserve">2026-09-19 parity pass; human and package qualification remain open.</x:t>
        </x:is>
      </x:c>
      <x:c r="K28" s="150" t="inlineStr">
        <x:is>
          <x:t xml:space="preserve">Current candidate package qualification remains open.</x:t>
        </x:is>
      </x:c>
      <x:c r="L28" s="149" t="n"/>
      <x:c r="M28" s="149" t="n">
        <x:f>IF(OR(H28="tested",H28="verified",H28="not applicable"),1,0)</x:f>
        <x:v>0</x:v>
      </x:c>
    </x:row>
    <x:row r="29" s="127" customFormat="1" ht="23.25" customHeight="1">
      <x:c r="A29" s="149" t="inlineStr">
        <x:is>
          <x:t xml:space="preserve">CB-21</x:t>
        </x:is>
      </x:c>
      <x:c r="B29" s="149" t="inlineStr">
        <x:is>
          <x:t xml:space="preserve">Manual</x:t>
        </x:is>
      </x:c>
      <x:c r="C29" s="149" t="inlineStr">
        <x:is>
          <x:t xml:space="preserve">All parts</x:t>
        </x:is>
      </x:c>
      <x:c r="D29" s="150" t="inlineStr">
        <x:is>
          <x:t xml:space="preserve">Numbered owner protocol covers visual, keyboard, touch, assistive technology, preferences, zoom, and RTL.</x:t>
        </x:is>
      </x:c>
      <x:c r="E29" s="149" t="inlineStr">
        <x:is>
          <x:t xml:space="preserve">human</x:t>
        </x:is>
      </x:c>
      <x:c r="F29" s="149" t="inlineStr">
        <x:is>
          <x:t xml:space="preserve">manual</x:t>
        </x:is>
      </x:c>
      <x:c r="G29" s="150" t="inlineStr">
        <x:is>
          <x:t xml:space="preserve">manual-tests/combobox.md</x:t>
        </x:is>
      </x:c>
      <x:c r="H29" s="149" t="inlineStr">
        <x:is>
          <x:t xml:space="preserve">implemented</x:t>
        </x:is>
      </x:c>
      <x:c r="I29" s="149" t="inlineStr">
        <x:is>
          <x:t xml:space="preserve">yes</x:t>
        </x:is>
      </x:c>
      <x:c r="J29" s="151" t="inlineStr">
        <x:is>
          <x:t xml:space="preserve">2026-09-19 parity pass; human and package qualification remain open.</x:t>
        </x:is>
      </x:c>
      <x:c r="K29" s="150" t="n"/>
      <x:c r="L29" s="149" t="n"/>
      <x:c r="M29" s="149" t="n">
        <x:f>IF(OR(H29="tested",H29="verified",H29="not applicable"),1,0)</x:f>
        <x:v>0</x:v>
      </x:c>
    </x:row>
    <x:row r="30" s="127" customFormat="1" ht="23.25" customHeight="1">
      <x:c r="A30" s="149" t="inlineStr">
        <x:is>
          <x:t xml:space="preserve">CB-22</x:t>
        </x:is>
      </x:c>
      <x:c r="B30" s="149" t="inlineStr">
        <x:is>
          <x:t xml:space="preserve">Visual</x:t>
        </x:is>
      </x:c>
      <x:c r="C30" s="149" t="inlineStr">
        <x:is>
          <x:t xml:space="preserve">All parts</x:t>
        </x:is>
      </x:c>
      <x:c r="D30" s="150" t="inlineStr">
        <x:is>
          <x:t xml:space="preserve">Reviewed snapshots cover default, recipes, states, dark appearance, mobile RTL, and forced colors.</x:t>
        </x:is>
      </x:c>
      <x:c r="E30" s="149" t="inlineStr">
        <x:is>
          <x:t xml:space="preserve">human</x:t>
        </x:is>
      </x:c>
      <x:c r="F30" s="149" t="inlineStr">
        <x:is>
          <x:t xml:space="preserve">visual</x:t>
        </x:is>
      </x:c>
      <x:c r="G30" s="150" t="inlineStr">
        <x:is>
          <x:t xml:space="preserve">tests/components/combobox/visual.spec.ts</x:t>
        </x:is>
      </x:c>
      <x:c r="H30" s="149" t="inlineStr">
        <x:is>
          <x:t xml:space="preserve">implemented</x:t>
        </x:is>
      </x:c>
      <x:c r="I30" s="149" t="inlineStr">
        <x:is>
          <x:t xml:space="preserve">yes</x:t>
        </x:is>
      </x:c>
      <x:c r="J30" s="151" t="inlineStr">
        <x:is>
          <x:t xml:space="preserve">2026-09-19 parity pass; human and package qualification remain open.</x:t>
        </x:is>
      </x:c>
      <x:c r="K30" s="150" t="n"/>
      <x:c r="L30" s="149" t="n"/>
      <x:c r="M30" s="149" t="n">
        <x:f>IF(OR(H30="tested",H30="verified",H30="not applicable"),1,0)</x:f>
        <x:v>0</x:v>
      </x:c>
    </x:row>
  </x:sheetData>
  <x:mergeCells>
    <x:mergeCell ref="A2:M2"/>
    <x:mergeCell ref="A1:M1"/>
  </x:mergeCells>
  <x:pageMargins left="0.7" right="0.7" top="0.75" bottom="0.75" header="0.3" footer="0.3"/>
</x:worksheet>
</file>

<file path=xl/worksheets/sheet68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Number Input Evidence</x:t>
        </x:is>
      </x:c>
    </x:row>
    <x:row r="2" s="127" customFormat="1" ht="27.75" customHeight="1">
      <x:c r="A2" s="129" t="inlineStr">
        <x:is>
          <x:t xml:space="preserve">Assertion-level Atom-backed package, browser, human-review, documentation, Consumer, stepping, bounds, and form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COUNTA(A9:A27)</x:f>
        <x:v>19</x:v>
      </x:c>
      <x:c r="D4" s="130" t="inlineStr">
        <x:is>
          <x:t xml:space="preserve">Resolved</x:t>
        </x:is>
      </x:c>
      <x:c r="E4" s="131" t="n">
        <x:f>SUM(M9:M27)</x:f>
        <x:v>12</x:v>
      </x:c>
      <x:c r="G4" s="130" t="inlineStr">
        <x:is>
          <x:t xml:space="preserve">Completion</x:t>
        </x:is>
      </x:c>
      <x:c r="H4" s="132" t="n">
        <x:f>IF(B4=0,0,E4/B4)</x:f>
        <x:v>0.631578947368421</x:v>
      </x:c>
      <x:c r="J4" s="130" t="inlineStr">
        <x:is>
          <x:t xml:space="preserve">Package gate</x:t>
        </x:is>
      </x:c>
      <x:c r="K4" s="131" t="str">
        <x:f>IF(COUNTIFS(E9:E27,"package",M9:M27,0)&gt;0,"open","complete")</x:f>
        <x:v>complete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IF(COUNTIFS(I9:I27,"yes",M9:M27,0)&gt;0,"open","complete")</x:f>
        <x:v>open</x:v>
      </x:c>
      <x:c r="D5" s="130" t="inlineStr">
        <x:is>
          <x:t xml:space="preserve">Consumer gate</x:t>
        </x:is>
      </x:c>
      <x:c r="E5" s="131" t="str">
        <x:f>IF(COUNTIFS(E9:E27,"consumer",M9:M27,0)&gt;0,"open","complete")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NI-01</x:t>
        </x:is>
      </x:c>
      <x:c r="B9" s="149" t="inlineStr">
        <x:is>
          <x:t xml:space="preserve">Implementation</x:t>
        </x:is>
      </x:c>
      <x:c r="C9" s="149" t="inlineStr">
        <x:is>
          <x:t xml:space="preserve">Root</x:t>
        </x:is>
      </x:c>
      <x:c r="D9" s="150" t="inlineStr">
        <x:is>
          <x:t xml:space="preserve">Adapts digest-locked local Atom 0.26.1; behavior remains Atom-owned. Unpublished candidate.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../src/components/number-input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inlineStr">
        <x:is>
          <x:t xml:space="preserve">Focused implementation evidence passes.</x:t>
        </x:is>
      </x:c>
      <x:c r="K9" s="150" t="n"/>
      <x:c r="L9" s="149" t="n"/>
      <x:c r="M9" s="149" t="n">
        <x:f>IF(OR(H9="tested",H9="verified",H9="not applicable"),1,0)</x:f>
        <x:v>1</x:v>
      </x:c>
    </x:row>
    <x:row r="10" s="127" customFormat="1" ht="54" customHeight="1">
      <x:c r="A10" s="149" t="inlineStr">
        <x:is>
          <x:t xml:space="preserve">NI-02</x:t>
        </x:is>
      </x:c>
      <x:c r="B10" s="149" t="inlineStr">
        <x:is>
          <x:t xml:space="preserve">Anatomy</x:t>
        </x:is>
      </x:c>
      <x:c r="C10" s="149" t="inlineStr">
        <x:is>
          <x:t xml:space="preserve">All parts</x:t>
        </x:is>
      </x:c>
      <x:c r="D10" s="150" t="inlineStr">
        <x:is>
          <x:t xml:space="preserve">Root/RootProvider, Group, Element, Input, Control, Increment/Decrement, Unit, Label, ValueText, Scrubber and Context.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../test/components/number-input/number-input.test.tsx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inlineStr">
        <x:is>
          <x:t xml:space="preserve">Focused implementation evidence passes.</x:t>
        </x:is>
      </x:c>
      <x:c r="K10" s="150" t="n"/>
      <x:c r="L10" s="149" t="n"/>
      <x:c r="M10" s="149" t="n">
        <x:f>IF(OR(H10="tested",H10="verified",H10="not applicable"),1,0)</x:f>
        <x:v>1</x:v>
      </x:c>
    </x:row>
    <x:row r="11" s="127" customFormat="1" ht="54" customHeight="1">
      <x:c r="A11" s="149" t="inlineStr">
        <x:is>
          <x:t xml:space="preserve">NI-03</x:t>
        </x:is>
      </x:c>
      <x:c r="B11" s="149" t="inlineStr">
        <x:is>
          <x:t xml:space="preserve">Exports</x:t>
        </x:is>
      </x:c>
      <x:c r="C11" s="149" t="inlineStr">
        <x:is>
          <x:t xml:space="preserve">NumberInput</x:t>
        </x:is>
      </x:c>
      <x:c r="D11" s="150" t="inlineStr">
        <x:is>
          <x:t xml:space="preserve">Root and number-input subpath exports expose the namespace, named parts, and public types.</x:t>
        </x:is>
      </x:c>
      <x:c r="E11" s="149" t="inlineStr">
        <x:is>
          <x:t xml:space="preserve">package</x:t>
        </x:is>
      </x:c>
      <x:c r="F11" s="149" t="inlineStr">
        <x:is>
          <x:t xml:space="preserve">package</x:t>
        </x:is>
      </x:c>
      <x:c r="G11" s="150" t="inlineStr">
        <x:is>
          <x:t xml:space="preserve">../test/package/package.test.mjs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inlineStr">
        <x:is>
          <x:t xml:space="preserve">Focused implementation evidence passes.</x:t>
        </x:is>
      </x:c>
      <x:c r="K11" s="150" t="n"/>
      <x:c r="L11" s="149" t="n"/>
      <x:c r="M11" s="149" t="n">
        <x:f>IF(OR(H11="tested",H11="verified",H11="not applicable"),1,0)</x:f>
        <x:v>1</x:v>
      </x:c>
    </x:row>
    <x:row r="12" s="127" customFormat="1" ht="54" customHeight="1">
      <x:c r="A12" s="149" t="inlineStr">
        <x:is>
          <x:t xml:space="preserve">NI-04</x:t>
        </x:is>
      </x:c>
      <x:c r="B12" s="149" t="inlineStr">
        <x:is>
          <x:t xml:space="preserve">Types</x:t>
        </x:is>
      </x:c>
      <x:c r="C12" s="149" t="inlineStr">
        <x:is>
          <x:t xml:space="preserve">Root/parts</x:t>
        </x:is>
      </x:c>
      <x:c r="D12" s="150" t="inlineStr">
        <x:is>
          <x:t xml:space="preserve">Recipes, refs, native props, and underline shape exclusion type-check.</x:t>
        </x:is>
      </x:c>
      <x:c r="E12" s="149" t="inlineStr">
        <x:is>
          <x:t xml:space="preserve">package</x:t>
        </x:is>
      </x:c>
      <x:c r="F12" s="149" t="inlineStr">
        <x:is>
          <x:t xml:space="preserve">types</x:t>
        </x:is>
      </x:c>
      <x:c r="G12" s="150" t="inlineStr">
        <x:is>
          <x:t xml:space="preserve">../test/types/components/number-input.test.ts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inlineStr">
        <x:is>
          <x:t xml:space="preserve">Focused implementation evidence passes.</x:t>
        </x:is>
      </x:c>
      <x:c r="K12" s="150" t="n"/>
      <x:c r="L12" s="149" t="n"/>
      <x:c r="M12" s="149" t="n">
        <x:f>IF(OR(H12="tested",H12="verified",H12="not applicable"),1,0)</x:f>
        <x:v>1</x:v>
      </x:c>
    </x:row>
    <x:row r="13" s="127" customFormat="1" ht="54" customHeight="1">
      <x:c r="A13" s="149" t="inlineStr">
        <x:is>
          <x:t xml:space="preserve">NI-05</x:t>
        </x:is>
      </x:c>
      <x:c r="B13" s="149" t="inlineStr">
        <x:is>
          <x:t xml:space="preserve">CSS</x:t>
        </x:is>
      </x:c>
      <x:c r="C13" s="149" t="inlineStr">
        <x:is>
          <x:t xml:space="preserve">All parts</x:t>
        </x:is>
      </x:c>
      <x:c r="D13" s="150" t="inlineStr">
        <x:is>
          <x:t xml:space="preserve">Static CSS ships recipes, state paint, logical actions, artwork, and documented variables.</x:t>
        </x:is>
      </x:c>
      <x:c r="E13" s="149" t="inlineStr">
        <x:is>
          <x:t xml:space="preserve">package</x:t>
        </x:is>
      </x:c>
      <x:c r="F13" s="149" t="inlineStr">
        <x:is>
          <x:t xml:space="preserve">css</x:t>
        </x:is>
      </x:c>
      <x:c r="G13" s="150" t="inlineStr">
        <x:is>
          <x:t xml:space="preserve">../src/components/number-input/number-input.css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inlineStr">
        <x:is>
          <x:t xml:space="preserve">Focused implementation evidence passes.</x:t>
        </x:is>
      </x:c>
      <x:c r="K13" s="150" t="n"/>
      <x:c r="L13" s="149" t="n"/>
      <x:c r="M13" s="149" t="n">
        <x:f>IF(OR(H13="tested",H13="verified",H13="not applicable"),1,0)</x:f>
        <x:v>1</x:v>
      </x:c>
    </x:row>
    <x:row r="14" s="127" customFormat="1" ht="54" customHeight="1">
      <x:c r="A14" s="149" t="inlineStr">
        <x:is>
          <x:t xml:space="preserve">NI-06</x:t>
        </x:is>
      </x:c>
      <x:c r="B14" s="149" t="inlineStr">
        <x:is>
          <x:t xml:space="preserve">Stepping</x:t>
        </x:is>
      </x:c>
      <x:c r="C14" s="149" t="inlineStr">
        <x:is>
          <x:t xml:space="preserve">Input/actions</x:t>
        </x:is>
      </x:c>
      <x:c r="D14" s="150" t="inlineStr">
        <x:is>
          <x:t xml:space="preserve">Pointer and keyboard stepping respect step, precision, minimum, and maximum boundaries.</x:t>
        </x:is>
      </x:c>
      <x:c r="E14" s="149" t="inlineStr">
        <x:is>
          <x:t xml:space="preserve">browser</x:t>
        </x:is>
      </x:c>
      <x:c r="F14" s="149" t="inlineStr">
        <x:is>
          <x:t xml:space="preserve">browser</x:t>
        </x:is>
      </x:c>
      <x:c r="G14" s="150" t="inlineStr">
        <x:is>
          <x:t xml:space="preserve">tests/components/number-input/behavior.spec.ts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inlineStr">
        <x:is>
          <x:t xml:space="preserve">Focused implementation evidence passes.</x:t>
        </x:is>
      </x:c>
      <x:c r="K14" s="144" t="inlineStr">
        <x:is>
          <x:t xml:space="preserve">September 13 polish: 57 browser checks pass across five profiles; three touch-only desktop skips.</x:t>
        </x:is>
      </x:c>
      <x:c r="L14" s="149" t="n"/>
      <x:c r="M14" s="149" t="n">
        <x:f>IF(OR(H14="tested",H14="verified",H14="not applicable"),1,0)</x:f>
        <x:v>1</x:v>
      </x:c>
    </x:row>
    <x:row r="15" s="127" customFormat="1" ht="54" customHeight="1">
      <x:c r="A15" s="149" t="inlineStr">
        <x:is>
          <x:t xml:space="preserve">NI-07</x:t>
        </x:is>
      </x:c>
      <x:c r="B15" s="149" t="inlineStr">
        <x:is>
          <x:t xml:space="preserve">Forms</x:t>
        </x:is>
      </x:c>
      <x:c r="C15" s="149" t="inlineStr">
        <x:is>
          <x:t xml:space="preserve">Root/Input</x:t>
        </x:is>
      </x:c>
      <x:c r="D15" s="150" t="inlineStr">
        <x:is>
          <x:t xml:space="preserve">Field relationships, required validity, native submission, and focus-on-error remain intact.</x:t>
        </x:is>
      </x:c>
      <x:c r="E15" s="149" t="inlineStr">
        <x:is>
          <x:t xml:space="preserve">browser</x:t>
        </x:is>
      </x:c>
      <x:c r="F15" s="149" t="inlineStr">
        <x:is>
          <x:t xml:space="preserve">browser</x:t>
        </x:is>
      </x:c>
      <x:c r="G15" s="150" t="inlineStr">
        <x:is>
          <x:t xml:space="preserve">tests/components/number-input/behavior.spec.ts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inlineStr">
        <x:is>
          <x:t xml:space="preserve">Focused implementation evidence passes.</x:t>
        </x:is>
      </x:c>
      <x:c r="K15" s="150" t="n"/>
      <x:c r="L15" s="149" t="n"/>
      <x:c r="M15" s="149" t="n">
        <x:f>IF(OR(H15="tested",H15="verified",H15="not applicable"),1,0)</x:f>
        <x:v>1</x:v>
      </x:c>
    </x:row>
    <x:row r="16" s="127" customFormat="1" ht="54" customHeight="1">
      <x:c r="A16" s="149" t="inlineStr">
        <x:is>
          <x:t xml:space="preserve">NI-08</x:t>
        </x:is>
      </x:c>
      <x:c r="B16" s="149" t="inlineStr">
        <x:is>
          <x:t xml:space="preserve">States</x:t>
        </x:is>
      </x:c>
      <x:c r="C16" s="149" t="inlineStr">
        <x:is>
          <x:t xml:space="preserve">All parts</x:t>
        </x:is>
      </x:c>
      <x:c r="D16" s="150" t="inlineStr">
        <x:is>
          <x:t xml:space="preserve">Disabled, read-only, invalid, required, and boundary-disabled actions remain distinct.</x:t>
        </x:is>
      </x:c>
      <x:c r="E16" s="149" t="inlineStr">
        <x:is>
          <x:t xml:space="preserve">human</x:t>
        </x:is>
      </x:c>
      <x:c r="F16" s="149" t="inlineStr">
        <x:is>
          <x:t xml:space="preserve">visual</x:t>
        </x:is>
      </x:c>
      <x:c r="G16" s="150" t="inlineStr">
        <x:is>
          <x:t xml:space="preserve">tests/components/number-input/visual.spec.ts</x:t>
        </x:is>
      </x:c>
      <x:c r="H16" s="149" t="inlineStr">
        <x:is>
          <x:t xml:space="preserve">implemented</x:t>
        </x:is>
      </x:c>
      <x:c r="I16" s="149" t="inlineStr">
        <x:is>
          <x:t xml:space="preserve">yes</x:t>
        </x:is>
      </x:c>
      <x:c r="J16" s="151" t="inlineStr">
        <x:is>
          <x:t xml:space="preserve">September 13: automated browser coverage passes; new owner manual review pending.</x:t>
        </x:is>
      </x:c>
      <x:c r="K16" s="150" t="n"/>
      <x:c r="L16" s="149" t="n"/>
      <x:c r="M16" s="149" t="n">
        <x:f>IF(OR(H16="tested",H16="verified",H16="not applicable"),1,0)</x:f>
        <x:v>0</x:v>
      </x:c>
    </x:row>
    <x:row r="17" s="127" customFormat="1" ht="54" customHeight="1">
      <x:c r="A17" s="149" t="inlineStr">
        <x:is>
          <x:t xml:space="preserve">NI-09</x:t>
        </x:is>
      </x:c>
      <x:c r="B17" s="149" t="inlineStr">
        <x:is>
          <x:t xml:space="preserve">Recipes</x:t>
        </x:is>
      </x:c>
      <x:c r="C17" s="149" t="inlineStr">
        <x:is>
          <x:t xml:space="preserve">Root</x:t>
        </x:is>
      </x:c>
      <x:c r="D17" s="150" t="inlineStr">
        <x:is>
          <x:t xml:space="preserve">Outline, soft, underline, sizes, shapes, and width retain stable recipe data.</x:t>
        </x:is>
      </x:c>
      <x:c r="E17" s="149" t="inlineStr">
        <x:is>
          <x:t xml:space="preserve">browser</x:t>
        </x:is>
      </x:c>
      <x:c r="F17" s="149" t="inlineStr">
        <x:is>
          <x:t xml:space="preserve">browser</x:t>
        </x:is>
      </x:c>
      <x:c r="G17" s="150" t="inlineStr">
        <x:is>
          <x:t xml:space="preserve">tests/components/number-input/behavior.spec.ts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inlineStr">
        <x:is>
          <x:t xml:space="preserve">Focused implementation evidence passes.</x:t>
        </x:is>
      </x:c>
      <x:c r="K17" s="150" t="n"/>
      <x:c r="L17" s="149" t="n"/>
      <x:c r="M17" s="149" t="n">
        <x:f>IF(OR(H17="tested",H17="verified",H17="not applicable"),1,0)</x:f>
        <x:v>1</x:v>
      </x:c>
    </x:row>
    <x:row r="18" s="127" customFormat="1" ht="54" customHeight="1">
      <x:c r="A18" s="149" t="inlineStr">
        <x:is>
          <x:t xml:space="preserve">NI-10</x:t>
        </x:is>
      </x:c>
      <x:c r="B18" s="149" t="inlineStr">
        <x:is>
          <x:t xml:space="preserve">Accessibility</x:t>
        </x:is>
      </x:c>
      <x:c r="C18" s="149" t="inlineStr">
        <x:is>
          <x:t xml:space="preserve">All parts</x:t>
        </x:is>
      </x:c>
      <x:c r="D18" s="150" t="inlineStr">
        <x:is>
          <x:t xml:space="preserve">Spinbutton and named step actions expose valid roles and the route has no axe violations.</x:t>
        </x:is>
      </x:c>
      <x:c r="E18" s="149" t="inlineStr">
        <x:is>
          <x:t xml:space="preserve">browser</x:t>
        </x:is>
      </x:c>
      <x:c r="F18" s="149" t="inlineStr">
        <x:is>
          <x:t xml:space="preserve">axe</x:t>
        </x:is>
      </x:c>
      <x:c r="G18" s="150" t="inlineStr">
        <x:is>
          <x:t xml:space="preserve">tests/components/number-input/behavior.spec.ts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inlineStr">
        <x:is>
          <x:t xml:space="preserve">Focused implementation evidence passes.</x:t>
        </x:is>
      </x:c>
      <x:c r="K18" s="150" t="n"/>
      <x:c r="L18" s="149" t="n"/>
      <x:c r="M18" s="149" t="n">
        <x:f>IF(OR(H18="tested",H18="verified",H18="not applicable"),1,0)</x:f>
        <x:v>1</x:v>
      </x:c>
    </x:row>
    <x:row r="19" s="127" customFormat="1" ht="54" customHeight="1">
      <x:c r="A19" s="149" t="inlineStr">
        <x:is>
          <x:t xml:space="preserve">NI-11</x:t>
        </x:is>
      </x:c>
      <x:c r="B19" s="149" t="inlineStr">
        <x:is>
          <x:t xml:space="preserve">Appearance</x:t>
        </x:is>
      </x:c>
      <x:c r="C19" s="149" t="inlineStr">
        <x:is>
          <x:t xml:space="preserve">All parts</x:t>
        </x:is>
      </x:c>
      <x:c r="D19" s="150" t="inlineStr">
        <x:is>
          <x:t xml:space="preserve">Light, dark, forced-color, focus, and invalid paint remain legible.</x:t>
        </x:is>
      </x:c>
      <x:c r="E19" s="149" t="inlineStr">
        <x:is>
          <x:t xml:space="preserve">human</x:t>
        </x:is>
      </x:c>
      <x:c r="F19" s="149" t="inlineStr">
        <x:is>
          <x:t xml:space="preserve">visual</x:t>
        </x:is>
      </x:c>
      <x:c r="G19" s="150" t="inlineStr">
        <x:is>
          <x:t xml:space="preserve">tests/components/number-input/visual.spec.ts</x:t>
        </x:is>
      </x:c>
      <x:c r="H19" s="149" t="inlineStr">
        <x:is>
          <x:t xml:space="preserve">implemented</x:t>
        </x:is>
      </x:c>
      <x:c r="I19" s="149" t="inlineStr">
        <x:is>
          <x:t xml:space="preserve">yes</x:t>
        </x:is>
      </x:c>
      <x:c r="J19" s="151" t="inlineStr">
        <x:is>
          <x:t xml:space="preserve">September 13: automated browser coverage passes; new owner manual review pending.</x:t>
        </x:is>
      </x:c>
      <x:c r="K19" s="150" t="n"/>
      <x:c r="L19" s="149" t="n"/>
      <x:c r="M19" s="149" t="n">
        <x:f>IF(OR(H19="tested",H19="verified",H19="not applicable"),1,0)</x:f>
        <x:v>0</x:v>
      </x:c>
    </x:row>
    <x:row r="20" s="127" customFormat="1" ht="54" customHeight="1">
      <x:c r="A20" s="149" t="inlineStr">
        <x:is>
          <x:t xml:space="preserve">NI-12</x:t>
        </x:is>
      </x:c>
      <x:c r="B20" s="149" t="inlineStr">
        <x:is>
          <x:t xml:space="preserve">Responsive</x:t>
        </x:is>
      </x:c>
      <x:c r="C20" s="149" t="inlineStr">
        <x:is>
          <x:t xml:space="preserve">Root</x:t>
        </x:is>
      </x:c>
      <x:c r="D20" s="150" t="inlineStr">
        <x:is>
          <x:t xml:space="preserve">Narrow and zoomed layouts remain reachable without page overflow.</x:t>
        </x:is>
      </x:c>
      <x:c r="E20" s="149" t="inlineStr">
        <x:is>
          <x:t xml:space="preserve">human</x:t>
        </x:is>
      </x:c>
      <x:c r="F20" s="149" t="inlineStr">
        <x:is>
          <x:t xml:space="preserve">manual</x:t>
        </x:is>
      </x:c>
      <x:c r="G20" s="150" t="inlineStr">
        <x:is>
          <x:t xml:space="preserve">manual-tests/number-input.md</x:t>
        </x:is>
      </x:c>
      <x:c r="H20" s="149" t="inlineStr">
        <x:is>
          <x:t xml:space="preserve">implemented</x:t>
        </x:is>
      </x:c>
      <x:c r="I20" s="149" t="inlineStr">
        <x:is>
          <x:t xml:space="preserve">yes</x:t>
        </x:is>
      </x:c>
      <x:c r="J20" s="151" t="inlineStr">
        <x:is>
          <x:t xml:space="preserve">Implementation evidence exists; required release or human-review gate remains open.</x:t>
        </x:is>
      </x:c>
      <x:c r="K20" s="150" t="inlineStr">
        <x:is>
          <x:t xml:space="preserve">200px example cap, compact scrubber, labelled Group and complete hover-control visibility tested across five profiles.</x:t>
        </x:is>
      </x:c>
      <x:c r="L20" s="149" t="n"/>
      <x:c r="M20" s="149" t="n">
        <x:f>IF(OR(H20="tested",H20="verified",H20="not applicable"),1,0)</x:f>
        <x:v>0</x:v>
      </x:c>
    </x:row>
    <x:row r="21" s="127" customFormat="1" ht="54" customHeight="1">
      <x:c r="A21" s="149" t="inlineStr">
        <x:is>
          <x:t xml:space="preserve">NI-13</x:t>
        </x:is>
      </x:c>
      <x:c r="B21" s="149" t="inlineStr">
        <x:is>
          <x:t xml:space="preserve">RTL</x:t>
        </x:is>
      </x:c>
      <x:c r="C21" s="149" t="inlineStr">
        <x:is>
          <x:t xml:space="preserve">Root/actions</x:t>
        </x:is>
      </x:c>
      <x:c r="D21" s="150" t="inlineStr">
        <x:is>
          <x:t xml:space="preserve">RTL places the logical action rail at the inline start without reversing numeric meaning.</x:t>
        </x:is>
      </x:c>
      <x:c r="E21" s="149" t="inlineStr">
        <x:is>
          <x:t xml:space="preserve">human</x:t>
        </x:is>
      </x:c>
      <x:c r="F21" s="149" t="inlineStr">
        <x:is>
          <x:t xml:space="preserve">visual</x:t>
        </x:is>
      </x:c>
      <x:c r="G21" s="150" t="inlineStr">
        <x:is>
          <x:t xml:space="preserve">tests/components/number-input/visual.spec.ts</x:t>
        </x:is>
      </x:c>
      <x:c r="H21" s="149" t="inlineStr">
        <x:is>
          <x:t xml:space="preserve">implemented</x:t>
        </x:is>
      </x:c>
      <x:c r="I21" s="149" t="inlineStr">
        <x:is>
          <x:t xml:space="preserve">yes</x:t>
        </x:is>
      </x:c>
      <x:c r="J21" s="151" t="inlineStr">
        <x:is>
          <x:t xml:space="preserve">September 13: automated browser coverage passes; new owner manual review pending.</x:t>
        </x:is>
      </x:c>
      <x:c r="K21" s="150" t="n"/>
      <x:c r="L21" s="149" t="n"/>
      <x:c r="M21" s="149" t="n">
        <x:f>IF(OR(H21="tested",H21="verified",H21="not applicable"),1,0)</x:f>
        <x:v>0</x:v>
      </x:c>
    </x:row>
    <x:row r="22" s="127" customFormat="1" ht="54" customHeight="1">
      <x:c r="A22" s="149" t="inlineStr">
        <x:is>
          <x:t xml:space="preserve">NI-14</x:t>
        </x:is>
      </x:c>
      <x:c r="B22" s="149" t="inlineStr">
        <x:is>
          <x:t xml:space="preserve">Customization</x:t>
        </x:is>
      </x:c>
      <x:c r="C22" s="149" t="inlineStr">
        <x:is>
          <x:t xml:space="preserve">Root</x:t>
        </x:is>
      </x:c>
      <x:c r="D22" s="150" t="inlineStr">
        <x:is>
          <x:t xml:space="preserve">Documented variables customize paint and radius without changing anatomy.</x:t>
        </x:is>
      </x:c>
      <x:c r="E22" s="149" t="inlineStr">
        <x:is>
          <x:t xml:space="preserve">human</x:t>
        </x:is>
      </x:c>
      <x:c r="F22" s="149" t="inlineStr">
        <x:is>
          <x:t xml:space="preserve">manual</x:t>
        </x:is>
      </x:c>
      <x:c r="G22" s="150" t="inlineStr">
        <x:is>
          <x:t xml:space="preserve">manual-tests/number-input.md</x:t>
        </x:is>
      </x:c>
      <x:c r="H22" s="149" t="inlineStr">
        <x:is>
          <x:t xml:space="preserve">implemented</x:t>
        </x:is>
      </x:c>
      <x:c r="I22" s="149" t="inlineStr">
        <x:is>
          <x:t xml:space="preserve">yes</x:t>
        </x:is>
      </x:c>
      <x:c r="J22" s="151" t="n"/>
      <x:c r="K22" s="150" t="inlineStr">
        <x:is>
          <x:t xml:space="preserve">Human protocol remains pending. Automated and visual evidence stays in its owning tests and does not complete this human gate.</x:t>
        </x:is>
      </x:c>
      <x:c r="L22" s="149" t="n"/>
      <x:c r="M22" s="149" t="n">
        <x:f>IF(OR(H22="tested",H22="verified",H22="not applicable"),1,0)</x:f>
        <x:v>0</x:v>
      </x:c>
    </x:row>
    <x:row r="23" s="127" customFormat="1" ht="54" customHeight="1">
      <x:c r="A23" s="149" t="inlineStr">
        <x:is>
          <x:t xml:space="preserve">NI-15</x:t>
        </x:is>
      </x:c>
      <x:c r="B23" s="149" t="inlineStr">
        <x:is>
          <x:t xml:space="preserve">Documentation</x:t>
        </x:is>
      </x:c>
      <x:c r="C23" s="149" t="inlineStr">
        <x:is>
          <x:t xml:space="preserve">NumberInput</x:t>
        </x:is>
      </x:c>
      <x:c r="D23" s="150" t="inlineStr">
        <x:is>
          <x:t xml:space="preserve">Public guide, Agent Knowledge, modern examples and multipart props document the controller and locale API.</x:t>
        </x:is>
      </x:c>
      <x:c r="E23" s="149" t="inlineStr">
        <x:is>
          <x:t xml:space="preserve">package</x:t>
        </x:is>
      </x:c>
      <x:c r="F23" s="149" t="inlineStr">
        <x:is>
          <x:t xml:space="preserve">docs</x:t>
        </x:is>
      </x:c>
      <x:c r="G23" s="150" t="inlineStr">
        <x:is>
          <x:t xml:space="preserve">../docs/components/number-input/README.md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inlineStr">
        <x:is>
          <x:t xml:space="preserve">Focused implementation evidence passes.</x:t>
        </x:is>
      </x:c>
      <x:c r="K23" s="150" t="n"/>
      <x:c r="L23" s="149" t="n"/>
      <x:c r="M23" s="149" t="n">
        <x:f>IF(OR(H23="tested",H23="verified",H23="not applicable"),1,0)</x:f>
        <x:v>1</x:v>
      </x:c>
    </x:row>
    <x:row r="24" s="127" customFormat="1" ht="54" customHeight="1">
      <x:c r="A24" s="149" t="inlineStr">
        <x:is>
          <x:t xml:space="preserve">NI-16</x:t>
        </x:is>
      </x:c>
      <x:c r="B24" s="149" t="inlineStr">
        <x:is>
          <x:t xml:space="preserve">Consumer</x:t>
        </x:is>
      </x:c>
      <x:c r="C24" s="149" t="inlineStr">
        <x:is>
          <x:t xml:space="preserve">NumberInput</x:t>
        </x:is>
      </x:c>
      <x:c r="D24" s="150" t="inlineStr">
        <x:is>
          <x:t xml:space="preserve">Packed Consumer imports the public subpath and operates a Field-composed seat count.</x:t>
        </x:is>
      </x:c>
      <x:c r="E24" s="149" t="inlineStr">
        <x:is>
          <x:t xml:space="preserve">consumer</x:t>
        </x:is>
      </x:c>
      <x:c r="F24" s="149" t="inlineStr">
        <x:is>
          <x:t xml:space="preserve">consumer</x:t>
        </x:is>
      </x:c>
      <x:c r="G24" s="150" t="inlineStr">
        <x:is>
          <x:t xml:space="preserve">../apps/consumer/tests/consumer.spec.ts</x:t>
        </x:is>
      </x:c>
      <x:c r="H24" s="149" t="inlineStr">
        <x:is>
          <x:t xml:space="preserve">tested</x:t>
        </x:is>
      </x:c>
      <x:c r="I24" s="149" t="inlineStr">
        <x:is>
          <x:t xml:space="preserve">no</x:t>
        </x:is>
      </x:c>
      <x:c r="J24" s="151" t="inlineStr">
        <x:is>
          <x:t xml:space="preserve">2026-07-28: packed Consumer evidence passes for the public subpath and clean React 18/19 consumers.</x:t>
        </x:is>
      </x:c>
      <x:c r="K24" s="150" t="n"/>
      <x:c r="L24" s="149" t="n"/>
      <x:c r="M24" s="149" t="n">
        <x:f>IF(OR(H24="tested",H24="verified",H24="not applicable"),1,0)</x:f>
        <x:v>1</x:v>
      </x:c>
    </x:row>
    <x:row r="25" s="127" customFormat="1" ht="23.25" customHeight="1">
      <x:c r="A25" s="149" t="inlineStr">
        <x:is>
          <x:t xml:space="preserve">NI-17</x:t>
        </x:is>
      </x:c>
      <x:c r="B25" s="149" t="inlineStr">
        <x:is>
          <x:t xml:space="preserve">Package</x:t>
        </x:is>
      </x:c>
      <x:c r="C25" s="149" t="inlineStr">
        <x:is>
          <x:t xml:space="preserve">NumberInput</x:t>
        </x:is>
      </x:c>
      <x:c r="D25" s="150" t="inlineStr">
        <x:is>
          <x:t xml:space="preserve">Packed artifact and clean React 18/19 consumers resolve JS, types, CSS, and Atom 0.20.11.</x:t>
        </x:is>
      </x:c>
      <x:c r="E25" s="149" t="inlineStr">
        <x:is>
          <x:t xml:space="preserve">consumer</x:t>
        </x:is>
      </x:c>
      <x:c r="F25" s="149" t="inlineStr">
        <x:is>
          <x:t xml:space="preserve">package</x:t>
        </x:is>
      </x:c>
      <x:c r="G25" s="150" t="inlineStr">
        <x:is>
          <x:t xml:space="preserve">../scripts/verify-consumers.mjs</x:t>
        </x:is>
      </x:c>
      <x:c r="H25" s="149" t="inlineStr">
        <x:is>
          <x:t xml:space="preserve">tested</x:t>
        </x:is>
      </x:c>
      <x:c r="I25" s="149" t="inlineStr">
        <x:is>
          <x:t xml:space="preserve">no</x:t>
        </x:is>
      </x:c>
      <x:c r="J25" s="151" t="inlineStr">
        <x:is>
          <x:t xml:space="preserve">2026-07-28: packed Consumer evidence passes for the public subpath and clean React 18/19 consumers.</x:t>
        </x:is>
      </x:c>
      <x:c r="K25" s="150" t="n"/>
      <x:c r="L25" s="149" t="n"/>
      <x:c r="M25" s="149" t="n">
        <x:f>IF(OR(H25="tested",H25="verified",H25="not applicable"),1,0)</x:f>
        <x:v>1</x:v>
      </x:c>
    </x:row>
    <x:row r="26" s="127" customFormat="1" ht="23.25" customHeight="1">
      <x:c r="A26" s="149" t="inlineStr">
        <x:is>
          <x:t xml:space="preserve">NI-18</x:t>
        </x:is>
      </x:c>
      <x:c r="B26" s="149" t="inlineStr">
        <x:is>
          <x:t xml:space="preserve">Manual</x:t>
        </x:is>
      </x:c>
      <x:c r="C26" s="149" t="inlineStr">
        <x:is>
          <x:t xml:space="preserve">All parts</x:t>
        </x:is>
      </x:c>
      <x:c r="D26" s="150" t="inlineStr">
        <x:is>
          <x:t xml:space="preserve">Numbered protocol covers visual, keyboard, pointer, forms, preferences, zoom, and RTL.</x:t>
        </x:is>
      </x:c>
      <x:c r="E26" s="149" t="inlineStr">
        <x:is>
          <x:t xml:space="preserve">human</x:t>
        </x:is>
      </x:c>
      <x:c r="F26" s="149" t="inlineStr">
        <x:is>
          <x:t xml:space="preserve">manual</x:t>
        </x:is>
      </x:c>
      <x:c r="G26" s="150" t="inlineStr">
        <x:is>
          <x:t xml:space="preserve">manual-tests/number-input.md</x:t>
        </x:is>
      </x:c>
      <x:c r="H26" s="149" t="inlineStr">
        <x:is>
          <x:t xml:space="preserve">implemented</x:t>
        </x:is>
      </x:c>
      <x:c r="I26" s="149" t="inlineStr">
        <x:is>
          <x:t xml:space="preserve">yes</x:t>
        </x:is>
      </x:c>
      <x:c r="J26" s="151" t="inlineStr">
        <x:is>
          <x:t xml:space="preserve">Implementation evidence exists; required release or human-review gate remains open.</x:t>
        </x:is>
      </x:c>
      <x:c r="K26" s="150" t="n"/>
      <x:c r="L26" s="149" t="n"/>
      <x:c r="M26" s="149" t="n">
        <x:f>IF(OR(H26="tested",H26="verified",H26="not applicable"),1,0)</x:f>
        <x:v>0</x:v>
      </x:c>
    </x:row>
    <x:row r="27" s="127" customFormat="1" ht="23.25" customHeight="1">
      <x:c r="A27" s="149" t="inlineStr">
        <x:is>
          <x:t xml:space="preserve">NI-19</x:t>
        </x:is>
      </x:c>
      <x:c r="B27" s="149" t="inlineStr">
        <x:is>
          <x:t xml:space="preserve">Visual</x:t>
        </x:is>
      </x:c>
      <x:c r="C27" s="149" t="inlineStr">
        <x:is>
          <x:t xml:space="preserve">All parts</x:t>
        </x:is>
      </x:c>
      <x:c r="D27" s="150" t="inlineStr">
        <x:is>
          <x:t xml:space="preserve">Snapshots cover default, recipes, states, and mobile RTL stress.</x:t>
        </x:is>
      </x:c>
      <x:c r="E27" s="149" t="inlineStr">
        <x:is>
          <x:t xml:space="preserve">human</x:t>
        </x:is>
      </x:c>
      <x:c r="F27" s="149" t="inlineStr">
        <x:is>
          <x:t xml:space="preserve">visual</x:t>
        </x:is>
      </x:c>
      <x:c r="G27" s="150" t="inlineStr">
        <x:is>
          <x:t xml:space="preserve">tests/components/number-input/visual.spec.ts</x:t>
        </x:is>
      </x:c>
      <x:c r="H27" s="149" t="inlineStr">
        <x:is>
          <x:t xml:space="preserve">implemented</x:t>
        </x:is>
      </x:c>
      <x:c r="I27" s="149" t="inlineStr">
        <x:is>
          <x:t xml:space="preserve">yes</x:t>
        </x:is>
      </x:c>
      <x:c r="J27" s="151" t="inlineStr">
        <x:is>
          <x:t xml:space="preserve">September 13: automated browser coverage passes; new owner manual review pending.</x:t>
        </x:is>
      </x:c>
      <x:c r="K27" s="150" t="n"/>
      <x:c r="L27" s="149" t="n"/>
      <x:c r="M27" s="149" t="n">
        <x:f>IF(OR(H27="tested",H27="verified",H27="not applicable"),1,0)</x:f>
        <x:v>0</x:v>
      </x:c>
    </x:row>
    <x:row r="28" s="127" customFormat="1" ht="23.25" customHeight="1">
      <x:c r="A28" s="149" t="n"/>
      <x:c r="B28" s="149" t="n"/>
      <x:c r="C28" s="149" t="n"/>
      <x:c r="D28" s="150" t="n"/>
      <x:c r="E28" s="149" t="n"/>
      <x:c r="F28" s="149" t="n"/>
      <x:c r="G28" s="150" t="n"/>
      <x:c r="H28" s="149" t="n"/>
      <x:c r="I28" s="149" t="n"/>
      <x:c r="J28" s="151" t="n"/>
      <x:c r="K28" s="150" t="n"/>
      <x:c r="L28" s="149" t="n"/>
      <x:c r="M28" s="149" t="n"/>
    </x:row>
    <x:row r="29" s="127" customFormat="1" ht="23.25" customHeight="1">
      <x:c r="A29" s="149" t="n"/>
      <x:c r="B29" s="149" t="n"/>
      <x:c r="C29" s="149" t="n"/>
      <x:c r="D29" s="150" t="n"/>
      <x:c r="E29" s="149" t="n"/>
      <x:c r="F29" s="149" t="n"/>
      <x:c r="G29" s="150" t="n"/>
      <x:c r="H29" s="149" t="n"/>
      <x:c r="I29" s="149" t="n"/>
      <x:c r="J29" s="151" t="n"/>
      <x:c r="K29" s="150" t="n"/>
      <x:c r="L29" s="149" t="n"/>
      <x:c r="M29" s="149" t="n"/>
    </x:row>
    <x:row r="30" s="127" customFormat="1" ht="23.25" customHeight="1">
      <x:c r="A30" s="149" t="n"/>
      <x:c r="B30" s="149" t="n"/>
      <x:c r="C30" s="149" t="n"/>
      <x:c r="D30" s="150" t="n"/>
      <x:c r="E30" s="149" t="n"/>
      <x:c r="F30" s="149" t="n"/>
      <x:c r="G30" s="150" t="n"/>
      <x:c r="H30" s="149" t="n"/>
      <x:c r="I30" s="149" t="n"/>
      <x:c r="J30" s="151" t="n"/>
      <x:c r="K30" s="150" t="n"/>
      <x:c r="L30" s="149" t="n"/>
      <x:c r="M30" s="149" t="n"/>
    </x:row>
  </x:sheetData>
  <x:mergeCells>
    <x:mergeCell ref="A2:M2"/>
    <x:mergeCell ref="A1:M1"/>
  </x:mergeCells>
  <x:pageMargins left="0.7" right="0.7" top="0.75" bottom="0.75" header="0.3" footer="0.3"/>
</x:worksheet>
</file>

<file path=xl/worksheets/sheet69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Retired OTP Field evidence</x:t>
        </x:is>
      </x:c>
    </x:row>
    <x:row r="2" s="127" customFormat="1" ht="27.75" customHeight="1">
      <x:c r="A2" s="129" t="inlineStr">
        <x:is>
          <x:t xml:space="preserve">Historical evidence retained for the former OTPField owner. Current API and qualification are on the Pin Input sheet; Index routes there.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COUNTA(A9:A28)</x:f>
        <x:v>20</x:v>
      </x:c>
      <x:c r="D4" s="130" t="inlineStr">
        <x:is>
          <x:t xml:space="preserve">Resolved</x:t>
        </x:is>
      </x:c>
      <x:c r="E4" s="131" t="n">
        <x:f>SUM(M9:M28)</x:f>
        <x:v>17</x:v>
      </x:c>
      <x:c r="G4" s="130" t="inlineStr">
        <x:is>
          <x:t xml:space="preserve">Completion</x:t>
        </x:is>
      </x:c>
      <x:c r="H4" s="132" t="n">
        <x:f>IF(B4=0,0,E4/B4)</x:f>
        <x:v>0.85</x:v>
      </x:c>
      <x:c r="J4" s="130" t="inlineStr">
        <x:is>
          <x:t xml:space="preserve">Package gate</x:t>
        </x:is>
      </x:c>
      <x:c r="K4" s="131" t="str">
        <x:f>IF(COUNTIFS(E9:E28,"package",M9:M28,0)&gt;0,"open","complete")</x:f>
        <x:v>complete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IF(COUNTIFS(I9:I28,"yes",M9:M28,0)&gt;0,"open","complete")</x:f>
        <x:v>open</x:v>
      </x:c>
      <x:c r="D5" s="130" t="inlineStr">
        <x:is>
          <x:t xml:space="preserve">Consumer gate</x:t>
        </x:is>
      </x:c>
      <x:c r="E5" s="131" t="str">
        <x:f>IF(COUNTIFS(E9:E28,"consumer",M9:M28,0)&gt;0,"open","complete")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OTP-01</x:t>
        </x:is>
      </x:c>
      <x:c r="B9" s="149" t="inlineStr">
        <x:is>
          <x:t xml:space="preserve">Implementation</x:t>
        </x:is>
      </x:c>
      <x:c r="C9" s="149" t="inlineStr">
        <x:is>
          <x:t xml:space="preserve">Root</x:t>
        </x:is>
      </x:c>
      <x:c r="D9" s="150" t="inlineStr">
        <x:is>
          <x:t xml:space="preserve">Compound OTP Field adapts released Atom 0.20.11 without recreating value, focus, paste, or validation behavior.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../src/components/otp-field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inlineStr">
        <x:is>
          <x:t xml:space="preserve">Focused implementation evidence passes.</x:t>
        </x:is>
      </x:c>
      <x:c r="K9" s="150" t="n"/>
      <x:c r="L9" s="149" t="n"/>
      <x:c r="M9" s="149" t="n">
        <x:f>IF(OR(H9="tested",H9="verified",H9="not applicable"),1,0)</x:f>
        <x:v>1</x:v>
      </x:c>
    </x:row>
    <x:row r="10" s="127" customFormat="1" ht="54" customHeight="1">
      <x:c r="A10" s="149" t="inlineStr">
        <x:is>
          <x:t xml:space="preserve">OTP-02</x:t>
        </x:is>
      </x:c>
      <x:c r="B10" s="149" t="inlineStr">
        <x:is>
          <x:t xml:space="preserve">Anatomy</x:t>
        </x:is>
      </x:c>
      <x:c r="C10" s="149" t="inlineStr">
        <x:is>
          <x:t xml:space="preserve">All parts</x:t>
        </x:is>
      </x:c>
      <x:c r="D10" s="150" t="inlineStr">
        <x:is>
          <x:t xml:space="preserve">Root, Group, Input, and Separator are styled and independently exported.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../test/components/otp-field/otp-field.test.tsx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inlineStr">
        <x:is>
          <x:t xml:space="preserve">Focused implementation evidence passes.</x:t>
        </x:is>
      </x:c>
      <x:c r="K10" s="150" t="n"/>
      <x:c r="L10" s="149" t="n"/>
      <x:c r="M10" s="149" t="n">
        <x:f>IF(OR(H10="tested",H10="verified",H10="not applicable"),1,0)</x:f>
        <x:v>1</x:v>
      </x:c>
    </x:row>
    <x:row r="11" s="127" customFormat="1" ht="54" customHeight="1">
      <x:c r="A11" s="149" t="inlineStr">
        <x:is>
          <x:t xml:space="preserve">OTP-03</x:t>
        </x:is>
      </x:c>
      <x:c r="B11" s="149" t="inlineStr">
        <x:is>
          <x:t xml:space="preserve">Exports</x:t>
        </x:is>
      </x:c>
      <x:c r="C11" s="149" t="inlineStr">
        <x:is>
          <x:t xml:space="preserve">OTPField</x:t>
        </x:is>
      </x:c>
      <x:c r="D11" s="150" t="inlineStr">
        <x:is>
          <x:t xml:space="preserve">Root and otp-field subpath exports expose the namespace, named parts, and public types.</x:t>
        </x:is>
      </x:c>
      <x:c r="E11" s="149" t="inlineStr">
        <x:is>
          <x:t xml:space="preserve">package</x:t>
        </x:is>
      </x:c>
      <x:c r="F11" s="149" t="inlineStr">
        <x:is>
          <x:t xml:space="preserve">package</x:t>
        </x:is>
      </x:c>
      <x:c r="G11" s="150" t="inlineStr">
        <x:is>
          <x:t xml:space="preserve">../test/package/package.test.mjs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inlineStr">
        <x:is>
          <x:t xml:space="preserve">Focused implementation evidence passes.</x:t>
        </x:is>
      </x:c>
      <x:c r="K11" s="150" t="n"/>
      <x:c r="L11" s="149" t="n"/>
      <x:c r="M11" s="149" t="n">
        <x:f>IF(OR(H11="tested",H11="verified",H11="not applicable"),1,0)</x:f>
        <x:v>1</x:v>
      </x:c>
    </x:row>
    <x:row r="12" s="127" customFormat="1" ht="54" customHeight="1">
      <x:c r="A12" s="149" t="inlineStr">
        <x:is>
          <x:t xml:space="preserve">OTP-04</x:t>
        </x:is>
      </x:c>
      <x:c r="B12" s="149" t="inlineStr">
        <x:is>
          <x:t xml:space="preserve">Types</x:t>
        </x:is>
      </x:c>
      <x:c r="C12" s="149" t="inlineStr">
        <x:is>
          <x:t xml:space="preserve">Root/parts</x:t>
        </x:is>
      </x:c>
      <x:c r="D12" s="150" t="inlineStr">
        <x:is>
          <x:t xml:space="preserve">Recipes, refs, native props, indexes, layouts, and underline shape exclusion type-check.</x:t>
        </x:is>
      </x:c>
      <x:c r="E12" s="149" t="inlineStr">
        <x:is>
          <x:t xml:space="preserve">package</x:t>
        </x:is>
      </x:c>
      <x:c r="F12" s="149" t="inlineStr">
        <x:is>
          <x:t xml:space="preserve">types</x:t>
        </x:is>
      </x:c>
      <x:c r="G12" s="150" t="inlineStr">
        <x:is>
          <x:t xml:space="preserve">../test/types/components/otp-field.test.ts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inlineStr">
        <x:is>
          <x:t xml:space="preserve">Focused implementation evidence passes.</x:t>
        </x:is>
      </x:c>
      <x:c r="K12" s="150" t="n"/>
      <x:c r="L12" s="149" t="n"/>
      <x:c r="M12" s="149" t="n">
        <x:f>IF(OR(H12="tested",H12="verified",H12="not applicable"),1,0)</x:f>
        <x:v>1</x:v>
      </x:c>
    </x:row>
    <x:row r="13" s="127" customFormat="1" ht="54" customHeight="1">
      <x:c r="A13" s="149" t="inlineStr">
        <x:is>
          <x:t xml:space="preserve">OTP-05</x:t>
        </x:is>
      </x:c>
      <x:c r="B13" s="149" t="inlineStr">
        <x:is>
          <x:t xml:space="preserve">CSS</x:t>
        </x:is>
      </x:c>
      <x:c r="C13" s="149" t="inlineStr">
        <x:is>
          <x:t xml:space="preserve">Group/Input</x:t>
        </x:is>
      </x:c>
      <x:c r="D13" s="150" t="inlineStr">
        <x:is>
          <x:t xml:space="preserve">Static CSS ships separated, attached, state, focus, artwork, and documented variable recipes.</x:t>
        </x:is>
      </x:c>
      <x:c r="E13" s="149" t="inlineStr">
        <x:is>
          <x:t xml:space="preserve">package</x:t>
        </x:is>
      </x:c>
      <x:c r="F13" s="149" t="inlineStr">
        <x:is>
          <x:t xml:space="preserve">css</x:t>
        </x:is>
      </x:c>
      <x:c r="G13" s="150" t="inlineStr">
        <x:is>
          <x:t xml:space="preserve">../src/components/otp-field/otp-field.css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inlineStr">
        <x:is>
          <x:t xml:space="preserve">Focused implementation evidence passes.</x:t>
        </x:is>
      </x:c>
      <x:c r="K13" s="150" t="n"/>
      <x:c r="L13" s="149" t="n"/>
      <x:c r="M13" s="149" t="n">
        <x:f>IF(OR(H13="tested",H13="verified",H13="not applicable"),1,0)</x:f>
        <x:v>1</x:v>
      </x:c>
    </x:row>
    <x:row r="14" s="127" customFormat="1" ht="54" customHeight="1">
      <x:c r="A14" s="149" t="inlineStr">
        <x:is>
          <x:t xml:space="preserve">OTP-06</x:t>
        </x:is>
      </x:c>
      <x:c r="B14" s="149" t="inlineStr">
        <x:is>
          <x:t xml:space="preserve">Entry</x:t>
        </x:is>
      </x:c>
      <x:c r="C14" s="149" t="inlineStr">
        <x:is>
          <x:t xml:space="preserve">Input cells</x:t>
        </x:is>
      </x:c>
      <x:c r="D14" s="150" t="inlineStr">
        <x:is>
          <x:t xml:space="preserve">Typing filters invalid characters, advances focus, and maintains one complete logical value.</x:t>
        </x:is>
      </x:c>
      <x:c r="E14" s="149" t="inlineStr">
        <x:is>
          <x:t xml:space="preserve">browser</x:t>
        </x:is>
      </x:c>
      <x:c r="F14" s="149" t="inlineStr">
        <x:is>
          <x:t xml:space="preserve">browser</x:t>
        </x:is>
      </x:c>
      <x:c r="G14" s="150" t="inlineStr">
        <x:is>
          <x:t xml:space="preserve">tests/components/otp-field/behavior.spec.ts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inlineStr">
        <x:is>
          <x:t xml:space="preserve">Focused implementation evidence passes.</x:t>
        </x:is>
      </x:c>
      <x:c r="K14" s="150" t="n"/>
      <x:c r="L14" s="149" t="n"/>
      <x:c r="M14" s="149" t="n">
        <x:f>IF(OR(H14="tested",H14="verified",H14="not applicable"),1,0)</x:f>
        <x:v>1</x:v>
      </x:c>
    </x:row>
    <x:row r="15" s="127" customFormat="1" ht="54" customHeight="1">
      <x:c r="A15" s="149" t="inlineStr">
        <x:is>
          <x:t xml:space="preserve">OTP-07</x:t>
        </x:is>
      </x:c>
      <x:c r="B15" s="149" t="inlineStr">
        <x:is>
          <x:t xml:space="preserve">Forms</x:t>
        </x:is>
      </x:c>
      <x:c r="C15" s="149" t="inlineStr">
        <x:is>
          <x:t xml:space="preserve">Root/Input</x:t>
        </x:is>
      </x:c>
      <x:c r="D15" s="150" t="inlineStr">
        <x:is>
          <x:t xml:space="preserve">Only the first cell owns required validity and one hidden value submits and resets.</x:t>
        </x:is>
      </x:c>
      <x:c r="E15" s="149" t="inlineStr">
        <x:is>
          <x:t xml:space="preserve">browser</x:t>
        </x:is>
      </x:c>
      <x:c r="F15" s="149" t="inlineStr">
        <x:is>
          <x:t xml:space="preserve">browser</x:t>
        </x:is>
      </x:c>
      <x:c r="G15" s="150" t="inlineStr">
        <x:is>
          <x:t xml:space="preserve">tests/components/otp-field/behavior.spec.ts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inlineStr">
        <x:is>
          <x:t xml:space="preserve">Focused implementation evidence passes.</x:t>
        </x:is>
      </x:c>
      <x:c r="K15" s="150" t="n"/>
      <x:c r="L15" s="149" t="n"/>
      <x:c r="M15" s="149" t="n">
        <x:f>IF(OR(H15="tested",H15="verified",H15="not applicable"),1,0)</x:f>
        <x:v>1</x:v>
      </x:c>
    </x:row>
    <x:row r="16" s="127" customFormat="1" ht="54" customHeight="1">
      <x:c r="A16" s="149" t="inlineStr">
        <x:is>
          <x:t xml:space="preserve">OTP-08</x:t>
        </x:is>
      </x:c>
      <x:c r="B16" s="149" t="inlineStr">
        <x:is>
          <x:t xml:space="preserve">Localization</x:t>
        </x:is>
      </x:c>
      <x:c r="C16" s="149" t="inlineStr">
        <x:is>
          <x:t xml:space="preserve">Input</x:t>
        </x:is>
      </x:c>
      <x:c r="D16" s="150" t="inlineStr">
        <x:is>
          <x:t xml:space="preserve">Generated position labels accept consumer-provided translations without changing behavior.</x:t>
        </x:is>
      </x:c>
      <x:c r="E16" s="149" t="inlineStr">
        <x:is>
          <x:t xml:space="preserve">browser</x:t>
        </x:is>
      </x:c>
      <x:c r="F16" s="149" t="inlineStr">
        <x:is>
          <x:t xml:space="preserve">browser</x:t>
        </x:is>
      </x:c>
      <x:c r="G16" s="150" t="inlineStr">
        <x:is>
          <x:t xml:space="preserve">tests/components/otp-field/behavior.spec.ts</x:t>
        </x:is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inlineStr">
        <x:is>
          <x:t xml:space="preserve">Focused implementation evidence passes.</x:t>
        </x:is>
      </x:c>
      <x:c r="K16" s="150" t="n"/>
      <x:c r="L16" s="149" t="n"/>
      <x:c r="M16" s="149" t="n">
        <x:f>IF(OR(H16="tested",H16="verified",H16="not applicable"),1,0)</x:f>
        <x:v>1</x:v>
      </x:c>
    </x:row>
    <x:row r="17" s="127" customFormat="1" ht="54" customHeight="1">
      <x:c r="A17" s="149" t="inlineStr">
        <x:is>
          <x:t xml:space="preserve">OTP-09</x:t>
        </x:is>
      </x:c>
      <x:c r="B17" s="149" t="inlineStr">
        <x:is>
          <x:t xml:space="preserve">States</x:t>
        </x:is>
      </x:c>
      <x:c r="C17" s="149" t="inlineStr">
        <x:is>
          <x:t xml:space="preserve">All parts</x:t>
        </x:is>
      </x:c>
      <x:c r="D17" s="150" t="inlineStr">
        <x:is>
          <x:t xml:space="preserve">Disabled, read-only, invalid, required, filled, and masked states remain distinct.</x:t>
        </x:is>
      </x:c>
      <x:c r="E17" s="149" t="inlineStr">
        <x:is>
          <x:t xml:space="preserve">human</x:t>
        </x:is>
      </x:c>
      <x:c r="F17" s="149" t="inlineStr">
        <x:is>
          <x:t xml:space="preserve">visual</x:t>
        </x:is>
      </x:c>
      <x:c r="G17" s="150" t="inlineStr">
        <x:is>
          <x:t xml:space="preserve">tests/components/otp-field/visual.spec.ts</x:t>
        </x:is>
      </x:c>
      <x:c r="H17" s="149" t="inlineStr">
        <x:is>
          <x:t xml:space="preserve">verified</x:t>
        </x:is>
      </x:c>
      <x:c r="I17" s="149" t="inlineStr">
        <x:is>
          <x:t xml:space="preserve">yes</x:t>
        </x:is>
      </x:c>
      <x:c r="J17" s="151" t="inlineStr">
        <x:is>
          <x:t xml:space="preserve">2026-07-28: owner reviewed the generated Chromium baseline and its focused visual assertion.</x:t>
        </x:is>
      </x:c>
      <x:c r="K17" s="150" t="n"/>
      <x:c r="L17" s="149" t="n"/>
      <x:c r="M17" s="149" t="n">
        <x:f>IF(OR(H17="tested",H17="verified",H17="not applicable"),1,0)</x:f>
        <x:v>1</x:v>
      </x:c>
    </x:row>
    <x:row r="18" s="127" customFormat="1" ht="54" customHeight="1">
      <x:c r="A18" s="149" t="inlineStr">
        <x:is>
          <x:t xml:space="preserve">OTP-10</x:t>
        </x:is>
      </x:c>
      <x:c r="B18" s="149" t="inlineStr">
        <x:is>
          <x:t xml:space="preserve">Recipes</x:t>
        </x:is>
      </x:c>
      <x:c r="C18" s="149" t="inlineStr">
        <x:is>
          <x:t xml:space="preserve">Root/Group</x:t>
        </x:is>
      </x:c>
      <x:c r="D18" s="150" t="inlineStr">
        <x:is>
          <x:t xml:space="preserve">Outline, soft, underline, sizes, shapes, separated, and attached layouts retain stable data.</x:t>
        </x:is>
      </x:c>
      <x:c r="E18" s="149" t="inlineStr">
        <x:is>
          <x:t xml:space="preserve">browser</x:t>
        </x:is>
      </x:c>
      <x:c r="F18" s="149" t="inlineStr">
        <x:is>
          <x:t xml:space="preserve">browser</x:t>
        </x:is>
      </x:c>
      <x:c r="G18" s="150" t="inlineStr">
        <x:is>
          <x:t xml:space="preserve">tests/components/otp-field/behavior.spec.ts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inlineStr">
        <x:is>
          <x:t xml:space="preserve">Focused implementation evidence passes.</x:t>
        </x:is>
      </x:c>
      <x:c r="K18" s="150" t="n"/>
      <x:c r="L18" s="149" t="n"/>
      <x:c r="M18" s="149" t="n">
        <x:f>IF(OR(H18="tested",H18="verified",H18="not applicable"),1,0)</x:f>
        <x:v>1</x:v>
      </x:c>
    </x:row>
    <x:row r="19" s="127" customFormat="1" ht="54" customHeight="1">
      <x:c r="A19" s="149" t="inlineStr">
        <x:is>
          <x:t xml:space="preserve">OTP-11</x:t>
        </x:is>
      </x:c>
      <x:c r="B19" s="149" t="inlineStr">
        <x:is>
          <x:t xml:space="preserve">Accessibility</x:t>
        </x:is>
      </x:c>
      <x:c r="C19" s="149" t="inlineStr">
        <x:is>
          <x:t xml:space="preserve">Root/Input</x:t>
        </x:is>
      </x:c>
      <x:c r="D19" s="150" t="inlineStr">
        <x:is>
          <x:t xml:space="preserve">The group uses valid ARIA, cells expose position labels, and the route has no axe violations.</x:t>
        </x:is>
      </x:c>
      <x:c r="E19" s="149" t="inlineStr">
        <x:is>
          <x:t xml:space="preserve">browser</x:t>
        </x:is>
      </x:c>
      <x:c r="F19" s="149" t="inlineStr">
        <x:is>
          <x:t xml:space="preserve">axe</x:t>
        </x:is>
      </x:c>
      <x:c r="G19" s="150" t="inlineStr">
        <x:is>
          <x:t xml:space="preserve">tests/components/otp-field/behavior.spec.ts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inlineStr">
        <x:is>
          <x:t xml:space="preserve">Focused implementation evidence passes.</x:t>
        </x:is>
      </x:c>
      <x:c r="K19" s="150" t="n"/>
      <x:c r="L19" s="149" t="n"/>
      <x:c r="M19" s="149" t="n">
        <x:f>IF(OR(H19="tested",H19="verified",H19="not applicable"),1,0)</x:f>
        <x:v>1</x:v>
      </x:c>
    </x:row>
    <x:row r="20" s="127" customFormat="1" ht="54" customHeight="1">
      <x:c r="A20" s="149" t="inlineStr">
        <x:is>
          <x:t xml:space="preserve">OTP-12</x:t>
        </x:is>
      </x:c>
      <x:c r="B20" s="149" t="inlineStr">
        <x:is>
          <x:t xml:space="preserve">Appearance</x:t>
        </x:is>
      </x:c>
      <x:c r="C20" s="149" t="inlineStr">
        <x:is>
          <x:t xml:space="preserve">All parts</x:t>
        </x:is>
      </x:c>
      <x:c r="D20" s="150" t="inlineStr">
        <x:is>
          <x:t xml:space="preserve">Light, dark, forced-color, focus, and invalid paint remain legible.</x:t>
        </x:is>
      </x:c>
      <x:c r="E20" s="149" t="inlineStr">
        <x:is>
          <x:t xml:space="preserve">human</x:t>
        </x:is>
      </x:c>
      <x:c r="F20" s="149" t="inlineStr">
        <x:is>
          <x:t xml:space="preserve">visual</x:t>
        </x:is>
      </x:c>
      <x:c r="G20" s="150" t="inlineStr">
        <x:is>
          <x:t xml:space="preserve">tests/components/otp-field/visual.spec.ts</x:t>
        </x:is>
      </x:c>
      <x:c r="H20" s="149" t="inlineStr">
        <x:is>
          <x:t xml:space="preserve">verified</x:t>
        </x:is>
      </x:c>
      <x:c r="I20" s="149" t="inlineStr">
        <x:is>
          <x:t xml:space="preserve">yes</x:t>
        </x:is>
      </x:c>
      <x:c r="J20" s="151" t="inlineStr">
        <x:is>
          <x:t xml:space="preserve">2026-07-28: owner reviewed the generated Chromium baseline and its focused visual assertion.</x:t>
        </x:is>
      </x:c>
      <x:c r="K20" s="150" t="n"/>
      <x:c r="L20" s="149" t="n"/>
      <x:c r="M20" s="149" t="n">
        <x:f>IF(OR(H20="tested",H20="verified",H20="not applicable"),1,0)</x:f>
        <x:v>1</x:v>
      </x:c>
    </x:row>
    <x:row r="21" s="127" customFormat="1" ht="54" customHeight="1">
      <x:c r="A21" s="149" t="inlineStr">
        <x:is>
          <x:t xml:space="preserve">OTP-13</x:t>
        </x:is>
      </x:c>
      <x:c r="B21" s="149" t="inlineStr">
        <x:is>
          <x:t xml:space="preserve">Responsive</x:t>
        </x:is>
      </x:c>
      <x:c r="C21" s="149" t="inlineStr">
        <x:is>
          <x:t xml:space="preserve">Group</x:t>
        </x:is>
      </x:c>
      <x:c r="D21" s="150" t="inlineStr">
        <x:is>
          <x:t xml:space="preserve">Narrow and zoomed layouts remain reachable without clipping code cells.</x:t>
        </x:is>
      </x:c>
      <x:c r="E21" s="149" t="inlineStr">
        <x:is>
          <x:t xml:space="preserve">human</x:t>
        </x:is>
      </x:c>
      <x:c r="F21" s="149" t="inlineStr">
        <x:is>
          <x:t xml:space="preserve">manual</x:t>
        </x:is>
      </x:c>
      <x:c r="G21" s="150" t="inlineStr">
        <x:is>
          <x:t xml:space="preserve">manual-tests/otp-field.md</x:t>
        </x:is>
      </x:c>
      <x:c r="H21" s="149" t="inlineStr">
        <x:is>
          <x:t xml:space="preserve">implemented</x:t>
        </x:is>
      </x:c>
      <x:c r="I21" s="149" t="inlineStr">
        <x:is>
          <x:t xml:space="preserve">yes</x:t>
        </x:is>
      </x:c>
      <x:c r="J21" s="151" t="inlineStr">
        <x:is>
          <x:t xml:space="preserve">Implementation evidence exists; required release or human-review gate remains open.</x:t>
        </x:is>
      </x:c>
      <x:c r="K21" s="150" t="n"/>
      <x:c r="L21" s="149" t="n"/>
      <x:c r="M21" s="149" t="n">
        <x:f>IF(OR(H21="tested",H21="verified",H21="not applicable"),1,0)</x:f>
        <x:v>0</x:v>
      </x:c>
    </x:row>
    <x:row r="22" s="127" customFormat="1" ht="54" customHeight="1">
      <x:c r="A22" s="149" t="inlineStr">
        <x:is>
          <x:t xml:space="preserve">OTP-14</x:t>
        </x:is>
      </x:c>
      <x:c r="B22" s="149" t="inlineStr">
        <x:is>
          <x:t xml:space="preserve">RTL</x:t>
        </x:is>
      </x:c>
      <x:c r="C22" s="149" t="inlineStr">
        <x:is>
          <x:t xml:space="preserve">Group</x:t>
        </x:is>
      </x:c>
      <x:c r="D22" s="150" t="inlineStr">
        <x:is>
          <x:t xml:space="preserve">RTL preserves logical code order and separator placement.</x:t>
        </x:is>
      </x:c>
      <x:c r="E22" s="149" t="inlineStr">
        <x:is>
          <x:t xml:space="preserve">human</x:t>
        </x:is>
      </x:c>
      <x:c r="F22" s="149" t="inlineStr">
        <x:is>
          <x:t xml:space="preserve">visual</x:t>
        </x:is>
      </x:c>
      <x:c r="G22" s="150" t="inlineStr">
        <x:is>
          <x:t xml:space="preserve">tests/components/otp-field/visual.spec.ts</x:t>
        </x:is>
      </x:c>
      <x:c r="H22" s="149" t="inlineStr">
        <x:is>
          <x:t xml:space="preserve">verified</x:t>
        </x:is>
      </x:c>
      <x:c r="I22" s="149" t="inlineStr">
        <x:is>
          <x:t xml:space="preserve">yes</x:t>
        </x:is>
      </x:c>
      <x:c r="J22" s="151" t="inlineStr">
        <x:is>
          <x:t xml:space="preserve">2026-07-28: owner reviewed the generated Chromium baseline and its focused visual assertion.</x:t>
        </x:is>
      </x:c>
      <x:c r="K22" s="150" t="n"/>
      <x:c r="L22" s="149" t="n"/>
      <x:c r="M22" s="149" t="n">
        <x:f>IF(OR(H22="tested",H22="verified",H22="not applicable"),1,0)</x:f>
        <x:v>1</x:v>
      </x:c>
    </x:row>
    <x:row r="23" s="127" customFormat="1" ht="54" customHeight="1">
      <x:c r="A23" s="149" t="inlineStr">
        <x:is>
          <x:t xml:space="preserve">OTP-15</x:t>
        </x:is>
      </x:c>
      <x:c r="B23" s="149" t="inlineStr">
        <x:is>
          <x:t xml:space="preserve">Customization</x:t>
        </x:is>
      </x:c>
      <x:c r="C23" s="149" t="inlineStr">
        <x:is>
          <x:t xml:space="preserve">Input</x:t>
        </x:is>
      </x:c>
      <x:c r="D23" s="150" t="inlineStr">
        <x:is>
          <x:t xml:space="preserve">Documented variables customize cell size and radius without changing anatomy.</x:t>
        </x:is>
      </x:c>
      <x:c r="E23" s="149" t="inlineStr">
        <x:is>
          <x:t xml:space="preserve">human</x:t>
        </x:is>
      </x:c>
      <x:c r="F23" s="149" t="inlineStr">
        <x:is>
          <x:t xml:space="preserve">manual</x:t>
        </x:is>
      </x:c>
      <x:c r="G23" s="150" t="inlineStr">
        <x:is>
          <x:t xml:space="preserve">manual-tests/otp-field.md</x:t>
        </x:is>
      </x:c>
      <x:c r="H23" s="149" t="inlineStr">
        <x:is>
          <x:t xml:space="preserve">implemented</x:t>
        </x:is>
      </x:c>
      <x:c r="I23" s="149" t="inlineStr">
        <x:is>
          <x:t xml:space="preserve">yes</x:t>
        </x:is>
      </x:c>
      <x:c r="J23" s="151" t="n"/>
      <x:c r="K23" s="150" t="inlineStr">
        <x:is>
          <x:t xml:space="preserve">Human protocol remains pending. Automated and visual evidence stays in its owning tests and does not complete this human gate.</x:t>
        </x:is>
      </x:c>
      <x:c r="L23" s="149" t="n"/>
      <x:c r="M23" s="149" t="n">
        <x:f>IF(OR(H23="tested",H23="verified",H23="not applicable"),1,0)</x:f>
        <x:v>0</x:v>
      </x:c>
    </x:row>
    <x:row r="24" s="127" customFormat="1" ht="54" customHeight="1">
      <x:c r="A24" s="149" t="inlineStr">
        <x:is>
          <x:t xml:space="preserve">OTP-16</x:t>
        </x:is>
      </x:c>
      <x:c r="B24" s="149" t="inlineStr">
        <x:is>
          <x:t xml:space="preserve">Documentation</x:t>
        </x:is>
      </x:c>
      <x:c r="C24" s="149" t="inlineStr">
        <x:is>
          <x:t xml:space="preserve">OTPField</x:t>
        </x:is>
      </x:c>
      <x:c r="D24" s="150" t="inlineStr">
        <x:is>
          <x:t xml:space="preserve">Guide, changelog, semantic contract, and nine scenarios agree.</x:t>
        </x:is>
      </x:c>
      <x:c r="E24" s="149" t="inlineStr">
        <x:is>
          <x:t xml:space="preserve">package</x:t>
        </x:is>
      </x:c>
      <x:c r="F24" s="149" t="inlineStr">
        <x:is>
          <x:t xml:space="preserve">docs</x:t>
        </x:is>
      </x:c>
      <x:c r="G24" s="150" t="inlineStr">
        <x:is>
          <x:t xml:space="preserve">../docs/components/otp-field/README.md</x:t>
        </x:is>
      </x:c>
      <x:c r="H24" s="149" t="inlineStr">
        <x:is>
          <x:t xml:space="preserve">tested</x:t>
        </x:is>
      </x:c>
      <x:c r="I24" s="149" t="inlineStr">
        <x:is>
          <x:t xml:space="preserve">no</x:t>
        </x:is>
      </x:c>
      <x:c r="J24" s="151" t="inlineStr">
        <x:is>
          <x:t xml:space="preserve">Focused implementation evidence passes.</x:t>
        </x:is>
      </x:c>
      <x:c r="K24" s="150" t="n"/>
      <x:c r="L24" s="149" t="n"/>
      <x:c r="M24" s="149" t="n">
        <x:f>IF(OR(H24="tested",H24="verified",H24="not applicable"),1,0)</x:f>
        <x:v>1</x:v>
      </x:c>
    </x:row>
    <x:row r="25" s="127" customFormat="1" ht="23.25" customHeight="1">
      <x:c r="A25" s="149" t="inlineStr">
        <x:is>
          <x:t xml:space="preserve">OTP-17</x:t>
        </x:is>
      </x:c>
      <x:c r="B25" s="149" t="inlineStr">
        <x:is>
          <x:t xml:space="preserve">Consumer</x:t>
        </x:is>
      </x:c>
      <x:c r="C25" s="149" t="inlineStr">
        <x:is>
          <x:t xml:space="preserve">OTPField</x:t>
        </x:is>
      </x:c>
      <x:c r="D25" s="150" t="inlineStr">
        <x:is>
          <x:t xml:space="preserve">Packed Consumer imports the public subpath and completes a Field-composed code.</x:t>
        </x:is>
      </x:c>
      <x:c r="E25" s="149" t="inlineStr">
        <x:is>
          <x:t xml:space="preserve">consumer</x:t>
        </x:is>
      </x:c>
      <x:c r="F25" s="149" t="inlineStr">
        <x:is>
          <x:t xml:space="preserve">consumer</x:t>
        </x:is>
      </x:c>
      <x:c r="G25" s="150" t="inlineStr">
        <x:is>
          <x:t xml:space="preserve">../apps/consumer/tests/consumer.spec.ts</x:t>
        </x:is>
      </x:c>
      <x:c r="H25" s="149" t="inlineStr">
        <x:is>
          <x:t xml:space="preserve">tested</x:t>
        </x:is>
      </x:c>
      <x:c r="I25" s="149" t="inlineStr">
        <x:is>
          <x:t xml:space="preserve">no</x:t>
        </x:is>
      </x:c>
      <x:c r="J25" s="151" t="inlineStr">
        <x:is>
          <x:t xml:space="preserve">2026-07-28: packed Consumer evidence passes for the public subpath and clean React 18/19 consumers.</x:t>
        </x:is>
      </x:c>
      <x:c r="K25" s="150" t="n"/>
      <x:c r="L25" s="149" t="n"/>
      <x:c r="M25" s="149" t="n">
        <x:f>IF(OR(H25="tested",H25="verified",H25="not applicable"),1,0)</x:f>
        <x:v>1</x:v>
      </x:c>
    </x:row>
    <x:row r="26" s="127" customFormat="1" ht="23.25" customHeight="1">
      <x:c r="A26" s="149" t="inlineStr">
        <x:is>
          <x:t xml:space="preserve">OTP-18</x:t>
        </x:is>
      </x:c>
      <x:c r="B26" s="149" t="inlineStr">
        <x:is>
          <x:t xml:space="preserve">Package</x:t>
        </x:is>
      </x:c>
      <x:c r="C26" s="149" t="inlineStr">
        <x:is>
          <x:t xml:space="preserve">OTPField</x:t>
        </x:is>
      </x:c>
      <x:c r="D26" s="150" t="inlineStr">
        <x:is>
          <x:t xml:space="preserve">Packed artifact and clean React 18/19 consumers resolve JS, types, CSS, and Atom 0.20.11.</x:t>
        </x:is>
      </x:c>
      <x:c r="E26" s="149" t="inlineStr">
        <x:is>
          <x:t xml:space="preserve">consumer</x:t>
        </x:is>
      </x:c>
      <x:c r="F26" s="149" t="inlineStr">
        <x:is>
          <x:t xml:space="preserve">package</x:t>
        </x:is>
      </x:c>
      <x:c r="G26" s="150" t="inlineStr">
        <x:is>
          <x:t xml:space="preserve">../scripts/verify-consumers.mjs</x:t>
        </x:is>
      </x:c>
      <x:c r="H26" s="149" t="inlineStr">
        <x:is>
          <x:t xml:space="preserve">tested</x:t>
        </x:is>
      </x:c>
      <x:c r="I26" s="149" t="inlineStr">
        <x:is>
          <x:t xml:space="preserve">no</x:t>
        </x:is>
      </x:c>
      <x:c r="J26" s="151" t="inlineStr">
        <x:is>
          <x:t xml:space="preserve">2026-07-28: packed Consumer evidence passes for the public subpath and clean React 18/19 consumers.</x:t>
        </x:is>
      </x:c>
      <x:c r="K26" s="150" t="n"/>
      <x:c r="L26" s="149" t="n"/>
      <x:c r="M26" s="149" t="n">
        <x:f>IF(OR(H26="tested",H26="verified",H26="not applicable"),1,0)</x:f>
        <x:v>1</x:v>
      </x:c>
    </x:row>
    <x:row r="27" s="127" customFormat="1" ht="23.25" customHeight="1">
      <x:c r="A27" s="149" t="inlineStr">
        <x:is>
          <x:t xml:space="preserve">OTP-19</x:t>
        </x:is>
      </x:c>
      <x:c r="B27" s="149" t="inlineStr">
        <x:is>
          <x:t xml:space="preserve">Manual</x:t>
        </x:is>
      </x:c>
      <x:c r="C27" s="149" t="inlineStr">
        <x:is>
          <x:t xml:space="preserve">All parts</x:t>
        </x:is>
      </x:c>
      <x:c r="D27" s="150" t="inlineStr">
        <x:is>
          <x:t xml:space="preserve">Numbered protocol covers visual, typing, paste, forms, assistive technology, preferences, zoom, and RTL.</x:t>
        </x:is>
      </x:c>
      <x:c r="E27" s="149" t="inlineStr">
        <x:is>
          <x:t xml:space="preserve">human</x:t>
        </x:is>
      </x:c>
      <x:c r="F27" s="149" t="inlineStr">
        <x:is>
          <x:t xml:space="preserve">manual</x:t>
        </x:is>
      </x:c>
      <x:c r="G27" s="150" t="inlineStr">
        <x:is>
          <x:t xml:space="preserve">manual-tests/otp-field.md</x:t>
        </x:is>
      </x:c>
      <x:c r="H27" s="149" t="inlineStr">
        <x:is>
          <x:t xml:space="preserve">implemented</x:t>
        </x:is>
      </x:c>
      <x:c r="I27" s="149" t="inlineStr">
        <x:is>
          <x:t xml:space="preserve">yes</x:t>
        </x:is>
      </x:c>
      <x:c r="J27" s="151" t="inlineStr">
        <x:is>
          <x:t xml:space="preserve">Implementation evidence exists; required release or human-review gate remains open.</x:t>
        </x:is>
      </x:c>
      <x:c r="K27" s="150" t="n"/>
      <x:c r="L27" s="149" t="n"/>
      <x:c r="M27" s="149" t="n">
        <x:f>IF(OR(H27="tested",H27="verified",H27="not applicable"),1,0)</x:f>
        <x:v>0</x:v>
      </x:c>
    </x:row>
    <x:row r="28" s="127" customFormat="1" ht="23.25" customHeight="1">
      <x:c r="A28" s="149" t="inlineStr">
        <x:is>
          <x:t xml:space="preserve">OTP-20</x:t>
        </x:is>
      </x:c>
      <x:c r="B28" s="149" t="inlineStr">
        <x:is>
          <x:t xml:space="preserve">Visual</x:t>
        </x:is>
      </x:c>
      <x:c r="C28" s="149" t="inlineStr">
        <x:is>
          <x:t xml:space="preserve">All parts</x:t>
        </x:is>
      </x:c>
      <x:c r="D28" s="150" t="inlineStr">
        <x:is>
          <x:t xml:space="preserve">Snapshots cover default, recipes, states, and mobile RTL stress.</x:t>
        </x:is>
      </x:c>
      <x:c r="E28" s="149" t="inlineStr">
        <x:is>
          <x:t xml:space="preserve">human</x:t>
        </x:is>
      </x:c>
      <x:c r="F28" s="149" t="inlineStr">
        <x:is>
          <x:t xml:space="preserve">visual</x:t>
        </x:is>
      </x:c>
      <x:c r="G28" s="150" t="inlineStr">
        <x:is>
          <x:t xml:space="preserve">tests/components/otp-field/visual.spec.ts</x:t>
        </x:is>
      </x:c>
      <x:c r="H28" s="149" t="inlineStr">
        <x:is>
          <x:t xml:space="preserve">verified</x:t>
        </x:is>
      </x:c>
      <x:c r="I28" s="149" t="inlineStr">
        <x:is>
          <x:t xml:space="preserve">yes</x:t>
        </x:is>
      </x:c>
      <x:c r="J28" s="151" t="inlineStr">
        <x:is>
          <x:t xml:space="preserve">2026-07-28: owner reviewed the generated Chromium baseline and its focused visual assertion.</x:t>
        </x:is>
      </x:c>
      <x:c r="K28" s="150" t="n"/>
      <x:c r="L28" s="149" t="n"/>
      <x:c r="M28" s="149" t="n">
        <x:f>IF(OR(H28="tested",H28="verified",H28="not applicable"),1,0)</x:f>
        <x:v>1</x:v>
      </x:c>
    </x:row>
    <x:row r="29" s="127" customFormat="1" ht="23.25" customHeight="1">
      <x:c r="A29" s="149" t="n"/>
      <x:c r="B29" s="149" t="n"/>
      <x:c r="C29" s="149" t="n"/>
      <x:c r="D29" s="150" t="n"/>
      <x:c r="E29" s="149" t="n"/>
      <x:c r="F29" s="149" t="n"/>
      <x:c r="G29" s="150" t="n"/>
      <x:c r="H29" s="149" t="n"/>
      <x:c r="I29" s="149" t="n"/>
      <x:c r="J29" s="151" t="n"/>
      <x:c r="K29" s="150" t="n"/>
      <x:c r="L29" s="149" t="n"/>
      <x:c r="M29" s="149" t="n"/>
    </x:row>
    <x:row r="30" s="127" customFormat="1" ht="23.25" customHeight="1">
      <x:c r="A30" s="149" t="n"/>
      <x:c r="B30" s="149" t="n"/>
      <x:c r="C30" s="149" t="n"/>
      <x:c r="D30" s="150" t="n"/>
      <x:c r="E30" s="149" t="n"/>
      <x:c r="F30" s="149" t="n"/>
      <x:c r="G30" s="150" t="n"/>
      <x:c r="H30" s="149" t="n"/>
      <x:c r="I30" s="149" t="n"/>
      <x:c r="J30" s="151" t="n"/>
      <x:c r="K30" s="150" t="n"/>
      <x:c r="L30" s="149" t="n"/>
      <x:c r="M30" s="149" t="n"/>
    </x:row>
  </x:sheetData>
  <x:mergeCells>
    <x:mergeCell ref="A2:M2"/>
    <x:mergeCell ref="A1:M1"/>
  </x:mergeCells>
  <x:pageMargins left="0.7" right="0.7" top="0.75" bottom="0.75" header="0.3" footer="0.3"/>
</x:worksheet>
</file>

<file path=xl/worksheets/sheet70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Password Toggle Field Evidence</x:t>
        </x:is>
      </x:c>
    </x:row>
    <x:row r="2" s="127" customFormat="1" ht="27.75" customHeight="1">
      <x:c r="A2" s="129" t="inlineStr">
        <x:is>
          <x:t xml:space="preserve">Assertion-level Atom-backed package, browser, human-review, documentation, Consumer, visibility, localization, and form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COUNTA(A9:A40)</x:f>
        <x:v>32</x:v>
      </x:c>
      <x:c r="D4" s="130" t="inlineStr">
        <x:is>
          <x:t xml:space="preserve">Resolved</x:t>
        </x:is>
      </x:c>
      <x:c r="E4" s="131" t="n">
        <x:f>SUM(M9:M40)</x:f>
        <x:v>27</x:v>
      </x:c>
      <x:c r="G4" s="130" t="inlineStr">
        <x:is>
          <x:t xml:space="preserve">Completion</x:t>
        </x:is>
      </x:c>
      <x:c r="H4" s="132" t="n">
        <x:f>IF(B4=0,0,E4/B4)</x:f>
        <x:v>0.84375</x:v>
      </x:c>
      <x:c r="J4" s="130" t="inlineStr">
        <x:is>
          <x:t xml:space="preserve">Package gate</x:t>
        </x:is>
      </x:c>
      <x:c r="K4" s="131" t="str">
        <x:f>IF(COUNTIFS(E9:E40,"package",M9:M40,0)&gt;0,"open","complete")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IF(COUNTIFS(I9:I40,"yes",M9:M40,0)&gt;0,"open","complete")</x:f>
        <x:v>open</x:v>
      </x:c>
      <x:c r="D5" s="130" t="inlineStr">
        <x:is>
          <x:t xml:space="preserve">Consumer gate</x:t>
        </x:is>
      </x:c>
      <x:c r="E5" s="131" t="str">
        <x:f>IF(COUNTIFS(E9:E40,"consumer",M9:M40,0)&gt;0,"open","complete")</x:f>
        <x:v>open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PTF-01</x:t>
        </x:is>
      </x:c>
      <x:c r="B9" s="149" t="inlineStr">
        <x:is>
          <x:t xml:space="preserve">Implementation</x:t>
        </x:is>
      </x:c>
      <x:c r="C9" s="149" t="inlineStr">
        <x:is>
          <x:t xml:space="preserve">Root</x:t>
        </x:is>
      </x:c>
      <x:c r="D9" s="150" t="inlineStr">
        <x:is>
          <x:t xml:space="preserve">Brick adapts the authorized digest-locked Atom 0.26.1 candidate without recreating visibility, selection, reset, submit, or validation behavior.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../src/components/password-toggle-field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inlineStr">
        <x:is>
          <x:t xml:space="preserve">2026-09-17</x:t>
        </x:is>
      </x:c>
      <x:c r="K9" s="150" t="n"/>
      <x:c r="L9" s="149" t="n"/>
      <x:c r="M9" s="149" t="n">
        <x:f>IF(OR(H9="tested",H9="verified",H9="not applicable"),1,0)</x:f>
        <x:v>1</x:v>
      </x:c>
    </x:row>
    <x:row r="10" s="127" customFormat="1" ht="54" customHeight="1">
      <x:c r="A10" s="149" t="inlineStr">
        <x:is>
          <x:t xml:space="preserve">PTF-02</x:t>
        </x:is>
      </x:c>
      <x:c r="B10" s="149" t="inlineStr">
        <x:is>
          <x:t xml:space="preserve">Anatomy and exports</x:t>
        </x:is>
      </x:c>
      <x:c r="C10" s="149" t="inlineStr">
        <x:is>
          <x:t xml:space="preserve">All parts</x:t>
        </x:is>
      </x:c>
      <x:c r="D10" s="150" t="inlineStr">
        <x:is>
          <x:t xml:space="preserve">Root, Input, Toggle, and Icon retain public namespace, named, subpath, native-ref, and type contracts.</x:t>
        </x:is>
      </x:c>
      <x:c r="E10" s="149" t="inlineStr">
        <x:is>
          <x:t xml:space="preserve">package</x:t>
        </x:is>
      </x:c>
      <x:c r="F10" s="149" t="inlineStr">
        <x:is>
          <x:t xml:space="preserve">unit/types</x:t>
        </x:is>
      </x:c>
      <x:c r="G10" s="150" t="inlineStr">
        <x:is>
          <x:t xml:space="preserve">../test/components/password-toggle-field/password-toggle-field.test.tsx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inlineStr">
        <x:is>
          <x:t xml:space="preserve">2026-09-17</x:t>
        </x:is>
      </x:c>
      <x:c r="K10" s="150" t="n"/>
      <x:c r="L10" s="149" t="n"/>
      <x:c r="M10" s="149" t="n">
        <x:f>IF(OR(H10="tested",H10="verified",H10="not applicable"),1,0)</x:f>
        <x:v>1</x:v>
      </x:c>
    </x:row>
    <x:row r="11" s="127" customFormat="1" ht="54" customHeight="1">
      <x:c r="A11" s="149" t="inlineStr">
        <x:is>
          <x:t xml:space="preserve">PTF-03</x:t>
        </x:is>
      </x:c>
      <x:c r="B11" s="149" t="inlineStr">
        <x:is>
          <x:t xml:space="preserve">Visibility</x:t>
        </x:is>
      </x:c>
      <x:c r="C11" s="149" t="inlineStr">
        <x:is>
          <x:t xml:space="preserve">Root</x:t>
        </x:is>
      </x:c>
      <x:c r="D11" s="150" t="inlineStr">
        <x:is>
          <x:t xml:space="preserve">Default, defaultVisible, controlled acceptance/rejection, one callback per activation, and independent fields retain Atom ownership.</x:t>
        </x:is>
      </x:c>
      <x:c r="E11" s="149" t="inlineStr">
        <x:is>
          <x:t xml:space="preserve">browser</x:t>
        </x:is>
      </x:c>
      <x:c r="F11" s="149" t="inlineStr">
        <x:is>
          <x:t xml:space="preserve">browser</x:t>
        </x:is>
      </x:c>
      <x:c r="G11" s="150" t="inlineStr">
        <x:is>
          <x:t xml:space="preserve">tests/components/password-toggle-field/behavior.spec.ts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inlineStr">
        <x:is>
          <x:t xml:space="preserve">2026-09-17</x:t>
        </x:is>
      </x:c>
      <x:c r="K11" s="150" t="n"/>
      <x:c r="L11" s="149" t="n"/>
      <x:c r="M11" s="149" t="n">
        <x:f>IF(OR(H11="tested",H11="verified",H11="not applicable"),1,0)</x:f>
        <x:v>1</x:v>
      </x:c>
    </x:row>
    <x:row r="12" s="127" customFormat="1" ht="54" customHeight="1">
      <x:c r="A12" s="149" t="inlineStr">
        <x:is>
          <x:t xml:space="preserve">PTF-04</x:t>
        </x:is>
      </x:c>
      <x:c r="B12" s="149" t="inlineStr">
        <x:is>
          <x:t xml:space="preserve">Activation</x:t>
        </x:is>
      </x:c>
      <x:c r="C12" s="149" t="inlineStr">
        <x:is>
          <x:t xml:space="preserve">Toggle</x:t>
        </x:is>
      </x:c>
      <x:c r="D12" s="150" t="inlineStr">
        <x:is>
          <x:t xml:space="preserve">Primary pointer, Enter, and Space toggle once; secondary pointer and disabled activation do not.</x:t>
        </x:is>
      </x:c>
      <x:c r="E12" s="149" t="inlineStr">
        <x:is>
          <x:t xml:space="preserve">browser</x:t>
        </x:is>
      </x:c>
      <x:c r="F12" s="149" t="inlineStr">
        <x:is>
          <x:t xml:space="preserve">browser</x:t>
        </x:is>
      </x:c>
      <x:c r="G12" s="150" t="inlineStr">
        <x:is>
          <x:t xml:space="preserve">tests/components/password-toggle-field/behavior.spec.ts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inlineStr">
        <x:is>
          <x:t xml:space="preserve">2026-09-17</x:t>
        </x:is>
      </x:c>
      <x:c r="K12" s="150" t="n"/>
      <x:c r="L12" s="149" t="n"/>
      <x:c r="M12" s="149" t="n">
        <x:f>IF(OR(H12="tested",H12="verified",H12="not applicable"),1,0)</x:f>
        <x:v>1</x:v>
      </x:c>
    </x:row>
    <x:row r="13" s="127" customFormat="1" ht="54" customHeight="1">
      <x:c r="A13" s="149" t="inlineStr">
        <x:is>
          <x:t xml:space="preserve">PTF-05</x:t>
        </x:is>
      </x:c>
      <x:c r="B13" s="149" t="inlineStr">
        <x:is>
          <x:t xml:space="preserve">Focus and selection</x:t>
        </x:is>
      </x:c>
      <x:c r="C13" s="149" t="inlineStr">
        <x:is>
          <x:t xml:space="preserve">Input/Toggle</x:t>
        </x:is>
      </x:c>
      <x:c r="D13" s="150" t="inlineStr">
        <x:is>
          <x:t xml:space="preserve">Pointer reveal keeps input focus, selected range, value, and geometry while keyboard focus reaches Toggle.</x:t>
        </x:is>
      </x:c>
      <x:c r="E13" s="149" t="inlineStr">
        <x:is>
          <x:t xml:space="preserve">browser</x:t>
        </x:is>
      </x:c>
      <x:c r="F13" s="149" t="inlineStr">
        <x:is>
          <x:t xml:space="preserve">browser</x:t>
        </x:is>
      </x:c>
      <x:c r="G13" s="150" t="inlineStr">
        <x:is>
          <x:t xml:space="preserve">tests/components/password-toggle-field/behavior.spec.ts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inlineStr">
        <x:is>
          <x:t xml:space="preserve">2026-09-17</x:t>
        </x:is>
      </x:c>
      <x:c r="K13" s="150" t="n"/>
      <x:c r="L13" s="149" t="n"/>
      <x:c r="M13" s="149" t="n">
        <x:f>IF(OR(H13="tested",H13="verified",H13="not applicable"),1,0)</x:f>
        <x:v>1</x:v>
      </x:c>
    </x:row>
    <x:row r="14" s="127" customFormat="1" ht="54" customHeight="1">
      <x:c r="A14" s="149" t="inlineStr">
        <x:is>
          <x:t xml:space="preserve">PTF-06</x:t>
        </x:is>
      </x:c>
      <x:c r="B14" s="149" t="inlineStr">
        <x:is>
          <x:t xml:space="preserve">Native value</x:t>
        </x:is>
      </x:c>
      <x:c r="C14" s="149" t="inlineStr">
        <x:is>
          <x:t xml:space="preserve">Input</x:t>
        </x:is>
      </x:c>
      <x:c r="D14" s="150" t="inlineStr">
        <x:is>
          <x:t xml:space="preserve">Controlled and uncontrolled values, native ref, paste, name, and autocomplete remain owned by the native input.</x:t>
        </x:is>
      </x:c>
      <x:c r="E14" s="149" t="inlineStr">
        <x:is>
          <x:t xml:space="preserve">package</x:t>
        </x:is>
      </x:c>
      <x:c r="F14" s="149" t="inlineStr">
        <x:is>
          <x:t xml:space="preserve">unit/browser</x:t>
        </x:is>
      </x:c>
      <x:c r="G14" s="150" t="inlineStr">
        <x:is>
          <x:t xml:space="preserve">../test/components/password-toggle-field/password-toggle-field.test.tsx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inlineStr">
        <x:is>
          <x:t xml:space="preserve">2026-09-17</x:t>
        </x:is>
      </x:c>
      <x:c r="K14" s="144" t="n"/>
      <x:c r="L14" s="149" t="n"/>
      <x:c r="M14" s="149" t="n">
        <x:f>IF(OR(H14="tested",H14="verified",H14="not applicable"),1,0)</x:f>
        <x:v>1</x:v>
      </x:c>
    </x:row>
    <x:row r="15" s="127" customFormat="1" ht="54" customHeight="1">
      <x:c r="A15" s="149" t="inlineStr">
        <x:is>
          <x:t xml:space="preserve">PTF-07</x:t>
        </x:is>
      </x:c>
      <x:c r="B15" s="149" t="inlineStr">
        <x:is>
          <x:t xml:space="preserve">Read-only</x:t>
        </x:is>
      </x:c>
      <x:c r="C15" s="149" t="inlineStr">
        <x:is>
          <x:t xml:space="preserve">Input/Toggle</x:t>
        </x:is>
      </x:c>
      <x:c r="D15" s="150" t="inlineStr">
        <x:is>
          <x:t xml:space="preserve">Read-only prevents editing while the visibility action remains usable and distinguishable from disabled.</x:t>
        </x:is>
      </x:c>
      <x:c r="E15" s="149" t="inlineStr">
        <x:is>
          <x:t xml:space="preserve">browser</x:t>
        </x:is>
      </x:c>
      <x:c r="F15" s="149" t="inlineStr">
        <x:is>
          <x:t xml:space="preserve">browser</x:t>
        </x:is>
      </x:c>
      <x:c r="G15" s="150" t="inlineStr">
        <x:is>
          <x:t xml:space="preserve">tests/components/password-toggle-field/behavior.spec.ts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inlineStr">
        <x:is>
          <x:t xml:space="preserve">2026-09-17</x:t>
        </x:is>
      </x:c>
      <x:c r="K15" s="150" t="n"/>
      <x:c r="L15" s="149" t="n"/>
      <x:c r="M15" s="149" t="n">
        <x:f>IF(OR(H15="tested",H15="verified",H15="not applicable"),1,0)</x:f>
        <x:v>1</x:v>
      </x:c>
    </x:row>
    <x:row r="16" s="127" customFormat="1" ht="54" customHeight="1">
      <x:c r="A16" s="149" t="inlineStr">
        <x:is>
          <x:t xml:space="preserve">PTF-08</x:t>
        </x:is>
      </x:c>
      <x:c r="B16" s="149" t="inlineStr">
        <x:is>
          <x:t xml:space="preserve">Native forms</x:t>
        </x:is>
      </x:c>
      <x:c r="C16" s="149" t="inlineStr">
        <x:is>
          <x:t xml:space="preserve">Root/Input</x:t>
        </x:is>
      </x:c>
      <x:c r="D16" s="150" t="inlineStr">
        <x:is>
          <x:t xml:space="preserve">Accepted reset restores uncontrolled default visibility and native value; validation and Field relationships remain correct.</x:t>
        </x:is>
      </x:c>
      <x:c r="E16" s="149" t="inlineStr">
        <x:is>
          <x:t xml:space="preserve">browser</x:t>
        </x:is>
      </x:c>
      <x:c r="F16" s="149" t="inlineStr">
        <x:is>
          <x:t xml:space="preserve">browser</x:t>
        </x:is>
      </x:c>
      <x:c r="G16" s="150" t="inlineStr">
        <x:is>
          <x:t xml:space="preserve">tests/components/password-toggle-field/behavior.spec.ts</x:t>
        </x:is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inlineStr">
        <x:is>
          <x:t xml:space="preserve">2026-09-17</x:t>
        </x:is>
      </x:c>
      <x:c r="K16" s="150" t="n"/>
      <x:c r="L16" s="149" t="n"/>
      <x:c r="M16" s="149" t="n">
        <x:f>IF(OR(H16="tested",H16="verified",H16="not applicable"),1,0)</x:f>
        <x:v>1</x:v>
      </x:c>
    </x:row>
    <x:row r="17" s="127" customFormat="1" ht="54" customHeight="1">
      <x:c r="A17" s="149" t="inlineStr">
        <x:is>
          <x:t xml:space="preserve">PTF-09</x:t>
        </x:is>
      </x:c>
      <x:c r="B17" s="149" t="inlineStr">
        <x:is>
          <x:t xml:space="preserve">External forms</x:t>
        </x:is>
      </x:c>
      <x:c r="C17" s="149" t="inlineStr">
        <x:is>
          <x:t xml:space="preserve">Root/Input</x:t>
        </x:is>
      </x:c>
      <x:c r="D17" s="150" t="inlineStr">
        <x:is>
          <x:t xml:space="preserve">External repeated prevented submissions restore committed visibility and prevented resets preserve value and visibility.</x:t>
        </x:is>
      </x:c>
      <x:c r="E17" s="149" t="inlineStr">
        <x:is>
          <x:t xml:space="preserve">browser</x:t>
        </x:is>
      </x:c>
      <x:c r="F17" s="149" t="inlineStr">
        <x:is>
          <x:t xml:space="preserve">browser</x:t>
        </x:is>
      </x:c>
      <x:c r="G17" s="150" t="inlineStr">
        <x:is>
          <x:t xml:space="preserve">tests/components/password-toggle-field/behavior.spec.ts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inlineStr">
        <x:is>
          <x:t xml:space="preserve">2026-09-17</x:t>
        </x:is>
      </x:c>
      <x:c r="K17" s="150" t="n"/>
      <x:c r="L17" s="149" t="n"/>
      <x:c r="M17" s="149" t="n">
        <x:f>IF(OR(H17="tested",H17="verified",H17="not applicable"),1,0)</x:f>
        <x:v>1</x:v>
      </x:c>
    </x:row>
    <x:row r="18" s="127" customFormat="1" ht="54" customHeight="1">
      <x:c r="A18" s="149" t="inlineStr">
        <x:is>
          <x:t xml:space="preserve">PTF-10</x:t>
        </x:is>
      </x:c>
      <x:c r="B18" s="149" t="inlineStr">
        <x:is>
          <x:t xml:space="preserve">Submit timing</x:t>
        </x:is>
      </x:c>
      <x:c r="C18" s="149" t="inlineStr">
        <x:is>
          <x:t xml:space="preserve">Input</x:t>
        </x:is>
      </x:c>
      <x:c r="D18" s="150" t="inlineStr">
        <x:is>
          <x:t xml:space="preserve">Submit handlers observe type=password; canceled submission subsequently restores the committed type, icon, and action label.</x:t>
        </x:is>
      </x:c>
      <x:c r="E18" s="149" t="inlineStr">
        <x:is>
          <x:t xml:space="preserve">browser</x:t>
        </x:is>
      </x:c>
      <x:c r="F18" s="149" t="inlineStr">
        <x:is>
          <x:t xml:space="preserve">browser</x:t>
        </x:is>
      </x:c>
      <x:c r="G18" s="150" t="inlineStr">
        <x:is>
          <x:t xml:space="preserve">tests/components/password-toggle-field/behavior.spec.ts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inlineStr">
        <x:is>
          <x:t xml:space="preserve">2026-09-17</x:t>
        </x:is>
      </x:c>
      <x:c r="K18" s="150" t="n"/>
      <x:c r="L18" s="149" t="n"/>
      <x:c r="M18" s="149" t="n">
        <x:f>IF(OR(H18="tested",H18="verified",H18="not applicable"),1,0)</x:f>
        <x:v>1</x:v>
      </x:c>
    </x:row>
    <x:row r="19" s="127" customFormat="1" ht="54" customHeight="1">
      <x:c r="A19" s="149" t="inlineStr">
        <x:is>
          <x:t xml:space="preserve">PTF-11</x:t>
        </x:is>
      </x:c>
      <x:c r="B19" s="149" t="inlineStr">
        <x:is>
          <x:t xml:space="preserve">Composition</x:t>
        </x:is>
      </x:c>
      <x:c r="C19" s="149" t="inlineStr">
        <x:is>
          <x:t xml:space="preserve">Input/Toggle/Icon</x:t>
        </x:is>
      </x:c>
      <x:c r="D19" s="150" t="inlineStr">
        <x:is>
          <x:t xml:space="preserve">asChild/render, merged handlers, refs, custom artwork, and exactly one input and action host remain supported.</x:t>
        </x:is>
      </x:c>
      <x:c r="E19" s="149" t="inlineStr">
        <x:is>
          <x:t xml:space="preserve">package</x:t>
        </x:is>
      </x:c>
      <x:c r="F19" s="149" t="inlineStr">
        <x:is>
          <x:t xml:space="preserve">unit/browser</x:t>
        </x:is>
      </x:c>
      <x:c r="G19" s="150" t="inlineStr">
        <x:is>
          <x:t xml:space="preserve">../test/components/password-toggle-field/password-toggle-field.test.tsx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inlineStr">
        <x:is>
          <x:t xml:space="preserve">2026-09-17</x:t>
        </x:is>
      </x:c>
      <x:c r="K19" s="150" t="n"/>
      <x:c r="L19" s="149" t="n"/>
      <x:c r="M19" s="149" t="n">
        <x:f>IF(OR(H19="tested",H19="verified",H19="not applicable"),1,0)</x:f>
        <x:v>1</x:v>
      </x:c>
    </x:row>
    <x:row r="20" s="127" customFormat="1" ht="54" customHeight="1">
      <x:c r="A20" s="149" t="inlineStr">
        <x:is>
          <x:t xml:space="preserve">PTF-12</x:t>
        </x:is>
      </x:c>
      <x:c r="B20" s="149" t="inlineStr">
        <x:is>
          <x:t xml:space="preserve">Focus paint</x:t>
        </x:is>
      </x:c>
      <x:c r="C20" s="149" t="inlineStr">
        <x:is>
          <x:t xml:space="preserve">Input/Toggle</x:t>
        </x:is>
      </x:c>
      <x:c r="D20" s="150" t="inlineStr">
        <x:is>
          <x:t xml:space="preserve">Input focus paints the field only; Toggle focus paints the action only; forced colors retain system outlines.</x:t>
        </x:is>
      </x:c>
      <x:c r="E20" s="149" t="inlineStr">
        <x:is>
          <x:t xml:space="preserve">browser</x:t>
        </x:is>
      </x:c>
      <x:c r="F20" s="149" t="inlineStr">
        <x:is>
          <x:t xml:space="preserve">browser</x:t>
        </x:is>
      </x:c>
      <x:c r="G20" s="150" t="inlineStr">
        <x:is>
          <x:t xml:space="preserve">tests/components/password-toggle-field/behavior.spec.ts</x:t>
        </x:is>
      </x:c>
      <x:c r="H20" s="149" t="inlineStr">
        <x:is>
          <x:t xml:space="preserve">tested</x:t>
        </x:is>
      </x:c>
      <x:c r="I20" s="149" t="inlineStr">
        <x:is>
          <x:t xml:space="preserve">no</x:t>
        </x:is>
      </x:c>
      <x:c r="J20" s="151" t="inlineStr">
        <x:is>
          <x:t xml:space="preserve">2026-09-17</x:t>
        </x:is>
      </x:c>
      <x:c r="K20" s="150" t="n"/>
      <x:c r="L20" s="149" t="n"/>
      <x:c r="M20" s="149" t="n">
        <x:f>IF(OR(H20="tested",H20="verified",H20="not applicable"),1,0)</x:f>
        <x:v>1</x:v>
      </x:c>
    </x:row>
    <x:row r="21" s="127" customFormat="1" ht="54" customHeight="1">
      <x:c r="A21" s="149" t="inlineStr">
        <x:is>
          <x:t xml:space="preserve">PTF-13</x:t>
        </x:is>
      </x:c>
      <x:c r="B21" s="149" t="inlineStr">
        <x:is>
          <x:t xml:space="preserve">Variants</x:t>
        </x:is>
      </x:c>
      <x:c r="C21" s="149" t="inlineStr">
        <x:is>
          <x:t xml:space="preserve">Root</x:t>
        </x:is>
      </x:c>
      <x:c r="D21" s="150" t="inlineStr">
        <x:is>
          <x:t xml:space="preserve">Outline, surface, soft, subtle, ghost, plain, and underline preserve their distinct field recipes.</x:t>
        </x:is>
      </x:c>
      <x:c r="E21" s="149" t="inlineStr">
        <x:is>
          <x:t xml:space="preserve">browser</x:t>
        </x:is>
      </x:c>
      <x:c r="F21" s="149" t="inlineStr">
        <x:is>
          <x:t xml:space="preserve">browser</x:t>
        </x:is>
      </x:c>
      <x:c r="G21" s="150" t="inlineStr">
        <x:is>
          <x:t xml:space="preserve">tests/components/password-toggle-field/behavior.spec.ts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inlineStr">
        <x:is>
          <x:t xml:space="preserve">2026-09-17</x:t>
        </x:is>
      </x:c>
      <x:c r="K21" s="150" t="n"/>
      <x:c r="L21" s="149" t="n"/>
      <x:c r="M21" s="149" t="n">
        <x:f>IF(OR(H21="tested",H21="verified",H21="not applicable"),1,0)</x:f>
        <x:v>1</x:v>
      </x:c>
    </x:row>
    <x:row r="22" s="127" customFormat="1" ht="54" customHeight="1">
      <x:c r="A22" s="149" t="inlineStr">
        <x:is>
          <x:t xml:space="preserve">PTF-14</x:t>
        </x:is>
      </x:c>
      <x:c r="B22" s="149" t="inlineStr">
        <x:is>
          <x:t xml:space="preserve">Sizes and shapes</x:t>
        </x:is>
      </x:c>
      <x:c r="C22" s="149" t="inlineStr">
        <x:is>
          <x:t xml:space="preserve">Root</x:t>
        </x:is>
      </x:c>
      <x:c r="D22" s="150" t="inlineStr">
        <x:is>
          <x:t xml:space="preserve">Seven sizes, three shapes, responsive inheritance, and underline radius restrictions type-check and remain contained.</x:t>
        </x:is>
      </x:c>
      <x:c r="E22" s="149" t="inlineStr">
        <x:is>
          <x:t xml:space="preserve">package</x:t>
        </x:is>
      </x:c>
      <x:c r="F22" s="149" t="inlineStr">
        <x:is>
          <x:t xml:space="preserve">types/browser</x:t>
        </x:is>
      </x:c>
      <x:c r="G22" s="150" t="inlineStr">
        <x:is>
          <x:t xml:space="preserve">../test/types/components/password-toggle-field.test.ts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inlineStr">
        <x:is>
          <x:t xml:space="preserve">2026-09-17</x:t>
        </x:is>
      </x:c>
      <x:c r="K22" s="150" t="n"/>
      <x:c r="L22" s="149" t="n"/>
      <x:c r="M22" s="149" t="n">
        <x:f>IF(OR(H22="tested",H22="verified",H22="not applicable"),1,0)</x:f>
        <x:v>1</x:v>
      </x:c>
    </x:row>
    <x:row r="23" s="127" customFormat="1" ht="54" customHeight="1">
      <x:c r="A23" s="149" t="inlineStr">
        <x:is>
          <x:t xml:space="preserve">PTF-15</x:t>
        </x:is>
      </x:c>
      <x:c r="B23" s="149" t="inlineStr">
        <x:is>
          <x:t xml:space="preserve">Action presentation</x:t>
        </x:is>
      </x:c>
      <x:c r="C23" s="149" t="inlineStr">
        <x:is>
          <x:t xml:space="preserve">Toggle</x:t>
        </x:is>
      </x:c>
      <x:c r="D23" s="150" t="inlineStr">
        <x:is>
          <x:t xml:space="preserve">The ghost-neutral inset reveal treatment is optically centered without shrinking the semantic hit area.</x:t>
        </x:is>
      </x:c>
      <x:c r="E23" s="149" t="inlineStr">
        <x:is>
          <x:t xml:space="preserve">browser</x:t>
        </x:is>
      </x:c>
      <x:c r="F23" s="149" t="inlineStr">
        <x:is>
          <x:t xml:space="preserve">browser</x:t>
        </x:is>
      </x:c>
      <x:c r="G23" s="150" t="inlineStr">
        <x:is>
          <x:t xml:space="preserve">tests/components/password-toggle-field/behavior.spec.ts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inlineStr">
        <x:is>
          <x:t xml:space="preserve">2026-09-17</x:t>
        </x:is>
      </x:c>
      <x:c r="K23" s="150" t="n"/>
      <x:c r="L23" s="149" t="n"/>
      <x:c r="M23" s="149" t="n">
        <x:f>IF(OR(H23="tested",H23="verified",H23="not applicable"),1,0)</x:f>
        <x:v>1</x:v>
      </x:c>
    </x:row>
    <x:row r="24" s="127" customFormat="1" ht="54" customHeight="1">
      <x:c r="A24" s="149" t="inlineStr">
        <x:is>
          <x:t xml:space="preserve">PTF-16</x:t>
        </x:is>
      </x:c>
      <x:c r="B24" s="149" t="inlineStr">
        <x:is>
          <x:t xml:space="preserve">Custom action</x:t>
        </x:is>
      </x:c>
      <x:c r="C24" s="149" t="inlineStr">
        <x:is>
          <x:t xml:space="preserve">Toggle/Icon</x:t>
        </x:is>
      </x:c>
      <x:c r="D24" s="150" t="inlineStr">
        <x:is>
          <x:t xml:space="preserve">Custom artwork and valid IconButton composition retain one semantic action host and stable geometry.</x:t>
        </x:is>
      </x:c>
      <x:c r="E24" s="149" t="inlineStr">
        <x:is>
          <x:t xml:space="preserve">browser</x:t>
        </x:is>
      </x:c>
      <x:c r="F24" s="149" t="inlineStr">
        <x:is>
          <x:t xml:space="preserve">browser</x:t>
        </x:is>
      </x:c>
      <x:c r="G24" s="150" t="inlineStr">
        <x:is>
          <x:t xml:space="preserve">tests/components/password-toggle-field/documentation.spec.ts</x:t>
        </x:is>
      </x:c>
      <x:c r="H24" s="149" t="inlineStr">
        <x:is>
          <x:t xml:space="preserve">tested</x:t>
        </x:is>
      </x:c>
      <x:c r="I24" s="149" t="inlineStr">
        <x:is>
          <x:t xml:space="preserve">no</x:t>
        </x:is>
      </x:c>
      <x:c r="J24" s="151" t="inlineStr">
        <x:is>
          <x:t xml:space="preserve">2026-09-17</x:t>
        </x:is>
      </x:c>
      <x:c r="K24" s="150" t="n"/>
      <x:c r="L24" s="149" t="n"/>
      <x:c r="M24" s="149" t="n">
        <x:f>IF(OR(H24="tested",H24="verified",H24="not applicable"),1,0)</x:f>
        <x:v>1</x:v>
      </x:c>
    </x:row>
    <x:row r="25" s="127" customFormat="1" ht="23.25" customHeight="1">
      <x:c r="A25" s="149" t="inlineStr">
        <x:is>
          <x:t xml:space="preserve">PTF-17</x:t>
        </x:is>
      </x:c>
      <x:c r="B25" s="149" t="inlineStr">
        <x:is>
          <x:t xml:space="preserve">Localization</x:t>
        </x:is>
      </x:c>
      <x:c r="C25" s="149" t="inlineStr">
        <x:is>
          <x:t xml:space="preserve">Root/Toggle</x:t>
        </x:is>
      </x:c>
      <x:c r="D25" s="150" t="inlineStr">
        <x:is>
          <x:t xml:space="preserve">LocaleProvider showPassword/hidePassword defaults work; explicit Root labels take precedence; English remains the fallback.</x:t>
        </x:is>
      </x:c>
      <x:c r="E25" s="149" t="inlineStr">
        <x:is>
          <x:t xml:space="preserve">package</x:t>
        </x:is>
      </x:c>
      <x:c r="F25" s="149" t="inlineStr">
        <x:is>
          <x:t xml:space="preserve">unit/docs</x:t>
        </x:is>
      </x:c>
      <x:c r="G25" s="150" t="inlineStr">
        <x:is>
          <x:t xml:space="preserve">../test/components/password-toggle-field/password-toggle-field.test.tsx</x:t>
        </x:is>
      </x:c>
      <x:c r="H25" s="149" t="inlineStr">
        <x:is>
          <x:t xml:space="preserve">tested</x:t>
        </x:is>
      </x:c>
      <x:c r="I25" s="149" t="inlineStr">
        <x:is>
          <x:t xml:space="preserve">no</x:t>
        </x:is>
      </x:c>
      <x:c r="J25" s="151" t="inlineStr">
        <x:is>
          <x:t xml:space="preserve">2026-09-17</x:t>
        </x:is>
      </x:c>
      <x:c r="K25" s="150" t="n"/>
      <x:c r="L25" s="149" t="n"/>
      <x:c r="M25" s="149" t="n">
        <x:f>IF(OR(H25="tested",H25="verified",H25="not applicable"),1,0)</x:f>
        <x:v>1</x:v>
      </x:c>
    </x:row>
    <x:row r="26" s="127" customFormat="1" ht="23.25" customHeight="1">
      <x:c r="A26" s="149" t="inlineStr">
        <x:is>
          <x:t xml:space="preserve">PTF-18</x:t>
        </x:is>
      </x:c>
      <x:c r="B26" s="149" t="inlineStr">
        <x:is>
          <x:t xml:space="preserve">Public playground</x:t>
        </x:is>
      </x:c>
      <x:c r="C26" s="149" t="inlineStr">
        <x:is>
          <x:t xml:space="preserve">PasswordToggleField</x:t>
        </x:is>
      </x:c>
      <x:c r="D26" s="150" t="inlineStr">
        <x:is>
          <x:t xml:space="preserve">Concise feature Preview/Code examples, multipart props headings, and matching TOC are distinct from qualification evidence.</x:t>
        </x:is>
      </x:c>
      <x:c r="E26" s="149" t="inlineStr">
        <x:is>
          <x:t xml:space="preserve">package</x:t>
        </x:is>
      </x:c>
      <x:c r="F26" s="149" t="inlineStr">
        <x:is>
          <x:t xml:space="preserve">docs/browser</x:t>
        </x:is>
      </x:c>
      <x:c r="G26" s="150" t="inlineStr">
        <x:is>
          <x:t xml:space="preserve">tests/components/password-toggle-field/documentation.spec.ts</x:t>
        </x:is>
      </x:c>
      <x:c r="H26" s="149" t="inlineStr">
        <x:is>
          <x:t xml:space="preserve">tested</x:t>
        </x:is>
      </x:c>
      <x:c r="I26" s="149" t="inlineStr">
        <x:is>
          <x:t xml:space="preserve">no</x:t>
        </x:is>
      </x:c>
      <x:c r="J26" s="151" t="inlineStr">
        <x:is>
          <x:t xml:space="preserve">2026-09-17</x:t>
        </x:is>
      </x:c>
      <x:c r="K26" s="150" t="n"/>
      <x:c r="L26" s="149" t="n"/>
      <x:c r="M26" s="149" t="n">
        <x:f>IF(OR(H26="tested",H26="verified",H26="not applicable"),1,0)</x:f>
        <x:v>1</x:v>
      </x:c>
    </x:row>
    <x:row r="27" s="127" customFormat="1" ht="23.25" customHeight="1">
      <x:c r="A27" s="149" t="inlineStr">
        <x:is>
          <x:t xml:space="preserve">PTF-19</x:t>
        </x:is>
      </x:c>
      <x:c r="B27" s="149" t="inlineStr">
        <x:is>
          <x:t xml:space="preserve">React Hook Form</x:t>
        </x:is>
      </x:c>
      <x:c r="C27" s="149" t="inlineStr">
        <x:is>
          <x:t xml:space="preserve">Input/Root</x:t>
        </x:is>
      </x:c>
      <x:c r="D27" s="150" t="inlineStr">
        <x:is>
          <x:t xml:space="preserve">Register and Controller examples preserve typing, reveal, reset, validation/error focus, submission, and controlled updates.</x:t>
        </x:is>
      </x:c>
      <x:c r="E27" s="149" t="inlineStr">
        <x:is>
          <x:t xml:space="preserve">browser</x:t>
        </x:is>
      </x:c>
      <x:c r="F27" s="149" t="inlineStr">
        <x:is>
          <x:t xml:space="preserve">integration</x:t>
        </x:is>
      </x:c>
      <x:c r="G27" s="150" t="inlineStr">
        <x:is>
          <x:t xml:space="preserve">tests/components/password-toggle-field/documentation.spec.ts</x:t>
        </x:is>
      </x:c>
      <x:c r="H27" s="149" t="inlineStr">
        <x:is>
          <x:t xml:space="preserve">tested</x:t>
        </x:is>
      </x:c>
      <x:c r="I27" s="149" t="inlineStr">
        <x:is>
          <x:t xml:space="preserve">no</x:t>
        </x:is>
      </x:c>
      <x:c r="J27" s="151" t="inlineStr">
        <x:is>
          <x:t xml:space="preserve">2026-09-17</x:t>
        </x:is>
      </x:c>
      <x:c r="K27" s="150" t="n"/>
      <x:c r="L27" s="149" t="n"/>
      <x:c r="M27" s="149" t="n">
        <x:f>IF(OR(H27="tested",H27="verified",H27="not applicable"),1,0)</x:f>
        <x:v>1</x:v>
      </x:c>
    </x:row>
    <x:row r="28" s="127" customFormat="1" ht="23.25" customHeight="1">
      <x:c r="A28" s="149" t="inlineStr">
        <x:is>
          <x:t xml:space="preserve">PTF-20</x:t>
        </x:is>
      </x:c>
      <x:c r="B28" s="149" t="inlineStr">
        <x:is>
          <x:t xml:space="preserve">Strength example</x:t>
        </x:is>
      </x:c>
      <x:c r="C28" s="149" t="inlineStr">
        <x:is>
          <x:t xml:space="preserve">Input</x:t>
        </x:is>
      </x:c>
      <x:c r="D28" s="150" t="inlineStr">
        <x:is>
          <x:t xml:space="preserve">Exactly pinned optional local scoring drives a labeled meter and decorative segments without becoming a runtime dependency.</x:t>
        </x:is>
      </x:c>
      <x:c r="E28" s="149" t="inlineStr">
        <x:is>
          <x:t xml:space="preserve">package</x:t>
        </x:is>
      </x:c>
      <x:c r="F28" s="149" t="inlineStr">
        <x:is>
          <x:t xml:space="preserve">integration</x:t>
        </x:is>
      </x:c>
      <x:c r="G28" s="150" t="inlineStr">
        <x:is>
          <x:t xml:space="preserve">tests/components/password-toggle-field/documentation.spec.ts</x:t>
        </x:is>
      </x:c>
      <x:c r="H28" s="149" t="inlineStr">
        <x:is>
          <x:t xml:space="preserve">tested</x:t>
        </x:is>
      </x:c>
      <x:c r="I28" s="149" t="inlineStr">
        <x:is>
          <x:t xml:space="preserve">no</x:t>
        </x:is>
      </x:c>
      <x:c r="J28" s="151" t="inlineStr">
        <x:is>
          <x:t xml:space="preserve">2026-09-17</x:t>
        </x:is>
      </x:c>
      <x:c r="K28" s="150" t="n"/>
      <x:c r="L28" s="149" t="n"/>
      <x:c r="M28" s="149" t="n">
        <x:f>IF(OR(H28="tested",H28="verified",H28="not applicable"),1,0)</x:f>
        <x:v>1</x:v>
      </x:c>
    </x:row>
    <x:row r="29" s="127" customFormat="1" ht="23.25" customHeight="1">
      <x:c r="A29" s="149" t="inlineStr">
        <x:is>
          <x:t xml:space="preserve">PTF-21</x:t>
        </x:is>
      </x:c>
      <x:c r="B29" s="149" t="inlineStr">
        <x:is>
          <x:t xml:space="preserve">Privacy</x:t>
        </x:is>
      </x:c>
      <x:c r="C29" s="149" t="inlineStr">
        <x:is>
          <x:t xml:space="preserve">Feedback</x:t>
        </x:is>
      </x:c>
      <x:c r="D29" s="150" t="inlineStr">
        <x:is>
          <x:t xml:space="preserve">Examples, tests, outputs, screenshots, URLs, analytics, and logs never expose or persist password values.</x:t>
        </x:is>
      </x:c>
      <x:c r="E29" s="149" t="inlineStr">
        <x:is>
          <x:t xml:space="preserve">package</x:t>
        </x:is>
      </x:c>
      <x:c r="F29" s="149" t="inlineStr">
        <x:is>
          <x:t xml:space="preserve">unit/browser</x:t>
        </x:is>
      </x:c>
      <x:c r="G29" s="150" t="inlineStr">
        <x:is>
          <x:t xml:space="preserve">tests/components/password-toggle-field/documentation.spec.ts</x:t>
        </x:is>
      </x:c>
      <x:c r="H29" s="149" t="inlineStr">
        <x:is>
          <x:t xml:space="preserve">tested</x:t>
        </x:is>
      </x:c>
      <x:c r="I29" s="149" t="inlineStr">
        <x:is>
          <x:t xml:space="preserve">no</x:t>
        </x:is>
      </x:c>
      <x:c r="J29" s="151" t="inlineStr">
        <x:is>
          <x:t xml:space="preserve">2026-09-17</x:t>
        </x:is>
      </x:c>
      <x:c r="K29" s="150" t="n"/>
      <x:c r="L29" s="149" t="n"/>
      <x:c r="M29" s="149" t="n">
        <x:f>IF(OR(H29="tested",H29="verified",H29="not applicable"),1,0)</x:f>
        <x:v>1</x:v>
      </x:c>
    </x:row>
    <x:row r="30" s="127" customFormat="1" ht="23.25" customHeight="1">
      <x:c r="A30" s="149" t="inlineStr">
        <x:is>
          <x:t xml:space="preserve">PTF-22</x:t>
        </x:is>
      </x:c>
      <x:c r="B30" s="149" t="inlineStr">
        <x:is>
          <x:t xml:space="preserve">Accessibility</x:t>
        </x:is>
      </x:c>
      <x:c r="C30" s="149" t="inlineStr">
        <x:is>
          <x:t xml:space="preserve">All parts</x:t>
        </x:is>
      </x:c>
      <x:c r="D30" s="150" t="inlineStr">
        <x:is>
          <x:t xml:space="preserve">Field naming, localized next-action names, keyboard order, decorative art, named meter, axe, and forced colors pass automation.</x:t>
        </x:is>
      </x:c>
      <x:c r="E30" s="149" t="inlineStr">
        <x:is>
          <x:t xml:space="preserve">browser</x:t>
        </x:is>
      </x:c>
      <x:c r="F30" s="149" t="inlineStr">
        <x:is>
          <x:t xml:space="preserve">axe/browser</x:t>
        </x:is>
      </x:c>
      <x:c r="G30" s="150" t="inlineStr">
        <x:is>
          <x:t xml:space="preserve">tests/components/password-toggle-field/behavior.spec.ts</x:t>
        </x:is>
      </x:c>
      <x:c r="H30" s="149" t="inlineStr">
        <x:is>
          <x:t xml:space="preserve">tested</x:t>
        </x:is>
      </x:c>
      <x:c r="I30" s="149" t="inlineStr">
        <x:is>
          <x:t xml:space="preserve">no</x:t>
        </x:is>
      </x:c>
      <x:c r="J30" s="151" t="inlineStr">
        <x:is>
          <x:t xml:space="preserve">2026-09-17</x:t>
        </x:is>
      </x:c>
      <x:c r="K30" s="150" t="n"/>
      <x:c r="L30" s="149" t="n"/>
      <x:c r="M30" s="149" t="n">
        <x:f>IF(OR(H30="tested",H30="verified",H30="not applicable"),1,0)</x:f>
        <x:v>1</x:v>
      </x:c>
    </x:row>
    <x:row r="31" s="135" customFormat="1" ht="15" customHeight="1">
      <x:c r="A31" s="138" t="inlineStr">
        <x:is>
          <x:t xml:space="preserve">PTF-23</x:t>
        </x:is>
      </x:c>
      <x:c r="B31" s="138" t="inlineStr">
        <x:is>
          <x:t xml:space="preserve">Responsive and RTL</x:t>
        </x:is>
      </x:c>
      <x:c r="C31" s="138" t="inlineStr">
        <x:is>
          <x:t xml:space="preserve">Root/Toggle</x:t>
        </x:is>
      </x:c>
      <x:c r="D31" s="138" t="inlineStr">
        <x:is>
          <x:t xml:space="preserve">Narrow layouts, long localization, responsive recipes, and logical RTL action placement remain contained.</x:t>
        </x:is>
      </x:c>
      <x:c r="E31" s="138" t="inlineStr">
        <x:is>
          <x:t xml:space="preserve">browser</x:t>
        </x:is>
      </x:c>
      <x:c r="F31" s="138" t="inlineStr">
        <x:is>
          <x:t xml:space="preserve">browser/visual</x:t>
        </x:is>
      </x:c>
      <x:c r="G31" s="138" t="inlineStr">
        <x:is>
          <x:t xml:space="preserve">tests/components/password-toggle-field/visual.spec.ts</x:t>
        </x:is>
      </x:c>
      <x:c r="H31" s="138" t="inlineStr">
        <x:is>
          <x:t xml:space="preserve">tested</x:t>
        </x:is>
      </x:c>
      <x:c r="I31" s="138" t="inlineStr">
        <x:is>
          <x:t xml:space="preserve">no</x:t>
        </x:is>
      </x:c>
      <x:c r="J31" s="138" t="inlineStr">
        <x:is>
          <x:t xml:space="preserve">2026-09-17</x:t>
        </x:is>
      </x:c>
      <x:c r="K31" s="138" t="n"/>
      <x:c r="L31" s="138" t="n"/>
      <x:c r="M31" s="138" t="n">
        <x:f>IF(OR(H31="tested",H31="verified",H31="not applicable"),1,0)</x:f>
        <x:v>1</x:v>
      </x:c>
    </x:row>
    <x:row r="32" s="135" customFormat="1" ht="15" customHeight="1">
      <x:c r="A32" s="138" t="inlineStr">
        <x:is>
          <x:t xml:space="preserve">PTF-24</x:t>
        </x:is>
      </x:c>
      <x:c r="B32" s="138" t="inlineStr">
        <x:is>
          <x:t xml:space="preserve">Consumer</x:t>
        </x:is>
      </x:c>
      <x:c r="C32" s="138" t="inlineStr">
        <x:is>
          <x:t xml:space="preserve">PasswordToggleField</x:t>
        </x:is>
      </x:c>
      <x:c r="D32" s="138" t="inlineStr">
        <x:is>
          <x:t xml:space="preserve">Consumer uses the public subpath in a current-password submit/reset flow whose feedback never contains the value.</x:t>
        </x:is>
      </x:c>
      <x:c r="E32" s="138" t="inlineStr">
        <x:is>
          <x:t xml:space="preserve">consumer</x:t>
        </x:is>
      </x:c>
      <x:c r="F32" s="138" t="inlineStr">
        <x:is>
          <x:t xml:space="preserve">consumer</x:t>
        </x:is>
      </x:c>
      <x:c r="G32" s="138" t="inlineStr">
        <x:is>
          <x:t xml:space="preserve">../apps/consumer/tests/consumer.spec.ts</x:t>
        </x:is>
      </x:c>
      <x:c r="H32" s="138" t="inlineStr">
        <x:is>
          <x:t xml:space="preserve">tested</x:t>
        </x:is>
      </x:c>
      <x:c r="I32" s="138" t="inlineStr">
        <x:is>
          <x:t xml:space="preserve">no</x:t>
        </x:is>
      </x:c>
      <x:c r="J32" s="138" t="inlineStr">
        <x:is>
          <x:t xml:space="preserve">2026-09-17</x:t>
        </x:is>
      </x:c>
      <x:c r="K32" s="138" t="n"/>
      <x:c r="L32" s="138" t="n"/>
      <x:c r="M32" s="138" t="n">
        <x:f>IF(OR(H32="tested",H32="verified",H32="not applicable"),1,0)</x:f>
        <x:v>1</x:v>
      </x:c>
    </x:row>
    <x:row r="33" s="135" customFormat="1" ht="15" customHeight="1">
      <x:c r="A33" s="138" t="inlineStr">
        <x:is>
          <x:t xml:space="preserve">PTF-25</x:t>
        </x:is>
      </x:c>
      <x:c r="B33" s="138" t="inlineStr">
        <x:is>
          <x:t xml:space="preserve">Documentation</x:t>
        </x:is>
      </x:c>
      <x:c r="C33" s="138" t="inlineStr">
        <x:is>
          <x:t xml:space="preserve">PasswordToggleField</x:t>
        </x:is>
      </x:c>
      <x:c r="D33" s="138" t="inlineStr">
        <x:is>
          <x:t xml:space="preserve">README, API, changelog, integration guidance, privacy limits, contract, evidence, and manual protocol agree.</x:t>
        </x:is>
      </x:c>
      <x:c r="E33" s="138" t="inlineStr">
        <x:is>
          <x:t xml:space="preserve">package</x:t>
        </x:is>
      </x:c>
      <x:c r="F33" s="138" t="inlineStr">
        <x:is>
          <x:t xml:space="preserve">docs</x:t>
        </x:is>
      </x:c>
      <x:c r="G33" s="138" t="inlineStr">
        <x:is>
          <x:t xml:space="preserve">../docs/components/password-toggle-field/README.md</x:t>
        </x:is>
      </x:c>
      <x:c r="H33" s="138" t="inlineStr">
        <x:is>
          <x:t xml:space="preserve">tested</x:t>
        </x:is>
      </x:c>
      <x:c r="I33" s="138" t="inlineStr">
        <x:is>
          <x:t xml:space="preserve">no</x:t>
        </x:is>
      </x:c>
      <x:c r="J33" s="138" t="inlineStr">
        <x:is>
          <x:t xml:space="preserve">2026-09-17</x:t>
        </x:is>
      </x:c>
      <x:c r="K33" s="138" t="n"/>
      <x:c r="L33" s="138" t="n"/>
      <x:c r="M33" s="138" t="n">
        <x:f>IF(OR(H33="tested",H33="verified",H33="not applicable"),1,0)</x:f>
        <x:v>1</x:v>
      </x:c>
    </x:row>
    <x:row r="34" s="135" customFormat="1" ht="15" customHeight="1">
      <x:c r="A34" s="138" t="inlineStr">
        <x:is>
          <x:t xml:space="preserve">PTF-26</x:t>
        </x:is>
      </x:c>
      <x:c r="B34" s="138" t="inlineStr">
        <x:is>
          <x:t xml:space="preserve">Agent Knowledge</x:t>
        </x:is>
      </x:c>
      <x:c r="C34" s="138" t="inlineStr">
        <x:is>
          <x:t xml:space="preserve">PasswordToggleField/LocaleProvider</x:t>
        </x:is>
      </x:c>
      <x:c r="D34" s="138" t="inlineStr">
        <x:is>
          <x:t xml:space="preserve">Exact-version guides teach prop ownership, recipes, focus, labels, autocomplete, forms, integrations, and privacy.</x:t>
        </x:is>
      </x:c>
      <x:c r="E34" s="138" t="inlineStr">
        <x:is>
          <x:t xml:space="preserve">package</x:t>
        </x:is>
      </x:c>
      <x:c r="F34" s="138" t="inlineStr">
        <x:is>
          <x:t xml:space="preserve">agents</x:t>
        </x:is>
      </x:c>
      <x:c r="G34" s="138" t="inlineStr">
        <x:is>
          <x:t xml:space="preserve">../src/components/password-toggle-field/agent.md</x:t>
        </x:is>
      </x:c>
      <x:c r="H34" s="138" t="inlineStr">
        <x:is>
          <x:t xml:space="preserve">tested</x:t>
        </x:is>
      </x:c>
      <x:c r="I34" s="138" t="inlineStr">
        <x:is>
          <x:t xml:space="preserve">no</x:t>
        </x:is>
      </x:c>
      <x:c r="J34" s="138" t="inlineStr">
        <x:is>
          <x:t xml:space="preserve">2026-09-17</x:t>
        </x:is>
      </x:c>
      <x:c r="K34" s="138" t="n"/>
      <x:c r="L34" s="138" t="n"/>
      <x:c r="M34" s="138" t="n">
        <x:f>IF(OR(H34="tested",H34="verified",H34="not applicable"),1,0)</x:f>
        <x:v>1</x:v>
      </x:c>
    </x:row>
    <x:row r="35" s="135" customFormat="1" ht="15" customHeight="1">
      <x:c r="A35" s="138" t="inlineStr">
        <x:is>
          <x:t xml:space="preserve">PTF-27</x:t>
        </x:is>
      </x:c>
      <x:c r="B35" s="138" t="inlineStr">
        <x:is>
          <x:t xml:space="preserve">Distribution</x:t>
        </x:is>
      </x:c>
      <x:c r="C35" s="138" t="inlineStr">
        <x:is>
          <x:t xml:space="preserve">PasswordToggleField</x:t>
        </x:is>
      </x:c>
      <x:c r="D35" s="138" t="inlineStr">
        <x:is>
          <x:t xml:space="preserve">Root/subpath declarations, modular CSS, SSR, optional-dependency boundaries, and packed consumers remain qualified.</x:t>
        </x:is>
      </x:c>
      <x:c r="E35" s="138" t="inlineStr">
        <x:is>
          <x:t xml:space="preserve">consumer</x:t>
        </x:is>
      </x:c>
      <x:c r="F35" s="138" t="inlineStr">
        <x:is>
          <x:t xml:space="preserve">package</x:t>
        </x:is>
      </x:c>
      <x:c r="G35" s="138" t="inlineStr">
        <x:is>
          <x:t xml:space="preserve">../scripts/verify-consumers.mjs</x:t>
        </x:is>
      </x:c>
      <x:c r="H35" s="138" t="inlineStr">
        <x:is>
          <x:t xml:space="preserve">blocked</x:t>
        </x:is>
      </x:c>
      <x:c r="I35" s="138" t="inlineStr">
        <x:is>
          <x:t xml:space="preserve">no</x:t>
        </x:is>
      </x:c>
      <x:c r="J35" s="138" t="n"/>
      <x:c r="K35" s="138" t="inlineStr">
        <x:is>
          <x:t xml:space="preserve">Brick pack succeeds, but clean React 18/19 consumers resolve registry Atom 0.26.1, which lacks current candidate subpaths; canonical candidate archive synchronization is required.</x:t>
        </x:is>
      </x:c>
      <x:c r="L35" s="138" t="n"/>
      <x:c r="M35" s="138" t="n">
        <x:f>IF(OR(H35="tested",H35="verified",H35="not applicable"),1,0)</x:f>
        <x:v>0</x:v>
      </x:c>
    </x:row>
    <x:row r="36" s="135" customFormat="1" ht="15" customHeight="1">
      <x:c r="A36" s="138" t="inlineStr">
        <x:is>
          <x:t xml:space="preserve">PTF-28</x:t>
        </x:is>
      </x:c>
      <x:c r="B36" s="138" t="inlineStr">
        <x:is>
          <x:t xml:space="preserve">Visual review</x:t>
        </x:is>
      </x:c>
      <x:c r="C36" s="138" t="inlineStr">
        <x:is>
          <x:t xml:space="preserve">All parts</x:t>
        </x:is>
      </x:c>
      <x:c r="D36" s="138" t="inlineStr">
        <x:is>
          <x:t xml:space="preserve">Reviewed Chromium baselines cover overview, input/action focus, variants, states, appearance, and mobile RTL stress.</x:t>
        </x:is>
      </x:c>
      <x:c r="E36" s="138" t="inlineStr">
        <x:is>
          <x:t xml:space="preserve">human</x:t>
        </x:is>
      </x:c>
      <x:c r="F36" s="138" t="inlineStr">
        <x:is>
          <x:t xml:space="preserve">visual</x:t>
        </x:is>
      </x:c>
      <x:c r="G36" s="138" t="inlineStr">
        <x:is>
          <x:t xml:space="preserve">tests/components/password-toggle-field/visual.spec.ts</x:t>
        </x:is>
      </x:c>
      <x:c r="H36" s="138" t="inlineStr">
        <x:is>
          <x:t xml:space="preserve">verified</x:t>
        </x:is>
      </x:c>
      <x:c r="I36" s="138" t="inlineStr">
        <x:is>
          <x:t xml:space="preserve">yes</x:t>
        </x:is>
      </x:c>
      <x:c r="J36" s="138" t="inlineStr">
        <x:is>
          <x:t xml:space="preserve">2026-09-17</x:t>
        </x:is>
      </x:c>
      <x:c r="K36" s="138" t="n"/>
      <x:c r="L36" s="138" t="n"/>
      <x:c r="M36" s="138" t="n">
        <x:f>IF(OR(H36="tested",H36="verified",H36="not applicable"),1,0)</x:f>
        <x:v>1</x:v>
      </x:c>
    </x:row>
    <x:row r="37" s="135" customFormat="1" ht="15" customHeight="1">
      <x:c r="A37" s="138" t="inlineStr">
        <x:is>
          <x:t xml:space="preserve">PTF-29</x:t>
        </x:is>
      </x:c>
      <x:c r="B37" s="138" t="inlineStr">
        <x:is>
          <x:t xml:space="preserve">Physical input</x:t>
        </x:is>
      </x:c>
      <x:c r="C37" s="138" t="inlineStr">
        <x:is>
          <x:t xml:space="preserve">Toggle</x:t>
        </x:is>
      </x:c>
      <x:c r="D37" s="138" t="inlineStr">
        <x:is>
          <x:t xml:space="preserve">Physical touch and pen activation, compatibility mouse behavior, and smallest target usability are recorded.</x:t>
        </x:is>
      </x:c>
      <x:c r="E37" s="138" t="inlineStr">
        <x:is>
          <x:t xml:space="preserve">human</x:t>
        </x:is>
      </x:c>
      <x:c r="F37" s="138" t="inlineStr">
        <x:is>
          <x:t xml:space="preserve">manual</x:t>
        </x:is>
      </x:c>
      <x:c r="G37" s="138" t="inlineStr">
        <x:is>
          <x:t xml:space="preserve">manual-tests/password-toggle-field.md</x:t>
        </x:is>
      </x:c>
      <x:c r="H37" s="138" t="inlineStr">
        <x:is>
          <x:t xml:space="preserve">implemented</x:t>
        </x:is>
      </x:c>
      <x:c r="I37" s="138" t="inlineStr">
        <x:is>
          <x:t xml:space="preserve">yes</x:t>
        </x:is>
      </x:c>
      <x:c r="J37" s="138" t="n"/>
      <x:c r="K37" s="138" t="inlineStr">
        <x:is>
          <x:t xml:space="preserve">Physical touch and pen checks have not been performed.</x:t>
        </x:is>
      </x:c>
      <x:c r="L37" s="138" t="n"/>
      <x:c r="M37" s="138" t="n">
        <x:f>IF(OR(H37="tested",H37="verified",H37="not applicable"),1,0)</x:f>
        <x:v>0</x:v>
      </x:c>
    </x:row>
    <x:row r="38" s="135" customFormat="1" ht="15" customHeight="1">
      <x:c r="A38" s="138" t="inlineStr">
        <x:is>
          <x:t xml:space="preserve">PTF-30</x:t>
        </x:is>
      </x:c>
      <x:c r="B38" s="138" t="inlineStr">
        <x:is>
          <x:t xml:space="preserve">Assistive/manual</x:t>
        </x:is>
      </x:c>
      <x:c r="C38" s="138" t="inlineStr">
        <x:is>
          <x:t xml:space="preserve">All parts</x:t>
        </x:is>
      </x:c>
      <x:c r="D38" s="138" t="inlineStr">
        <x:is>
          <x:t xml:space="preserve">Screen reader, actual 200%/400% zoom, and password-manager recognition are recorded without real credentials.</x:t>
        </x:is>
      </x:c>
      <x:c r="E38" s="138" t="inlineStr">
        <x:is>
          <x:t xml:space="preserve">human</x:t>
        </x:is>
      </x:c>
      <x:c r="F38" s="138" t="inlineStr">
        <x:is>
          <x:t xml:space="preserve">manual</x:t>
        </x:is>
      </x:c>
      <x:c r="G38" s="138" t="inlineStr">
        <x:is>
          <x:t xml:space="preserve">manual-tests/password-toggle-field.md</x:t>
        </x:is>
      </x:c>
      <x:c r="H38" s="138" t="inlineStr">
        <x:is>
          <x:t xml:space="preserve">implemented</x:t>
        </x:is>
      </x:c>
      <x:c r="I38" s="138" t="inlineStr">
        <x:is>
          <x:t xml:space="preserve">yes</x:t>
        </x:is>
      </x:c>
      <x:c r="J38" s="138" t="n"/>
      <x:c r="K38" s="138" t="inlineStr">
        <x:is>
          <x:t xml:space="preserve">Screen reader, actual zoom, and password-manager checks have not been performed.</x:t>
        </x:is>
      </x:c>
      <x:c r="L38" s="138" t="n"/>
      <x:c r="M38" s="138" t="n">
        <x:f>IF(OR(H38="tested",H38="verified",H38="not applicable"),1,0)</x:f>
        <x:v>0</x:v>
      </x:c>
    </x:row>
    <x:row r="39" s="135" customFormat="1" ht="15" customHeight="1">
      <x:c r="A39" s="138" t="inlineStr">
        <x:is>
          <x:t xml:space="preserve">PTF-31</x:t>
        </x:is>
      </x:c>
      <x:c r="B39" s="138" t="inlineStr">
        <x:is>
          <x:t xml:space="preserve">Candidate archive</x:t>
        </x:is>
      </x:c>
      <x:c r="C39" s="138" t="inlineStr">
        <x:is>
          <x:t xml:space="preserve">Atom dependency</x:t>
        </x:is>
      </x:c>
      <x:c r="D39" s="138" t="inlineStr">
        <x:is>
          <x:t xml:space="preserve">Final unpublished Atom 0.26.1 candidate identity and digest are recorded and the canonical archive route resolves.</x:t>
        </x:is>
      </x:c>
      <x:c r="E39" s="138" t="inlineStr">
        <x:is>
          <x:t xml:space="preserve">package</x:t>
        </x:is>
      </x:c>
      <x:c r="F39" s="138" t="inlineStr">
        <x:is>
          <x:t xml:space="preserve">package</x:t>
        </x:is>
      </x:c>
      <x:c r="G39" s="138" t="inlineStr">
        <x:is>
          <x:t xml:space="preserve">../../../../atom-ui/package</x:t>
        </x:is>
      </x:c>
      <x:c r="H39" s="138" t="inlineStr">
        <x:is>
          <x:t xml:space="preserve">blocked</x:t>
        </x:is>
      </x:c>
      <x:c r="I39" s="138" t="inlineStr">
        <x:is>
          <x:t xml:space="preserve">no</x:t>
        </x:is>
      </x:c>
      <x:c r="J39" s="138" t="n"/>
      <x:c r="K39" s="138" t="inlineStr">
        <x:is>
          <x:t xml:space="preserve">Candidate SHA-256 ade605b05ad484f63752fc0e0401815b0c740cf31150b6c5b81d7854973143e9 is qualified locally; canonical Agent Tools archive synchronization remains unresolved.</x:t>
        </x:is>
      </x:c>
      <x:c r="L39" s="138" t="n"/>
      <x:c r="M39" s="138" t="n">
        <x:f>IF(OR(H39="tested",H39="verified",H39="not applicable"),1,0)</x:f>
        <x:v>0</x:v>
      </x:c>
    </x:row>
    <x:row r="40" s="135" customFormat="1" ht="15" customHeight="1">
      <x:c r="A40" s="138" t="inlineStr">
        <x:is>
          <x:t xml:space="preserve">PTF-32</x:t>
        </x:is>
      </x:c>
      <x:c r="B40" s="138" t="inlineStr">
        <x:is>
          <x:t xml:space="preserve">Manual protocol</x:t>
        </x:is>
      </x:c>
      <x:c r="C40" s="138" t="inlineStr">
        <x:is>
          <x:t xml:space="preserve">All parts</x:t>
        </x:is>
      </x:c>
      <x:c r="D40" s="138" t="inlineStr">
        <x:is>
          <x:t xml:space="preserve">Numbered protocol covers desktop, forms, appearance, forced colors, zoom, screen reader, physical input, password manager, paste, and privacy.</x:t>
        </x:is>
      </x:c>
      <x:c r="E40" s="138" t="inlineStr">
        <x:is>
          <x:t xml:space="preserve">human</x:t>
        </x:is>
      </x:c>
      <x:c r="F40" s="138" t="inlineStr">
        <x:is>
          <x:t xml:space="preserve">manual</x:t>
        </x:is>
      </x:c>
      <x:c r="G40" s="138" t="inlineStr">
        <x:is>
          <x:t xml:space="preserve">manual-tests/password-toggle-field.md</x:t>
        </x:is>
      </x:c>
      <x:c r="H40" s="138" t="inlineStr">
        <x:is>
          <x:t xml:space="preserve">implemented</x:t>
        </x:is>
      </x:c>
      <x:c r="I40" s="138" t="inlineStr">
        <x:is>
          <x:t xml:space="preserve">yes</x:t>
        </x:is>
      </x:c>
      <x:c r="J40" s="138" t="n"/>
      <x:c r="K40" s="138" t="inlineStr">
        <x:is>
          <x:t xml:space="preserve">Protocol is updated; all manual execution results remain pending.</x:t>
        </x:is>
      </x:c>
      <x:c r="L40" s="138" t="n"/>
      <x:c r="M40" s="138" t="n">
        <x:f>IF(OR(H40="tested",H40="verified",H40="not applicable"),1,0)</x:f>
        <x:v>0</x:v>
      </x:c>
    </x:row>
  </x:sheetData>
  <x:mergeCells>
    <x:mergeCell ref="A2:M2"/>
    <x:mergeCell ref="A1:M1"/>
  </x:mergeCells>
  <x:pageMargins left="0.7" right="0.7" top="0.75" bottom="0.75" header="0.3" footer="0.3"/>
</x:worksheet>
</file>

<file path=xl/worksheets/sheet71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Slider Evidence</x:t>
        </x:is>
      </x:c>
    </x:row>
    <x:row r="2" s="127" customFormat="1" ht="27.75" customHeight="1">
      <x:c r="A2" s="129" t="inlineStr">
        <x:is>
          <x:t xml:space="preserve">Assertion-level Atom-backed package, browser, mobile, inspected visual, documentation, Consumer, form, range, collision, geometry, and direction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COUNTA(A9:A24)</x:f>
        <x:v>16</x:v>
      </x:c>
      <x:c r="D4" s="130" t="inlineStr">
        <x:is>
          <x:t xml:space="preserve">Resolved</x:t>
        </x:is>
      </x:c>
      <x:c r="E4" s="131" t="n">
        <x:f>SUM(M9:M24)</x:f>
        <x:v>14</x:v>
      </x:c>
      <x:c r="G4" s="130" t="inlineStr">
        <x:is>
          <x:t xml:space="preserve">Completion</x:t>
        </x:is>
      </x:c>
      <x:c r="H4" s="132" t="n">
        <x:f>IF(B4=0,0,E4/B4)</x:f>
        <x:v>0.875</x:v>
      </x:c>
      <x:c r="J4" s="130" t="inlineStr">
        <x:is>
          <x:t xml:space="preserve">Package gate</x:t>
        </x:is>
      </x:c>
      <x:c r="K4" s="131" t="str">
        <x:f>IF(COUNTIFS(E9:E24,"package",M9:M24,0)&gt;0,"open","complete")</x:f>
        <x:v>complete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IF(COUNTIFS(I9:I24,"yes",M9:M24,0)&gt;0,"open","complete")</x:f>
        <x:v>open</x:v>
      </x:c>
      <x:c r="D5" s="130" t="inlineStr">
        <x:is>
          <x:t xml:space="preserve">Consumer gate</x:t>
        </x:is>
      </x:c>
      <x:c r="E5" s="131" t="str">
        <x:f>IF(COUNTIFS(E9:E24,"consumer",M9:M24,0)&gt;0,"open","complete")</x:f>
        <x:v>open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SL-01</x:t>
        </x:is>
      </x:c>
      <x:c r="B9" s="149" t="inlineStr">
        <x:is>
          <x:t xml:space="preserve">Implementation</x:t>
        </x:is>
      </x:c>
      <x:c r="C9" s="149" t="inlineStr">
        <x:is>
          <x:t xml:space="preserve">Root/controller/parts</x:t>
        </x:is>
      </x:c>
      <x:c r="D9" s="150" t="inlineStr">
        <x:is>
          <x:t xml:space="preserve">Brick delegates behavior to Atom 0.26.1 candidate 028441204789a8c3af585dcaa673fee3b1b82171d4b76b7d6bda42a0e44bad1b.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../src/components/slider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inlineStr">
        <x:is>
          <x:t xml:space="preserve">2026-09-17: pass</x:t>
        </x:is>
      </x:c>
      <x:c r="K9" s="150" t="n"/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SL-02</x:t>
        </x:is>
      </x:c>
      <x:c r="B10" s="149" t="inlineStr">
        <x:is>
          <x:t xml:space="preserve">Anatomy</x:t>
        </x:is>
      </x:c>
      <x:c r="C10" s="149" t="inlineStr">
        <x:is>
          <x:t xml:space="preserve">All parts</x:t>
        </x:is>
      </x:c>
      <x:c r="D10" s="150" t="inlineStr">
        <x:is>
          <x:t xml:space="preserve">Root, Control, Label, ValueText, Track, Range, Thumb, ValueLabel, MarkerGroup, Marker, MarkerIndicator, MarkerLabel, DraggingIndicator, HiddenInput, and Context are exported and independently composable.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../test/components/slider/slider.test.tsx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inlineStr">
        <x:is>
          <x:t xml:space="preserve">Focused component suite passes with legacy Root &gt; Track usage retained.</x:t>
        </x:is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SL-03</x:t>
        </x:is>
      </x:c>
      <x:c r="B11" s="149" t="inlineStr">
        <x:is>
          <x:t xml:space="preserve">Exports</x:t>
        </x:is>
      </x:c>
      <x:c r="C11" s="149" t="inlineStr">
        <x:is>
          <x:t xml:space="preserve">Slider</x:t>
        </x:is>
      </x:c>
      <x:c r="D11" s="150" t="inlineStr">
        <x:is>
          <x:t xml:space="preserve">Root and slider subpath exports expose namespace, named parts, controller hooks, context, and public types.</x:t>
        </x:is>
      </x:c>
      <x:c r="E11" s="149" t="inlineStr">
        <x:is>
          <x:t xml:space="preserve">package</x:t>
        </x:is>
      </x:c>
      <x:c r="F11" s="149" t="inlineStr">
        <x:is>
          <x:t xml:space="preserve">package</x:t>
        </x:is>
      </x:c>
      <x:c r="G11" s="150" t="inlineStr">
        <x:is>
          <x:t xml:space="preserve">../package.json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inlineStr">
        <x:is>
          <x:t xml:space="preserve">Build, export assertions, and focused typecheck pass.</x:t>
        </x:is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SL-04</x:t>
        </x:is>
      </x:c>
      <x:c r="B12" s="149" t="inlineStr">
        <x:is>
          <x:t xml:space="preserve">Types</x:t>
        </x:is>
      </x:c>
      <x:c r="C12" s="149" t="inlineStr">
        <x:is>
          <x:t xml:space="preserve">Root/controller/parts</x:t>
        </x:is>
      </x:c>
      <x:c r="D12" s="150" t="inlineStr">
        <x:is>
          <x:t xml:space="preserve">Responsive size/variant props, neutral/accent/contrast tones, frames, collision modes, origins, thumb alignment, refs, native props, and render details type-check.</x:t>
        </x:is>
      </x:c>
      <x:c r="E12" s="149" t="inlineStr">
        <x:is>
          <x:t xml:space="preserve">package</x:t>
        </x:is>
      </x:c>
      <x:c r="F12" s="149" t="inlineStr">
        <x:is>
          <x:t xml:space="preserve">types</x:t>
        </x:is>
      </x:c>
      <x:c r="G12" s="150" t="inlineStr">
        <x:is>
          <x:t xml:space="preserve">../test/types/components/slider.test.ts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inlineStr">
        <x:is>
          <x:t xml:space="preserve">Focused typecheck passes.</x:t>
        </x:is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SL-05</x:t>
        </x:is>
      </x:c>
      <x:c r="B13" s="149" t="inlineStr">
        <x:is>
          <x:t xml:space="preserve">CSS</x:t>
        </x:is>
      </x:c>
      <x:c r="C13" s="149" t="inlineStr">
        <x:is>
          <x:t xml:space="preserve">All parts</x:t>
        </x:is>
      </x:c>
      <x:c r="D13" s="150" t="inlineStr">
        <x:is>
          <x:t xml:space="preserve">Layered CSS preserves visible thumb geometry, expanded 44px targets, logical positioning, responsive recipes and shared focus tokens.</x:t>
        </x:is>
      </x:c>
      <x:c r="E13" s="149" t="inlineStr">
        <x:is>
          <x:t xml:space="preserve">package</x:t>
        </x:is>
      </x:c>
      <x:c r="F13" s="149" t="inlineStr">
        <x:is>
          <x:t xml:space="preserve">css</x:t>
        </x:is>
      </x:c>
      <x:c r="G13" s="150" t="inlineStr">
        <x:is>
          <x:t xml:space="preserve">../src/components/slider/slider.css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inlineStr">
        <x:is>
          <x:t xml:space="preserve">2026-09-17: pass</x:t>
        </x:is>
      </x:c>
      <x:c r="K13" s="150" t="n"/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SL-06</x:t>
        </x:is>
      </x:c>
      <x:c r="B14" s="149" t="inlineStr">
        <x:is>
          <x:t xml:space="preserve">Geometry</x:t>
        </x:is>
      </x:c>
      <x:c r="C14" s="149" t="inlineStr">
        <x:is>
          <x:t xml:space="preserve">Control/Track/Range/Thumb</x:t>
        </x:is>
      </x:c>
      <x:c r="D14" s="150" t="inlineStr">
        <x:is>
          <x:t xml:space="preserve">Actual click, drag, endpoint, contain/center alignment, origin, vertical, and RTL geometry update values from rendered coordinates.</x:t>
        </x:is>
      </x:c>
      <x:c r="E14" s="149" t="inlineStr">
        <x:is>
          <x:t xml:space="preserve">browser</x:t>
        </x:is>
      </x:c>
      <x:c r="F14" s="149" t="inlineStr">
        <x:is>
          <x:t xml:space="preserve">browser</x:t>
        </x:is>
      </x:c>
      <x:c r="G14" s="150" t="inlineStr">
        <x:is>
          <x:t xml:space="preserve">tests/components/slider/behavior.spec.ts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inlineStr">
        <x:is>
          <x:t xml:space="preserve">2026-09-17: pass</x:t>
        </x:is>
      </x:c>
      <x:c r="K14" s="150" t="n"/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SL-07</x:t>
        </x:is>
      </x:c>
      <x:c r="B15" s="149" t="inlineStr">
        <x:is>
          <x:t xml:space="preserve">Input</x:t>
        </x:is>
      </x:c>
      <x:c r="C15" s="149" t="inlineStr">
        <x:is>
          <x:t xml:space="preserve">Thumb</x:t>
        </x:is>
      </x:c>
      <x:c r="D15" s="150" t="inlineStr">
        <x:is>
          <x:t xml:space="preserve">Keyboard, Shift steps, pointer capture, mouse drag, native touch drag, touch cancellation, capture loss, vertical, and direction-aware RTL input remain stable.</x:t>
        </x:is>
      </x:c>
      <x:c r="E15" s="149" t="inlineStr">
        <x:is>
          <x:t xml:space="preserve">browser</x:t>
        </x:is>
      </x:c>
      <x:c r="F15" s="149" t="inlineStr">
        <x:is>
          <x:t xml:space="preserve">browser</x:t>
        </x:is>
      </x:c>
      <x:c r="G15" s="150" t="inlineStr">
        <x:is>
          <x:t xml:space="preserve">tests/components/slider/behavior.spec.ts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inlineStr">
        <x:is>
          <x:t xml:space="preserve">2026-09-17: pass</x:t>
        </x:is>
      </x:c>
      <x:c r="K15" s="150" t="n"/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SL-08</x:t>
        </x:is>
      </x:c>
      <x:c r="B16" s="149" t="inlineStr">
        <x:is>
          <x:t xml:space="preserve">Field/forms</x:t>
        </x:is>
      </x:c>
      <x:c r="C16" s="149" t="inlineStr">
        <x:is>
          <x:t xml:space="preserve">Root/HiddenInput</x:t>
        </x:is>
      </x:c>
      <x:c r="D16" s="150" t="inlineStr">
        <x:is>
          <x:t xml:space="preserve">Automatic, explicit, and external form ownership expose named scalar/range values and support submit, reset, validation, and cancellation.</x:t>
        </x:is>
      </x:c>
      <x:c r="E16" s="149" t="inlineStr">
        <x:is>
          <x:t xml:space="preserve">browser</x:t>
        </x:is>
      </x:c>
      <x:c r="F16" s="149" t="inlineStr">
        <x:is>
          <x:t xml:space="preserve">browser</x:t>
        </x:is>
      </x:c>
      <x:c r="G16" s="150" t="inlineStr">
        <x:is>
          <x:t xml:space="preserve">tests/components/slider/behavior.spec.ts</x:t>
        </x:is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inlineStr">
        <x:is>
          <x:t xml:space="preserve">2026-09-17: pass</x:t>
        </x:is>
      </x:c>
      <x:c r="K16" s="150" t="n"/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SL-09</x:t>
        </x:is>
      </x:c>
      <x:c r="B17" s="149" t="inlineStr">
        <x:is>
          <x:t xml:space="preserve">Collision</x:t>
        </x:is>
      </x:c>
      <x:c r="C17" s="149" t="inlineStr">
        <x:is>
          <x:t xml:space="preserve">Root/Thumb</x:t>
        </x:is>
      </x:c>
      <x:c r="D17" s="150" t="inlineStr">
        <x:is>
          <x:t xml:space="preserve">none, push, and swap modes preserve ordering rules, minimum steps, active-thumb identity, focus, and accessible names.</x:t>
        </x:is>
      </x:c>
      <x:c r="E17" s="149" t="inlineStr">
        <x:is>
          <x:t xml:space="preserve">browser</x:t>
        </x:is>
      </x:c>
      <x:c r="F17" s="149" t="inlineStr">
        <x:is>
          <x:t xml:space="preserve">browser</x:t>
        </x:is>
      </x:c>
      <x:c r="G17" s="150" t="inlineStr">
        <x:is>
          <x:t xml:space="preserve">tests/components/slider/behavior.spec.ts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inlineStr">
        <x:is>
          <x:t xml:space="preserve">Pointer and keyboard collision/focus assertions pass.</x:t>
        </x:is>
      </x:c>
      <x:c r="K17" s="150" t="n"/>
      <x:c r="L17" s="149" t="n">
        <x:v>1</x:v>
      </x:c>
      <x:c r="M17" s="149" t="n">
        <x:f>IF(OR(AND(I17="yes",H17="verified"),AND(I17="no",OR(H17="tested",H17="verified")),AND(H17="not applicable",K17&lt;&gt;"")),1,0)</x:f>
        <x:v>1</x:v>
      </x:c>
    </x:row>
    <x:row r="18" s="127" customFormat="1" ht="54" customHeight="1">
      <x:c r="A18" s="149" t="inlineStr">
        <x:is>
          <x:t xml:space="preserve">SL-10</x:t>
        </x:is>
      </x:c>
      <x:c r="B18" s="149" t="inlineStr">
        <x:is>
          <x:t xml:space="preserve">Content</x:t>
        </x:is>
      </x:c>
      <x:c r="C18" s="149" t="inlineStr">
        <x:is>
          <x:t xml:space="preserve">Markers/labels/indicators</x:t>
        </x:is>
      </x:c>
      <x:c r="D18" s="150" t="inlineStr">
        <x:is>
          <x:t xml:space="preserve">Marker anatomy, formatted value text, value labels, dragging indicators, and controller/context composition render authored details without duplicating accessible names.</x:t>
        </x:is>
      </x:c>
      <x:c r="E18" s="149" t="inlineStr">
        <x:is>
          <x:t xml:space="preserve">package</x:t>
        </x:is>
      </x:c>
      <x:c r="F18" s="149" t="inlineStr">
        <x:is>
          <x:t xml:space="preserve">component</x:t>
        </x:is>
      </x:c>
      <x:c r="G18" s="150" t="inlineStr">
        <x:is>
          <x:t xml:space="preserve">../test/components/slider/slider.test.tsx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inlineStr">
        <x:is>
          <x:t xml:space="preserve">Focused component and browser semantic assertions pass.</x:t>
        </x:is>
      </x:c>
      <x:c r="K18" s="150" t="n"/>
      <x:c r="L18" s="149" t="n">
        <x:v>1</x:v>
      </x:c>
      <x:c r="M18" s="149" t="n">
        <x:f>IF(OR(AND(I18="yes",H18="verified"),AND(I18="no",OR(H18="tested",H18="verified")),AND(H18="not applicable",K18&lt;&gt;"")),1,0)</x:f>
        <x:v>1</x:v>
      </x:c>
    </x:row>
    <x:row r="19" s="127" customFormat="1" ht="54" customHeight="1">
      <x:c r="A19" s="149" t="inlineStr">
        <x:is>
          <x:t xml:space="preserve">SL-11</x:t>
        </x:is>
      </x:c>
      <x:c r="B19" s="149" t="inlineStr">
        <x:is>
          <x:t xml:space="preserve">Appearance</x:t>
        </x:is>
      </x:c>
      <x:c r="C19" s="149" t="inlineStr">
        <x:is>
          <x:t xml:space="preserve">All parts</x:t>
        </x:is>
      </x:c>
      <x:c r="D19" s="150" t="inlineStr">
        <x:is>
          <x:t xml:space="preserve">Light/dark recipes, neutral/accent/contrast tones, invalid, disabled, read-only, required, focus, and active dragging paint remain distinct.</x:t>
        </x:is>
      </x:c>
      <x:c r="E19" s="149" t="inlineStr">
        <x:is>
          <x:t xml:space="preserve">human</x:t>
        </x:is>
      </x:c>
      <x:c r="F19" s="149" t="inlineStr">
        <x:is>
          <x:t xml:space="preserve">visual</x:t>
        </x:is>
      </x:c>
      <x:c r="G19" s="150" t="inlineStr">
        <x:is>
          <x:t xml:space="preserve">tests/components/slider/visual.spec.ts</x:t>
        </x:is>
      </x:c>
      <x:c r="H19" s="149" t="inlineStr">
        <x:is>
          <x:t xml:space="preserve">verified</x:t>
        </x:is>
      </x:c>
      <x:c r="I19" s="149" t="inlineStr">
        <x:is>
          <x:t xml:space="preserve">yes</x:t>
        </x:is>
      </x:c>
      <x:c r="J19" s="151" t="inlineStr">
        <x:is>
          <x:t xml:space="preserve">2026-09-17: pass</x:t>
        </x:is>
      </x:c>
      <x:c r="K19" s="150" t="n"/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SL-12</x:t>
        </x:is>
      </x:c>
      <x:c r="B20" s="149" t="inlineStr">
        <x:is>
          <x:t xml:space="preserve">Responsive</x:t>
        </x:is>
      </x:c>
      <x:c r="C20" s="149" t="inlineStr">
        <x:is>
          <x:t xml:space="preserve">Root/Control</x:t>
        </x:is>
      </x:c>
      <x:c r="D20" s="150" t="inlineStr">
        <x:is>
          <x:t xml:space="preserve">Narrow, long-label, vertical, RTL, mobile, responsive recipe, reduced-motion, and forced-color layouts remain contained.</x:t>
        </x:is>
      </x:c>
      <x:c r="E20" s="149" t="inlineStr">
        <x:is>
          <x:t xml:space="preserve">human</x:t>
        </x:is>
      </x:c>
      <x:c r="F20" s="149" t="inlineStr">
        <x:is>
          <x:t xml:space="preserve">visual</x:t>
        </x:is>
      </x:c>
      <x:c r="G20" s="150" t="inlineStr">
        <x:is>
          <x:t xml:space="preserve">tests/components/slider/visual.spec.ts</x:t>
        </x:is>
      </x:c>
      <x:c r="H20" s="149" t="inlineStr">
        <x:is>
          <x:t xml:space="preserve">verified</x:t>
        </x:is>
      </x:c>
      <x:c r="I20" s="149" t="inlineStr">
        <x:is>
          <x:t xml:space="preserve">yes</x:t>
        </x:is>
      </x:c>
      <x:c r="J20" s="151" t="inlineStr">
        <x:is>
          <x:t xml:space="preserve">2026-09-17: pass</x:t>
        </x:is>
      </x:c>
      <x:c r="K20" s="150" t="n"/>
      <x:c r="L20" s="149" t="n">
        <x:v>1</x:v>
      </x:c>
      <x:c r="M20" s="149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49" t="inlineStr">
        <x:is>
          <x:t xml:space="preserve">SL-13</x:t>
        </x:is>
      </x:c>
      <x:c r="B21" s="149" t="inlineStr">
        <x:is>
          <x:t xml:space="preserve">Accessibility</x:t>
        </x:is>
      </x:c>
      <x:c r="C21" s="149" t="inlineStr">
        <x:is>
          <x:t xml:space="preserve">Thumb/labels</x:t>
        </x:is>
      </x:c>
      <x:c r="D21" s="150" t="inlineStr">
        <x:is>
          <x:t xml:space="preserve">Axe passes; every thumb exposes one accessible slider name with current value, dependent bounds, orientation, inherited state, and stable focus.</x:t>
        </x:is>
      </x:c>
      <x:c r="E21" s="149" t="inlineStr">
        <x:is>
          <x:t xml:space="preserve">browser</x:t>
        </x:is>
      </x:c>
      <x:c r="F21" s="149" t="inlineStr">
        <x:is>
          <x:t xml:space="preserve">axe</x:t>
        </x:is>
      </x:c>
      <x:c r="G21" s="150" t="inlineStr">
        <x:is>
          <x:t xml:space="preserve">tests/components/slider/behavior.spec.ts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inlineStr">
        <x:is>
          <x:t xml:space="preserve">Axe, accessible-name, bounds, state, collision-focus, and keyboard assertions pass.</x:t>
        </x:is>
      </x:c>
      <x:c r="K21" s="150" t="n"/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SL-14</x:t>
        </x:is>
      </x:c>
      <x:c r="B22" s="149" t="inlineStr">
        <x:is>
          <x:t xml:space="preserve">Manual</x:t>
        </x:is>
      </x:c>
      <x:c r="C22" s="149" t="inlineStr">
        <x:is>
          <x:t xml:space="preserve">Slider</x:t>
        </x:is>
      </x:c>
      <x:c r="D22" s="150" t="inlineStr">
        <x:is>
          <x:t xml:space="preserve">Numbered 01-08 review protocol covers physical mouse/pen/touch, keyboard, forms, assistive technology, zoom/preferences, and stress.</x:t>
        </x:is>
      </x:c>
      <x:c r="E22" s="149" t="inlineStr">
        <x:is>
          <x:t xml:space="preserve">human</x:t>
        </x:is>
      </x:c>
      <x:c r="F22" s="149" t="inlineStr">
        <x:is>
          <x:t xml:space="preserve">manual</x:t>
        </x:is>
      </x:c>
      <x:c r="G22" s="150" t="inlineStr">
        <x:is>
          <x:t xml:space="preserve">manual-tests/slider.md</x:t>
        </x:is>
      </x:c>
      <x:c r="H22" s="149" t="inlineStr">
        <x:is>
          <x:t xml:space="preserve">implemented</x:t>
        </x:is>
      </x:c>
      <x:c r="I22" s="149" t="inlineStr">
        <x:is>
          <x:t xml:space="preserve">yes</x:t>
        </x:is>
      </x:c>
      <x:c r="J22" s="151" t="inlineStr">
        <x:is>
          <x:t xml:space="preserve">Open</x:t>
        </x:is>
      </x:c>
      <x:c r="K22" s="150" t="inlineStr">
        <x:is>
          <x:t xml:space="preserve">Manual qualification remains open.</x:t>
        </x:is>
      </x:c>
      <x:c r="L22" s="149" t="n">
        <x:v>1</x:v>
      </x:c>
      <x:c r="M22" s="149" t="n">
        <x:f>IF(OR(AND(I22="yes",H22="verified"),AND(I22="no",OR(H22="tested",H22="verified")),AND(H22="not applicable",K22&lt;&gt;"")),1,0)</x:f>
        <x:v>0</x:v>
      </x:c>
    </x:row>
    <x:row r="23" s="127" customFormat="1" ht="54" customHeight="1">
      <x:c r="A23" s="149" t="inlineStr">
        <x:is>
          <x:t xml:space="preserve">SL-15</x:t>
        </x:is>
      </x:c>
      <x:c r="B23" s="149" t="inlineStr">
        <x:is>
          <x:t xml:space="preserve">Documentation</x:t>
        </x:is>
      </x:c>
      <x:c r="C23" s="149" t="inlineStr">
        <x:is>
          <x:t xml:space="preserve">Slider</x:t>
        </x:is>
      </x:c>
      <x:c r="D23" s="150" t="inlineStr">
        <x:is>
          <x:t xml:space="preserve">Public guide, component changelog, Agent Knowledge, parts/props/TOC, and private evidence document the complete contract and qualification state.</x:t>
        </x:is>
      </x:c>
      <x:c r="E23" s="149" t="inlineStr">
        <x:is>
          <x:t xml:space="preserve">package</x:t>
        </x:is>
      </x:c>
      <x:c r="F23" s="149" t="inlineStr">
        <x:is>
          <x:t xml:space="preserve">docs</x:t>
        </x:is>
      </x:c>
      <x:c r="G23" s="150" t="inlineStr">
        <x:is>
          <x:t xml:space="preserve">../docs/components/slider/README.md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inlineStr">
        <x:is>
          <x:t xml:space="preserve">2026-09-17: pass</x:t>
        </x:is>
      </x:c>
      <x:c r="K23" s="150" t="n"/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SL-16</x:t>
        </x:is>
      </x:c>
      <x:c r="B24" s="149" t="inlineStr">
        <x:is>
          <x:t xml:space="preserve">Consumers</x:t>
        </x:is>
      </x:c>
      <x:c r="C24" s="149" t="inlineStr">
        <x:is>
          <x:t xml:space="preserve">Root/parts</x:t>
        </x:is>
      </x:c>
      <x:c r="D24" s="150" t="inlineStr">
        <x:is>
          <x:t xml:space="preserve">Packed Brick and exact Atom archives install and exercise the public Slider in clean React 18/19 consumers and the application Consumer.</x:t>
        </x:is>
      </x:c>
      <x:c r="E24" s="149" t="inlineStr">
        <x:is>
          <x:t xml:space="preserve">consumer</x:t>
        </x:is>
      </x:c>
      <x:c r="F24" s="149" t="inlineStr">
        <x:is>
          <x:t xml:space="preserve">consumer</x:t>
        </x:is>
      </x:c>
      <x:c r="G24" s="150" t="inlineStr">
        <x:is>
          <x:t xml:space="preserve">../apps/consumer/src/App.tsx</x:t>
        </x:is>
      </x:c>
      <x:c r="H24" s="149" t="inlineStr">
        <x:is>
          <x:t xml:space="preserve">implemented</x:t>
        </x:is>
      </x:c>
      <x:c r="I24" s="149" t="inlineStr">
        <x:is>
          <x:t xml:space="preserve">no</x:t>
        </x:is>
      </x:c>
      <x:c r="J24" s="151" t="inlineStr">
        <x:is>
          <x:t xml:space="preserve">18/19 passed</x:t>
        </x:is>
      </x:c>
      <x:c r="K24" s="150" t="inlineStr">
        <x:is>
          <x:t xml:space="preserve">Application Consumer and mounted React lifecycle/iframe qualification remain open.</x:t>
        </x:is>
      </x:c>
      <x:c r="L24" s="149" t="n">
        <x:v>1</x:v>
      </x:c>
      <x:c r="M24" s="149" t="n">
        <x:f>IF(OR(AND(I24="yes",H24="verified"),AND(I24="no",OR(H24="tested",H24="verified")),AND(H24="not applicable",K24&lt;&gt;"")),1,0)</x:f>
        <x:v>0</x:v>
      </x:c>
    </x:row>
    <x:row r="25" s="127" customFormat="1" ht="23.25" customHeight="1">
      <x:c r="A25" s="149" t="n"/>
      <x:c r="B25" s="149" t="n"/>
      <x:c r="C25" s="149" t="n"/>
      <x:c r="D25" s="150" t="n"/>
      <x:c r="E25" s="149" t="n"/>
      <x:c r="F25" s="149" t="n"/>
      <x:c r="G25" s="150" t="n"/>
      <x:c r="H25" s="149" t="n"/>
      <x:c r="I25" s="149" t="n"/>
      <x:c r="J25" s="151" t="n"/>
      <x:c r="K25" s="150" t="n"/>
      <x:c r="L25" s="149" t="n"/>
      <x:c r="M25" s="149" t="n"/>
    </x:row>
    <x:row r="26" s="127" customFormat="1" ht="23.25" customHeight="1">
      <x:c r="A26" s="149" t="n"/>
      <x:c r="B26" s="149" t="n"/>
      <x:c r="C26" s="149" t="n"/>
      <x:c r="D26" s="150" t="n"/>
      <x:c r="E26" s="149" t="n"/>
      <x:c r="F26" s="149" t="n"/>
      <x:c r="G26" s="150" t="n"/>
      <x:c r="H26" s="149" t="n"/>
      <x:c r="I26" s="149" t="n"/>
      <x:c r="J26" s="151" t="n"/>
      <x:c r="K26" s="150" t="n"/>
      <x:c r="L26" s="149" t="n"/>
      <x:c r="M26" s="149" t="n"/>
    </x:row>
    <x:row r="27" s="127" customFormat="1" ht="23.25" customHeight="1">
      <x:c r="A27" s="149" t="n"/>
      <x:c r="B27" s="149" t="n"/>
      <x:c r="C27" s="149" t="n"/>
      <x:c r="D27" s="150" t="n"/>
      <x:c r="E27" s="149" t="n"/>
      <x:c r="F27" s="149" t="n"/>
      <x:c r="G27" s="150" t="n"/>
      <x:c r="H27" s="149" t="n"/>
      <x:c r="I27" s="149" t="n"/>
      <x:c r="J27" s="151" t="n"/>
      <x:c r="K27" s="150" t="n"/>
      <x:c r="L27" s="149" t="n"/>
      <x:c r="M27" s="149" t="n"/>
    </x:row>
    <x:row r="28" s="127" customFormat="1" ht="23.25" customHeight="1">
      <x:c r="A28" s="149" t="n"/>
      <x:c r="B28" s="149" t="n"/>
      <x:c r="C28" s="149" t="n"/>
      <x:c r="D28" s="150" t="n"/>
      <x:c r="E28" s="149" t="n"/>
      <x:c r="F28" s="149" t="n"/>
      <x:c r="G28" s="150" t="n"/>
      <x:c r="H28" s="149" t="n"/>
      <x:c r="I28" s="149" t="n"/>
      <x:c r="J28" s="151" t="n"/>
      <x:c r="K28" s="150" t="n"/>
      <x:c r="L28" s="149" t="n"/>
      <x:c r="M28" s="149" t="n"/>
    </x:row>
    <x:row r="29" s="127" customFormat="1" ht="23.25" customHeight="1">
      <x:c r="A29" s="149" t="n"/>
      <x:c r="B29" s="149" t="n"/>
      <x:c r="C29" s="149" t="n"/>
      <x:c r="D29" s="150" t="n"/>
      <x:c r="E29" s="149" t="n"/>
      <x:c r="F29" s="149" t="n"/>
      <x:c r="G29" s="150" t="n"/>
      <x:c r="H29" s="149" t="n"/>
      <x:c r="I29" s="149" t="n"/>
      <x:c r="J29" s="151" t="n"/>
      <x:c r="K29" s="150" t="n"/>
      <x:c r="L29" s="149" t="n"/>
      <x:c r="M29" s="149" t="n"/>
    </x:row>
    <x:row r="30" s="127" customFormat="1" ht="23.25" customHeight="1">
      <x:c r="A30" s="149" t="n"/>
      <x:c r="B30" s="149" t="n"/>
      <x:c r="C30" s="149" t="n"/>
      <x:c r="D30" s="150" t="n"/>
      <x:c r="E30" s="149" t="n"/>
      <x:c r="F30" s="149" t="n"/>
      <x:c r="G30" s="150" t="n"/>
      <x:c r="H30" s="149" t="n"/>
      <x:c r="I30" s="149" t="n"/>
      <x:c r="J30" s="151" t="n"/>
      <x:c r="K30" s="150" t="n"/>
      <x:c r="L30" s="149" t="n"/>
      <x:c r="M30" s="149" t="n"/>
    </x:row>
  </x:sheetData>
  <x:mergeCells>
    <x:mergeCell ref="A2:M2"/>
    <x:mergeCell ref="A1:M1"/>
  </x:mergeCells>
  <x:conditionalFormatting sqref="H9:H24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0" showDropDown="0" showInputMessage="0" showErrorMessage="0" sqref="H9:H24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24">
      <x:formula1>"yes,no"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be18535450040da"/>
  </x:tableParts>
</x:worksheet>
</file>

<file path=xl/worksheets/sheet72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Rating Evidence</x:t>
        </x:is>
      </x:c>
    </x:row>
    <x:row r="2" s="127" customFormat="1" ht="27.75" customHeight="1">
      <x:c r="A2" s="129" t="inlineStr">
        <x:is>
          <x:t xml:space="preserve">Assertion-level Atom-backed package, browser, mobile, human-review, documentation, Consumer, form, precision, and artwork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COUNTA(A9:A25)</x:f>
        <x:v>17</x:v>
      </x:c>
      <x:c r="D4" s="130" t="inlineStr">
        <x:is>
          <x:t xml:space="preserve">Resolved</x:t>
        </x:is>
      </x:c>
      <x:c r="E4" s="131" t="n">
        <x:f>SUM(M9:M25)</x:f>
        <x:v>13</x:v>
      </x:c>
      <x:c r="G4" s="130" t="inlineStr">
        <x:is>
          <x:t xml:space="preserve">Completion</x:t>
        </x:is>
      </x:c>
      <x:c r="H4" s="132" t="n">
        <x:f>IF(B4=0,0,E4/B4)</x:f>
        <x:v>0.7647058823529411</x:v>
      </x:c>
      <x:c r="J4" s="130" t="inlineStr">
        <x:is>
          <x:t xml:space="preserve">Package gate</x:t>
        </x:is>
      </x:c>
      <x:c r="K4" s="131" t="str">
        <x:f>IF(COUNTIFS(E9:E25,"package",M9:M25,0)&gt;0,"open","complete")</x:f>
        <x:v>complete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IF(COUNTIFS(I9:I25,"yes",M9:M25,0)&gt;0,"open","complete")</x:f>
        <x:v>open</x:v>
      </x:c>
      <x:c r="D5" s="130" t="inlineStr">
        <x:is>
          <x:t xml:space="preserve">Consumer gate</x:t>
        </x:is>
      </x:c>
      <x:c r="E5" s="131" t="str">
        <x:f>IF(COUNTIFS(E9:E25,"consumer",M9:M25,0)&gt;0,"open","complete")</x:f>
        <x:v>open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RT-01</x:t>
        </x:is>
      </x:c>
      <x:c r="B9" s="149" t="inlineStr">
        <x:is>
          <x:t xml:space="preserve">Implementation</x:t>
        </x:is>
      </x:c>
      <x:c r="C9" s="149" t="inlineStr">
        <x:is>
          <x:t xml:space="preserve">Root/Item</x:t>
        </x:is>
      </x:c>
      <x:c r="D9" s="150" t="inlineStr">
        <x:is>
          <x:t xml:space="preserve">Brick delegates Rating state, pointer, keyboard, forms and semantics to digest-locked local Atom 0.26.1.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../src/components/rating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inlineStr">
        <x:is>
          <x:t xml:space="preserve">2026-09-18</x:t>
        </x:is>
      </x:c>
      <x:c r="K9" s="150" t="inlineStr">
        <x:is>
          <x:t xml:space="preserve">Automated owner evidence; no release claim.</x:t>
        </x:is>
      </x:c>
      <x:c r="L9" s="149" t="n"/>
      <x:c r="M9" s="149" t="n">
        <x:f>IF(OR(H9="tested",H9="verified",H9="not applicable"),1,0)</x:f>
        <x:v>1</x:v>
      </x:c>
    </x:row>
    <x:row r="10" s="127" customFormat="1" ht="54" customHeight="1">
      <x:c r="A10" s="149" t="inlineStr">
        <x:is>
          <x:t xml:space="preserve">RT-02</x:t>
        </x:is>
      </x:c>
      <x:c r="B10" s="149" t="inlineStr">
        <x:is>
          <x:t xml:space="preserve">Anatomy</x:t>
        </x:is>
      </x:c>
      <x:c r="C10" s="149" t="inlineStr">
        <x:is>
          <x:t xml:space="preserve">Root/Item</x:t>
        </x:is>
      </x:c>
      <x:c r="D10" s="150" t="inlineStr">
        <x:is>
          <x:t xml:space="preserve">Compound Label, Control, ItemIndicator, Items, HiddenInput, providers and contexts preserve decorative items and one slider.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../test/components/rating/rating.test.tsx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inlineStr">
        <x:is>
          <x:t xml:space="preserve">2026-09-18</x:t>
        </x:is>
      </x:c>
      <x:c r="K10" s="150" t="inlineStr">
        <x:is>
          <x:t xml:space="preserve">Automated owner evidence; no release claim.</x:t>
        </x:is>
      </x:c>
      <x:c r="L10" s="149" t="n"/>
      <x:c r="M10" s="149" t="n">
        <x:f>IF(OR(H10="tested",H10="verified",H10="not applicable"),1,0)</x:f>
        <x:v>1</x:v>
      </x:c>
    </x:row>
    <x:row r="11" s="127" customFormat="1" ht="54" customHeight="1">
      <x:c r="A11" s="149" t="inlineStr">
        <x:is>
          <x:t xml:space="preserve">RT-03</x:t>
        </x:is>
      </x:c>
      <x:c r="B11" s="149" t="inlineStr">
        <x:is>
          <x:t xml:space="preserve">Exports</x:t>
        </x:is>
      </x:c>
      <x:c r="C11" s="149" t="inlineStr">
        <x:is>
          <x:t xml:space="preserve">Rating</x:t>
        </x:is>
      </x:c>
      <x:c r="D11" s="150" t="inlineStr">
        <x:is>
          <x:t xml:space="preserve">Root and rating subpath exports expose namespace, named parts, and public types.</x:t>
        </x:is>
      </x:c>
      <x:c r="E11" s="149" t="inlineStr">
        <x:is>
          <x:t xml:space="preserve">package</x:t>
        </x:is>
      </x:c>
      <x:c r="F11" s="149" t="inlineStr">
        <x:is>
          <x:t xml:space="preserve">package</x:t>
        </x:is>
      </x:c>
      <x:c r="G11" s="150" t="inlineStr">
        <x:is>
          <x:t xml:space="preserve">../package.json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inlineStr">
        <x:is>
          <x:t xml:space="preserve">2026-09-18</x:t>
        </x:is>
      </x:c>
      <x:c r="K11" s="150" t="inlineStr">
        <x:is>
          <x:t xml:space="preserve">Automated owner evidence; no release claim.</x:t>
        </x:is>
      </x:c>
      <x:c r="L11" s="149" t="n"/>
      <x:c r="M11" s="149" t="n">
        <x:f>IF(OR(H11="tested",H11="verified",H11="not applicable"),1,0)</x:f>
        <x:v>1</x:v>
      </x:c>
    </x:row>
    <x:row r="12" s="127" customFormat="1" ht="54" customHeight="1">
      <x:c r="A12" s="149" t="inlineStr">
        <x:is>
          <x:t xml:space="preserve">RT-04</x:t>
        </x:is>
      </x:c>
      <x:c r="B12" s="149" t="inlineStr">
        <x:is>
          <x:t xml:space="preserve">Types</x:t>
        </x:is>
      </x:c>
      <x:c r="C12" s="149" t="inlineStr">
        <x:is>
          <x:t xml:space="preserve">Root/Item</x:t>
        </x:is>
      </x:c>
      <x:c r="D12" s="150" t="inlineStr">
        <x:is>
          <x:t xml:space="preserve">Responsive sizes, density, gap, variants, custom paint, composition and input ownership type-check.</x:t>
        </x:is>
      </x:c>
      <x:c r="E12" s="149" t="inlineStr">
        <x:is>
          <x:t xml:space="preserve">package</x:t>
        </x:is>
      </x:c>
      <x:c r="F12" s="149" t="inlineStr">
        <x:is>
          <x:t xml:space="preserve">types</x:t>
        </x:is>
      </x:c>
      <x:c r="G12" s="150" t="inlineStr">
        <x:is>
          <x:t xml:space="preserve">../test/types/components/rating.test.ts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inlineStr">
        <x:is>
          <x:t xml:space="preserve">2026-09-18</x:t>
        </x:is>
      </x:c>
      <x:c r="K12" s="150" t="inlineStr">
        <x:is>
          <x:t xml:space="preserve">Automated owner evidence; no release claim.</x:t>
        </x:is>
      </x:c>
      <x:c r="L12" s="149" t="n"/>
      <x:c r="M12" s="149" t="n">
        <x:f>IF(OR(H12="tested",H12="verified",H12="not applicable"),1,0)</x:f>
        <x:v>1</x:v>
      </x:c>
    </x:row>
    <x:row r="13" s="127" customFormat="1" ht="54" customHeight="1">
      <x:c r="A13" s="149" t="inlineStr">
        <x:is>
          <x:t xml:space="preserve">RT-05</x:t>
        </x:is>
      </x:c>
      <x:c r="B13" s="149" t="inlineStr">
        <x:is>
          <x:t xml:space="preserve">CSS</x:t>
        </x:is>
      </x:c>
      <x:c r="C13" s="149" t="inlineStr">
        <x:is>
          <x:t xml:space="preserve">Root/Item</x:t>
        </x:is>
      </x:c>
      <x:c r="D13" s="150" t="inlineStr">
        <x:is>
          <x:t xml:space="preserve">Static CSS ships proportional fill, RTL, states, recipes, 44px targets, preferences, and documented variables.</x:t>
        </x:is>
      </x:c>
      <x:c r="E13" s="149" t="inlineStr">
        <x:is>
          <x:t xml:space="preserve">package</x:t>
        </x:is>
      </x:c>
      <x:c r="F13" s="149" t="inlineStr">
        <x:is>
          <x:t xml:space="preserve">css</x:t>
        </x:is>
      </x:c>
      <x:c r="G13" s="150" t="inlineStr">
        <x:is>
          <x:t xml:space="preserve">../src/components/rating/rating.css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inlineStr">
        <x:is>
          <x:t xml:space="preserve">2026-09-18</x:t>
        </x:is>
      </x:c>
      <x:c r="K13" s="150" t="inlineStr">
        <x:is>
          <x:t xml:space="preserve">Automated owner evidence; no release claim.</x:t>
        </x:is>
      </x:c>
      <x:c r="L13" s="149" t="n"/>
      <x:c r="M13" s="149" t="n">
        <x:f>IF(OR(H13="tested",H13="verified",H13="not applicable"),1,0)</x:f>
        <x:v>1</x:v>
      </x:c>
    </x:row>
    <x:row r="14" s="127" customFormat="1" ht="54" customHeight="1">
      <x:c r="A14" s="149" t="inlineStr">
        <x:is>
          <x:t xml:space="preserve">RT-06</x:t>
        </x:is>
      </x:c>
      <x:c r="B14" s="149" t="inlineStr">
        <x:is>
          <x:t xml:space="preserve">Semantics</x:t>
        </x:is>
      </x:c>
      <x:c r="C14" s="149" t="inlineStr">
        <x:is>
          <x:t xml:space="preserve">Root</x:t>
        </x:is>
      </x:c>
      <x:c r="D14" s="150" t="inlineStr">
        <x:is>
          <x:t xml:space="preserve">Five decorative items expose one focusable slider with numeric and human-readable value text.</x:t>
        </x:is>
      </x:c>
      <x:c r="E14" s="149" t="inlineStr">
        <x:is>
          <x:t xml:space="preserve">browser</x:t>
        </x:is>
      </x:c>
      <x:c r="F14" s="149" t="inlineStr">
        <x:is>
          <x:t xml:space="preserve">browser</x:t>
        </x:is>
      </x:c>
      <x:c r="G14" s="150" t="inlineStr">
        <x:is>
          <x:t xml:space="preserve">tests/components/rating/behavior.spec.ts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inlineStr">
        <x:is>
          <x:t xml:space="preserve">2026-09-18</x:t>
        </x:is>
      </x:c>
      <x:c r="K14" s="150" t="inlineStr">
        <x:is>
          <x:t xml:space="preserve">Automated owner evidence; no release claim.</x:t>
        </x:is>
      </x:c>
      <x:c r="L14" s="149" t="n"/>
      <x:c r="M14" s="149" t="n">
        <x:f>IF(OR(H14="tested",H14="verified",H14="not applicable"),1,0)</x:f>
        <x:v>1</x:v>
      </x:c>
    </x:row>
    <x:row r="15" s="127" customFormat="1" ht="54" customHeight="1">
      <x:c r="A15" s="149" t="inlineStr">
        <x:is>
          <x:t xml:space="preserve">RT-07</x:t>
        </x:is>
      </x:c>
      <x:c r="B15" s="149" t="inlineStr">
        <x:is>
          <x:t xml:space="preserve">Precision</x:t>
        </x:is>
      </x:c>
      <x:c r="C15" s="149" t="inlineStr">
        <x:is>
          <x:t xml:space="preserve">Root/Item</x:t>
        </x:is>
      </x:c>
      <x:c r="D15" s="150" t="inlineStr">
        <x:is>
          <x:t xml:space="preserve">Integer and half-step values produce correct full, partial, and empty item fill.</x:t>
        </x:is>
      </x:c>
      <x:c r="E15" s="149" t="inlineStr">
        <x:is>
          <x:t xml:space="preserve">browser</x:t>
        </x:is>
      </x:c>
      <x:c r="F15" s="149" t="inlineStr">
        <x:is>
          <x:t xml:space="preserve">browser</x:t>
        </x:is>
      </x:c>
      <x:c r="G15" s="150" t="inlineStr">
        <x:is>
          <x:t xml:space="preserve">tests/components/rating/behavior.spec.ts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inlineStr">
        <x:is>
          <x:t xml:space="preserve">2026-09-18</x:t>
        </x:is>
      </x:c>
      <x:c r="K15" s="150" t="inlineStr">
        <x:is>
          <x:t xml:space="preserve">Automated owner evidence; no release claim.</x:t>
        </x:is>
      </x:c>
      <x:c r="L15" s="149" t="n"/>
      <x:c r="M15" s="149" t="n">
        <x:f>IF(OR(H15="tested",H15="verified",H15="not applicable"),1,0)</x:f>
        <x:v>1</x:v>
      </x:c>
    </x:row>
    <x:row r="16" s="127" customFormat="1" ht="54" customHeight="1">
      <x:c r="A16" s="149" t="inlineStr">
        <x:is>
          <x:t xml:space="preserve">RT-08</x:t>
        </x:is>
      </x:c>
      <x:c r="B16" s="149" t="inlineStr">
        <x:is>
          <x:t xml:space="preserve">Input</x:t>
        </x:is>
      </x:c>
      <x:c r="C16" s="149" t="inlineStr">
        <x:is>
          <x:t xml:space="preserve">Root</x:t>
        </x:is>
      </x:c>
      <x:c r="D16" s="150" t="inlineStr">
        <x:is>
          <x:t xml:space="preserve">Keyboard, stable repeat activation, opt-in clearing, cross-item drag, native touch, capture loss, fractional segments, and RTL input work.</x:t>
        </x:is>
      </x:c>
      <x:c r="E16" s="149" t="inlineStr">
        <x:is>
          <x:t xml:space="preserve">browser</x:t>
        </x:is>
      </x:c>
      <x:c r="F16" s="149" t="inlineStr">
        <x:is>
          <x:t xml:space="preserve">browser</x:t>
        </x:is>
      </x:c>
      <x:c r="G16" s="150" t="inlineStr">
        <x:is>
          <x:t xml:space="preserve">tests/components/rating/behavior.spec.ts</x:t>
        </x:is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inlineStr">
        <x:is>
          <x:t xml:space="preserve">2026-09-18</x:t>
        </x:is>
      </x:c>
      <x:c r="K16" s="150" t="inlineStr">
        <x:is>
          <x:t xml:space="preserve">Automated owner evidence; no release claim.</x:t>
        </x:is>
      </x:c>
      <x:c r="L16" s="149" t="n"/>
      <x:c r="M16" s="149" t="n">
        <x:f>IF(OR(H16="tested",H16="verified",H16="not applicable"),1,0)</x:f>
        <x:v>1</x:v>
      </x:c>
    </x:row>
    <x:row r="17" s="127" customFormat="1" ht="54" customHeight="1">
      <x:c r="A17" s="149" t="inlineStr">
        <x:is>
          <x:t xml:space="preserve">RT-09</x:t>
        </x:is>
      </x:c>
      <x:c r="B17" s="149" t="inlineStr">
        <x:is>
          <x:t xml:space="preserve">Field/forms</x:t>
        </x:is>
      </x:c>
      <x:c r="C17" s="149" t="inlineStr">
        <x:is>
          <x:t xml:space="preserve">Root</x:t>
        </x:is>
      </x:c>
      <x:c r="D17" s="150" t="inlineStr">
        <x:is>
          <x:t xml:space="preserve">Standalone and Field state, one label, hidden scalar value, submit, reset, and focusable read-only contracts are implemented.</x:t>
        </x:is>
      </x:c>
      <x:c r="E17" s="149" t="inlineStr">
        <x:is>
          <x:t xml:space="preserve">package</x:t>
        </x:is>
      </x:c>
      <x:c r="F17" s="149" t="inlineStr">
        <x:is>
          <x:t xml:space="preserve">component</x:t>
        </x:is>
      </x:c>
      <x:c r="G17" s="150" t="inlineStr">
        <x:is>
          <x:t xml:space="preserve">../test/components/rating/rating.test.tsx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inlineStr">
        <x:is>
          <x:t xml:space="preserve">2026-09-18</x:t>
        </x:is>
      </x:c>
      <x:c r="K17" s="150" t="inlineStr">
        <x:is>
          <x:t xml:space="preserve">Automated owner evidence; no release claim.</x:t>
        </x:is>
      </x:c>
      <x:c r="L17" s="149" t="n"/>
      <x:c r="M17" s="149" t="n">
        <x:f>IF(OR(H17="tested",H17="verified",H17="not applicable"),1,0)</x:f>
        <x:v>1</x:v>
      </x:c>
    </x:row>
    <x:row r="18" s="127" customFormat="1" ht="54" customHeight="1">
      <x:c r="A18" s="149" t="inlineStr">
        <x:is>
          <x:t xml:space="preserve">RT-10</x:t>
        </x:is>
      </x:c>
      <x:c r="B18" s="149" t="inlineStr">
        <x:is>
          <x:t xml:space="preserve">Recipes</x:t>
        </x:is>
      </x:c>
      <x:c r="C18" s="149" t="inlineStr">
        <x:is>
          <x:t xml:space="preserve">Root</x:t>
        </x:is>
      </x:c>
      <x:c r="D18" s="150" t="inlineStr">
        <x:is>
          <x:t xml:space="preserve">Four artwork sizes, two tones, solid/outline and responsive density preserve one interaction model.</x:t>
        </x:is>
      </x:c>
      <x:c r="E18" s="149" t="inlineStr">
        <x:is>
          <x:t xml:space="preserve">browser</x:t>
        </x:is>
      </x:c>
      <x:c r="F18" s="149" t="inlineStr">
        <x:is>
          <x:t xml:space="preserve">browser</x:t>
        </x:is>
      </x:c>
      <x:c r="G18" s="150" t="inlineStr">
        <x:is>
          <x:t xml:space="preserve">tests/components/rating/behavior.spec.ts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inlineStr">
        <x:is>
          <x:t xml:space="preserve">2026-09-18</x:t>
        </x:is>
      </x:c>
      <x:c r="K18" s="150" t="inlineStr">
        <x:is>
          <x:t xml:space="preserve">Automated owner evidence; no release claim.</x:t>
        </x:is>
      </x:c>
      <x:c r="L18" s="149" t="n"/>
      <x:c r="M18" s="149" t="n">
        <x:f>IF(OR(H18="tested",H18="verified",H18="not applicable"),1,0)</x:f>
        <x:v>1</x:v>
      </x:c>
    </x:row>
    <x:row r="19" s="127" customFormat="1" ht="54" customHeight="1">
      <x:c r="A19" s="149" t="inlineStr">
        <x:is>
          <x:t xml:space="preserve">RT-11</x:t>
        </x:is>
      </x:c>
      <x:c r="B19" s="149" t="inlineStr">
        <x:is>
          <x:t xml:space="preserve">Artwork</x:t>
        </x:is>
      </x:c>
      <x:c r="C19" s="149" t="inlineStr">
        <x:is>
          <x:t xml:space="preserve">Item</x:t>
        </x:is>
      </x:c>
      <x:c r="D19" s="150" t="inlineStr">
        <x:is>
          <x:t xml:space="preserve">Legacy icons layer proportionally; marked ItemIndicator and state-driven content render without duplication.</x:t>
        </x:is>
      </x:c>
      <x:c r="E19" s="149" t="inlineStr">
        <x:is>
          <x:t xml:space="preserve">package</x:t>
        </x:is>
      </x:c>
      <x:c r="F19" s="149" t="inlineStr">
        <x:is>
          <x:t xml:space="preserve">component</x:t>
        </x:is>
      </x:c>
      <x:c r="G19" s="150" t="inlineStr">
        <x:is>
          <x:t xml:space="preserve">../test/components/rating/rating.test.tsx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inlineStr">
        <x:is>
          <x:t xml:space="preserve">2026-09-18</x:t>
        </x:is>
      </x:c>
      <x:c r="K19" s="150" t="inlineStr">
        <x:is>
          <x:t xml:space="preserve">Automated owner evidence; no release claim.</x:t>
        </x:is>
      </x:c>
      <x:c r="L19" s="149" t="n"/>
      <x:c r="M19" s="149" t="n">
        <x:f>IF(OR(H19="tested",H19="verified",H19="not applicable"),1,0)</x:f>
        <x:v>1</x:v>
      </x:c>
    </x:row>
    <x:row r="20" s="127" customFormat="1" ht="54" customHeight="1">
      <x:c r="A20" s="149" t="inlineStr">
        <x:is>
          <x:t xml:space="preserve">RT-12</x:t>
        </x:is>
      </x:c>
      <x:c r="B20" s="149" t="inlineStr">
        <x:is>
          <x:t xml:space="preserve">Appearance</x:t>
        </x:is>
      </x:c>
      <x:c r="C20" s="149" t="inlineStr">
        <x:is>
          <x:t xml:space="preserve">Root/Item</x:t>
        </x:is>
      </x:c>
      <x:c r="D20" s="150" t="inlineStr">
        <x:is>
          <x:t xml:space="preserve">Light, dark, customization, invalid, disabled, read-only, and required paint remain distinct.</x:t>
        </x:is>
      </x:c>
      <x:c r="E20" s="149" t="inlineStr">
        <x:is>
          <x:t xml:space="preserve">human</x:t>
        </x:is>
      </x:c>
      <x:c r="F20" s="149" t="inlineStr">
        <x:is>
          <x:t xml:space="preserve">visual</x:t>
        </x:is>
      </x:c>
      <x:c r="G20" s="150" t="inlineStr">
        <x:is>
          <x:t xml:space="preserve">tests/components/rating/visual.spec.ts</x:t>
        </x:is>
      </x:c>
      <x:c r="H20" s="149" t="inlineStr">
        <x:is>
          <x:t xml:space="preserve">implemented</x:t>
        </x:is>
      </x:c>
      <x:c r="I20" s="149" t="inlineStr">
        <x:is>
          <x:t xml:space="preserve">yes</x:t>
        </x:is>
      </x:c>
      <x:c r="J20" s="151" t="inlineStr">
        <x:is>
          <x:t xml:space="preserve">2026-09-18</x:t>
        </x:is>
      </x:c>
      <x:c r="K20" s="150" t="inlineStr">
        <x:is>
          <x:t xml:space="preserve">Current human qualification remains open.</x:t>
        </x:is>
      </x:c>
      <x:c r="L20" s="149" t="n"/>
      <x:c r="M20" s="149" t="n">
        <x:f>IF(OR(H20="tested",H20="verified",H20="not applicable"),1,0)</x:f>
        <x:v>0</x:v>
      </x:c>
    </x:row>
    <x:row r="21" s="127" customFormat="1" ht="54" customHeight="1">
      <x:c r="A21" s="149" t="inlineStr">
        <x:is>
          <x:t xml:space="preserve">RT-13</x:t>
        </x:is>
      </x:c>
      <x:c r="B21" s="149" t="inlineStr">
        <x:is>
          <x:t xml:space="preserve">Responsive</x:t>
        </x:is>
      </x:c>
      <x:c r="C21" s="149" t="inlineStr">
        <x:is>
          <x:t xml:space="preserve">Root/Item</x:t>
        </x:is>
      </x:c>
      <x:c r="D21" s="150" t="inlineStr">
        <x:is>
          <x:t xml:space="preserve">Narrow, long-label, RTL, mobile, zoom, reduced-motion, forced-color, and coarse-pointer layouts remain contained.</x:t>
        </x:is>
      </x:c>
      <x:c r="E21" s="149" t="inlineStr">
        <x:is>
          <x:t xml:space="preserve">human</x:t>
        </x:is>
      </x:c>
      <x:c r="F21" s="149" t="inlineStr">
        <x:is>
          <x:t xml:space="preserve">visual</x:t>
        </x:is>
      </x:c>
      <x:c r="G21" s="150" t="inlineStr">
        <x:is>
          <x:t xml:space="preserve">tests/components/rating/visual.spec.ts</x:t>
        </x:is>
      </x:c>
      <x:c r="H21" s="149" t="inlineStr">
        <x:is>
          <x:t xml:space="preserve">implemented</x:t>
        </x:is>
      </x:c>
      <x:c r="I21" s="149" t="inlineStr">
        <x:is>
          <x:t xml:space="preserve">yes</x:t>
        </x:is>
      </x:c>
      <x:c r="J21" s="151" t="inlineStr">
        <x:is>
          <x:t xml:space="preserve">2026-09-18</x:t>
        </x:is>
      </x:c>
      <x:c r="K21" s="150" t="inlineStr">
        <x:is>
          <x:t xml:space="preserve">Current human qualification remains open.</x:t>
        </x:is>
      </x:c>
      <x:c r="L21" s="149" t="n"/>
      <x:c r="M21" s="149" t="n">
        <x:f>IF(OR(H21="tested",H21="verified",H21="not applicable"),1,0)</x:f>
        <x:v>0</x:v>
      </x:c>
    </x:row>
    <x:row r="22" s="127" customFormat="1" ht="54" customHeight="1">
      <x:c r="A22" s="149" t="inlineStr">
        <x:is>
          <x:t xml:space="preserve">RT-14</x:t>
        </x:is>
      </x:c>
      <x:c r="B22" s="149" t="inlineStr">
        <x:is>
          <x:t xml:space="preserve">Accessibility</x:t>
        </x:is>
      </x:c>
      <x:c r="C22" s="149" t="inlineStr">
        <x:is>
          <x:t xml:space="preserve">Root/Item</x:t>
        </x:is>
      </x:c>
      <x:c r="D22" s="150" t="inlineStr">
        <x:is>
          <x:t xml:space="preserve">Axe passes; decorative items remain silent and one slider exposes value and state.</x:t>
        </x:is>
      </x:c>
      <x:c r="E22" s="149" t="inlineStr">
        <x:is>
          <x:t xml:space="preserve">browser</x:t>
        </x:is>
      </x:c>
      <x:c r="F22" s="149" t="inlineStr">
        <x:is>
          <x:t xml:space="preserve">axe</x:t>
        </x:is>
      </x:c>
      <x:c r="G22" s="150" t="inlineStr">
        <x:is>
          <x:t xml:space="preserve">tests/components/rating/behavior.spec.ts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inlineStr">
        <x:is>
          <x:t xml:space="preserve">2026-09-18</x:t>
        </x:is>
      </x:c>
      <x:c r="K22" s="150" t="inlineStr">
        <x:is>
          <x:t xml:space="preserve">Automated owner evidence; no release claim.</x:t>
        </x:is>
      </x:c>
      <x:c r="L22" s="149" t="n"/>
      <x:c r="M22" s="149" t="n">
        <x:f>IF(OR(H22="tested",H22="verified",H22="not applicable"),1,0)</x:f>
        <x:v>1</x:v>
      </x:c>
    </x:row>
    <x:row r="23" s="127" customFormat="1" ht="54" customHeight="1">
      <x:c r="A23" s="149" t="inlineStr">
        <x:is>
          <x:t xml:space="preserve">RT-15</x:t>
        </x:is>
      </x:c>
      <x:c r="B23" s="149" t="inlineStr">
        <x:is>
          <x:t xml:space="preserve">Manual</x:t>
        </x:is>
      </x:c>
      <x:c r="C23" s="149" t="inlineStr">
        <x:is>
          <x:t xml:space="preserve">Rating</x:t>
        </x:is>
      </x:c>
      <x:c r="D23" s="150" t="inlineStr">
        <x:is>
          <x:t xml:space="preserve">Numbered 01-09 protocol covers pointer, drag, touch, keyboard, forms, AT, preferences, and stress.</x:t>
        </x:is>
      </x:c>
      <x:c r="E23" s="149" t="inlineStr">
        <x:is>
          <x:t xml:space="preserve">human</x:t>
        </x:is>
      </x:c>
      <x:c r="F23" s="149" t="inlineStr">
        <x:is>
          <x:t xml:space="preserve">manual</x:t>
        </x:is>
      </x:c>
      <x:c r="G23" s="150" t="inlineStr">
        <x:is>
          <x:t xml:space="preserve">manual-tests/rating.md</x:t>
        </x:is>
      </x:c>
      <x:c r="H23" s="149" t="inlineStr">
        <x:is>
          <x:t xml:space="preserve">implemented</x:t>
        </x:is>
      </x:c>
      <x:c r="I23" s="149" t="inlineStr">
        <x:is>
          <x:t xml:space="preserve">yes</x:t>
        </x:is>
      </x:c>
      <x:c r="J23" s="151" t="inlineStr">
        <x:is>
          <x:t xml:space="preserve">2026-09-18</x:t>
        </x:is>
      </x:c>
      <x:c r="K23" s="150" t="inlineStr">
        <x:is>
          <x:t xml:space="preserve">Current human qualification remains open.</x:t>
        </x:is>
      </x:c>
      <x:c r="L23" s="149" t="n"/>
      <x:c r="M23" s="149" t="n">
        <x:f>IF(OR(H23="tested",H23="verified",H23="not applicable"),1,0)</x:f>
        <x:v>0</x:v>
      </x:c>
    </x:row>
    <x:row r="24" s="127" customFormat="1" ht="54" customHeight="1">
      <x:c r="A24" s="149" t="inlineStr">
        <x:is>
          <x:t xml:space="preserve">RT-16</x:t>
        </x:is>
      </x:c>
      <x:c r="B24" s="149" t="inlineStr">
        <x:is>
          <x:t xml:space="preserve">Documentation</x:t>
        </x:is>
      </x:c>
      <x:c r="C24" s="149" t="inlineStr">
        <x:is>
          <x:t xml:space="preserve">Rating</x:t>
        </x:is>
      </x:c>
      <x:c r="D24" s="150" t="inlineStr">
        <x:is>
          <x:t xml:space="preserve">Public guide and changelog document anatomy, recipes, forms, accessibility, tokens, and evidence.</x:t>
        </x:is>
      </x:c>
      <x:c r="E24" s="149" t="inlineStr">
        <x:is>
          <x:t xml:space="preserve">package</x:t>
        </x:is>
      </x:c>
      <x:c r="F24" s="149" t="inlineStr">
        <x:is>
          <x:t xml:space="preserve">docs</x:t>
        </x:is>
      </x:c>
      <x:c r="G24" s="150" t="inlineStr">
        <x:is>
          <x:t xml:space="preserve">../docs/components/rating/README.md</x:t>
        </x:is>
      </x:c>
      <x:c r="H24" s="149" t="inlineStr">
        <x:is>
          <x:t xml:space="preserve">tested</x:t>
        </x:is>
      </x:c>
      <x:c r="I24" s="149" t="inlineStr">
        <x:is>
          <x:t xml:space="preserve">no</x:t>
        </x:is>
      </x:c>
      <x:c r="J24" s="151" t="inlineStr">
        <x:is>
          <x:t xml:space="preserve">2026-09-18</x:t>
        </x:is>
      </x:c>
      <x:c r="K24" s="150" t="inlineStr">
        <x:is>
          <x:t xml:space="preserve">Automated owner evidence; no release claim.</x:t>
        </x:is>
      </x:c>
      <x:c r="L24" s="149" t="n"/>
      <x:c r="M24" s="149" t="n">
        <x:f>IF(OR(H24="tested",H24="verified",H24="not applicable"),1,0)</x:f>
        <x:v>1</x:v>
      </x:c>
    </x:row>
    <x:row r="25" s="127" customFormat="1" ht="23.25" customHeight="1">
      <x:c r="A25" s="149" t="inlineStr">
        <x:is>
          <x:t xml:space="preserve">RT-17</x:t>
        </x:is>
      </x:c>
      <x:c r="B25" s="149" t="inlineStr">
        <x:is>
          <x:t xml:space="preserve">Consumer</x:t>
        </x:is>
      </x:c>
      <x:c r="C25" s="149" t="inlineStr">
        <x:is>
          <x:t xml:space="preserve">Root/Item</x:t>
        </x:is>
      </x:c>
      <x:c r="D25" s="150" t="inlineStr">
        <x:is>
          <x:t xml:space="preserve">Packed React 18/19 runtime and types; full package gate remains open.</x:t>
        </x:is>
      </x:c>
      <x:c r="E25" s="149" t="inlineStr">
        <x:is>
          <x:t xml:space="preserve">consumer</x:t>
        </x:is>
      </x:c>
      <x:c r="F25" s="149" t="inlineStr">
        <x:is>
          <x:t xml:space="preserve">consumer</x:t>
        </x:is>
      </x:c>
      <x:c r="G25" s="150" t="inlineStr">
        <x:is>
          <x:t xml:space="preserve">../apps/consumer/src/App.tsx</x:t>
        </x:is>
      </x:c>
      <x:c r="H25" s="149" t="inlineStr">
        <x:is>
          <x:t xml:space="preserve">partial</x:t>
        </x:is>
      </x:c>
      <x:c r="I25" s="149" t="inlineStr">
        <x:is>
          <x:t xml:space="preserve">no</x:t>
        </x:is>
      </x:c>
      <x:c r="J25" s="151" t="inlineStr">
        <x:is>
          <x:t xml:space="preserve">2026-09-18</x:t>
        </x:is>
      </x:c>
      <x:c r="K25" s="150" t="inlineStr">
        <x:is>
          <x:t xml:space="preserve">Package allowlist failure.</x:t>
        </x:is>
      </x:c>
      <x:c r="L25" s="149" t="n"/>
      <x:c r="M25" s="149" t="n">
        <x:f>IF(OR(H25="tested",H25="verified",H25="not applicable"),1,0)</x:f>
        <x:v>0</x:v>
      </x:c>
    </x:row>
    <x:row r="26" s="127" customFormat="1" ht="23.25" customHeight="1">
      <x:c r="A26" s="149" t="n"/>
      <x:c r="B26" s="149" t="n"/>
      <x:c r="C26" s="149" t="n"/>
      <x:c r="D26" s="150" t="n"/>
      <x:c r="E26" s="149" t="n"/>
      <x:c r="F26" s="149" t="n"/>
      <x:c r="G26" s="150" t="n"/>
      <x:c r="H26" s="149" t="n"/>
      <x:c r="I26" s="149" t="n"/>
      <x:c r="J26" s="151" t="n"/>
      <x:c r="K26" s="150" t="n"/>
      <x:c r="L26" s="149" t="n"/>
      <x:c r="M26" s="149" t="n"/>
    </x:row>
    <x:row r="27" s="127" customFormat="1" ht="23.25" customHeight="1">
      <x:c r="A27" s="149" t="n"/>
      <x:c r="B27" s="149" t="n"/>
      <x:c r="C27" s="149" t="n"/>
      <x:c r="D27" s="150" t="n"/>
      <x:c r="E27" s="149" t="n"/>
      <x:c r="F27" s="149" t="n"/>
      <x:c r="G27" s="150" t="n"/>
      <x:c r="H27" s="149" t="n"/>
      <x:c r="I27" s="149" t="n"/>
      <x:c r="J27" s="151" t="n"/>
      <x:c r="K27" s="150" t="n"/>
      <x:c r="L27" s="149" t="n"/>
      <x:c r="M27" s="149" t="n"/>
    </x:row>
    <x:row r="28" s="127" customFormat="1" ht="23.25" customHeight="1">
      <x:c r="A28" s="149" t="n"/>
      <x:c r="B28" s="149" t="n"/>
      <x:c r="C28" s="149" t="n"/>
      <x:c r="D28" s="150" t="n"/>
      <x:c r="E28" s="149" t="n"/>
      <x:c r="F28" s="149" t="n"/>
      <x:c r="G28" s="150" t="n"/>
      <x:c r="H28" s="149" t="n"/>
      <x:c r="I28" s="149" t="n"/>
      <x:c r="J28" s="151" t="n"/>
      <x:c r="K28" s="150" t="n"/>
      <x:c r="L28" s="149" t="n"/>
      <x:c r="M28" s="149" t="n"/>
    </x:row>
    <x:row r="29" s="127" customFormat="1" ht="23.25" customHeight="1">
      <x:c r="A29" s="149" t="n"/>
      <x:c r="B29" s="149" t="n"/>
      <x:c r="C29" s="149" t="n"/>
      <x:c r="D29" s="150" t="n"/>
      <x:c r="E29" s="149" t="n"/>
      <x:c r="F29" s="149" t="n"/>
      <x:c r="G29" s="150" t="n"/>
      <x:c r="H29" s="149" t="n"/>
      <x:c r="I29" s="149" t="n"/>
      <x:c r="J29" s="151" t="n"/>
      <x:c r="K29" s="150" t="n"/>
      <x:c r="L29" s="149" t="n"/>
      <x:c r="M29" s="149" t="n"/>
    </x:row>
    <x:row r="30" s="127" customFormat="1" ht="23.25" customHeight="1">
      <x:c r="A30" s="149" t="n"/>
      <x:c r="B30" s="149" t="n"/>
      <x:c r="C30" s="149" t="n"/>
      <x:c r="D30" s="150" t="n"/>
      <x:c r="E30" s="149" t="n"/>
      <x:c r="F30" s="149" t="n"/>
      <x:c r="G30" s="150" t="n"/>
      <x:c r="H30" s="149" t="n"/>
      <x:c r="I30" s="149" t="n"/>
      <x:c r="J30" s="151" t="n"/>
      <x:c r="K30" s="150" t="n"/>
      <x:c r="L30" s="149" t="n"/>
      <x:c r="M30" s="149" t="n"/>
    </x:row>
  </x:sheetData>
  <x:mergeCells>
    <x:mergeCell ref="A2:M2"/>
    <x:mergeCell ref="A1:M1"/>
  </x:mergeCells>
  <x:conditionalFormatting sqref="H9:H25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0" showDropDown="0" showInputMessage="0" showErrorMessage="0" sqref="H9:H25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25">
      <x:formula1>"yes,no"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49fd39bdca74c9b"/>
  </x:tableParts>
</x:worksheet>
</file>

<file path=xl/worksheets/sheet73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File Upload Evidence</x:t>
        </x:is>
      </x:c>
    </x:row>
    <x:row r="2" s="127" customFormat="1" ht="27.75" customHeight="1">
      <x:c r="A2" s="129" t="inlineStr">
        <x:is>
          <x:t xml:space="preserve">Assertion-level Atom-backed picker, drag/drop, Field/Form, file-list, visual, responsive, accessibility, package, documentation, Consumer, and manual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COUNTA(A9:A36)</x:f>
        <x:v>28</x:v>
      </x:c>
      <x:c r="D4" s="130" t="inlineStr">
        <x:is>
          <x:t xml:space="preserve">Resolved</x:t>
        </x:is>
      </x:c>
      <x:c r="E4" s="131" t="n">
        <x:f>SUM(M9:M36)</x:f>
        <x:v>26</x:v>
      </x:c>
      <x:c r="G4" s="130" t="inlineStr">
        <x:is>
          <x:t xml:space="preserve">Completion</x:t>
        </x:is>
      </x:c>
      <x:c r="H4" s="132" t="n">
        <x:f>IF(B4=0,0,E4/B4)</x:f>
        <x:v>0.9285714285714286</x:v>
      </x:c>
      <x:c r="J4" s="130" t="inlineStr">
        <x:is>
          <x:t xml:space="preserve">Package gate</x:t>
        </x:is>
      </x:c>
      <x:c r="K4" s="131" t="str">
        <x:f>IF(COUNTIFS(E9:E36,"package",M9:M36,0)&gt;0,"open","complete")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IF(COUNTIFS(I9:I36,"yes",M9:M36,0)&gt;0,"open","complete")</x:f>
        <x:v>open</x:v>
      </x:c>
      <x:c r="D5" s="130" t="inlineStr">
        <x:is>
          <x:t xml:space="preserve">Consumer gate</x:t>
        </x:is>
      </x:c>
      <x:c r="E5" s="131" t="str">
        <x:f>IF(COUNTIFS(E9:E36,"consumer",M9:M36,0)&gt;0,"open","complete")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FU-01</x:t>
        </x:is>
      </x:c>
      <x:c r="B9" s="149" t="inlineStr">
        <x:is>
          <x:t xml:space="preserve">Ownership</x:t>
        </x:is>
      </x:c>
      <x:c r="C9" s="149" t="inlineStr">
        <x:is>
          <x:t xml:space="preserve">All parts</x:t>
        </x:is>
      </x:c>
      <x:c r="D9" s="150" t="inlineStr">
        <x:is>
          <x:t xml:space="preserve">Atom owns picker, validation, transforms, directory intake, previews, form and removal behavior. Brick uses an authorized local Atom 0.26.1 candidate.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../src/components/file-upload/FileUpload.tsx; ../package.json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46281.5</x:v>
      </x:c>
      <x:c r="K9" s="150" t="inlineStr">
        <x:is>
          <x:t xml:space="preserve">Local candidate only. Nothing released.</x:t>
        </x:is>
      </x:c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FU-02</x:t>
        </x:is>
      </x:c>
      <x:c r="B10" s="149" t="inlineStr">
        <x:is>
          <x:t xml:space="preserve">API</x:t>
        </x:is>
      </x:c>
      <x:c r="C10" s="149" t="inlineStr">
        <x:is>
          <x:t xml:space="preserve">All parts</x:t>
        </x:is>
      </x:c>
      <x:c r="D10" s="150" t="inlineStr">
        <x:is>
          <x:t xml:space="preserve">Public parts include controller/provider, clear, label, file text, previews, content groups, ready-made lists and original anatomy.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../test/components/file-upload/file-upload.test.tsx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46281.5</x:v>
      </x:c>
      <x:c r="K10" s="150" t="inlineStr">
        <x:is>
          <x:t xml:space="preserve">Component and public type checks pass.</x:t>
        </x:is>
      </x:c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FU-03</x:t>
        </x:is>
      </x:c>
      <x:c r="B11" s="149" t="inlineStr">
        <x:is>
          <x:t xml:space="preserve">Anatomy</x:t>
        </x:is>
      </x:c>
      <x:c r="C11" s="149" t="inlineStr">
        <x:is>
          <x:t xml:space="preserve">All parts</x:t>
        </x:is>
      </x:c>
      <x:c r="D11" s="150" t="inlineStr">
        <x:is>
          <x:t xml:space="preserve">Native div, input, button, ul, li, and span hosts retain exact slots, classes, refs, function children, default picker copy, and file-specific removal naming.</x:t>
        </x:is>
      </x:c>
      <x:c r="E11" s="149" t="inlineStr">
        <x:is>
          <x:t xml:space="preserve">package</x:t>
        </x:is>
      </x:c>
      <x:c r="F11" s="149" t="inlineStr">
        <x:is>
          <x:t xml:space="preserve">component</x:t>
        </x:is>
      </x:c>
      <x:c r="G11" s="150" t="inlineStr">
        <x:is>
          <x:t xml:space="preserve">../test/components/file-upload/file-upload.test.tsx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46232</x:v>
      </x:c>
      <x:c r="K11" s="150" t="inlineStr">
        <x:is>
          <x:t xml:space="preserve">Focused anatomy, defaults, and ref assertions pass.</x:t>
        </x:is>
      </x:c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FU-04</x:t>
        </x:is>
      </x:c>
      <x:c r="B12" s="149" t="inlineStr">
        <x:is>
          <x:t xml:space="preserve">Types</x:t>
        </x:is>
      </x:c>
      <x:c r="C12" s="149" t="inlineStr">
        <x:is>
          <x:t xml:space="preserve">Public surface</x:t>
        </x:is>
      </x:c>
      <x:c r="D12" s="150" t="inlineStr">
        <x:is>
          <x:t xml:space="preserve">Uploader recipes and shared Button/CloseButton visual props, responsive action sizes, native composition and refs type-check.</x:t>
        </x:is>
      </x:c>
      <x:c r="E12" s="149" t="inlineStr">
        <x:is>
          <x:t xml:space="preserve">package</x:t>
        </x:is>
      </x:c>
      <x:c r="F12" s="149" t="inlineStr">
        <x:is>
          <x:t xml:space="preserve">types</x:t>
        </x:is>
      </x:c>
      <x:c r="G12" s="150" t="inlineStr">
        <x:is>
          <x:t xml:space="preserve">../test/types/components/file-upload.test.ts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46281.5</x:v>
      </x:c>
      <x:c r="K12" s="150" t="inlineStr">
        <x:is>
          <x:t xml:space="preserve">Public type suite passes.</x:t>
        </x:is>
      </x:c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FU-05</x:t>
        </x:is>
      </x:c>
      <x:c r="B13" s="149" t="inlineStr">
        <x:is>
          <x:t xml:space="preserve">Exports</x:t>
        </x:is>
      </x:c>
      <x:c r="C13" s="149" t="inlineStr">
        <x:is>
          <x:t xml:space="preserve">All parts</x:t>
        </x:is>
      </x:c>
      <x:c r="D13" s="150" t="inlineStr">
        <x:is>
          <x:t xml:space="preserve">Root and file-upload subpath exports preserve namespace and named runtime identity with complete declarations.</x:t>
        </x:is>
      </x:c>
      <x:c r="E13" s="149" t="inlineStr">
        <x:is>
          <x:t xml:space="preserve">package</x:t>
        </x:is>
      </x:c>
      <x:c r="F13" s="149" t="inlineStr">
        <x:is>
          <x:t xml:space="preserve">package</x:t>
        </x:is>
      </x:c>
      <x:c r="G13" s="150" t="inlineStr">
        <x:is>
          <x:t xml:space="preserve">../test/package/package.test.mjs; ../package.json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46232</x:v>
      </x:c>
      <x:c r="K13" s="150" t="inlineStr">
        <x:is>
          <x:t xml:space="preserve">Root/subpath runtime and declaration checks pass.</x:t>
        </x:is>
      </x:c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FU-06</x:t>
        </x:is>
      </x:c>
      <x:c r="B14" s="149" t="inlineStr">
        <x:is>
          <x:t xml:space="preserve">SSR</x:t>
        </x:is>
      </x:c>
      <x:c r="C14" s="149" t="inlineStr">
        <x:is>
          <x:t xml:space="preserve">Root / picker</x:t>
        </x:is>
      </x:c>
      <x:c r="D14" s="150" t="inlineStr">
        <x:is>
          <x:t xml:space="preserve">File Upload imports server-safely and emits deterministic empty picker and dropzone anatomy.</x:t>
        </x:is>
      </x:c>
      <x:c r="E14" s="149" t="inlineStr">
        <x:is>
          <x:t xml:space="preserve">package</x:t>
        </x:is>
      </x:c>
      <x:c r="F14" s="149" t="inlineStr">
        <x:is>
          <x:t xml:space="preserve">package</x:t>
        </x:is>
      </x:c>
      <x:c r="G14" s="150" t="inlineStr">
        <x:is>
          <x:t xml:space="preserve">../test/package/ssr.test.mjs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46232</x:v>
      </x:c>
      <x:c r="K14" s="150" t="inlineStr">
        <x:is>
          <x:t xml:space="preserve">SSR package assertion passes.</x:t>
        </x:is>
      </x:c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FU-07</x:t>
        </x:is>
      </x:c>
      <x:c r="B15" s="149" t="inlineStr">
        <x:is>
          <x:t xml:space="preserve">CSS</x:t>
        </x:is>
      </x:c>
      <x:c r="C15" s="149" t="inlineStr">
        <x:is>
          <x:t xml:space="preserve">All parts</x:t>
        </x:is>
      </x:c>
      <x:c r="D15" s="150" t="inlineStr">
        <x:is>
          <x:t xml:space="preserve">Static CSS retains uploader recipes and delegates action sizes, tones, variants, focus and loading to Button/CloseButton.</x:t>
        </x:is>
      </x:c>
      <x:c r="E15" s="149" t="inlineStr">
        <x:is>
          <x:t xml:space="preserve">package</x:t>
        </x:is>
      </x:c>
      <x:c r="F15" s="149" t="inlineStr">
        <x:is>
          <x:t xml:space="preserve">css</x:t>
        </x:is>
      </x:c>
      <x:c r="G15" s="150" t="inlineStr">
        <x:is>
          <x:t xml:space="preserve">../src/components/file-upload/file-upload.css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46281.5</x:v>
      </x:c>
      <x:c r="K15" s="150" t="inlineStr">
        <x:is>
          <x:t xml:space="preserve">Production CSS and CSS tests pass.</x:t>
        </x:is>
      </x:c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FU-08</x:t>
        </x:is>
      </x:c>
      <x:c r="B16" s="149" t="inlineStr">
        <x:is>
          <x:t xml:space="preserve">Picker</x:t>
        </x:is>
      </x:c>
      <x:c r="C16" s="149" t="inlineStr">
        <x:is>
          <x:t xml:space="preserve">HiddenInput / Trigger</x:t>
        </x:is>
      </x:c>
      <x:c r="D16" s="150" t="inlineStr">
        <x:is>
          <x:t xml:space="preserve">Native picker, multiple review, removal, capacity and clear work with shared Button and IconButton hosts.</x:t>
        </x:is>
      </x:c>
      <x:c r="E16" s="149" t="inlineStr">
        <x:is>
          <x:t xml:space="preserve">browser</x:t>
        </x:is>
      </x:c>
      <x:c r="F16" s="149" t="inlineStr">
        <x:is>
          <x:t xml:space="preserve">browser</x:t>
        </x:is>
      </x:c>
      <x:c r="G16" s="150" t="inlineStr">
        <x:is>
          <x:t xml:space="preserve">tests/components/file-upload/behavior.spec.ts</x:t>
        </x:is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n">
        <x:v>46281.5</x:v>
      </x:c>
      <x:c r="K16" s="144" t="inlineStr">
        <x:is>
          <x:t xml:space="preserve">Forty tests pass across five browser profiles.</x:t>
        </x:is>
      </x:c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FU-09</x:t>
        </x:is>
      </x:c>
      <x:c r="B17" s="149" t="inlineStr">
        <x:is>
          <x:t xml:space="preserve">Drag and drop</x:t>
        </x:is>
      </x:c>
      <x:c r="C17" s="149" t="inlineStr">
        <x:is>
          <x:t xml:space="preserve">Dropzone</x:t>
        </x:is>
      </x:c>
      <x:c r="D17" s="150" t="inlineStr">
        <x:is>
          <x:t xml:space="preserve">Pre-drop accepted and rejected states are truthful, rejected candidates remain excluded, and file-only document-drop protection preserves unrelated drag/drop.</x:t>
        </x:is>
      </x:c>
      <x:c r="E17" s="149" t="inlineStr">
        <x:is>
          <x:t xml:space="preserve">browser</x:t>
        </x:is>
      </x:c>
      <x:c r="F17" s="149" t="inlineStr">
        <x:is>
          <x:t xml:space="preserve">browser</x:t>
        </x:is>
      </x:c>
      <x:c r="G17" s="150" t="inlineStr">
        <x:is>
          <x:t xml:space="preserve">tests/components/file-upload/behavior.spec.ts; @flowstack-ui/atom 0.19.7 behavior suite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n">
        <x:v>46232</x:v>
      </x:c>
      <x:c r="K17" s="150" t="inlineStr">
        <x:is>
          <x:t xml:space="preserve">Drag acceptance/rejection passes in Chromium, Firefox, WebKit, mobile Chromium, and mobile WebKit.</x:t>
        </x:is>
      </x:c>
      <x:c r="L17" s="149" t="n">
        <x:v>1</x:v>
      </x:c>
      <x:c r="M17" s="149" t="n">
        <x:f>IF(OR(AND(I17="yes",H17="verified"),AND(I17="no",OR(H17="tested",H17="verified")),AND(H17="not applicable",K17&lt;&gt;"")),1,0)</x:f>
        <x:v>1</x:v>
      </x:c>
    </x:row>
    <x:row r="18" s="127" customFormat="1" ht="54" customHeight="1">
      <x:c r="A18" s="149" t="inlineStr">
        <x:is>
          <x:t xml:space="preserve">FU-10</x:t>
        </x:is>
      </x:c>
      <x:c r="B18" s="149" t="inlineStr">
        <x:is>
          <x:t xml:space="preserve">Constraints</x:t>
        </x:is>
      </x:c>
      <x:c r="C18" s="149" t="inlineStr">
        <x:is>
          <x:t xml:space="preserve">Root / Dropzone</x:t>
        </x:is>
      </x:c>
      <x:c r="D18" s="150" t="inlineStr">
        <x:is>
          <x:t xml:space="preserve">Structured accept, min/max size, contextual errors, capacity, async transforms and rejection feedback remain observable.</x:t>
        </x:is>
      </x:c>
      <x:c r="E18" s="149" t="inlineStr">
        <x:is>
          <x:t xml:space="preserve">browser</x:t>
        </x:is>
      </x:c>
      <x:c r="F18" s="149" t="inlineStr">
        <x:is>
          <x:t xml:space="preserve">browser</x:t>
        </x:is>
      </x:c>
      <x:c r="G18" s="150" t="inlineStr">
        <x:is>
          <x:t xml:space="preserve">tests/components/file-upload/behavior.spec.ts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n">
        <x:v>46281.5</x:v>
      </x:c>
      <x:c r="K18" s="150" t="inlineStr">
        <x:is>
          <x:t xml:space="preserve">Atom regression and browser transform checks pass.</x:t>
        </x:is>
      </x:c>
      <x:c r="L18" s="149" t="n">
        <x:v>1</x:v>
      </x:c>
      <x:c r="M18" s="149" t="n">
        <x:f>IF(OR(AND(I18="yes",H18="verified"),AND(I18="no",OR(H18="tested",H18="verified")),AND(H18="not applicable",K18&lt;&gt;"")),1,0)</x:f>
        <x:v>1</x:v>
      </x:c>
    </x:row>
    <x:row r="19" s="127" customFormat="1" ht="54" customHeight="1">
      <x:c r="A19" s="149" t="inlineStr">
        <x:is>
          <x:t xml:space="preserve">FU-11</x:t>
        </x:is>
      </x:c>
      <x:c r="B19" s="149" t="inlineStr">
        <x:is>
          <x:t xml:space="preserve">Field and forms</x:t>
        </x:is>
      </x:c>
      <x:c r="C19" s="149" t="inlineStr">
        <x:is>
          <x:t xml:space="preserve">Root / HiddenInput / Trigger</x:t>
        </x:is>
      </x:c>
      <x:c r="D19" s="150" t="inlineStr">
        <x:is>
          <x:t xml:space="preserve">Standalone and one-Field composition preserve one label, descriptions, required/invalid state, visible focus delegation, named FormData files, submit, external ownership, and reset.</x:t>
        </x:is>
      </x:c>
      <x:c r="E19" s="149" t="inlineStr">
        <x:is>
          <x:t xml:space="preserve">browser</x:t>
        </x:is>
      </x:c>
      <x:c r="F19" s="149" t="inlineStr">
        <x:is>
          <x:t xml:space="preserve">browser</x:t>
        </x:is>
      </x:c>
      <x:c r="G19" s="150" t="inlineStr">
        <x:is>
          <x:t xml:space="preserve">tests/components/file-upload/behavior.spec.ts; ../apps/consumer/tests/consumer.spec.ts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46232</x:v>
      </x:c>
      <x:c r="K19" s="150" t="inlineStr">
        <x:is>
          <x:t xml:space="preserve">Field relationships and native reset pass in focused browser and Consumer suites.</x:t>
        </x:is>
      </x:c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FU-12</x:t>
        </x:is>
      </x:c>
      <x:c r="B20" s="149" t="inlineStr">
        <x:is>
          <x:t xml:space="preserve">States</x:t>
        </x:is>
      </x:c>
      <x:c r="C20" s="149" t="inlineStr">
        <x:is>
          <x:t xml:space="preserve">All interactive parts</x:t>
        </x:is>
      </x:c>
      <x:c r="D20" s="150" t="inlineStr">
        <x:is>
          <x:t xml:space="preserve">Disabled and read-only states remain readable and non-mutating; controlled and uncontrolled file ownership stay distinct.</x:t>
        </x:is>
      </x:c>
      <x:c r="E20" s="149" t="inlineStr">
        <x:is>
          <x:t xml:space="preserve">package</x:t>
        </x:is>
      </x:c>
      <x:c r="F20" s="149" t="inlineStr">
        <x:is>
          <x:t xml:space="preserve">component</x:t>
        </x:is>
      </x:c>
      <x:c r="G20" s="150" t="inlineStr">
        <x:is>
          <x:t xml:space="preserve">../test/components/file-upload/file-upload.test.tsx; tests/components/file-upload/behavior.spec.ts</x:t>
        </x:is>
      </x:c>
      <x:c r="H20" s="149" t="inlineStr">
        <x:is>
          <x:t xml:space="preserve">tested</x:t>
        </x:is>
      </x:c>
      <x:c r="I20" s="149" t="inlineStr">
        <x:is>
          <x:t xml:space="preserve">no</x:t>
        </x:is>
      </x:c>
      <x:c r="J20" s="151" t="n">
        <x:v>46232</x:v>
      </x:c>
      <x:c r="K20" s="150" t="inlineStr">
        <x:is>
          <x:t xml:space="preserve">Component and browser state assertions pass.</x:t>
        </x:is>
      </x:c>
      <x:c r="L20" s="149" t="n">
        <x:v>1</x:v>
      </x:c>
      <x:c r="M20" s="149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49" t="inlineStr">
        <x:is>
          <x:t xml:space="preserve">FU-13</x:t>
        </x:is>
      </x:c>
      <x:c r="B21" s="149" t="inlineStr">
        <x:is>
          <x:t xml:space="preserve">Variants</x:t>
        </x:is>
      </x:c>
      <x:c r="C21" s="149" t="inlineStr">
        <x:is>
          <x:t xml:space="preserve">Root / Dropzone</x:t>
        </x:is>
      </x:c>
      <x:c r="D21" s="150" t="inlineStr">
        <x:is>
          <x:t xml:space="preserve">Outline and soft recipes change only surface and border treatment while preserving anatomy and geometry.</x:t>
        </x:is>
      </x:c>
      <x:c r="E21" s="149" t="inlineStr">
        <x:is>
          <x:t xml:space="preserve">browser</x:t>
        </x:is>
      </x:c>
      <x:c r="F21" s="149" t="inlineStr">
        <x:is>
          <x:t xml:space="preserve">visual</x:t>
        </x:is>
      </x:c>
      <x:c r="G21" s="150" t="inlineStr">
        <x:is>
          <x:t xml:space="preserve">tests/components/file-upload/visual.spec.ts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46232</x:v>
      </x:c>
      <x:c r="K21" s="150" t="inlineStr">
        <x:is>
          <x:t xml:space="preserve">Chromium recipe baseline passes and was visually inspected.</x:t>
        </x:is>
      </x:c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FU-14</x:t>
        </x:is>
      </x:c>
      <x:c r="B22" s="149" t="inlineStr">
        <x:is>
          <x:t xml:space="preserve">Sizes and shapes</x:t>
        </x:is>
      </x:c>
      <x:c r="C22" s="149" t="inlineStr">
        <x:is>
          <x:t xml:space="preserve">Root / actions / items</x:t>
        </x:is>
      </x:c>
      <x:c r="D22" s="150" t="inlineStr">
        <x:is>
          <x:t xml:space="preserve">Uploader density and radius are independent of action size and radius.</x:t>
        </x:is>
      </x:c>
      <x:c r="E22" s="149" t="inlineStr">
        <x:is>
          <x:t xml:space="preserve">browser</x:t>
        </x:is>
      </x:c>
      <x:c r="F22" s="149" t="inlineStr">
        <x:is>
          <x:t xml:space="preserve">browser</x:t>
        </x:is>
      </x:c>
      <x:c r="G22" s="150" t="inlineStr">
        <x:is>
          <x:t xml:space="preserve">tests/components/file-upload/behavior.spec.ts; tests/components/file-upload/visual.spec.ts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46281.5</x:v>
      </x:c>
      <x:c r="K22" s="150" t="inlineStr">
        <x:is>
          <x:t xml:space="preserve">Shared-action tests and visual review pass.</x:t>
        </x:is>
      </x:c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FU-15</x:t>
        </x:is>
      </x:c>
      <x:c r="B23" s="149" t="inlineStr">
        <x:is>
          <x:t xml:space="preserve">File content</x:t>
        </x:is>
      </x:c>
      <x:c r="C23" s="149" t="inlineStr">
        <x:is>
          <x:t xml:space="preserve">Item / ItemName / ItemSize / ItemDeleteTrigger</x:t>
        </x:is>
      </x:c>
      <x:c r="D23" s="150" t="inlineStr">
        <x:is>
          <x:t xml:space="preserve">Multiple long filenames, complete accessible names, formatted sizes, and remove actions remain readable and contained without sharp overflow edges.</x:t>
        </x:is>
      </x:c>
      <x:c r="E23" s="149" t="inlineStr">
        <x:is>
          <x:t xml:space="preserve">browser</x:t>
        </x:is>
      </x:c>
      <x:c r="F23" s="149" t="inlineStr">
        <x:is>
          <x:t xml:space="preserve">visual</x:t>
        </x:is>
      </x:c>
      <x:c r="G23" s="150" t="inlineStr">
        <x:is>
          <x:t xml:space="preserve">tests/components/file-upload/visual.spec.ts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>
        <x:v>46232</x:v>
      </x:c>
      <x:c r="K23" s="150" t="inlineStr">
        <x:is>
          <x:t xml:space="preserve">Filled and stress baselines pass and were visually inspected.</x:t>
        </x:is>
      </x:c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FU-16</x:t>
        </x:is>
      </x:c>
      <x:c r="B24" s="149" t="inlineStr">
        <x:is>
          <x:t xml:space="preserve">Responsive</x:t>
        </x:is>
      </x:c>
      <x:c r="C24" s="149" t="inlineStr">
        <x:is>
          <x:t xml:space="preserve">Root / items</x:t>
        </x:is>
      </x:c>
      <x:c r="D24" s="150" t="inlineStr">
        <x:is>
          <x:t xml:space="preserve">Full/intrinsic width, mobile reflow, ellipsis and shared Button action sizing remain contained.</x:t>
        </x:is>
      </x:c>
      <x:c r="E24" s="149" t="inlineStr">
        <x:is>
          <x:t xml:space="preserve">browser</x:t>
        </x:is>
      </x:c>
      <x:c r="F24" s="149" t="inlineStr">
        <x:is>
          <x:t xml:space="preserve">browser</x:t>
        </x:is>
      </x:c>
      <x:c r="G24" s="150" t="inlineStr">
        <x:is>
          <x:t xml:space="preserve">tests/components/file-upload/behavior.spec.ts</x:t>
        </x:is>
      </x:c>
      <x:c r="H24" s="149" t="inlineStr">
        <x:is>
          <x:t xml:space="preserve">tested</x:t>
        </x:is>
      </x:c>
      <x:c r="I24" s="149" t="inlineStr">
        <x:is>
          <x:t xml:space="preserve">no</x:t>
        </x:is>
      </x:c>
      <x:c r="J24" s="151" t="n">
        <x:v>46281.5</x:v>
      </x:c>
      <x:c r="K24" s="150" t="inlineStr">
        <x:is>
          <x:t xml:space="preserve">Five browser profiles verify narrow and RTL layouts.</x:t>
        </x:is>
      </x:c>
      <x:c r="L24" s="149" t="n">
        <x:v>1</x:v>
      </x:c>
      <x:c r="M24" s="149" t="n">
        <x:f>IF(OR(AND(I24="yes",H24="verified"),AND(I24="no",OR(H24="tested",H24="verified")),AND(H24="not applicable",K24&lt;&gt;"")),1,0)</x:f>
        <x:v>1</x:v>
      </x:c>
    </x:row>
    <x:row r="25" s="127" customFormat="1" ht="54" customHeight="1">
      <x:c r="A25" s="149" t="inlineStr">
        <x:is>
          <x:t xml:space="preserve">FU-17</x:t>
        </x:is>
      </x:c>
      <x:c r="B25" s="149" t="inlineStr">
        <x:is>
          <x:t xml:space="preserve">RTL</x:t>
        </x:is>
      </x:c>
      <x:c r="C25" s="149" t="inlineStr">
        <x:is>
          <x:t xml:space="preserve">All parts</x:t>
        </x:is>
      </x:c>
      <x:c r="D25" s="150" t="inlineStr">
        <x:is>
          <x:t xml:space="preserve">Logical layout visibly mirrors item actions and dropzone composition without changing filename direction or causing overflow.</x:t>
        </x:is>
      </x:c>
      <x:c r="E25" s="149" t="inlineStr">
        <x:is>
          <x:t xml:space="preserve">browser</x:t>
        </x:is>
      </x:c>
      <x:c r="F25" s="149" t="inlineStr">
        <x:is>
          <x:t xml:space="preserve">browser</x:t>
        </x:is>
      </x:c>
      <x:c r="G25" s="150" t="inlineStr">
        <x:is>
          <x:t xml:space="preserve">tests/components/file-upload/behavior.spec.ts</x:t>
        </x:is>
      </x:c>
      <x:c r="H25" s="149" t="inlineStr">
        <x:is>
          <x:t xml:space="preserve">tested</x:t>
        </x:is>
      </x:c>
      <x:c r="I25" s="149" t="inlineStr">
        <x:is>
          <x:t xml:space="preserve">no</x:t>
        </x:is>
      </x:c>
      <x:c r="J25" s="151" t="n">
        <x:v>46232</x:v>
      </x:c>
      <x:c r="K25" s="150" t="inlineStr">
        <x:is>
          <x:t xml:space="preserve">RTL action placement and containment assertions pass.</x:t>
        </x:is>
      </x:c>
      <x:c r="L25" s="149" t="n">
        <x:v>1</x:v>
      </x:c>
      <x:c r="M25" s="149" t="n">
        <x:f>IF(OR(AND(I25="yes",H25="verified"),AND(I25="no",OR(H25="tested",H25="verified")),AND(H25="not applicable",K25&lt;&gt;"")),1,0)</x:f>
        <x:v>1</x:v>
      </x:c>
    </x:row>
    <x:row r="26" s="127" customFormat="1" ht="54" customHeight="1">
      <x:c r="A26" s="149" t="inlineStr">
        <x:is>
          <x:t xml:space="preserve">FU-18</x:t>
        </x:is>
      </x:c>
      <x:c r="B26" s="149" t="inlineStr">
        <x:is>
          <x:t xml:space="preserve">Appearance and preferences</x:t>
        </x:is>
      </x:c>
      <x:c r="C26" s="149" t="inlineStr">
        <x:is>
          <x:t xml:space="preserve">All parts</x:t>
        </x:is>
      </x:c>
      <x:c r="D26" s="150" t="inlineStr">
        <x:is>
          <x:t xml:space="preserve">Light, dark, forced-color, reduced-motion, invalid, disabled, read-only, accepted, and rejected paint retain boundaries and non-color distinctions.</x:t>
        </x:is>
      </x:c>
      <x:c r="E26" s="149" t="inlineStr">
        <x:is>
          <x:t xml:space="preserve">browser</x:t>
        </x:is>
      </x:c>
      <x:c r="F26" s="149" t="inlineStr">
        <x:is>
          <x:t xml:space="preserve">visual</x:t>
        </x:is>
      </x:c>
      <x:c r="G26" s="150" t="inlineStr">
        <x:is>
          <x:t xml:space="preserve">tests/components/file-upload/visual.spec.ts</x:t>
        </x:is>
      </x:c>
      <x:c r="H26" s="149" t="inlineStr">
        <x:is>
          <x:t xml:space="preserve">tested</x:t>
        </x:is>
      </x:c>
      <x:c r="I26" s="149" t="inlineStr">
        <x:is>
          <x:t xml:space="preserve">no</x:t>
        </x:is>
      </x:c>
      <x:c r="J26" s="151" t="n">
        <x:v>46232</x:v>
      </x:c>
      <x:c r="K26" s="150" t="inlineStr">
        <x:is>
          <x:t xml:space="preserve">Appearance, state, and stress baselines pass and were visually inspected.</x:t>
        </x:is>
      </x:c>
      <x:c r="L26" s="149" t="n">
        <x:v>1</x:v>
      </x:c>
      <x:c r="M26" s="149" t="n">
        <x:f>IF(OR(AND(I26="yes",H26="verified"),AND(I26="no",OR(H26="tested",H26="verified")),AND(H26="not applicable",K26&lt;&gt;"")),1,0)</x:f>
        <x:v>1</x:v>
      </x:c>
    </x:row>
    <x:row r="27" s="127" customFormat="1" ht="54" customHeight="1">
      <x:c r="A27" s="149" t="inlineStr">
        <x:is>
          <x:t xml:space="preserve">FU-19</x:t>
        </x:is>
      </x:c>
      <x:c r="B27" s="149" t="inlineStr">
        <x:is>
          <x:t xml:space="preserve">Customization</x:t>
        </x:is>
      </x:c>
      <x:c r="C27" s="149" t="inlineStr">
        <x:is>
          <x:t xml:space="preserve">All parts</x:t>
        </x:is>
      </x:c>
      <x:c r="D27" s="150" t="inlineStr">
        <x:is>
          <x:t xml:space="preserve">Stable classes, slots, public variables, className, style, authored Trigger content, and custom delete content preserve Atom behavior.</x:t>
        </x:is>
      </x:c>
      <x:c r="E27" s="149" t="inlineStr">
        <x:is>
          <x:t xml:space="preserve">package</x:t>
        </x:is>
      </x:c>
      <x:c r="F27" s="149" t="inlineStr">
        <x:is>
          <x:t xml:space="preserve">component</x:t>
        </x:is>
      </x:c>
      <x:c r="G27" s="150" t="inlineStr">
        <x:is>
          <x:t xml:space="preserve">../test/components/file-upload/file-upload.test.tsx; ../docs/components/file-upload/README.md</x:t>
        </x:is>
      </x:c>
      <x:c r="H27" s="149" t="inlineStr">
        <x:is>
          <x:t xml:space="preserve">tested</x:t>
        </x:is>
      </x:c>
      <x:c r="I27" s="149" t="inlineStr">
        <x:is>
          <x:t xml:space="preserve">no</x:t>
        </x:is>
      </x:c>
      <x:c r="J27" s="151" t="n">
        <x:v>46232</x:v>
      </x:c>
      <x:c r="K27" s="150" t="inlineStr">
        <x:is>
          <x:t xml:space="preserve">Customization assertions and documentation contract pass.</x:t>
        </x:is>
      </x:c>
      <x:c r="L27" s="149" t="n">
        <x:v>1</x:v>
      </x:c>
      <x:c r="M27" s="149" t="n">
        <x:f>IF(OR(AND(I27="yes",H27="verified"),AND(I27="no",OR(H27="tested",H27="verified")),AND(H27="not applicable",K27&lt;&gt;"")),1,0)</x:f>
        <x:v>1</x:v>
      </x:c>
    </x:row>
    <x:row r="28" s="127" customFormat="1" ht="54" customHeight="1">
      <x:c r="A28" s="149" t="inlineStr">
        <x:is>
          <x:t xml:space="preserve">FU-20</x:t>
        </x:is>
      </x:c>
      <x:c r="B28" s="149" t="inlineStr">
        <x:is>
          <x:t xml:space="preserve">Accessibility</x:t>
        </x:is>
      </x:c>
      <x:c r="C28" s="149" t="inlineStr">
        <x:is>
          <x:t xml:space="preserve">HiddenInput / Trigger / Dropzone / items</x:t>
        </x:is>
      </x:c>
      <x:c r="D28" s="150" t="inlineStr">
        <x:is>
          <x:t xml:space="preserve">One field label, action wording, description/error relationships, required/invalid state, picker alternative, file-specific removal names, focus, targets, and axe checks pass.</x:t>
        </x:is>
      </x:c>
      <x:c r="E28" s="149" t="inlineStr">
        <x:is>
          <x:t xml:space="preserve">browser</x:t>
        </x:is>
      </x:c>
      <x:c r="F28" s="149" t="inlineStr">
        <x:is>
          <x:t xml:space="preserve">axe</x:t>
        </x:is>
      </x:c>
      <x:c r="G28" s="150" t="inlineStr">
        <x:is>
          <x:t xml:space="preserve">tests/components/file-upload/behavior.spec.ts; @flowstack-ui/atom 0.19.7 behavior suite</x:t>
        </x:is>
      </x:c>
      <x:c r="H28" s="149" t="inlineStr">
        <x:is>
          <x:t xml:space="preserve">tested</x:t>
        </x:is>
      </x:c>
      <x:c r="I28" s="149" t="inlineStr">
        <x:is>
          <x:t xml:space="preserve">no</x:t>
        </x:is>
      </x:c>
      <x:c r="J28" s="151" t="n">
        <x:v>46232</x:v>
      </x:c>
      <x:c r="K28" s="150" t="inlineStr">
        <x:is>
          <x:t xml:space="preserve">Focused axe and semantic assertions pass across all configured projects.</x:t>
        </x:is>
      </x:c>
      <x:c r="L28" s="149" t="n">
        <x:v>1</x:v>
      </x:c>
      <x:c r="M28" s="149" t="n">
        <x:f>IF(OR(AND(I28="yes",H28="verified"),AND(I28="no",OR(H28="tested",H28="verified")),AND(H28="not applicable",K28&lt;&gt;"")),1,0)</x:f>
        <x:v>1</x:v>
      </x:c>
    </x:row>
    <x:row r="29" s="127" customFormat="1" ht="54" customHeight="1">
      <x:c r="A29" s="149" t="inlineStr">
        <x:is>
          <x:t xml:space="preserve">FU-21</x:t>
        </x:is>
      </x:c>
      <x:c r="B29" s="149" t="inlineStr">
        <x:is>
          <x:t xml:space="preserve">Playground</x:t>
        </x:is>
      </x:c>
      <x:c r="C29" s="149" t="inlineStr">
        <x:is>
          <x:t xml:space="preserve">All parts</x:t>
        </x:is>
      </x:c>
      <x:c r="D29" s="150" t="inlineStr">
        <x:is>
          <x:t xml:space="preserve">Normal route uses focused Preview/Code examples and multipart Props/TOC. The former nine-scenario matrix remains under qualification.</x:t>
        </x:is>
      </x:c>
      <x:c r="E29" s="149" t="inlineStr">
        <x:is>
          <x:t xml:space="preserve">package</x:t>
        </x:is>
      </x:c>
      <x:c r="F29" s="149" t="inlineStr">
        <x:is>
          <x:t xml:space="preserve">playground</x:t>
        </x:is>
      </x:c>
      <x:c r="G29" s="150" t="inlineStr">
        <x:is>
          <x:t xml:space="preserve">src/components/file-upload/FileUploadPage.tsx</x:t>
        </x:is>
      </x:c>
      <x:c r="H29" s="149" t="inlineStr">
        <x:is>
          <x:t xml:space="preserve">tested</x:t>
        </x:is>
      </x:c>
      <x:c r="I29" s="149" t="inlineStr">
        <x:is>
          <x:t xml:space="preserve">no</x:t>
        </x:is>
      </x:c>
      <x:c r="J29" s="151" t="n">
        <x:v>46281.5</x:v>
      </x:c>
      <x:c r="K29" s="150" t="inlineStr">
        <x:is>
          <x:t xml:space="preserve">Documentation examples exercised in five browser profiles.</x:t>
        </x:is>
      </x:c>
      <x:c r="L29" s="149" t="n">
        <x:v>1</x:v>
      </x:c>
      <x:c r="M29" s="149" t="n">
        <x:f>IF(OR(AND(I29="yes",H29="verified"),AND(I29="no",OR(H29="tested",H29="verified")),AND(H29="not applicable",K29&lt;&gt;"")),1,0)</x:f>
        <x:v>1</x:v>
      </x:c>
    </x:row>
    <x:row r="30" s="127" customFormat="1" ht="54" customHeight="1">
      <x:c r="A30" s="149" t="inlineStr">
        <x:is>
          <x:t xml:space="preserve">FU-22</x:t>
        </x:is>
      </x:c>
      <x:c r="B30" s="149" t="inlineStr">
        <x:is>
          <x:t xml:space="preserve">Visual baselines</x:t>
        </x:is>
      </x:c>
      <x:c r="C30" s="149" t="inlineStr">
        <x:is>
          <x:t xml:space="preserve">All parts</x:t>
        </x:is>
      </x:c>
      <x:c r="D30" s="150" t="inlineStr">
        <x:is>
          <x:t xml:space="preserve">Six reviewed baselines cover overview, variants, density, states, appearance and mobile/RTL stress.</x:t>
        </x:is>
      </x:c>
      <x:c r="E30" s="149" t="inlineStr">
        <x:is>
          <x:t xml:space="preserve">browser</x:t>
        </x:is>
      </x:c>
      <x:c r="F30" s="149" t="inlineStr">
        <x:is>
          <x:t xml:space="preserve">visual</x:t>
        </x:is>
      </x:c>
      <x:c r="G30" s="150" t="inlineStr">
        <x:is>
          <x:t xml:space="preserve">tests/components/file-upload/visual.spec.ts; tests/components/file-upload/visual.spec.ts-snapshots</x:t>
        </x:is>
      </x:c>
      <x:c r="H30" s="149" t="inlineStr">
        <x:is>
          <x:t xml:space="preserve">tested</x:t>
        </x:is>
      </x:c>
      <x:c r="I30" s="149" t="inlineStr">
        <x:is>
          <x:t xml:space="preserve">no</x:t>
        </x:is>
      </x:c>
      <x:c r="J30" s="151" t="n">
        <x:v>46281.5</x:v>
      </x:c>
      <x:c r="K30" s="150" t="inlineStr">
        <x:is>
          <x:t xml:space="preserve">Six Chromium images visually reviewed.</x:t>
        </x:is>
      </x:c>
      <x:c r="L30" s="149" t="n">
        <x:v>1</x:v>
      </x:c>
      <x:c r="M30" s="149" t="n">
        <x:f>IF(OR(AND(I30="yes",H30="verified"),AND(I30="no",OR(H30="tested",H30="verified")),AND(H30="not applicable",K30&lt;&gt;"")),1,0)</x:f>
        <x:v>1</x:v>
      </x:c>
    </x:row>
    <x:row r="31" s="127" customFormat="1" ht="54" customHeight="1">
      <x:c r="A31" s="149" t="inlineStr">
        <x:is>
          <x:t xml:space="preserve">FU-23</x:t>
        </x:is>
      </x:c>
      <x:c r="B31" s="149" t="inlineStr">
        <x:is>
          <x:t xml:space="preserve">Documentation</x:t>
        </x:is>
      </x:c>
      <x:c r="C31" s="149" t="inlineStr">
        <x:is>
          <x:t xml:space="preserve">Public guide</x:t>
        </x:is>
      </x:c>
      <x:c r="D31" s="150" t="inlineStr">
        <x:is>
          <x:t xml:space="preserve">Public guidance documents controller, actions, transforms, preview cleanup, composition, behavior and transport boundaries.</x:t>
        </x:is>
      </x:c>
      <x:c r="E31" s="149" t="inlineStr">
        <x:is>
          <x:t xml:space="preserve">package</x:t>
        </x:is>
      </x:c>
      <x:c r="F31" s="149" t="inlineStr">
        <x:is>
          <x:t xml:space="preserve">documentation</x:t>
        </x:is>
      </x:c>
      <x:c r="G31" s="150" t="inlineStr">
        <x:is>
          <x:t xml:space="preserve">../docs/components/file-upload/README.md</x:t>
        </x:is>
      </x:c>
      <x:c r="H31" s="149" t="inlineStr">
        <x:is>
          <x:t xml:space="preserve">tested</x:t>
        </x:is>
      </x:c>
      <x:c r="I31" s="149" t="inlineStr">
        <x:is>
          <x:t xml:space="preserve">no</x:t>
        </x:is>
      </x:c>
      <x:c r="J31" s="151" t="n">
        <x:v>46281.5</x:v>
      </x:c>
      <x:c r="K31" s="150" t="inlineStr">
        <x:is>
          <x:t xml:space="preserve">Focused structure and semantic checks pass.</x:t>
        </x:is>
      </x:c>
      <x:c r="L31" s="149" t="n">
        <x:v>1</x:v>
      </x:c>
      <x:c r="M31" s="149" t="n">
        <x:f>IF(OR(AND(I31="yes",H31="verified"),AND(I31="no",OR(H31="tested",H31="verified")),AND(H31="not applicable",K31&lt;&gt;"")),1,0)</x:f>
        <x:v>1</x:v>
      </x:c>
    </x:row>
    <x:row r="32" s="127" customFormat="1" ht="54" customHeight="1">
      <x:c r="A32" s="149" t="inlineStr">
        <x:is>
          <x:t xml:space="preserve">FU-24</x:t>
        </x:is>
      </x:c>
      <x:c r="B32" s="149" t="inlineStr">
        <x:is>
          <x:t xml:space="preserve">Changelog</x:t>
        </x:is>
      </x:c>
      <x:c r="C32" s="149" t="inlineStr">
        <x:is>
          <x:t xml:space="preserve">Public record</x:t>
        </x:is>
      </x:c>
      <x:c r="D32" s="150" t="inlineStr">
        <x:is>
          <x:t xml:space="preserve">Component and package changelogs describe the release-facing File Upload addition and Atom dependency.</x:t>
        </x:is>
      </x:c>
      <x:c r="E32" s="149" t="inlineStr">
        <x:is>
          <x:t xml:space="preserve">package</x:t>
        </x:is>
      </x:c>
      <x:c r="F32" s="149" t="inlineStr">
        <x:is>
          <x:t xml:space="preserve">documentation</x:t>
        </x:is>
      </x:c>
      <x:c r="G32" s="150" t="inlineStr">
        <x:is>
          <x:t xml:space="preserve">../docs/components/file-upload/CHANGELOG.md; ../CHANGELOG.md</x:t>
        </x:is>
      </x:c>
      <x:c r="H32" s="149" t="inlineStr">
        <x:is>
          <x:t xml:space="preserve">tested</x:t>
        </x:is>
      </x:c>
      <x:c r="I32" s="149" t="inlineStr">
        <x:is>
          <x:t xml:space="preserve">no</x:t>
        </x:is>
      </x:c>
      <x:c r="J32" s="151" t="n">
        <x:v>46232</x:v>
      </x:c>
      <x:c r="K32" s="150" t="inlineStr">
        <x:is>
          <x:t xml:space="preserve">Changelog contract verification passes.</x:t>
        </x:is>
      </x:c>
      <x:c r="L32" s="149" t="n">
        <x:v>1</x:v>
      </x:c>
      <x:c r="M32" s="149" t="n">
        <x:f>IF(OR(AND(I32="yes",H32="verified"),AND(I32="no",OR(H32="tested",H32="verified")),AND(H32="not applicable",K32&lt;&gt;"")),1,0)</x:f>
        <x:v>1</x:v>
      </x:c>
    </x:row>
    <x:row r="33" s="127" customFormat="1" ht="54" customHeight="1">
      <x:c r="A33" s="149" t="inlineStr">
        <x:is>
          <x:t xml:space="preserve">FU-25</x:t>
        </x:is>
      </x:c>
      <x:c r="B33" s="149" t="inlineStr">
        <x:is>
          <x:t xml:space="preserve">Consumer</x:t>
        </x:is>
      </x:c>
      <x:c r="C33" s="149" t="inlineStr">
        <x:is>
          <x:t xml:space="preserve">Root / Field / items</x:t>
        </x:is>
      </x:c>
      <x:c r="D33" s="150" t="inlineStr">
        <x:is>
          <x:t xml:space="preserve">Packed Consumer composes a realistic local attachment field with constraints, rejection feedback, removal, native reset, and public file-upload subpath imports.</x:t>
        </x:is>
      </x:c>
      <x:c r="E33" s="149" t="inlineStr">
        <x:is>
          <x:t xml:space="preserve">consumer</x:t>
        </x:is>
      </x:c>
      <x:c r="F33" s="149" t="inlineStr">
        <x:is>
          <x:t xml:space="preserve">consumer</x:t>
        </x:is>
      </x:c>
      <x:c r="G33" s="150" t="inlineStr">
        <x:is>
          <x:t xml:space="preserve">../apps/consumer/src/App.tsx; ../apps/consumer/tests/consumer.spec.ts</x:t>
        </x:is>
      </x:c>
      <x:c r="H33" s="149" t="inlineStr">
        <x:is>
          <x:t xml:space="preserve">tested</x:t>
        </x:is>
      </x:c>
      <x:c r="I33" s="149" t="inlineStr">
        <x:is>
          <x:t xml:space="preserve">no</x:t>
        </x:is>
      </x:c>
      <x:c r="J33" s="151" t="n">
        <x:v>46232</x:v>
      </x:c>
      <x:c r="K33" s="150" t="inlineStr">
        <x:is>
          <x:t xml:space="preserve">Packed Consumer desktop/mobile suite and app artifact verification pass.</x:t>
        </x:is>
      </x:c>
      <x:c r="L33" s="149" t="n">
        <x:v>1</x:v>
      </x:c>
      <x:c r="M33" s="149" t="n">
        <x:f>IF(OR(AND(I33="yes",H33="verified"),AND(I33="no",OR(H33="tested",H33="verified")),AND(H33="not applicable",K33&lt;&gt;"")),1,0)</x:f>
        <x:v>1</x:v>
      </x:c>
    </x:row>
    <x:row r="34" s="127" customFormat="1" ht="54" customHeight="1">
      <x:c r="A34" s="149" t="inlineStr">
        <x:is>
          <x:t xml:space="preserve">FU-26</x:t>
        </x:is>
      </x:c>
      <x:c r="B34" s="149" t="inlineStr">
        <x:is>
          <x:t xml:space="preserve">Manual</x:t>
        </x:is>
      </x:c>
      <x:c r="C34" s="149" t="inlineStr">
        <x:is>
          <x:t xml:space="preserve">All parts</x:t>
        </x:is>
      </x:c>
      <x:c r="D34" s="150" t="inlineStr">
        <x:is>
          <x:t xml:space="preserve">Physical capture, directory/paste, screen reader, actual zoom and complete manual protocol remain unperformed.</x:t>
        </x:is>
      </x:c>
      <x:c r="E34" s="149" t="inlineStr">
        <x:is>
          <x:t xml:space="preserve">human</x:t>
        </x:is>
      </x:c>
      <x:c r="F34" s="149" t="inlineStr">
        <x:is>
          <x:t xml:space="preserve">manual</x:t>
        </x:is>
      </x:c>
      <x:c r="G34" s="150" t="inlineStr">
        <x:is>
          <x:t xml:space="preserve">manual-tests/file-upload.md</x:t>
        </x:is>
      </x:c>
      <x:c r="H34" s="149" t="inlineStr">
        <x:is>
          <x:t xml:space="preserve">not started</x:t>
        </x:is>
      </x:c>
      <x:c r="I34" s="149" t="inlineStr">
        <x:is>
          <x:t xml:space="preserve">yes</x:t>
        </x:is>
      </x:c>
      <x:c r="J34" s="151" t="n">
        <x:v>46281.5</x:v>
      </x:c>
      <x:c r="K34" s="150" t="inlineStr">
        <x:is>
          <x:t xml:space="preserve">Manual qualification remains open.</x:t>
        </x:is>
      </x:c>
      <x:c r="L34" s="149" t="n">
        <x:v>1</x:v>
      </x:c>
      <x:c r="M34" s="149" t="n">
        <x:f>IF(OR(AND(I34="yes",H34="verified"),AND(I34="no",OR(H34="tested",H34="verified")),AND(H34="not applicable",K34&lt;&gt;"")),1,0)</x:f>
        <x:v>0</x:v>
      </x:c>
    </x:row>
    <x:row r="35" s="127" customFormat="1" ht="54" customHeight="1">
      <x:c r="A35" s="149" t="inlineStr">
        <x:is>
          <x:t xml:space="preserve">FU-27</x:t>
        </x:is>
      </x:c>
      <x:c r="B35" s="149" t="inlineStr">
        <x:is>
          <x:t xml:space="preserve">Package</x:t>
        </x:is>
      </x:c>
      <x:c r="C35" s="149" t="inlineStr">
        <x:is>
          <x:t xml:space="preserve">Artifact</x:t>
        </x:is>
      </x:c>
      <x:c r="D35" s="150" t="inlineStr">
        <x:is>
          <x:t xml:space="preserve">Local builds, types, CSS, owner tests and browser checks are recorded separately from repository-wide and release gates.</x:t>
        </x:is>
      </x:c>
      <x:c r="E35" s="149" t="inlineStr">
        <x:is>
          <x:t xml:space="preserve">package</x:t>
        </x:is>
      </x:c>
      <x:c r="F35" s="149" t="inlineStr">
        <x:is>
          <x:t xml:space="preserve">package</x:t>
        </x:is>
      </x:c>
      <x:c r="G35" s="150" t="inlineStr">
        <x:is>
          <x:t xml:space="preserve">../scripts/verify-package.mjs; ../scripts/verify-consumers.mjs</x:t>
        </x:is>
      </x:c>
      <x:c r="H35" s="149" t="inlineStr">
        <x:is>
          <x:t xml:space="preserve">blocked</x:t>
        </x:is>
      </x:c>
      <x:c r="I35" s="149" t="inlineStr">
        <x:is>
          <x:t xml:space="preserve">no</x:t>
        </x:is>
      </x:c>
      <x:c r="J35" s="151" t="n">
        <x:v>46281.5</x:v>
      </x:c>
      <x:c r="K35" s="150" t="inlineStr">
        <x:is>
          <x:t xml:space="preserve">Repository-wide checks still have unrelated failures. Nothing released.</x:t>
        </x:is>
      </x:c>
      <x:c r="L35" s="149" t="n">
        <x:v>1</x:v>
      </x:c>
      <x:c r="M35" s="149" t="n">
        <x:f>IF(OR(AND(I35="yes",H35="verified"),AND(I35="no",OR(H35="tested",H35="verified")),AND(H35="not applicable",K35&lt;&gt;"")),1,0)</x:f>
        <x:v>0</x:v>
      </x:c>
    </x:row>
    <x:row r="36" s="127" customFormat="1" ht="54" customHeight="1">
      <x:c r="A36" s="149" t="inlineStr">
        <x:is>
          <x:t xml:space="preserve">FU-28</x:t>
        </x:is>
      </x:c>
      <x:c r="B36" s="149" t="inlineStr">
        <x:is>
          <x:t xml:space="preserve">Boundary</x:t>
        </x:is>
      </x:c>
      <x:c r="C36" s="149" t="inlineStr">
        <x:is>
          <x:t xml:space="preserve">All parts</x:t>
        </x:is>
      </x:c>
      <x:c r="D36" s="150" t="inlineStr">
        <x:is>
          <x:t xml:space="preserve">Network transport, retry, persistence, duplicate policy and server security remain application-owned. Selection previews, capture, directories, paste and transforms are supported.</x:t>
        </x:is>
      </x:c>
      <x:c r="E36" s="149" t="inlineStr">
        <x:is>
          <x:t xml:space="preserve">package</x:t>
        </x:is>
      </x:c>
      <x:c r="F36" s="149" t="inlineStr">
        <x:is>
          <x:t xml:space="preserve">documentation</x:t>
        </x:is>
      </x:c>
      <x:c r="G36" s="150" t="inlineStr">
        <x:is>
          <x:t xml:space="preserve">../docs/components/file-upload/README.md</x:t>
        </x:is>
      </x:c>
      <x:c r="H36" s="149" t="inlineStr">
        <x:is>
          <x:t xml:space="preserve">tested</x:t>
        </x:is>
      </x:c>
      <x:c r="I36" s="149" t="inlineStr">
        <x:is>
          <x:t xml:space="preserve">no</x:t>
        </x:is>
      </x:c>
      <x:c r="J36" s="151" t="n">
        <x:v>46281.5</x:v>
      </x:c>
      <x:c r="K36" s="150" t="inlineStr">
        <x:is>
          <x:t xml:space="preserve">Implementation boundary updated.</x:t>
        </x:is>
      </x:c>
      <x:c r="L36" s="149" t="n">
        <x:v>1</x:v>
      </x:c>
      <x:c r="M36" s="149" t="n">
        <x:f>IF(OR(AND(I36="yes",H36="verified"),AND(I36="no",OR(H36="tested",H36="verified")),AND(H36="not applicable",K36&lt;&gt;"")),1,0)</x:f>
        <x:v>1</x:v>
      </x:c>
    </x:row>
  </x:sheetData>
  <x:mergeCells>
    <x:mergeCell ref="A2:M2"/>
    <x:mergeCell ref="A1:M1"/>
  </x:mergeCells>
  <x:dataValidations count="2">
    <x:dataValidation type="list" errorStyle="stop" operator="between" allowBlank="0" showDropDown="0" showInputMessage="0" showErrorMessage="0" sqref="H9:H36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36">
      <x:formula1>"yes,no"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ac5200700e144b9c"/>
  </x:tableParts>
</x:worksheet>
</file>

<file path=xl/worksheets/sheet74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Skip Link Evidence</x:t>
        </x:is>
      </x:c>
    </x:row>
    <x:row r="2" s="127" customFormat="1" ht="27.75" customHeight="1">
      <x:c r="A2" s="129" t="inlineStr">
        <x:is>
          <x:t xml:space="preserve">Assertion-level Atom-backed bypass-link focus, activation, destination, composition, viewport, accessibility, visual, documentation, Consumer, and package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COUNTA(A9:A28)</x:f>
        <x:v>20</x:v>
      </x:c>
      <x:c r="D4" s="130" t="inlineStr">
        <x:is>
          <x:t xml:space="preserve">Resolved</x:t>
        </x:is>
      </x:c>
      <x:c r="E4" s="131" t="n">
        <x:f>SUM(M9:M28)</x:f>
        <x:v>19</x:v>
      </x:c>
      <x:c r="G4" s="130" t="inlineStr">
        <x:is>
          <x:t xml:space="preserve">Completion</x:t>
        </x:is>
      </x:c>
      <x:c r="H4" s="132" t="n">
        <x:f>IF(B4=0,0,E4/B4)</x:f>
        <x:v>0.95</x:v>
      </x:c>
      <x:c r="J4" s="130" t="inlineStr">
        <x:is>
          <x:t xml:space="preserve">Package gate</x:t>
        </x:is>
      </x:c>
      <x:c r="K4" s="131" t="str">
        <x:f>IF(COUNTIFS(E9:E28,"package",M9:M28,0)&gt;0,"open","complete")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IF(COUNTIFS(I9:I28,"yes",M9:M28,0)&gt;0,"open","complete")</x:f>
        <x:v>open</x:v>
      </x:c>
      <x:c r="D5" s="130" t="inlineStr">
        <x:is>
          <x:t xml:space="preserve">Consumer gate</x:t>
        </x:is>
      </x:c>
      <x:c r="E5" s="131" t="str">
        <x:f>IF(COUNTIFS(E9:E28,"consumer",M9:M28,0)&gt;0,"open","complete")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SL-01</x:t>
        </x:is>
      </x:c>
      <x:c r="B9" s="149" t="inlineStr">
        <x:is>
          <x:t xml:space="preserve">Ownership</x:t>
        </x:is>
      </x:c>
      <x:c r="C9" s="149" t="inlineStr">
        <x:is>
          <x:t xml:space="preserve">Root / Target</x:t>
        </x:is>
      </x:c>
      <x:c r="D9" s="150" t="inlineStr">
        <x:is>
          <x:t xml:space="preserve">Brick delegates focus transfer, target resolution, native fallback, and continuation to exact installed Atom 0.20.11 and adds only stable Brick hooks and visual treatment.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../src/components/skip-link/SkipLink.tsx; ../package.json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46232</x:v>
      </x:c>
      <x:c r="K9" s="150" t="inlineStr">
        <x:is>
          <x:t xml:space="preserve">Exact released Atom behavior and public adapter source were audited.</x:t>
        </x:is>
      </x:c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SL-02</x:t>
        </x:is>
      </x:c>
      <x:c r="B10" s="149" t="inlineStr">
        <x:is>
          <x:t xml:space="preserve">Anatomy</x:t>
        </x:is>
      </x:c>
      <x:c r="C10" s="149" t="inlineStr">
        <x:is>
          <x:t xml:space="preserve">Root / Target</x:t>
        </x:is>
      </x:c>
      <x:c r="D10" s="150" t="inlineStr">
        <x:is>
          <x:t xml:space="preserve">The two-part namespace preserves the anchor Root and focusable destination Target, default IDs, native props, authored IDs, children, composition, and refs.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../test/components/skip-link/skip-link.test.tsx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46232</x:v>
      </x:c>
      <x:c r="K10" s="150" t="inlineStr">
        <x:is>
          <x:t xml:space="preserve">Focused component anatomy and ref assertions pass.</x:t>
        </x:is>
      </x:c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SL-03</x:t>
        </x:is>
      </x:c>
      <x:c r="B11" s="149" t="inlineStr">
        <x:is>
          <x:t xml:space="preserve">Exports</x:t>
        </x:is>
      </x:c>
      <x:c r="C11" s="149" t="inlineStr">
        <x:is>
          <x:t xml:space="preserve">SkipLink</x:t>
        </x:is>
      </x:c>
      <x:c r="D11" s="150" t="inlineStr">
        <x:is>
          <x:t xml:space="preserve">Root and skip-link subpath expose the namespace, named parts, and prop types with identical runtime identities.</x:t>
        </x:is>
      </x:c>
      <x:c r="E11" s="149" t="inlineStr">
        <x:is>
          <x:t xml:space="preserve">package</x:t>
        </x:is>
      </x:c>
      <x:c r="F11" s="149" t="inlineStr">
        <x:is>
          <x:t xml:space="preserve">package</x:t>
        </x:is>
      </x:c>
      <x:c r="G11" s="150" t="inlineStr">
        <x:is>
          <x:t xml:space="preserve">../test/package/package.test.mjs; ../package.json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46232</x:v>
      </x:c>
      <x:c r="K11" s="150" t="inlineStr">
        <x:is>
          <x:t xml:space="preserve">Root/subpath import assertions pass.</x:t>
        </x:is>
      </x:c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SL-04</x:t>
        </x:is>
      </x:c>
      <x:c r="B12" s="149" t="inlineStr">
        <x:is>
          <x:t xml:space="preserve">Types</x:t>
        </x:is>
      </x:c>
      <x:c r="C12" s="149" t="inlineStr">
        <x:is>
          <x:t xml:space="preserve">Root / Target</x:t>
        </x:is>
      </x:c>
      <x:c r="D12" s="150" t="inlineStr">
        <x:is>
          <x:t xml:space="preserve">Native anchor and target props, custom fragment IDs, render/asChild composition, class hooks, events, and refs type-check through the public subpath.</x:t>
        </x:is>
      </x:c>
      <x:c r="E12" s="149" t="inlineStr">
        <x:is>
          <x:t xml:space="preserve">package</x:t>
        </x:is>
      </x:c>
      <x:c r="F12" s="149" t="inlineStr">
        <x:is>
          <x:t xml:space="preserve">types</x:t>
        </x:is>
      </x:c>
      <x:c r="G12" s="150" t="inlineStr">
        <x:is>
          <x:t xml:space="preserve">../test/types/components/skip-link.test.ts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46232</x:v>
      </x:c>
      <x:c r="K12" s="150" t="inlineStr">
        <x:is>
          <x:t xml:space="preserve">Focused public typecheck passes.</x:t>
        </x:is>
      </x:c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SL-05</x:t>
        </x:is>
      </x:c>
      <x:c r="B13" s="149" t="inlineStr">
        <x:is>
          <x:t xml:space="preserve">SSR</x:t>
        </x:is>
      </x:c>
      <x:c r="C13" s="149" t="inlineStr">
        <x:is>
          <x:t xml:space="preserve">Root / Target</x:t>
        </x:is>
      </x:c>
      <x:c r="D13" s="150" t="inlineStr">
        <x:is>
          <x:t xml:space="preserve">The public package imports server-safely and emits deterministic bypass-link and destination markup without browser globals during render.</x:t>
        </x:is>
      </x:c>
      <x:c r="E13" s="149" t="inlineStr">
        <x:is>
          <x:t xml:space="preserve">package</x:t>
        </x:is>
      </x:c>
      <x:c r="F13" s="149" t="inlineStr">
        <x:is>
          <x:t xml:space="preserve">package</x:t>
        </x:is>
      </x:c>
      <x:c r="G13" s="150" t="inlineStr">
        <x:is>
          <x:t xml:space="preserve">../test/package/package.test.mjs; ../test/package/ssr.test.mjs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46232</x:v>
      </x:c>
      <x:c r="K13" s="150" t="inlineStr">
        <x:is>
          <x:t xml:space="preserve">Server-safe package import and render checks pass.</x:t>
        </x:is>
      </x:c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SL-06</x:t>
        </x:is>
      </x:c>
      <x:c r="B14" s="149" t="inlineStr">
        <x:is>
          <x:t xml:space="preserve">CSS</x:t>
        </x:is>
      </x:c>
      <x:c r="C14" s="149" t="inlineStr">
        <x:is>
          <x:t xml:space="preserve">Root</x:t>
        </x:is>
      </x:c>
      <x:c r="D14" s="150" t="inlineStr">
        <x:is>
          <x:t xml:space="preserve">Static CSS keeps the unfocused link outside the viewport, reveals a 44px logical overlay on focus, preserves opaque paint, focus contrast, forced colors, and public variables.</x:t>
        </x:is>
      </x:c>
      <x:c r="E14" s="149" t="inlineStr">
        <x:is>
          <x:t xml:space="preserve">package</x:t>
        </x:is>
      </x:c>
      <x:c r="F14" s="149" t="inlineStr">
        <x:is>
          <x:t xml:space="preserve">css</x:t>
        </x:is>
      </x:c>
      <x:c r="G14" s="150" t="inlineStr">
        <x:is>
          <x:t xml:space="preserve">../src/components/skip-link/skip-link.css; ../scripts/prototype-css.mjs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46232</x:v>
      </x:c>
      <x:c r="K14" s="150" t="inlineStr">
        <x:is>
          <x:t xml:space="preserve">Production CSS and prototype validation pass.</x:t>
        </x:is>
      </x:c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SL-07</x:t>
        </x:is>
      </x:c>
      <x:c r="B15" s="149" t="inlineStr">
        <x:is>
          <x:t xml:space="preserve">First focus</x:t>
        </x:is>
      </x:c>
      <x:c r="C15" s="149" t="inlineStr">
        <x:is>
          <x:t xml:space="preserve">Root</x:t>
        </x:is>
      </x:c>
      <x:c r="D15" s="150" t="inlineStr">
        <x:is>
          <x:t xml:space="preserve">When authored first, the bypass link is the first Tab stop, has no unfocused visual/layout artifact, and becomes fully visible immediately on focus.</x:t>
        </x:is>
      </x:c>
      <x:c r="E15" s="149" t="inlineStr">
        <x:is>
          <x:t xml:space="preserve">browser</x:t>
        </x:is>
      </x:c>
      <x:c r="F15" s="149" t="inlineStr">
        <x:is>
          <x:t xml:space="preserve">browser</x:t>
        </x:is>
      </x:c>
      <x:c r="G15" s="150" t="inlineStr">
        <x:is>
          <x:t xml:space="preserve">tests/components/skip-link/behavior.spec.ts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46232</x:v>
      </x:c>
      <x:c r="K15" s="150" t="inlineStr">
        <x:is>
          <x:t xml:space="preserve">Focused Chromium behavior assertion passes.</x:t>
        </x:is>
      </x:c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SL-08</x:t>
        </x:is>
      </x:c>
      <x:c r="B16" s="149" t="inlineStr">
        <x:is>
          <x:t xml:space="preserve">Activation</x:t>
        </x:is>
      </x:c>
      <x:c r="C16" s="149" t="inlineStr">
        <x:is>
          <x:t xml:space="preserve">Root / Target</x:t>
        </x:is>
      </x:c>
      <x:c r="D16" s="150" t="inlineStr">
        <x:is>
          <x:t xml:space="preserve">Activation focuses and scrolls the paired primary-content target, then the next Tab continues to the first interactive descendant.</x:t>
        </x:is>
      </x:c>
      <x:c r="E16" s="149" t="inlineStr">
        <x:is>
          <x:t xml:space="preserve">browser</x:t>
        </x:is>
      </x:c>
      <x:c r="F16" s="149" t="inlineStr">
        <x:is>
          <x:t xml:space="preserve">browser</x:t>
        </x:is>
      </x:c>
      <x:c r="G16" s="150" t="inlineStr">
        <x:is>
          <x:t xml:space="preserve">tests/components/skip-link/behavior.spec.ts; @flowstack-ui/atom 0.19.7 behavior suite</x:t>
        </x:is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n">
        <x:v>46232</x:v>
      </x:c>
      <x:c r="K16" s="150" t="inlineStr">
        <x:is>
          <x:t xml:space="preserve">Released Atom transfer and continuation behavior pass in a real browser.</x:t>
        </x:is>
      </x:c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SL-09</x:t>
        </x:is>
      </x:c>
      <x:c r="B17" s="149" t="inlineStr">
        <x:is>
          <x:t xml:space="preserve">Fallback ownership</x:t>
        </x:is>
      </x:c>
      <x:c r="C17" s="149" t="inlineStr">
        <x:is>
          <x:t xml:space="preserve">Root / Target</x:t>
        </x:is>
      </x:c>
      <x:c r="D17" s="150" t="inlineStr">
        <x:is>
          <x:t xml:space="preserve">Prevented activation, native-only fragment navigation, and missing-target navigation remain observably distinct without Brick inventing recovery behavior.</x:t>
        </x:is>
      </x:c>
      <x:c r="E17" s="149" t="inlineStr">
        <x:is>
          <x:t xml:space="preserve">browser</x:t>
        </x:is>
      </x:c>
      <x:c r="F17" s="149" t="inlineStr">
        <x:is>
          <x:t xml:space="preserve">browser</x:t>
        </x:is>
      </x:c>
      <x:c r="G17" s="150" t="inlineStr">
        <x:is>
          <x:t xml:space="preserve">tests/components/skip-link/behavior.spec.ts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n">
        <x:v>46232</x:v>
      </x:c>
      <x:c r="K17" s="150" t="inlineStr">
        <x:is>
          <x:t xml:space="preserve">All three ownership paths pass independently.</x:t>
        </x:is>
      </x:c>
      <x:c r="L17" s="149" t="n">
        <x:v>1</x:v>
      </x:c>
      <x:c r="M17" s="149" t="n">
        <x:f>IF(OR(AND(I17="yes",H17="verified"),AND(I17="no",OR(H17="tested",H17="verified")),AND(H17="not applicable",K17&lt;&gt;"")),1,0)</x:f>
        <x:v>1</x:v>
      </x:c>
    </x:row>
    <x:row r="18" s="127" customFormat="1" ht="54" customHeight="1">
      <x:c r="A18" s="149" t="inlineStr">
        <x:is>
          <x:t xml:space="preserve">SL-10</x:t>
        </x:is>
      </x:c>
      <x:c r="B18" s="149" t="inlineStr">
        <x:is>
          <x:t xml:space="preserve">Composition</x:t>
        </x:is>
      </x:c>
      <x:c r="C18" s="149" t="inlineStr">
        <x:is>
          <x:t xml:space="preserve">Root / Target</x:t>
        </x:is>
      </x:c>
      <x:c r="D18" s="150" t="inlineStr">
        <x:is>
          <x:t xml:space="preserve">Custom IDs, asChild/render hosts, authored slots and classes, native events, and forwarded refs remain inspectable on both parts.</x:t>
        </x:is>
      </x:c>
      <x:c r="E18" s="149" t="inlineStr">
        <x:is>
          <x:t xml:space="preserve">browser</x:t>
        </x:is>
      </x:c>
      <x:c r="F18" s="149" t="inlineStr">
        <x:is>
          <x:t xml:space="preserve">browser</x:t>
        </x:is>
      </x:c>
      <x:c r="G18" s="150" t="inlineStr">
        <x:is>
          <x:t xml:space="preserve">../test/components/skip-link/skip-link.test.tsx; tests/components/skip-link/behavior.spec.ts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n">
        <x:v>46232</x:v>
      </x:c>
      <x:c r="K18" s="150" t="inlineStr">
        <x:is>
          <x:t xml:space="preserve">Component and browser composition assertions pass.</x:t>
        </x:is>
      </x:c>
      <x:c r="L18" s="149" t="n">
        <x:v>1</x:v>
      </x:c>
      <x:c r="M18" s="149" t="n">
        <x:f>IF(OR(AND(I18="yes",H18="verified"),AND(I18="no",OR(H18="tested",H18="verified")),AND(H18="not applicable",K18&lt;&gt;"")),1,0)</x:f>
        <x:v>1</x:v>
      </x:c>
    </x:row>
    <x:row r="19" s="127" customFormat="1" ht="54" customHeight="1">
      <x:c r="A19" s="149" t="inlineStr">
        <x:is>
          <x:t xml:space="preserve">SL-11</x:t>
        </x:is>
      </x:c>
      <x:c r="B19" s="149" t="inlineStr">
        <x:is>
          <x:t xml:space="preserve">Sticky chrome</x:t>
        </x:is>
      </x:c>
      <x:c r="C19" s="149" t="inlineStr">
        <x:is>
          <x:t xml:space="preserve">Root</x:t>
        </x:is>
      </x:c>
      <x:c r="D19" s="150" t="inlineStr">
        <x:is>
          <x:t xml:space="preserve">Focused Root uses fixed logical placement and a layer above repeated sticky application chrome without inheriting shell layout or scroll-offset policy.</x:t>
        </x:is>
      </x:c>
      <x:c r="E19" s="149" t="inlineStr">
        <x:is>
          <x:t xml:space="preserve">browser</x:t>
        </x:is>
      </x:c>
      <x:c r="F19" s="149" t="inlineStr">
        <x:is>
          <x:t xml:space="preserve">browser</x:t>
        </x:is>
      </x:c>
      <x:c r="G19" s="150" t="inlineStr">
        <x:is>
          <x:t xml:space="preserve">tests/components/skip-link/behavior.spec.ts; tests/components/skip-link/visual.spec.ts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46232</x:v>
      </x:c>
      <x:c r="K19" s="150" t="inlineStr">
        <x:is>
          <x:t xml:space="preserve">Geometry and focused sticky-shell baseline pass.</x:t>
        </x:is>
      </x:c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SL-12</x:t>
        </x:is>
      </x:c>
      <x:c r="B20" s="149" t="inlineStr">
        <x:is>
          <x:t xml:space="preserve">Responsive and RTL</x:t>
        </x:is>
      </x:c>
      <x:c r="C20" s="149" t="inlineStr">
        <x:is>
          <x:t xml:space="preserve">Root</x:t>
        </x:is>
      </x:c>
      <x:c r="D20" s="150" t="inlineStr">
        <x:is>
          <x:t xml:space="preserve">Long localized copy, narrow mobile width, logical RTL placement, dark appearance, and 200% zoom remain contained without page overflow.</x:t>
        </x:is>
      </x:c>
      <x:c r="E20" s="149" t="inlineStr">
        <x:is>
          <x:t xml:space="preserve">browser</x:t>
        </x:is>
      </x:c>
      <x:c r="F20" s="149" t="inlineStr">
        <x:is>
          <x:t xml:space="preserve">browser</x:t>
        </x:is>
      </x:c>
      <x:c r="G20" s="150" t="inlineStr">
        <x:is>
          <x:t xml:space="preserve">tests/components/skip-link/behavior.spec.ts; tests/components/skip-link/visual.spec.ts</x:t>
        </x:is>
      </x:c>
      <x:c r="H20" s="149" t="inlineStr">
        <x:is>
          <x:t xml:space="preserve">tested</x:t>
        </x:is>
      </x:c>
      <x:c r="I20" s="149" t="inlineStr">
        <x:is>
          <x:t xml:space="preserve">no</x:t>
        </x:is>
      </x:c>
      <x:c r="J20" s="151" t="n">
        <x:v>46232</x:v>
      </x:c>
      <x:c r="K20" s="150" t="inlineStr">
        <x:is>
          <x:t xml:space="preserve">Narrow RTL and zoom assertions pass.</x:t>
        </x:is>
      </x:c>
      <x:c r="L20" s="149" t="n">
        <x:v>1</x:v>
      </x:c>
      <x:c r="M20" s="149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49" t="inlineStr">
        <x:is>
          <x:t xml:space="preserve">SL-13</x:t>
        </x:is>
      </x:c>
      <x:c r="B21" s="149" t="inlineStr">
        <x:is>
          <x:t xml:space="preserve">Accessibility</x:t>
        </x:is>
      </x:c>
      <x:c r="C21" s="149" t="inlineStr">
        <x:is>
          <x:t xml:space="preserve">Root / Target</x:t>
        </x:is>
      </x:c>
      <x:c r="D21" s="150" t="inlineStr">
        <x:is>
          <x:t xml:space="preserve">The named link and main destination retain native semantics, visible keyboard focus, forced-color treatment, and no automatically detectable route violations.</x:t>
        </x:is>
      </x:c>
      <x:c r="E21" s="149" t="inlineStr">
        <x:is>
          <x:t xml:space="preserve">browser</x:t>
        </x:is>
      </x:c>
      <x:c r="F21" s="149" t="inlineStr">
        <x:is>
          <x:t xml:space="preserve">axe</x:t>
        </x:is>
      </x:c>
      <x:c r="G21" s="150" t="inlineStr">
        <x:is>
          <x:t xml:space="preserve">tests/components/skip-link/behavior.spec.ts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46232</x:v>
      </x:c>
      <x:c r="K21" s="150" t="inlineStr">
        <x:is>
          <x:t xml:space="preserve">Focused axe and semantic assertions pass.</x:t>
        </x:is>
      </x:c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SL-14</x:t>
        </x:is>
      </x:c>
      <x:c r="B22" s="149" t="inlineStr">
        <x:is>
          <x:t xml:space="preserve">Visual</x:t>
        </x:is>
      </x:c>
      <x:c r="C22" s="149" t="inlineStr">
        <x:is>
          <x:t xml:space="preserve">Root</x:t>
        </x:is>
      </x:c>
      <x:c r="D22" s="150" t="inlineStr">
        <x:is>
          <x:t xml:space="preserve">Reviewed baselines prove opaque focused paint in light/dark, sticky overlay separation, customization, mobile RTL containment, and forced-color focus.</x:t>
        </x:is>
      </x:c>
      <x:c r="E22" s="149" t="inlineStr">
        <x:is>
          <x:t xml:space="preserve">browser</x:t>
        </x:is>
      </x:c>
      <x:c r="F22" s="149" t="inlineStr">
        <x:is>
          <x:t xml:space="preserve">visual</x:t>
        </x:is>
      </x:c>
      <x:c r="G22" s="150" t="inlineStr">
        <x:is>
          <x:t xml:space="preserve">tests/components/skip-link/visual.spec.ts</x:t>
        </x:is>
      </x:c>
      <x:c r="H22" s="149" t="inlineStr">
        <x:is>
          <x:t xml:space="preserve">verified</x:t>
        </x:is>
      </x:c>
      <x:c r="I22" s="149" t="inlineStr">
        <x:is>
          <x:t xml:space="preserve">yes</x:t>
        </x:is>
      </x:c>
      <x:c r="J22" s="151" t="n">
        <x:v>46232</x:v>
      </x:c>
      <x:c r="K22" s="150" t="inlineStr">
        <x:is>
          <x:t xml:space="preserve">Agent inspected all six Skip Link baselines on 2026-07-29.</x:t>
        </x:is>
      </x:c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SL-15</x:t>
        </x:is>
      </x:c>
      <x:c r="B23" s="149" t="inlineStr">
        <x:is>
          <x:t xml:space="preserve">Playground</x:t>
        </x:is>
      </x:c>
      <x:c r="C23" s="149" t="inlineStr">
        <x:is>
          <x:t xml:space="preserve">SkipLink</x:t>
        </x:is>
      </x:c>
      <x:c r="D23" s="150" t="inlineStr">
        <x:is>
          <x:t xml:space="preserve">One navigable route exposes eight separated scenarios with badges, titles, descriptions, appearance, customization, native paths, composition, sticky chrome, and stress evidence.</x:t>
        </x:is>
      </x:c>
      <x:c r="E23" s="149" t="inlineStr">
        <x:is>
          <x:t xml:space="preserve">package</x:t>
        </x:is>
      </x:c>
      <x:c r="F23" s="149" t="inlineStr">
        <x:is>
          <x:t xml:space="preserve">playground</x:t>
        </x:is>
      </x:c>
      <x:c r="G23" s="150" t="inlineStr">
        <x:is>
          <x:t xml:space="preserve">src/components/skip-link/SkipLinkPage.tsx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>
        <x:v>46232</x:v>
      </x:c>
      <x:c r="K23" s="150" t="inlineStr">
        <x:is>
          <x:t xml:space="preserve">Playground build and focused route checks pass.</x:t>
        </x:is>
      </x:c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SL-16</x:t>
        </x:is>
      </x:c>
      <x:c r="B24" s="149" t="inlineStr">
        <x:is>
          <x:t xml:space="preserve">Docs</x:t>
        </x:is>
      </x:c>
      <x:c r="C24" s="149" t="inlineStr">
        <x:is>
          <x:t xml:space="preserve">SkipLink</x:t>
        </x:is>
      </x:c>
      <x:c r="D24" s="150" t="inlineStr">
        <x:is>
          <x:t xml:space="preserve">Source-backed use, misuse, anatomy, API, focus behavior, hooks, customization, responsive behavior, accessibility, composition, and evidence are documented.</x:t>
        </x:is>
      </x:c>
      <x:c r="E24" s="149" t="inlineStr">
        <x:is>
          <x:t xml:space="preserve">package</x:t>
        </x:is>
      </x:c>
      <x:c r="F24" s="149" t="inlineStr">
        <x:is>
          <x:t xml:space="preserve">docs</x:t>
        </x:is>
      </x:c>
      <x:c r="G24" s="150" t="inlineStr">
        <x:is>
          <x:t xml:space="preserve">../docs/components/skip-link/README.md</x:t>
        </x:is>
      </x:c>
      <x:c r="H24" s="149" t="inlineStr">
        <x:is>
          <x:t xml:space="preserve">tested</x:t>
        </x:is>
      </x:c>
      <x:c r="I24" s="149" t="inlineStr">
        <x:is>
          <x:t xml:space="preserve">no</x:t>
        </x:is>
      </x:c>
      <x:c r="J24" s="151" t="n">
        <x:v>46232</x:v>
      </x:c>
      <x:c r="K24" s="150" t="inlineStr">
        <x:is>
          <x:t xml:space="preserve">Component documentation contract passes.</x:t>
        </x:is>
      </x:c>
      <x:c r="L24" s="149" t="n">
        <x:v>1</x:v>
      </x:c>
      <x:c r="M24" s="149" t="n">
        <x:f>IF(OR(AND(I24="yes",H24="verified"),AND(I24="no",OR(H24="tested",H24="verified")),AND(H24="not applicable",K24&lt;&gt;"")),1,0)</x:f>
        <x:v>1</x:v>
      </x:c>
    </x:row>
    <x:row r="25" s="127" customFormat="1" ht="54" customHeight="1">
      <x:c r="A25" s="149" t="inlineStr">
        <x:is>
          <x:t xml:space="preserve">SL-17</x:t>
        </x:is>
      </x:c>
      <x:c r="B25" s="149" t="inlineStr">
        <x:is>
          <x:t xml:space="preserve">Changelog</x:t>
        </x:is>
      </x:c>
      <x:c r="C25" s="149" t="inlineStr">
        <x:is>
          <x:t xml:space="preserve">SkipLink</x:t>
        </x:is>
      </x:c>
      <x:c r="D25" s="150" t="inlineStr">
        <x:is>
          <x:t xml:space="preserve">Skip Link owns a public component changelog and the package changelog records the public addition.</x:t>
        </x:is>
      </x:c>
      <x:c r="E25" s="149" t="inlineStr">
        <x:is>
          <x:t xml:space="preserve">package</x:t>
        </x:is>
      </x:c>
      <x:c r="F25" s="149" t="inlineStr">
        <x:is>
          <x:t xml:space="preserve">docs</x:t>
        </x:is>
      </x:c>
      <x:c r="G25" s="150" t="inlineStr">
        <x:is>
          <x:t xml:space="preserve">../docs/components/skip-link/CHANGELOG.md; ../CHANGELOG.md</x:t>
        </x:is>
      </x:c>
      <x:c r="H25" s="149" t="inlineStr">
        <x:is>
          <x:t xml:space="preserve">tested</x:t>
        </x:is>
      </x:c>
      <x:c r="I25" s="149" t="inlineStr">
        <x:is>
          <x:t xml:space="preserve">no</x:t>
        </x:is>
      </x:c>
      <x:c r="J25" s="151" t="n">
        <x:v>46232</x:v>
      </x:c>
      <x:c r="K25" s="150" t="inlineStr">
        <x:is>
          <x:t xml:space="preserve">Both public changelog surfaces are present.</x:t>
        </x:is>
      </x:c>
      <x:c r="L25" s="149" t="n">
        <x:v>1</x:v>
      </x:c>
      <x:c r="M25" s="149" t="n">
        <x:f>IF(OR(AND(I25="yes",H25="verified"),AND(I25="no",OR(H25="tested",H25="verified")),AND(H25="not applicable",K25&lt;&gt;"")),1,0)</x:f>
        <x:v>1</x:v>
      </x:c>
    </x:row>
    <x:row r="26" s="127" customFormat="1" ht="54" customHeight="1">
      <x:c r="A26" s="149" t="inlineStr">
        <x:is>
          <x:t xml:space="preserve">SL-18</x:t>
        </x:is>
      </x:c>
      <x:c r="B26" s="149" t="inlineStr">
        <x:is>
          <x:t xml:space="preserve">Consumer</x:t>
        </x:is>
      </x:c>
      <x:c r="C26" s="149" t="inlineStr">
        <x:is>
          <x:t xml:space="preserve">Root / Target</x:t>
        </x:is>
      </x:c>
      <x:c r="D26" s="150" t="inlineStr">
        <x:is>
          <x:t xml:space="preserve">Packed Consumer imports the public subpath, composes Root before repeated chrome, transfers focus to main content, and continues into its first interactive descendant.</x:t>
        </x:is>
      </x:c>
      <x:c r="E26" s="149" t="inlineStr">
        <x:is>
          <x:t xml:space="preserve">consumer</x:t>
        </x:is>
      </x:c>
      <x:c r="F26" s="149" t="inlineStr">
        <x:is>
          <x:t xml:space="preserve">consumer</x:t>
        </x:is>
      </x:c>
      <x:c r="G26" s="150" t="inlineStr">
        <x:is>
          <x:t xml:space="preserve">../apps/consumer/src/App.tsx; ../apps/consumer/tests/consumer.spec.ts</x:t>
        </x:is>
      </x:c>
      <x:c r="H26" s="149" t="inlineStr">
        <x:is>
          <x:t xml:space="preserve">tested</x:t>
        </x:is>
      </x:c>
      <x:c r="I26" s="149" t="inlineStr">
        <x:is>
          <x:t xml:space="preserve">no</x:t>
        </x:is>
      </x:c>
      <x:c r="J26" s="151" t="n">
        <x:v>46232</x:v>
      </x:c>
      <x:c r="K26" s="150" t="inlineStr">
        <x:is>
          <x:t xml:space="preserve">Packed app Consumer and desktop/mobile Chromium keyboard proof pass.</x:t>
        </x:is>
      </x:c>
      <x:c r="L26" s="149" t="n">
        <x:v>1</x:v>
      </x:c>
      <x:c r="M26" s="149" t="n">
        <x:f>IF(OR(AND(I26="yes",H26="verified"),AND(I26="no",OR(H26="tested",H26="verified")),AND(H26="not applicable",K26&lt;&gt;"")),1,0)</x:f>
        <x:v>1</x:v>
      </x:c>
    </x:row>
    <x:row r="27" s="127" customFormat="1" ht="54" customHeight="1">
      <x:c r="A27" s="149" t="inlineStr">
        <x:is>
          <x:t xml:space="preserve">SL-19</x:t>
        </x:is>
      </x:c>
      <x:c r="B27" s="149" t="inlineStr">
        <x:is>
          <x:t xml:space="preserve">Manual</x:t>
        </x:is>
      </x:c>
      <x:c r="C27" s="149" t="inlineStr">
        <x:is>
          <x:t xml:space="preserve">SkipLink</x:t>
        </x:is>
      </x:c>
      <x:c r="D27" s="150" t="inlineStr">
        <x:is>
          <x:t xml:space="preserve">A tester completes the numbered keyboard, target-transfer, native fallback, sticky, mobile, zoom, RTL, forced-color, screen-reader, and no-JavaScript protocol.</x:t>
        </x:is>
      </x:c>
      <x:c r="E27" s="149" t="inlineStr">
        <x:is>
          <x:t xml:space="preserve">package</x:t>
        </x:is>
      </x:c>
      <x:c r="F27" s="149" t="inlineStr">
        <x:is>
          <x:t xml:space="preserve">manual</x:t>
        </x:is>
      </x:c>
      <x:c r="G27" s="150" t="inlineStr">
        <x:is>
          <x:t xml:space="preserve">manual-tests/skip-link.md</x:t>
        </x:is>
      </x:c>
      <x:c r="H27" s="149" t="inlineStr">
        <x:is>
          <x:t xml:space="preserve">not started</x:t>
        </x:is>
      </x:c>
      <x:c r="I27" s="149" t="inlineStr">
        <x:is>
          <x:t xml:space="preserve">yes</x:t>
        </x:is>
      </x:c>
      <x:c r="J27" s="151" t="n">
        <x:v>46232</x:v>
      </x:c>
      <x:c r="K27" s="150" t="inlineStr">
        <x:is>
          <x:t xml:space="preserve">Human run intentionally left as the sole manual gate.</x:t>
        </x:is>
      </x:c>
      <x:c r="L27" s="149" t="n">
        <x:v>1</x:v>
      </x:c>
      <x:c r="M27" s="149" t="n">
        <x:f>IF(OR(AND(I27="yes",H27="verified"),AND(I27="no",OR(H27="tested",H27="verified")),AND(H27="not applicable",K27&lt;&gt;"")),1,0)</x:f>
        <x:v>0</x:v>
      </x:c>
    </x:row>
    <x:row r="28" s="127" customFormat="1" ht="54" customHeight="1">
      <x:c r="A28" s="149" t="inlineStr">
        <x:is>
          <x:t xml:space="preserve">SL-20</x:t>
        </x:is>
      </x:c>
      <x:c r="B28" s="149" t="inlineStr">
        <x:is>
          <x:t xml:space="preserve">Package</x:t>
        </x:is>
      </x:c>
      <x:c r="C28" s="149" t="inlineStr">
        <x:is>
          <x:t xml:space="preserve">SkipLink</x:t>
        </x:is>
      </x:c>
      <x:c r="D28" s="150" t="inlineStr">
        <x:is>
          <x:t xml:space="preserve">Build, exports, SSR, tarball, React 18/19, Consumer, configured desktop/mobile browsers, docs, ownership, and exact Atom 0.20.11 dependency pass.</x:t>
        </x:is>
      </x:c>
      <x:c r="E28" s="149" t="inlineStr">
        <x:is>
          <x:t xml:space="preserve">package</x:t>
        </x:is>
      </x:c>
      <x:c r="F28" s="149" t="inlineStr">
        <x:is>
          <x:t xml:space="preserve">package</x:t>
        </x:is>
      </x:c>
      <x:c r="G28" s="150" t="inlineStr">
        <x:is>
          <x:t xml:space="preserve">../scripts/verify-package.mjs; ../scripts/verify-consumers.mjs</x:t>
        </x:is>
      </x:c>
      <x:c r="H28" s="149" t="inlineStr">
        <x:is>
          <x:t xml:space="preserve">tested</x:t>
        </x:is>
      </x:c>
      <x:c r="I28" s="149" t="inlineStr">
        <x:is>
          <x:t xml:space="preserve">no</x:t>
        </x:is>
      </x:c>
      <x:c r="J28" s="151" t="n">
        <x:v>46232</x:v>
      </x:c>
      <x:c r="K28" s="150" t="inlineStr">
        <x:is>
          <x:t xml:space="preserve">Complete check, SSR, tarball, React 18/19, packed Consumer, and five-project component behavior pass; canonical full-matrix visual rendering remains a PR CI gate.</x:t>
        </x:is>
      </x:c>
      <x:c r="L28" s="149" t="n">
        <x:v>1</x:v>
      </x:c>
      <x:c r="M28" s="149" t="n">
        <x:f>IF(OR(AND(I28="yes",H28="verified"),AND(I28="no",OR(H28="tested",H28="verified")),AND(H28="not applicable",K28&lt;&gt;"")),1,0)</x:f>
        <x:v>1</x:v>
      </x:c>
    </x:row>
    <x:row r="29" s="127" customFormat="1" ht="54" customHeight="1"/>
    <x:row r="30" s="127" customFormat="1" ht="54" customHeight="1"/>
    <x:row r="31" s="127" customFormat="1" ht="54" customHeight="1"/>
    <x:row r="32" s="127" customFormat="1" ht="54" customHeight="1"/>
    <x:row r="33" s="127" customFormat="1" ht="54" customHeight="1"/>
    <x:row r="34" s="127" customFormat="1" ht="54" customHeight="1"/>
    <x:row r="35" s="127" customFormat="1" ht="54" customHeight="1"/>
    <x:row r="36" s="127" customFormat="1" ht="54" customHeight="1"/>
  </x:sheetData>
  <x:mergeCells>
    <x:mergeCell ref="A2:M2"/>
    <x:mergeCell ref="A1:M1"/>
  </x:mergeCells>
  <x:dataValidations count="2">
    <x:dataValidation type="list" errorStyle="stop" operator="between" allowBlank="0" showDropDown="0" showInputMessage="0" showErrorMessage="0" sqref="H9:H28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28">
      <x:formula1>"yes,no"</x:formula1>
      <x:formula2>0</x:formula2>
    </x:dataValidation>
  </x:dataValidations>
  <x:pageMargins left="0.7" right="0.7" top="0.75" bottom="0.75" header="0.3" footer="0.3"/>
</x:worksheet>
</file>

<file path=xl/worksheets/sheet75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Show Evidence</x:t>
        </x:is>
      </x:c>
    </x:row>
    <x:row r="2" s="127" customFormat="1" ht="27.75" customHeight="1">
      <x:c r="A2" s="129" t="inlineStr">
        <x:is>
          <x:t xml:space="preserve">Assertion-level CSS-only responsive visibility, composition, accessibility, package, Consumer, playground, visual, and manual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COUNTA(A9:A30)</x:f>
        <x:v>22</x:v>
      </x:c>
      <x:c r="D4" s="130" t="inlineStr">
        <x:is>
          <x:t xml:space="preserve">Resolved</x:t>
        </x:is>
      </x:c>
      <x:c r="E4" s="131" t="n">
        <x:f>SUM(M9:M30)</x:f>
        <x:v>21</x:v>
      </x:c>
      <x:c r="G4" s="130" t="inlineStr">
        <x:is>
          <x:t xml:space="preserve">Completion</x:t>
        </x:is>
      </x:c>
      <x:c r="H4" s="132" t="n">
        <x:f>IF(B4=0,0,E4/B4)</x:f>
        <x:v>0.9545454545454546</x:v>
      </x:c>
      <x:c r="J4" s="130" t="inlineStr">
        <x:is>
          <x:t xml:space="preserve">Package gate</x:t>
        </x:is>
      </x:c>
      <x:c r="K4" s="131" t="str">
        <x:f>IF(COUNTIFS(E9:E28,"package",M9:M28,0)&gt;0,"open","complete")</x:f>
        <x:v>complete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IF(COUNTIFS(I9:I30,"yes",M9:M30,0)&gt;0,"open","complete")</x:f>
        <x:v>open</x:v>
      </x:c>
      <x:c r="D5" s="130" t="inlineStr">
        <x:is>
          <x:t xml:space="preserve">Consumer gate</x:t>
        </x:is>
      </x:c>
      <x:c r="E5" s="131" t="str">
        <x:f>IF(COUNTIFS(E9:E30,"consumer",M9:M30,0)&gt;0,"open","complete")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SH-01</x:t>
        </x:is>
      </x:c>
      <x:c r="B9" s="149" t="inlineStr">
        <x:is>
          <x:t xml:space="preserve">Ownership</x:t>
        </x:is>
      </x:c>
      <x:c r="C9" s="149" t="inlineStr">
        <x:is>
          <x:t xml:space="preserve">Show</x:t>
        </x:is>
      </x:c>
      <x:c r="D9" s="150" t="inlineStr">
        <x:is>
          <x:t xml:space="preserve">Brick owns conditional rendering and responsive CSS visibility; no Atom engine is needed.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../src/components/show/Show.tsx; ../src/components/_responsive-visibility/ResponsiveVisibility.tsx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46232</x:v>
      </x:c>
      <x:c r="K9" s="150" t="inlineStr">
        <x:is>
          <x:t xml:space="preserve">Source audit confirms the deliberate no-Atom boundary.</x:t>
        </x:is>
      </x:c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SH-02</x:t>
        </x:is>
      </x:c>
      <x:c r="B10" s="149" t="inlineStr">
        <x:is>
          <x:t xml:space="preserve">Anatomy</x:t>
        </x:is>
      </x:c>
      <x:c r="C10" s="149" t="inlineStr">
        <x:is>
          <x:t xml:space="preserve">Root</x:t>
        </x:is>
      </x:c>
      <x:c r="D10" s="150" t="inlineStr">
        <x:is>
          <x:t xml:space="preserve">Conditional mode adds no host. Responsive wrapper stays mounted; asChild projects to one existing host.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../test/components/show/show.test.tsx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46232</x:v>
      </x:c>
      <x:c r="K10" s="150" t="inlineStr">
        <x:is>
          <x:t xml:space="preserve">Focused component anatomy assertions pass.</x:t>
        </x:is>
      </x:c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SH-03</x:t>
        </x:is>
      </x:c>
      <x:c r="B11" s="149" t="inlineStr">
        <x:is>
          <x:t xml:space="preserve">Exports</x:t>
        </x:is>
      </x:c>
      <x:c r="C11" s="149" t="inlineStr">
        <x:is>
          <x:t xml:space="preserve">Show</x:t>
        </x:is>
      </x:c>
      <x:c r="D11" s="150" t="inlineStr">
        <x:is>
          <x:t xml:space="preserve">Root and show subpath exports expose Show, ShowProps, ShowElement, and ShowBreakpoint with identical runtime identity.</x:t>
        </x:is>
      </x:c>
      <x:c r="E11" s="149" t="inlineStr">
        <x:is>
          <x:t xml:space="preserve">package</x:t>
        </x:is>
      </x:c>
      <x:c r="F11" s="149" t="inlineStr">
        <x:is>
          <x:t xml:space="preserve">package</x:t>
        </x:is>
      </x:c>
      <x:c r="G11" s="150" t="inlineStr">
        <x:is>
          <x:t xml:space="preserve">../test/package/package.test.mjs; ../package.json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46232</x:v>
      </x:c>
      <x:c r="K11" s="150" t="inlineStr">
        <x:is>
          <x:t xml:space="preserve">Package export and clean-consumer identity checks pass.</x:t>
        </x:is>
      </x:c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SH-04</x:t>
        </x:is>
      </x:c>
      <x:c r="B12" s="149" t="inlineStr">
        <x:is>
          <x:t xml:space="preserve">Types</x:t>
        </x:is>
      </x:c>
      <x:c r="C12" s="149" t="inlineStr">
        <x:is>
          <x:t xml:space="preserve">Public surface</x:t>
        </x:is>
      </x:c>
      <x:c r="D12" s="150" t="inlineStr">
        <x:is>
          <x:t xml:space="preserve">Exclusive when/from modes, typed truthy children and responsive projection type-check.</x:t>
        </x:is>
      </x:c>
      <x:c r="E12" s="149" t="inlineStr">
        <x:is>
          <x:t xml:space="preserve">package</x:t>
        </x:is>
      </x:c>
      <x:c r="F12" s="149" t="inlineStr">
        <x:is>
          <x:t xml:space="preserve">types</x:t>
        </x:is>
      </x:c>
      <x:c r="G12" s="150" t="inlineStr">
        <x:is>
          <x:t xml:space="preserve">../test/types/components/show-modes.test.tsx; ../test/types/components/show.test.ts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46232</x:v>
      </x:c>
      <x:c r="K12" s="150" t="inlineStr">
        <x:is>
          <x:t xml:space="preserve">Focused and repository-wide type checks pass.</x:t>
        </x:is>
      </x:c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SH-05</x:t>
        </x:is>
      </x:c>
      <x:c r="B13" s="149" t="inlineStr">
        <x:is>
          <x:t xml:space="preserve">SSR</x:t>
        </x:is>
      </x:c>
      <x:c r="C13" s="149" t="inlineStr">
        <x:is>
          <x:t xml:space="preserve">Root</x:t>
        </x:is>
      </x:c>
      <x:c r="D13" s="150" t="inlineStr">
        <x:is>
          <x:t xml:space="preserve">Conditional SSR selects the matching branch without a host. Responsive SSR does not read viewport state.</x:t>
        </x:is>
      </x:c>
      <x:c r="E13" s="149" t="inlineStr">
        <x:is>
          <x:t xml:space="preserve">package</x:t>
        </x:is>
      </x:c>
      <x:c r="F13" s="149" t="inlineStr">
        <x:is>
          <x:t xml:space="preserve">package</x:t>
        </x:is>
      </x:c>
      <x:c r="G13" s="150" t="inlineStr">
        <x:is>
          <x:t xml:space="preserve">../test/package/ssr.test.mjs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46232</x:v>
      </x:c>
      <x:c r="K13" s="150" t="inlineStr">
        <x:is>
          <x:t xml:space="preserve">React server rendering and clean React 18/19 consumers pass.</x:t>
        </x:is>
      </x:c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SH-06</x:t>
        </x:is>
      </x:c>
      <x:c r="B14" s="149" t="inlineStr">
        <x:is>
          <x:t xml:space="preserve">CSS</x:t>
        </x:is>
      </x:c>
      <x:c r="C14" s="149" t="inlineStr">
        <x:is>
          <x:t xml:space="preserve">Root</x:t>
        </x:is>
      </x:c>
      <x:c r="D14" s="150" t="inlineStr">
        <x:is>
          <x:t xml:space="preserve">Static CSS ships sm 30rem, md 48rem, lg 64rem, and xl 80rem media boundaries and hides only brick-show with display none important.</x:t>
        </x:is>
      </x:c>
      <x:c r="E14" s="149" t="inlineStr">
        <x:is>
          <x:t xml:space="preserve">package</x:t>
        </x:is>
      </x:c>
      <x:c r="F14" s="149" t="inlineStr">
        <x:is>
          <x:t xml:space="preserve">css</x:t>
        </x:is>
      </x:c>
      <x:c r="G14" s="150" t="inlineStr">
        <x:is>
          <x:t xml:space="preserve">../src/components/show/show.css; ../scripts/prototype-css.mjs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46232</x:v>
      </x:c>
      <x:c r="K14" s="150" t="inlineStr">
        <x:is>
          <x:t xml:space="preserve">Production CSS and packaged CSS assertions pass.</x:t>
        </x:is>
      </x:c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SH-07</x:t>
        </x:is>
      </x:c>
      <x:c r="B15" s="149" t="inlineStr">
        <x:is>
          <x:t xml:space="preserve">Breakpoint edges</x:t>
        </x:is>
      </x:c>
      <x:c r="C15" s="149" t="inlineStr">
        <x:is>
          <x:t xml:space="preserve">Root</x:t>
        </x:is>
      </x:c>
      <x:c r="D15" s="150" t="inlineStr">
        <x:is>
          <x:t xml:space="preserve">At 767px and 768px the md boundary changes exactly once and Show has no overlap or gap.</x:t>
        </x:is>
      </x:c>
      <x:c r="E15" s="149" t="inlineStr">
        <x:is>
          <x:t xml:space="preserve">browser</x:t>
        </x:is>
      </x:c>
      <x:c r="F15" s="149" t="inlineStr">
        <x:is>
          <x:t xml:space="preserve">browser</x:t>
        </x:is>
      </x:c>
      <x:c r="G15" s="150" t="inlineStr">
        <x:is>
          <x:t xml:space="preserve">tests/components/show/behavior.spec.ts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46232</x:v>
      </x:c>
      <x:c r="K15" s="150" t="inlineStr">
        <x:is>
          <x:t xml:space="preserve">All five configured browser/device projects pass.</x:t>
        </x:is>
      </x:c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SH-08</x:t>
        </x:is>
      </x:c>
      <x:c r="B16" s="149" t="inlineStr">
        <x:is>
          <x:t xml:space="preserve">Display preservation</x:t>
        </x:is>
      </x:c>
      <x:c r="C16" s="149" t="inlineStr">
        <x:is>
          <x:t xml:space="preserve">Root</x:t>
        </x:is>
      </x:c>
      <x:c r="D16" s="150" t="inlineStr">
        <x:is>
          <x:t xml:space="preserve">Projected flex display is preserved; responsive wrappers retain display:contents.</x:t>
        </x:is>
      </x:c>
      <x:c r="E16" s="149" t="inlineStr">
        <x:is>
          <x:t xml:space="preserve">browser</x:t>
        </x:is>
      </x:c>
      <x:c r="F16" s="149" t="inlineStr">
        <x:is>
          <x:t xml:space="preserve">browser</x:t>
        </x:is>
      </x:c>
      <x:c r="G16" s="150" t="inlineStr">
        <x:is>
          <x:t xml:space="preserve">tests/components/show/parity.spec.ts; tests/components/show/behavior.spec.ts</x:t>
        </x:is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n">
        <x:v>46232</x:v>
      </x:c>
      <x:c r="K16" s="150" t="inlineStr">
        <x:is>
          <x:t xml:space="preserve">Computed-display assertions pass.</x:t>
        </x:is>
      </x:c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SH-09</x:t>
        </x:is>
      </x:c>
      <x:c r="B17" s="149" t="inlineStr">
        <x:is>
          <x:t xml:space="preserve">Mounted state</x:t>
        </x:is>
      </x:c>
      <x:c r="C17" s="149" t="inlineStr">
        <x:is>
          <x:t xml:space="preserve">Root / children</x:t>
        </x:is>
      </x:c>
      <x:c r="D17" s="150" t="inlineStr">
        <x:is>
          <x:t xml:space="preserve">Conditional removal unmounts children; responsive hiding retains mounted state.</x:t>
        </x:is>
      </x:c>
      <x:c r="E17" s="149" t="inlineStr">
        <x:is>
          <x:t xml:space="preserve">browser</x:t>
        </x:is>
      </x:c>
      <x:c r="F17" s="149" t="inlineStr">
        <x:is>
          <x:t xml:space="preserve">browser</x:t>
        </x:is>
      </x:c>
      <x:c r="G17" s="150" t="inlineStr">
        <x:is>
          <x:t xml:space="preserve">../test/components/show/show.test.tsx; tests/components/show/behavior.spec.ts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n">
        <x:v>46232</x:v>
      </x:c>
      <x:c r="K17" s="150" t="inlineStr">
        <x:is>
          <x:t xml:space="preserve">Resize and retained-state assertions pass.</x:t>
        </x:is>
      </x:c>
      <x:c r="L17" s="149" t="n">
        <x:v>1</x:v>
      </x:c>
      <x:c r="M17" s="149" t="n">
        <x:f>IF(OR(AND(I17="yes",H17="verified"),AND(I17="no",OR(H17="tested",H17="verified")),AND(H17="not applicable",K17&lt;&gt;"")),1,0)</x:f>
        <x:v>1</x:v>
      </x:c>
    </x:row>
    <x:row r="18" s="127" customFormat="1" ht="54" customHeight="1">
      <x:c r="A18" s="149" t="inlineStr">
        <x:is>
          <x:t xml:space="preserve">SH-10</x:t>
        </x:is>
      </x:c>
      <x:c r="B18" s="149" t="inlineStr">
        <x:is>
          <x:t xml:space="preserve">Accessibility tree</x:t>
        </x:is>
      </x:c>
      <x:c r="C18" s="149" t="inlineStr">
        <x:is>
          <x:t xml:space="preserve">Root / children</x:t>
        </x:is>
      </x:c>
      <x:c r="D18" s="150" t="inlineStr">
        <x:is>
          <x:t xml:space="preserve">Controls inside a display-none branch are absent from the accessibility tree and return when their branch becomes visible.</x:t>
        </x:is>
      </x:c>
      <x:c r="E18" s="149" t="inlineStr">
        <x:is>
          <x:t xml:space="preserve">browser</x:t>
        </x:is>
      </x:c>
      <x:c r="F18" s="149" t="inlineStr">
        <x:is>
          <x:t xml:space="preserve">axe</x:t>
        </x:is>
      </x:c>
      <x:c r="G18" s="150" t="inlineStr">
        <x:is>
          <x:t xml:space="preserve">tests/components/show/behavior.spec.ts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n">
        <x:v>46232</x:v>
      </x:c>
      <x:c r="K18" s="150" t="inlineStr">
        <x:is>
          <x:t xml:space="preserve">Role visibility and focused axe assertions pass.</x:t>
        </x:is>
      </x:c>
      <x:c r="L18" s="149" t="n">
        <x:v>1</x:v>
      </x:c>
      <x:c r="M18" s="149" t="n">
        <x:f>IF(OR(AND(I18="yes",H18="verified"),AND(I18="no",OR(H18="tested",H18="verified")),AND(H18="not applicable",K18&lt;&gt;"")),1,0)</x:f>
        <x:v>1</x:v>
      </x:c>
    </x:row>
    <x:row r="19" s="127" customFormat="1" ht="54" customHeight="1">
      <x:c r="A19" s="149" t="inlineStr">
        <x:is>
          <x:t xml:space="preserve">SH-11</x:t>
        </x:is>
      </x:c>
      <x:c r="B19" s="149" t="inlineStr">
        <x:is>
          <x:t xml:space="preserve">Composition</x:t>
        </x:is>
      </x:c>
      <x:c r="C19" s="149" t="inlineStr">
        <x:is>
          <x:t xml:space="preserve">Show / Hide</x:t>
        </x:is>
      </x:c>
      <x:c r="D19" s="150" t="inlineStr">
        <x:is>
          <x:t xml:space="preserve">Show and Hide remain independent exact complements and compose without a public Visibility mode namespace.</x:t>
        </x:is>
      </x:c>
      <x:c r="E19" s="149" t="inlineStr">
        <x:is>
          <x:t xml:space="preserve">browser</x:t>
        </x:is>
      </x:c>
      <x:c r="F19" s="149" t="inlineStr">
        <x:is>
          <x:t xml:space="preserve">browser</x:t>
        </x:is>
      </x:c>
      <x:c r="G19" s="150" t="inlineStr">
        <x:is>
          <x:t xml:space="preserve">tests/components/show/behavior.spec.ts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46232</x:v>
      </x:c>
      <x:c r="K19" s="150" t="inlineStr">
        <x:is>
          <x:t xml:space="preserve">Complementary boundary assertions pass.</x:t>
        </x:is>
      </x:c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SH-12</x:t>
        </x:is>
      </x:c>
      <x:c r="B20" s="149" t="inlineStr">
        <x:is>
          <x:t xml:space="preserve">Semantic hosts</x:t>
        </x:is>
      </x:c>
      <x:c r="C20" s="149" t="inlineStr">
        <x:is>
          <x:t xml:space="preserve">Root</x:t>
        </x:is>
      </x:c>
      <x:c r="D20" s="150" t="inlineStr">
        <x:is>
          <x:t xml:space="preserve">Closed div, span, section, article, navigation, landmark, and list hosts preserve authored semantics without adding roles or names.</x:t>
        </x:is>
      </x:c>
      <x:c r="E20" s="149" t="inlineStr">
        <x:is>
          <x:t xml:space="preserve">package</x:t>
        </x:is>
      </x:c>
      <x:c r="F20" s="149" t="inlineStr">
        <x:is>
          <x:t xml:space="preserve">component</x:t>
        </x:is>
      </x:c>
      <x:c r="G20" s="150" t="inlineStr">
        <x:is>
          <x:t xml:space="preserve">../test/components/show/show.test.tsx</x:t>
        </x:is>
      </x:c>
      <x:c r="H20" s="149" t="inlineStr">
        <x:is>
          <x:t xml:space="preserve">tested</x:t>
        </x:is>
      </x:c>
      <x:c r="I20" s="149" t="inlineStr">
        <x:is>
          <x:t xml:space="preserve">no</x:t>
        </x:is>
      </x:c>
      <x:c r="J20" s="151" t="n">
        <x:v>46232</x:v>
      </x:c>
      <x:c r="K20" s="150" t="inlineStr">
        <x:is>
          <x:t xml:space="preserve">Semantic host and no-invented-ARIA assertions pass.</x:t>
        </x:is>
      </x:c>
      <x:c r="L20" s="149" t="n">
        <x:v>1</x:v>
      </x:c>
      <x:c r="M20" s="149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49" t="inlineStr">
        <x:is>
          <x:t xml:space="preserve">SH-13</x:t>
        </x:is>
      </x:c>
      <x:c r="B21" s="149" t="inlineStr">
        <x:is>
          <x:t xml:space="preserve">Native composition</x:t>
        </x:is>
      </x:c>
      <x:c r="C21" s="149" t="inlineStr">
        <x:is>
          <x:t xml:space="preserve">Root</x:t>
        </x:is>
      </x:c>
      <x:c r="D21" s="150" t="inlineStr">
        <x:is>
          <x:t xml:space="preserve">Class, style, slot, data attributes, events, aria attributes, children, and forwarded HTMLElement refs target the single public host.</x:t>
        </x:is>
      </x:c>
      <x:c r="E21" s="149" t="inlineStr">
        <x:is>
          <x:t xml:space="preserve">package</x:t>
        </x:is>
      </x:c>
      <x:c r="F21" s="149" t="inlineStr">
        <x:is>
          <x:t xml:space="preserve">component</x:t>
        </x:is>
      </x:c>
      <x:c r="G21" s="150" t="inlineStr">
        <x:is>
          <x:t xml:space="preserve">../test/components/show/show.test.tsx; tests/components/show/behavior.spec.ts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46232</x:v>
      </x:c>
      <x:c r="K21" s="150" t="inlineStr">
        <x:is>
          <x:t xml:space="preserve">Component and browser ref/prop evidence passes.</x:t>
        </x:is>
      </x:c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SH-14</x:t>
        </x:is>
      </x:c>
      <x:c r="B22" s="149" t="inlineStr">
        <x:is>
          <x:t xml:space="preserve">Responsive / RTL</x:t>
        </x:is>
      </x:c>
      <x:c r="C22" s="149" t="inlineStr">
        <x:is>
          <x:t xml:space="preserve">Root / children</x:t>
        </x:is>
      </x:c>
      <x:c r="D22" s="150" t="inlineStr">
        <x:is>
          <x:t xml:space="preserve">Viewport thresholds remain physical while long localized content, authored direction, and RTL text stay intact and contained.</x:t>
        </x:is>
      </x:c>
      <x:c r="E22" s="149" t="inlineStr">
        <x:is>
          <x:t xml:space="preserve">browser</x:t>
        </x:is>
      </x:c>
      <x:c r="F22" s="149" t="inlineStr">
        <x:is>
          <x:t xml:space="preserve">browser</x:t>
        </x:is>
      </x:c>
      <x:c r="G22" s="150" t="inlineStr">
        <x:is>
          <x:t xml:space="preserve">tests/components/show/behavior.spec.ts; tests/components/show/visual.spec.ts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46232</x:v>
      </x:c>
      <x:c r="K22" s="150" t="inlineStr">
        <x:is>
          <x:t xml:space="preserve">Cross-browser resize and reviewed localized baselines pass.</x:t>
        </x:is>
      </x:c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SH-15</x:t>
        </x:is>
      </x:c>
      <x:c r="B23" s="149" t="inlineStr">
        <x:is>
          <x:t xml:space="preserve">Accessibility</x:t>
        </x:is>
      </x:c>
      <x:c r="C23" s="149" t="inlineStr">
        <x:is>
          <x:t xml:space="preserve">Root / children</x:t>
        </x:is>
      </x:c>
      <x:c r="D23" s="150" t="inlineStr">
        <x:is>
          <x:t xml:space="preserve">The utility adds no semantic state, preserves authored child semantics and focus behavior, and its route has no automatically detectable violations.</x:t>
        </x:is>
      </x:c>
      <x:c r="E23" s="149" t="inlineStr">
        <x:is>
          <x:t xml:space="preserve">browser</x:t>
        </x:is>
      </x:c>
      <x:c r="F23" s="149" t="inlineStr">
        <x:is>
          <x:t xml:space="preserve">axe</x:t>
        </x:is>
      </x:c>
      <x:c r="G23" s="150" t="inlineStr">
        <x:is>
          <x:t xml:space="preserve">tests/components/show/behavior.spec.ts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>
        <x:v>46232</x:v>
      </x:c>
      <x:c r="K23" s="150" t="inlineStr">
        <x:is>
          <x:t xml:space="preserve">Focused axe coverage passes in the configured matrix.</x:t>
        </x:is>
      </x:c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SH-16</x:t>
        </x:is>
      </x:c>
      <x:c r="B24" s="149" t="inlineStr">
        <x:is>
          <x:t xml:space="preserve">Playground</x:t>
        </x:is>
      </x:c>
      <x:c r="C24" s="149" t="inlineStr">
        <x:is>
          <x:t xml:space="preserve">Show</x:t>
        </x:is>
      </x:c>
      <x:c r="D24" s="150" t="inlineStr">
        <x:is>
          <x:t xml:space="preserve">Utilities docs page includes conditional, fallback, value, truthiness and responsive examples; qualification scenarios remain.</x:t>
        </x:is>
      </x:c>
      <x:c r="E24" s="149" t="inlineStr">
        <x:is>
          <x:t xml:space="preserve">package</x:t>
        </x:is>
      </x:c>
      <x:c r="F24" s="149" t="inlineStr">
        <x:is>
          <x:t xml:space="preserve">playground</x:t>
        </x:is>
      </x:c>
      <x:c r="G24" s="150" t="inlineStr">
        <x:is>
          <x:t xml:space="preserve">src/components/show/ShowPage.tsx; src/components/_visibility/VisibilityEvidencePage.tsx</x:t>
        </x:is>
      </x:c>
      <x:c r="H24" s="149" t="inlineStr">
        <x:is>
          <x:t xml:space="preserve">tested</x:t>
        </x:is>
      </x:c>
      <x:c r="I24" s="149" t="inlineStr">
        <x:is>
          <x:t xml:space="preserve">no</x:t>
        </x:is>
      </x:c>
      <x:c r="J24" s="151" t="n">
        <x:v>46232</x:v>
      </x:c>
      <x:c r="K24" s="150" t="inlineStr">
        <x:is>
          <x:t xml:space="preserve">Playground build, route ownership, and composition audits pass.</x:t>
        </x:is>
      </x:c>
      <x:c r="L24" s="149" t="n">
        <x:v>1</x:v>
      </x:c>
      <x:c r="M24" s="149" t="n">
        <x:f>IF(OR(AND(I24="yes",H24="verified"),AND(I24="no",OR(H24="tested",H24="verified")),AND(H24="not applicable",K24&lt;&gt;"")),1,0)</x:f>
        <x:v>1</x:v>
      </x:c>
    </x:row>
    <x:row r="25" s="127" customFormat="1" ht="54" customHeight="1">
      <x:c r="A25" s="149" t="inlineStr">
        <x:is>
          <x:t xml:space="preserve">SH-17</x:t>
        </x:is>
      </x:c>
      <x:c r="B25" s="149" t="inlineStr">
        <x:is>
          <x:t xml:space="preserve">Visual</x:t>
        </x:is>
      </x:c>
      <x:c r="C25" s="149" t="inlineStr">
        <x:is>
          <x:t xml:space="preserve">Root / children</x:t>
        </x:is>
      </x:c>
      <x:c r="D25" s="150" t="inlineStr">
        <x:is>
          <x:t xml:space="preserve">Reviewed baselines cover compact overview badges, breakpoint cards, visible and hidden branches, mobile containment, localization, and RTL.</x:t>
        </x:is>
      </x:c>
      <x:c r="E25" s="149" t="inlineStr">
        <x:is>
          <x:t xml:space="preserve">browser</x:t>
        </x:is>
      </x:c>
      <x:c r="F25" s="149" t="inlineStr">
        <x:is>
          <x:t xml:space="preserve">visual</x:t>
        </x:is>
      </x:c>
      <x:c r="G25" s="150" t="inlineStr">
        <x:is>
          <x:t xml:space="preserve">tests/components/show/visual.spec.ts</x:t>
        </x:is>
      </x:c>
      <x:c r="H25" s="149" t="inlineStr">
        <x:is>
          <x:t xml:space="preserve">verified</x:t>
        </x:is>
      </x:c>
      <x:c r="I25" s="149" t="inlineStr">
        <x:is>
          <x:t xml:space="preserve">yes</x:t>
        </x:is>
      </x:c>
      <x:c r="J25" s="151" t="n">
        <x:v>46232</x:v>
      </x:c>
      <x:c r="K25" s="150" t="inlineStr">
        <x:is>
          <x:t xml:space="preserve">Agent inspected all three component-owned Chromium baselines on 2026-07-29.</x:t>
        </x:is>
      </x:c>
      <x:c r="L25" s="149" t="n">
        <x:v>1</x:v>
      </x:c>
      <x:c r="M25" s="149" t="n">
        <x:f>IF(OR(AND(I25="yes",H25="verified"),AND(I25="no",OR(H25="tested",H25="verified")),AND(H25="not applicable",K25&lt;&gt;"")),1,0)</x:f>
        <x:v>1</x:v>
      </x:c>
    </x:row>
    <x:row r="26" s="127" customFormat="1" ht="54" customHeight="1">
      <x:c r="A26" s="149" t="inlineStr">
        <x:is>
          <x:t xml:space="preserve">SH-18</x:t>
        </x:is>
      </x:c>
      <x:c r="B26" s="149" t="inlineStr">
        <x:is>
          <x:t xml:space="preserve">Documentation</x:t>
        </x:is>
      </x:c>
      <x:c r="C26" s="149" t="inlineStr">
        <x:is>
          <x:t xml:space="preserve">Public guide</x:t>
        </x:is>
      </x:c>
      <x:c r="D26" s="150" t="inlineStr">
        <x:is>
          <x:t xml:space="preserve">Guide distinguishes conditional and responsive modes, truthiness, projection, focus, forms and portals.</x:t>
        </x:is>
      </x:c>
      <x:c r="E26" s="149" t="inlineStr">
        <x:is>
          <x:t xml:space="preserve">package</x:t>
        </x:is>
      </x:c>
      <x:c r="F26" s="149" t="inlineStr">
        <x:is>
          <x:t xml:space="preserve">documentation</x:t>
        </x:is>
      </x:c>
      <x:c r="G26" s="150" t="inlineStr">
        <x:is>
          <x:t xml:space="preserve">../docs/components/show/README.md</x:t>
        </x:is>
      </x:c>
      <x:c r="H26" s="149" t="inlineStr">
        <x:is>
          <x:t xml:space="preserve">tested</x:t>
        </x:is>
      </x:c>
      <x:c r="I26" s="149" t="inlineStr">
        <x:is>
          <x:t xml:space="preserve">no</x:t>
        </x:is>
      </x:c>
      <x:c r="J26" s="151" t="n">
        <x:v>46232</x:v>
      </x:c>
      <x:c r="K26" s="150" t="inlineStr">
        <x:is>
          <x:t xml:space="preserve">Structural and source-backed semantic documentation contracts pass.</x:t>
        </x:is>
      </x:c>
      <x:c r="L26" s="149" t="n">
        <x:v>1</x:v>
      </x:c>
      <x:c r="M26" s="149" t="n">
        <x:f>IF(OR(AND(I26="yes",H26="verified"),AND(I26="no",OR(H26="tested",H26="verified")),AND(H26="not applicable",K26&lt;&gt;"")),1,0)</x:f>
        <x:v>1</x:v>
      </x:c>
    </x:row>
    <x:row r="27" s="127" customFormat="1" ht="54" customHeight="1">
      <x:c r="A27" s="149" t="inlineStr">
        <x:is>
          <x:t xml:space="preserve">SH-19</x:t>
        </x:is>
      </x:c>
      <x:c r="B27" s="149" t="inlineStr">
        <x:is>
          <x:t xml:space="preserve">Changelog</x:t>
        </x:is>
      </x:c>
      <x:c r="C27" s="149" t="inlineStr">
        <x:is>
          <x:t xml:space="preserve">Public record</x:t>
        </x:is>
      </x:c>
      <x:c r="D27" s="150" t="inlineStr">
        <x:is>
          <x:t xml:space="preserve">Show owns a component changelog and the package changelog records both responsive visibility additions.</x:t>
        </x:is>
      </x:c>
      <x:c r="E27" s="149" t="inlineStr">
        <x:is>
          <x:t xml:space="preserve">package</x:t>
        </x:is>
      </x:c>
      <x:c r="F27" s="149" t="inlineStr">
        <x:is>
          <x:t xml:space="preserve">documentation</x:t>
        </x:is>
      </x:c>
      <x:c r="G27" s="150" t="inlineStr">
        <x:is>
          <x:t xml:space="preserve">../docs/components/show/CHANGELOG.md; ../CHANGELOG.md</x:t>
        </x:is>
      </x:c>
      <x:c r="H27" s="149" t="inlineStr">
        <x:is>
          <x:t xml:space="preserve">tested</x:t>
        </x:is>
      </x:c>
      <x:c r="I27" s="149" t="inlineStr">
        <x:is>
          <x:t xml:space="preserve">no</x:t>
        </x:is>
      </x:c>
      <x:c r="J27" s="151" t="n">
        <x:v>46232</x:v>
      </x:c>
      <x:c r="K27" s="150" t="inlineStr">
        <x:is>
          <x:t xml:space="preserve">Both public changelog surfaces are present.</x:t>
        </x:is>
      </x:c>
      <x:c r="L27" s="149" t="n">
        <x:v>1</x:v>
      </x:c>
      <x:c r="M27" s="149" t="n">
        <x:f>IF(OR(AND(I27="yes",H27="verified"),AND(I27="no",OR(H27="tested",H27="verified")),AND(H27="not applicable",K27&lt;&gt;"")),1,0)</x:f>
        <x:v>1</x:v>
      </x:c>
    </x:row>
    <x:row r="28" s="127" customFormat="1" ht="54" customHeight="1">
      <x:c r="A28" s="149" t="inlineStr">
        <x:is>
          <x:t xml:space="preserve">SH-20</x:t>
        </x:is>
      </x:c>
      <x:c r="B28" s="149" t="inlineStr">
        <x:is>
          <x:t xml:space="preserve">Consumer</x:t>
        </x:is>
      </x:c>
      <x:c r="C28" s="149" t="inlineStr">
        <x:is>
          <x:t xml:space="preserve">Root</x:t>
        </x:is>
      </x:c>
      <x:c r="D28" s="150" t="inlineStr">
        <x:is>
          <x:t xml:space="preserve">The packed Consumer imports Show from its public subpath and composes realistic wide/compact workspace guidance.</x:t>
        </x:is>
      </x:c>
      <x:c r="E28" s="149" t="inlineStr">
        <x:is>
          <x:t xml:space="preserve">consumer</x:t>
        </x:is>
      </x:c>
      <x:c r="F28" s="149" t="inlineStr">
        <x:is>
          <x:t xml:space="preserve">consumer</x:t>
        </x:is>
      </x:c>
      <x:c r="G28" s="150" t="inlineStr">
        <x:is>
          <x:t xml:space="preserve">../apps/consumer/src/App.tsx; ../scripts/verify-consumers.mjs</x:t>
        </x:is>
      </x:c>
      <x:c r="H28" s="149" t="inlineStr">
        <x:is>
          <x:t xml:space="preserve">tested</x:t>
        </x:is>
      </x:c>
      <x:c r="I28" s="149" t="inlineStr">
        <x:is>
          <x:t xml:space="preserve">no</x:t>
        </x:is>
      </x:c>
      <x:c r="J28" s="151" t="n">
        <x:v>46232</x:v>
      </x:c>
      <x:c r="K28" s="150" t="inlineStr">
        <x:is>
          <x:t xml:space="preserve">Consumer build plus fresh React 18/19 package installs pass.</x:t>
        </x:is>
      </x:c>
      <x:c r="L28" s="149" t="n">
        <x:v>1</x:v>
      </x:c>
      <x:c r="M28" s="149" t="n">
        <x:f>IF(OR(AND(I28="yes",H28="verified"),AND(I28="no",OR(H28="tested",H28="verified")),AND(H28="not applicable",K28&lt;&gt;"")),1,0)</x:f>
        <x:v>1</x:v>
      </x:c>
    </x:row>
    <x:row r="29" s="127" customFormat="1" ht="54" customHeight="1">
      <x:c r="A29" s="149" t="inlineStr">
        <x:is>
          <x:t xml:space="preserve">SH-21</x:t>
        </x:is>
      </x:c>
      <x:c r="B29" s="149" t="inlineStr">
        <x:is>
          <x:t xml:space="preserve">Manual</x:t>
        </x:is>
      </x:c>
      <x:c r="C29" s="149" t="inlineStr">
        <x:is>
          <x:t xml:space="preserve">Show</x:t>
        </x:is>
      </x:c>
      <x:c r="D29" s="150" t="inlineStr">
        <x:is>
          <x:t xml:space="preserve">A tester completes the numbered resize, display, semantics, keyboard, zoom, RTL, localization, preference, and no-JavaScript protocol.</x:t>
        </x:is>
      </x:c>
      <x:c r="E29" s="149" t="inlineStr">
        <x:is>
          <x:t xml:space="preserve">package</x:t>
        </x:is>
      </x:c>
      <x:c r="F29" s="149" t="inlineStr">
        <x:is>
          <x:t xml:space="preserve">manual</x:t>
        </x:is>
      </x:c>
      <x:c r="G29" s="150" t="inlineStr">
        <x:is>
          <x:t xml:space="preserve">manual-tests/show.md</x:t>
        </x:is>
      </x:c>
      <x:c r="H29" s="149" t="inlineStr">
        <x:is>
          <x:t xml:space="preserve">not started</x:t>
        </x:is>
      </x:c>
      <x:c r="I29" s="149" t="inlineStr">
        <x:is>
          <x:t xml:space="preserve">yes</x:t>
        </x:is>
      </x:c>
      <x:c r="J29" s="151" t="n"/>
      <x:c r="K29" s="150" t="inlineStr">
        <x:is>
          <x:t xml:space="preserve">Human run intentionally left as the sole component gate.</x:t>
        </x:is>
      </x:c>
      <x:c r="L29" s="149" t="n">
        <x:v>1</x:v>
      </x:c>
      <x:c r="M29" s="149" t="n">
        <x:f>IF(OR(AND(I29="yes",H29="verified"),AND(I29="no",OR(H29="tested",H29="verified")),AND(H29="not applicable",K29&lt;&gt;"")),1,0)</x:f>
        <x:v>0</x:v>
      </x:c>
    </x:row>
    <x:row r="30" s="127" customFormat="1" ht="54" customHeight="1">
      <x:c r="A30" s="149" t="inlineStr">
        <x:is>
          <x:t xml:space="preserve">SH-22</x:t>
        </x:is>
      </x:c>
      <x:c r="B30" s="149" t="inlineStr">
        <x:is>
          <x:t xml:space="preserve">Package</x:t>
        </x:is>
      </x:c>
      <x:c r="C30" s="149" t="inlineStr">
        <x:is>
          <x:t xml:space="preserve">Show</x:t>
        </x:is>
      </x:c>
      <x:c r="D30" s="150" t="inlineStr">
        <x:is>
          <x:t xml:space="preserve">Build, declarations, exports, SSR, CSS, docs, ownership, tarball, React 18/19, Consumer, and focused five-project browser verification pass.</x:t>
        </x:is>
      </x:c>
      <x:c r="E30" s="149" t="inlineStr">
        <x:is>
          <x:t xml:space="preserve">package</x:t>
        </x:is>
      </x:c>
      <x:c r="F30" s="149" t="inlineStr">
        <x:is>
          <x:t xml:space="preserve">package</x:t>
        </x:is>
      </x:c>
      <x:c r="G30" s="150" t="inlineStr">
        <x:is>
          <x:t xml:space="preserve">../scripts/verify-package.mjs; ../scripts/verify-consumers.mjs</x:t>
        </x:is>
      </x:c>
      <x:c r="H30" s="149" t="inlineStr">
        <x:is>
          <x:t xml:space="preserve">tested</x:t>
        </x:is>
      </x:c>
      <x:c r="I30" s="149" t="inlineStr">
        <x:is>
          <x:t xml:space="preserve">no</x:t>
        </x:is>
      </x:c>
      <x:c r="J30" s="151" t="n">
        <x:v>46232</x:v>
      </x:c>
      <x:c r="K30" s="150" t="inlineStr">
        <x:is>
          <x:t xml:space="preserve">Complete non-browser gate and focused 20-test browser/device matrix pass; unrelated legacy full-suite visual drift remains outside this component.</x:t>
        </x:is>
      </x:c>
      <x:c r="L30" s="149" t="n">
        <x:v>1</x:v>
      </x:c>
      <x:c r="M30" s="149" t="n">
        <x:f>IF(OR(AND(I30="yes",H30="verified"),AND(I30="no",OR(H30="tested",H30="verified")),AND(H30="not applicable",K30&lt;&gt;"")),1,0)</x:f>
        <x:v>1</x:v>
      </x:c>
    </x:row>
    <x:row r="31" s="127" customFormat="1" ht="54" customHeight="1"/>
    <x:row r="32" s="127" customFormat="1" ht="54" customHeight="1"/>
    <x:row r="33" s="127" customFormat="1" ht="54" customHeight="1"/>
    <x:row r="34" s="127" customFormat="1" ht="54" customHeight="1"/>
    <x:row r="35" s="127" customFormat="1" ht="54" customHeight="1"/>
    <x:row r="36" s="127" customFormat="1" ht="54" customHeight="1"/>
  </x:sheetData>
  <x:mergeCells>
    <x:mergeCell ref="A2:M2"/>
    <x:mergeCell ref="A1:M1"/>
  </x:mergeCells>
  <x:dataValidations count="2">
    <x:dataValidation type="list" errorStyle="stop" operator="between" allowBlank="0" showDropDown="0" showInputMessage="0" showErrorMessage="0" sqref="H9:H30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30">
      <x:formula1>"yes,no"</x:formula1>
      <x:formula2>0</x:formula2>
    </x:dataValidation>
  </x:dataValidations>
  <x:pageMargins left="0.7" right="0.7" top="0.75" bottom="0.75" header="0.3" footer="0.3"/>
</x:worksheet>
</file>

<file path=xl/worksheets/sheet76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Hide Evidence</x:t>
        </x:is>
      </x:c>
    </x:row>
    <x:row r="2" s="127" customFormat="1" ht="27.75" customHeight="1">
      <x:c r="A2" s="129" t="inlineStr">
        <x:is>
          <x:t xml:space="preserve">Assertion-level CSS-only responsive visibility, composition, accessibility, package, Consumer, playground, visual, and manual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COUNTA(A9:A30)</x:f>
        <x:v>22</x:v>
      </x:c>
      <x:c r="D4" s="130" t="inlineStr">
        <x:is>
          <x:t xml:space="preserve">Resolved</x:t>
        </x:is>
      </x:c>
      <x:c r="E4" s="131" t="n">
        <x:f>SUM(M9:M30)</x:f>
        <x:v>21</x:v>
      </x:c>
      <x:c r="G4" s="130" t="inlineStr">
        <x:is>
          <x:t xml:space="preserve">Completion</x:t>
        </x:is>
      </x:c>
      <x:c r="H4" s="132" t="n">
        <x:f>IF(B4=0,0,E4/B4)</x:f>
        <x:v>0.9545454545454546</x:v>
      </x:c>
      <x:c r="J4" s="130" t="inlineStr">
        <x:is>
          <x:t xml:space="preserve">Package gate</x:t>
        </x:is>
      </x:c>
      <x:c r="K4" s="131" t="str">
        <x:f>IF(COUNTIFS(E9:E28,"package",M9:M28,0)&gt;0,"open","complete")</x:f>
        <x:v>complete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IF(COUNTIFS(I9:I30,"yes",M9:M30,0)&gt;0,"open","complete")</x:f>
        <x:v>open</x:v>
      </x:c>
      <x:c r="D5" s="130" t="inlineStr">
        <x:is>
          <x:t xml:space="preserve">Consumer gate</x:t>
        </x:is>
      </x:c>
      <x:c r="E5" s="131" t="str">
        <x:f>IF(COUNTIFS(E9:E30,"consumer",M9:M30,0)&gt;0,"open","complete")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HD-01</x:t>
        </x:is>
      </x:c>
      <x:c r="B9" s="149" t="inlineStr">
        <x:is>
          <x:t xml:space="preserve">Ownership</x:t>
        </x:is>
      </x:c>
      <x:c r="C9" s="149" t="inlineStr">
        <x:is>
          <x:t xml:space="preserve">Hide</x:t>
        </x:is>
      </x:c>
      <x:c r="D9" s="150" t="inlineStr">
        <x:is>
          <x:t xml:space="preserve">Hide is a Brick-owned CSS layout utility; research found no Atom primitive or behavior patch is required.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../src/components/hide/Hide.tsx; ../src/components/_responsive-visibility/ResponsiveVisibility.tsx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46232</x:v>
      </x:c>
      <x:c r="K9" s="150" t="inlineStr">
        <x:is>
          <x:t xml:space="preserve">Source audit confirms the deliberate no-Atom boundary.</x:t>
        </x:is>
      </x:c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HD-02</x:t>
        </x:is>
      </x:c>
      <x:c r="B10" s="149" t="inlineStr">
        <x:is>
          <x:t xml:space="preserve">Anatomy</x:t>
        </x:is>
      </x:c>
      <x:c r="C10" s="149" t="inlineStr">
        <x:is>
          <x:t xml:space="preserve">Root</x:t>
        </x:is>
      </x:c>
      <x:c r="D10" s="150" t="inlineStr">
        <x:is>
          <x:t xml:space="preserve">Responsive wrapper stays mounted; asChild projects hide-only CSS to one existing host.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../test/components/hide/hide.test.tsx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46232</x:v>
      </x:c>
      <x:c r="K10" s="150" t="inlineStr">
        <x:is>
          <x:t xml:space="preserve">Focused component anatomy assertions pass.</x:t>
        </x:is>
      </x:c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HD-03</x:t>
        </x:is>
      </x:c>
      <x:c r="B11" s="149" t="inlineStr">
        <x:is>
          <x:t xml:space="preserve">Exports</x:t>
        </x:is>
      </x:c>
      <x:c r="C11" s="149" t="inlineStr">
        <x:is>
          <x:t xml:space="preserve">Hide</x:t>
        </x:is>
      </x:c>
      <x:c r="D11" s="150" t="inlineStr">
        <x:is>
          <x:t xml:space="preserve">Root and hide subpath exports expose Hide, HideProps, HideElement, and HideBreakpoint with identical runtime identity.</x:t>
        </x:is>
      </x:c>
      <x:c r="E11" s="149" t="inlineStr">
        <x:is>
          <x:t xml:space="preserve">package</x:t>
        </x:is>
      </x:c>
      <x:c r="F11" s="149" t="inlineStr">
        <x:is>
          <x:t xml:space="preserve">package</x:t>
        </x:is>
      </x:c>
      <x:c r="G11" s="150" t="inlineStr">
        <x:is>
          <x:t xml:space="preserve">../test/package/package.test.mjs; ../package.json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46232</x:v>
      </x:c>
      <x:c r="K11" s="150" t="inlineStr">
        <x:is>
          <x:t xml:space="preserve">Package export and clean-consumer identity checks pass.</x:t>
        </x:is>
      </x:c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HD-04</x:t>
        </x:is>
      </x:c>
      <x:c r="B12" s="149" t="inlineStr">
        <x:is>
          <x:t xml:space="preserve">Types</x:t>
        </x:is>
      </x:c>
      <x:c r="C12" s="149" t="inlineStr">
        <x:is>
          <x:t xml:space="preserve">Public surface</x:t>
        </x:is>
      </x:c>
      <x:c r="D12" s="150" t="inlineStr">
        <x:is>
          <x:t xml:space="preserve">Required from, closed hosts, and exclusive as/asChild projection type-check.</x:t>
        </x:is>
      </x:c>
      <x:c r="E12" s="149" t="inlineStr">
        <x:is>
          <x:t xml:space="preserve">package</x:t>
        </x:is>
      </x:c>
      <x:c r="F12" s="149" t="inlineStr">
        <x:is>
          <x:t xml:space="preserve">types</x:t>
        </x:is>
      </x:c>
      <x:c r="G12" s="150" t="inlineStr">
        <x:is>
          <x:t xml:space="preserve">../test/types/components/hide.test.ts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46232</x:v>
      </x:c>
      <x:c r="K12" s="150" t="inlineStr">
        <x:is>
          <x:t xml:space="preserve">Focused and repository-wide type checks pass.</x:t>
        </x:is>
      </x:c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HD-05</x:t>
        </x:is>
      </x:c>
      <x:c r="B13" s="149" t="inlineStr">
        <x:is>
          <x:t xml:space="preserve">SSR</x:t>
        </x:is>
      </x:c>
      <x:c r="C13" s="149" t="inlineStr">
        <x:is>
          <x:t xml:space="preserve">Root</x:t>
        </x:is>
      </x:c>
      <x:c r="D13" s="150" t="inlineStr">
        <x:is>
          <x:t xml:space="preserve">Hide imports server-safely and emits deterministic always-mounted markup without reading viewport state during render.</x:t>
        </x:is>
      </x:c>
      <x:c r="E13" s="149" t="inlineStr">
        <x:is>
          <x:t xml:space="preserve">package</x:t>
        </x:is>
      </x:c>
      <x:c r="F13" s="149" t="inlineStr">
        <x:is>
          <x:t xml:space="preserve">package</x:t>
        </x:is>
      </x:c>
      <x:c r="G13" s="150" t="inlineStr">
        <x:is>
          <x:t xml:space="preserve">../test/package/ssr.test.mjs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46232</x:v>
      </x:c>
      <x:c r="K13" s="150" t="inlineStr">
        <x:is>
          <x:t xml:space="preserve">React server rendering and clean React 18/19 consumers pass.</x:t>
        </x:is>
      </x:c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HD-06</x:t>
        </x:is>
      </x:c>
      <x:c r="B14" s="149" t="inlineStr">
        <x:is>
          <x:t xml:space="preserve">CSS</x:t>
        </x:is>
      </x:c>
      <x:c r="C14" s="149" t="inlineStr">
        <x:is>
          <x:t xml:space="preserve">Root</x:t>
        </x:is>
      </x:c>
      <x:c r="D14" s="150" t="inlineStr">
        <x:is>
          <x:t xml:space="preserve">Static CSS ships sm 30rem, md 48rem, lg 64rem, and xl 80rem media boundaries and hides only brick-hide with display none important.</x:t>
        </x:is>
      </x:c>
      <x:c r="E14" s="149" t="inlineStr">
        <x:is>
          <x:t xml:space="preserve">package</x:t>
        </x:is>
      </x:c>
      <x:c r="F14" s="149" t="inlineStr">
        <x:is>
          <x:t xml:space="preserve">css</x:t>
        </x:is>
      </x:c>
      <x:c r="G14" s="150" t="inlineStr">
        <x:is>
          <x:t xml:space="preserve">../src/components/hide/hide.css; ../scripts/prototype-css.mjs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46232</x:v>
      </x:c>
      <x:c r="K14" s="150" t="inlineStr">
        <x:is>
          <x:t xml:space="preserve">Production CSS and packaged CSS assertions pass.</x:t>
        </x:is>
      </x:c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HD-07</x:t>
        </x:is>
      </x:c>
      <x:c r="B15" s="149" t="inlineStr">
        <x:is>
          <x:t xml:space="preserve">Breakpoint edges</x:t>
        </x:is>
      </x:c>
      <x:c r="C15" s="149" t="inlineStr">
        <x:is>
          <x:t xml:space="preserve">Root</x:t>
        </x:is>
      </x:c>
      <x:c r="D15" s="150" t="inlineStr">
        <x:is>
          <x:t xml:space="preserve">At 767px and 768px the md boundary changes exactly once and Hide has no overlap or gap.</x:t>
        </x:is>
      </x:c>
      <x:c r="E15" s="149" t="inlineStr">
        <x:is>
          <x:t xml:space="preserve">browser</x:t>
        </x:is>
      </x:c>
      <x:c r="F15" s="149" t="inlineStr">
        <x:is>
          <x:t xml:space="preserve">browser</x:t>
        </x:is>
      </x:c>
      <x:c r="G15" s="150" t="inlineStr">
        <x:is>
          <x:t xml:space="preserve">tests/components/hide/behavior.spec.ts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46232</x:v>
      </x:c>
      <x:c r="K15" s="150" t="inlineStr">
        <x:is>
          <x:t xml:space="preserve">All five configured browser/device projects pass.</x:t>
        </x:is>
      </x:c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HD-08</x:t>
        </x:is>
      </x:c>
      <x:c r="B16" s="149" t="inlineStr">
        <x:is>
          <x:t xml:space="preserve">Display preservation</x:t>
        </x:is>
      </x:c>
      <x:c r="C16" s="149" t="inlineStr">
        <x:is>
          <x:t xml:space="preserve">Root</x:t>
        </x:is>
      </x:c>
      <x:c r="D16" s="150" t="inlineStr">
        <x:is>
          <x:t xml:space="preserve">Projected flex display is preserved; responsive wrappers retain display:contents.</x:t>
        </x:is>
      </x:c>
      <x:c r="E16" s="149" t="inlineStr">
        <x:is>
          <x:t xml:space="preserve">browser</x:t>
        </x:is>
      </x:c>
      <x:c r="F16" s="149" t="inlineStr">
        <x:is>
          <x:t xml:space="preserve">browser</x:t>
        </x:is>
      </x:c>
      <x:c r="G16" s="150" t="inlineStr">
        <x:is>
          <x:t xml:space="preserve">tests/components/hide/parity.spec.ts; tests/components/hide/behavior.spec.ts</x:t>
        </x:is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n">
        <x:v>46232</x:v>
      </x:c>
      <x:c r="K16" s="150" t="inlineStr">
        <x:is>
          <x:t xml:space="preserve">Computed-display assertions pass.</x:t>
        </x:is>
      </x:c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HD-09</x:t>
        </x:is>
      </x:c>
      <x:c r="B17" s="149" t="inlineStr">
        <x:is>
          <x:t xml:space="preserve">Mounted state</x:t>
        </x:is>
      </x:c>
      <x:c r="C17" s="149" t="inlineStr">
        <x:is>
          <x:t xml:space="preserve">Root / children</x:t>
        </x:is>
      </x:c>
      <x:c r="D17" s="150" t="inlineStr">
        <x:is>
          <x:t xml:space="preserve">Responsive hiding never unmounts children, so authored local state survives a transition from hidden to visible.</x:t>
        </x:is>
      </x:c>
      <x:c r="E17" s="149" t="inlineStr">
        <x:is>
          <x:t xml:space="preserve">browser</x:t>
        </x:is>
      </x:c>
      <x:c r="F17" s="149" t="inlineStr">
        <x:is>
          <x:t xml:space="preserve">browser</x:t>
        </x:is>
      </x:c>
      <x:c r="G17" s="150" t="inlineStr">
        <x:is>
          <x:t xml:space="preserve">tests/components/hide/behavior.spec.ts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n">
        <x:v>46232</x:v>
      </x:c>
      <x:c r="K17" s="150" t="inlineStr">
        <x:is>
          <x:t xml:space="preserve">Resize and retained-state assertions pass.</x:t>
        </x:is>
      </x:c>
      <x:c r="L17" s="149" t="n">
        <x:v>1</x:v>
      </x:c>
      <x:c r="M17" s="149" t="n">
        <x:f>IF(OR(AND(I17="yes",H17="verified"),AND(I17="no",OR(H17="tested",H17="verified")),AND(H17="not applicable",K17&lt;&gt;"")),1,0)</x:f>
        <x:v>1</x:v>
      </x:c>
    </x:row>
    <x:row r="18" s="127" customFormat="1" ht="54" customHeight="1">
      <x:c r="A18" s="149" t="inlineStr">
        <x:is>
          <x:t xml:space="preserve">HD-10</x:t>
        </x:is>
      </x:c>
      <x:c r="B18" s="149" t="inlineStr">
        <x:is>
          <x:t xml:space="preserve">Accessibility tree</x:t>
        </x:is>
      </x:c>
      <x:c r="C18" s="149" t="inlineStr">
        <x:is>
          <x:t xml:space="preserve">Root / children</x:t>
        </x:is>
      </x:c>
      <x:c r="D18" s="150" t="inlineStr">
        <x:is>
          <x:t xml:space="preserve">Controls inside a display-none branch are absent from the accessibility tree and return when their branch becomes visible.</x:t>
        </x:is>
      </x:c>
      <x:c r="E18" s="149" t="inlineStr">
        <x:is>
          <x:t xml:space="preserve">browser</x:t>
        </x:is>
      </x:c>
      <x:c r="F18" s="149" t="inlineStr">
        <x:is>
          <x:t xml:space="preserve">axe</x:t>
        </x:is>
      </x:c>
      <x:c r="G18" s="150" t="inlineStr">
        <x:is>
          <x:t xml:space="preserve">tests/components/hide/behavior.spec.ts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n">
        <x:v>46232</x:v>
      </x:c>
      <x:c r="K18" s="150" t="inlineStr">
        <x:is>
          <x:t xml:space="preserve">Role visibility and focused axe assertions pass.</x:t>
        </x:is>
      </x:c>
      <x:c r="L18" s="149" t="n">
        <x:v>1</x:v>
      </x:c>
      <x:c r="M18" s="149" t="n">
        <x:f>IF(OR(AND(I18="yes",H18="verified"),AND(I18="no",OR(H18="tested",H18="verified")),AND(H18="not applicable",K18&lt;&gt;"")),1,0)</x:f>
        <x:v>1</x:v>
      </x:c>
    </x:row>
    <x:row r="19" s="127" customFormat="1" ht="54" customHeight="1">
      <x:c r="A19" s="149" t="inlineStr">
        <x:is>
          <x:t xml:space="preserve">HD-11</x:t>
        </x:is>
      </x:c>
      <x:c r="B19" s="149" t="inlineStr">
        <x:is>
          <x:t xml:space="preserve">Composition</x:t>
        </x:is>
      </x:c>
      <x:c r="C19" s="149" t="inlineStr">
        <x:is>
          <x:t xml:space="preserve">Hide / Show</x:t>
        </x:is>
      </x:c>
      <x:c r="D19" s="150" t="inlineStr">
        <x:is>
          <x:t xml:space="preserve">Hide and Show remain independent exact complements and compose without a public Visibility mode namespace.</x:t>
        </x:is>
      </x:c>
      <x:c r="E19" s="149" t="inlineStr">
        <x:is>
          <x:t xml:space="preserve">browser</x:t>
        </x:is>
      </x:c>
      <x:c r="F19" s="149" t="inlineStr">
        <x:is>
          <x:t xml:space="preserve">browser</x:t>
        </x:is>
      </x:c>
      <x:c r="G19" s="150" t="inlineStr">
        <x:is>
          <x:t xml:space="preserve">tests/components/hide/behavior.spec.ts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46232</x:v>
      </x:c>
      <x:c r="K19" s="150" t="inlineStr">
        <x:is>
          <x:t xml:space="preserve">Complementary boundary assertions pass.</x:t>
        </x:is>
      </x:c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HD-12</x:t>
        </x:is>
      </x:c>
      <x:c r="B20" s="149" t="inlineStr">
        <x:is>
          <x:t xml:space="preserve">Semantic hosts</x:t>
        </x:is>
      </x:c>
      <x:c r="C20" s="149" t="inlineStr">
        <x:is>
          <x:t xml:space="preserve">Root</x:t>
        </x:is>
      </x:c>
      <x:c r="D20" s="150" t="inlineStr">
        <x:is>
          <x:t xml:space="preserve">Closed div, span, section, article, navigation, landmark, and list hosts preserve authored semantics without adding roles or names.</x:t>
        </x:is>
      </x:c>
      <x:c r="E20" s="149" t="inlineStr">
        <x:is>
          <x:t xml:space="preserve">package</x:t>
        </x:is>
      </x:c>
      <x:c r="F20" s="149" t="inlineStr">
        <x:is>
          <x:t xml:space="preserve">component</x:t>
        </x:is>
      </x:c>
      <x:c r="G20" s="150" t="inlineStr">
        <x:is>
          <x:t xml:space="preserve">../test/components/hide/hide.test.tsx</x:t>
        </x:is>
      </x:c>
      <x:c r="H20" s="149" t="inlineStr">
        <x:is>
          <x:t xml:space="preserve">tested</x:t>
        </x:is>
      </x:c>
      <x:c r="I20" s="149" t="inlineStr">
        <x:is>
          <x:t xml:space="preserve">no</x:t>
        </x:is>
      </x:c>
      <x:c r="J20" s="151" t="n">
        <x:v>46232</x:v>
      </x:c>
      <x:c r="K20" s="150" t="inlineStr">
        <x:is>
          <x:t xml:space="preserve">Semantic host and no-invented-ARIA assertions pass.</x:t>
        </x:is>
      </x:c>
      <x:c r="L20" s="149" t="n">
        <x:v>1</x:v>
      </x:c>
      <x:c r="M20" s="149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49" t="inlineStr">
        <x:is>
          <x:t xml:space="preserve">HD-13</x:t>
        </x:is>
      </x:c>
      <x:c r="B21" s="149" t="inlineStr">
        <x:is>
          <x:t xml:space="preserve">Native composition</x:t>
        </x:is>
      </x:c>
      <x:c r="C21" s="149" t="inlineStr">
        <x:is>
          <x:t xml:space="preserve">Root</x:t>
        </x:is>
      </x:c>
      <x:c r="D21" s="150" t="inlineStr">
        <x:is>
          <x:t xml:space="preserve">Class, style, slot, data attributes, events, aria attributes, children, and forwarded HTMLElement refs target the single public host.</x:t>
        </x:is>
      </x:c>
      <x:c r="E21" s="149" t="inlineStr">
        <x:is>
          <x:t xml:space="preserve">package</x:t>
        </x:is>
      </x:c>
      <x:c r="F21" s="149" t="inlineStr">
        <x:is>
          <x:t xml:space="preserve">component</x:t>
        </x:is>
      </x:c>
      <x:c r="G21" s="150" t="inlineStr">
        <x:is>
          <x:t xml:space="preserve">../test/components/hide/hide.test.tsx; tests/components/hide/behavior.spec.ts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46232</x:v>
      </x:c>
      <x:c r="K21" s="150" t="inlineStr">
        <x:is>
          <x:t xml:space="preserve">Component and browser ref/prop evidence passes.</x:t>
        </x:is>
      </x:c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HD-14</x:t>
        </x:is>
      </x:c>
      <x:c r="B22" s="149" t="inlineStr">
        <x:is>
          <x:t xml:space="preserve">Responsive / RTL</x:t>
        </x:is>
      </x:c>
      <x:c r="C22" s="149" t="inlineStr">
        <x:is>
          <x:t xml:space="preserve">Root / children</x:t>
        </x:is>
      </x:c>
      <x:c r="D22" s="150" t="inlineStr">
        <x:is>
          <x:t xml:space="preserve">Viewport thresholds remain physical while long localized content, authored direction, and RTL text stay intact and contained.</x:t>
        </x:is>
      </x:c>
      <x:c r="E22" s="149" t="inlineStr">
        <x:is>
          <x:t xml:space="preserve">browser</x:t>
        </x:is>
      </x:c>
      <x:c r="F22" s="149" t="inlineStr">
        <x:is>
          <x:t xml:space="preserve">browser</x:t>
        </x:is>
      </x:c>
      <x:c r="G22" s="150" t="inlineStr">
        <x:is>
          <x:t xml:space="preserve">tests/components/hide/behavior.spec.ts; tests/components/hide/visual.spec.ts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46232</x:v>
      </x:c>
      <x:c r="K22" s="150" t="inlineStr">
        <x:is>
          <x:t xml:space="preserve">Cross-browser resize and reviewed localized baselines pass.</x:t>
        </x:is>
      </x:c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HD-15</x:t>
        </x:is>
      </x:c>
      <x:c r="B23" s="149" t="inlineStr">
        <x:is>
          <x:t xml:space="preserve">Accessibility</x:t>
        </x:is>
      </x:c>
      <x:c r="C23" s="149" t="inlineStr">
        <x:is>
          <x:t xml:space="preserve">Root / children</x:t>
        </x:is>
      </x:c>
      <x:c r="D23" s="150" t="inlineStr">
        <x:is>
          <x:t xml:space="preserve">The utility adds no semantic state, preserves authored child semantics and focus behavior, and its route has no automatically detectable violations.</x:t>
        </x:is>
      </x:c>
      <x:c r="E23" s="149" t="inlineStr">
        <x:is>
          <x:t xml:space="preserve">browser</x:t>
        </x:is>
      </x:c>
      <x:c r="F23" s="149" t="inlineStr">
        <x:is>
          <x:t xml:space="preserve">axe</x:t>
        </x:is>
      </x:c>
      <x:c r="G23" s="150" t="inlineStr">
        <x:is>
          <x:t xml:space="preserve">tests/components/hide/behavior.spec.ts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>
        <x:v>46232</x:v>
      </x:c>
      <x:c r="K23" s="150" t="inlineStr">
        <x:is>
          <x:t xml:space="preserve">Focused axe coverage passes in the configured matrix.</x:t>
        </x:is>
      </x:c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HD-16</x:t>
        </x:is>
      </x:c>
      <x:c r="B24" s="149" t="inlineStr">
        <x:is>
          <x:t xml:space="preserve">Playground</x:t>
        </x:is>
      </x:c>
      <x:c r="C24" s="149" t="inlineStr">
        <x:is>
          <x:t xml:space="preserve">Hide</x:t>
        </x:is>
      </x:c>
      <x:c r="D24" s="150" t="inlineStr">
        <x:is>
          <x:t xml:space="preserve">Utilities docs page includes projection, complementary visibility and retained state; qualification scenarios remain.</x:t>
        </x:is>
      </x:c>
      <x:c r="E24" s="149" t="inlineStr">
        <x:is>
          <x:t xml:space="preserve">package</x:t>
        </x:is>
      </x:c>
      <x:c r="F24" s="149" t="inlineStr">
        <x:is>
          <x:t xml:space="preserve">playground</x:t>
        </x:is>
      </x:c>
      <x:c r="G24" s="150" t="inlineStr">
        <x:is>
          <x:t xml:space="preserve">src/components/hide/HidePage.tsx; src/components/_visibility/VisibilityEvidencePage.tsx</x:t>
        </x:is>
      </x:c>
      <x:c r="H24" s="149" t="inlineStr">
        <x:is>
          <x:t xml:space="preserve">tested</x:t>
        </x:is>
      </x:c>
      <x:c r="I24" s="149" t="inlineStr">
        <x:is>
          <x:t xml:space="preserve">no</x:t>
        </x:is>
      </x:c>
      <x:c r="J24" s="151" t="n">
        <x:v>46232</x:v>
      </x:c>
      <x:c r="K24" s="150" t="inlineStr">
        <x:is>
          <x:t xml:space="preserve">Playground build, route ownership, and composition audits pass.</x:t>
        </x:is>
      </x:c>
      <x:c r="L24" s="149" t="n">
        <x:v>1</x:v>
      </x:c>
      <x:c r="M24" s="149" t="n">
        <x:f>IF(OR(AND(I24="yes",H24="verified"),AND(I24="no",OR(H24="tested",H24="verified")),AND(H24="not applicable",K24&lt;&gt;"")),1,0)</x:f>
        <x:v>1</x:v>
      </x:c>
    </x:row>
    <x:row r="25" s="127" customFormat="1" ht="54" customHeight="1">
      <x:c r="A25" s="149" t="inlineStr">
        <x:is>
          <x:t xml:space="preserve">HD-17</x:t>
        </x:is>
      </x:c>
      <x:c r="B25" s="149" t="inlineStr">
        <x:is>
          <x:t xml:space="preserve">Visual</x:t>
        </x:is>
      </x:c>
      <x:c r="C25" s="149" t="inlineStr">
        <x:is>
          <x:t xml:space="preserve">Root / children</x:t>
        </x:is>
      </x:c>
      <x:c r="D25" s="150" t="inlineStr">
        <x:is>
          <x:t xml:space="preserve">Reviewed baselines cover compact overview badges, breakpoint cards, visible and hidden branches, mobile containment, localization, and RTL.</x:t>
        </x:is>
      </x:c>
      <x:c r="E25" s="149" t="inlineStr">
        <x:is>
          <x:t xml:space="preserve">browser</x:t>
        </x:is>
      </x:c>
      <x:c r="F25" s="149" t="inlineStr">
        <x:is>
          <x:t xml:space="preserve">visual</x:t>
        </x:is>
      </x:c>
      <x:c r="G25" s="150" t="inlineStr">
        <x:is>
          <x:t xml:space="preserve">tests/components/hide/visual.spec.ts</x:t>
        </x:is>
      </x:c>
      <x:c r="H25" s="149" t="inlineStr">
        <x:is>
          <x:t xml:space="preserve">verified</x:t>
        </x:is>
      </x:c>
      <x:c r="I25" s="149" t="inlineStr">
        <x:is>
          <x:t xml:space="preserve">yes</x:t>
        </x:is>
      </x:c>
      <x:c r="J25" s="151" t="n">
        <x:v>46232</x:v>
      </x:c>
      <x:c r="K25" s="150" t="inlineStr">
        <x:is>
          <x:t xml:space="preserve">Agent inspected all three component-owned Chromium baselines on 2026-07-29.</x:t>
        </x:is>
      </x:c>
      <x:c r="L25" s="149" t="n">
        <x:v>1</x:v>
      </x:c>
      <x:c r="M25" s="149" t="n">
        <x:f>IF(OR(AND(I25="yes",H25="verified"),AND(I25="no",OR(H25="tested",H25="verified")),AND(H25="not applicable",K25&lt;&gt;"")),1,0)</x:f>
        <x:v>1</x:v>
      </x:c>
    </x:row>
    <x:row r="26" s="127" customFormat="1" ht="54" customHeight="1">
      <x:c r="A26" s="149" t="inlineStr">
        <x:is>
          <x:t xml:space="preserve">HD-18</x:t>
        </x:is>
      </x:c>
      <x:c r="B26" s="149" t="inlineStr">
        <x:is>
          <x:t xml:space="preserve">Documentation</x:t>
        </x:is>
      </x:c>
      <x:c r="C26" s="149" t="inlineStr">
        <x:is>
          <x:t xml:space="preserve">Public guide</x:t>
        </x:is>
      </x:c>
      <x:c r="D26" s="150" t="inlineStr">
        <x:is>
          <x:t xml:space="preserve">Guide explains responsive projection, retained state, focus, forms and portals.</x:t>
        </x:is>
      </x:c>
      <x:c r="E26" s="149" t="inlineStr">
        <x:is>
          <x:t xml:space="preserve">package</x:t>
        </x:is>
      </x:c>
      <x:c r="F26" s="149" t="inlineStr">
        <x:is>
          <x:t xml:space="preserve">documentation</x:t>
        </x:is>
      </x:c>
      <x:c r="G26" s="150" t="inlineStr">
        <x:is>
          <x:t xml:space="preserve">../docs/components/hide/README.md</x:t>
        </x:is>
      </x:c>
      <x:c r="H26" s="149" t="inlineStr">
        <x:is>
          <x:t xml:space="preserve">tested</x:t>
        </x:is>
      </x:c>
      <x:c r="I26" s="149" t="inlineStr">
        <x:is>
          <x:t xml:space="preserve">no</x:t>
        </x:is>
      </x:c>
      <x:c r="J26" s="151" t="n">
        <x:v>46232</x:v>
      </x:c>
      <x:c r="K26" s="150" t="inlineStr">
        <x:is>
          <x:t xml:space="preserve">Structural and source-backed semantic documentation contracts pass.</x:t>
        </x:is>
      </x:c>
      <x:c r="L26" s="149" t="n">
        <x:v>1</x:v>
      </x:c>
      <x:c r="M26" s="149" t="n">
        <x:f>IF(OR(AND(I26="yes",H26="verified"),AND(I26="no",OR(H26="tested",H26="verified")),AND(H26="not applicable",K26&lt;&gt;"")),1,0)</x:f>
        <x:v>1</x:v>
      </x:c>
    </x:row>
    <x:row r="27" s="127" customFormat="1" ht="54" customHeight="1">
      <x:c r="A27" s="149" t="inlineStr">
        <x:is>
          <x:t xml:space="preserve">HD-19</x:t>
        </x:is>
      </x:c>
      <x:c r="B27" s="149" t="inlineStr">
        <x:is>
          <x:t xml:space="preserve">Changelog</x:t>
        </x:is>
      </x:c>
      <x:c r="C27" s="149" t="inlineStr">
        <x:is>
          <x:t xml:space="preserve">Public record</x:t>
        </x:is>
      </x:c>
      <x:c r="D27" s="150" t="inlineStr">
        <x:is>
          <x:t xml:space="preserve">Hide owns a component changelog and the package changelog records both responsive visibility additions.</x:t>
        </x:is>
      </x:c>
      <x:c r="E27" s="149" t="inlineStr">
        <x:is>
          <x:t xml:space="preserve">package</x:t>
        </x:is>
      </x:c>
      <x:c r="F27" s="149" t="inlineStr">
        <x:is>
          <x:t xml:space="preserve">documentation</x:t>
        </x:is>
      </x:c>
      <x:c r="G27" s="150" t="inlineStr">
        <x:is>
          <x:t xml:space="preserve">../docs/components/hide/CHANGELOG.md; ../CHANGELOG.md</x:t>
        </x:is>
      </x:c>
      <x:c r="H27" s="149" t="inlineStr">
        <x:is>
          <x:t xml:space="preserve">tested</x:t>
        </x:is>
      </x:c>
      <x:c r="I27" s="149" t="inlineStr">
        <x:is>
          <x:t xml:space="preserve">no</x:t>
        </x:is>
      </x:c>
      <x:c r="J27" s="151" t="n">
        <x:v>46232</x:v>
      </x:c>
      <x:c r="K27" s="150" t="inlineStr">
        <x:is>
          <x:t xml:space="preserve">Both public changelog surfaces are present.</x:t>
        </x:is>
      </x:c>
      <x:c r="L27" s="149" t="n">
        <x:v>1</x:v>
      </x:c>
      <x:c r="M27" s="149" t="n">
        <x:f>IF(OR(AND(I27="yes",H27="verified"),AND(I27="no",OR(H27="tested",H27="verified")),AND(H27="not applicable",K27&lt;&gt;"")),1,0)</x:f>
        <x:v>1</x:v>
      </x:c>
    </x:row>
    <x:row r="28" s="127" customFormat="1" ht="54" customHeight="1">
      <x:c r="A28" s="149" t="inlineStr">
        <x:is>
          <x:t xml:space="preserve">HD-20</x:t>
        </x:is>
      </x:c>
      <x:c r="B28" s="149" t="inlineStr">
        <x:is>
          <x:t xml:space="preserve">Consumer</x:t>
        </x:is>
      </x:c>
      <x:c r="C28" s="149" t="inlineStr">
        <x:is>
          <x:t xml:space="preserve">Root</x:t>
        </x:is>
      </x:c>
      <x:c r="D28" s="150" t="inlineStr">
        <x:is>
          <x:t xml:space="preserve">The packed Consumer imports Hide from its public subpath and composes realistic wide/compact workspace guidance.</x:t>
        </x:is>
      </x:c>
      <x:c r="E28" s="149" t="inlineStr">
        <x:is>
          <x:t xml:space="preserve">consumer</x:t>
        </x:is>
      </x:c>
      <x:c r="F28" s="149" t="inlineStr">
        <x:is>
          <x:t xml:space="preserve">consumer</x:t>
        </x:is>
      </x:c>
      <x:c r="G28" s="150" t="inlineStr">
        <x:is>
          <x:t xml:space="preserve">../apps/consumer/src/App.tsx; ../scripts/verify-consumers.mjs</x:t>
        </x:is>
      </x:c>
      <x:c r="H28" s="149" t="inlineStr">
        <x:is>
          <x:t xml:space="preserve">tested</x:t>
        </x:is>
      </x:c>
      <x:c r="I28" s="149" t="inlineStr">
        <x:is>
          <x:t xml:space="preserve">no</x:t>
        </x:is>
      </x:c>
      <x:c r="J28" s="151" t="n">
        <x:v>46232</x:v>
      </x:c>
      <x:c r="K28" s="150" t="inlineStr">
        <x:is>
          <x:t xml:space="preserve">Consumer build plus fresh React 18/19 package installs pass.</x:t>
        </x:is>
      </x:c>
      <x:c r="L28" s="149" t="n">
        <x:v>1</x:v>
      </x:c>
      <x:c r="M28" s="149" t="n">
        <x:f>IF(OR(AND(I28="yes",H28="verified"),AND(I28="no",OR(H28="tested",H28="verified")),AND(H28="not applicable",K28&lt;&gt;"")),1,0)</x:f>
        <x:v>1</x:v>
      </x:c>
    </x:row>
    <x:row r="29" s="127" customFormat="1" ht="54" customHeight="1">
      <x:c r="A29" s="149" t="inlineStr">
        <x:is>
          <x:t xml:space="preserve">HD-21</x:t>
        </x:is>
      </x:c>
      <x:c r="B29" s="149" t="inlineStr">
        <x:is>
          <x:t xml:space="preserve">Manual</x:t>
        </x:is>
      </x:c>
      <x:c r="C29" s="149" t="inlineStr">
        <x:is>
          <x:t xml:space="preserve">Hide</x:t>
        </x:is>
      </x:c>
      <x:c r="D29" s="150" t="inlineStr">
        <x:is>
          <x:t xml:space="preserve">A tester completes the numbered resize, display, semantics, keyboard, zoom, RTL, localization, preference, and no-JavaScript protocol.</x:t>
        </x:is>
      </x:c>
      <x:c r="E29" s="149" t="inlineStr">
        <x:is>
          <x:t xml:space="preserve">package</x:t>
        </x:is>
      </x:c>
      <x:c r="F29" s="149" t="inlineStr">
        <x:is>
          <x:t xml:space="preserve">manual</x:t>
        </x:is>
      </x:c>
      <x:c r="G29" s="150" t="inlineStr">
        <x:is>
          <x:t xml:space="preserve">manual-tests/hide.md</x:t>
        </x:is>
      </x:c>
      <x:c r="H29" s="149" t="inlineStr">
        <x:is>
          <x:t xml:space="preserve">not started</x:t>
        </x:is>
      </x:c>
      <x:c r="I29" s="149" t="inlineStr">
        <x:is>
          <x:t xml:space="preserve">yes</x:t>
        </x:is>
      </x:c>
      <x:c r="J29" s="151" t="n"/>
      <x:c r="K29" s="150" t="inlineStr">
        <x:is>
          <x:t xml:space="preserve">Human run intentionally left as the sole component gate.</x:t>
        </x:is>
      </x:c>
      <x:c r="L29" s="149" t="n">
        <x:v>1</x:v>
      </x:c>
      <x:c r="M29" s="149" t="n">
        <x:f>IF(OR(AND(I29="yes",H29="verified"),AND(I29="no",OR(H29="tested",H29="verified")),AND(H29="not applicable",K29&lt;&gt;"")),1,0)</x:f>
        <x:v>0</x:v>
      </x:c>
    </x:row>
    <x:row r="30" s="127" customFormat="1" ht="54" customHeight="1">
      <x:c r="A30" s="149" t="inlineStr">
        <x:is>
          <x:t xml:space="preserve">HD-22</x:t>
        </x:is>
      </x:c>
      <x:c r="B30" s="149" t="inlineStr">
        <x:is>
          <x:t xml:space="preserve">Package</x:t>
        </x:is>
      </x:c>
      <x:c r="C30" s="149" t="inlineStr">
        <x:is>
          <x:t xml:space="preserve">Hide</x:t>
        </x:is>
      </x:c>
      <x:c r="D30" s="150" t="inlineStr">
        <x:is>
          <x:t xml:space="preserve">Build, declarations, exports, SSR, CSS, docs, ownership, tarball, React 18/19, Consumer, and focused five-project browser verification pass.</x:t>
        </x:is>
      </x:c>
      <x:c r="E30" s="149" t="inlineStr">
        <x:is>
          <x:t xml:space="preserve">package</x:t>
        </x:is>
      </x:c>
      <x:c r="F30" s="149" t="inlineStr">
        <x:is>
          <x:t xml:space="preserve">package</x:t>
        </x:is>
      </x:c>
      <x:c r="G30" s="150" t="inlineStr">
        <x:is>
          <x:t xml:space="preserve">../scripts/verify-package.mjs; ../scripts/verify-consumers.mjs</x:t>
        </x:is>
      </x:c>
      <x:c r="H30" s="149" t="inlineStr">
        <x:is>
          <x:t xml:space="preserve">tested</x:t>
        </x:is>
      </x:c>
      <x:c r="I30" s="149" t="inlineStr">
        <x:is>
          <x:t xml:space="preserve">no</x:t>
        </x:is>
      </x:c>
      <x:c r="J30" s="151" t="n">
        <x:v>46232</x:v>
      </x:c>
      <x:c r="K30" s="150" t="inlineStr">
        <x:is>
          <x:t xml:space="preserve">Complete non-browser gate and focused 20-test browser/device matrix pass; unrelated legacy full-suite visual drift remains outside this component.</x:t>
        </x:is>
      </x:c>
      <x:c r="L30" s="149" t="n">
        <x:v>1</x:v>
      </x:c>
      <x:c r="M30" s="149" t="n">
        <x:f>IF(OR(AND(I30="yes",H30="verified"),AND(I30="no",OR(H30="tested",H30="verified")),AND(H30="not applicable",K30&lt;&gt;"")),1,0)</x:f>
        <x:v>1</x:v>
      </x:c>
    </x:row>
    <x:row r="31" s="127" customFormat="1" ht="54" customHeight="1"/>
    <x:row r="32" s="127" customFormat="1" ht="54" customHeight="1"/>
    <x:row r="33" s="127" customFormat="1" ht="54" customHeight="1"/>
    <x:row r="34" s="127" customFormat="1" ht="54" customHeight="1"/>
    <x:row r="35" s="127" customFormat="1" ht="54" customHeight="1"/>
    <x:row r="36" s="127" customFormat="1" ht="54" customHeight="1"/>
  </x:sheetData>
  <x:mergeCells>
    <x:mergeCell ref="A2:M2"/>
    <x:mergeCell ref="A1:M1"/>
  </x:mergeCells>
  <x:dataValidations count="2">
    <x:dataValidation type="list" errorStyle="stop" operator="between" allowBlank="0" showDropDown="0" showInputMessage="0" showErrorMessage="0" sqref="H9:H30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30">
      <x:formula1>"yes,no"</x:formula1>
      <x:formula2>0</x:formula2>
    </x:dataValidation>
  </x:dataValidations>
  <x:pageMargins left="0.7" right="0.7" top="0.75" bottom="0.75" header="0.3" footer="0.3"/>
</x:worksheet>
</file>

<file path=xl/worksheets/sheet77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Swipeable Item Evidence</x:t>
        </x:is>
      </x:c>
    </x:row>
    <x:row r="2" s="127" customFormat="1" ht="27.75" customHeight="1">
      <x:c r="A2" s="129" t="inlineStr">
        <x:is>
          <x:t xml:space="preserve">Atom-owned gesture lifecycle, five-part public API, logical actions, motion, composition, accessibility and candidate qualification.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COUNTA(A9:A39)</x:f>
        <x:v>31</x:v>
      </x:c>
      <x:c r="D4" s="130" t="inlineStr">
        <x:is>
          <x:t xml:space="preserve">Resolved</x:t>
        </x:is>
      </x:c>
      <x:c r="E4" s="131" t="n">
        <x:f>SUM(M9:M39)</x:f>
        <x:v>28</x:v>
      </x:c>
      <x:c r="G4" s="130" t="inlineStr">
        <x:is>
          <x:t xml:space="preserve">Completion</x:t>
        </x:is>
      </x:c>
      <x:c r="H4" s="132" t="n">
        <x:f>IF(B4=0,0,E4/B4)</x:f>
        <x:v>0.9032258064516129</x:v>
      </x:c>
      <x:c r="J4" s="130" t="inlineStr">
        <x:is>
          <x:t xml:space="preserve">Package gate</x:t>
        </x:is>
      </x:c>
      <x:c r="K4" s="131" t="str">
        <x:f>IF(COUNTIFS(E9:E39,"package",M9:M39,0)&gt;0,"open","complete")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IF(COUNTIFS(I9:I39,"yes",M9:M39,0)&gt;0,"open","complete")</x:f>
        <x:v>open</x:v>
      </x:c>
      <x:c r="D5" s="130" t="inlineStr">
        <x:is>
          <x:t xml:space="preserve">Consumer gate</x:t>
        </x:is>
      </x:c>
      <x:c r="E5" s="131" t="str">
        <x:f>IF(COUNTIFS(E9:E39,"consumer",M9:M39,0)&gt;0,"open","complete")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SW-01</x:t>
        </x:is>
      </x:c>
      <x:c r="B9" s="149" t="inlineStr">
        <x:is>
          <x:t xml:space="preserve">Atom ownership</x:t>
        </x:is>
      </x:c>
      <x:c r="C9" s="149" t="inlineStr">
        <x:is>
          <x:t xml:space="preserve">Root / Content / Actions</x:t>
        </x:is>
      </x:c>
      <x:c r="D9" s="150" t="inlineStr">
        <x:is>
          <x:t xml:space="preserve">Brick forwards the exact unpublished Atom 0.26.1 candidate. Atom owns gesture state, measurement, cancellation and settlement.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../src/components/swipeable-item/SwipeableItem.tsx; ../src/components/swipeable-item/agent.md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46282</x:v>
      </x:c>
      <x:c r="K9" s="150" t="inlineStr">
        <x:is>
          <x:t xml:space="preserve">September 17 candidate: focused adapter/types, Atom regressions and Brick browser matrix passed. See the cited owner evidence.</x:t>
        </x:is>
      </x:c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SW-02</x:t>
        </x:is>
      </x:c>
      <x:c r="B10" s="149" t="inlineStr">
        <x:is>
          <x:t xml:space="preserve">API</x:t>
        </x:is>
      </x:c>
      <x:c r="C10" s="149" t="inlineStr">
        <x:is>
          <x:t xml:space="preserve">Namespace</x:t>
        </x:is>
      </x:c>
      <x:c r="D10" s="150" t="inlineStr">
        <x:is>
          <x:t xml:space="preserve">Root, RootProvider, Content, Actions and Context share one controller. Brick adds plain/outline, Radius, action gap and inset.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../test/components/swipeable-item/swipeable-item.test.tsx; ../test/types/components/swipeable-item.test.ts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46282</x:v>
      </x:c>
      <x:c r="K10" s="150" t="inlineStr">
        <x:is>
          <x:t xml:space="preserve">September 17 candidate: focused adapter/types, Atom regressions and Brick browser matrix passed. See the cited owner evidence.</x:t>
        </x:is>
      </x:c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SW-03</x:t>
        </x:is>
      </x:c>
      <x:c r="B11" s="149" t="inlineStr">
        <x:is>
          <x:t xml:space="preserve">Anatomy</x:t>
        </x:is>
      </x:c>
      <x:c r="C11" s="149" t="inlineStr">
        <x:is>
          <x:t xml:space="preserve">Root / Content / Actions</x:t>
        </x:is>
      </x:c>
      <x:c r="D11" s="150" t="inlineStr">
        <x:is>
          <x:t xml:space="preserve">Root owns the boundary, Content is the moving foreground, and each labeled Actions group remains a direct logical-side child without a Brick-owned row-content schema.</x:t>
        </x:is>
      </x:c>
      <x:c r="E11" s="149" t="inlineStr">
        <x:is>
          <x:t xml:space="preserve">package</x:t>
        </x:is>
      </x:c>
      <x:c r="F11" s="149" t="inlineStr">
        <x:is>
          <x:t xml:space="preserve">component</x:t>
        </x:is>
      </x:c>
      <x:c r="G11" s="150" t="inlineStr">
        <x:is>
          <x:t xml:space="preserve">../test/components/swipeable-item/swipeable-item.test.tsx; tests/components/swipeable-item/behavior.spec.ts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46282</x:v>
      </x:c>
      <x:c r="K11" s="150" t="inlineStr">
        <x:is>
          <x:t xml:space="preserve">September 17 candidate: focused adapter/types, Atom regressions and Brick browser matrix passed. See the cited owner evidence.</x:t>
        </x:is>
      </x:c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SW-04</x:t>
        </x:is>
      </x:c>
      <x:c r="B12" s="149" t="inlineStr">
        <x:is>
          <x:t xml:space="preserve">State</x:t>
        </x:is>
      </x:c>
      <x:c r="C12" s="149" t="inlineStr">
        <x:is>
          <x:t xml:space="preserve">Root</x:t>
        </x:is>
      </x:c>
      <x:c r="D12" s="150" t="inlineStr">
        <x:is>
          <x:t xml:space="preserve">Controlled and uncontrolled openSide state reveal start, end, or closed without Brick duplicating Atom gesture math.</x:t>
        </x:is>
      </x:c>
      <x:c r="E12" s="149" t="inlineStr">
        <x:is>
          <x:t xml:space="preserve">browser</x:t>
        </x:is>
      </x:c>
      <x:c r="F12" s="149" t="inlineStr">
        <x:is>
          <x:t xml:space="preserve">browser</x:t>
        </x:is>
      </x:c>
      <x:c r="G12" s="150" t="inlineStr">
        <x:is>
          <x:t xml:space="preserve">tests/components/swipeable-item/behavior.spec.ts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46282</x:v>
      </x:c>
      <x:c r="K12" s="150" t="inlineStr">
        <x:is>
          <x:t xml:space="preserve">September 17 candidate: focused adapter/types, Atom regressions and Brick browser matrix passed. See the cited owner evidence.</x:t>
        </x:is>
      </x:c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SW-05</x:t>
        </x:is>
      </x:c>
      <x:c r="B13" s="149" t="inlineStr">
        <x:is>
          <x:t xml:space="preserve">Moving surface</x:t>
        </x:is>
      </x:c>
      <x:c r="C13" s="149" t="inlineStr">
        <x:is>
          <x:t xml:space="preserve">Content</x:t>
        </x:is>
      </x:c>
      <x:c r="D13" s="150" t="inlineStr">
        <x:is>
          <x:t xml:space="preserve">Content consumes Atom's measured offset, remains opaque above Actions, preserves vertical pan-y scrolling, and settles only after Atom state changes.</x:t>
        </x:is>
      </x:c>
      <x:c r="E13" s="149" t="inlineStr">
        <x:is>
          <x:t xml:space="preserve">browser</x:t>
        </x:is>
      </x:c>
      <x:c r="F13" s="149" t="inlineStr">
        <x:is>
          <x:t xml:space="preserve">browser</x:t>
        </x:is>
      </x:c>
      <x:c r="G13" s="150" t="inlineStr">
        <x:is>
          <x:t xml:space="preserve">tests/components/swipeable-item/behavior.spec.ts; ../src/components/swipeable-item/swipeable-item.css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46282</x:v>
      </x:c>
      <x:c r="K13" s="150" t="inlineStr">
        <x:is>
          <x:t xml:space="preserve">September 17 candidate: focused adapter/types, Atom regressions and Brick browser matrix passed. See the cited owner evidence.</x:t>
        </x:is>
      </x:c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SW-06</x:t>
        </x:is>
      </x:c>
      <x:c r="B14" s="149" t="inlineStr">
        <x:is>
          <x:t xml:space="preserve">Action semantics</x:t>
        </x:is>
      </x:c>
      <x:c r="C14" s="149" t="inlineStr">
        <x:is>
          <x:t xml:space="preserve">Actions</x:t>
        </x:is>
      </x:c>
      <x:c r="D14" s="150" t="inlineStr">
        <x:is>
          <x:t xml:space="preserve">Every Actions group requires a localized aria-label, becomes available only for its open side, contains native authored controls, and closes after command selection.</x:t>
        </x:is>
      </x:c>
      <x:c r="E14" s="149" t="inlineStr">
        <x:is>
          <x:t xml:space="preserve">browser</x:t>
        </x:is>
      </x:c>
      <x:c r="F14" s="149" t="inlineStr">
        <x:is>
          <x:t xml:space="preserve">browser</x:t>
        </x:is>
      </x:c>
      <x:c r="G14" s="150" t="inlineStr">
        <x:is>
          <x:t xml:space="preserve">tests/components/swipeable-item/behavior.spec.ts; ../test/types/components/swipeable-item.test.ts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46282</x:v>
      </x:c>
      <x:c r="K14" s="150" t="inlineStr">
        <x:is>
          <x:t xml:space="preserve">September 17 candidate: focused adapter/types, Atom regressions and Brick browser matrix passed. See the cited owner evidence.</x:t>
        </x:is>
      </x:c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SW-07</x:t>
        </x:is>
      </x:c>
      <x:c r="B15" s="149" t="inlineStr">
        <x:is>
          <x:t xml:space="preserve">Vertical pan</x:t>
        </x:is>
      </x:c>
      <x:c r="C15" s="149" t="inlineStr">
        <x:is>
          <x:t xml:space="preserve">Content</x:t>
        </x:is>
      </x:c>
      <x:c r="D15" s="150" t="inlineStr">
        <x:is>
          <x:t xml:space="preserve">A mostly vertical touch gesture remains page scrolling and never becomes an owned horizontal reveal.</x:t>
        </x:is>
      </x:c>
      <x:c r="E15" s="149" t="inlineStr">
        <x:is>
          <x:t xml:space="preserve">browser</x:t>
        </x:is>
      </x:c>
      <x:c r="F15" s="149" t="inlineStr">
        <x:is>
          <x:t xml:space="preserve">browser</x:t>
        </x:is>
      </x:c>
      <x:c r="G15" s="150" t="inlineStr">
        <x:is>
          <x:t xml:space="preserve">tests/components/swipeable-item/behavior.spec.ts; Atom swipeable-item public-API regressions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46282</x:v>
      </x:c>
      <x:c r="K15" s="150" t="inlineStr">
        <x:is>
          <x:t xml:space="preserve">September 17 candidate: focused adapter/types, Atom regressions and Brick browser matrix passed. See the cited owner evidence.</x:t>
        </x:is>
      </x:c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SW-08</x:t>
        </x:is>
      </x:c>
      <x:c r="B16" s="149" t="inlineStr">
        <x:is>
          <x:t xml:space="preserve">Pointer lifecycle</x:t>
        </x:is>
      </x:c>
      <x:c r="C16" s="149" t="inlineStr">
        <x:is>
          <x:t xml:space="preserve">Root / Content</x:t>
        </x:is>
      </x:c>
      <x:c r="D16" s="150" t="inlineStr">
        <x:is>
          <x:t xml:space="preserve">Cancel and lost capture never execute full swipe. Reveal travel is bounded; mid-gesture disable/readOnly invalidates tracking.</x:t>
        </x:is>
      </x:c>
      <x:c r="E16" s="149" t="inlineStr">
        <x:is>
          <x:t xml:space="preserve">browser</x:t>
        </x:is>
      </x:c>
      <x:c r="F16" s="149" t="inlineStr">
        <x:is>
          <x:t xml:space="preserve">browser</x:t>
        </x:is>
      </x:c>
      <x:c r="G16" s="150" t="inlineStr">
        <x:is>
          <x:t xml:space="preserve">tests/components/swipeable-item/behavior.spec.ts; Atom swipeable-item public-API regressions</x:t>
        </x:is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n">
        <x:v>46282</x:v>
      </x:c>
      <x:c r="K16" s="150" t="inlineStr">
        <x:is>
          <x:t xml:space="preserve">September 17 candidate: focused adapter/types, Atom regressions and Brick browser matrix passed. See the cited owner evidence.</x:t>
        </x:is>
      </x:c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SW-09</x:t>
        </x:is>
      </x:c>
      <x:c r="B17" s="149" t="inlineStr">
        <x:is>
          <x:t xml:space="preserve">Keyboard</x:t>
        </x:is>
      </x:c>
      <x:c r="C17" s="149" t="inlineStr">
        <x:is>
          <x:t xml:space="preserve">Content</x:t>
        </x:is>
      </x:c>
      <x:c r="D17" s="150" t="inlineStr">
        <x:is>
          <x:t xml:space="preserve">Arrow keys reveal or close the physical side implied by document direction, Escape closes, and descendant controls keep their own Arrow-key behavior.</x:t>
        </x:is>
      </x:c>
      <x:c r="E17" s="149" t="inlineStr">
        <x:is>
          <x:t xml:space="preserve">browser</x:t>
        </x:is>
      </x:c>
      <x:c r="F17" s="149" t="inlineStr">
        <x:is>
          <x:t xml:space="preserve">browser</x:t>
        </x:is>
      </x:c>
      <x:c r="G17" s="150" t="inlineStr">
        <x:is>
          <x:t xml:space="preserve">tests/components/swipeable-item/behavior.spec.ts; Atom swipeable-item public-API regressions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n">
        <x:v>46282</x:v>
      </x:c>
      <x:c r="K17" s="150" t="inlineStr">
        <x:is>
          <x:t xml:space="preserve">September 17 candidate: focused adapter/types, Atom regressions and Brick browser matrix passed. See the cited owner evidence.</x:t>
        </x:is>
      </x:c>
      <x:c r="L17" s="149" t="n">
        <x:v>1</x:v>
      </x:c>
      <x:c r="M17" s="149" t="n">
        <x:f>IF(OR(AND(I17="yes",H17="verified"),AND(I17="no",OR(H17="tested",H17="verified")),AND(H17="not applicable",K17&lt;&gt;"")),1,0)</x:f>
        <x:v>1</x:v>
      </x:c>
    </x:row>
    <x:row r="18" s="127" customFormat="1" ht="54" customHeight="1">
      <x:c r="A18" s="149" t="inlineStr">
        <x:is>
          <x:t xml:space="preserve">SW-10</x:t>
        </x:is>
      </x:c>
      <x:c r="B18" s="149" t="inlineStr">
        <x:is>
          <x:t xml:space="preserve">Direction</x:t>
        </x:is>
      </x:c>
      <x:c r="C18" s="149" t="inlineStr">
        <x:is>
          <x:t xml:space="preserve">Root / Actions</x:t>
        </x:is>
      </x:c>
      <x:c r="D18" s="150" t="inlineStr">
        <x:is>
          <x:t xml:space="preserve">Logical start and end panels mirror in genuine RTL while action order and authored reading direction remain application-owned.</x:t>
        </x:is>
      </x:c>
      <x:c r="E18" s="149" t="inlineStr">
        <x:is>
          <x:t xml:space="preserve">browser</x:t>
        </x:is>
      </x:c>
      <x:c r="F18" s="149" t="inlineStr">
        <x:is>
          <x:t xml:space="preserve">browser</x:t>
        </x:is>
      </x:c>
      <x:c r="G18" s="150" t="inlineStr">
        <x:is>
          <x:t xml:space="preserve">tests/components/swipeable-item/behavior.spec.ts; tests/components/swipeable-item/visual.spec.ts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n">
        <x:v>46282</x:v>
      </x:c>
      <x:c r="K18" s="150" t="inlineStr">
        <x:is>
          <x:t xml:space="preserve">September 17 candidate: focused adapter/types, Atom regressions and Brick browser matrix passed. See the cited owner evidence.</x:t>
        </x:is>
      </x:c>
      <x:c r="L18" s="149" t="n">
        <x:v>1</x:v>
      </x:c>
      <x:c r="M18" s="149" t="n">
        <x:f>IF(OR(AND(I18="yes",H18="verified"),AND(I18="no",OR(H18="tested",H18="verified")),AND(H18="not applicable",K18&lt;&gt;"")),1,0)</x:f>
        <x:v>1</x:v>
      </x:c>
    </x:row>
    <x:row r="19" s="127" customFormat="1" ht="54" customHeight="1">
      <x:c r="A19" s="149" t="inlineStr">
        <x:is>
          <x:t xml:space="preserve">SW-11</x:t>
        </x:is>
      </x:c>
      <x:c r="B19" s="149" t="inlineStr">
        <x:is>
          <x:t xml:space="preserve">Disabled states</x:t>
        </x:is>
      </x:c>
      <x:c r="C19" s="149" t="inlineStr">
        <x:is>
          <x:t xml:space="preserve">Root</x:t>
        </x:is>
      </x:c>
      <x:c r="D19" s="150" t="inlineStr">
        <x:is>
          <x:t xml:space="preserve">Disabled and read-only rows preserve layout while Atom blocks pointer and keyboard open-side changes.</x:t>
        </x:is>
      </x:c>
      <x:c r="E19" s="149" t="inlineStr">
        <x:is>
          <x:t xml:space="preserve">browser</x:t>
        </x:is>
      </x:c>
      <x:c r="F19" s="149" t="inlineStr">
        <x:is>
          <x:t xml:space="preserve">browser</x:t>
        </x:is>
      </x:c>
      <x:c r="G19" s="150" t="inlineStr">
        <x:is>
          <x:t xml:space="preserve">tests/components/swipeable-item/behavior.spec.ts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46282</x:v>
      </x:c>
      <x:c r="K19" s="150" t="inlineStr">
        <x:is>
          <x:t xml:space="preserve">September 17 candidate: focused adapter/types, Atom regressions and Brick browser matrix passed. See the cited owner evidence.</x:t>
        </x:is>
      </x:c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SW-12</x:t>
        </x:is>
      </x:c>
      <x:c r="B20" s="149" t="inlineStr">
        <x:is>
          <x:t xml:space="preserve">Visible alternative</x:t>
        </x:is>
      </x:c>
      <x:c r="C20" s="149" t="inlineStr">
        <x:is>
          <x:t xml:space="preserve">Content</x:t>
        </x:is>
      </x:c>
      <x:c r="D20" s="150" t="inlineStr">
        <x:is>
          <x:t xml:space="preserve">Examples expose an obvious More actions alternative; dragging is never the only route to row commands.</x:t>
        </x:is>
      </x:c>
      <x:c r="E20" s="149" t="inlineStr">
        <x:is>
          <x:t xml:space="preserve">consumer</x:t>
        </x:is>
      </x:c>
      <x:c r="F20" s="149" t="inlineStr">
        <x:is>
          <x:t xml:space="preserve">consumer</x:t>
        </x:is>
      </x:c>
      <x:c r="G20" s="150" t="inlineStr">
        <x:is>
          <x:t xml:space="preserve">src/components/swipeable-item/examples/SwipeableItemBasic.tsx; tests/components/swipeable-item/documentation.spec.ts</x:t>
        </x:is>
      </x:c>
      <x:c r="H20" s="149" t="inlineStr">
        <x:is>
          <x:t xml:space="preserve">tested</x:t>
        </x:is>
      </x:c>
      <x:c r="I20" s="149" t="inlineStr">
        <x:is>
          <x:t xml:space="preserve">no</x:t>
        </x:is>
      </x:c>
      <x:c r="J20" s="151" t="n">
        <x:v>46282</x:v>
      </x:c>
      <x:c r="K20" s="150" t="inlineStr">
        <x:is>
          <x:t xml:space="preserve">September 17 candidate: focused adapter/types, Atom regressions and Brick browser matrix passed. See the cited owner evidence.</x:t>
        </x:is>
      </x:c>
      <x:c r="L20" s="149" t="n">
        <x:v>1</x:v>
      </x:c>
      <x:c r="M20" s="149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49" t="inlineStr">
        <x:is>
          <x:t xml:space="preserve">SW-13</x:t>
        </x:is>
      </x:c>
      <x:c r="B21" s="149" t="inlineStr">
        <x:is>
          <x:t xml:space="preserve">Safety boundary</x:t>
        </x:is>
      </x:c>
      <x:c r="C21" s="149" t="inlineStr">
        <x:is>
          <x:t xml:space="preserve">Root</x:t>
        </x:is>
      </x:c>
      <x:c r="D21" s="150" t="inlineStr">
        <x:is>
          <x:t xml:space="preserve">Full swipe defaults off. Explicit logical sides and deliberate release are required; keys and cancellation never execute it.</x:t>
        </x:is>
      </x:c>
      <x:c r="E21" s="149" t="inlineStr">
        <x:is>
          <x:t xml:space="preserve">package</x:t>
        </x:is>
      </x:c>
      <x:c r="F21" s="149" t="inlineStr">
        <x:is>
          <x:t xml:space="preserve">types</x:t>
        </x:is>
      </x:c>
      <x:c r="G21" s="150" t="inlineStr">
        <x:is>
          <x:t xml:space="preserve">../test/types/components/swipeable-item.test.ts; ../docs/components/swipeable-item/README.md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46282</x:v>
      </x:c>
      <x:c r="K21" s="150" t="inlineStr">
        <x:is>
          <x:t xml:space="preserve">September 17 candidate: focused adapter/types, Atom regressions and Brick browser matrix passed. See the cited owner evidence.</x:t>
        </x:is>
      </x:c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SW-14</x:t>
        </x:is>
      </x:c>
      <x:c r="B22" s="149" t="inlineStr">
        <x:is>
          <x:t xml:space="preserve">Exports</x:t>
        </x:is>
      </x:c>
      <x:c r="C22" s="149" t="inlineStr">
        <x:is>
          <x:t xml:space="preserve">Swipeable Item</x:t>
        </x:is>
      </x:c>
      <x:c r="D22" s="150" t="inlineStr">
        <x:is>
          <x:t xml:space="preserve">Root and swipeable-item subpath exports expose the namespace, parts, props, and variant with identical runtime identity.</x:t>
        </x:is>
      </x:c>
      <x:c r="E22" s="149" t="inlineStr">
        <x:is>
          <x:t xml:space="preserve">package</x:t>
        </x:is>
      </x:c>
      <x:c r="F22" s="149" t="inlineStr">
        <x:is>
          <x:t xml:space="preserve">package</x:t>
        </x:is>
      </x:c>
      <x:c r="G22" s="150" t="inlineStr">
        <x:is>
          <x:t xml:space="preserve">../test/package/package.test.mjs; ../package.json; ../scripts/verify-consumers.mjs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46282</x:v>
      </x:c>
      <x:c r="K22" s="150" t="inlineStr">
        <x:is>
          <x:t xml:space="preserve">September 17 candidate: focused adapter/types, Atom regressions and Brick browser matrix passed. See the cited owner evidence.</x:t>
        </x:is>
      </x:c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SW-15</x:t>
        </x:is>
      </x:c>
      <x:c r="B23" s="149" t="inlineStr">
        <x:is>
          <x:t xml:space="preserve">Types</x:t>
        </x:is>
      </x:c>
      <x:c r="C23" s="149" t="inlineStr">
        <x:is>
          <x:t xml:space="preserve">Public surface</x:t>
        </x:is>
      </x:c>
      <x:c r="D23" s="150" t="inlineStr">
        <x:is>
          <x:t xml:space="preserve">Atom native props, refs, controlled state, render/asChild composition, aria/data attributes, classes, slots, styles, and closed Brick recipes type-check.</x:t>
        </x:is>
      </x:c>
      <x:c r="E23" s="149" t="inlineStr">
        <x:is>
          <x:t xml:space="preserve">package</x:t>
        </x:is>
      </x:c>
      <x:c r="F23" s="149" t="inlineStr">
        <x:is>
          <x:t xml:space="preserve">types</x:t>
        </x:is>
      </x:c>
      <x:c r="G23" s="150" t="inlineStr">
        <x:is>
          <x:t xml:space="preserve">../test/types/components/swipeable-item.test.ts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>
        <x:v>46282</x:v>
      </x:c>
      <x:c r="K23" s="150" t="inlineStr">
        <x:is>
          <x:t xml:space="preserve">September 17 candidate: focused adapter/types, Atom regressions and Brick browser matrix passed. See the cited owner evidence.</x:t>
        </x:is>
      </x:c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SW-16</x:t>
        </x:is>
      </x:c>
      <x:c r="B24" s="149" t="inlineStr">
        <x:is>
          <x:t xml:space="preserve">SSR</x:t>
        </x:is>
      </x:c>
      <x:c r="C24" s="149" t="inlineStr">
        <x:is>
          <x:t xml:space="preserve">Root / Content / Actions</x:t>
        </x:is>
      </x:c>
      <x:c r="D24" s="150" t="inlineStr">
        <x:is>
          <x:t xml:space="preserve">Server imports and deterministic host anatomy work without browser reads during render; packed React 18/19 hydration preserves inert.</x:t>
        </x:is>
      </x:c>
      <x:c r="E24" s="149" t="inlineStr">
        <x:is>
          <x:t xml:space="preserve">package</x:t>
        </x:is>
      </x:c>
      <x:c r="F24" s="149" t="inlineStr">
        <x:is>
          <x:t xml:space="preserve">package</x:t>
        </x:is>
      </x:c>
      <x:c r="G24" s="150" t="inlineStr">
        <x:is>
          <x:t xml:space="preserve">../scripts/verify-consumers.mjs; ../test/package/ssr.test.mjs</x:t>
        </x:is>
      </x:c>
      <x:c r="H24" s="149" t="inlineStr">
        <x:is>
          <x:t xml:space="preserve">tested</x:t>
        </x:is>
      </x:c>
      <x:c r="I24" s="149" t="inlineStr">
        <x:is>
          <x:t xml:space="preserve">no</x:t>
        </x:is>
      </x:c>
      <x:c r="J24" s="151" t="n">
        <x:v>46282</x:v>
      </x:c>
      <x:c r="K24" s="150" t="inlineStr">
        <x:is>
          <x:t xml:space="preserve">September 17 candidate: focused adapter/types, Atom regressions and Brick browser matrix passed. See the cited owner evidence.</x:t>
        </x:is>
      </x:c>
      <x:c r="L24" s="149" t="n">
        <x:v>1</x:v>
      </x:c>
      <x:c r="M24" s="149" t="n">
        <x:f>IF(OR(AND(I24="yes",H24="verified"),AND(I24="no",OR(H24="tested",H24="verified")),AND(H24="not applicable",K24&lt;&gt;"")),1,0)</x:f>
        <x:v>1</x:v>
      </x:c>
    </x:row>
    <x:row r="25" s="127" customFormat="1" ht="54" customHeight="1">
      <x:c r="A25" s="149" t="inlineStr">
        <x:is>
          <x:t xml:space="preserve">SW-17</x:t>
        </x:is>
      </x:c>
      <x:c r="B25" s="149" t="inlineStr">
        <x:is>
          <x:t xml:space="preserve">CSS</x:t>
        </x:is>
      </x:c>
      <x:c r="C25" s="149" t="inlineStr">
        <x:is>
          <x:t xml:space="preserve">Root / Content / Actions</x:t>
        </x:is>
      </x:c>
      <x:c r="D25" s="150" t="inlineStr">
        <x:is>
          <x:t xml:space="preserve">Production CSS ships documented variables, logical positioning, opaque foreground paint, preference fallbacks, action target sizing, and no undeclared global selector.</x:t>
        </x:is>
      </x:c>
      <x:c r="E25" s="149" t="inlineStr">
        <x:is>
          <x:t xml:space="preserve">package</x:t>
        </x:is>
      </x:c>
      <x:c r="F25" s="149" t="inlineStr">
        <x:is>
          <x:t xml:space="preserve">css</x:t>
        </x:is>
      </x:c>
      <x:c r="G25" s="150" t="inlineStr">
        <x:is>
          <x:t xml:space="preserve">../src/components/swipeable-item/swipeable-item.css; ../scripts/build-styles.mjs</x:t>
        </x:is>
      </x:c>
      <x:c r="H25" s="149" t="inlineStr">
        <x:is>
          <x:t xml:space="preserve">tested</x:t>
        </x:is>
      </x:c>
      <x:c r="I25" s="149" t="inlineStr">
        <x:is>
          <x:t xml:space="preserve">no</x:t>
        </x:is>
      </x:c>
      <x:c r="J25" s="151" t="n">
        <x:v>46282</x:v>
      </x:c>
      <x:c r="K25" s="150" t="inlineStr">
        <x:is>
          <x:t xml:space="preserve">September 17 candidate: focused adapter/types, Atom regressions and Brick browser matrix passed. See the cited owner evidence.</x:t>
        </x:is>
      </x:c>
      <x:c r="L25" s="149" t="n">
        <x:v>1</x:v>
      </x:c>
      <x:c r="M25" s="149" t="n">
        <x:f>IF(OR(AND(I25="yes",H25="verified"),AND(I25="no",OR(H25="tested",H25="verified")),AND(H25="not applicable",K25&lt;&gt;"")),1,0)</x:f>
        <x:v>1</x:v>
      </x:c>
    </x:row>
    <x:row r="26" s="127" customFormat="1" ht="54" customHeight="1">
      <x:c r="A26" s="149" t="inlineStr">
        <x:is>
          <x:t xml:space="preserve">SW-18</x:t>
        </x:is>
      </x:c>
      <x:c r="B26" s="149" t="inlineStr">
        <x:is>
          <x:t xml:space="preserve">Variants</x:t>
        </x:is>
      </x:c>
      <x:c r="C26" s="149" t="inlineStr">
        <x:is>
          <x:t xml:space="preserve">Root</x:t>
        </x:is>
      </x:c>
      <x:c r="D26" s="150" t="inlineStr">
        <x:is>
          <x:t xml:space="preserve">Plain composes inside an existing boundary while outline supplies a standalone neutral border without changing behavior or anatomy.</x:t>
        </x:is>
      </x:c>
      <x:c r="E26" s="149" t="inlineStr">
        <x:is>
          <x:t xml:space="preserve">browser</x:t>
        </x:is>
      </x:c>
      <x:c r="F26" s="149" t="inlineStr">
        <x:is>
          <x:t xml:space="preserve">visual</x:t>
        </x:is>
      </x:c>
      <x:c r="G26" s="150" t="inlineStr">
        <x:is>
          <x:t xml:space="preserve">tests/components/swipeable-item/behavior.spec.ts; tests/components/swipeable-item/visual.spec.ts</x:t>
        </x:is>
      </x:c>
      <x:c r="H26" s="149" t="inlineStr">
        <x:is>
          <x:t xml:space="preserve">tested</x:t>
        </x:is>
      </x:c>
      <x:c r="I26" s="149" t="inlineStr">
        <x:is>
          <x:t xml:space="preserve">no</x:t>
        </x:is>
      </x:c>
      <x:c r="J26" s="151" t="n">
        <x:v>46282</x:v>
      </x:c>
      <x:c r="K26" s="150" t="inlineStr">
        <x:is>
          <x:t xml:space="preserve">September 17 candidate: focused adapter/types, Atom regressions and Brick browser matrix passed. See the cited owner evidence.</x:t>
        </x:is>
      </x:c>
      <x:c r="L26" s="149" t="n">
        <x:v>1</x:v>
      </x:c>
      <x:c r="M26" s="149" t="n">
        <x:f>IF(OR(AND(I26="yes",H26="verified"),AND(I26="no",OR(H26="tested",H26="verified")),AND(H26="not applicable",K26&lt;&gt;"")),1,0)</x:f>
        <x:v>1</x:v>
      </x:c>
    </x:row>
    <x:row r="27" s="127" customFormat="1" ht="54" customHeight="1">
      <x:c r="A27" s="149" t="inlineStr">
        <x:is>
          <x:t xml:space="preserve">SW-19</x:t>
        </x:is>
      </x:c>
      <x:c r="B27" s="149" t="inlineStr">
        <x:is>
          <x:t xml:space="preserve">Containment</x:t>
        </x:is>
      </x:c>
      <x:c r="C27" s="149" t="inlineStr">
        <x:is>
          <x:t xml:space="preserve">Root / Content / Actions</x:t>
        </x:is>
      </x:c>
      <x:c r="D27" s="150" t="inlineStr">
        <x:is>
          <x:t xml:space="preserve">Shared overflow clipping and radius keep translated Content and custom action fills inside one rounded boundary without exposed sharp corners.</x:t>
        </x:is>
      </x:c>
      <x:c r="E27" s="149" t="inlineStr">
        <x:is>
          <x:t xml:space="preserve">browser</x:t>
        </x:is>
      </x:c>
      <x:c r="F27" s="149" t="inlineStr">
        <x:is>
          <x:t xml:space="preserve">visual</x:t>
        </x:is>
      </x:c>
      <x:c r="G27" s="150" t="inlineStr">
        <x:is>
          <x:t xml:space="preserve">tests/components/swipeable-item/visual.spec.ts; ../src/components/swipeable-item/swipeable-item.css</x:t>
        </x:is>
      </x:c>
      <x:c r="H27" s="149" t="inlineStr">
        <x:is>
          <x:t xml:space="preserve">tested</x:t>
        </x:is>
      </x:c>
      <x:c r="I27" s="149" t="inlineStr">
        <x:is>
          <x:t xml:space="preserve">no</x:t>
        </x:is>
      </x:c>
      <x:c r="J27" s="151" t="n">
        <x:v>46282</x:v>
      </x:c>
      <x:c r="K27" s="150" t="inlineStr">
        <x:is>
          <x:t xml:space="preserve">September 17 candidate: focused adapter/types, Atom regressions and Brick browser matrix passed. See the cited owner evidence.</x:t>
        </x:is>
      </x:c>
      <x:c r="L27" s="149" t="n">
        <x:v>1</x:v>
      </x:c>
      <x:c r="M27" s="149" t="n">
        <x:f>IF(OR(AND(I27="yes",H27="verified"),AND(I27="no",OR(H27="tested",H27="verified")),AND(H27="not applicable",K27&lt;&gt;"")),1,0)</x:f>
        <x:v>1</x:v>
      </x:c>
    </x:row>
    <x:row r="28" s="127" customFormat="1" ht="54" customHeight="1">
      <x:c r="A28" s="149" t="inlineStr">
        <x:is>
          <x:t xml:space="preserve">SW-20</x:t>
        </x:is>
      </x:c>
      <x:c r="B28" s="149" t="inlineStr">
        <x:is>
          <x:t xml:space="preserve">Focus and targets</x:t>
        </x:is>
      </x:c>
      <x:c r="C28" s="149" t="inlineStr">
        <x:is>
          <x:t xml:space="preserve">Content / Actions</x:t>
        </x:is>
      </x:c>
      <x:c r="D28" s="150" t="inlineStr">
        <x:is>
          <x:t xml:space="preserve">Content and authored controls retain their focus and size recipes. Physical touch-target usability remains a manual gate.</x:t>
        </x:is>
      </x:c>
      <x:c r="E28" s="149" t="inlineStr">
        <x:is>
          <x:t xml:space="preserve">browser</x:t>
        </x:is>
      </x:c>
      <x:c r="F28" s="149" t="inlineStr">
        <x:is>
          <x:t xml:space="preserve">visual</x:t>
        </x:is>
      </x:c>
      <x:c r="G28" s="150" t="inlineStr">
        <x:is>
          <x:t xml:space="preserve">tests/components/swipeable-item/visual.spec.ts; ../src/components/swipeable-item/swipeable-item.css</x:t>
        </x:is>
      </x:c>
      <x:c r="H28" s="149" t="inlineStr">
        <x:is>
          <x:t xml:space="preserve">partial</x:t>
        </x:is>
      </x:c>
      <x:c r="I28" s="149" t="inlineStr">
        <x:is>
          <x:t xml:space="preserve">no</x:t>
        </x:is>
      </x:c>
      <x:c r="J28" s="151" t="n">
        <x:v>46282</x:v>
      </x:c>
      <x:c r="K28" s="150" t="inlineStr">
        <x:is>
          <x:t xml:space="preserve">Automated focus and composition checks pass. Physical touch-target usability is unperformed.</x:t>
        </x:is>
      </x:c>
      <x:c r="L28" s="149" t="n">
        <x:v>1</x:v>
      </x:c>
      <x:c r="M28" s="149" t="n">
        <x:f>IF(OR(AND(I28="yes",H28="verified"),AND(I28="no",OR(H28="tested",H28="verified")),AND(H28="not applicable",K28&lt;&gt;"")),1,0)</x:f>
        <x:v>0</x:v>
      </x:c>
    </x:row>
    <x:row r="29" s="127" customFormat="1" ht="54" customHeight="1">
      <x:c r="A29" s="149" t="inlineStr">
        <x:is>
          <x:t xml:space="preserve">SW-21</x:t>
        </x:is>
      </x:c>
      <x:c r="B29" s="149" t="inlineStr">
        <x:is>
          <x:t xml:space="preserve">Native composition</x:t>
        </x:is>
      </x:c>
      <x:c r="C29" s="149" t="inlineStr">
        <x:is>
          <x:t xml:space="preserve">All parts</x:t>
        </x:is>
      </x:c>
      <x:c r="D29" s="150" t="inlineStr">
        <x:is>
          <x:t xml:space="preserve">Classes merge Brick first; public slots, native events, aria/data attributes, children, refs, render, and asChild target each public host.</x:t>
        </x:is>
      </x:c>
      <x:c r="E29" s="149" t="inlineStr">
        <x:is>
          <x:t xml:space="preserve">package</x:t>
        </x:is>
      </x:c>
      <x:c r="F29" s="149" t="inlineStr">
        <x:is>
          <x:t xml:space="preserve">component</x:t>
        </x:is>
      </x:c>
      <x:c r="G29" s="150" t="inlineStr">
        <x:is>
          <x:t xml:space="preserve">../test/components/swipeable-item/swipeable-item.test.tsx; ../test/types/components/swipeable-item.test.ts</x:t>
        </x:is>
      </x:c>
      <x:c r="H29" s="149" t="inlineStr">
        <x:is>
          <x:t xml:space="preserve">tested</x:t>
        </x:is>
      </x:c>
      <x:c r="I29" s="149" t="inlineStr">
        <x:is>
          <x:t xml:space="preserve">no</x:t>
        </x:is>
      </x:c>
      <x:c r="J29" s="151" t="n">
        <x:v>46282</x:v>
      </x:c>
      <x:c r="K29" s="150" t="inlineStr">
        <x:is>
          <x:t xml:space="preserve">September 17 candidate: focused adapter/types, Atom regressions and Brick browser matrix passed. See the cited owner evidence.</x:t>
        </x:is>
      </x:c>
      <x:c r="L29" s="149" t="n">
        <x:v>1</x:v>
      </x:c>
      <x:c r="M29" s="149" t="n">
        <x:f>IF(OR(AND(I29="yes",H29="verified"),AND(I29="no",OR(H29="tested",H29="verified")),AND(H29="not applicable",K29&lt;&gt;"")),1,0)</x:f>
        <x:v>1</x:v>
      </x:c>
    </x:row>
    <x:row r="30" s="127" customFormat="1" ht="54" customHeight="1">
      <x:c r="A30" s="149" t="inlineStr">
        <x:is>
          <x:t xml:space="preserve">SW-22</x:t>
        </x:is>
      </x:c>
      <x:c r="B30" s="149" t="inlineStr">
        <x:is>
          <x:t xml:space="preserve">Responsive</x:t>
        </x:is>
      </x:c>
      <x:c r="C30" s="149" t="inlineStr">
        <x:is>
          <x:t xml:space="preserve">Root / Content</x:t>
        </x:is>
      </x:c>
      <x:c r="D30" s="150" t="inlineStr">
        <x:is>
          <x:t xml:space="preserve">Full-width and 320px-constrained items wrap long localized content without component-created page overflow or an unreachable visible menu.</x:t>
        </x:is>
      </x:c>
      <x:c r="E30" s="149" t="inlineStr">
        <x:is>
          <x:t xml:space="preserve">browser</x:t>
        </x:is>
      </x:c>
      <x:c r="F30" s="149" t="inlineStr">
        <x:is>
          <x:t xml:space="preserve">browser</x:t>
        </x:is>
      </x:c>
      <x:c r="G30" s="150" t="inlineStr">
        <x:is>
          <x:t xml:space="preserve">tests/components/swipeable-item/behavior.spec.ts; tests/components/swipeable-item/visual.spec.ts</x:t>
        </x:is>
      </x:c>
      <x:c r="H30" s="149" t="inlineStr">
        <x:is>
          <x:t xml:space="preserve">tested</x:t>
        </x:is>
      </x:c>
      <x:c r="I30" s="149" t="inlineStr">
        <x:is>
          <x:t xml:space="preserve">no</x:t>
        </x:is>
      </x:c>
      <x:c r="J30" s="151" t="n">
        <x:v>46282</x:v>
      </x:c>
      <x:c r="K30" s="150" t="inlineStr">
        <x:is>
          <x:t xml:space="preserve">September 17 candidate: focused adapter/types, Atom regressions and Brick browser matrix passed. See the cited owner evidence.</x:t>
        </x:is>
      </x:c>
      <x:c r="L30" s="149" t="n">
        <x:v>1</x:v>
      </x:c>
      <x:c r="M30" s="149" t="n">
        <x:f>IF(OR(AND(I30="yes",H30="verified"),AND(I30="no",OR(H30="tested",H30="verified")),AND(H30="not applicable",K30&lt;&gt;"")),1,0)</x:f>
        <x:v>1</x:v>
      </x:c>
    </x:row>
    <x:row r="31" s="127" customFormat="1" ht="54" customHeight="1">
      <x:c r="A31" s="149" t="inlineStr">
        <x:is>
          <x:t xml:space="preserve">SW-23</x:t>
        </x:is>
      </x:c>
      <x:c r="B31" s="149" t="inlineStr">
        <x:is>
          <x:t xml:space="preserve">Appearance and preferences</x:t>
        </x:is>
      </x:c>
      <x:c r="C31" s="149" t="inlineStr">
        <x:is>
          <x:t xml:space="preserve">Root / Content / Actions</x:t>
        </x:is>
      </x:c>
      <x:c r="D31" s="150" t="inlineStr">
        <x:is>
          <x:t xml:space="preserve">Separate light and dark scopes, reduced motion, and forced colors retain readable layers, boundaries, and focus without color-only meaning.</x:t>
        </x:is>
      </x:c>
      <x:c r="E31" s="149" t="inlineStr">
        <x:is>
          <x:t xml:space="preserve">browser</x:t>
        </x:is>
      </x:c>
      <x:c r="F31" s="149" t="inlineStr">
        <x:is>
          <x:t xml:space="preserve">visual</x:t>
        </x:is>
      </x:c>
      <x:c r="G31" s="150" t="inlineStr">
        <x:is>
          <x:t xml:space="preserve">tests/components/swipeable-item/visual.spec.ts; ../src/components/swipeable-item/swipeable-item.css</x:t>
        </x:is>
      </x:c>
      <x:c r="H31" s="149" t="inlineStr">
        <x:is>
          <x:t xml:space="preserve">tested</x:t>
        </x:is>
      </x:c>
      <x:c r="I31" s="149" t="inlineStr">
        <x:is>
          <x:t xml:space="preserve">no</x:t>
        </x:is>
      </x:c>
      <x:c r="J31" s="151" t="n">
        <x:v>46282</x:v>
      </x:c>
      <x:c r="K31" s="150" t="inlineStr">
        <x:is>
          <x:t xml:space="preserve">September 17 candidate: focused adapter/types, Atom regressions and Brick browser matrix passed. See the cited owner evidence.</x:t>
        </x:is>
      </x:c>
      <x:c r="L31" s="149" t="n">
        <x:v>1</x:v>
      </x:c>
      <x:c r="M31" s="149" t="n">
        <x:f>IF(OR(AND(I31="yes",H31="verified"),AND(I31="no",OR(H31="tested",H31="verified")),AND(H31="not applicable",K31&lt;&gt;"")),1,0)</x:f>
        <x:v>1</x:v>
      </x:c>
    </x:row>
    <x:row r="32" s="127" customFormat="1" ht="54" customHeight="1">
      <x:c r="A32" s="149" t="inlineStr">
        <x:is>
          <x:t xml:space="preserve">SW-24</x:t>
        </x:is>
      </x:c>
      <x:c r="B32" s="149" t="inlineStr">
        <x:is>
          <x:t xml:space="preserve">Customization</x:t>
        </x:is>
      </x:c>
      <x:c r="C32" s="149" t="inlineStr">
        <x:is>
          <x:t xml:space="preserve">Root / Content / Actions</x:t>
        </x:is>
      </x:c>
      <x:c r="D32" s="150" t="inlineStr">
        <x:is>
          <x:t xml:space="preserve">Documented variables recolor surfaces, actions, border, focus, radius, spacing, sizing, and motion while preserving Atom behavior and containment.</x:t>
        </x:is>
      </x:c>
      <x:c r="E32" s="149" t="inlineStr">
        <x:is>
          <x:t xml:space="preserve">package</x:t>
        </x:is>
      </x:c>
      <x:c r="F32" s="149" t="inlineStr">
        <x:is>
          <x:t xml:space="preserve">component</x:t>
        </x:is>
      </x:c>
      <x:c r="G32" s="150" t="inlineStr">
        <x:is>
          <x:t xml:space="preserve">../docs/components/swipeable-item/README.md; tests/components/swipeable-item/behavior.spec.ts</x:t>
        </x:is>
      </x:c>
      <x:c r="H32" s="149" t="inlineStr">
        <x:is>
          <x:t xml:space="preserve">tested</x:t>
        </x:is>
      </x:c>
      <x:c r="I32" s="149" t="inlineStr">
        <x:is>
          <x:t xml:space="preserve">no</x:t>
        </x:is>
      </x:c>
      <x:c r="J32" s="151" t="n">
        <x:v>46282</x:v>
      </x:c>
      <x:c r="K32" s="150" t="inlineStr">
        <x:is>
          <x:t xml:space="preserve">September 17 candidate: focused adapter/types, Atom regressions and Brick browser matrix passed. See the cited owner evidence.</x:t>
        </x:is>
      </x:c>
      <x:c r="L32" s="149" t="n">
        <x:v>1</x:v>
      </x:c>
      <x:c r="M32" s="149" t="n">
        <x:f>IF(OR(AND(I32="yes",H32="verified"),AND(I32="no",OR(H32="tested",H32="verified")),AND(H32="not applicable",K32&lt;&gt;"")),1,0)</x:f>
        <x:v>1</x:v>
      </x:c>
    </x:row>
    <x:row r="33" s="127" customFormat="1" ht="54" customHeight="1">
      <x:c r="A33" s="149" t="inlineStr">
        <x:is>
          <x:t xml:space="preserve">SW-25</x:t>
        </x:is>
      </x:c>
      <x:c r="B33" s="149" t="inlineStr">
        <x:is>
          <x:t xml:space="preserve">Accessibility</x:t>
        </x:is>
      </x:c>
      <x:c r="C33" s="149" t="inlineStr">
        <x:is>
          <x:t xml:space="preserve">Root / Content / Actions</x:t>
        </x:is>
      </x:c>
      <x:c r="D33" s="150" t="inlineStr">
        <x:is>
          <x:t xml:space="preserve">Automated checks cover named groups, inert closed panels, native commands, keyboard access and a non-drag alternative. Manual accessibility remains separate.</x:t>
        </x:is>
      </x:c>
      <x:c r="E33" s="149" t="inlineStr">
        <x:is>
          <x:t xml:space="preserve">browser</x:t>
        </x:is>
      </x:c>
      <x:c r="F33" s="149" t="inlineStr">
        <x:is>
          <x:t xml:space="preserve">axe</x:t>
        </x:is>
      </x:c>
      <x:c r="G33" s="150" t="inlineStr">
        <x:is>
          <x:t xml:space="preserve">tests/components/swipeable-item/behavior.spec.ts; Atom swipeable-item public-API regressions</x:t>
        </x:is>
      </x:c>
      <x:c r="H33" s="149" t="inlineStr">
        <x:is>
          <x:t xml:space="preserve">tested</x:t>
        </x:is>
      </x:c>
      <x:c r="I33" s="149" t="inlineStr">
        <x:is>
          <x:t xml:space="preserve">no</x:t>
        </x:is>
      </x:c>
      <x:c r="J33" s="151" t="n">
        <x:v>46282</x:v>
      </x:c>
      <x:c r="K33" s="150" t="inlineStr">
        <x:is>
          <x:t xml:space="preserve">September 17 candidate: focused adapter/types, Atom regressions and Brick browser matrix passed. See the cited owner evidence.</x:t>
        </x:is>
      </x:c>
      <x:c r="L33" s="149" t="n">
        <x:v>1</x:v>
      </x:c>
      <x:c r="M33" s="149" t="n">
        <x:f>IF(OR(AND(I33="yes",H33="verified"),AND(I33="no",OR(H33="tested",H33="verified")),AND(H33="not applicable",K33&lt;&gt;"")),1,0)</x:f>
        <x:v>1</x:v>
      </x:c>
    </x:row>
    <x:row r="34" s="127" customFormat="1" ht="54" customHeight="1">
      <x:c r="A34" s="149" t="inlineStr">
        <x:is>
          <x:t xml:space="preserve">SW-26</x:t>
        </x:is>
      </x:c>
      <x:c r="B34" s="149" t="inlineStr">
        <x:is>
          <x:t xml:space="preserve">Playground</x:t>
        </x:is>
      </x:c>
      <x:c r="C34" s="149" t="inlineStr">
        <x:is>
          <x:t xml:space="preserve">All parts</x:t>
        </x:is>
      </x:c>
      <x:c r="D34" s="150" t="inlineStr">
        <x:is>
          <x:t xml:space="preserve">Eleven source-paired examples cover composition, sides, presentation, control, dismissal, motion, retry, full swipe and states/RTL.</x:t>
        </x:is>
      </x:c>
      <x:c r="E34" s="149" t="inlineStr">
        <x:is>
          <x:t xml:space="preserve">package</x:t>
        </x:is>
      </x:c>
      <x:c r="F34" s="149" t="inlineStr">
        <x:is>
          <x:t xml:space="preserve">playground</x:t>
        </x:is>
      </x:c>
      <x:c r="G34" s="150" t="inlineStr">
        <x:is>
          <x:t xml:space="preserve">src/components/swipeable-item/SwipeableItemPage.tsx; ../scripts/verify-component-tests.mjs</x:t>
        </x:is>
      </x:c>
      <x:c r="H34" s="149" t="inlineStr">
        <x:is>
          <x:t xml:space="preserve">tested</x:t>
        </x:is>
      </x:c>
      <x:c r="I34" s="149" t="inlineStr">
        <x:is>
          <x:t xml:space="preserve">no</x:t>
        </x:is>
      </x:c>
      <x:c r="J34" s="151" t="n">
        <x:v>46282</x:v>
      </x:c>
      <x:c r="K34" s="150" t="inlineStr">
        <x:is>
          <x:t xml:space="preserve">September 17 candidate: focused adapter/types, Atom regressions and Brick browser matrix passed. See the cited owner evidence.</x:t>
        </x:is>
      </x:c>
      <x:c r="L34" s="149" t="n">
        <x:v>1</x:v>
      </x:c>
      <x:c r="M34" s="149" t="n">
        <x:f>IF(OR(AND(I34="yes",H34="verified"),AND(I34="no",OR(H34="tested",H34="verified")),AND(H34="not applicable",K34&lt;&gt;"")),1,0)</x:f>
        <x:v>1</x:v>
      </x:c>
    </x:row>
    <x:row r="35" s="127" customFormat="1" ht="54" customHeight="1">
      <x:c r="A35" s="149" t="inlineStr">
        <x:is>
          <x:t xml:space="preserve">SW-27</x:t>
        </x:is>
      </x:c>
      <x:c r="B35" s="149" t="inlineStr">
        <x:is>
          <x:t xml:space="preserve">Visual baselines</x:t>
        </x:is>
      </x:c>
      <x:c r="C35" s="149" t="inlineStr">
        <x:is>
          <x:t xml:space="preserve">All parts</x:t>
        </x:is>
      </x:c>
      <x:c r="D35" s="150" t="inlineStr">
        <x:is>
          <x:t xml:space="preserve">Reviewed baselines cover overview, variants, start/end actions, controlled state, appearance, customization, mobile RTL, and forced colors.</x:t>
        </x:is>
      </x:c>
      <x:c r="E35" s="149" t="inlineStr">
        <x:is>
          <x:t xml:space="preserve">browser</x:t>
        </x:is>
      </x:c>
      <x:c r="F35" s="149" t="inlineStr">
        <x:is>
          <x:t xml:space="preserve">visual</x:t>
        </x:is>
      </x:c>
      <x:c r="G35" s="150" t="inlineStr">
        <x:is>
          <x:t xml:space="preserve">tests/components/swipeable-item/visual.spec.ts; tests/components/swipeable-item/visual.spec.ts-snapshots</x:t>
        </x:is>
      </x:c>
      <x:c r="H35" s="149" t="inlineStr">
        <x:is>
          <x:t xml:space="preserve">verified</x:t>
        </x:is>
      </x:c>
      <x:c r="I35" s="149" t="inlineStr">
        <x:is>
          <x:t xml:space="preserve">yes</x:t>
        </x:is>
      </x:c>
      <x:c r="J35" s="151" t="n">
        <x:v>46282</x:v>
      </x:c>
      <x:c r="K35" s="150" t="inlineStr">
        <x:is>
          <x:t xml:space="preserve">Twelve current Chromium baselines inspected, including armed full swipe, composition, light/dark, RTL and forced colors.</x:t>
        </x:is>
      </x:c>
      <x:c r="L35" s="149" t="n">
        <x:v>1</x:v>
      </x:c>
      <x:c r="M35" s="149" t="n">
        <x:f>IF(OR(AND(I35="yes",H35="verified"),AND(I35="no",OR(H35="tested",H35="verified")),AND(H35="not applicable",K35&lt;&gt;"")),1,0)</x:f>
        <x:v>1</x:v>
      </x:c>
    </x:row>
    <x:row r="36" s="127" customFormat="1" ht="54" customHeight="1">
      <x:c r="A36" s="149" t="inlineStr">
        <x:is>
          <x:t xml:space="preserve">SW-28</x:t>
        </x:is>
      </x:c>
      <x:c r="B36" s="149" t="inlineStr">
        <x:is>
          <x:t xml:space="preserve">Documentation</x:t>
        </x:is>
      </x:c>
      <x:c r="C36" s="149" t="inlineStr">
        <x:is>
          <x:t xml:space="preserve">Public guide / changelog</x:t>
        </x:is>
      </x:c>
      <x:c r="D36" s="150" t="inlineStr">
        <x:is>
          <x:t xml:space="preserve">The guide documents use, exclusions, imports, anatomy, API, state, tokens, responsive behavior, accessibility, composition, examples, and evidence; changelogs record the addition.</x:t>
        </x:is>
      </x:c>
      <x:c r="E36" s="149" t="inlineStr">
        <x:is>
          <x:t xml:space="preserve">package</x:t>
        </x:is>
      </x:c>
      <x:c r="F36" s="149" t="inlineStr">
        <x:is>
          <x:t xml:space="preserve">documentation</x:t>
        </x:is>
      </x:c>
      <x:c r="G36" s="150" t="inlineStr">
        <x:is>
          <x:t xml:space="preserve">../docs/components/swipeable-item/README.md; ../docs/components/swipeable-item/CHANGELOG.md; ../CHANGELOG.md</x:t>
        </x:is>
      </x:c>
      <x:c r="H36" s="149" t="inlineStr">
        <x:is>
          <x:t xml:space="preserve">tested</x:t>
        </x:is>
      </x:c>
      <x:c r="I36" s="149" t="inlineStr">
        <x:is>
          <x:t xml:space="preserve">no</x:t>
        </x:is>
      </x:c>
      <x:c r="J36" s="151" t="n">
        <x:v>46282</x:v>
      </x:c>
      <x:c r="K36" s="150" t="inlineStr">
        <x:is>
          <x:t xml:space="preserve">September 17 candidate: focused adapter/types, Atom regressions and Brick browser matrix passed. See the cited owner evidence.</x:t>
        </x:is>
      </x:c>
      <x:c r="L36" s="149" t="n">
        <x:v>1</x:v>
      </x:c>
      <x:c r="M36" s="149" t="n">
        <x:f>IF(OR(AND(I36="yes",H36="verified"),AND(I36="no",OR(H36="tested",H36="verified")),AND(H36="not applicable",K36&lt;&gt;"")),1,0)</x:f>
        <x:v>1</x:v>
      </x:c>
    </x:row>
    <x:row r="37" s="127" customFormat="1" ht="54" customHeight="1">
      <x:c r="A37" s="149" t="inlineStr">
        <x:is>
          <x:t xml:space="preserve">SW-29</x:t>
        </x:is>
      </x:c>
      <x:c r="B37" s="149" t="inlineStr">
        <x:is>
          <x:t xml:space="preserve">Consumer</x:t>
        </x:is>
      </x:c>
      <x:c r="C37" s="149" t="inlineStr">
        <x:is>
          <x:t xml:space="preserve">Root / Content / Actions</x:t>
        </x:is>
      </x:c>
      <x:c r="D37" s="150" t="inlineStr">
        <x:is>
          <x:t xml:space="preserve">The packed Consumer imports Swipeable Item from its public subpath and composes realistic message actions with a visible Dropdown Menu alternative.</x:t>
        </x:is>
      </x:c>
      <x:c r="E37" s="149" t="inlineStr">
        <x:is>
          <x:t xml:space="preserve">consumer</x:t>
        </x:is>
      </x:c>
      <x:c r="F37" s="149" t="inlineStr">
        <x:is>
          <x:t xml:space="preserve">consumer</x:t>
        </x:is>
      </x:c>
      <x:c r="G37" s="150" t="inlineStr">
        <x:is>
          <x:t xml:space="preserve">../apps/consumer/src/App.tsx; ../apps/consumer/tests/consumer.spec.ts; ../scripts/verify-consumers.mjs</x:t>
        </x:is>
      </x:c>
      <x:c r="H37" s="149" t="inlineStr">
        <x:is>
          <x:t xml:space="preserve">tested</x:t>
        </x:is>
      </x:c>
      <x:c r="I37" s="149" t="inlineStr">
        <x:is>
          <x:t xml:space="preserve">no</x:t>
        </x:is>
      </x:c>
      <x:c r="J37" s="151" t="n">
        <x:v>46282</x:v>
      </x:c>
      <x:c r="K37" s="150" t="inlineStr">
        <x:is>
          <x:t xml:space="preserve">Exact packed React 18/19 runtime, types and hydration pass. Application Consumer Swipeable Item flow passed desktop and mobile Chromium.</x:t>
        </x:is>
      </x:c>
      <x:c r="L37" s="149" t="n">
        <x:v>1</x:v>
      </x:c>
      <x:c r="M37" s="149" t="n">
        <x:f>IF(OR(AND(I37="yes",H37="verified"),AND(I37="no",OR(H37="tested",H37="verified")),AND(H37="not applicable",K37&lt;&gt;"")),1,0)</x:f>
        <x:v>1</x:v>
      </x:c>
    </x:row>
    <x:row r="38" s="127" customFormat="1" ht="54" customHeight="1">
      <x:c r="A38" s="149" t="inlineStr">
        <x:is>
          <x:t xml:space="preserve">SW-30</x:t>
        </x:is>
      </x:c>
      <x:c r="B38" s="149" t="inlineStr">
        <x:is>
          <x:t xml:space="preserve">Manual</x:t>
        </x:is>
      </x:c>
      <x:c r="C38" s="149" t="inlineStr">
        <x:is>
          <x:t xml:space="preserve">Root / Content / Actions</x:t>
        </x:is>
      </x:c>
      <x:c r="D38" s="150" t="inlineStr">
        <x:is>
          <x:t xml:space="preserve">A tester completes the desktop and physical-touch gesture, keyboard, focus, state, direction, zoom, appearance, preference, and assistive-technology protocol.</x:t>
        </x:is>
      </x:c>
      <x:c r="E38" s="149" t="inlineStr">
        <x:is>
          <x:t xml:space="preserve">human</x:t>
        </x:is>
      </x:c>
      <x:c r="F38" s="149" t="inlineStr">
        <x:is>
          <x:t xml:space="preserve">manual</x:t>
        </x:is>
      </x:c>
      <x:c r="G38" s="150" t="inlineStr">
        <x:is>
          <x:t xml:space="preserve">manual-tests/swipeable-item.md</x:t>
        </x:is>
      </x:c>
      <x:c r="H38" s="149" t="inlineStr">
        <x:is>
          <x:t xml:space="preserve">not started</x:t>
        </x:is>
      </x:c>
      <x:c r="I38" s="149" t="inlineStr">
        <x:is>
          <x:t xml:space="preserve">yes</x:t>
        </x:is>
      </x:c>
      <x:c r="J38" s="151" t="n"/>
      <x:c r="K38" s="150" t="inlineStr">
        <x:is>
          <x:t xml:space="preserve">Physical iOS/Android, screen-reader, actual zoom and native high-contrast checks remain unperformed.</x:t>
        </x:is>
      </x:c>
      <x:c r="L38" s="149" t="n">
        <x:v>1</x:v>
      </x:c>
      <x:c r="M38" s="149" t="n">
        <x:f>IF(OR(AND(I38="yes",H38="verified"),AND(I38="no",OR(H38="tested",H38="verified")),AND(H38="not applicable",K38&lt;&gt;"")),1,0)</x:f>
        <x:v>0</x:v>
      </x:c>
    </x:row>
    <x:row r="39" s="127" customFormat="1" ht="54" customHeight="1">
      <x:c r="A39" s="149" t="inlineStr">
        <x:is>
          <x:t xml:space="preserve">SW-31</x:t>
        </x:is>
      </x:c>
      <x:c r="B39" s="149" t="inlineStr">
        <x:is>
          <x:t xml:space="preserve">Package</x:t>
        </x:is>
      </x:c>
      <x:c r="C39" s="149" t="inlineStr">
        <x:is>
          <x:t xml:space="preserve">Artifact</x:t>
        </x:is>
      </x:c>
      <x:c r="D39" s="150" t="inlineStr">
        <x:is>
          <x:t xml:space="preserve">Exact candidate archives, React 18/19 consumers and focused suites pass. Repository-wide failures and manual qualification remain open.</x:t>
        </x:is>
      </x:c>
      <x:c r="E39" s="149" t="inlineStr">
        <x:is>
          <x:t xml:space="preserve">package</x:t>
        </x:is>
      </x:c>
      <x:c r="F39" s="149" t="inlineStr">
        <x:is>
          <x:t xml:space="preserve">package</x:t>
        </x:is>
      </x:c>
      <x:c r="G39" s="150" t="inlineStr">
        <x:is>
          <x:t xml:space="preserve">../scripts/verify-package.mjs; ../scripts/verify-consumers.mjs; ../scripts/verify-app-consumer.mjs</x:t>
        </x:is>
      </x:c>
      <x:c r="H39" s="149" t="inlineStr">
        <x:is>
          <x:t xml:space="preserve">partial</x:t>
        </x:is>
      </x:c>
      <x:c r="I39" s="149" t="inlineStr">
        <x:is>
          <x:t xml:space="preserve">no</x:t>
        </x:is>
      </x:c>
      <x:c r="J39" s="151" t="n">
        <x:v>46282</x:v>
      </x:c>
      <x:c r="K39" s="150" t="inlineStr">
        <x:is>
          <x:t xml:space="preserve">Focused verification passes. Broader repository failures and human checks prevent a package-complete claim.</x:t>
        </x:is>
      </x:c>
      <x:c r="L39" s="149" t="n">
        <x:v>1</x:v>
      </x:c>
      <x:c r="M39" s="149" t="n">
        <x:f>IF(OR(AND(I39="yes",H39="verified"),AND(I39="no",OR(H39="tested",H39="verified")),AND(H39="not applicable",K39&lt;&gt;"")),1,0)</x:f>
        <x:v>0</x:v>
      </x:c>
    </x:row>
  </x:sheetData>
  <x:mergeCells>
    <x:mergeCell ref="A2:M2"/>
    <x:mergeCell ref="A1:M1"/>
  </x:mergeCells>
  <x:pageMargins left="0.7" right="0.7" top="0.75" bottom="0.75" header="0.3" footer="0.3"/>
</x:worksheet>
</file>

<file path=xl/worksheets/sheet78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Progress Evidence</x:t>
        </x:is>
      </x:c>
    </x:row>
    <x:row r="2" s="127" customFormat="1" ht="27.75" customHeight="1">
      <x:c r="A2" s="129" t="inlineStr">
        <x:is>
          <x:t xml:space="preserve">Assertion-level linear progress anatomy, values, recipes, direction, responsive, package, documentation, Consumer, and accessibility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COUNTA(A9:A30)</x:f>
        <x:v>22</x:v>
      </x:c>
      <x:c r="D4" s="130" t="inlineStr">
        <x:is>
          <x:t xml:space="preserve">Resolved</x:t>
        </x:is>
      </x:c>
      <x:c r="E4" s="131" t="n">
        <x:f>SUM(M9:M30)</x:f>
        <x:v>20</x:v>
      </x:c>
      <x:c r="G4" s="130" t="inlineStr">
        <x:is>
          <x:t xml:space="preserve">Completion</x:t>
        </x:is>
      </x:c>
      <x:c r="H4" s="132" t="n">
        <x:f>IF(B4=0,0,E4/B4)</x:f>
        <x:v>0.9090909090909091</x:v>
      </x:c>
      <x:c r="J4" s="130" t="inlineStr">
        <x:is>
          <x:t xml:space="preserve">Package gate</x:t>
        </x:is>
      </x:c>
      <x:c r="K4" s="131" t="str">
        <x:f>IF(COUNTIFS(E9:E30,"package",M9:M30,0)&gt;0,"open","complete")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IF(COUNTIFS(I9:I30,"yes",M9:M30,0)&gt;0,"open","complete")</x:f>
        <x:v>open</x:v>
      </x:c>
      <x:c r="D5" s="130" t="inlineStr">
        <x:is>
          <x:t xml:space="preserve">Consumer gate</x:t>
        </x:is>
      </x:c>
      <x:c r="E5" s="131" t="str">
        <x:f>IF(COUNTIFS(E9:E30,"consumer",M9:M30,0)&gt;0,"open","complete")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PR-01</x:t>
        </x:is>
      </x:c>
      <x:c r="B9" s="149" t="inlineStr">
        <x:is>
          <x:t xml:space="preserve">Ownership</x:t>
        </x:is>
      </x:c>
      <x:c r="C9" s="149" t="inlineStr">
        <x:is>
          <x:t xml:space="preserve">All parts</x:t>
        </x:is>
      </x:c>
      <x:c r="D9" s="150" t="inlineStr">
        <x:is>
          <x:t xml:space="preserve">Brick styles the digest-locked local Atom 0.26.1 controller and range semantics; unpublished.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../src/components/progress/Progress.tsx; ../package.json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46280</x:v>
      </x:c>
      <x:c r="K9" s="150" t="inlineStr">
        <x:is>
          <x:t xml:space="preserve">Source and exact dependency boundary are implemented.</x:t>
        </x:is>
      </x:c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PR-02</x:t>
        </x:is>
      </x:c>
      <x:c r="B10" s="149" t="inlineStr">
        <x:is>
          <x:t xml:space="preserve">API</x:t>
        </x:is>
      </x:c>
      <x:c r="C10" s="149" t="inlineStr">
        <x:is>
          <x:t xml:space="preserve">All parts</x:t>
        </x:is>
      </x:c>
      <x:c r="D10" s="150" t="inlineStr">
        <x:is>
          <x:t xml:space="preserve">Root, RootProvider, Context, Label, Value, Track, Buffer, Indicator and shared useProgress are exported.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../test/components/progress/progress.test.tsx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46280</x:v>
      </x:c>
      <x:c r="K10" s="150" t="inlineStr">
        <x:is>
          <x:t xml:space="preserve">Focused component assertions pass.</x:t>
        </x:is>
      </x:c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PR-03</x:t>
        </x:is>
      </x:c>
      <x:c r="B11" s="149" t="inlineStr">
        <x:is>
          <x:t xml:space="preserve">Anatomy</x:t>
        </x:is>
      </x:c>
      <x:c r="C11" s="149" t="inlineStr">
        <x:is>
          <x:t xml:space="preserve">All parts</x:t>
        </x:is>
      </x:c>
      <x:c r="D11" s="150" t="inlineStr">
        <x:is>
          <x:t xml:space="preserve">Every public part renders its documented host, forwards native props and slots, and resolves the exact ref target.</x:t>
        </x:is>
      </x:c>
      <x:c r="E11" s="149" t="inlineStr">
        <x:is>
          <x:t xml:space="preserve">package</x:t>
        </x:is>
      </x:c>
      <x:c r="F11" s="149" t="inlineStr">
        <x:is>
          <x:t xml:space="preserve">component</x:t>
        </x:is>
      </x:c>
      <x:c r="G11" s="150" t="inlineStr">
        <x:is>
          <x:t xml:space="preserve">../test/components/progress/progress.test.tsx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46280</x:v>
      </x:c>
      <x:c r="K11" s="150" t="inlineStr">
        <x:is>
          <x:t xml:space="preserve">Host, prop, slot, and ref assertions pass.</x:t>
        </x:is>
      </x:c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PR-04</x:t>
        </x:is>
      </x:c>
      <x:c r="B12" s="149" t="inlineStr">
        <x:is>
          <x:t xml:space="preserve">Types</x:t>
        </x:is>
      </x:c>
      <x:c r="C12" s="149" t="inlineStr">
        <x:is>
          <x:t xml:space="preserve">Public surface</x:t>
        </x:is>
      </x:c>
      <x:c r="D12" s="150" t="inlineStr">
        <x:is>
          <x:t xml:space="preserve">Responsive recipes, controller props, native composition and ref types are checked.</x:t>
        </x:is>
      </x:c>
      <x:c r="E12" s="149" t="inlineStr">
        <x:is>
          <x:t xml:space="preserve">package</x:t>
        </x:is>
      </x:c>
      <x:c r="F12" s="149" t="inlineStr">
        <x:is>
          <x:t xml:space="preserve">types</x:t>
        </x:is>
      </x:c>
      <x:c r="G12" s="150" t="inlineStr">
        <x:is>
          <x:t xml:space="preserve">../test/types/components/progress.test.ts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46280</x:v>
      </x:c>
      <x:c r="K12" s="150" t="inlineStr">
        <x:is>
          <x:t xml:space="preserve">Focused type assertions pass.</x:t>
        </x:is>
      </x:c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PR-05</x:t>
        </x:is>
      </x:c>
      <x:c r="B13" s="149" t="inlineStr">
        <x:is>
          <x:t xml:space="preserve">Exports</x:t>
        </x:is>
      </x:c>
      <x:c r="C13" s="149" t="inlineStr">
        <x:is>
          <x:t xml:space="preserve">Progress</x:t>
        </x:is>
      </x:c>
      <x:c r="D13" s="150" t="inlineStr">
        <x:is>
          <x:t xml:space="preserve">Root and progress subpath exports preserve namespace and named runtime identity.</x:t>
        </x:is>
      </x:c>
      <x:c r="E13" s="149" t="inlineStr">
        <x:is>
          <x:t xml:space="preserve">package</x:t>
        </x:is>
      </x:c>
      <x:c r="F13" s="149" t="inlineStr">
        <x:is>
          <x:t xml:space="preserve">package</x:t>
        </x:is>
      </x:c>
      <x:c r="G13" s="150" t="inlineStr">
        <x:is>
          <x:t xml:space="preserve">../test/package/package.test.mjs; ../package.json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46280</x:v>
      </x:c>
      <x:c r="K13" s="150" t="inlineStr">
        <x:is>
          <x:t xml:space="preserve">Package boundary assertions pass.</x:t>
        </x:is>
      </x:c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PR-06</x:t>
        </x:is>
      </x:c>
      <x:c r="B14" s="149" t="inlineStr">
        <x:is>
          <x:t xml:space="preserve">SSR</x:t>
        </x:is>
      </x:c>
      <x:c r="C14" s="149" t="inlineStr">
        <x:is>
          <x:t xml:space="preserve">Root</x:t>
        </x:is>
      </x:c>
      <x:c r="D14" s="150" t="inlineStr">
        <x:is>
          <x:t xml:space="preserve">Server rendering emits deterministic progressbar anatomy and visible naming without client-only failure.</x:t>
        </x:is>
      </x:c>
      <x:c r="E14" s="149" t="inlineStr">
        <x:is>
          <x:t xml:space="preserve">package</x:t>
        </x:is>
      </x:c>
      <x:c r="F14" s="149" t="inlineStr">
        <x:is>
          <x:t xml:space="preserve">package</x:t>
        </x:is>
      </x:c>
      <x:c r="G14" s="150" t="inlineStr">
        <x:is>
          <x:t xml:space="preserve">../test/package/ssr.test.mjs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46280</x:v>
      </x:c>
      <x:c r="K14" s="150" t="inlineStr">
        <x:is>
          <x:t xml:space="preserve">SSR assertions pass.</x:t>
        </x:is>
      </x:c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PR-07</x:t>
        </x:is>
      </x:c>
      <x:c r="B15" s="149" t="inlineStr">
        <x:is>
          <x:t xml:space="preserve">Defaults</x:t>
        </x:is>
      </x:c>
      <x:c r="C15" s="149" t="inlineStr">
        <x:is>
          <x:t xml:space="preserve">Root</x:t>
        </x:is>
      </x:c>
      <x:c r="D15" s="150" t="inlineStr">
        <x:is>
          <x:t xml:space="preserve">Defaults are horizontal, medium, rounded, accent, and indeterminate when value is omitted.</x:t>
        </x:is>
      </x:c>
      <x:c r="E15" s="149" t="inlineStr">
        <x:is>
          <x:t xml:space="preserve">package</x:t>
        </x:is>
      </x:c>
      <x:c r="F15" s="149" t="inlineStr">
        <x:is>
          <x:t xml:space="preserve">component</x:t>
        </x:is>
      </x:c>
      <x:c r="G15" s="150" t="inlineStr">
        <x:is>
          <x:t xml:space="preserve">../test/components/progress/progress.test.tsx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46280</x:v>
      </x:c>
      <x:c r="K15" s="150" t="inlineStr">
        <x:is>
          <x:t xml:space="preserve">Default attributes and semantics are asserted.</x:t>
        </x:is>
      </x:c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PR-08</x:t>
        </x:is>
      </x:c>
      <x:c r="B16" s="149" t="inlineStr">
        <x:is>
          <x:t xml:space="preserve">Values</x:t>
        </x:is>
      </x:c>
      <x:c r="C16" s="149" t="inlineStr">
        <x:is>
          <x:t xml:space="preserve">Root / Indicator</x:t>
        </x:is>
      </x:c>
      <x:c r="D16" s="150" t="inlineStr">
        <x:is>
          <x:t xml:space="preserve">Determinate values normalize within min and max while indeterminate progress omits aria-valuenow.</x:t>
        </x:is>
      </x:c>
      <x:c r="E16" s="149" t="inlineStr">
        <x:is>
          <x:t xml:space="preserve">browser</x:t>
        </x:is>
      </x:c>
      <x:c r="F16" s="149" t="inlineStr">
        <x:is>
          <x:t xml:space="preserve">browser</x:t>
        </x:is>
      </x:c>
      <x:c r="G16" s="150" t="inlineStr">
        <x:is>
          <x:t xml:space="preserve">tests/components/progress/behavior.spec.ts</x:t>
        </x:is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n">
        <x:v>46280</x:v>
      </x:c>
      <x:c r="K16" s="150" t="inlineStr">
        <x:is>
          <x:t xml:space="preserve">Configured-browser semantic assertions pass.</x:t>
        </x:is>
      </x:c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PR-09</x:t>
        </x:is>
      </x:c>
      <x:c r="B17" s="149" t="inlineStr">
        <x:is>
          <x:t xml:space="preserve">States</x:t>
        </x:is>
      </x:c>
      <x:c r="C17" s="149" t="inlineStr">
        <x:is>
          <x:t xml:space="preserve">Root / Indicator</x:t>
        </x:is>
      </x:c>
      <x:c r="D17" s="150" t="inlineStr">
        <x:is>
          <x:t xml:space="preserve">Indeterminate, loading, and complete visual states remain distinguishable without adding interaction.</x:t>
        </x:is>
      </x:c>
      <x:c r="E17" s="149" t="inlineStr">
        <x:is>
          <x:t xml:space="preserve">browser</x:t>
        </x:is>
      </x:c>
      <x:c r="F17" s="149" t="inlineStr">
        <x:is>
          <x:t xml:space="preserve">visual</x:t>
        </x:is>
      </x:c>
      <x:c r="G17" s="150" t="inlineStr">
        <x:is>
          <x:t xml:space="preserve">tests/components/progress/visual.spec.ts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n">
        <x:v>46280</x:v>
      </x:c>
      <x:c r="K17" s="150" t="inlineStr">
        <x:is>
          <x:t xml:space="preserve">Automated state baselines pass; owner manual review remains separate.</x:t>
        </x:is>
      </x:c>
      <x:c r="L17" s="149" t="n">
        <x:v>1</x:v>
      </x:c>
      <x:c r="M17" s="149" t="n">
        <x:f>IF(OR(AND(I17="yes",H17="verified"),AND(I17="no",OR(H17="tested",H17="verified")),AND(H17="not applicable",K17&lt;&gt;"")),1,0)</x:f>
        <x:v>1</x:v>
      </x:c>
    </x:row>
    <x:row r="18" s="127" customFormat="1" ht="54" customHeight="1">
      <x:c r="A18" s="149" t="inlineStr">
        <x:is>
          <x:t xml:space="preserve">PR-10</x:t>
        </x:is>
      </x:c>
      <x:c r="B18" s="149" t="inlineStr">
        <x:is>
          <x:t xml:space="preserve">Recipes</x:t>
        </x:is>
      </x:c>
      <x:c r="C18" s="149" t="inlineStr">
        <x:is>
          <x:t xml:space="preserve">Root</x:t>
        </x:is>
      </x:c>
      <x:c r="D18" s="150" t="inlineStr">
        <x:is>
          <x:t xml:space="preserve">Responsive sizes and outline/subtle variants, inline layout, stripes and animation preserve range semantics.</x:t>
        </x:is>
      </x:c>
      <x:c r="E18" s="149" t="inlineStr">
        <x:is>
          <x:t xml:space="preserve">browser</x:t>
        </x:is>
      </x:c>
      <x:c r="F18" s="149" t="inlineStr">
        <x:is>
          <x:t xml:space="preserve">browser</x:t>
        </x:is>
      </x:c>
      <x:c r="G18" s="150" t="inlineStr">
        <x:is>
          <x:t xml:space="preserve">tests/components/progress/parity.spec.ts; tests/components/progress/behavior.spec.ts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n">
        <x:v>46280</x:v>
      </x:c>
      <x:c r="K18" s="150" t="inlineStr">
        <x:is>
          <x:t xml:space="preserve">Recipe matrix assertions pass.</x:t>
        </x:is>
      </x:c>
      <x:c r="L18" s="149" t="n">
        <x:v>1</x:v>
      </x:c>
      <x:c r="M18" s="149" t="n">
        <x:f>IF(OR(AND(I18="yes",H18="verified"),AND(I18="no",OR(H18="tested",H18="verified")),AND(H18="not applicable",K18&lt;&gt;"")),1,0)</x:f>
        <x:v>1</x:v>
      </x:c>
    </x:row>
    <x:row r="19" s="127" customFormat="1" ht="54" customHeight="1">
      <x:c r="A19" s="149" t="inlineStr">
        <x:is>
          <x:t xml:space="preserve">PR-11</x:t>
        </x:is>
      </x:c>
      <x:c r="B19" s="149" t="inlineStr">
        <x:is>
          <x:t xml:space="preserve">Direction</x:t>
        </x:is>
      </x:c>
      <x:c r="C19" s="149" t="inlineStr">
        <x:is>
          <x:t xml:space="preserve">Track / Indicator</x:t>
        </x:is>
      </x:c>
      <x:c r="D19" s="150" t="inlineStr">
        <x:is>
          <x:t xml:space="preserve">Horizontal progress fills from logical inline-start in LTR and RTL; vertical progress fills from the bottom.</x:t>
        </x:is>
      </x:c>
      <x:c r="E19" s="149" t="inlineStr">
        <x:is>
          <x:t xml:space="preserve">browser</x:t>
        </x:is>
      </x:c>
      <x:c r="F19" s="149" t="inlineStr">
        <x:is>
          <x:t xml:space="preserve">browser</x:t>
        </x:is>
      </x:c>
      <x:c r="G19" s="150" t="inlineStr">
        <x:is>
          <x:t xml:space="preserve">tests/components/progress/behavior.spec.ts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46280</x:v>
      </x:c>
      <x:c r="K19" s="150" t="inlineStr">
        <x:is>
          <x:t xml:space="preserve">Bounding-box direction assertions pass.</x:t>
        </x:is>
      </x:c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PR-12</x:t>
        </x:is>
      </x:c>
      <x:c r="B20" s="149" t="inlineStr">
        <x:is>
          <x:t xml:space="preserve">Buffer</x:t>
        </x:is>
      </x:c>
      <x:c r="C20" s="149" t="inlineStr">
        <x:is>
          <x:t xml:space="preserve">Buffer</x:t>
        </x:is>
      </x:c>
      <x:c r="D20" s="150" t="inlineStr">
        <x:is>
          <x:t xml:space="preserve">Optional buffered progress clamps independently, remains behind the current value, and exposes presence state.</x:t>
        </x:is>
      </x:c>
      <x:c r="E20" s="149" t="inlineStr">
        <x:is>
          <x:t xml:space="preserve">package</x:t>
        </x:is>
      </x:c>
      <x:c r="F20" s="149" t="inlineStr">
        <x:is>
          <x:t xml:space="preserve">component</x:t>
        </x:is>
      </x:c>
      <x:c r="G20" s="150" t="inlineStr">
        <x:is>
          <x:t xml:space="preserve">../test/components/progress/progress.test.tsx; tests/components/progress/behavior.spec.ts</x:t>
        </x:is>
      </x:c>
      <x:c r="H20" s="149" t="inlineStr">
        <x:is>
          <x:t xml:space="preserve">tested</x:t>
        </x:is>
      </x:c>
      <x:c r="I20" s="149" t="inlineStr">
        <x:is>
          <x:t xml:space="preserve">no</x:t>
        </x:is>
      </x:c>
      <x:c r="J20" s="151" t="n">
        <x:v>46280</x:v>
      </x:c>
      <x:c r="K20" s="150" t="inlineStr">
        <x:is>
          <x:t xml:space="preserve">Buffer clamping, position, and presence are asserted.</x:t>
        </x:is>
      </x:c>
      <x:c r="L20" s="149" t="n">
        <x:v>1</x:v>
      </x:c>
      <x:c r="M20" s="149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49" t="inlineStr">
        <x:is>
          <x:t xml:space="preserve">PR-13</x:t>
        </x:is>
      </x:c>
      <x:c r="B21" s="149" t="inlineStr">
        <x:is>
          <x:t xml:space="preserve">Output</x:t>
        </x:is>
      </x:c>
      <x:c r="C21" s="149" t="inlineStr">
        <x:is>
          <x:t xml:space="preserve">Label / Value</x:t>
        </x:is>
      </x:c>
      <x:c r="D21" s="150" t="inlineStr">
        <x:is>
          <x:t xml:space="preserve">Label names the task; percent/raw modes and authored range output support localization.</x:t>
        </x:is>
      </x:c>
      <x:c r="E21" s="149" t="inlineStr">
        <x:is>
          <x:t xml:space="preserve">browser</x:t>
        </x:is>
      </x:c>
      <x:c r="F21" s="149" t="inlineStr">
        <x:is>
          <x:t xml:space="preserve">browser</x:t>
        </x:is>
      </x:c>
      <x:c r="G21" s="150" t="inlineStr">
        <x:is>
          <x:t xml:space="preserve">tests/components/progress/behavior.spec.ts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46280</x:v>
      </x:c>
      <x:c r="K21" s="150" t="inlineStr">
        <x:is>
          <x:t xml:space="preserve">Name relationship and custom output assertions pass.</x:t>
        </x:is>
      </x:c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PR-14</x:t>
        </x:is>
      </x:c>
      <x:c r="B22" s="149" t="inlineStr">
        <x:is>
          <x:t xml:space="preserve">Responsive</x:t>
        </x:is>
      </x:c>
      <x:c r="C22" s="149" t="inlineStr">
        <x:is>
          <x:t xml:space="preserve">All parts</x:t>
        </x:is>
      </x:c>
      <x:c r="D22" s="150" t="inlineStr">
        <x:is>
          <x:t xml:space="preserve">Narrow, long-label, zoom, and RTL layouts remain contained without clipping or page overflow.</x:t>
        </x:is>
      </x:c>
      <x:c r="E22" s="149" t="inlineStr">
        <x:is>
          <x:t xml:space="preserve">browser</x:t>
        </x:is>
      </x:c>
      <x:c r="F22" s="149" t="inlineStr">
        <x:is>
          <x:t xml:space="preserve">visual</x:t>
        </x:is>
      </x:c>
      <x:c r="G22" s="150" t="inlineStr">
        <x:is>
          <x:t xml:space="preserve">tests/components/progress/visual.spec.ts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46280</x:v>
      </x:c>
      <x:c r="K22" s="150" t="inlineStr">
        <x:is>
          <x:t xml:space="preserve">Automated responsive baselines and narrow containment pass.</x:t>
        </x:is>
      </x:c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PR-15</x:t>
        </x:is>
      </x:c>
      <x:c r="B23" s="149" t="inlineStr">
        <x:is>
          <x:t xml:space="preserve">Preferences</x:t>
        </x:is>
      </x:c>
      <x:c r="C23" s="149" t="inlineStr">
        <x:is>
          <x:t xml:space="preserve">Track / Indicator</x:t>
        </x:is>
      </x:c>
      <x:c r="D23" s="150" t="inlineStr">
        <x:is>
          <x:t xml:space="preserve">Reduced motion leaves a static recognizable segment and forced colors preserve track and indicator boundaries.</x:t>
        </x:is>
      </x:c>
      <x:c r="E23" s="149" t="inlineStr">
        <x:is>
          <x:t xml:space="preserve">browser</x:t>
        </x:is>
      </x:c>
      <x:c r="F23" s="149" t="inlineStr">
        <x:is>
          <x:t xml:space="preserve">visual</x:t>
        </x:is>
      </x:c>
      <x:c r="G23" s="150" t="inlineStr">
        <x:is>
          <x:t xml:space="preserve">tests/components/progress/visual.spec.ts; tests/components/progress/behavior.spec.ts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>
        <x:v>46280</x:v>
      </x:c>
      <x:c r="K23" s="150" t="inlineStr">
        <x:is>
          <x:t xml:space="preserve">Preference-state automation passes.</x:t>
        </x:is>
      </x:c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PR-16</x:t>
        </x:is>
      </x:c>
      <x:c r="B24" s="149" t="inlineStr">
        <x:is>
          <x:t xml:space="preserve">Accessibility</x:t>
        </x:is>
      </x:c>
      <x:c r="C24" s="149" t="inlineStr">
        <x:is>
          <x:t xml:space="preserve">Root</x:t>
        </x:is>
      </x:c>
      <x:c r="D24" s="150" t="inlineStr">
        <x:is>
          <x:t xml:space="preserve">One named progressbar exposes the correct range/value state and the route passes axe without unsupported aria-orientation.</x:t>
        </x:is>
      </x:c>
      <x:c r="E24" s="149" t="inlineStr">
        <x:is>
          <x:t xml:space="preserve">browser</x:t>
        </x:is>
      </x:c>
      <x:c r="F24" s="149" t="inlineStr">
        <x:is>
          <x:t xml:space="preserve">axe</x:t>
        </x:is>
      </x:c>
      <x:c r="G24" s="150" t="inlineStr">
        <x:is>
          <x:t xml:space="preserve">tests/components/progress/behavior.spec.ts</x:t>
        </x:is>
      </x:c>
      <x:c r="H24" s="149" t="inlineStr">
        <x:is>
          <x:t xml:space="preserve">tested</x:t>
        </x:is>
      </x:c>
      <x:c r="I24" s="149" t="inlineStr">
        <x:is>
          <x:t xml:space="preserve">no</x:t>
        </x:is>
      </x:c>
      <x:c r="J24" s="151" t="n">
        <x:v>46280</x:v>
      </x:c>
      <x:c r="K24" s="150" t="inlineStr">
        <x:is>
          <x:t xml:space="preserve">Semantic and axe assertions pass.</x:t>
        </x:is>
      </x:c>
      <x:c r="L24" s="149" t="n">
        <x:v>1</x:v>
      </x:c>
      <x:c r="M24" s="149" t="n">
        <x:f>IF(OR(AND(I24="yes",H24="verified"),AND(I24="no",OR(H24="tested",H24="verified")),AND(H24="not applicable",K24&lt;&gt;"")),1,0)</x:f>
        <x:v>1</x:v>
      </x:c>
    </x:row>
    <x:row r="25" s="127" customFormat="1" ht="54" customHeight="1">
      <x:c r="A25" s="149" t="inlineStr">
        <x:is>
          <x:t xml:space="preserve">PR-17</x:t>
        </x:is>
      </x:c>
      <x:c r="B25" s="149" t="inlineStr">
        <x:is>
          <x:t xml:space="preserve">Playground</x:t>
        </x:is>
      </x:c>
      <x:c r="C25" s="149" t="inlineStr">
        <x:is>
          <x:t xml:space="preserve">Progress</x:t>
        </x:is>
      </x:c>
      <x:c r="D25" s="150" t="inlineStr">
        <x:is>
          <x:t xml:space="preserve">Documentation route provides focused Preview/Code examples and part tables; qualification=1 retains nine scenarios.</x:t>
        </x:is>
      </x:c>
      <x:c r="E25" s="149" t="inlineStr">
        <x:is>
          <x:t xml:space="preserve">package</x:t>
        </x:is>
      </x:c>
      <x:c r="F25" s="149" t="inlineStr">
        <x:is>
          <x:t xml:space="preserve">playground</x:t>
        </x:is>
      </x:c>
      <x:c r="G25" s="150" t="inlineStr">
        <x:is>
          <x:t xml:space="preserve">src/components/progress/ProgressPage.tsx</x:t>
        </x:is>
      </x:c>
      <x:c r="H25" s="149" t="inlineStr">
        <x:is>
          <x:t xml:space="preserve">tested</x:t>
        </x:is>
      </x:c>
      <x:c r="I25" s="149" t="inlineStr">
        <x:is>
          <x:t xml:space="preserve">no</x:t>
        </x:is>
      </x:c>
      <x:c r="J25" s="151" t="n">
        <x:v>46280</x:v>
      </x:c>
      <x:c r="K25" s="150" t="inlineStr">
        <x:is>
          <x:t xml:space="preserve">Route registration and playground build pass.</x:t>
        </x:is>
      </x:c>
      <x:c r="L25" s="149" t="n">
        <x:v>1</x:v>
      </x:c>
      <x:c r="M25" s="149" t="n">
        <x:f>IF(OR(AND(I25="yes",H25="verified"),AND(I25="no",OR(H25="tested",H25="verified")),AND(H25="not applicable",K25&lt;&gt;"")),1,0)</x:f>
        <x:v>1</x:v>
      </x:c>
    </x:row>
    <x:row r="26" s="127" customFormat="1" ht="54" customHeight="1">
      <x:c r="A26" s="149" t="inlineStr">
        <x:is>
          <x:t xml:space="preserve">PR-18</x:t>
        </x:is>
      </x:c>
      <x:c r="B26" s="149" t="inlineStr">
        <x:is>
          <x:t xml:space="preserve">Documentation</x:t>
        </x:is>
      </x:c>
      <x:c r="C26" s="149" t="inlineStr">
        <x:is>
          <x:t xml:space="preserve">Progress</x:t>
        </x:is>
      </x:c>
      <x:c r="D26" s="150" t="inlineStr">
        <x:is>
          <x:t xml:space="preserve">The public guide documents anatomy, API, defaults, recipes, output, accessibility, CSS, and exclusions.</x:t>
        </x:is>
      </x:c>
      <x:c r="E26" s="149" t="inlineStr">
        <x:is>
          <x:t xml:space="preserve">package</x:t>
        </x:is>
      </x:c>
      <x:c r="F26" s="149" t="inlineStr">
        <x:is>
          <x:t xml:space="preserve">docs</x:t>
        </x:is>
      </x:c>
      <x:c r="G26" s="150" t="inlineStr">
        <x:is>
          <x:t xml:space="preserve">../docs/components/progress/README.md</x:t>
        </x:is>
      </x:c>
      <x:c r="H26" s="149" t="inlineStr">
        <x:is>
          <x:t xml:space="preserve">tested</x:t>
        </x:is>
      </x:c>
      <x:c r="I26" s="149" t="inlineStr">
        <x:is>
          <x:t xml:space="preserve">no</x:t>
        </x:is>
      </x:c>
      <x:c r="J26" s="151" t="n">
        <x:v>46280</x:v>
      </x:c>
      <x:c r="K26" s="150" t="inlineStr">
        <x:is>
          <x:t xml:space="preserve">Documentation verification passes.</x:t>
        </x:is>
      </x:c>
      <x:c r="L26" s="149" t="n">
        <x:v>1</x:v>
      </x:c>
      <x:c r="M26" s="149" t="n">
        <x:f>IF(OR(AND(I26="yes",H26="verified"),AND(I26="no",OR(H26="tested",H26="verified")),AND(H26="not applicable",K26&lt;&gt;"")),1,0)</x:f>
        <x:v>1</x:v>
      </x:c>
    </x:row>
    <x:row r="27" s="127" customFormat="1" ht="54" customHeight="1">
      <x:c r="A27" s="149" t="inlineStr">
        <x:is>
          <x:t xml:space="preserve">PR-19</x:t>
        </x:is>
      </x:c>
      <x:c r="B27" s="149" t="inlineStr">
        <x:is>
          <x:t xml:space="preserve">Changelog</x:t>
        </x:is>
      </x:c>
      <x:c r="C27" s="149" t="inlineStr">
        <x:is>
          <x:t xml:space="preserve">Progress</x:t>
        </x:is>
      </x:c>
      <x:c r="D27" s="150" t="inlineStr">
        <x:is>
          <x:t xml:space="preserve">Component and package changelogs record the consumer-visible addition and ARIA correction.</x:t>
        </x:is>
      </x:c>
      <x:c r="E27" s="149" t="inlineStr">
        <x:is>
          <x:t xml:space="preserve">package</x:t>
        </x:is>
      </x:c>
      <x:c r="F27" s="149" t="inlineStr">
        <x:is>
          <x:t xml:space="preserve">docs</x:t>
        </x:is>
      </x:c>
      <x:c r="G27" s="150" t="inlineStr">
        <x:is>
          <x:t xml:space="preserve">../docs/components/progress/CHANGELOG.md; ../CHANGELOG.md</x:t>
        </x:is>
      </x:c>
      <x:c r="H27" s="149" t="inlineStr">
        <x:is>
          <x:t xml:space="preserve">tested</x:t>
        </x:is>
      </x:c>
      <x:c r="I27" s="149" t="inlineStr">
        <x:is>
          <x:t xml:space="preserve">no</x:t>
        </x:is>
      </x:c>
      <x:c r="J27" s="151" t="n">
        <x:v>46280</x:v>
      </x:c>
      <x:c r="K27" s="150" t="inlineStr">
        <x:is>
          <x:t xml:space="preserve">Changelog ownership checks pass.</x:t>
        </x:is>
      </x:c>
      <x:c r="L27" s="149" t="n">
        <x:v>1</x:v>
      </x:c>
      <x:c r="M27" s="149" t="n">
        <x:f>IF(OR(AND(I27="yes",H27="verified"),AND(I27="no",OR(H27="tested",H27="verified")),AND(H27="not applicable",K27&lt;&gt;"")),1,0)</x:f>
        <x:v>1</x:v>
      </x:c>
    </x:row>
    <x:row r="28" s="127" customFormat="1" ht="54" customHeight="1">
      <x:c r="A28" s="149" t="inlineStr">
        <x:is>
          <x:t xml:space="preserve">PR-20</x:t>
        </x:is>
      </x:c>
      <x:c r="B28" s="149" t="inlineStr">
        <x:is>
          <x:t xml:space="preserve">Consumer</x:t>
        </x:is>
      </x:c>
      <x:c r="C28" s="149" t="inlineStr">
        <x:is>
          <x:t xml:space="preserve">Progress</x:t>
        </x:is>
      </x:c>
      <x:c r="D28" s="150" t="inlineStr">
        <x:is>
          <x:t xml:space="preserve">Packed React 18/19 consumers verify public exports and shared controller SSR composition.</x:t>
        </x:is>
      </x:c>
      <x:c r="E28" s="149" t="inlineStr">
        <x:is>
          <x:t xml:space="preserve">consumer</x:t>
        </x:is>
      </x:c>
      <x:c r="F28" s="149" t="inlineStr">
        <x:is>
          <x:t xml:space="preserve">consumer</x:t>
        </x:is>
      </x:c>
      <x:c r="G28" s="150" t="inlineStr">
        <x:is>
          <x:t xml:space="preserve">../scripts/verify-consumers.mjs</x:t>
        </x:is>
      </x:c>
      <x:c r="H28" s="149" t="inlineStr">
        <x:is>
          <x:t xml:space="preserve">tested</x:t>
        </x:is>
      </x:c>
      <x:c r="I28" s="149" t="inlineStr">
        <x:is>
          <x:t xml:space="preserve">no</x:t>
        </x:is>
      </x:c>
      <x:c r="J28" s="151" t="n">
        <x:v>46280</x:v>
      </x:c>
      <x:c r="K28" s="150" t="inlineStr">
        <x:is>
          <x:t xml:space="preserve">Packed Consumer verification passes.</x:t>
        </x:is>
      </x:c>
      <x:c r="L28" s="149" t="n">
        <x:v>1</x:v>
      </x:c>
      <x:c r="M28" s="149" t="n">
        <x:f>IF(OR(AND(I28="yes",H28="verified"),AND(I28="no",OR(H28="tested",H28="verified")),AND(H28="not applicable",K28&lt;&gt;"")),1,0)</x:f>
        <x:v>1</x:v>
      </x:c>
    </x:row>
    <x:row r="29" s="127" customFormat="1" ht="54" customHeight="1">
      <x:c r="A29" s="149" t="inlineStr">
        <x:is>
          <x:t xml:space="preserve">PR-21</x:t>
        </x:is>
      </x:c>
      <x:c r="B29" s="149" t="inlineStr">
        <x:is>
          <x:t xml:space="preserve">Manual</x:t>
        </x:is>
      </x:c>
      <x:c r="C29" s="149" t="inlineStr">
        <x:is>
          <x:t xml:space="preserve">Progress</x:t>
        </x:is>
      </x:c>
      <x:c r="D29" s="150" t="inlineStr">
        <x:is>
          <x:t xml:space="preserve">Owner executes the visual, responsive, direction, preference, and assistive-technology protocol.</x:t>
        </x:is>
      </x:c>
      <x:c r="E29" s="149" t="inlineStr">
        <x:is>
          <x:t xml:space="preserve">human</x:t>
        </x:is>
      </x:c>
      <x:c r="F29" s="149" t="inlineStr">
        <x:is>
          <x:t xml:space="preserve">manual</x:t>
        </x:is>
      </x:c>
      <x:c r="G29" s="150" t="inlineStr">
        <x:is>
          <x:t xml:space="preserve">manual-tests/progress.md</x:t>
        </x:is>
      </x:c>
      <x:c r="H29" s="149" t="inlineStr">
        <x:is>
          <x:t xml:space="preserve">not started</x:t>
        </x:is>
      </x:c>
      <x:c r="I29" s="149" t="inlineStr">
        <x:is>
          <x:t xml:space="preserve">yes</x:t>
        </x:is>
      </x:c>
      <x:c r="J29" s="151" t="n">
        <x:v>46230</x:v>
      </x:c>
      <x:c r="K29" s="150" t="inlineStr">
        <x:is>
          <x:t xml:space="preserve">Human run intentionally unclaimed.</x:t>
        </x:is>
      </x:c>
      <x:c r="L29" s="149" t="n">
        <x:v>1</x:v>
      </x:c>
      <x:c r="M29" s="149" t="n">
        <x:f>IF(OR(AND(I29="yes",H29="verified"),AND(I29="no",OR(H29="tested",H29="verified")),AND(H29="not applicable",K29&lt;&gt;"")),1,0)</x:f>
        <x:v>0</x:v>
      </x:c>
    </x:row>
    <x:row r="30" s="127" customFormat="1" ht="54" customHeight="1">
      <x:c r="A30" s="149" t="inlineStr">
        <x:is>
          <x:t xml:space="preserve">PR-22</x:t>
        </x:is>
      </x:c>
      <x:c r="B30" s="149" t="inlineStr">
        <x:is>
          <x:t xml:space="preserve">Package</x:t>
        </x:is>
      </x:c>
      <x:c r="C30" s="149" t="inlineStr">
        <x:is>
          <x:t xml:space="preserve">Progress</x:t>
        </x:is>
      </x:c>
      <x:c r="D30" s="150" t="inlineStr">
        <x:is>
          <x:t xml:space="preserve">Build, declarations, exports, SSR, CSS, docs, tarball, consumers, browser matrix, and CI pass.</x:t>
        </x:is>
      </x:c>
      <x:c r="E30" s="149" t="inlineStr">
        <x:is>
          <x:t xml:space="preserve">package</x:t>
        </x:is>
      </x:c>
      <x:c r="F30" s="149" t="inlineStr">
        <x:is>
          <x:t xml:space="preserve">package</x:t>
        </x:is>
      </x:c>
      <x:c r="G30" s="150" t="inlineStr">
        <x:is>
          <x:t xml:space="preserve">../scripts/verify-package.mjs</x:t>
        </x:is>
      </x:c>
      <x:c r="H30" s="149" t="inlineStr">
        <x:is>
          <x:t xml:space="preserve">blocked</x:t>
        </x:is>
      </x:c>
      <x:c r="I30" s="149" t="inlineStr">
        <x:is>
          <x:t xml:space="preserve">no</x:t>
        </x:is>
      </x:c>
      <x:c r="J30" s="151" t="n">
        <x:v>46280</x:v>
      </x:c>
      <x:c r="K30" s="150" t="inlineStr">
        <x:is>
          <x:t xml:space="preserve">Owner checks pass; broader repository Avatar/Pagination/catalog failures prevent a clean repository qualification. Manual review remains open.</x:t>
        </x:is>
      </x:c>
      <x:c r="L30" s="149" t="n">
        <x:v>1</x:v>
      </x:c>
      <x:c r="M30" s="149" t="n">
        <x:f>IF(OR(AND(I30="yes",H30="verified"),AND(I30="no",OR(H30="tested",H30="verified")),AND(H30="not applicable",K30&lt;&gt;"")),1,0)</x:f>
        <x:v>0</x:v>
      </x:c>
    </x:row>
  </x:sheetData>
  <x:mergeCells>
    <x:mergeCell ref="A2:M2"/>
    <x:mergeCell ref="A1:M1"/>
  </x:mergeCells>
  <x:conditionalFormatting sqref="H9:H30">
    <x:cfRule type="expression" dxfId="15" priority="2" aboveAverage="0" percent="0" bottom="0" rank="0" equalAverage="0">
      <x:formula>H9="verified"</x:formula>
    </x:cfRule>
  </x:conditionalFormatting>
  <x:dataValidations count="2">
    <x:dataValidation type="list" errorStyle="stop" operator="between" allowBlank="0" showDropDown="0" showInputMessage="0" showErrorMessage="0" sqref="H9:H30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30">
      <x:formula1>"yes,no"</x:formula1>
      <x:formula2>0</x:formula2>
    </x:dataValidation>
  </x:dataValidations>
  <x:pageMargins left="0.7" right="0.7" top="0.75" bottom="0.75" header="0.3" footer="0.3"/>
</x:worksheet>
</file>

<file path=xl/worksheets/sheet79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Progress Circle Evidence</x:t>
        </x:is>
      </x:c>
    </x:row>
    <x:row r="2" s="127" customFormat="1" ht="27.75" customHeight="1">
      <x:c r="A2" s="129" t="inlineStr">
        <x:is>
          <x:t xml:space="preserve">Assertion-level circular progress anatomy, SVG geometry, values, recipes, responsive, package, documentation, Consumer, and accessibility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COUNTA(A9:A30)</x:f>
        <x:v>22</x:v>
      </x:c>
      <x:c r="D4" s="130" t="inlineStr">
        <x:is>
          <x:t xml:space="preserve">Resolved</x:t>
        </x:is>
      </x:c>
      <x:c r="E4" s="131" t="n">
        <x:f>SUM(M9:M30)</x:f>
        <x:v>20</x:v>
      </x:c>
      <x:c r="G4" s="130" t="inlineStr">
        <x:is>
          <x:t xml:space="preserve">Completion</x:t>
        </x:is>
      </x:c>
      <x:c r="H4" s="132" t="n">
        <x:f>IF(B4=0,0,E4/B4)</x:f>
        <x:v>0.9090909090909091</x:v>
      </x:c>
      <x:c r="J4" s="130" t="inlineStr">
        <x:is>
          <x:t xml:space="preserve">Package gate</x:t>
        </x:is>
      </x:c>
      <x:c r="K4" s="131" t="str">
        <x:f>IF(COUNTIFS(E9:E30,"package",M9:M30,0)&gt;0,"open","complete")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IF(COUNTIFS(I9:I30,"yes",M9:M30,0)&gt;0,"open","complete")</x:f>
        <x:v>open</x:v>
      </x:c>
      <x:c r="D5" s="130" t="inlineStr">
        <x:is>
          <x:t xml:space="preserve">Consumer gate</x:t>
        </x:is>
      </x:c>
      <x:c r="E5" s="131" t="str">
        <x:f>IF(COUNTIFS(E9:E30,"consumer",M9:M30,0)&gt;0,"open","complete")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PC-01</x:t>
        </x:is>
      </x:c>
      <x:c r="B9" s="149" t="inlineStr">
        <x:is>
          <x:t xml:space="preserve">Ownership</x:t>
        </x:is>
      </x:c>
      <x:c r="C9" s="149" t="inlineStr">
        <x:is>
          <x:t xml:space="preserve">All parts</x:t>
        </x:is>
      </x:c>
      <x:c r="D9" s="150" t="inlineStr">
        <x:is>
          <x:t xml:space="preserve">Brick styles the digest-locked local Atom 0.26.1 controller and range semantics; unpublished.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../src/components/progress-circle/ProgressCircle.tsx; ../package.json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46280</x:v>
      </x:c>
      <x:c r="K9" s="150" t="inlineStr">
        <x:is>
          <x:t xml:space="preserve">Source and exact dependency boundary are implemented.</x:t>
        </x:is>
      </x:c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PC-02</x:t>
        </x:is>
      </x:c>
      <x:c r="B10" s="149" t="inlineStr">
        <x:is>
          <x:t xml:space="preserve">API</x:t>
        </x:is>
      </x:c>
      <x:c r="C10" s="149" t="inlineStr">
        <x:is>
          <x:t xml:space="preserve">All parts</x:t>
        </x:is>
      </x:c>
      <x:c r="D10" s="150" t="inlineStr">
        <x:is>
          <x:t xml:space="preserve">Root, RootProvider, Context, Circle, Track, Indicator, Label and Value use the shared progress controller.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../test/components/progress-circle/progress-circle.test.tsx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46280</x:v>
      </x:c>
      <x:c r="K10" s="150" t="inlineStr">
        <x:is>
          <x:t xml:space="preserve">Focused component assertions pass.</x:t>
        </x:is>
      </x:c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PC-03</x:t>
        </x:is>
      </x:c>
      <x:c r="B11" s="149" t="inlineStr">
        <x:is>
          <x:t xml:space="preserve">Anatomy</x:t>
        </x:is>
      </x:c>
      <x:c r="C11" s="149" t="inlineStr">
        <x:is>
          <x:t xml:space="preserve">All parts</x:t>
        </x:is>
      </x:c>
      <x:c r="D11" s="150" t="inlineStr">
        <x:is>
          <x:t xml:space="preserve">Root and text parts use native HTML hosts; decorative ring parts use deterministic SVG hosts and exact refs.</x:t>
        </x:is>
      </x:c>
      <x:c r="E11" s="149" t="inlineStr">
        <x:is>
          <x:t xml:space="preserve">package</x:t>
        </x:is>
      </x:c>
      <x:c r="F11" s="149" t="inlineStr">
        <x:is>
          <x:t xml:space="preserve">component</x:t>
        </x:is>
      </x:c>
      <x:c r="G11" s="150" t="inlineStr">
        <x:is>
          <x:t xml:space="preserve">../test/components/progress-circle/progress-circle.test.tsx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46280</x:v>
      </x:c>
      <x:c r="K11" s="150" t="inlineStr">
        <x:is>
          <x:t xml:space="preserve">Host, prop, slot, SVG, and ref assertions pass.</x:t>
        </x:is>
      </x:c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PC-04</x:t>
        </x:is>
      </x:c>
      <x:c r="B12" s="149" t="inlineStr">
        <x:is>
          <x:t xml:space="preserve">Types</x:t>
        </x:is>
      </x:c>
      <x:c r="C12" s="149" t="inlineStr">
        <x:is>
          <x:t xml:space="preserve">Public surface</x:t>
        </x:is>
      </x:c>
      <x:c r="D12" s="150" t="inlineStr">
        <x:is>
          <x:t xml:space="preserve">Responsive recipes, controller props, native composition and ref types are checked.</x:t>
        </x:is>
      </x:c>
      <x:c r="E12" s="149" t="inlineStr">
        <x:is>
          <x:t xml:space="preserve">package</x:t>
        </x:is>
      </x:c>
      <x:c r="F12" s="149" t="inlineStr">
        <x:is>
          <x:t xml:space="preserve">types</x:t>
        </x:is>
      </x:c>
      <x:c r="G12" s="150" t="inlineStr">
        <x:is>
          <x:t xml:space="preserve">../test/types/components/progress-circle.test.ts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46280</x:v>
      </x:c>
      <x:c r="K12" s="150" t="inlineStr">
        <x:is>
          <x:t xml:space="preserve">Focused positive and negative type assertions pass.</x:t>
        </x:is>
      </x:c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PC-05</x:t>
        </x:is>
      </x:c>
      <x:c r="B13" s="149" t="inlineStr">
        <x:is>
          <x:t xml:space="preserve">Exports</x:t>
        </x:is>
      </x:c>
      <x:c r="C13" s="149" t="inlineStr">
        <x:is>
          <x:t xml:space="preserve">Progress Circle</x:t>
        </x:is>
      </x:c>
      <x:c r="D13" s="150" t="inlineStr">
        <x:is>
          <x:t xml:space="preserve">Root and progress-circle subpath exports preserve namespace and named runtime identity.</x:t>
        </x:is>
      </x:c>
      <x:c r="E13" s="149" t="inlineStr">
        <x:is>
          <x:t xml:space="preserve">package</x:t>
        </x:is>
      </x:c>
      <x:c r="F13" s="149" t="inlineStr">
        <x:is>
          <x:t xml:space="preserve">package</x:t>
        </x:is>
      </x:c>
      <x:c r="G13" s="150" t="inlineStr">
        <x:is>
          <x:t xml:space="preserve">../test/package/package.test.mjs; ../package.json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46280</x:v>
      </x:c>
      <x:c r="K13" s="150" t="inlineStr">
        <x:is>
          <x:t xml:space="preserve">Package boundary assertions pass.</x:t>
        </x:is>
      </x:c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PC-06</x:t>
        </x:is>
      </x:c>
      <x:c r="B14" s="149" t="inlineStr">
        <x:is>
          <x:t xml:space="preserve">SSR</x:t>
        </x:is>
      </x:c>
      <x:c r="C14" s="149" t="inlineStr">
        <x:is>
          <x:t xml:space="preserve">Root</x:t>
        </x:is>
      </x:c>
      <x:c r="D14" s="150" t="inlineStr">
        <x:is>
          <x:t xml:space="preserve">Server rendering emits deterministic progressbar and SVG anatomy without client-only failure.</x:t>
        </x:is>
      </x:c>
      <x:c r="E14" s="149" t="inlineStr">
        <x:is>
          <x:t xml:space="preserve">package</x:t>
        </x:is>
      </x:c>
      <x:c r="F14" s="149" t="inlineStr">
        <x:is>
          <x:t xml:space="preserve">package</x:t>
        </x:is>
      </x:c>
      <x:c r="G14" s="150" t="inlineStr">
        <x:is>
          <x:t xml:space="preserve">../test/package/ssr.test.mjs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46280</x:v>
      </x:c>
      <x:c r="K14" s="150" t="inlineStr">
        <x:is>
          <x:t xml:space="preserve">SSR assertions pass.</x:t>
        </x:is>
      </x:c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PC-07</x:t>
        </x:is>
      </x:c>
      <x:c r="B15" s="149" t="inlineStr">
        <x:is>
          <x:t xml:space="preserve">Defaults</x:t>
        </x:is>
      </x:c>
      <x:c r="C15" s="149" t="inlineStr">
        <x:is>
          <x:t xml:space="preserve">Root</x:t>
        </x:is>
      </x:c>
      <x:c r="D15" s="150" t="inlineStr">
        <x:is>
          <x:t xml:space="preserve">Defaults are medium, regular thickness, round cap, accent tone, and indeterminate when value is omitted.</x:t>
        </x:is>
      </x:c>
      <x:c r="E15" s="149" t="inlineStr">
        <x:is>
          <x:t xml:space="preserve">package</x:t>
        </x:is>
      </x:c>
      <x:c r="F15" s="149" t="inlineStr">
        <x:is>
          <x:t xml:space="preserve">component</x:t>
        </x:is>
      </x:c>
      <x:c r="G15" s="150" t="inlineStr">
        <x:is>
          <x:t xml:space="preserve">../test/components/progress-circle/progress-circle.test.tsx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46280</x:v>
      </x:c>
      <x:c r="K15" s="150" t="inlineStr">
        <x:is>
          <x:t xml:space="preserve">Default attributes and semantics are asserted.</x:t>
        </x:is>
      </x:c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PC-08</x:t>
        </x:is>
      </x:c>
      <x:c r="B16" s="149" t="inlineStr">
        <x:is>
          <x:t xml:space="preserve">Values</x:t>
        </x:is>
      </x:c>
      <x:c r="C16" s="149" t="inlineStr">
        <x:is>
          <x:t xml:space="preserve">Root / Indicator</x:t>
        </x:is>
      </x:c>
      <x:c r="D16" s="150" t="inlineStr">
        <x:is>
          <x:t xml:space="preserve">Determinate values normalize within min and max while indeterminate progress omits aria-valuenow.</x:t>
        </x:is>
      </x:c>
      <x:c r="E16" s="149" t="inlineStr">
        <x:is>
          <x:t xml:space="preserve">browser</x:t>
        </x:is>
      </x:c>
      <x:c r="F16" s="149" t="inlineStr">
        <x:is>
          <x:t xml:space="preserve">browser</x:t>
        </x:is>
      </x:c>
      <x:c r="G16" s="150" t="inlineStr">
        <x:is>
          <x:t xml:space="preserve">tests/components/progress-circle/behavior.spec.ts</x:t>
        </x:is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n">
        <x:v>46280</x:v>
      </x:c>
      <x:c r="K16" s="150" t="inlineStr">
        <x:is>
          <x:t xml:space="preserve">Configured-browser semantic assertions pass.</x:t>
        </x:is>
      </x:c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PC-09</x:t>
        </x:is>
      </x:c>
      <x:c r="B17" s="149" t="inlineStr">
        <x:is>
          <x:t xml:space="preserve">Geometry</x:t>
        </x:is>
      </x:c>
      <x:c r="C17" s="149" t="inlineStr">
        <x:is>
          <x:t xml:space="preserve">Circle / Indicator</x:t>
        </x:is>
      </x:c>
      <x:c r="D17" s="150" t="inlineStr">
        <x:is>
          <x:t xml:space="preserve">CSS computes radius and dash lengths from effective stroke; zero progress is not painted and thick strokes stay contained.</x:t>
        </x:is>
      </x:c>
      <x:c r="E17" s="149" t="inlineStr">
        <x:is>
          <x:t xml:space="preserve">browser</x:t>
        </x:is>
      </x:c>
      <x:c r="F17" s="149" t="inlineStr">
        <x:is>
          <x:t xml:space="preserve">browser</x:t>
        </x:is>
      </x:c>
      <x:c r="G17" s="150" t="inlineStr">
        <x:is>
          <x:t xml:space="preserve">tests/components/progress-circle/behavior.spec.ts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n">
        <x:v>46280</x:v>
      </x:c>
      <x:c r="K17" s="150" t="inlineStr">
        <x:is>
          <x:t xml:space="preserve">SVG geometry and ratio assertions pass.</x:t>
        </x:is>
      </x:c>
      <x:c r="L17" s="149" t="n">
        <x:v>1</x:v>
      </x:c>
      <x:c r="M17" s="149" t="n">
        <x:f>IF(OR(AND(I17="yes",H17="verified"),AND(I17="no",OR(H17="tested",H17="verified")),AND(H17="not applicable",K17&lt;&gt;"")),1,0)</x:f>
        <x:v>1</x:v>
      </x:c>
    </x:row>
    <x:row r="18" s="127" customFormat="1" ht="54" customHeight="1">
      <x:c r="A18" s="149" t="inlineStr">
        <x:is>
          <x:t xml:space="preserve">PC-10</x:t>
        </x:is>
      </x:c>
      <x:c r="B18" s="149" t="inlineStr">
        <x:is>
          <x:t xml:space="preserve">Recipes</x:t>
        </x:is>
      </x:c>
      <x:c r="C18" s="149" t="inlineStr">
        <x:is>
          <x:t xml:space="preserve">Root</x:t>
        </x:is>
      </x:c>
      <x:c r="D18" s="150" t="inlineStr">
        <x:is>
          <x:t xml:space="preserve">Five paired diameters/strokes, responsive sizes, thickness and cap choices preserve contained geometry.</x:t>
        </x:is>
      </x:c>
      <x:c r="E18" s="149" t="inlineStr">
        <x:is>
          <x:t xml:space="preserve">browser</x:t>
        </x:is>
      </x:c>
      <x:c r="F18" s="149" t="inlineStr">
        <x:is>
          <x:t xml:space="preserve">browser</x:t>
        </x:is>
      </x:c>
      <x:c r="G18" s="150" t="inlineStr">
        <x:is>
          <x:t xml:space="preserve">tests/components/progress-circle/parity.spec.ts; tests/components/progress-circle/behavior.spec.ts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n">
        <x:v>46280</x:v>
      </x:c>
      <x:c r="K18" s="150" t="inlineStr">
        <x:is>
          <x:t xml:space="preserve">Recipe matrix assertions pass.</x:t>
        </x:is>
      </x:c>
      <x:c r="L18" s="149" t="n">
        <x:v>1</x:v>
      </x:c>
      <x:c r="M18" s="149" t="n">
        <x:f>IF(OR(AND(I18="yes",H18="verified"),AND(I18="no",OR(H18="tested",H18="verified")),AND(H18="not applicable",K18&lt;&gt;"")),1,0)</x:f>
        <x:v>1</x:v>
      </x:c>
    </x:row>
    <x:row r="19" s="127" customFormat="1" ht="54" customHeight="1">
      <x:c r="A19" s="149" t="inlineStr">
        <x:is>
          <x:t xml:space="preserve">PC-11</x:t>
        </x:is>
      </x:c>
      <x:c r="B19" s="149" t="inlineStr">
        <x:is>
          <x:t xml:space="preserve">Direction</x:t>
        </x:is>
      </x:c>
      <x:c r="C19" s="149" t="inlineStr">
        <x:is>
          <x:t xml:space="preserve">Circle / Indicator</x:t>
        </x:is>
      </x:c>
      <x:c r="D19" s="150" t="inlineStr">
        <x:is>
          <x:t xml:space="preserve">Circular progress stays clockwise and uses identical geometry in LTR and RTL.</x:t>
        </x:is>
      </x:c>
      <x:c r="E19" s="149" t="inlineStr">
        <x:is>
          <x:t xml:space="preserve">browser</x:t>
        </x:is>
      </x:c>
      <x:c r="F19" s="149" t="inlineStr">
        <x:is>
          <x:t xml:space="preserve">browser</x:t>
        </x:is>
      </x:c>
      <x:c r="G19" s="150" t="inlineStr">
        <x:is>
          <x:t xml:space="preserve">tests/components/progress-circle/behavior.spec.ts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46280</x:v>
      </x:c>
      <x:c r="K19" s="150" t="inlineStr">
        <x:is>
          <x:t xml:space="preserve">Computed transform parity passes.</x:t>
        </x:is>
      </x:c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PC-12</x:t>
        </x:is>
      </x:c>
      <x:c r="B20" s="149" t="inlineStr">
        <x:is>
          <x:t xml:space="preserve">States</x:t>
        </x:is>
      </x:c>
      <x:c r="C20" s="149" t="inlineStr">
        <x:is>
          <x:t xml:space="preserve">Indicator</x:t>
        </x:is>
      </x:c>
      <x:c r="D20" s="150" t="inlineStr">
        <x:is>
          <x:t xml:space="preserve">Indeterminate, loading, and complete arcs remain recognizable and correctly normalized.</x:t>
        </x:is>
      </x:c>
      <x:c r="E20" s="149" t="inlineStr">
        <x:is>
          <x:t xml:space="preserve">browser</x:t>
        </x:is>
      </x:c>
      <x:c r="F20" s="149" t="inlineStr">
        <x:is>
          <x:t xml:space="preserve">visual</x:t>
        </x:is>
      </x:c>
      <x:c r="G20" s="150" t="inlineStr">
        <x:is>
          <x:t xml:space="preserve">tests/components/progress-circle/visual.spec.ts</x:t>
        </x:is>
      </x:c>
      <x:c r="H20" s="149" t="inlineStr">
        <x:is>
          <x:t xml:space="preserve">tested</x:t>
        </x:is>
      </x:c>
      <x:c r="I20" s="149" t="inlineStr">
        <x:is>
          <x:t xml:space="preserve">no</x:t>
        </x:is>
      </x:c>
      <x:c r="J20" s="151" t="n">
        <x:v>46280</x:v>
      </x:c>
      <x:c r="K20" s="150" t="inlineStr">
        <x:is>
          <x:t xml:space="preserve">Automated state baselines pass; owner manual review remains separate.</x:t>
        </x:is>
      </x:c>
      <x:c r="L20" s="149" t="n">
        <x:v>1</x:v>
      </x:c>
      <x:c r="M20" s="149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49" t="inlineStr">
        <x:is>
          <x:t xml:space="preserve">PC-13</x:t>
        </x:is>
      </x:c>
      <x:c r="B21" s="149" t="inlineStr">
        <x:is>
          <x:t xml:space="preserve">Output</x:t>
        </x:is>
      </x:c>
      <x:c r="C21" s="149" t="inlineStr">
        <x:is>
          <x:t xml:space="preserve">Label / Value</x:t>
        </x:is>
      </x:c>
      <x:c r="D21" s="150" t="inlineStr">
        <x:is>
          <x:t xml:space="preserve">Label names the task; percent/raw modes and authored range output support localization.</x:t>
        </x:is>
      </x:c>
      <x:c r="E21" s="149" t="inlineStr">
        <x:is>
          <x:t xml:space="preserve">browser</x:t>
        </x:is>
      </x:c>
      <x:c r="F21" s="149" t="inlineStr">
        <x:is>
          <x:t xml:space="preserve">browser</x:t>
        </x:is>
      </x:c>
      <x:c r="G21" s="150" t="inlineStr">
        <x:is>
          <x:t xml:space="preserve">tests/components/progress-circle/behavior.spec.ts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46280</x:v>
      </x:c>
      <x:c r="K21" s="150" t="inlineStr">
        <x:is>
          <x:t xml:space="preserve">Name relationship and custom 3/5 output assertions pass.</x:t>
        </x:is>
      </x:c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PC-14</x:t>
        </x:is>
      </x:c>
      <x:c r="B22" s="149" t="inlineStr">
        <x:is>
          <x:t xml:space="preserve">Responsive</x:t>
        </x:is>
      </x:c>
      <x:c r="C22" s="149" t="inlineStr">
        <x:is>
          <x:t xml:space="preserve">All parts</x:t>
        </x:is>
      </x:c>
      <x:c r="D22" s="150" t="inlineStr">
        <x:is>
          <x:t xml:space="preserve">Narrow, long-label, zoom, and RTL layouts keep rings square, centered, and unclipped.</x:t>
        </x:is>
      </x:c>
      <x:c r="E22" s="149" t="inlineStr">
        <x:is>
          <x:t xml:space="preserve">browser</x:t>
        </x:is>
      </x:c>
      <x:c r="F22" s="149" t="inlineStr">
        <x:is>
          <x:t xml:space="preserve">visual</x:t>
        </x:is>
      </x:c>
      <x:c r="G22" s="150" t="inlineStr">
        <x:is>
          <x:t xml:space="preserve">tests/components/progress-circle/visual.spec.ts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46280</x:v>
      </x:c>
      <x:c r="K22" s="150" t="inlineStr">
        <x:is>
          <x:t xml:space="preserve">Automated responsive baselines and narrow containment pass.</x:t>
        </x:is>
      </x:c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PC-15</x:t>
        </x:is>
      </x:c>
      <x:c r="B23" s="149" t="inlineStr">
        <x:is>
          <x:t xml:space="preserve">Preferences</x:t>
        </x:is>
      </x:c>
      <x:c r="C23" s="149" t="inlineStr">
        <x:is>
          <x:t xml:space="preserve">Circle / Indicator</x:t>
        </x:is>
      </x:c>
      <x:c r="D23" s="150" t="inlineStr">
        <x:is>
          <x:t xml:space="preserve">Reduced motion leaves a static recognizable arc and forced colors preserve both rings.</x:t>
        </x:is>
      </x:c>
      <x:c r="E23" s="149" t="inlineStr">
        <x:is>
          <x:t xml:space="preserve">browser</x:t>
        </x:is>
      </x:c>
      <x:c r="F23" s="149" t="inlineStr">
        <x:is>
          <x:t xml:space="preserve">visual</x:t>
        </x:is>
      </x:c>
      <x:c r="G23" s="150" t="inlineStr">
        <x:is>
          <x:t xml:space="preserve">tests/components/progress-circle/visual.spec.ts; tests/components/progress-circle/behavior.spec.ts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>
        <x:v>46280</x:v>
      </x:c>
      <x:c r="K23" s="150" t="inlineStr">
        <x:is>
          <x:t xml:space="preserve">Preference-state automation passes.</x:t>
        </x:is>
      </x:c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PC-16</x:t>
        </x:is>
      </x:c>
      <x:c r="B24" s="149" t="inlineStr">
        <x:is>
          <x:t xml:space="preserve">Accessibility</x:t>
        </x:is>
      </x:c>
      <x:c r="C24" s="149" t="inlineStr">
        <x:is>
          <x:t xml:space="preserve">Root / SVG</x:t>
        </x:is>
      </x:c>
      <x:c r="D24" s="150" t="inlineStr">
        <x:is>
          <x:t xml:space="preserve">One named progressbar exposes the correct range/value state, decorative SVG stays silent, and the route passes axe.</x:t>
        </x:is>
      </x:c>
      <x:c r="E24" s="149" t="inlineStr">
        <x:is>
          <x:t xml:space="preserve">browser</x:t>
        </x:is>
      </x:c>
      <x:c r="F24" s="149" t="inlineStr">
        <x:is>
          <x:t xml:space="preserve">axe</x:t>
        </x:is>
      </x:c>
      <x:c r="G24" s="150" t="inlineStr">
        <x:is>
          <x:t xml:space="preserve">tests/components/progress-circle/behavior.spec.ts</x:t>
        </x:is>
      </x:c>
      <x:c r="H24" s="149" t="inlineStr">
        <x:is>
          <x:t xml:space="preserve">tested</x:t>
        </x:is>
      </x:c>
      <x:c r="I24" s="149" t="inlineStr">
        <x:is>
          <x:t xml:space="preserve">no</x:t>
        </x:is>
      </x:c>
      <x:c r="J24" s="151" t="n">
        <x:v>46280</x:v>
      </x:c>
      <x:c r="K24" s="150" t="inlineStr">
        <x:is>
          <x:t xml:space="preserve">Semantic and axe assertions pass.</x:t>
        </x:is>
      </x:c>
      <x:c r="L24" s="149" t="n">
        <x:v>1</x:v>
      </x:c>
      <x:c r="M24" s="149" t="n">
        <x:f>IF(OR(AND(I24="yes",H24="verified"),AND(I24="no",OR(H24="tested",H24="verified")),AND(H24="not applicable",K24&lt;&gt;"")),1,0)</x:f>
        <x:v>1</x:v>
      </x:c>
    </x:row>
    <x:row r="25" s="127" customFormat="1" ht="54" customHeight="1">
      <x:c r="A25" s="149" t="inlineStr">
        <x:is>
          <x:t xml:space="preserve">PC-17</x:t>
        </x:is>
      </x:c>
      <x:c r="B25" s="149" t="inlineStr">
        <x:is>
          <x:t xml:space="preserve">Playground</x:t>
        </x:is>
      </x:c>
      <x:c r="C25" s="149" t="inlineStr">
        <x:is>
          <x:t xml:space="preserve">Progress Circle</x:t>
        </x:is>
      </x:c>
      <x:c r="D25" s="150" t="inlineStr">
        <x:is>
          <x:t xml:space="preserve">Documentation route provides focused Preview/Code examples and part tables; qualification=1 retains nine scenarios.</x:t>
        </x:is>
      </x:c>
      <x:c r="E25" s="149" t="inlineStr">
        <x:is>
          <x:t xml:space="preserve">package</x:t>
        </x:is>
      </x:c>
      <x:c r="F25" s="149" t="inlineStr">
        <x:is>
          <x:t xml:space="preserve">playground</x:t>
        </x:is>
      </x:c>
      <x:c r="G25" s="150" t="inlineStr">
        <x:is>
          <x:t xml:space="preserve">src/components/progress-circle/ProgressCirclePage.tsx</x:t>
        </x:is>
      </x:c>
      <x:c r="H25" s="149" t="inlineStr">
        <x:is>
          <x:t xml:space="preserve">tested</x:t>
        </x:is>
      </x:c>
      <x:c r="I25" s="149" t="inlineStr">
        <x:is>
          <x:t xml:space="preserve">no</x:t>
        </x:is>
      </x:c>
      <x:c r="J25" s="151" t="n">
        <x:v>46280</x:v>
      </x:c>
      <x:c r="K25" s="150" t="inlineStr">
        <x:is>
          <x:t xml:space="preserve">Route registration and playground build pass.</x:t>
        </x:is>
      </x:c>
      <x:c r="L25" s="149" t="n">
        <x:v>1</x:v>
      </x:c>
      <x:c r="M25" s="149" t="n">
        <x:f>IF(OR(AND(I25="yes",H25="verified"),AND(I25="no",OR(H25="tested",H25="verified")),AND(H25="not applicable",K25&lt;&gt;"")),1,0)</x:f>
        <x:v>1</x:v>
      </x:c>
    </x:row>
    <x:row r="26" s="127" customFormat="1" ht="54" customHeight="1">
      <x:c r="A26" s="149" t="inlineStr">
        <x:is>
          <x:t xml:space="preserve">PC-18</x:t>
        </x:is>
      </x:c>
      <x:c r="B26" s="149" t="inlineStr">
        <x:is>
          <x:t xml:space="preserve">Documentation</x:t>
        </x:is>
      </x:c>
      <x:c r="C26" s="149" t="inlineStr">
        <x:is>
          <x:t xml:space="preserve">Progress Circle</x:t>
        </x:is>
      </x:c>
      <x:c r="D26" s="150" t="inlineStr">
        <x:is>
          <x:t xml:space="preserve">The public guide documents anatomy, API, defaults, recipes, geometry, accessibility, CSS, and exclusions.</x:t>
        </x:is>
      </x:c>
      <x:c r="E26" s="149" t="inlineStr">
        <x:is>
          <x:t xml:space="preserve">package</x:t>
        </x:is>
      </x:c>
      <x:c r="F26" s="149" t="inlineStr">
        <x:is>
          <x:t xml:space="preserve">docs</x:t>
        </x:is>
      </x:c>
      <x:c r="G26" s="150" t="inlineStr">
        <x:is>
          <x:t xml:space="preserve">../docs/components/progress-circle/README.md</x:t>
        </x:is>
      </x:c>
      <x:c r="H26" s="149" t="inlineStr">
        <x:is>
          <x:t xml:space="preserve">tested</x:t>
        </x:is>
      </x:c>
      <x:c r="I26" s="149" t="inlineStr">
        <x:is>
          <x:t xml:space="preserve">no</x:t>
        </x:is>
      </x:c>
      <x:c r="J26" s="151" t="n">
        <x:v>46280</x:v>
      </x:c>
      <x:c r="K26" s="150" t="inlineStr">
        <x:is>
          <x:t xml:space="preserve">Documentation verification passes.</x:t>
        </x:is>
      </x:c>
      <x:c r="L26" s="149" t="n">
        <x:v>1</x:v>
      </x:c>
      <x:c r="M26" s="149" t="n">
        <x:f>IF(OR(AND(I26="yes",H26="verified"),AND(I26="no",OR(H26="tested",H26="verified")),AND(H26="not applicable",K26&lt;&gt;"")),1,0)</x:f>
        <x:v>1</x:v>
      </x:c>
    </x:row>
    <x:row r="27" s="127" customFormat="1" ht="54" customHeight="1">
      <x:c r="A27" s="149" t="inlineStr">
        <x:is>
          <x:t xml:space="preserve">PC-19</x:t>
        </x:is>
      </x:c>
      <x:c r="B27" s="149" t="inlineStr">
        <x:is>
          <x:t xml:space="preserve">Changelog</x:t>
        </x:is>
      </x:c>
      <x:c r="C27" s="149" t="inlineStr">
        <x:is>
          <x:t xml:space="preserve">Progress Circle</x:t>
        </x:is>
      </x:c>
      <x:c r="D27" s="150" t="inlineStr">
        <x:is>
          <x:t xml:space="preserve">Component and package changelogs record the complete consumer-visible addition.</x:t>
        </x:is>
      </x:c>
      <x:c r="E27" s="149" t="inlineStr">
        <x:is>
          <x:t xml:space="preserve">package</x:t>
        </x:is>
      </x:c>
      <x:c r="F27" s="149" t="inlineStr">
        <x:is>
          <x:t xml:space="preserve">docs</x:t>
        </x:is>
      </x:c>
      <x:c r="G27" s="150" t="inlineStr">
        <x:is>
          <x:t xml:space="preserve">../docs/components/progress-circle/CHANGELOG.md; ../CHANGELOG.md</x:t>
        </x:is>
      </x:c>
      <x:c r="H27" s="149" t="inlineStr">
        <x:is>
          <x:t xml:space="preserve">tested</x:t>
        </x:is>
      </x:c>
      <x:c r="I27" s="149" t="inlineStr">
        <x:is>
          <x:t xml:space="preserve">no</x:t>
        </x:is>
      </x:c>
      <x:c r="J27" s="151" t="n">
        <x:v>46280</x:v>
      </x:c>
      <x:c r="K27" s="150" t="inlineStr">
        <x:is>
          <x:t xml:space="preserve">Changelog ownership checks pass.</x:t>
        </x:is>
      </x:c>
      <x:c r="L27" s="149" t="n">
        <x:v>1</x:v>
      </x:c>
      <x:c r="M27" s="149" t="n">
        <x:f>IF(OR(AND(I27="yes",H27="verified"),AND(I27="no",OR(H27="tested",H27="verified")),AND(H27="not applicable",K27&lt;&gt;"")),1,0)</x:f>
        <x:v>1</x:v>
      </x:c>
    </x:row>
    <x:row r="28" s="127" customFormat="1" ht="54" customHeight="1">
      <x:c r="A28" s="149" t="inlineStr">
        <x:is>
          <x:t xml:space="preserve">PC-20</x:t>
        </x:is>
      </x:c>
      <x:c r="B28" s="149" t="inlineStr">
        <x:is>
          <x:t xml:space="preserve">Consumer</x:t>
        </x:is>
      </x:c>
      <x:c r="C28" s="149" t="inlineStr">
        <x:is>
          <x:t xml:space="preserve">Progress Circle</x:t>
        </x:is>
      </x:c>
      <x:c r="D28" s="150" t="inlineStr">
        <x:is>
          <x:t xml:space="preserve">Packed React 18/19 consumers verify public exports and shared controller SSR composition.</x:t>
        </x:is>
      </x:c>
      <x:c r="E28" s="149" t="inlineStr">
        <x:is>
          <x:t xml:space="preserve">consumer</x:t>
        </x:is>
      </x:c>
      <x:c r="F28" s="149" t="inlineStr">
        <x:is>
          <x:t xml:space="preserve">consumer</x:t>
        </x:is>
      </x:c>
      <x:c r="G28" s="150" t="inlineStr">
        <x:is>
          <x:t xml:space="preserve">../scripts/verify-consumers.mjs</x:t>
        </x:is>
      </x:c>
      <x:c r="H28" s="149" t="inlineStr">
        <x:is>
          <x:t xml:space="preserve">tested</x:t>
        </x:is>
      </x:c>
      <x:c r="I28" s="149" t="inlineStr">
        <x:is>
          <x:t xml:space="preserve">no</x:t>
        </x:is>
      </x:c>
      <x:c r="J28" s="151" t="n">
        <x:v>46280</x:v>
      </x:c>
      <x:c r="K28" s="150" t="inlineStr">
        <x:is>
          <x:t xml:space="preserve">Packed Consumer verification passes.</x:t>
        </x:is>
      </x:c>
      <x:c r="L28" s="149" t="n">
        <x:v>1</x:v>
      </x:c>
      <x:c r="M28" s="149" t="n">
        <x:f>IF(OR(AND(I28="yes",H28="verified"),AND(I28="no",OR(H28="tested",H28="verified")),AND(H28="not applicable",K28&lt;&gt;"")),1,0)</x:f>
        <x:v>1</x:v>
      </x:c>
    </x:row>
    <x:row r="29" s="127" customFormat="1" ht="54" customHeight="1">
      <x:c r="A29" s="149" t="inlineStr">
        <x:is>
          <x:t xml:space="preserve">PC-21</x:t>
        </x:is>
      </x:c>
      <x:c r="B29" s="149" t="inlineStr">
        <x:is>
          <x:t xml:space="preserve">Manual</x:t>
        </x:is>
      </x:c>
      <x:c r="C29" s="149" t="inlineStr">
        <x:is>
          <x:t xml:space="preserve">Progress Circle</x:t>
        </x:is>
      </x:c>
      <x:c r="D29" s="150" t="inlineStr">
        <x:is>
          <x:t xml:space="preserve">Owner executes the visual, responsive, direction, preference, and assistive-technology protocol.</x:t>
        </x:is>
      </x:c>
      <x:c r="E29" s="149" t="inlineStr">
        <x:is>
          <x:t xml:space="preserve">human</x:t>
        </x:is>
      </x:c>
      <x:c r="F29" s="149" t="inlineStr">
        <x:is>
          <x:t xml:space="preserve">manual</x:t>
        </x:is>
      </x:c>
      <x:c r="G29" s="150" t="inlineStr">
        <x:is>
          <x:t xml:space="preserve">manual-tests/progress-circle.md</x:t>
        </x:is>
      </x:c>
      <x:c r="H29" s="149" t="inlineStr">
        <x:is>
          <x:t xml:space="preserve">not started</x:t>
        </x:is>
      </x:c>
      <x:c r="I29" s="149" t="inlineStr">
        <x:is>
          <x:t xml:space="preserve">yes</x:t>
        </x:is>
      </x:c>
      <x:c r="J29" s="151" t="n">
        <x:v>46230</x:v>
      </x:c>
      <x:c r="K29" s="150" t="inlineStr">
        <x:is>
          <x:t xml:space="preserve">Human run intentionally unclaimed.</x:t>
        </x:is>
      </x:c>
      <x:c r="L29" s="149" t="n">
        <x:v>1</x:v>
      </x:c>
      <x:c r="M29" s="149" t="n">
        <x:f>IF(OR(AND(I29="yes",H29="verified"),AND(I29="no",OR(H29="tested",H29="verified")),AND(H29="not applicable",K29&lt;&gt;"")),1,0)</x:f>
        <x:v>0</x:v>
      </x:c>
    </x:row>
    <x:row r="30" s="127" customFormat="1" ht="54" customHeight="1">
      <x:c r="A30" s="149" t="inlineStr">
        <x:is>
          <x:t xml:space="preserve">PC-22</x:t>
        </x:is>
      </x:c>
      <x:c r="B30" s="149" t="inlineStr">
        <x:is>
          <x:t xml:space="preserve">Package</x:t>
        </x:is>
      </x:c>
      <x:c r="C30" s="149" t="inlineStr">
        <x:is>
          <x:t xml:space="preserve">Progress Circle</x:t>
        </x:is>
      </x:c>
      <x:c r="D30" s="150" t="inlineStr">
        <x:is>
          <x:t xml:space="preserve">Build, declarations, exports, SSR, CSS, docs, tarball, consumers, browser matrix, and CI pass.</x:t>
        </x:is>
      </x:c>
      <x:c r="E30" s="149" t="inlineStr">
        <x:is>
          <x:t xml:space="preserve">package</x:t>
        </x:is>
      </x:c>
      <x:c r="F30" s="149" t="inlineStr">
        <x:is>
          <x:t xml:space="preserve">package</x:t>
        </x:is>
      </x:c>
      <x:c r="G30" s="150" t="inlineStr">
        <x:is>
          <x:t xml:space="preserve">../scripts/verify-package.mjs</x:t>
        </x:is>
      </x:c>
      <x:c r="H30" s="149" t="inlineStr">
        <x:is>
          <x:t xml:space="preserve">blocked</x:t>
        </x:is>
      </x:c>
      <x:c r="I30" s="149" t="inlineStr">
        <x:is>
          <x:t xml:space="preserve">no</x:t>
        </x:is>
      </x:c>
      <x:c r="J30" s="151" t="n">
        <x:v>46280</x:v>
      </x:c>
      <x:c r="K30" s="150" t="inlineStr">
        <x:is>
          <x:t xml:space="preserve">Owner checks pass; broader repository Avatar/Pagination/catalog failures prevent a clean repository qualification. Manual review remains open.</x:t>
        </x:is>
      </x:c>
      <x:c r="L30" s="149" t="n">
        <x:v>1</x:v>
      </x:c>
      <x:c r="M30" s="149" t="n">
        <x:f>IF(OR(AND(I30="yes",H30="verified"),AND(I30="no",OR(H30="tested",H30="verified")),AND(H30="not applicable",K30&lt;&gt;"")),1,0)</x:f>
        <x:v>0</x:v>
      </x:c>
    </x:row>
  </x:sheetData>
  <x:mergeCells>
    <x:mergeCell ref="A2:M2"/>
    <x:mergeCell ref="A1:M1"/>
  </x:mergeCells>
  <x:conditionalFormatting sqref="H9:H30">
    <x:cfRule type="expression" dxfId="15" priority="2" aboveAverage="0" percent="0" bottom="0" rank="0" equalAverage="0">
      <x:formula>H9="verified"</x:formula>
    </x:cfRule>
  </x:conditionalFormatting>
  <x:dataValidations count="2">
    <x:dataValidation type="list" errorStyle="stop" operator="between" allowBlank="0" showDropDown="0" showInputMessage="0" showErrorMessage="0" sqref="H9:H30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30">
      <x:formula1>"yes,no"</x:formula1>
      <x:formula2>0</x:formula2>
    </x:dataValidation>
  </x:dataValidations>
  <x:pageMargins left="0.7" right="0.7" top="0.75" bottom="0.75" header="0.3" footer="0.3"/>
</x:worksheet>
</file>

<file path=xl/worksheets/sheet80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Carousel Evidence</x:t>
        </x:is>
      </x:c>
    </x:row>
    <x:row r="2" s="127" customFormat="1" ht="27.75" customHeight="1">
      <x:c r="A2" s="129" t="inlineStr">
        <x:is>
          <x:t xml:space="preserve">Atom-backed selection and rotation, optional finished controls, picker dots, visual recipes, responsive containment, package, documentation, Consumer, and accessibility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COUNTA(A9:A33)</x:f>
        <x:v>25</x:v>
      </x:c>
      <x:c r="D4" s="130" t="inlineStr">
        <x:is>
          <x:t xml:space="preserve">Resolved</x:t>
        </x:is>
      </x:c>
      <x:c r="E4" s="131" t="n">
        <x:f>SUM(M9:M33)</x:f>
        <x:v>16</x:v>
      </x:c>
      <x:c r="G4" s="130" t="inlineStr">
        <x:is>
          <x:t xml:space="preserve">Completion</x:t>
        </x:is>
      </x:c>
      <x:c r="H4" s="132" t="n">
        <x:f>IF(B4=0,0,E4/B4)</x:f>
        <x:v>0.64</x:v>
      </x:c>
      <x:c r="J4" s="130" t="inlineStr">
        <x:is>
          <x:t xml:space="preserve">Package gate</x:t>
        </x:is>
      </x:c>
      <x:c r="K4" s="131" t="str">
        <x:f>IF(COUNTIFS(E9:E33,"package",M9:M33,0)&gt;0,"open","complete")</x:f>
        <x:v>complete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IF(COUNTIFS(I9:I33,"yes",M9:M33,0)&gt;0,"open","complete")</x:f>
        <x:v>open</x:v>
      </x:c>
      <x:c r="D5" s="130" t="inlineStr">
        <x:is>
          <x:t xml:space="preserve">Consumer gate</x:t>
        </x:is>
      </x:c>
      <x:c r="E5" s="131" t="str">
        <x:f>IF(COUNTIFS(E9:E33,"consumer",M9:M33,0)&gt;0,"open","complete")</x:f>
        <x:v>open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CA-01</x:t>
        </x:is>
      </x:c>
      <x:c r="B9" s="149" t="inlineStr">
        <x:is>
          <x:t xml:space="preserve">Ownership</x:t>
        </x:is>
      </x:c>
      <x:c r="C9" s="149" t="inlineStr">
        <x:is>
          <x:t xml:space="preserve">All parts</x:t>
        </x:is>
      </x:c>
      <x:c r="D9" s="150" t="inlineStr">
        <x:is>
          <x:t xml:space="preserve">Brick styles published Atom 0.22.2 Carousel behavior without recreating selection, scroll settlement, rotation, or semantics.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../src/components/carousel/Carousel.tsx; ../package.json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46241</x:v>
      </x:c>
      <x:c r="K9" s="150" t="n"/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CA-02</x:t>
        </x:is>
      </x:c>
      <x:c r="B10" s="149" t="inlineStr">
        <x:is>
          <x:t xml:space="preserve">API</x:t>
        </x:is>
      </x:c>
      <x:c r="C10" s="149" t="inlineStr">
        <x:is>
          <x:t xml:space="preserve">All parts</x:t>
        </x:is>
      </x:c>
      <x:c r="D10" s="150" t="inlineStr">
        <x:is>
          <x:t xml:space="preserve">Eleven-part namespace and named exports expose behavioral and Brick-only structural parts.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../test/components/carousel/carousel.test.tsx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46241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CA-03</x:t>
        </x:is>
      </x:c>
      <x:c r="B11" s="149" t="inlineStr">
        <x:is>
          <x:t xml:space="preserve">Anatomy</x:t>
        </x:is>
      </x:c>
      <x:c r="C11" s="149" t="inlineStr">
        <x:is>
          <x:t xml:space="preserve">All parts</x:t>
        </x:is>
      </x:c>
      <x:c r="D11" s="150" t="inlineStr">
        <x:is>
          <x:t xml:space="preserve">Root, Viewport, Track, Slide, native controls, picker, and structural wrappers preserve exact refs and hooks.</x:t>
        </x:is>
      </x:c>
      <x:c r="E11" s="149" t="inlineStr">
        <x:is>
          <x:t xml:space="preserve">package</x:t>
        </x:is>
      </x:c>
      <x:c r="F11" s="149" t="inlineStr">
        <x:is>
          <x:t xml:space="preserve">component</x:t>
        </x:is>
      </x:c>
      <x:c r="G11" s="150" t="inlineStr">
        <x:is>
          <x:t xml:space="preserve">../test/components/carousel/carousel.test.tsx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46241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CA-04</x:t>
        </x:is>
      </x:c>
      <x:c r="B12" s="149" t="inlineStr">
        <x:is>
          <x:t xml:space="preserve">Types</x:t>
        </x:is>
      </x:c>
      <x:c r="C12" s="149" t="inlineStr">
        <x:is>
          <x:t xml:space="preserve">Public surface</x:t>
        </x:is>
      </x:c>
      <x:c r="D12" s="150" t="inlineStr">
        <x:is>
          <x:t xml:space="preserve">Closed sizes and placements plus Atom state, rotation, native composition, and ref props type-check.</x:t>
        </x:is>
      </x:c>
      <x:c r="E12" s="149" t="inlineStr">
        <x:is>
          <x:t xml:space="preserve">package</x:t>
        </x:is>
      </x:c>
      <x:c r="F12" s="149" t="inlineStr">
        <x:is>
          <x:t xml:space="preserve">types</x:t>
        </x:is>
      </x:c>
      <x:c r="G12" s="150" t="inlineStr">
        <x:is>
          <x:t xml:space="preserve">../test/types/components/carousel.test.ts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46241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CA-05</x:t>
        </x:is>
      </x:c>
      <x:c r="B13" s="149" t="inlineStr">
        <x:is>
          <x:t xml:space="preserve">Exports</x:t>
        </x:is>
      </x:c>
      <x:c r="C13" s="149" t="inlineStr">
        <x:is>
          <x:t xml:space="preserve">All parts</x:t>
        </x:is>
      </x:c>
      <x:c r="D13" s="150" t="inlineStr">
        <x:is>
          <x:t xml:space="preserve">Root and carousel subpath exports preserve namespace and named runtime identity.</x:t>
        </x:is>
      </x:c>
      <x:c r="E13" s="149" t="inlineStr">
        <x:is>
          <x:t xml:space="preserve">package</x:t>
        </x:is>
      </x:c>
      <x:c r="F13" s="149" t="inlineStr">
        <x:is>
          <x:t xml:space="preserve">package</x:t>
        </x:is>
      </x:c>
      <x:c r="G13" s="150" t="inlineStr">
        <x:is>
          <x:t xml:space="preserve">../test/package/package.test.mjs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46241</x:v>
      </x:c>
      <x:c r="K13" s="150" t="n"/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CA-06</x:t>
        </x:is>
      </x:c>
      <x:c r="B14" s="149" t="inlineStr">
        <x:is>
          <x:t xml:space="preserve">Styles</x:t>
        </x:is>
      </x:c>
      <x:c r="C14" s="149" t="inlineStr">
        <x:is>
          <x:t xml:space="preserve">Delivery</x:t>
        </x:is>
      </x:c>
      <x:c r="D14" s="150" t="inlineStr">
        <x:is>
          <x:t xml:space="preserve">Complete and modular CSS include Carousel and Icon recipes without duplicating foundations.</x:t>
        </x:is>
      </x:c>
      <x:c r="E14" s="149" t="inlineStr">
        <x:is>
          <x:t xml:space="preserve">package</x:t>
        </x:is>
      </x:c>
      <x:c r="F14" s="149" t="inlineStr">
        <x:is>
          <x:t xml:space="preserve">package</x:t>
        </x:is>
      </x:c>
      <x:c r="G14" s="150" t="inlineStr">
        <x:is>
          <x:t xml:space="preserve">../test/package/package.test.mjs; ../scripts/css-entrypoints.mjs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46241</x:v>
      </x:c>
      <x:c r="K14" s="150" t="n"/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CA-07</x:t>
        </x:is>
      </x:c>
      <x:c r="B15" s="149" t="inlineStr">
        <x:is>
          <x:t xml:space="preserve">Defaults</x:t>
        </x:is>
      </x:c>
      <x:c r="C15" s="149" t="inlineStr">
        <x:is>
          <x:t xml:space="preserve">Root</x:t>
        </x:is>
      </x:c>
      <x:c r="D15" s="150" t="inlineStr">
        <x:is>
          <x:t xml:space="preserve">Medium size and overlay placement are stable defaults.</x:t>
        </x:is>
      </x:c>
      <x:c r="E15" s="149" t="inlineStr">
        <x:is>
          <x:t xml:space="preserve">package</x:t>
        </x:is>
      </x:c>
      <x:c r="F15" s="149" t="inlineStr">
        <x:is>
          <x:t xml:space="preserve">component</x:t>
        </x:is>
      </x:c>
      <x:c r="G15" s="150" t="inlineStr">
        <x:is>
          <x:t xml:space="preserve">../test/components/carousel/carousel.test.tsx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46241</x:v>
      </x:c>
      <x:c r="K15" s="150" t="n"/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CA-08</x:t>
        </x:is>
      </x:c>
      <x:c r="B16" s="149" t="inlineStr">
        <x:is>
          <x:t xml:space="preserve">Controls</x:t>
        </x:is>
      </x:c>
      <x:c r="C16" s="149" t="inlineStr">
        <x:is>
          <x:t xml:space="preserve">Optional</x:t>
        </x:is>
      </x:c>
      <x:c r="D16" s="150" t="inlineStr">
        <x:is>
          <x:t xml:space="preserve">A manual Carousel may omit every visible control or author picker-only navigation.</x:t>
        </x:is>
      </x:c>
      <x:c r="E16" s="149" t="inlineStr">
        <x:is>
          <x:t xml:space="preserve">package</x:t>
        </x:is>
      </x:c>
      <x:c r="F16" s="149" t="inlineStr">
        <x:is>
          <x:t xml:space="preserve">browser</x:t>
        </x:is>
      </x:c>
      <x:c r="G16" s="150" t="inlineStr">
        <x:is>
          <x:t xml:space="preserve">tests/components/carousel/behavior.spec.ts</x:t>
        </x:is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n">
        <x:v>46241</x:v>
      </x:c>
      <x:c r="K16" s="150" t="n"/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CA-09</x:t>
        </x:is>
      </x:c>
      <x:c r="B17" s="149" t="inlineStr">
        <x:is>
          <x:t xml:space="preserve">Autoplay</x:t>
        </x:is>
      </x:c>
      <x:c r="C17" s="149" t="inlineStr">
        <x:is>
          <x:t xml:space="preserve">RotationControl</x:t>
        </x:is>
      </x:c>
      <x:c r="D17" s="150" t="inlineStr">
        <x:is>
          <x:t xml:space="preserve">Automatic rotation exposes stop/start, Previous, and Next and survives the focus-click ordering contract.</x:t>
        </x:is>
      </x:c>
      <x:c r="E17" s="149" t="inlineStr">
        <x:is>
          <x:t xml:space="preserve">package</x:t>
        </x:is>
      </x:c>
      <x:c r="F17" s="149" t="inlineStr">
        <x:is>
          <x:t xml:space="preserve">browser</x:t>
        </x:is>
      </x:c>
      <x:c r="G17" s="150" t="inlineStr">
        <x:is>
          <x:t xml:space="preserve">tests/components/carousel/behavior.spec.ts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n">
        <x:v>46241</x:v>
      </x:c>
      <x:c r="K17" s="150" t="n"/>
      <x:c r="L17" s="149" t="n">
        <x:v>1</x:v>
      </x:c>
      <x:c r="M17" s="149" t="n">
        <x:f>IF(OR(AND(I17="yes",H17="verified"),AND(I17="no",OR(H17="tested",H17="verified")),AND(H17="not applicable",K17&lt;&gt;"")),1,0)</x:f>
        <x:v>1</x:v>
      </x:c>
    </x:row>
    <x:row r="18" s="127" customFormat="1" ht="54" customHeight="1">
      <x:c r="A18" s="149" t="inlineStr">
        <x:is>
          <x:t xml:space="preserve">CA-10</x:t>
        </x:is>
      </x:c>
      <x:c r="B18" s="149" t="inlineStr">
        <x:is>
          <x:t xml:space="preserve">Selection</x:t>
        </x:is>
      </x:c>
      <x:c r="C18" s="149" t="inlineStr">
        <x:is>
          <x:t xml:space="preserve">Picker</x:t>
        </x:is>
      </x:c>
      <x:c r="D18" s="150" t="inlineStr">
        <x:is>
          <x:t xml:space="preserve">Named picker dots select peer slides and expose active state without Tabs semantics.</x:t>
        </x:is>
      </x:c>
      <x:c r="E18" s="149" t="inlineStr">
        <x:is>
          <x:t xml:space="preserve">package</x:t>
        </x:is>
      </x:c>
      <x:c r="F18" s="149" t="inlineStr">
        <x:is>
          <x:t xml:space="preserve">browser</x:t>
        </x:is>
      </x:c>
      <x:c r="G18" s="150" t="inlineStr">
        <x:is>
          <x:t xml:space="preserve">tests/components/carousel/behavior.spec.ts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n">
        <x:v>46241</x:v>
      </x:c>
      <x:c r="K18" s="150" t="n"/>
      <x:c r="L18" s="149" t="n">
        <x:v>1</x:v>
      </x:c>
      <x:c r="M18" s="149" t="n">
        <x:f>IF(OR(AND(I18="yes",H18="verified"),AND(I18="no",OR(H18="tested",H18="verified")),AND(H18="not applicable",K18&lt;&gt;"")),1,0)</x:f>
        <x:v>1</x:v>
      </x:c>
    </x:row>
    <x:row r="19" s="127" customFormat="1" ht="54" customHeight="1">
      <x:c r="A19" s="149" t="inlineStr">
        <x:is>
          <x:t xml:space="preserve">CA-11</x:t>
        </x:is>
      </x:c>
      <x:c r="B19" s="149" t="inlineStr">
        <x:is>
          <x:t xml:space="preserve">Navigation</x:t>
        </x:is>
      </x:c>
      <x:c r="C19" s="149" t="inlineStr">
        <x:is>
          <x:t xml:space="preserve">Previous / Next</x:t>
        </x:is>
      </x:c>
      <x:c r="D19" s="150" t="inlineStr">
        <x:is>
          <x:t xml:space="preserve">Logical controls select adjacent slides and preserve Atom boundary and loop rules.</x:t>
        </x:is>
      </x:c>
      <x:c r="E19" s="149" t="inlineStr">
        <x:is>
          <x:t xml:space="preserve">package</x:t>
        </x:is>
      </x:c>
      <x:c r="F19" s="149" t="inlineStr">
        <x:is>
          <x:t xml:space="preserve">browser</x:t>
        </x:is>
      </x:c>
      <x:c r="G19" s="150" t="inlineStr">
        <x:is>
          <x:t xml:space="preserve">tests/components/carousel/behavior.spec.ts</x:t>
        </x:is>
      </x:c>
      <x:c r="H19" s="149" t="inlineStr">
        <x:is>
          <x:t xml:space="preserve">tested</x:t>
        </x:is>
      </x:c>
      <x:c r="I19" s="149" t="inlineStr">
        <x:is>
          <x:t xml:space="preserve">no</x:t>
        </x:is>
      </x:c>
      <x:c r="J19" s="151" t="n">
        <x:v>46241</x:v>
      </x:c>
      <x:c r="K19" s="150" t="n"/>
      <x:c r="L19" s="149" t="n">
        <x:v>1</x:v>
      </x:c>
      <x:c r="M19" s="149" t="n">
        <x:f>IF(OR(AND(I19="yes",H19="verified"),AND(I19="no",OR(H19="tested",H19="verified")),AND(H19="not applicable",K19&lt;&gt;"")),1,0)</x:f>
        <x:v>1</x:v>
      </x:c>
    </x:row>
    <x:row r="20" s="127" customFormat="1" ht="54" customHeight="1">
      <x:c r="A20" s="149" t="inlineStr">
        <x:is>
          <x:t xml:space="preserve">CA-12</x:t>
        </x:is>
      </x:c>
      <x:c r="B20" s="149" t="inlineStr">
        <x:is>
          <x:t xml:space="preserve">Media</x:t>
        </x:is>
      </x:c>
      <x:c r="C20" s="149" t="inlineStr">
        <x:is>
          <x:t xml:space="preserve">Viewport / Track</x:t>
        </x:is>
      </x:c>
      <x:c r="D20" s="150" t="inlineStr">
        <x:is>
          <x:t xml:space="preserve">Native horizontal scrolling, one-slide snap geometry, and hidden scrollbars preserve touch interaction.</x:t>
        </x:is>
      </x:c>
      <x:c r="E20" s="149" t="inlineStr">
        <x:is>
          <x:t xml:space="preserve">package</x:t>
        </x:is>
      </x:c>
      <x:c r="F20" s="149" t="inlineStr">
        <x:is>
          <x:t xml:space="preserve">browser</x:t>
        </x:is>
      </x:c>
      <x:c r="G20" s="150" t="inlineStr">
        <x:is>
          <x:t xml:space="preserve">tests/components/carousel/behavior.spec.ts</x:t>
        </x:is>
      </x:c>
      <x:c r="H20" s="149" t="inlineStr">
        <x:is>
          <x:t xml:space="preserve">tested</x:t>
        </x:is>
      </x:c>
      <x:c r="I20" s="149" t="inlineStr">
        <x:is>
          <x:t xml:space="preserve">no</x:t>
        </x:is>
      </x:c>
      <x:c r="J20" s="151" t="n">
        <x:v>46241</x:v>
      </x:c>
      <x:c r="K20" s="150" t="n"/>
      <x:c r="L20" s="149" t="n">
        <x:v>1</x:v>
      </x:c>
      <x:c r="M20" s="149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49" t="inlineStr">
        <x:is>
          <x:t xml:space="preserve">CA-13</x:t>
        </x:is>
      </x:c>
      <x:c r="B21" s="149" t="inlineStr">
        <x:is>
          <x:t xml:space="preserve">Accessibility</x:t>
        </x:is>
      </x:c>
      <x:c r="C21" s="149" t="inlineStr">
        <x:is>
          <x:t xml:space="preserve">Slides</x:t>
        </x:is>
      </x:c>
      <x:c r="D21" s="150" t="inlineStr">
        <x:is>
          <x:t xml:space="preserve">Inactive slides remain inert and assistive-hidden while the active labelled group remains available.</x:t>
        </x:is>
      </x:c>
      <x:c r="E21" s="149" t="inlineStr">
        <x:is>
          <x:t xml:space="preserve">package</x:t>
        </x:is>
      </x:c>
      <x:c r="F21" s="149" t="inlineStr">
        <x:is>
          <x:t xml:space="preserve">component</x:t>
        </x:is>
      </x:c>
      <x:c r="G21" s="150" t="inlineStr">
        <x:is>
          <x:t xml:space="preserve">../test/components/carousel/carousel.test.tsx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46241</x:v>
      </x:c>
      <x:c r="K21" s="150" t="n"/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CA-14</x:t>
        </x:is>
      </x:c>
      <x:c r="B22" s="149" t="inlineStr">
        <x:is>
          <x:t xml:space="preserve">Accessibility</x:t>
        </x:is>
      </x:c>
      <x:c r="C22" s="149" t="inlineStr">
        <x:is>
          <x:t xml:space="preserve">Controls</x:t>
        </x:is>
      </x:c>
      <x:c r="D22" s="150" t="inlineStr">
        <x:is>
          <x:t xml:space="preserve">Controls keep native names, roles, disabled state, focus rings, and 32px visual dot hit areas.</x:t>
        </x:is>
      </x:c>
      <x:c r="E22" s="149" t="inlineStr">
        <x:is>
          <x:t xml:space="preserve">package</x:t>
        </x:is>
      </x:c>
      <x:c r="F22" s="149" t="inlineStr">
        <x:is>
          <x:t xml:space="preserve">browser</x:t>
        </x:is>
      </x:c>
      <x:c r="G22" s="150" t="inlineStr">
        <x:is>
          <x:t xml:space="preserve">tests/components/carousel/behavior.spec.ts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46241</x:v>
      </x:c>
      <x:c r="K22" s="150" t="n"/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CA-15</x:t>
        </x:is>
      </x:c>
      <x:c r="B23" s="149" t="inlineStr">
        <x:is>
          <x:t xml:space="preserve">Accessibility</x:t>
        </x:is>
      </x:c>
      <x:c r="C23" s="149" t="inlineStr">
        <x:is>
          <x:t xml:space="preserve">Automated</x:t>
        </x:is>
      </x:c>
      <x:c r="D23" s="150" t="inlineStr">
        <x:is>
          <x:t xml:space="preserve">Representative rotation composition passes axe at a mobile viewport.</x:t>
        </x:is>
      </x:c>
      <x:c r="E23" s="149" t="inlineStr">
        <x:is>
          <x:t xml:space="preserve">package</x:t>
        </x:is>
      </x:c>
      <x:c r="F23" s="149" t="inlineStr">
        <x:is>
          <x:t xml:space="preserve">browser</x:t>
        </x:is>
      </x:c>
      <x:c r="G23" s="150" t="inlineStr">
        <x:is>
          <x:t xml:space="preserve">tests/components/carousel/behavior.spec.ts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>
        <x:v>46241</x:v>
      </x:c>
      <x:c r="K23" s="150" t="n"/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CA-16</x:t>
        </x:is>
      </x:c>
      <x:c r="B24" s="149" t="inlineStr">
        <x:is>
          <x:t xml:space="preserve">Recipes</x:t>
        </x:is>
      </x:c>
      <x:c r="C24" s="149" t="inlineStr">
        <x:is>
          <x:t xml:space="preserve">Root</x:t>
        </x:is>
      </x:c>
      <x:c r="D24" s="150" t="inlineStr">
        <x:is>
          <x:t xml:space="preserve">Small, medium, and large control geometry remains coordinated.</x:t>
        </x:is>
      </x:c>
      <x:c r="E24" s="149" t="inlineStr">
        <x:is>
          <x:t xml:space="preserve">playground</x:t>
        </x:is>
      </x:c>
      <x:c r="F24" s="149" t="inlineStr">
        <x:is>
          <x:t xml:space="preserve">visual</x:t>
        </x:is>
      </x:c>
      <x:c r="G24" s="150" t="inlineStr">
        <x:is>
          <x:t xml:space="preserve">tests/components/carousel/visual.spec.ts</x:t>
        </x:is>
      </x:c>
      <x:c r="H24" s="149" t="inlineStr">
        <x:is>
          <x:t xml:space="preserve">implemented</x:t>
        </x:is>
      </x:c>
      <x:c r="I24" s="149" t="inlineStr">
        <x:is>
          <x:t xml:space="preserve">yes</x:t>
        </x:is>
      </x:c>
      <x:c r="J24" s="151" t="n"/>
      <x:c r="K24" s="150" t="n"/>
      <x:c r="L24" s="149" t="n">
        <x:v>0</x:v>
      </x:c>
      <x:c r="M24" s="149" t="n">
        <x:f>IF(OR(AND(I24="yes",H24="verified"),AND(I24="no",OR(H24="tested",H24="verified")),AND(H24="not applicable",K24&lt;&gt;"")),1,0)</x:f>
        <x:v>0</x:v>
      </x:c>
    </x:row>
    <x:row r="25" s="127" customFormat="1" ht="54" customHeight="1">
      <x:c r="A25" s="149" t="inlineStr">
        <x:is>
          <x:t xml:space="preserve">CA-17</x:t>
        </x:is>
      </x:c>
      <x:c r="B25" s="149" t="inlineStr">
        <x:is>
          <x:t xml:space="preserve">Placement</x:t>
        </x:is>
      </x:c>
      <x:c r="C25" s="149" t="inlineStr">
        <x:is>
          <x:t xml:space="preserve">Root</x:t>
        </x:is>
      </x:c>
      <x:c r="D25" s="150" t="inlineStr">
        <x:is>
          <x:t xml:space="preserve">Overlay and outside control placements remain visually coherent without behavior changes.</x:t>
        </x:is>
      </x:c>
      <x:c r="E25" s="149" t="inlineStr">
        <x:is>
          <x:t xml:space="preserve">playground</x:t>
        </x:is>
      </x:c>
      <x:c r="F25" s="149" t="inlineStr">
        <x:is>
          <x:t xml:space="preserve">visual</x:t>
        </x:is>
      </x:c>
      <x:c r="G25" s="150" t="inlineStr">
        <x:is>
          <x:t xml:space="preserve">tests/components/carousel/visual.spec.ts</x:t>
        </x:is>
      </x:c>
      <x:c r="H25" s="149" t="inlineStr">
        <x:is>
          <x:t xml:space="preserve">implemented</x:t>
        </x:is>
      </x:c>
      <x:c r="I25" s="149" t="inlineStr">
        <x:is>
          <x:t xml:space="preserve">yes</x:t>
        </x:is>
      </x:c>
      <x:c r="J25" s="151" t="n"/>
      <x:c r="K25" s="150" t="n"/>
      <x:c r="L25" s="149" t="n">
        <x:v>0</x:v>
      </x:c>
      <x:c r="M25" s="149" t="n">
        <x:f>IF(OR(AND(I25="yes",H25="verified"),AND(I25="no",OR(H25="tested",H25="verified")),AND(H25="not applicable",K25&lt;&gt;"")),1,0)</x:f>
        <x:v>0</x:v>
      </x:c>
    </x:row>
    <x:row r="26" s="127" customFormat="1" ht="54" customHeight="1">
      <x:c r="A26" s="149" t="inlineStr">
        <x:is>
          <x:t xml:space="preserve">CA-18</x:t>
        </x:is>
      </x:c>
      <x:c r="B26" s="149" t="inlineStr">
        <x:is>
          <x:t xml:space="preserve">Appearance</x:t>
        </x:is>
      </x:c>
      <x:c r="C26" s="149" t="inlineStr">
        <x:is>
          <x:t xml:space="preserve">All parts</x:t>
        </x:is>
      </x:c>
      <x:c r="D26" s="150" t="inlineStr">
        <x:is>
          <x:t xml:space="preserve">Semantic control and picker paint remains legible in adjacent light and dark scopes.</x:t>
        </x:is>
      </x:c>
      <x:c r="E26" s="149" t="inlineStr">
        <x:is>
          <x:t xml:space="preserve">playground</x:t>
        </x:is>
      </x:c>
      <x:c r="F26" s="149" t="inlineStr">
        <x:is>
          <x:t xml:space="preserve">visual</x:t>
        </x:is>
      </x:c>
      <x:c r="G26" s="150" t="inlineStr">
        <x:is>
          <x:t xml:space="preserve">tests/components/carousel/visual.spec.ts</x:t>
        </x:is>
      </x:c>
      <x:c r="H26" s="149" t="inlineStr">
        <x:is>
          <x:t xml:space="preserve">implemented</x:t>
        </x:is>
      </x:c>
      <x:c r="I26" s="149" t="inlineStr">
        <x:is>
          <x:t xml:space="preserve">yes</x:t>
        </x:is>
      </x:c>
      <x:c r="J26" s="151" t="n"/>
      <x:c r="K26" s="150" t="n"/>
      <x:c r="L26" s="149" t="n">
        <x:v>0</x:v>
      </x:c>
      <x:c r="M26" s="149" t="n">
        <x:f>IF(OR(AND(I26="yes",H26="verified"),AND(I26="no",OR(H26="tested",H26="verified")),AND(H26="not applicable",K26&lt;&gt;"")),1,0)</x:f>
        <x:v>0</x:v>
      </x:c>
    </x:row>
    <x:row r="27" s="127" customFormat="1" ht="54" customHeight="1">
      <x:c r="A27" s="149" t="inlineStr">
        <x:is>
          <x:t xml:space="preserve">CA-19</x:t>
        </x:is>
      </x:c>
      <x:c r="B27" s="149" t="inlineStr">
        <x:is>
          <x:t xml:space="preserve">Motion</x:t>
        </x:is>
      </x:c>
      <x:c r="C27" s="149" t="inlineStr">
        <x:is>
          <x:t xml:space="preserve">All parts</x:t>
        </x:is>
      </x:c>
      <x:c r="D27" s="150" t="inlineStr">
        <x:is>
          <x:t xml:space="preserve">Reduced motion removes decorative transitions and smooth scrolling without removing selection.</x:t>
        </x:is>
      </x:c>
      <x:c r="E27" s="149" t="inlineStr">
        <x:is>
          <x:t xml:space="preserve">manual</x:t>
        </x:is>
      </x:c>
      <x:c r="F27" s="149" t="inlineStr">
        <x:is>
          <x:t xml:space="preserve">manual</x:t>
        </x:is>
      </x:c>
      <x:c r="G27" s="150" t="inlineStr">
        <x:is>
          <x:t xml:space="preserve">manual-tests/carousel.md</x:t>
        </x:is>
      </x:c>
      <x:c r="H27" s="149" t="inlineStr">
        <x:is>
          <x:t xml:space="preserve">not started</x:t>
        </x:is>
      </x:c>
      <x:c r="I27" s="149" t="inlineStr">
        <x:is>
          <x:t xml:space="preserve">yes</x:t>
        </x:is>
      </x:c>
      <x:c r="J27" s="151" t="n"/>
      <x:c r="K27" s="150" t="n"/>
      <x:c r="L27" s="149" t="n">
        <x:v>0</x:v>
      </x:c>
      <x:c r="M27" s="149" t="n">
        <x:f>IF(OR(AND(I27="yes",H27="verified"),AND(I27="no",OR(H27="tested",H27="verified")),AND(H27="not applicable",K27&lt;&gt;"")),1,0)</x:f>
        <x:v>0</x:v>
      </x:c>
    </x:row>
    <x:row r="28" s="127" customFormat="1" ht="54" customHeight="1">
      <x:c r="A28" s="149" t="inlineStr">
        <x:is>
          <x:t xml:space="preserve">CA-20</x:t>
        </x:is>
      </x:c>
      <x:c r="B28" s="149" t="inlineStr">
        <x:is>
          <x:t xml:space="preserve">Direction</x:t>
        </x:is>
      </x:c>
      <x:c r="C28" s="149" t="inlineStr">
        <x:is>
          <x:t xml:space="preserve">All parts</x:t>
        </x:is>
      </x:c>
      <x:c r="D28" s="150" t="inlineStr">
        <x:is>
          <x:t xml:space="preserve">RTL mirrors logical direction artwork and preserves native selection order.</x:t>
        </x:is>
      </x:c>
      <x:c r="E28" s="149" t="inlineStr">
        <x:is>
          <x:t xml:space="preserve">manual</x:t>
        </x:is>
      </x:c>
      <x:c r="F28" s="149" t="inlineStr">
        <x:is>
          <x:t xml:space="preserve">manual</x:t>
        </x:is>
      </x:c>
      <x:c r="G28" s="150" t="inlineStr">
        <x:is>
          <x:t xml:space="preserve">manual-tests/carousel.md</x:t>
        </x:is>
      </x:c>
      <x:c r="H28" s="149" t="inlineStr">
        <x:is>
          <x:t xml:space="preserve">not started</x:t>
        </x:is>
      </x:c>
      <x:c r="I28" s="149" t="inlineStr">
        <x:is>
          <x:t xml:space="preserve">yes</x:t>
        </x:is>
      </x:c>
      <x:c r="J28" s="151" t="n"/>
      <x:c r="K28" s="150" t="n"/>
      <x:c r="L28" s="149" t="n">
        <x:v>0</x:v>
      </x:c>
      <x:c r="M28" s="149" t="n">
        <x:f>IF(OR(AND(I28="yes",H28="verified"),AND(I28="no",OR(H28="tested",H28="verified")),AND(H28="not applicable",K28&lt;&gt;"")),1,0)</x:f>
        <x:v>0</x:v>
      </x:c>
    </x:row>
    <x:row r="29" s="127" customFormat="1" ht="54" customHeight="1">
      <x:c r="A29" s="149" t="inlineStr">
        <x:is>
          <x:t xml:space="preserve">CA-21</x:t>
        </x:is>
      </x:c>
      <x:c r="B29" s="149" t="inlineStr">
        <x:is>
          <x:t xml:space="preserve">Reflow</x:t>
        </x:is>
      </x:c>
      <x:c r="C29" s="149" t="inlineStr">
        <x:is>
          <x:t xml:space="preserve">All parts</x:t>
        </x:is>
      </x:c>
      <x:c r="D29" s="150" t="inlineStr">
        <x:is>
          <x:t xml:space="preserve">Mobile, 200%, and 400% reflow preserve complete controls and slide content without page overflow.</x:t>
        </x:is>
      </x:c>
      <x:c r="E29" s="149" t="inlineStr">
        <x:is>
          <x:t xml:space="preserve">manual</x:t>
        </x:is>
      </x:c>
      <x:c r="F29" s="149" t="inlineStr">
        <x:is>
          <x:t xml:space="preserve">manual</x:t>
        </x:is>
      </x:c>
      <x:c r="G29" s="150" t="inlineStr">
        <x:is>
          <x:t xml:space="preserve">manual-tests/carousel.md</x:t>
        </x:is>
      </x:c>
      <x:c r="H29" s="149" t="inlineStr">
        <x:is>
          <x:t xml:space="preserve">not started</x:t>
        </x:is>
      </x:c>
      <x:c r="I29" s="149" t="inlineStr">
        <x:is>
          <x:t xml:space="preserve">yes</x:t>
        </x:is>
      </x:c>
      <x:c r="J29" s="151" t="n"/>
      <x:c r="K29" s="150" t="n"/>
      <x:c r="L29" s="149" t="n">
        <x:v>0</x:v>
      </x:c>
      <x:c r="M29" s="149" t="n">
        <x:f>IF(OR(AND(I29="yes",H29="verified"),AND(I29="no",OR(H29="tested",H29="verified")),AND(H29="not applicable",K29&lt;&gt;"")),1,0)</x:f>
        <x:v>0</x:v>
      </x:c>
    </x:row>
    <x:row r="30" s="127" customFormat="1" ht="54" customHeight="1">
      <x:c r="A30" s="149" t="inlineStr">
        <x:is>
          <x:t xml:space="preserve">CA-22</x:t>
        </x:is>
      </x:c>
      <x:c r="B30" s="149" t="inlineStr">
        <x:is>
          <x:t xml:space="preserve">Forced colors</x:t>
        </x:is>
      </x:c>
      <x:c r="C30" s="149" t="inlineStr">
        <x:is>
          <x:t xml:space="preserve">Controls</x:t>
        </x:is>
      </x:c>
      <x:c r="D30" s="150" t="inlineStr">
        <x:is>
          <x:t xml:space="preserve">Controls, focus indicators, and active picker remain perceivable.</x:t>
        </x:is>
      </x:c>
      <x:c r="E30" s="149" t="inlineStr">
        <x:is>
          <x:t xml:space="preserve">manual</x:t>
        </x:is>
      </x:c>
      <x:c r="F30" s="149" t="inlineStr">
        <x:is>
          <x:t xml:space="preserve">manual</x:t>
        </x:is>
      </x:c>
      <x:c r="G30" s="150" t="inlineStr">
        <x:is>
          <x:t xml:space="preserve">manual-tests/carousel.md</x:t>
        </x:is>
      </x:c>
      <x:c r="H30" s="149" t="inlineStr">
        <x:is>
          <x:t xml:space="preserve">not started</x:t>
        </x:is>
      </x:c>
      <x:c r="I30" s="149" t="inlineStr">
        <x:is>
          <x:t xml:space="preserve">yes</x:t>
        </x:is>
      </x:c>
      <x:c r="J30" s="151" t="n"/>
      <x:c r="K30" s="150" t="n"/>
      <x:c r="L30" s="149" t="n">
        <x:v>0</x:v>
      </x:c>
      <x:c r="M30" s="149" t="n">
        <x:f>IF(OR(AND(I30="yes",H30="verified"),AND(I30="no",OR(H30="tested",H30="verified")),AND(H30="not applicable",K30&lt;&gt;"")),1,0)</x:f>
        <x:v>0</x:v>
      </x:c>
    </x:row>
    <x:row r="31" s="127" customFormat="1" ht="54" customHeight="1">
      <x:c r="A31" s="149" t="inlineStr">
        <x:is>
          <x:t xml:space="preserve">CA-23</x:t>
        </x:is>
      </x:c>
      <x:c r="B31" s="149" t="inlineStr">
        <x:is>
          <x:t xml:space="preserve">Assistive technology</x:t>
        </x:is>
      </x:c>
      <x:c r="C31" s="149" t="inlineStr">
        <x:is>
          <x:t xml:space="preserve">All parts</x:t>
        </x:is>
      </x:c>
      <x:c r="D31" s="150" t="inlineStr">
        <x:is>
          <x:t xml:space="preserve">Screen-reader names, slide availability, rotation state, and announcements match the public contract.</x:t>
        </x:is>
      </x:c>
      <x:c r="E31" s="149" t="inlineStr">
        <x:is>
          <x:t xml:space="preserve">manual</x:t>
        </x:is>
      </x:c>
      <x:c r="F31" s="149" t="inlineStr">
        <x:is>
          <x:t xml:space="preserve">manual</x:t>
        </x:is>
      </x:c>
      <x:c r="G31" s="150" t="inlineStr">
        <x:is>
          <x:t xml:space="preserve">manual-tests/carousel.md</x:t>
        </x:is>
      </x:c>
      <x:c r="H31" s="149" t="inlineStr">
        <x:is>
          <x:t xml:space="preserve">not started</x:t>
        </x:is>
      </x:c>
      <x:c r="I31" s="149" t="inlineStr">
        <x:is>
          <x:t xml:space="preserve">yes</x:t>
        </x:is>
      </x:c>
      <x:c r="J31" s="151" t="n"/>
      <x:c r="K31" s="150" t="n"/>
      <x:c r="L31" s="149" t="n">
        <x:v>0</x:v>
      </x:c>
      <x:c r="M31" s="149" t="n">
        <x:f>IF(OR(AND(I31="yes",H31="verified"),AND(I31="no",OR(H31="tested",H31="verified")),AND(H31="not applicable",K31&lt;&gt;"")),1,0)</x:f>
        <x:v>0</x:v>
      </x:c>
    </x:row>
    <x:row r="32" s="127" customFormat="1" ht="54" customHeight="1">
      <x:c r="A32" s="149" t="inlineStr">
        <x:is>
          <x:t xml:space="preserve">CA-24</x:t>
        </x:is>
      </x:c>
      <x:c r="B32" s="149" t="inlineStr">
        <x:is>
          <x:t xml:space="preserve">Agent Knowledge</x:t>
        </x:is>
      </x:c>
      <x:c r="C32" s="149" t="inlineStr">
        <x:is>
          <x:t xml:space="preserve">Selection</x:t>
        </x:is>
      </x:c>
      <x:c r="D32" s="150" t="inlineStr">
        <x:is>
          <x:t xml:space="preserve">Machine-readable guidance distinguishes Carousel, Tabs, Grid, and campaign Block ownership.</x:t>
        </x:is>
      </x:c>
      <x:c r="E32" s="149" t="inlineStr">
        <x:is>
          <x:t xml:space="preserve">package</x:t>
        </x:is>
      </x:c>
      <x:c r="F32" s="149" t="inlineStr">
        <x:is>
          <x:t xml:space="preserve">documentation</x:t>
        </x:is>
      </x:c>
      <x:c r="G32" s="150" t="inlineStr">
        <x:is>
          <x:t xml:space="preserve">../src/components/carousel/agent.json</x:t>
        </x:is>
      </x:c>
      <x:c r="H32" s="149" t="inlineStr">
        <x:is>
          <x:t xml:space="preserve">tested</x:t>
        </x:is>
      </x:c>
      <x:c r="I32" s="149" t="inlineStr">
        <x:is>
          <x:t xml:space="preserve">no</x:t>
        </x:is>
      </x:c>
      <x:c r="J32" s="151" t="n">
        <x:v>46241</x:v>
      </x:c>
      <x:c r="K32" s="150" t="n"/>
      <x:c r="L32" s="149" t="n">
        <x:v>1</x:v>
      </x:c>
      <x:c r="M32" s="149" t="n">
        <x:f>IF(OR(AND(I32="yes",H32="verified"),AND(I32="no",OR(H32="tested",H32="verified")),AND(H32="not applicable",K32&lt;&gt;"")),1,0)</x:f>
        <x:v>1</x:v>
      </x:c>
    </x:row>
    <x:row r="33" s="127" customFormat="1" ht="54" customHeight="1">
      <x:c r="A33" s="149" t="inlineStr">
        <x:is>
          <x:t xml:space="preserve">CA-25</x:t>
        </x:is>
      </x:c>
      <x:c r="B33" s="149" t="inlineStr">
        <x:is>
          <x:t xml:space="preserve">Consumer</x:t>
        </x:is>
      </x:c>
      <x:c r="C33" s="149" t="inlineStr">
        <x:is>
          <x:t xml:space="preserve">Composition</x:t>
        </x:is>
      </x:c>
      <x:c r="D33" s="150" t="inlineStr">
        <x:is>
          <x:t xml:space="preserve">A realistic packed-package consumer composes Carousel with public imports and CSS only.</x:t>
        </x:is>
      </x:c>
      <x:c r="E33" s="149" t="inlineStr">
        <x:is>
          <x:t xml:space="preserve">consumer</x:t>
        </x:is>
      </x:c>
      <x:c r="F33" s="149" t="inlineStr">
        <x:is>
          <x:t xml:space="preserve">consumer</x:t>
        </x:is>
      </x:c>
      <x:c r="G33" s="150" t="inlineStr">
        <x:is>
          <x:t xml:space="preserve">../apps/consumer</x:t>
        </x:is>
      </x:c>
      <x:c r="H33" s="149" t="inlineStr">
        <x:is>
          <x:t xml:space="preserve">implemented</x:t>
        </x:is>
      </x:c>
      <x:c r="I33" s="149" t="inlineStr">
        <x:is>
          <x:t xml:space="preserve">no</x:t>
        </x:is>
      </x:c>
      <x:c r="J33" s="151" t="n"/>
      <x:c r="K33" s="150" t="n"/>
      <x:c r="L33" s="149" t="n">
        <x:v>0</x:v>
      </x:c>
      <x:c r="M33" s="149" t="n">
        <x:f>IF(OR(AND(I33="yes",H33="verified"),AND(I33="no",OR(H33="tested",H33="verified")),AND(H33="not applicable",K33&lt;&gt;"")),1,0)</x:f>
        <x:v>0</x:v>
      </x:c>
    </x:row>
    <x:row r="34" s="127" customFormat="1" ht="54" customHeight="1"/>
    <x:row r="35" s="127" customFormat="1" ht="54" customHeight="1"/>
    <x:row r="36" s="127" customFormat="1" ht="54" customHeight="1"/>
    <x:row r="37" s="127" customFormat="1" ht="54" customHeight="1"/>
    <x:row r="38" s="127" customFormat="1" ht="54" customHeight="1"/>
    <x:row r="39" s="127" customFormat="1" ht="54" customHeight="1"/>
  </x:sheetData>
  <x:mergeCells>
    <x:mergeCell ref="A2:M2"/>
    <x:mergeCell ref="A1:M1"/>
  </x:mergeCells>
  <x:pageMargins left="0.7" right="0.7" top="0.75" bottom="0.75" header="0.3" footer="0.3"/>
</x:worksheet>
</file>

<file path=xl/worksheets/sheet81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ZStack Evidence</x:t>
        </x:is>
      </x:c>
    </x:row>
    <x:row r="2" s="127" customFormat="1" ht="27.75" customHeight="1">
      <x:c r="A2" s="129" t="inlineStr">
        <x:is>
          <x:t xml:space="preserve">Assertion-level package, browser, human-review, documentation, and consumer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COUNTA(A9:A24)</x:f>
        <x:v>16</x:v>
      </x:c>
      <x:c r="D4" s="130" t="inlineStr">
        <x:is>
          <x:t xml:space="preserve">Resolved</x:t>
        </x:is>
      </x:c>
      <x:c r="E4" s="131" t="n">
        <x:f>SUM(M9:M24)</x:f>
        <x:v>13</x:v>
      </x:c>
      <x:c r="G4" s="130" t="inlineStr">
        <x:is>
          <x:t xml:space="preserve">Completion</x:t>
        </x:is>
      </x:c>
      <x:c r="H4" s="132" t="n">
        <x:f>IF(B4=0,0,E4/B4)</x:f>
        <x:v>0.8125</x:v>
      </x:c>
      <x:c r="J4" s="130" t="inlineStr">
        <x:is>
          <x:t xml:space="preserve">Package gate</x:t>
        </x:is>
      </x:c>
      <x:c r="K4" s="131" t="str">
        <x:f>IF(COUNTIFS(E9:E24,"package",M9:M24,0)&gt;0,"open","complete")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IF(COUNTIFS(I9:I24,"yes",M9:M24,0)&gt;0,"open","complete")</x:f>
        <x:v>open</x:v>
      </x:c>
      <x:c r="D5" s="130" t="inlineStr">
        <x:is>
          <x:t xml:space="preserve">Consumer gate</x:t>
        </x:is>
      </x:c>
      <x:c r="E5" s="131" t="str">
        <x:f>IF(COUNTIFS(E9:E24,"consumer",M9:M24,0)&gt;0,"open","complete")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ZS-01</x:t>
        </x:is>
      </x:c>
      <x:c r="B9" s="149" t="inlineStr">
        <x:is>
          <x:t xml:space="preserve">Implementation</x:t>
        </x:is>
      </x:c>
      <x:c r="C9" s="149" t="inlineStr">
        <x:is>
          <x:t xml:space="preserve">Root/Item</x:t>
        </x:is>
      </x:c>
      <x:c r="D9" s="150" t="inlineStr">
        <x:is>
          <x:t xml:space="preserve">ZStack Root and Item share one source-ordered CSS Grid implementation with stable hooks and refs.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../src/components/z-stack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46244</x:v>
      </x:c>
      <x:c r="K9" s="150" t="n"/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ZS-02</x:t>
        </x:is>
      </x:c>
      <x:c r="B10" s="149" t="inlineStr">
        <x:is>
          <x:t xml:space="preserve">Anatomy</x:t>
        </x:is>
      </x:c>
      <x:c r="C10" s="149" t="inlineStr">
        <x:is>
          <x:t xml:space="preserve">Root/Item</x:t>
        </x:is>
      </x:c>
      <x:c r="D10" s="150" t="inlineStr">
        <x:is>
          <x:t xml:space="preserve">Root owns the overlap region; every direct child shares one grid cell; Item owns optional logical self-placement.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../test/components/z-stack/z-stack.test.tsx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46244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ZS-03</x:t>
        </x:is>
      </x:c>
      <x:c r="B11" s="149" t="inlineStr">
        <x:is>
          <x:t xml:space="preserve">Exports</x:t>
        </x:is>
      </x:c>
      <x:c r="C11" s="149" t="inlineStr">
        <x:is>
          <x:t xml:space="preserve">ZStack</x:t>
        </x:is>
      </x:c>
      <x:c r="D11" s="150" t="inlineStr">
        <x:is>
          <x:t xml:space="preserve">Root, z-stack subpath, namespace, named parts, and public types expose identical runtime identities.</x:t>
        </x:is>
      </x:c>
      <x:c r="E11" s="149" t="inlineStr">
        <x:is>
          <x:t xml:space="preserve">package</x:t>
        </x:is>
      </x:c>
      <x:c r="F11" s="149" t="inlineStr">
        <x:is>
          <x:t xml:space="preserve">package</x:t>
        </x:is>
      </x:c>
      <x:c r="G11" s="150" t="inlineStr">
        <x:is>
          <x:t xml:space="preserve">../test/package/package.test.mjs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46244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ZS-04</x:t>
        </x:is>
      </x:c>
      <x:c r="B12" s="149" t="inlineStr">
        <x:is>
          <x:t xml:space="preserve">Types</x:t>
        </x:is>
      </x:c>
      <x:c r="C12" s="149" t="inlineStr">
        <x:is>
          <x:t xml:space="preserve">Root/Item</x:t>
        </x:is>
      </x:c>
      <x:c r="D12" s="150" t="inlineStr">
        <x:is>
          <x:t xml:space="preserve">Semantic hosts, nine-position logical placement, asChild composition, native props, exclusions, and refs type-check.</x:t>
        </x:is>
      </x:c>
      <x:c r="E12" s="149" t="inlineStr">
        <x:is>
          <x:t xml:space="preserve">package</x:t>
        </x:is>
      </x:c>
      <x:c r="F12" s="149" t="inlineStr">
        <x:is>
          <x:t xml:space="preserve">types</x:t>
        </x:is>
      </x:c>
      <x:c r="G12" s="150" t="inlineStr">
        <x:is>
          <x:t xml:space="preserve">../test/types/components/z-stack.test.ts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46244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ZS-05</x:t>
        </x:is>
      </x:c>
      <x:c r="B13" s="149" t="inlineStr">
        <x:is>
          <x:t xml:space="preserve">CSS</x:t>
        </x:is>
      </x:c>
      <x:c r="C13" s="149" t="inlineStr">
        <x:is>
          <x:t xml:space="preserve">Root/Item</x:t>
        </x:is>
      </x:c>
      <x:c r="D13" s="150" t="inlineStr">
        <x:is>
          <x:t xml:space="preserve">Static CSS keeps controls’ minimum sizes and scopes responsive spacing to each Item without playground margin overrides.</x:t>
        </x:is>
      </x:c>
      <x:c r="E13" s="149" t="inlineStr">
        <x:is>
          <x:t xml:space="preserve">package</x:t>
        </x:is>
      </x:c>
      <x:c r="F13" s="149" t="inlineStr">
        <x:is>
          <x:t xml:space="preserve">css</x:t>
        </x:is>
      </x:c>
      <x:c r="G13" s="150" t="inlineStr">
        <x:is>
          <x:t xml:space="preserve">../src/components/z-stack/z-stack.css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46275</x:v>
      </x:c>
      <x:c r="K13" s="150" t="n"/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ZS-06</x:t>
        </x:is>
      </x:c>
      <x:c r="B14" s="149" t="inlineStr">
        <x:is>
          <x:t xml:space="preserve">Unit</x:t>
        </x:is>
      </x:c>
      <x:c r="C14" s="149" t="inlineStr">
        <x:is>
          <x:t xml:space="preserve">Root/Item</x:t>
        </x:is>
      </x:c>
      <x:c r="D14" s="150" t="inlineStr">
        <x:is>
          <x:t xml:space="preserve">Root and Item compose one non-Fragment host and preserve both callback-ref cleanups.</x:t>
        </x:is>
      </x:c>
      <x:c r="E14" s="149" t="inlineStr">
        <x:is>
          <x:t xml:space="preserve">package</x:t>
        </x:is>
      </x:c>
      <x:c r="F14" s="149" t="inlineStr">
        <x:is>
          <x:t xml:space="preserve">component</x:t>
        </x:is>
      </x:c>
      <x:c r="G14" s="150" t="inlineStr">
        <x:is>
          <x:t xml:space="preserve">../test/components/z-stack/z-stack.test.tsx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46275</x:v>
      </x:c>
      <x:c r="K14" s="150" t="n"/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ZS-07</x:t>
        </x:is>
      </x:c>
      <x:c r="B15" s="149" t="inlineStr">
        <x:is>
          <x:t xml:space="preserve">Browser</x:t>
        </x:is>
      </x:c>
      <x:c r="C15" s="149" t="inlineStr">
        <x:is>
          <x:t xml:space="preserve">Root/Item</x:t>
        </x:is>
      </x:c>
      <x:c r="D15" s="150" t="inlineStr">
        <x:is>
          <x:t xml:space="preserve">Overlap, logical placement, natural sizing, action access, responsive spacing and control minima pass in three desktop engines.</x:t>
        </x:is>
      </x:c>
      <x:c r="E15" s="149" t="inlineStr">
        <x:is>
          <x:t xml:space="preserve">package</x:t>
        </x:is>
      </x:c>
      <x:c r="F15" s="149" t="inlineStr">
        <x:is>
          <x:t xml:space="preserve">browser</x:t>
        </x:is>
      </x:c>
      <x:c r="G15" s="150" t="inlineStr">
        <x:is>
          <x:t xml:space="preserve">tests/components/z-stack/behavior.spec.ts; tests/components/z-stack/docs.spec.ts; tests/components/z-stack/geometry.spec.ts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46275</x:v>
      </x:c>
      <x:c r="K15" s="150" t="n"/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ZS-08</x:t>
        </x:is>
      </x:c>
      <x:c r="B16" s="149" t="inlineStr">
        <x:is>
          <x:t xml:space="preserve">Placement</x:t>
        </x:is>
      </x:c>
      <x:c r="C16" s="149" t="inlineStr">
        <x:is>
          <x:t xml:space="preserve">Item</x:t>
        </x:is>
      </x:c>
      <x:c r="D16" s="150" t="inlineStr">
        <x:is>
          <x:t xml:space="preserve">Top-start, center, and bottom-end evidence proves logical nine-position placement without changing the authored order.</x:t>
        </x:is>
      </x:c>
      <x:c r="E16" s="149" t="inlineStr">
        <x:is>
          <x:t xml:space="preserve">package</x:t>
        </x:is>
      </x:c>
      <x:c r="F16" s="149" t="inlineStr">
        <x:is>
          <x:t xml:space="preserve">visual</x:t>
        </x:is>
      </x:c>
      <x:c r="G16" s="150" t="inlineStr">
        <x:is>
          <x:t xml:space="preserve">tests/components/z-stack/visual.spec.ts</x:t>
        </x:is>
      </x:c>
      <x:c r="H16" s="149" t="inlineStr">
        <x:is>
          <x:t xml:space="preserve">verified</x:t>
        </x:is>
      </x:c>
      <x:c r="I16" s="149" t="inlineStr">
        <x:is>
          <x:t xml:space="preserve">yes</x:t>
        </x:is>
      </x:c>
      <x:c r="J16" s="151" t="n">
        <x:v>46244</x:v>
      </x:c>
      <x:c r="K16" s="150" t="inlineStr">
        <x:is>
          <x:t xml:space="preserve">Agent-inspected the generated overview and placement baselines.</x:t>
        </x:is>
      </x:c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ZS-09</x:t>
        </x:is>
      </x:c>
      <x:c r="B17" s="149" t="inlineStr">
        <x:is>
          <x:t xml:space="preserve">Composition</x:t>
        </x:is>
      </x:c>
      <x:c r="C17" s="149" t="inlineStr">
        <x:is>
          <x:t xml:space="preserve">Item</x:t>
        </x:is>
      </x:c>
      <x:c r="D17" s="150" t="inlineStr">
        <x:is>
          <x:t xml:space="preserve">Root and Item asChild share Surface and Button hosts without extra wrappers; contained actions remain operable.</x:t>
        </x:is>
      </x:c>
      <x:c r="E17" s="149" t="inlineStr">
        <x:is>
          <x:t xml:space="preserve">package</x:t>
        </x:is>
      </x:c>
      <x:c r="F17" s="149" t="inlineStr">
        <x:is>
          <x:t xml:space="preserve">browser</x:t>
        </x:is>
      </x:c>
      <x:c r="G17" s="150" t="inlineStr">
        <x:is>
          <x:t xml:space="preserve">tests/components/z-stack/docs.spec.ts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n">
        <x:v>46275</x:v>
      </x:c>
      <x:c r="K17" s="150" t="n"/>
      <x:c r="L17" s="149" t="n">
        <x:v>1</x:v>
      </x:c>
      <x:c r="M17" s="149" t="n">
        <x:f>IF(OR(AND(I17="yes",H17="verified"),AND(I17="no",OR(H17="tested",H17="verified")),AND(H17="not applicable",K17&lt;&gt;"")),1,0)</x:f>
        <x:v>1</x:v>
      </x:c>
    </x:row>
    <x:row r="18" s="127" customFormat="1" ht="54" customHeight="1">
      <x:c r="A18" s="149" t="inlineStr">
        <x:is>
          <x:t xml:space="preserve">ZS-10</x:t>
        </x:is>
      </x:c>
      <x:c r="B18" s="149" t="inlineStr">
        <x:is>
          <x:t xml:space="preserve">Accessibility</x:t>
        </x:is>
      </x:c>
      <x:c r="C18" s="149" t="inlineStr">
        <x:is>
          <x:t xml:space="preserve">Root/Item</x:t>
        </x:is>
      </x:c>
      <x:c r="D18" s="150" t="inlineStr">
        <x:is>
          <x:t xml:space="preserve">ZStack adds no roles or names; authored focus order, RTL, narrow reflow, and axe checks pass.</x:t>
        </x:is>
      </x:c>
      <x:c r="E18" s="149" t="inlineStr">
        <x:is>
          <x:t xml:space="preserve">package</x:t>
        </x:is>
      </x:c>
      <x:c r="F18" s="149" t="inlineStr">
        <x:is>
          <x:t xml:space="preserve">axe</x:t>
        </x:is>
      </x:c>
      <x:c r="G18" s="150" t="inlineStr">
        <x:is>
          <x:t xml:space="preserve">tests/components/z-stack/behavior.spec.ts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n">
        <x:v>46244</x:v>
      </x:c>
      <x:c r="K18" s="150" t="n"/>
      <x:c r="L18" s="149" t="n">
        <x:v>1</x:v>
      </x:c>
      <x:c r="M18" s="149" t="n">
        <x:f>IF(OR(AND(I18="yes",H18="verified"),AND(I18="no",OR(H18="tested",H18="verified")),AND(H18="not applicable",K18&lt;&gt;"")),1,0)</x:f>
        <x:v>1</x:v>
      </x:c>
    </x:row>
    <x:row r="19" s="127" customFormat="1" ht="54" customHeight="1">
      <x:c r="A19" s="149" t="inlineStr">
        <x:is>
          <x:t xml:space="preserve">ZS-11</x:t>
        </x:is>
      </x:c>
      <x:c r="B19" s="149" t="inlineStr">
        <x:is>
          <x:t xml:space="preserve">Responsive</x:t>
        </x:is>
      </x:c>
      <x:c r="C19" s="149" t="inlineStr">
        <x:is>
          <x:t xml:space="preserve">Root/Item</x:t>
        </x:is>
      </x:c>
      <x:c r="D19" s="150" t="inlineStr">
        <x:is>
          <x:t xml:space="preserve">Narrow width, text-size stress, RTL, appearance, and forced colors retain readable source-ordered layers.</x:t>
        </x:is>
      </x:c>
      <x:c r="E19" s="149" t="inlineStr">
        <x:is>
          <x:t xml:space="preserve">package</x:t>
        </x:is>
      </x:c>
      <x:c r="F19" s="149" t="inlineStr">
        <x:is>
          <x:t xml:space="preserve">manual</x:t>
        </x:is>
      </x:c>
      <x:c r="G19" s="150" t="inlineStr">
        <x:is>
          <x:t xml:space="preserve">manual-tests/z-stack.md</x:t>
        </x:is>
      </x:c>
      <x:c r="H19" s="149" t="inlineStr">
        <x:is>
          <x:t xml:space="preserve">implemented</x:t>
        </x:is>
      </x:c>
      <x:c r="I19" s="149" t="inlineStr">
        <x:is>
          <x:t xml:space="preserve">yes</x:t>
        </x:is>
      </x:c>
      <x:c r="J19" s="151" t="n"/>
      <x:c r="K19" s="150" t="inlineStr">
        <x:is>
          <x:t xml:space="preserve">Automated narrow, RTL, focus, and axe evidence passes; the complete human run remains pending.</x:t>
        </x:is>
      </x:c>
      <x:c r="L19" s="149" t="n">
        <x:v>1</x:v>
      </x:c>
      <x:c r="M19" s="149" t="n">
        <x:f>IF(OR(AND(I19="yes",H19="verified"),AND(I19="no",OR(H19="tested",H19="verified")),AND(H19="not applicable",K19&lt;&gt;"")),1,0)</x:f>
        <x:v>0</x:v>
      </x:c>
    </x:row>
    <x:row r="20" s="127" customFormat="1" ht="54" customHeight="1">
      <x:c r="A20" s="149" t="inlineStr">
        <x:is>
          <x:t xml:space="preserve">ZS-12</x:t>
        </x:is>
      </x:c>
      <x:c r="B20" s="149" t="inlineStr">
        <x:is>
          <x:t xml:space="preserve">Manual</x:t>
        </x:is>
      </x:c>
      <x:c r="C20" s="149" t="inlineStr">
        <x:is>
          <x:t xml:space="preserve">ZStack</x:t>
        </x:is>
      </x:c>
      <x:c r="D20" s="150" t="inlineStr">
        <x:is>
          <x:t xml:space="preserve">A tester completes the component-owned overlap, placement, composition, zoom, device, appearance, and forced-color protocol.</x:t>
        </x:is>
      </x:c>
      <x:c r="E20" s="149" t="inlineStr">
        <x:is>
          <x:t xml:space="preserve">package</x:t>
        </x:is>
      </x:c>
      <x:c r="F20" s="149" t="inlineStr">
        <x:is>
          <x:t xml:space="preserve">manual</x:t>
        </x:is>
      </x:c>
      <x:c r="G20" s="150" t="inlineStr">
        <x:is>
          <x:t xml:space="preserve">manual-tests/z-stack.md</x:t>
        </x:is>
      </x:c>
      <x:c r="H20" s="149" t="inlineStr">
        <x:is>
          <x:t xml:space="preserve">implemented</x:t>
        </x:is>
      </x:c>
      <x:c r="I20" s="149" t="inlineStr">
        <x:is>
          <x:t xml:space="preserve">yes</x:t>
        </x:is>
      </x:c>
      <x:c r="J20" s="151" t="n"/>
      <x:c r="K20" s="150" t="inlineStr">
        <x:is>
          <x:t xml:space="preserve">Protocol exists; owner human review remains intentionally unclaimed.</x:t>
        </x:is>
      </x:c>
      <x:c r="L20" s="149" t="n">
        <x:v>1</x:v>
      </x:c>
      <x:c r="M20" s="149" t="n">
        <x:f>IF(OR(AND(I20="yes",H20="verified"),AND(I20="no",OR(H20="tested",H20="verified")),AND(H20="not applicable",K20&lt;&gt;"")),1,0)</x:f>
        <x:v>0</x:v>
      </x:c>
    </x:row>
    <x:row r="21" s="127" customFormat="1" ht="54" customHeight="1">
      <x:c r="A21" s="149" t="inlineStr">
        <x:is>
          <x:t xml:space="preserve">ZS-13</x:t>
        </x:is>
      </x:c>
      <x:c r="B21" s="149" t="inlineStr">
        <x:is>
          <x:t xml:space="preserve">Docs</x:t>
        </x:is>
      </x:c>
      <x:c r="C21" s="149" t="inlineStr">
        <x:is>
          <x:t xml:space="preserve">ZStack</x:t>
        </x:is>
      </x:c>
      <x:c r="D21" s="150" t="inlineStr">
        <x:is>
          <x:t xml:space="preserve">Source-backed Root/Item props and TOC document in-flow sizing, spacing, composition and isolation boundaries.</x:t>
        </x:is>
      </x:c>
      <x:c r="E21" s="149" t="inlineStr">
        <x:is>
          <x:t xml:space="preserve">package</x:t>
        </x:is>
      </x:c>
      <x:c r="F21" s="149" t="inlineStr">
        <x:is>
          <x:t xml:space="preserve">docs</x:t>
        </x:is>
      </x:c>
      <x:c r="G21" s="150" t="inlineStr">
        <x:is>
          <x:t xml:space="preserve">../docs/components/z-stack/README.md; ../src/components/z-stack/agent.md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46275</x:v>
      </x:c>
      <x:c r="K21" s="150" t="n"/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ZS-14</x:t>
        </x:is>
      </x:c>
      <x:c r="B22" s="149" t="inlineStr">
        <x:is>
          <x:t xml:space="preserve">Changelog</x:t>
        </x:is>
      </x:c>
      <x:c r="C22" s="149" t="inlineStr">
        <x:is>
          <x:t xml:space="preserve">ZStack</x:t>
        </x:is>
      </x:c>
      <x:c r="D22" s="150" t="inlineStr">
        <x:is>
          <x:t xml:space="preserve">ZStack owns a component changelog and the package changelog records the public layout addition.</x:t>
        </x:is>
      </x:c>
      <x:c r="E22" s="149" t="inlineStr">
        <x:is>
          <x:t xml:space="preserve">package</x:t>
        </x:is>
      </x:c>
      <x:c r="F22" s="149" t="inlineStr">
        <x:is>
          <x:t xml:space="preserve">docs</x:t>
        </x:is>
      </x:c>
      <x:c r="G22" s="150" t="inlineStr">
        <x:is>
          <x:t xml:space="preserve">../docs/components/z-stack/CHANGELOG.md; ../CHANGELOG.md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46244</x:v>
      </x:c>
      <x:c r="K22" s="150" t="n"/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ZS-15</x:t>
        </x:is>
      </x:c>
      <x:c r="B23" s="149" t="inlineStr">
        <x:is>
          <x:t xml:space="preserve">Consumer</x:t>
        </x:is>
      </x:c>
      <x:c r="C23" s="149" t="inlineStr">
        <x:is>
          <x:t xml:space="preserve">ZStack</x:t>
        </x:is>
      </x:c>
      <x:c r="D23" s="150" t="inlineStr">
        <x:is>
          <x:t xml:space="preserve">Exact packed React 18 and 19 consumers import the public root and z-stack subpath without source coupling.</x:t>
        </x:is>
      </x:c>
      <x:c r="E23" s="149" t="inlineStr">
        <x:is>
          <x:t xml:space="preserve">consumer</x:t>
        </x:is>
      </x:c>
      <x:c r="F23" s="149" t="inlineStr">
        <x:is>
          <x:t xml:space="preserve">consumer</x:t>
        </x:is>
      </x:c>
      <x:c r="G23" s="150" t="inlineStr">
        <x:is>
          <x:t xml:space="preserve">../scripts/verify-consumers.mjs; ../test/package/package.test.mjs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>
        <x:v>46244</x:v>
      </x:c>
      <x:c r="K23" s="150" t="n"/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ZS-16</x:t>
        </x:is>
      </x:c>
      <x:c r="B24" s="149" t="inlineStr">
        <x:is>
          <x:t xml:space="preserve">Package</x:t>
        </x:is>
      </x:c>
      <x:c r="C24" s="149" t="inlineStr">
        <x:is>
          <x:t xml:space="preserve">ZStack</x:t>
        </x:is>
      </x:c>
      <x:c r="D24" s="150" t="inlineStr">
        <x:is>
          <x:t xml:space="preserve">Build, SSR-safe imports, exports, modular CSS, tarball, React 18/19 consumers, docs, browser, axe, and visual gates pass.</x:t>
        </x:is>
      </x:c>
      <x:c r="E24" s="149" t="inlineStr">
        <x:is>
          <x:t xml:space="preserve">package</x:t>
        </x:is>
      </x:c>
      <x:c r="F24" s="149" t="inlineStr">
        <x:is>
          <x:t xml:space="preserve">package</x:t>
        </x:is>
      </x:c>
      <x:c r="G24" s="150" t="inlineStr">
        <x:is>
          <x:t xml:space="preserve">../test/package; ../scripts/verify-package.mjs; ../scripts/verify-consumers.mjs</x:t>
        </x:is>
      </x:c>
      <x:c r="H24" s="149" t="inlineStr">
        <x:is>
          <x:t xml:space="preserve">implemented</x:t>
        </x:is>
      </x:c>
      <x:c r="I24" s="149" t="inlineStr">
        <x:is>
          <x:t xml:space="preserve">yes</x:t>
        </x:is>
      </x:c>
      <x:c r="J24" s="151" t="n">
        <x:v>46244</x:v>
      </x:c>
      <x:c r="K24" s="150" t="inlineStr">
        <x:is>
          <x:t xml:space="preserve">Automated package gates pass; complete status waits for the component-owned human manual run.</x:t>
        </x:is>
      </x:c>
      <x:c r="L24" s="149" t="n">
        <x:v>1</x:v>
      </x:c>
      <x:c r="M24" s="149" t="n">
        <x:f>IF(OR(AND(I24="yes",H24="verified"),AND(I24="no",OR(H24="tested",H24="verified")),AND(H24="not applicable",K24&lt;&gt;"")),1,0)</x:f>
        <x:v>0</x:v>
      </x:c>
    </x:row>
  </x:sheetData>
  <x:mergeCells>
    <x:mergeCell ref="A2:M2"/>
    <x:mergeCell ref="A1:M1"/>
  </x:mergeCells>
  <x:conditionalFormatting sqref="H9:H24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1" showDropDown="0" showInputMessage="1" showErrorMessage="1" sqref="H9:H24">
      <x:formula1>"not started,partial,implemented,tested,verified,blocked,not applicable"</x:formula1>
      <x:formula2>0</x:formula2>
    </x:dataValidation>
    <x:dataValidation type="list" errorStyle="stop" operator="between" allowBlank="1" showDropDown="0" showInputMessage="1" showErrorMessage="1" sqref="I9:I24">
      <x:formula1>"yes,no"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fcf56bd8b9a46d9"/>
  </x:tableParts>
</x:worksheet>
</file>

<file path=xl/worksheets/sheet82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Appearance Evidence</x:t>
        </x:is>
      </x:c>
    </x:row>
    <x:row r="2" s="127" customFormat="1" ht="27.75" customHeight="1">
      <x:c r="A2" s="129" t="inlineStr">
        <x:is>
          <x:t xml:space="preserve">Assertion-level wrapper-free scope, nested appearance, portal, theme-contract, accessibility, documentation, and package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COUNTA(A9:A25)</x:f>
        <x:v>17</x:v>
      </x:c>
      <x:c r="D4" s="130" t="inlineStr">
        <x:is>
          <x:t xml:space="preserve">Resolved</x:t>
        </x:is>
      </x:c>
      <x:c r="E4" s="131" t="n">
        <x:f>SUM(M9:M25)</x:f>
        <x:v>13</x:v>
      </x:c>
      <x:c r="G4" s="130" t="inlineStr">
        <x:is>
          <x:t xml:space="preserve">Completion</x:t>
        </x:is>
      </x:c>
      <x:c r="H4" s="132" t="n">
        <x:f>IF(B4=0,0,E4/B4)</x:f>
        <x:v>0.7647058823529411</x:v>
      </x:c>
      <x:c r="J4" s="130" t="inlineStr">
        <x:is>
          <x:t xml:space="preserve">Package gate</x:t>
        </x:is>
      </x:c>
      <x:c r="K4" s="131" t="str">
        <x:f>IF(COUNTIFS(E9:E25,"package",M9:M25,0)&gt;0,"open","complete")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IF(COUNTIFS(I9:I25,"yes",M9:M25,0)&gt;0,"open","complete")</x:f>
        <x:v>open</x:v>
      </x:c>
      <x:c r="D5" s="130" t="inlineStr">
        <x:is>
          <x:t xml:space="preserve">Consumer gate</x:t>
        </x:is>
      </x:c>
      <x:c r="E5" s="131" t="str">
        <x:f>IF(COUNTIFS(E9:E25,"consumer",M9:M25,0)&gt;0,"open","complete")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AP-01</x:t>
        </x:is>
      </x:c>
      <x:c r="B9" s="149" t="inlineStr">
        <x:is>
          <x:t xml:space="preserve">Implementation</x:t>
        </x:is>
      </x:c>
      <x:c r="C9" s="149" t="inlineStr">
        <x:is>
          <x:t xml:space="preserve">Boundary</x:t>
        </x:is>
      </x:c>
      <x:c r="D9" s="150" t="inlineStr">
        <x:is>
          <x:t xml:space="preserve">Appearance decorates exactly one existing DOM or Brick host with stable hooks and no additional wrapper.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../src/components/appearance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46257</x:v>
      </x:c>
      <x:c r="K9" s="150" t="n"/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AP-02</x:t>
        </x:is>
      </x:c>
      <x:c r="B10" s="149" t="inlineStr">
        <x:is>
          <x:t xml:space="preserve">Exports</x:t>
        </x:is>
      </x:c>
      <x:c r="C10" s="149" t="inlineStr">
        <x:is>
          <x:t xml:space="preserve">Appearance</x:t>
        </x:is>
      </x:c>
      <x:c r="D10" s="150" t="inlineStr">
        <x:is>
          <x:t xml:space="preserve">Root and appearance subpath exports expose Appearance and every public Appearance type with identical runtime identity.</x:t>
        </x:is>
      </x:c>
      <x:c r="E10" s="149" t="inlineStr">
        <x:is>
          <x:t xml:space="preserve">package</x:t>
        </x:is>
      </x:c>
      <x:c r="F10" s="149" t="inlineStr">
        <x:is>
          <x:t xml:space="preserve">package</x:t>
        </x:is>
      </x:c>
      <x:c r="G10" s="150" t="inlineStr">
        <x:is>
          <x:t xml:space="preserve">../test/package/package.test.mjs; ../test/package/ssr.test.mjs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46257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AP-03</x:t>
        </x:is>
      </x:c>
      <x:c r="B11" s="149" t="inlineStr">
        <x:is>
          <x:t xml:space="preserve">Types</x:t>
        </x:is>
      </x:c>
      <x:c r="C11" s="149" t="inlineStr">
        <x:is>
          <x:t xml:space="preserve">Public surface</x:t>
        </x:is>
      </x:c>
      <x:c r="D11" s="150" t="inlineStr">
        <x:is>
          <x:t xml:space="preserve">Light, dark, and inherit values plus one ref-capable React element type-check while invalid values, text, as, and asChild are rejected.</x:t>
        </x:is>
      </x:c>
      <x:c r="E11" s="149" t="inlineStr">
        <x:is>
          <x:t xml:space="preserve">package</x:t>
        </x:is>
      </x:c>
      <x:c r="F11" s="149" t="inlineStr">
        <x:is>
          <x:t xml:space="preserve">types</x:t>
        </x:is>
      </x:c>
      <x:c r="G11" s="150" t="inlineStr">
        <x:is>
          <x:t xml:space="preserve">../test/types/components/appearance.test.ts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46257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AP-04</x:t>
        </x:is>
      </x:c>
      <x:c r="B12" s="149" t="inlineStr">
        <x:is>
          <x:t xml:space="preserve">CSS</x:t>
        </x:is>
      </x:c>
      <x:c r="C12" s="149" t="inlineStr">
        <x:is>
          <x:t xml:space="preserve">Boundary</x:t>
        </x:is>
      </x:c>
      <x:c r="D12" s="150" t="inlineStr">
        <x:is>
          <x:t xml:space="preserve">Explicit scopes establish primary foreground and native color scheme without background, spacing or state.</x:t>
        </x:is>
      </x:c>
      <x:c r="E12" s="149" t="inlineStr">
        <x:is>
          <x:t xml:space="preserve">package</x:t>
        </x:is>
      </x:c>
      <x:c r="F12" s="149" t="inlineStr">
        <x:is>
          <x:t xml:space="preserve">css</x:t>
        </x:is>
      </x:c>
      <x:c r="G12" s="150" t="inlineStr">
        <x:is>
          <x:t xml:space="preserve">../src/components/appearance/appearance.css; ../test/package/tokens.test.mjs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46279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AP-05</x:t>
        </x:is>
      </x:c>
      <x:c r="B13" s="149" t="inlineStr">
        <x:is>
          <x:t xml:space="preserve">Unit</x:t>
        </x:is>
      </x:c>
      <x:c r="C13" s="149" t="inlineStr">
        <x:is>
          <x:t xml:space="preserve">Boundary</x:t>
        </x:is>
      </x:c>
      <x:c r="D13" s="150" t="inlineStr">
        <x:is>
          <x:t xml:space="preserve">Single-host composition, inheritance, child props and React 19 ref cleanup pass focused tests.</x:t>
        </x:is>
      </x:c>
      <x:c r="E13" s="149" t="inlineStr">
        <x:is>
          <x:t xml:space="preserve">package</x:t>
        </x:is>
      </x:c>
      <x:c r="F13" s="149" t="inlineStr">
        <x:is>
          <x:t xml:space="preserve">component</x:t>
        </x:is>
      </x:c>
      <x:c r="G13" s="150" t="inlineStr">
        <x:is>
          <x:t xml:space="preserve">../test/components/appearance/appearance.test.tsx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46279</x:v>
      </x:c>
      <x:c r="K13" s="150" t="n"/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AP-06</x:t>
        </x:is>
      </x:c>
      <x:c r="B14" s="149" t="inlineStr">
        <x:is>
          <x:t xml:space="preserve">Browser</x:t>
        </x:is>
      </x:c>
      <x:c r="C14" s="149" t="inlineStr">
        <x:is>
          <x:t xml:space="preserve">Nested scopes</x:t>
        </x:is>
      </x:c>
      <x:c r="D14" s="150" t="inlineStr">
        <x:is>
          <x:t xml:space="preserve">Nested scopes and mixed native/Brick foreground, explicit colors and transparent hosts pass in three engines.</x:t>
        </x:is>
      </x:c>
      <x:c r="E14" s="149" t="inlineStr">
        <x:is>
          <x:t xml:space="preserve">package</x:t>
        </x:is>
      </x:c>
      <x:c r="F14" s="149" t="inlineStr">
        <x:is>
          <x:t xml:space="preserve">browser</x:t>
        </x:is>
      </x:c>
      <x:c r="G14" s="150" t="inlineStr">
        <x:is>
          <x:t xml:space="preserve">tests/components/appearance/behavior.spec.ts; tests/components/appearance/documentation.spec.ts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46279</x:v>
      </x:c>
      <x:c r="K14" s="150" t="n"/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AP-07</x:t>
        </x:is>
      </x:c>
      <x:c r="B15" s="149" t="inlineStr">
        <x:is>
          <x:t xml:space="preserve">Portals</x:t>
        </x:is>
      </x:c>
      <x:c r="C15" s="149" t="inlineStr">
        <x:is>
          <x:t xml:space="preserve">Drawer roots</x:t>
        </x:is>
      </x:c>
      <x:c r="D15" s="150" t="inlineStr">
        <x:is>
          <x:t xml:space="preserve">Explicitly scoped portalled visual roots keep the intended appearance without changing Drawer dismissal, focus, or return behavior.</x:t>
        </x:is>
      </x:c>
      <x:c r="E15" s="149" t="inlineStr">
        <x:is>
          <x:t xml:space="preserve">package</x:t>
        </x:is>
      </x:c>
      <x:c r="F15" s="149" t="inlineStr">
        <x:is>
          <x:t xml:space="preserve">browser</x:t>
        </x:is>
      </x:c>
      <x:c r="G15" s="150" t="inlineStr">
        <x:is>
          <x:t xml:space="preserve">tests/components/appearance/behavior.spec.ts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46257</x:v>
      </x:c>
      <x:c r="K15" s="150" t="n"/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AP-08</x:t>
        </x:is>
      </x:c>
      <x:c r="B16" s="149" t="inlineStr">
        <x:is>
          <x:t xml:space="preserve">Theme</x:t>
        </x:is>
      </x:c>
      <x:c r="C16" s="149" t="inlineStr">
        <x:is>
          <x:t xml:space="preserve">Compiled inputs</x:t>
        </x:is>
      </x:c>
      <x:c r="D16" s="150" t="inlineStr">
        <x:is>
          <x:t xml:space="preserve">Compiled Theme selectors and component inputs reach nested scopes, container portals, and explicitly scoped body-level roots.</x:t>
        </x:is>
      </x:c>
      <x:c r="E16" s="149" t="inlineStr">
        <x:is>
          <x:t xml:space="preserve">package</x:t>
        </x:is>
      </x:c>
      <x:c r="F16" s="149" t="inlineStr">
        <x:is>
          <x:t xml:space="preserve">browser</x:t>
        </x:is>
      </x:c>
      <x:c r="G16" s="150" t="inlineStr">
        <x:is>
          <x:t xml:space="preserve">tests/components/appearance/behavior.spec.ts; tests/integration/theme-qualification.spec.ts</x:t>
        </x:is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n">
        <x:v>46257</x:v>
      </x:c>
      <x:c r="K16" s="150" t="n"/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AP-09</x:t>
        </x:is>
      </x:c>
      <x:c r="B17" s="149" t="inlineStr">
        <x:is>
          <x:t xml:space="preserve">Accessibility</x:t>
        </x:is>
      </x:c>
      <x:c r="C17" s="149" t="inlineStr">
        <x:is>
          <x:t xml:space="preserve">Boundary</x:t>
        </x:is>
      </x:c>
      <x:c r="D17" s="150" t="inlineStr">
        <x:is>
          <x:t xml:space="preserve">Appearance adds no role, accessible name, focus behavior, or client state and remains deterministic during SSR and hydration.</x:t>
        </x:is>
      </x:c>
      <x:c r="E17" s="149" t="inlineStr">
        <x:is>
          <x:t xml:space="preserve">package</x:t>
        </x:is>
      </x:c>
      <x:c r="F17" s="149" t="inlineStr">
        <x:is>
          <x:t xml:space="preserve">axe</x:t>
        </x:is>
      </x:c>
      <x:c r="G17" s="150" t="inlineStr">
        <x:is>
          <x:t xml:space="preserve">tests/components/appearance/behavior.spec.ts; ../test/package/ssr.test.mjs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n">
        <x:v>46257</x:v>
      </x:c>
      <x:c r="K17" s="150" t="n"/>
      <x:c r="L17" s="149" t="n">
        <x:v>1</x:v>
      </x:c>
      <x:c r="M17" s="149" t="n">
        <x:f>IF(OR(AND(I17="yes",H17="verified"),AND(I17="no",OR(H17="tested",H17="verified")),AND(H17="not applicable",K17&lt;&gt;"")),1,0)</x:f>
        <x:v>1</x:v>
      </x:c>
    </x:row>
    <x:row r="18" s="127" customFormat="1" ht="54" customHeight="1">
      <x:c r="A18" s="149" t="inlineStr">
        <x:is>
          <x:t xml:space="preserve">AP-10</x:t>
        </x:is>
      </x:c>
      <x:c r="B18" s="149" t="inlineStr">
        <x:is>
          <x:t xml:space="preserve">Visual</x:t>
        </x:is>
      </x:c>
      <x:c r="C18" s="149" t="inlineStr">
        <x:is>
          <x:t xml:space="preserve">Scopes</x:t>
        </x:is>
      </x:c>
      <x:c r="D18" s="150" t="inlineStr">
        <x:is>
          <x:t xml:space="preserve">Baselines cover nested re-entry, wrapper-free composition, explicit portal scope, compact width, light, dark, and compiled Theme behavior.</x:t>
        </x:is>
      </x:c>
      <x:c r="E18" s="149" t="inlineStr">
        <x:is>
          <x:t xml:space="preserve">package</x:t>
        </x:is>
      </x:c>
      <x:c r="F18" s="149" t="inlineStr">
        <x:is>
          <x:t xml:space="preserve">visual</x:t>
        </x:is>
      </x:c>
      <x:c r="G18" s="150" t="inlineStr">
        <x:is>
          <x:t xml:space="preserve">tests/components/appearance/visual.spec.ts</x:t>
        </x:is>
      </x:c>
      <x:c r="H18" s="149" t="inlineStr">
        <x:is>
          <x:t xml:space="preserve">implemented</x:t>
        </x:is>
      </x:c>
      <x:c r="I18" s="149" t="inlineStr">
        <x:is>
          <x:t xml:space="preserve">yes</x:t>
        </x:is>
      </x:c>
      <x:c r="J18" s="151" t="n"/>
      <x:c r="K18" s="150" t="inlineStr">
        <x:is>
          <x:t xml:space="preserve">Automated baselines exist; complete owner visual review is intentionally unclaimed.</x:t>
        </x:is>
      </x:c>
      <x:c r="L18" s="149" t="n">
        <x:v>1</x:v>
      </x:c>
      <x:c r="M18" s="149" t="n">
        <x:f>IF(OR(AND(I18="yes",H18="verified"),AND(I18="no",OR(H18="tested",H18="verified")),AND(H18="not applicable",K18&lt;&gt;"")),1,0)</x:f>
        <x:v>0</x:v>
      </x:c>
    </x:row>
    <x:row r="19" s="127" customFormat="1" ht="54" customHeight="1">
      <x:c r="A19" s="149" t="inlineStr">
        <x:is>
          <x:t xml:space="preserve">AP-11</x:t>
        </x:is>
      </x:c>
      <x:c r="B19" s="149" t="inlineStr">
        <x:is>
          <x:t xml:space="preserve">Responsive</x:t>
        </x:is>
      </x:c>
      <x:c r="C19" s="149" t="inlineStr">
        <x:is>
          <x:t xml:space="preserve">Scopes</x:t>
        </x:is>
      </x:c>
      <x:c r="D19" s="150" t="inlineStr">
        <x:is>
          <x:t xml:space="preserve">Narrow width, 200% and 400% zoom, RTL, forced colors, reduced motion, and keyboard use preserve containment, focus, and contrast.</x:t>
        </x:is>
      </x:c>
      <x:c r="E19" s="149" t="inlineStr">
        <x:is>
          <x:t xml:space="preserve">package</x:t>
        </x:is>
      </x:c>
      <x:c r="F19" s="149" t="inlineStr">
        <x:is>
          <x:t xml:space="preserve">manual</x:t>
        </x:is>
      </x:c>
      <x:c r="G19" s="150" t="inlineStr">
        <x:is>
          <x:t xml:space="preserve">manual-tests/appearance.md</x:t>
        </x:is>
      </x:c>
      <x:c r="H19" s="149" t="inlineStr">
        <x:is>
          <x:t xml:space="preserve">implemented</x:t>
        </x:is>
      </x:c>
      <x:c r="I19" s="149" t="inlineStr">
        <x:is>
          <x:t xml:space="preserve">yes</x:t>
        </x:is>
      </x:c>
      <x:c r="J19" s="151" t="n"/>
      <x:c r="K19" s="150" t="inlineStr">
        <x:is>
          <x:t xml:space="preserve">Automated compact evidence passes; the complete human stress run remains pending.</x:t>
        </x:is>
      </x:c>
      <x:c r="L19" s="149" t="n">
        <x:v>1</x:v>
      </x:c>
      <x:c r="M19" s="149" t="n">
        <x:f>IF(OR(AND(I19="yes",H19="verified"),AND(I19="no",OR(H19="tested",H19="verified")),AND(H19="not applicable",K19&lt;&gt;"")),1,0)</x:f>
        <x:v>0</x:v>
      </x:c>
    </x:row>
    <x:row r="20" s="127" customFormat="1" ht="54" customHeight="1">
      <x:c r="A20" s="149" t="inlineStr">
        <x:is>
          <x:t xml:space="preserve">AP-12</x:t>
        </x:is>
      </x:c>
      <x:c r="B20" s="149" t="inlineStr">
        <x:is>
          <x:t xml:space="preserve">Manual</x:t>
        </x:is>
      </x:c>
      <x:c r="C20" s="149" t="inlineStr">
        <x:is>
          <x:t xml:space="preserve">Appearance</x:t>
        </x:is>
      </x:c>
      <x:c r="D20" s="150" t="inlineStr">
        <x:is>
          <x:t xml:space="preserve">A tester completes the component-owned nested, portal, stress, Theme, and assistive-technology protocol.</x:t>
        </x:is>
      </x:c>
      <x:c r="E20" s="149" t="inlineStr">
        <x:is>
          <x:t xml:space="preserve">package</x:t>
        </x:is>
      </x:c>
      <x:c r="F20" s="149" t="inlineStr">
        <x:is>
          <x:t xml:space="preserve">manual</x:t>
        </x:is>
      </x:c>
      <x:c r="G20" s="150" t="inlineStr">
        <x:is>
          <x:t xml:space="preserve">manual-tests/appearance.md</x:t>
        </x:is>
      </x:c>
      <x:c r="H20" s="149" t="inlineStr">
        <x:is>
          <x:t xml:space="preserve">implemented</x:t>
        </x:is>
      </x:c>
      <x:c r="I20" s="149" t="inlineStr">
        <x:is>
          <x:t xml:space="preserve">yes</x:t>
        </x:is>
      </x:c>
      <x:c r="J20" s="151" t="n"/>
      <x:c r="K20" s="150" t="inlineStr">
        <x:is>
          <x:t xml:space="preserve">Protocol exists; owner human review remains intentionally unclaimed.</x:t>
        </x:is>
      </x:c>
      <x:c r="L20" s="149" t="n">
        <x:v>1</x:v>
      </x:c>
      <x:c r="M20" s="149" t="n">
        <x:f>IF(OR(AND(I20="yes",H20="verified"),AND(I20="no",OR(H20="tested",H20="verified")),AND(H20="not applicable",K20&lt;&gt;"")),1,0)</x:f>
        <x:v>0</x:v>
      </x:c>
    </x:row>
    <x:row r="21" s="127" customFormat="1" ht="54" customHeight="1">
      <x:c r="A21" s="149" t="inlineStr">
        <x:is>
          <x:t xml:space="preserve">AP-13</x:t>
        </x:is>
      </x:c>
      <x:c r="B21" s="149" t="inlineStr">
        <x:is>
          <x:t xml:space="preserve">Docs</x:t>
        </x:is>
      </x:c>
      <x:c r="C21" s="149" t="inlineStr">
        <x:is>
          <x:t xml:space="preserve">Appearance</x:t>
        </x:is>
      </x:c>
      <x:c r="D21" s="150" t="inlineStr">
        <x:is>
          <x:t xml:space="preserve">Utilities documentation includes Usage, Nested, Portalled, Page scope, Native HTML, Composition, Guide and Props.</x:t>
        </x:is>
      </x:c>
      <x:c r="E21" s="149" t="inlineStr">
        <x:is>
          <x:t xml:space="preserve">package</x:t>
        </x:is>
      </x:c>
      <x:c r="F21" s="149" t="inlineStr">
        <x:is>
          <x:t xml:space="preserve">docs</x:t>
        </x:is>
      </x:c>
      <x:c r="G21" s="150" t="inlineStr">
        <x:is>
          <x:t xml:space="preserve">../docs/components/appearance/README.md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46279</x:v>
      </x:c>
      <x:c r="K21" s="150" t="n"/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AP-14</x:t>
        </x:is>
      </x:c>
      <x:c r="B22" s="149" t="inlineStr">
        <x:is>
          <x:t xml:space="preserve">Agent Knowledge</x:t>
        </x:is>
      </x:c>
      <x:c r="C22" s="149" t="inlineStr">
        <x:is>
          <x:t xml:space="preserve">Selection</x:t>
        </x:is>
      </x:c>
      <x:c r="D22" s="150" t="inlineStr">
        <x:is>
          <x:t xml:space="preserve">Guidance distinguishes foreground inheritance from background paint and document preference ownership.</x:t>
        </x:is>
      </x:c>
      <x:c r="E22" s="149" t="inlineStr">
        <x:is>
          <x:t xml:space="preserve">package</x:t>
        </x:is>
      </x:c>
      <x:c r="F22" s="149" t="inlineStr">
        <x:is>
          <x:t xml:space="preserve">documentation</x:t>
        </x:is>
      </x:c>
      <x:c r="G22" s="150" t="inlineStr">
        <x:is>
          <x:t xml:space="preserve">../src/components/appearance/agent.json; ../src/components/appearance/agent.md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46279</x:v>
      </x:c>
      <x:c r="K22" s="150" t="n"/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AP-15</x:t>
        </x:is>
      </x:c>
      <x:c r="B23" s="149" t="inlineStr">
        <x:is>
          <x:t xml:space="preserve">Changelog</x:t>
        </x:is>
      </x:c>
      <x:c r="C23" s="149" t="inlineStr">
        <x:is>
          <x:t xml:space="preserve">Appearance</x:t>
        </x:is>
      </x:c>
      <x:c r="D23" s="150" t="inlineStr">
        <x:is>
          <x:t xml:space="preserve">Appearance owns a public changelog and the package history records its scope and compiled Theme qualification.</x:t>
        </x:is>
      </x:c>
      <x:c r="E23" s="149" t="inlineStr">
        <x:is>
          <x:t xml:space="preserve">package</x:t>
        </x:is>
      </x:c>
      <x:c r="F23" s="149" t="inlineStr">
        <x:is>
          <x:t xml:space="preserve">docs</x:t>
        </x:is>
      </x:c>
      <x:c r="G23" s="150" t="inlineStr">
        <x:is>
          <x:t xml:space="preserve">../docs/components/appearance/CHANGELOG.md; ../CHANGELOG.md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>
        <x:v>46257</x:v>
      </x:c>
      <x:c r="K23" s="150" t="n"/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AP-16</x:t>
        </x:is>
      </x:c>
      <x:c r="B24" s="149" t="inlineStr">
        <x:is>
          <x:t xml:space="preserve">Consumer</x:t>
        </x:is>
      </x:c>
      <x:c r="C24" s="149" t="inlineStr">
        <x:is>
          <x:t xml:space="preserve">Appearance</x:t>
        </x:is>
      </x:c>
      <x:c r="D24" s="150" t="inlineStr">
        <x:is>
          <x:t xml:space="preserve">A packed consumer directly composes the local Appearance component rather than only owning document preference state.</x:t>
        </x:is>
      </x:c>
      <x:c r="E24" s="149" t="inlineStr">
        <x:is>
          <x:t xml:space="preserve">consumer</x:t>
        </x:is>
      </x:c>
      <x:c r="F24" s="149" t="inlineStr">
        <x:is>
          <x:t xml:space="preserve">consumer</x:t>
        </x:is>
      </x:c>
      <x:c r="G24" s="150" t="inlineStr">
        <x:is>
          <x:t xml:space="preserve">../apps/consumer</x:t>
        </x:is>
      </x:c>
      <x:c r="H24" s="149" t="inlineStr">
        <x:is>
          <x:t xml:space="preserve">not applicable</x:t>
        </x:is>
      </x:c>
      <x:c r="I24" s="149" t="inlineStr">
        <x:is>
          <x:t xml:space="preserve">no</x:t>
        </x:is>
      </x:c>
      <x:c r="J24" s="151" t="n"/>
      <x:c r="K24" s="150" t="inlineStr">
        <x:is>
          <x:t xml:space="preserve">The packed consumer currently owns document-root preference state and does not directly import Appearance; package and SSR gates prove this component.</x:t>
        </x:is>
      </x:c>
      <x:c r="L24" s="149" t="n">
        <x:v>1</x:v>
      </x:c>
      <x:c r="M24" s="149" t="n">
        <x:f>IF(OR(AND(I24="yes",H24="verified"),AND(I24="no",OR(H24="tested",H24="verified")),AND(H24="not applicable",K24&lt;&gt;"")),1,0)</x:f>
        <x:v>1</x:v>
      </x:c>
    </x:row>
    <x:row r="25" s="127" customFormat="1" ht="54" customHeight="1">
      <x:c r="A25" s="149" t="inlineStr">
        <x:is>
          <x:t xml:space="preserve">AP-17</x:t>
        </x:is>
      </x:c>
      <x:c r="B25" s="149" t="inlineStr">
        <x:is>
          <x:t xml:space="preserve">Package</x:t>
        </x:is>
      </x:c>
      <x:c r="C25" s="149" t="inlineStr">
        <x:is>
          <x:t xml:space="preserve">Appearance</x:t>
        </x:is>
      </x:c>
      <x:c r="D25" s="150" t="inlineStr">
        <x:is>
          <x:t xml:space="preserve">Build, SSR, exports, CSS, tokens, tarball, React 18/19, docs, browser, axe, and visual gates pass.</x:t>
        </x:is>
      </x:c>
      <x:c r="E25" s="149" t="inlineStr">
        <x:is>
          <x:t xml:space="preserve">package</x:t>
        </x:is>
      </x:c>
      <x:c r="F25" s="149" t="inlineStr">
        <x:is>
          <x:t xml:space="preserve">package</x:t>
        </x:is>
      </x:c>
      <x:c r="G25" s="150" t="inlineStr">
        <x:is>
          <x:t xml:space="preserve">../test/package; ../scripts/verify-package.mjs</x:t>
        </x:is>
      </x:c>
      <x:c r="H25" s="149" t="inlineStr">
        <x:is>
          <x:t xml:space="preserve">implemented</x:t>
        </x:is>
      </x:c>
      <x:c r="I25" s="149" t="inlineStr">
        <x:is>
          <x:t xml:space="preserve">yes</x:t>
        </x:is>
      </x:c>
      <x:c r="J25" s="151" t="n"/>
      <x:c r="K25" s="150" t="inlineStr">
        <x:is>
          <x:t xml:space="preserve">Automated package gates pass; complete status waits for the component-owned human manual run.</x:t>
        </x:is>
      </x:c>
      <x:c r="L25" s="149" t="n">
        <x:v>1</x:v>
      </x:c>
      <x:c r="M25" s="149" t="n">
        <x:f>IF(OR(AND(I25="yes",H25="verified"),AND(I25="no",OR(H25="tested",H25="verified")),AND(H25="not applicable",K25&lt;&gt;"")),1,0)</x:f>
        <x:v>0</x:v>
      </x:c>
    </x:row>
  </x:sheetData>
  <x:mergeCells>
    <x:mergeCell ref="A2:M2"/>
    <x:mergeCell ref="A1:M1"/>
  </x:mergeCells>
  <x:conditionalFormatting sqref="H9:H25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0" showDropDown="0" showInputMessage="0" showErrorMessage="0" sqref="H9:H25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25">
      <x:formula1>"yes,no"</x:formula1>
      <x:formula2>0</x:formula2>
    </x:dataValidation>
  </x:dataValidations>
  <x:pageMargins left="0.7" right="0.7" top="0.75" bottom="0.75" header="0.3" footer="0.3"/>
</x:worksheet>
</file>

<file path=xl/worksheets/sheet83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Frame Evidence</x:t>
        </x:is>
      </x:c>
    </x:row>
    <x:row r="2" s="127" customFormat="1" ht="27.75" customHeight="1">
      <x:c r="A2" s="129" t="inlineStr">
        <x:is>
          <x:t xml:space="preserve">Assertion-level logical size-constraint, responsive, nesting, composition, browser, documentation, and package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COUNTA(A9:A24)</x:f>
        <x:v>16</x:v>
      </x:c>
      <x:c r="D4" s="130" t="inlineStr">
        <x:is>
          <x:t xml:space="preserve">Resolved</x:t>
        </x:is>
      </x:c>
      <x:c r="E4" s="131" t="n">
        <x:f>SUM(M9:M24)</x:f>
        <x:v>12</x:v>
      </x:c>
      <x:c r="G4" s="130" t="inlineStr">
        <x:is>
          <x:t xml:space="preserve">Completion</x:t>
        </x:is>
      </x:c>
      <x:c r="H4" s="132" t="n">
        <x:f>IF(B4=0,0,E4/B4)</x:f>
        <x:v>0.75</x:v>
      </x:c>
      <x:c r="J4" s="130" t="inlineStr">
        <x:is>
          <x:t xml:space="preserve">Package gate</x:t>
        </x:is>
      </x:c>
      <x:c r="K4" s="131" t="str">
        <x:f>IF(COUNTIFS(E9:E24,"package",M9:M24,0)&gt;0,"open","complete")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IF(COUNTIFS(I9:I24,"yes",M9:M24,0)&gt;0,"open","complete")</x:f>
        <x:v>open</x:v>
      </x:c>
      <x:c r="D5" s="130" t="inlineStr">
        <x:is>
          <x:t xml:space="preserve">Consumer gate</x:t>
        </x:is>
      </x:c>
      <x:c r="E5" s="131" t="str">
        <x:f>IF(COUNTIFS(E9:E24,"consumer",M9:M24,0)&gt;0,"open","complete")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FR-01</x:t>
        </x:is>
      </x:c>
      <x:c r="B9" s="149" t="inlineStr">
        <x:is>
          <x:t xml:space="preserve">Implementation</x:t>
        </x:is>
      </x:c>
      <x:c r="C9" s="149" t="inlineStr">
        <x:is>
          <x:t xml:space="preserve">Frame</x:t>
        </x:is>
      </x:c>
      <x:c r="D9" s="150" t="inlineStr">
        <x:is>
          <x:t xml:space="preserve">Frame renders one approved semantic host and owns only six logical size constraints with stable hooks and forwarded refs.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../src/components/frame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46257</x:v>
      </x:c>
      <x:c r="K9" s="150" t="n"/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FR-02</x:t>
        </x:is>
      </x:c>
      <x:c r="B10" s="149" t="inlineStr">
        <x:is>
          <x:t xml:space="preserve">Exports</x:t>
        </x:is>
      </x:c>
      <x:c r="C10" s="149" t="inlineStr">
        <x:is>
          <x:t xml:space="preserve">Frame</x:t>
        </x:is>
      </x:c>
      <x:c r="D10" s="150" t="inlineStr">
        <x:is>
          <x:t xml:space="preserve">Root and frame subpath exports expose Frame and every public Frame type with identical runtime identity.</x:t>
        </x:is>
      </x:c>
      <x:c r="E10" s="149" t="inlineStr">
        <x:is>
          <x:t xml:space="preserve">package</x:t>
        </x:is>
      </x:c>
      <x:c r="F10" s="149" t="inlineStr">
        <x:is>
          <x:t xml:space="preserve">package</x:t>
        </x:is>
      </x:c>
      <x:c r="G10" s="150" t="inlineStr">
        <x:is>
          <x:t xml:space="preserve">../test/package/package.test.mjs; ../test/package/ssr.test.mjs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46257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FR-03</x:t>
        </x:is>
      </x:c>
      <x:c r="B11" s="149" t="inlineStr">
        <x:is>
          <x:t xml:space="preserve">Types</x:t>
        </x:is>
      </x:c>
      <x:c r="C11" s="149" t="inlineStr">
        <x:is>
          <x:t xml:space="preserve">Public surface</x:t>
        </x:is>
      </x:c>
      <x:c r="D11" s="150" t="inlineStr">
        <x:is>
          <x:t xml:space="preserve">Closed hosts, six responsive logical constraints, native props, refs, and rejected paint, overflow, and invalid breakpoint props type-check.</x:t>
        </x:is>
      </x:c>
      <x:c r="E11" s="149" t="inlineStr">
        <x:is>
          <x:t xml:space="preserve">package</x:t>
        </x:is>
      </x:c>
      <x:c r="F11" s="149" t="inlineStr">
        <x:is>
          <x:t xml:space="preserve">types</x:t>
        </x:is>
      </x:c>
      <x:c r="G11" s="150" t="inlineStr">
        <x:is>
          <x:t xml:space="preserve">../test/types/components/frame.test.ts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46257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FR-04</x:t>
        </x:is>
      </x:c>
      <x:c r="B12" s="149" t="inlineStr">
        <x:is>
          <x:t xml:space="preserve">CSS</x:t>
        </x:is>
      </x:c>
      <x:c r="C12" s="149" t="inlineStr">
        <x:is>
          <x:t xml:space="preserve">Frame</x:t>
        </x:is>
      </x:c>
      <x:c r="D12" s="150" t="inlineStr">
        <x:is>
          <x:t xml:space="preserve">Static CSS maps base and standard-breakpoint logical variables without taking over paint, layout, spacing, or overflow.</x:t>
        </x:is>
      </x:c>
      <x:c r="E12" s="149" t="inlineStr">
        <x:is>
          <x:t xml:space="preserve">package</x:t>
        </x:is>
      </x:c>
      <x:c r="F12" s="149" t="inlineStr">
        <x:is>
          <x:t xml:space="preserve">css</x:t>
        </x:is>
      </x:c>
      <x:c r="G12" s="150" t="inlineStr">
        <x:is>
          <x:t xml:space="preserve">../src/components/frame/frame.css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46257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FR-05</x:t>
        </x:is>
      </x:c>
      <x:c r="B13" s="149" t="inlineStr">
        <x:is>
          <x:t xml:space="preserve">Unit</x:t>
        </x:is>
      </x:c>
      <x:c r="C13" s="149" t="inlineStr">
        <x:is>
          <x:t xml:space="preserve">Frame</x:t>
        </x:is>
      </x:c>
      <x:c r="D13" s="150" t="inlineStr">
        <x:is>
          <x:t xml:space="preserve">Reject invalid numeric dimensions and Fragment hosts; preserve both callback-ref cleanups and supported constraints.</x:t>
        </x:is>
      </x:c>
      <x:c r="E13" s="149" t="inlineStr">
        <x:is>
          <x:t xml:space="preserve">package</x:t>
        </x:is>
      </x:c>
      <x:c r="F13" s="149" t="inlineStr">
        <x:is>
          <x:t xml:space="preserve">component</x:t>
        </x:is>
      </x:c>
      <x:c r="G13" s="150" t="inlineStr">
        <x:is>
          <x:t xml:space="preserve">../test/components/frame/frame.test.tsx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46275</x:v>
      </x:c>
      <x:c r="K13" s="150" t="n"/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FR-06</x:t>
        </x:is>
      </x:c>
      <x:c r="B14" s="149" t="inlineStr">
        <x:is>
          <x:t xml:space="preserve">Browser</x:t>
        </x:is>
      </x:c>
      <x:c r="C14" s="149" t="inlineStr">
        <x:is>
          <x:t xml:space="preserve">Constraints</x:t>
        </x:is>
      </x:c>
      <x:c r="D14" s="150" t="inlineStr">
        <x:is>
          <x:t xml:space="preserve">Constraints, breakpoint carry-forward and definite ScrollArea geometry pass in Chromium, Firefox and WebKit.</x:t>
        </x:is>
      </x:c>
      <x:c r="E14" s="149" t="inlineStr">
        <x:is>
          <x:t xml:space="preserve">package</x:t>
        </x:is>
      </x:c>
      <x:c r="F14" s="149" t="inlineStr">
        <x:is>
          <x:t xml:space="preserve">browser</x:t>
        </x:is>
      </x:c>
      <x:c r="G14" s="150" t="inlineStr">
        <x:is>
          <x:t xml:space="preserve">tests/components/frame/behavior.spec.ts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46275</x:v>
      </x:c>
      <x:c r="K14" s="150" t="n"/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FR-07</x:t>
        </x:is>
      </x:c>
      <x:c r="B15" s="149" t="inlineStr">
        <x:is>
          <x:t xml:space="preserve">Composition</x:t>
        </x:is>
      </x:c>
      <x:c r="C15" s="149" t="inlineStr">
        <x:is>
          <x:t xml:space="preserve">asChild</x:t>
        </x:is>
      </x:c>
      <x:c r="D15" s="150" t="inlineStr">
        <x:is>
          <x:t xml:space="preserve">Sparse Frame constraints preserve composed Button height, minimum target and padding before and after activation.</x:t>
        </x:is>
      </x:c>
      <x:c r="E15" s="149" t="inlineStr">
        <x:is>
          <x:t xml:space="preserve">package</x:t>
        </x:is>
      </x:c>
      <x:c r="F15" s="149" t="inlineStr">
        <x:is>
          <x:t xml:space="preserve">browser</x:t>
        </x:is>
      </x:c>
      <x:c r="G15" s="150" t="inlineStr">
        <x:is>
          <x:t xml:space="preserve">tests/components/frame/docs.spec.ts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46275</x:v>
      </x:c>
      <x:c r="K15" s="150" t="n"/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FR-08</x:t>
        </x:is>
      </x:c>
      <x:c r="B16" s="149" t="inlineStr">
        <x:is>
          <x:t xml:space="preserve">Nesting</x:t>
        </x:is>
      </x:c>
      <x:c r="C16" s="149" t="inlineStr">
        <x:is>
          <x:t xml:space="preserve">Frame</x:t>
        </x:is>
      </x:c>
      <x:c r="D16" s="150" t="inlineStr">
        <x:is>
          <x:t xml:space="preserve">Nested Frames keep base and responsive variables locally scoped instead of inheriting parent constraints.</x:t>
        </x:is>
      </x:c>
      <x:c r="E16" s="149" t="inlineStr">
        <x:is>
          <x:t xml:space="preserve">package</x:t>
        </x:is>
      </x:c>
      <x:c r="F16" s="149" t="inlineStr">
        <x:is>
          <x:t xml:space="preserve">browser</x:t>
        </x:is>
      </x:c>
      <x:c r="G16" s="150" t="inlineStr">
        <x:is>
          <x:t xml:space="preserve">tests/components/frame/behavior.spec.ts</x:t>
        </x:is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n">
        <x:v>46257</x:v>
      </x:c>
      <x:c r="K16" s="150" t="n"/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FR-09</x:t>
        </x:is>
      </x:c>
      <x:c r="B17" s="149" t="inlineStr">
        <x:is>
          <x:t xml:space="preserve">Accessibility</x:t>
        </x:is>
      </x:c>
      <x:c r="C17" s="149" t="inlineStr">
        <x:is>
          <x:t xml:space="preserve">Frame</x:t>
        </x:is>
      </x:c>
      <x:c r="D17" s="150" t="inlineStr">
        <x:is>
          <x:t xml:space="preserve">Logical sizing adds no landmark or behavior and preserves source order, focus visibility, axe, RTL, and vertical writing.</x:t>
        </x:is>
      </x:c>
      <x:c r="E17" s="149" t="inlineStr">
        <x:is>
          <x:t xml:space="preserve">package</x:t>
        </x:is>
      </x:c>
      <x:c r="F17" s="149" t="inlineStr">
        <x:is>
          <x:t xml:space="preserve">axe</x:t>
        </x:is>
      </x:c>
      <x:c r="G17" s="150" t="inlineStr">
        <x:is>
          <x:t xml:space="preserve">tests/components/frame/behavior.spec.ts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n">
        <x:v>46257</x:v>
      </x:c>
      <x:c r="K17" s="150" t="n"/>
      <x:c r="L17" s="149" t="n">
        <x:v>1</x:v>
      </x:c>
      <x:c r="M17" s="149" t="n">
        <x:f>IF(OR(AND(I17="yes",H17="verified"),AND(I17="no",OR(H17="tested",H17="verified")),AND(H17="not applicable",K17&lt;&gt;"")),1,0)</x:f>
        <x:v>1</x:v>
      </x:c>
    </x:row>
    <x:row r="18" s="127" customFormat="1" ht="54" customHeight="1">
      <x:c r="A18" s="149" t="inlineStr">
        <x:is>
          <x:t xml:space="preserve">FR-10</x:t>
        </x:is>
      </x:c>
      <x:c r="B18" s="149" t="inlineStr">
        <x:is>
          <x:t xml:space="preserve">Visual</x:t>
        </x:is>
      </x:c>
      <x:c r="C18" s="149" t="inlineStr">
        <x:is>
          <x:t xml:space="preserve">Constraints</x:t>
        </x:is>
      </x:c>
      <x:c r="D18" s="150" t="inlineStr">
        <x:is>
          <x:t xml:space="preserve">Baselines cover qualified constraints, nested composition, responsive mobile geometry, and readable containment.</x:t>
        </x:is>
      </x:c>
      <x:c r="E18" s="149" t="inlineStr">
        <x:is>
          <x:t xml:space="preserve">package</x:t>
        </x:is>
      </x:c>
      <x:c r="F18" s="149" t="inlineStr">
        <x:is>
          <x:t xml:space="preserve">visual</x:t>
        </x:is>
      </x:c>
      <x:c r="G18" s="150" t="inlineStr">
        <x:is>
          <x:t xml:space="preserve">tests/components/frame/visual.spec.ts; tests/components/frame/docs-visual.spec.ts</x:t>
        </x:is>
      </x:c>
      <x:c r="H18" s="149" t="inlineStr">
        <x:is>
          <x:t xml:space="preserve">implemented</x:t>
        </x:is>
      </x:c>
      <x:c r="I18" s="149" t="inlineStr">
        <x:is>
          <x:t xml:space="preserve">yes</x:t>
        </x:is>
      </x:c>
      <x:c r="J18" s="151" t="n"/>
      <x:c r="K18" s="150" t="inlineStr">
        <x:is>
          <x:t xml:space="preserve">Automated baselines exist; complete owner visual review is intentionally unclaimed.</x:t>
        </x:is>
      </x:c>
      <x:c r="L18" s="149" t="n">
        <x:v>1</x:v>
      </x:c>
      <x:c r="M18" s="149" t="n">
        <x:f>IF(OR(AND(I18="yes",H18="verified"),AND(I18="no",OR(H18="tested",H18="verified")),AND(H18="not applicable",K18&lt;&gt;"")),1,0)</x:f>
        <x:v>0</x:v>
      </x:c>
    </x:row>
    <x:row r="19" s="127" customFormat="1" ht="54" customHeight="1">
      <x:c r="A19" s="149" t="inlineStr">
        <x:is>
          <x:t xml:space="preserve">FR-11</x:t>
        </x:is>
      </x:c>
      <x:c r="B19" s="149" t="inlineStr">
        <x:is>
          <x:t xml:space="preserve">Responsive</x:t>
        </x:is>
      </x:c>
      <x:c r="C19" s="149" t="inlineStr">
        <x:is>
          <x:t xml:space="preserve">Frame</x:t>
        </x:is>
      </x:c>
      <x:c r="D19" s="150" t="inlineStr">
        <x:is>
          <x:t xml:space="preserve">Physical mobile, 200% and 400% zoom, long content, RTL, vertical writing, and bounded ScrollArea composition remain usable.</x:t>
        </x:is>
      </x:c>
      <x:c r="E19" s="149" t="inlineStr">
        <x:is>
          <x:t xml:space="preserve">package</x:t>
        </x:is>
      </x:c>
      <x:c r="F19" s="149" t="inlineStr">
        <x:is>
          <x:t xml:space="preserve">manual</x:t>
        </x:is>
      </x:c>
      <x:c r="G19" s="150" t="inlineStr">
        <x:is>
          <x:t xml:space="preserve">manual-tests/frame.md</x:t>
        </x:is>
      </x:c>
      <x:c r="H19" s="149" t="inlineStr">
        <x:is>
          <x:t xml:space="preserve">implemented</x:t>
        </x:is>
      </x:c>
      <x:c r="I19" s="149" t="inlineStr">
        <x:is>
          <x:t xml:space="preserve">yes</x:t>
        </x:is>
      </x:c>
      <x:c r="J19" s="151" t="n"/>
      <x:c r="K19" s="150" t="inlineStr">
        <x:is>
          <x:t xml:space="preserve">Automated logical stress evidence passes; the complete human run remains pending.</x:t>
        </x:is>
      </x:c>
      <x:c r="L19" s="149" t="n">
        <x:v>1</x:v>
      </x:c>
      <x:c r="M19" s="149" t="n">
        <x:f>IF(OR(AND(I19="yes",H19="verified"),AND(I19="no",OR(H19="tested",H19="verified")),AND(H19="not applicable",K19&lt;&gt;"")),1,0)</x:f>
        <x:v>0</x:v>
      </x:c>
    </x:row>
    <x:row r="20" s="127" customFormat="1" ht="54" customHeight="1">
      <x:c r="A20" s="149" t="inlineStr">
        <x:is>
          <x:t xml:space="preserve">FR-12</x:t>
        </x:is>
      </x:c>
      <x:c r="B20" s="149" t="inlineStr">
        <x:is>
          <x:t xml:space="preserve">Manual</x:t>
        </x:is>
      </x:c>
      <x:c r="C20" s="149" t="inlineStr">
        <x:is>
          <x:t xml:space="preserve">Frame</x:t>
        </x:is>
      </x:c>
      <x:c r="D20" s="150" t="inlineStr">
        <x:is>
          <x:t xml:space="preserve">A tester completes the component-owned constraints, nesting, scrolling, focus, writing-mode, and appearance protocol.</x:t>
        </x:is>
      </x:c>
      <x:c r="E20" s="149" t="inlineStr">
        <x:is>
          <x:t xml:space="preserve">package</x:t>
        </x:is>
      </x:c>
      <x:c r="F20" s="149" t="inlineStr">
        <x:is>
          <x:t xml:space="preserve">manual</x:t>
        </x:is>
      </x:c>
      <x:c r="G20" s="150" t="inlineStr">
        <x:is>
          <x:t xml:space="preserve">manual-tests/frame.md</x:t>
        </x:is>
      </x:c>
      <x:c r="H20" s="149" t="inlineStr">
        <x:is>
          <x:t xml:space="preserve">implemented</x:t>
        </x:is>
      </x:c>
      <x:c r="I20" s="149" t="inlineStr">
        <x:is>
          <x:t xml:space="preserve">yes</x:t>
        </x:is>
      </x:c>
      <x:c r="J20" s="151" t="n"/>
      <x:c r="K20" s="150" t="inlineStr">
        <x:is>
          <x:t xml:space="preserve">Protocol exists; owner human review remains intentionally unclaimed.</x:t>
        </x:is>
      </x:c>
      <x:c r="L20" s="149" t="n">
        <x:v>1</x:v>
      </x:c>
      <x:c r="M20" s="149" t="n">
        <x:f>IF(OR(AND(I20="yes",H20="verified"),AND(I20="no",OR(H20="tested",H20="verified")),AND(H20="not applicable",K20&lt;&gt;"")),1,0)</x:f>
        <x:v>0</x:v>
      </x:c>
    </x:row>
    <x:row r="21" s="127" customFormat="1" ht="54" customHeight="1">
      <x:c r="A21" s="149" t="inlineStr">
        <x:is>
          <x:t xml:space="preserve">FR-13</x:t>
        </x:is>
      </x:c>
      <x:c r="B21" s="149" t="inlineStr">
        <x:is>
          <x:t xml:space="preserve">Docs</x:t>
        </x:is>
      </x:c>
      <x:c r="C21" s="149" t="inlineStr">
        <x:is>
          <x:t xml:space="preserve">Frame</x:t>
        </x:is>
      </x:c>
      <x:c r="D21" s="150" t="inlineStr">
        <x:is>
          <x:t xml:space="preserve">Source-backed API and Agent Knowledge describe omitted sizing, sparse activation and supported scrolling composition.</x:t>
        </x:is>
      </x:c>
      <x:c r="E21" s="149" t="inlineStr">
        <x:is>
          <x:t xml:space="preserve">package</x:t>
        </x:is>
      </x:c>
      <x:c r="F21" s="149" t="inlineStr">
        <x:is>
          <x:t xml:space="preserve">docs</x:t>
        </x:is>
      </x:c>
      <x:c r="G21" s="150" t="inlineStr">
        <x:is>
          <x:t xml:space="preserve">../docs/components/frame/README.md; ../src/components/frame/agent.json; ../src/components/frame/agent.md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46275</x:v>
      </x:c>
      <x:c r="K21" s="150" t="n"/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FR-14</x:t>
        </x:is>
      </x:c>
      <x:c r="B22" s="149" t="inlineStr">
        <x:is>
          <x:t xml:space="preserve">Changelog</x:t>
        </x:is>
      </x:c>
      <x:c r="C22" s="149" t="inlineStr">
        <x:is>
          <x:t xml:space="preserve">Frame</x:t>
        </x:is>
      </x:c>
      <x:c r="D22" s="150" t="inlineStr">
        <x:is>
          <x:t xml:space="preserve">Frame owns a public changelog and package history records the responsive primitive and nested-scope correction.</x:t>
        </x:is>
      </x:c>
      <x:c r="E22" s="149" t="inlineStr">
        <x:is>
          <x:t xml:space="preserve">package</x:t>
        </x:is>
      </x:c>
      <x:c r="F22" s="149" t="inlineStr">
        <x:is>
          <x:t xml:space="preserve">docs</x:t>
        </x:is>
      </x:c>
      <x:c r="G22" s="150" t="inlineStr">
        <x:is>
          <x:t xml:space="preserve">../docs/components/frame/CHANGELOG.md; ../CHANGELOG.md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46257</x:v>
      </x:c>
      <x:c r="K22" s="150" t="n"/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FR-15</x:t>
        </x:is>
      </x:c>
      <x:c r="B23" s="149" t="inlineStr">
        <x:is>
          <x:t xml:space="preserve">Consumer</x:t>
        </x:is>
      </x:c>
      <x:c r="C23" s="149" t="inlineStr">
        <x:is>
          <x:t xml:space="preserve">Frame</x:t>
        </x:is>
      </x:c>
      <x:c r="D23" s="150" t="inlineStr">
        <x:is>
          <x:t xml:space="preserve">A packed consumer directly imports Frame for a realistic local size constraint.</x:t>
        </x:is>
      </x:c>
      <x:c r="E23" s="149" t="inlineStr">
        <x:is>
          <x:t xml:space="preserve">consumer</x:t>
        </x:is>
      </x:c>
      <x:c r="F23" s="149" t="inlineStr">
        <x:is>
          <x:t xml:space="preserve">consumer</x:t>
        </x:is>
      </x:c>
      <x:c r="G23" s="150" t="inlineStr">
        <x:is>
          <x:t xml:space="preserve">../apps/consumer</x:t>
        </x:is>
      </x:c>
      <x:c r="H23" s="149" t="inlineStr">
        <x:is>
          <x:t xml:space="preserve">not applicable</x:t>
        </x:is>
      </x:c>
      <x:c r="I23" s="149" t="inlineStr">
        <x:is>
          <x:t xml:space="preserve">no</x:t>
        </x:is>
      </x:c>
      <x:c r="J23" s="151" t="n"/>
      <x:c r="K23" s="150" t="inlineStr">
        <x:is>
          <x:t xml:space="preserve">The packed consumer does not directly import Frame; package, SSR, and component gates prove the public artifact.</x:t>
        </x:is>
      </x:c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FR-16</x:t>
        </x:is>
      </x:c>
      <x:c r="B24" s="149" t="inlineStr">
        <x:is>
          <x:t xml:space="preserve">Package</x:t>
        </x:is>
      </x:c>
      <x:c r="C24" s="149" t="inlineStr">
        <x:is>
          <x:t xml:space="preserve">Frame</x:t>
        </x:is>
      </x:c>
      <x:c r="D24" s="150" t="inlineStr">
        <x:is>
          <x:t xml:space="preserve">Build, SSR, exports, CSS, tarball, React 18/19, docs, browser, axe, and visual gates pass.</x:t>
        </x:is>
      </x:c>
      <x:c r="E24" s="149" t="inlineStr">
        <x:is>
          <x:t xml:space="preserve">package</x:t>
        </x:is>
      </x:c>
      <x:c r="F24" s="149" t="inlineStr">
        <x:is>
          <x:t xml:space="preserve">package</x:t>
        </x:is>
      </x:c>
      <x:c r="G24" s="150" t="inlineStr">
        <x:is>
          <x:t xml:space="preserve">../test/package; ../scripts/verify-package.mjs</x:t>
        </x:is>
      </x:c>
      <x:c r="H24" s="149" t="inlineStr">
        <x:is>
          <x:t xml:space="preserve">implemented</x:t>
        </x:is>
      </x:c>
      <x:c r="I24" s="149" t="inlineStr">
        <x:is>
          <x:t xml:space="preserve">yes</x:t>
        </x:is>
      </x:c>
      <x:c r="J24" s="151" t="n"/>
      <x:c r="K24" s="150" t="inlineStr">
        <x:is>
          <x:t xml:space="preserve">Automated package gates pass; complete status waits for the component-owned human manual run.</x:t>
        </x:is>
      </x:c>
      <x:c r="L24" s="149" t="n">
        <x:v>1</x:v>
      </x:c>
      <x:c r="M24" s="149" t="n">
        <x:f>IF(OR(AND(I24="yes",H24="verified"),AND(I24="no",OR(H24="tested",H24="verified")),AND(H24="not applicable",K24&lt;&gt;"")),1,0)</x:f>
        <x:v>0</x:v>
      </x:c>
    </x:row>
    <x:row r="25" s="127" customFormat="1" ht="54" customHeight="1"/>
  </x:sheetData>
  <x:mergeCells>
    <x:mergeCell ref="A2:M2"/>
    <x:mergeCell ref="A1:M1"/>
  </x:mergeCells>
  <x:conditionalFormatting sqref="H9:H24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0" showDropDown="0" showInputMessage="0" showErrorMessage="0" sqref="H9:H24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24">
      <x:formula1>"yes,no"</x:formula1>
      <x:formula2>0</x:formula2>
    </x:dataValidation>
  </x:dataValidations>
  <x:pageMargins left="0.7" right="0.7" top="0.75" bottom="0.75" header="0.3" footer="0.3"/>
</x:worksheet>
</file>

<file path=xl/worksheets/sheet84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Section Evidence</x:t>
        </x:is>
      </x:c>
    </x:row>
    <x:row r="2" s="127" customFormat="1" ht="27.75" customHeight="1">
      <x:c r="A2" s="129" t="inlineStr">
        <x:is>
          <x:t xml:space="preserve">Assertion-level semantic region, responsive rhythm, logical-edge, composition, accessibility, documentation, and package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COUNTA(A9:A25)</x:f>
        <x:v>17</x:v>
      </x:c>
      <x:c r="D4" s="130" t="inlineStr">
        <x:is>
          <x:t xml:space="preserve">Resolved</x:t>
        </x:is>
      </x:c>
      <x:c r="E4" s="131" t="n">
        <x:f>SUM(M9:M25)</x:f>
        <x:v>14</x:v>
      </x:c>
      <x:c r="G4" s="130" t="inlineStr">
        <x:is>
          <x:t xml:space="preserve">Completion</x:t>
        </x:is>
      </x:c>
      <x:c r="H4" s="132" t="n">
        <x:f>IF(B4=0,0,E4/B4)</x:f>
        <x:v>0.8235294117647058</x:v>
      </x:c>
      <x:c r="J4" s="130" t="inlineStr">
        <x:is>
          <x:t xml:space="preserve">Package gate</x:t>
        </x:is>
      </x:c>
      <x:c r="K4" s="131" t="str">
        <x:f>IF(COUNTIFS(E9:E25,"package",M9:M25,0)&gt;0,"open","complete")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IF(COUNTIFS(I9:I25,"yes",M9:M25,0)&gt;0,"open","complete")</x:f>
        <x:v>open</x:v>
      </x:c>
      <x:c r="D5" s="130" t="inlineStr">
        <x:is>
          <x:t xml:space="preserve">Consumer gate</x:t>
        </x:is>
      </x:c>
      <x:c r="E5" s="131" t="str">
        <x:f>IF(COUNTIFS(E9:E25,"consumer",M9:M25,0)&gt;0,"open","complete")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SE-01</x:t>
        </x:is>
      </x:c>
      <x:c r="B9" s="149" t="inlineStr">
        <x:is>
          <x:t xml:space="preserve">Implementation</x:t>
        </x:is>
      </x:c>
      <x:c r="C9" s="149" t="inlineStr">
        <x:is>
          <x:t xml:space="preserve">Section</x:t>
        </x:is>
      </x:c>
      <x:c r="D9" s="150" t="inlineStr">
        <x:is>
          <x:t xml:space="preserve">Section renders one approved native host and owns only themeable logical block rhythm with stable hooks and forwarded refs.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../src/components/section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46257</x:v>
      </x:c>
      <x:c r="K9" s="150" t="n"/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SE-02</x:t>
        </x:is>
      </x:c>
      <x:c r="B10" s="149" t="inlineStr">
        <x:is>
          <x:t xml:space="preserve">Exports</x:t>
        </x:is>
      </x:c>
      <x:c r="C10" s="149" t="inlineStr">
        <x:is>
          <x:t xml:space="preserve">Section</x:t>
        </x:is>
      </x:c>
      <x:c r="D10" s="150" t="inlineStr">
        <x:is>
          <x:t xml:space="preserve">Root and section subpath exports expose Section and every public Section type with identical runtime identity.</x:t>
        </x:is>
      </x:c>
      <x:c r="E10" s="149" t="inlineStr">
        <x:is>
          <x:t xml:space="preserve">package</x:t>
        </x:is>
      </x:c>
      <x:c r="F10" s="149" t="inlineStr">
        <x:is>
          <x:t xml:space="preserve">package</x:t>
        </x:is>
      </x:c>
      <x:c r="G10" s="150" t="inlineStr">
        <x:is>
          <x:t xml:space="preserve">../test/package/package.test.mjs; ../test/package/ssr.test.mjs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46257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SE-03</x:t>
        </x:is>
      </x:c>
      <x:c r="B11" s="149" t="inlineStr">
        <x:is>
          <x:t xml:space="preserve">Types</x:t>
        </x:is>
      </x:c>
      <x:c r="C11" s="149" t="inlineStr">
        <x:is>
          <x:t xml:space="preserve">Public surface</x:t>
        </x:is>
      </x:c>
      <x:c r="D11" s="150" t="inlineStr">
        <x:is>
          <x:t xml:space="preserve">Closed hosts, six named spacing values, responsive and independent edge values, native props, refs, and ownership exclusions type-check.</x:t>
        </x:is>
      </x:c>
      <x:c r="E11" s="149" t="inlineStr">
        <x:is>
          <x:t xml:space="preserve">package</x:t>
        </x:is>
      </x:c>
      <x:c r="F11" s="149" t="inlineStr">
        <x:is>
          <x:t xml:space="preserve">types</x:t>
        </x:is>
      </x:c>
      <x:c r="G11" s="150" t="inlineStr">
        <x:is>
          <x:t xml:space="preserve">../test/types/components/section.test.ts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46257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SE-04</x:t>
        </x:is>
      </x:c>
      <x:c r="B12" s="149" t="inlineStr">
        <x:is>
          <x:t xml:space="preserve">CSS</x:t>
        </x:is>
      </x:c>
      <x:c r="C12" s="149" t="inlineStr">
        <x:is>
          <x:t xml:space="preserve">Rhythm</x:t>
        </x:is>
      </x:c>
      <x:c r="D12" s="150" t="inlineStr">
        <x:is>
          <x:t xml:space="preserve">Static CSS ships six fluid token-derived recipes, independent logical edges, responsive breakpoints, and public variables without paint or layout ownership.</x:t>
        </x:is>
      </x:c>
      <x:c r="E12" s="149" t="inlineStr">
        <x:is>
          <x:t xml:space="preserve">package</x:t>
        </x:is>
      </x:c>
      <x:c r="F12" s="149" t="inlineStr">
        <x:is>
          <x:t xml:space="preserve">css</x:t>
        </x:is>
      </x:c>
      <x:c r="G12" s="150" t="inlineStr">
        <x:is>
          <x:t xml:space="preserve">../src/components/section/section.css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46257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SE-05</x:t>
        </x:is>
      </x:c>
      <x:c r="B13" s="149" t="inlineStr">
        <x:is>
          <x:t xml:space="preserve">Unit</x:t>
        </x:is>
      </x:c>
      <x:c r="C13" s="149" t="inlineStr">
        <x:is>
          <x:t xml:space="preserve">Section</x:t>
        </x:is>
      </x:c>
      <x:c r="D13" s="150" t="inlineStr">
        <x:is>
          <x:t xml:space="preserve">Defaults, sparse responsive baseline, independent edges, native props and refs pass.</x:t>
        </x:is>
      </x:c>
      <x:c r="E13" s="149" t="inlineStr">
        <x:is>
          <x:t xml:space="preserve">package</x:t>
        </x:is>
      </x:c>
      <x:c r="F13" s="149" t="inlineStr">
        <x:is>
          <x:t xml:space="preserve">component</x:t>
        </x:is>
      </x:c>
      <x:c r="G13" s="150" t="inlineStr">
        <x:is>
          <x:t xml:space="preserve">../test/components/section/section.test.tsx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46279</x:v>
      </x:c>
      <x:c r="K13" s="150" t="n"/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SE-06</x:t>
        </x:is>
      </x:c>
      <x:c r="B14" s="149" t="inlineStr">
        <x:is>
          <x:t xml:space="preserve">Browser</x:t>
        </x:is>
      </x:c>
      <x:c r="C14" s="149" t="inlineStr">
        <x:is>
          <x:t xml:space="preserve">Scale</x:t>
        </x:is>
      </x:c>
      <x:c r="D14" s="150" t="inlineStr">
        <x:is>
          <x:t xml:space="preserve">The closed rhythm scale grows monotonically, keeps the medium default, and remains themeable in a real browser.</x:t>
        </x:is>
      </x:c>
      <x:c r="E14" s="149" t="inlineStr">
        <x:is>
          <x:t xml:space="preserve">package</x:t>
        </x:is>
      </x:c>
      <x:c r="F14" s="149" t="inlineStr">
        <x:is>
          <x:t xml:space="preserve">browser</x:t>
        </x:is>
      </x:c>
      <x:c r="G14" s="150" t="inlineStr">
        <x:is>
          <x:t xml:space="preserve">tests/components/section/behavior.spec.ts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46257</x:v>
      </x:c>
      <x:c r="K14" s="150" t="n"/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SE-07</x:t>
        </x:is>
      </x:c>
      <x:c r="B15" s="149" t="inlineStr">
        <x:is>
          <x:t xml:space="preserve">Responsive</x:t>
        </x:is>
      </x:c>
      <x:c r="C15" s="149" t="inlineStr">
        <x:is>
          <x:t xml:space="preserve">Rhythm</x:t>
        </x:is>
      </x:c>
      <x:c r="D15" s="150" t="inlineStr">
        <x:is>
          <x:t xml:space="preserve">Sparse spacing inherits md, resets at shared breakpoints and preserves independent edge inheritance.</x:t>
        </x:is>
      </x:c>
      <x:c r="E15" s="149" t="inlineStr">
        <x:is>
          <x:t xml:space="preserve">package</x:t>
        </x:is>
      </x:c>
      <x:c r="F15" s="149" t="inlineStr">
        <x:is>
          <x:t xml:space="preserve">browser</x:t>
        </x:is>
      </x:c>
      <x:c r="G15" s="150" t="inlineStr">
        <x:is>
          <x:t xml:space="preserve">tests/components/section/behavior.spec.ts; tests/components/section/docs.spec.ts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46279</x:v>
      </x:c>
      <x:c r="K15" s="150" t="n"/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SE-08</x:t>
        </x:is>
      </x:c>
      <x:c r="B16" s="149" t="inlineStr">
        <x:is>
          <x:t xml:space="preserve">Logical edges</x:t>
        </x:is>
      </x:c>
      <x:c r="C16" s="149" t="inlineStr">
        <x:is>
          <x:t xml:space="preserve">Section</x:t>
        </x:is>
      </x:c>
      <x:c r="D16" s="150" t="inlineStr">
        <x:is>
          <x:t xml:space="preserve">startSpacing and endSpacing change only their requested logical edges in horizontal and vertical writing.</x:t>
        </x:is>
      </x:c>
      <x:c r="E16" s="149" t="inlineStr">
        <x:is>
          <x:t xml:space="preserve">package</x:t>
        </x:is>
      </x:c>
      <x:c r="F16" s="149" t="inlineStr">
        <x:is>
          <x:t xml:space="preserve">browser</x:t>
        </x:is>
      </x:c>
      <x:c r="G16" s="150" t="inlineStr">
        <x:is>
          <x:t xml:space="preserve">tests/components/section/behavior.spec.ts</x:t>
        </x:is>
      </x:c>
      <x:c r="H16" s="149" t="inlineStr">
        <x:is>
          <x:t xml:space="preserve">tested</x:t>
        </x:is>
      </x:c>
      <x:c r="I16" s="149" t="inlineStr">
        <x:is>
          <x:t xml:space="preserve">no</x:t>
        </x:is>
      </x:c>
      <x:c r="J16" s="151" t="n">
        <x:v>46257</x:v>
      </x:c>
      <x:c r="K16" s="150" t="n"/>
      <x:c r="L16" s="149" t="n">
        <x:v>1</x:v>
      </x:c>
      <x:c r="M16" s="149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49" t="inlineStr">
        <x:is>
          <x:t xml:space="preserve">SE-09</x:t>
        </x:is>
      </x:c>
      <x:c r="B17" s="149" t="inlineStr">
        <x:is>
          <x:t xml:space="preserve">Composition</x:t>
        </x:is>
      </x:c>
      <x:c r="C17" s="149" t="inlineStr">
        <x:is>
          <x:t xml:space="preserve">Surface/Container</x:t>
        </x:is>
      </x:c>
      <x:c r="D17" s="150" t="inlineStr">
        <x:is>
          <x:t xml:space="preserve">Surface asChild and Section share one painted semantic host while Container and Stack retain measure and child-layout ownership.</x:t>
        </x:is>
      </x:c>
      <x:c r="E17" s="149" t="inlineStr">
        <x:is>
          <x:t xml:space="preserve">package</x:t>
        </x:is>
      </x:c>
      <x:c r="F17" s="149" t="inlineStr">
        <x:is>
          <x:t xml:space="preserve">browser</x:t>
        </x:is>
      </x:c>
      <x:c r="G17" s="150" t="inlineStr">
        <x:is>
          <x:t xml:space="preserve">tests/components/section/behavior.spec.ts; ../test/package/ssr.test.mjs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n">
        <x:v>46257</x:v>
      </x:c>
      <x:c r="K17" s="150" t="n"/>
      <x:c r="L17" s="149" t="n">
        <x:v>1</x:v>
      </x:c>
      <x:c r="M17" s="149" t="n">
        <x:f>IF(OR(AND(I17="yes",H17="verified"),AND(I17="no",OR(H17="tested",H17="verified")),AND(H17="not applicable",K17&lt;&gt;"")),1,0)</x:f>
        <x:v>1</x:v>
      </x:c>
    </x:row>
    <x:row r="18" s="127" customFormat="1" ht="54" customHeight="1">
      <x:c r="A18" s="149" t="inlineStr">
        <x:is>
          <x:t xml:space="preserve">SE-10</x:t>
        </x:is>
      </x:c>
      <x:c r="B18" s="149" t="inlineStr">
        <x:is>
          <x:t xml:space="preserve">Accessibility</x:t>
        </x:is>
      </x:c>
      <x:c r="C18" s="149" t="inlineStr">
        <x:is>
          <x:t xml:space="preserve">Section</x:t>
        </x:is>
      </x:c>
      <x:c r="D18" s="150" t="inlineStr">
        <x:is>
          <x:t xml:space="preserve">Section adds no role or name, preserves valid authored landmarks, source and focus order, axe, reflow, RTL, and vertical writing.</x:t>
        </x:is>
      </x:c>
      <x:c r="E18" s="149" t="inlineStr">
        <x:is>
          <x:t xml:space="preserve">package</x:t>
        </x:is>
      </x:c>
      <x:c r="F18" s="149" t="inlineStr">
        <x:is>
          <x:t xml:space="preserve">axe</x:t>
        </x:is>
      </x:c>
      <x:c r="G18" s="150" t="inlineStr">
        <x:is>
          <x:t xml:space="preserve">tests/components/section/behavior.spec.ts</x:t>
        </x:is>
      </x:c>
      <x:c r="H18" s="149" t="inlineStr">
        <x:is>
          <x:t xml:space="preserve">tested</x:t>
        </x:is>
      </x:c>
      <x:c r="I18" s="149" t="inlineStr">
        <x:is>
          <x:t xml:space="preserve">no</x:t>
        </x:is>
      </x:c>
      <x:c r="J18" s="151" t="n">
        <x:v>46257</x:v>
      </x:c>
      <x:c r="K18" s="150" t="n"/>
      <x:c r="L18" s="149" t="n">
        <x:v>1</x:v>
      </x:c>
      <x:c r="M18" s="149" t="n">
        <x:f>IF(OR(AND(I18="yes",H18="verified"),AND(I18="no",OR(H18="tested",H18="verified")),AND(H18="not applicable",K18&lt;&gt;"")),1,0)</x:f>
        <x:v>1</x:v>
      </x:c>
    </x:row>
    <x:row r="19" s="127" customFormat="1" ht="54" customHeight="1">
      <x:c r="A19" s="149" t="inlineStr">
        <x:is>
          <x:t xml:space="preserve">SE-11</x:t>
        </x:is>
      </x:c>
      <x:c r="B19" s="149" t="inlineStr">
        <x:is>
          <x:t xml:space="preserve">Visual</x:t>
        </x:is>
      </x:c>
      <x:c r="C19" s="149" t="inlineStr">
        <x:is>
          <x:t xml:space="preserve">Rhythm</x:t>
        </x:is>
      </x:c>
      <x:c r="D19" s="150" t="inlineStr">
        <x:is>
          <x:t xml:space="preserve">Baselines cover the complete scale, responsive mobile behavior, asymmetric edges, dark composition, and logical stress.</x:t>
        </x:is>
      </x:c>
      <x:c r="E19" s="149" t="inlineStr">
        <x:is>
          <x:t xml:space="preserve">package</x:t>
        </x:is>
      </x:c>
      <x:c r="F19" s="149" t="inlineStr">
        <x:is>
          <x:t xml:space="preserve">visual</x:t>
        </x:is>
      </x:c>
      <x:c r="G19" s="150" t="inlineStr">
        <x:is>
          <x:t xml:space="preserve">tests/components/section/visual.spec.ts</x:t>
        </x:is>
      </x:c>
      <x:c r="H19" s="149" t="inlineStr">
        <x:is>
          <x:t xml:space="preserve">implemented</x:t>
        </x:is>
      </x:c>
      <x:c r="I19" s="149" t="inlineStr">
        <x:is>
          <x:t xml:space="preserve">yes</x:t>
        </x:is>
      </x:c>
      <x:c r="J19" s="151" t="n"/>
      <x:c r="K19" s="150" t="inlineStr">
        <x:is>
          <x:t xml:space="preserve">Automated baselines exist; complete owner visual review is intentionally unclaimed.</x:t>
        </x:is>
      </x:c>
      <x:c r="L19" s="149" t="n">
        <x:v>1</x:v>
      </x:c>
      <x:c r="M19" s="149" t="n">
        <x:f>IF(OR(AND(I19="yes",H19="verified"),AND(I19="no",OR(H19="tested",H19="verified")),AND(H19="not applicable",K19&lt;&gt;"")),1,0)</x:f>
        <x:v>0</x:v>
      </x:c>
    </x:row>
    <x:row r="20" s="127" customFormat="1" ht="54" customHeight="1">
      <x:c r="A20" s="149" t="inlineStr">
        <x:is>
          <x:t xml:space="preserve">SE-12</x:t>
        </x:is>
      </x:c>
      <x:c r="B20" s="149" t="inlineStr">
        <x:is>
          <x:t xml:space="preserve">Manual</x:t>
        </x:is>
      </x:c>
      <x:c r="C20" s="149" t="inlineStr">
        <x:is>
          <x:t xml:space="preserve">Section</x:t>
        </x:is>
      </x:c>
      <x:c r="D20" s="150" t="inlineStr">
        <x:is>
          <x:t xml:space="preserve">A tester completes the component-owned scale, edge, semantic, composition, zoom, focus, and assistive-technology protocol.</x:t>
        </x:is>
      </x:c>
      <x:c r="E20" s="149" t="inlineStr">
        <x:is>
          <x:t xml:space="preserve">package</x:t>
        </x:is>
      </x:c>
      <x:c r="F20" s="149" t="inlineStr">
        <x:is>
          <x:t xml:space="preserve">manual</x:t>
        </x:is>
      </x:c>
      <x:c r="G20" s="150" t="inlineStr">
        <x:is>
          <x:t xml:space="preserve">manual-tests/section.md</x:t>
        </x:is>
      </x:c>
      <x:c r="H20" s="149" t="inlineStr">
        <x:is>
          <x:t xml:space="preserve">implemented</x:t>
        </x:is>
      </x:c>
      <x:c r="I20" s="149" t="inlineStr">
        <x:is>
          <x:t xml:space="preserve">yes</x:t>
        </x:is>
      </x:c>
      <x:c r="J20" s="151" t="n"/>
      <x:c r="K20" s="150" t="inlineStr">
        <x:is>
          <x:t xml:space="preserve">Protocol exists; owner human review remains intentionally unclaimed.</x:t>
        </x:is>
      </x:c>
      <x:c r="L20" s="149" t="n">
        <x:v>1</x:v>
      </x:c>
      <x:c r="M20" s="149" t="n">
        <x:f>IF(OR(AND(I20="yes",H20="verified"),AND(I20="no",OR(H20="tested",H20="verified")),AND(H20="not applicable",K20&lt;&gt;"")),1,0)</x:f>
        <x:v>0</x:v>
      </x:c>
    </x:row>
    <x:row r="21" s="127" customFormat="1" ht="54" customHeight="1">
      <x:c r="A21" s="149" t="inlineStr">
        <x:is>
          <x:t xml:space="preserve">SE-13</x:t>
        </x:is>
      </x:c>
      <x:c r="B21" s="149" t="inlineStr">
        <x:is>
          <x:t xml:space="preserve">Docs</x:t>
        </x:is>
      </x:c>
      <x:c r="C21" s="149" t="inlineStr">
        <x:is>
          <x:t xml:space="preserve">Section</x:t>
        </x:is>
      </x:c>
      <x:c r="D21" s="150" t="inlineStr">
        <x:is>
          <x:t xml:space="preserve">Public guidance covers selection, semantic ownership, named rhythm, responsive edges, composition, accessibility, CSS, and API details.</x:t>
        </x:is>
      </x:c>
      <x:c r="E21" s="149" t="inlineStr">
        <x:is>
          <x:t xml:space="preserve">package</x:t>
        </x:is>
      </x:c>
      <x:c r="F21" s="149" t="inlineStr">
        <x:is>
          <x:t xml:space="preserve">docs</x:t>
        </x:is>
      </x:c>
      <x:c r="G21" s="150" t="inlineStr">
        <x:is>
          <x:t xml:space="preserve">../docs/components/section/README.md</x:t>
        </x:is>
      </x:c>
      <x:c r="H21" s="149" t="inlineStr">
        <x:is>
          <x:t xml:space="preserve">tested</x:t>
        </x:is>
      </x:c>
      <x:c r="I21" s="149" t="inlineStr">
        <x:is>
          <x:t xml:space="preserve">no</x:t>
        </x:is>
      </x:c>
      <x:c r="J21" s="151" t="n">
        <x:v>46257</x:v>
      </x:c>
      <x:c r="K21" s="150" t="n"/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SE-14</x:t>
        </x:is>
      </x:c>
      <x:c r="B22" s="149" t="inlineStr">
        <x:is>
          <x:t xml:space="preserve">Agent Knowledge</x:t>
        </x:is>
      </x:c>
      <x:c r="C22" s="149" t="inlineStr">
        <x:is>
          <x:t xml:space="preserve">Selection</x:t>
        </x:is>
      </x:c>
      <x:c r="D22" s="150" t="inlineStr">
        <x:is>
          <x:t xml:space="preserve">Machine-readable guidance separates major-region rhythm from Surface paint, Container measure, Stack/Grid layout, and Blocks.</x:t>
        </x:is>
      </x:c>
      <x:c r="E22" s="149" t="inlineStr">
        <x:is>
          <x:t xml:space="preserve">package</x:t>
        </x:is>
      </x:c>
      <x:c r="F22" s="149" t="inlineStr">
        <x:is>
          <x:t xml:space="preserve">documentation</x:t>
        </x:is>
      </x:c>
      <x:c r="G22" s="150" t="inlineStr">
        <x:is>
          <x:t xml:space="preserve">../src/components/section/agent.json; ../src/components/section/agent.md</x:t>
        </x:is>
      </x:c>
      <x:c r="H22" s="149" t="inlineStr">
        <x:is>
          <x:t xml:space="preserve">tested</x:t>
        </x:is>
      </x:c>
      <x:c r="I22" s="149" t="inlineStr">
        <x:is>
          <x:t xml:space="preserve">no</x:t>
        </x:is>
      </x:c>
      <x:c r="J22" s="151" t="n">
        <x:v>46257</x:v>
      </x:c>
      <x:c r="K22" s="150" t="n"/>
      <x:c r="L22" s="149" t="n">
        <x:v>1</x:v>
      </x:c>
      <x:c r="M22" s="149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49" t="inlineStr">
        <x:is>
          <x:t xml:space="preserve">SE-15</x:t>
        </x:is>
      </x:c>
      <x:c r="B23" s="149" t="inlineStr">
        <x:is>
          <x:t xml:space="preserve">Changelog</x:t>
        </x:is>
      </x:c>
      <x:c r="C23" s="149" t="inlineStr">
        <x:is>
          <x:t xml:space="preserve">Section</x:t>
        </x:is>
      </x:c>
      <x:c r="D23" s="150" t="inlineStr">
        <x:is>
          <x:t xml:space="preserve">Section owns a public changelog and package history records the semantic responsive rhythm primitive.</x:t>
        </x:is>
      </x:c>
      <x:c r="E23" s="149" t="inlineStr">
        <x:is>
          <x:t xml:space="preserve">package</x:t>
        </x:is>
      </x:c>
      <x:c r="F23" s="149" t="inlineStr">
        <x:is>
          <x:t xml:space="preserve">docs</x:t>
        </x:is>
      </x:c>
      <x:c r="G23" s="150" t="inlineStr">
        <x:is>
          <x:t xml:space="preserve">../docs/components/section/CHANGELOG.md; ../CHANGELOG.md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>
        <x:v>46257</x:v>
      </x:c>
      <x:c r="K23" s="150" t="n"/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SE-16</x:t>
        </x:is>
      </x:c>
      <x:c r="B24" s="149" t="inlineStr">
        <x:is>
          <x:t xml:space="preserve">Consumer</x:t>
        </x:is>
      </x:c>
      <x:c r="C24" s="149" t="inlineStr">
        <x:is>
          <x:t xml:space="preserve">Section</x:t>
        </x:is>
      </x:c>
      <x:c r="D24" s="150" t="inlineStr">
        <x:is>
          <x:t xml:space="preserve">A packed consumer directly imports Section for a realistic major-region rhythm boundary.</x:t>
        </x:is>
      </x:c>
      <x:c r="E24" s="149" t="inlineStr">
        <x:is>
          <x:t xml:space="preserve">consumer</x:t>
        </x:is>
      </x:c>
      <x:c r="F24" s="149" t="inlineStr">
        <x:is>
          <x:t xml:space="preserve">consumer</x:t>
        </x:is>
      </x:c>
      <x:c r="G24" s="150" t="inlineStr">
        <x:is>
          <x:t xml:space="preserve">../apps/consumer</x:t>
        </x:is>
      </x:c>
      <x:c r="H24" s="149" t="inlineStr">
        <x:is>
          <x:t xml:space="preserve">not applicable</x:t>
        </x:is>
      </x:c>
      <x:c r="I24" s="149" t="inlineStr">
        <x:is>
          <x:t xml:space="preserve">no</x:t>
        </x:is>
      </x:c>
      <x:c r="J24" s="151" t="n"/>
      <x:c r="K24" s="150" t="inlineStr">
        <x:is>
          <x:t xml:space="preserve">The packed consumer currently uses other semantic Brick hosts rather than directly importing Section; package and SSR gates prove this component.</x:t>
        </x:is>
      </x:c>
      <x:c r="L24" s="149" t="n">
        <x:v>1</x:v>
      </x:c>
      <x:c r="M24" s="149" t="n">
        <x:f>IF(OR(AND(I24="yes",H24="verified"),AND(I24="no",OR(H24="tested",H24="verified")),AND(H24="not applicable",K24&lt;&gt;"")),1,0)</x:f>
        <x:v>1</x:v>
      </x:c>
    </x:row>
    <x:row r="25" s="127" customFormat="1" ht="54" customHeight="1">
      <x:c r="A25" s="149" t="inlineStr">
        <x:is>
          <x:t xml:space="preserve">SE-17</x:t>
        </x:is>
      </x:c>
      <x:c r="B25" s="149" t="inlineStr">
        <x:is>
          <x:t xml:space="preserve">Package</x:t>
        </x:is>
      </x:c>
      <x:c r="C25" s="149" t="inlineStr">
        <x:is>
          <x:t xml:space="preserve">Section</x:t>
        </x:is>
      </x:c>
      <x:c r="D25" s="150" t="inlineStr">
        <x:is>
          <x:t xml:space="preserve">Build, SSR, exports, CSS, tarball, React 18/19, docs, browser, axe, and visual gates pass.</x:t>
        </x:is>
      </x:c>
      <x:c r="E25" s="149" t="inlineStr">
        <x:is>
          <x:t xml:space="preserve">package</x:t>
        </x:is>
      </x:c>
      <x:c r="F25" s="149" t="inlineStr">
        <x:is>
          <x:t xml:space="preserve">package</x:t>
        </x:is>
      </x:c>
      <x:c r="G25" s="150" t="inlineStr">
        <x:is>
          <x:t xml:space="preserve">../test/package; ../scripts/verify-package.mjs</x:t>
        </x:is>
      </x:c>
      <x:c r="H25" s="149" t="inlineStr">
        <x:is>
          <x:t xml:space="preserve">implemented</x:t>
        </x:is>
      </x:c>
      <x:c r="I25" s="149" t="inlineStr">
        <x:is>
          <x:t xml:space="preserve">yes</x:t>
        </x:is>
      </x:c>
      <x:c r="J25" s="151" t="n"/>
      <x:c r="K25" s="150" t="inlineStr">
        <x:is>
          <x:t xml:space="preserve">Automated package gates pass; complete status waits for the component-owned human manual run.</x:t>
        </x:is>
      </x:c>
      <x:c r="L25" s="149" t="n">
        <x:v>1</x:v>
      </x:c>
      <x:c r="M25" s="149" t="n">
        <x:f>IF(OR(AND(I25="yes",H25="verified"),AND(I25="no",OR(H25="tested",H25="verified")),AND(H25="not applicable",K25&lt;&gt;"")),1,0)</x:f>
        <x:v>0</x:v>
      </x:c>
    </x:row>
  </x:sheetData>
  <x:mergeCells>
    <x:mergeCell ref="A2:M2"/>
    <x:mergeCell ref="A1:M1"/>
  </x:mergeCells>
  <x:conditionalFormatting sqref="H9:H25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0" showDropDown="0" showInputMessage="0" showErrorMessage="0" sqref="H9:H25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25">
      <x:formula1>"yes,no"</x:formula1>
      <x:formula2>0</x:formula2>
    </x:dataValidation>
  </x:dataValidations>
  <x:pageMargins left="0.7" right="0.7" top="0.75" bottom="0.75" header="0.3" footer="0.3"/>
</x:worksheet>
</file>

<file path=xl/worksheets/sheet85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Reorderable List Evidence</x:t>
        </x:is>
      </x:c>
    </x:row>
    <x:row r="2" s="127" customFormat="1" ht="27.75" customHeight="1">
      <x:c r="A2" s="129" t="inlineStr">
        <x:is>
          <x:t xml:space="preserve">Assertion-level Atom-backed manual ordering, recipes, input parity, focus, responsive containment, documentation, Consumer, and accessibility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COUNTA(A9:A27)</x:f>
        <x:v>19</x:v>
      </x:c>
      <x:c r="D4" s="130" t="inlineStr">
        <x:is>
          <x:t xml:space="preserve">Resolved</x:t>
        </x:is>
      </x:c>
      <x:c r="E4" s="131" t="n">
        <x:f>SUM(M9:M27)</x:f>
        <x:v>14</x:v>
      </x:c>
      <x:c r="G4" s="130" t="inlineStr">
        <x:is>
          <x:t xml:space="preserve">Completion</x:t>
        </x:is>
      </x:c>
      <x:c r="H4" s="132" t="n">
        <x:f>IF(B4=0,0,E4/B4)</x:f>
        <x:v>0.7368421052631579</x:v>
      </x:c>
      <x:c r="J4" s="130" t="inlineStr">
        <x:is>
          <x:t xml:space="preserve">Package gate</x:t>
        </x:is>
      </x:c>
      <x:c r="K4" s="131" t="str">
        <x:f>IF(COUNTIFS(E9:E27,"package",M9:M27,0)&gt;0,"open","complete")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IF(COUNTIFS(I9:I27,"yes",M9:M27,0)&gt;0,"open","complete")</x:f>
        <x:v>open</x:v>
      </x:c>
      <x:c r="D5" s="130" t="inlineStr">
        <x:is>
          <x:t xml:space="preserve">Consumer gate</x:t>
        </x:is>
      </x:c>
      <x:c r="E5" s="131" t="str">
        <x:f>IF(COUNTIFS(E9:E27,"consumer",M9:M27,0)&gt;0,"open","complete")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54" customHeight="1">
      <x:c r="A9" s="149" t="inlineStr">
        <x:is>
          <x:t xml:space="preserve">RL-01</x:t>
        </x:is>
      </x:c>
      <x:c r="B9" s="149" t="inlineStr">
        <x:is>
          <x:t xml:space="preserve">Ownership</x:t>
        </x:is>
      </x:c>
      <x:c r="C9" s="149" t="inlineStr">
        <x:is>
          <x:t xml:space="preserve">All parts</x:t>
        </x:is>
      </x:c>
      <x:c r="D9" s="150" t="inlineStr">
        <x:is>
          <x:t xml:space="preserve">Brick styles published Atom Reorder behavior without recreating drag, touch, keyboard, focus, announcements, cancellation, or reorder state.</x:t>
        </x:is>
      </x:c>
      <x:c r="E9" s="149" t="inlineStr">
        <x:is>
          <x:t xml:space="preserve">package</x:t>
        </x:is>
      </x:c>
      <x:c r="F9" s="149" t="inlineStr">
        <x:is>
          <x:t xml:space="preserve">source</x:t>
        </x:is>
      </x:c>
      <x:c r="G9" s="150" t="inlineStr">
        <x:is>
          <x:t xml:space="preserve">../src/components/reorderable-list/ReorderableList.tsx; ../package.json</x:t>
        </x:is>
      </x:c>
      <x:c r="H9" s="149" t="inlineStr">
        <x:is>
          <x:t xml:space="preserve">tested</x:t>
        </x:is>
      </x:c>
      <x:c r="I9" s="149" t="inlineStr">
        <x:is>
          <x:t xml:space="preserve">no</x:t>
        </x:is>
      </x:c>
      <x:c r="J9" s="151" t="n">
        <x:v>46257</x:v>
      </x:c>
      <x:c r="K9" s="150" t="n"/>
      <x:c r="L9" s="149" t="n">
        <x:v>1</x:v>
      </x:c>
      <x:c r="M9" s="149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49" t="inlineStr">
        <x:is>
          <x:t xml:space="preserve">RL-02</x:t>
        </x:is>
      </x:c>
      <x:c r="B10" s="149" t="inlineStr">
        <x:is>
          <x:t xml:space="preserve">Anatomy</x:t>
        </x:is>
      </x:c>
      <x:c r="C10" s="149" t="inlineStr">
        <x:is>
          <x:t xml:space="preserve">All parts</x:t>
        </x:is>
      </x:c>
      <x:c r="D10" s="150" t="inlineStr">
        <x:is>
          <x:t xml:space="preserve">Root, Item, Handle, Content, Actions, four direct Move controls, and DropIndicator expose the adopted ordered-list anatomy and refs.</x:t>
        </x:is>
      </x:c>
      <x:c r="E10" s="149" t="inlineStr">
        <x:is>
          <x:t xml:space="preserve">package</x:t>
        </x:is>
      </x:c>
      <x:c r="F10" s="149" t="inlineStr">
        <x:is>
          <x:t xml:space="preserve">component</x:t>
        </x:is>
      </x:c>
      <x:c r="G10" s="150" t="inlineStr">
        <x:is>
          <x:t xml:space="preserve">../test/components/reorderable-list/reorderable-list.test.tsx</x:t>
        </x:is>
      </x:c>
      <x:c r="H10" s="149" t="inlineStr">
        <x:is>
          <x:t xml:space="preserve">tested</x:t>
        </x:is>
      </x:c>
      <x:c r="I10" s="149" t="inlineStr">
        <x:is>
          <x:t xml:space="preserve">no</x:t>
        </x:is>
      </x:c>
      <x:c r="J10" s="151" t="n">
        <x:v>46257</x:v>
      </x:c>
      <x:c r="K10" s="150" t="n"/>
      <x:c r="L10" s="149" t="n">
        <x:v>1</x:v>
      </x:c>
      <x:c r="M10" s="149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49" t="inlineStr">
        <x:is>
          <x:t xml:space="preserve">RL-03</x:t>
        </x:is>
      </x:c>
      <x:c r="B11" s="149" t="inlineStr">
        <x:is>
          <x:t xml:space="preserve">Exports</x:t>
        </x:is>
      </x:c>
      <x:c r="C11" s="149" t="inlineStr">
        <x:is>
          <x:t xml:space="preserve">All parts</x:t>
        </x:is>
      </x:c>
      <x:c r="D11" s="150" t="inlineStr">
        <x:is>
          <x:t xml:space="preserve">Root and reorderable-list subpath exports expose the complete namespace, named parts, and public types with identical identities.</x:t>
        </x:is>
      </x:c>
      <x:c r="E11" s="149" t="inlineStr">
        <x:is>
          <x:t xml:space="preserve">package</x:t>
        </x:is>
      </x:c>
      <x:c r="F11" s="149" t="inlineStr">
        <x:is>
          <x:t xml:space="preserve">package</x:t>
        </x:is>
      </x:c>
      <x:c r="G11" s="150" t="inlineStr">
        <x:is>
          <x:t xml:space="preserve">../test/package/package.test.mjs</x:t>
        </x:is>
      </x:c>
      <x:c r="H11" s="149" t="inlineStr">
        <x:is>
          <x:t xml:space="preserve">tested</x:t>
        </x:is>
      </x:c>
      <x:c r="I11" s="149" t="inlineStr">
        <x:is>
          <x:t xml:space="preserve">no</x:t>
        </x:is>
      </x:c>
      <x:c r="J11" s="151" t="n">
        <x:v>46257</x:v>
      </x:c>
      <x:c r="K11" s="150" t="n"/>
      <x:c r="L11" s="149" t="n">
        <x:v>1</x:v>
      </x:c>
      <x:c r="M11" s="149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49" t="inlineStr">
        <x:is>
          <x:t xml:space="preserve">RL-04</x:t>
        </x:is>
      </x:c>
      <x:c r="B12" s="149" t="inlineStr">
        <x:is>
          <x:t xml:space="preserve">Types</x:t>
        </x:is>
      </x:c>
      <x:c r="C12" s="149" t="inlineStr">
        <x:is>
          <x:t xml:space="preserve">Public surface</x:t>
        </x:is>
      </x:c>
      <x:c r="D12" s="150" t="inlineStr">
        <x:is>
          <x:t xml:space="preserve">Closed sizes and variants, stable item labels, named handles and controls, native props, refs, and invalid omissions type-check.</x:t>
        </x:is>
      </x:c>
      <x:c r="E12" s="149" t="inlineStr">
        <x:is>
          <x:t xml:space="preserve">package</x:t>
        </x:is>
      </x:c>
      <x:c r="F12" s="149" t="inlineStr">
        <x:is>
          <x:t xml:space="preserve">types</x:t>
        </x:is>
      </x:c>
      <x:c r="G12" s="150" t="inlineStr">
        <x:is>
          <x:t xml:space="preserve">../test/types/components/reorderable-list.test.ts</x:t>
        </x:is>
      </x:c>
      <x:c r="H12" s="149" t="inlineStr">
        <x:is>
          <x:t xml:space="preserve">tested</x:t>
        </x:is>
      </x:c>
      <x:c r="I12" s="149" t="inlineStr">
        <x:is>
          <x:t xml:space="preserve">no</x:t>
        </x:is>
      </x:c>
      <x:c r="J12" s="151" t="n">
        <x:v>46257</x:v>
      </x:c>
      <x:c r="K12" s="150" t="n"/>
      <x:c r="L12" s="149" t="n">
        <x:v>1</x:v>
      </x:c>
      <x:c r="M12" s="149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49" t="inlineStr">
        <x:is>
          <x:t xml:space="preserve">RL-05</x:t>
        </x:is>
      </x:c>
      <x:c r="B13" s="149" t="inlineStr">
        <x:is>
          <x:t xml:space="preserve">CSS</x:t>
        </x:is>
      </x:c>
      <x:c r="C13" s="149" t="inlineStr">
        <x:is>
          <x:t xml:space="preserve">All parts</x:t>
        </x:is>
      </x:c>
      <x:c r="D13" s="150" t="inlineStr">
        <x:is>
          <x:t xml:space="preserve">Static CSS ships complete outline and soft recipes, three sizes, state paint, logical orientation, narrow composition, and public variables.</x:t>
        </x:is>
      </x:c>
      <x:c r="E13" s="149" t="inlineStr">
        <x:is>
          <x:t xml:space="preserve">package</x:t>
        </x:is>
      </x:c>
      <x:c r="F13" s="149" t="inlineStr">
        <x:is>
          <x:t xml:space="preserve">css</x:t>
        </x:is>
      </x:c>
      <x:c r="G13" s="150" t="inlineStr">
        <x:is>
          <x:t xml:space="preserve">../src/components/reorderable-list/reorderable-list.css</x:t>
        </x:is>
      </x:c>
      <x:c r="H13" s="149" t="inlineStr">
        <x:is>
          <x:t xml:space="preserve">tested</x:t>
        </x:is>
      </x:c>
      <x:c r="I13" s="149" t="inlineStr">
        <x:is>
          <x:t xml:space="preserve">no</x:t>
        </x:is>
      </x:c>
      <x:c r="J13" s="151" t="n">
        <x:v>46257</x:v>
      </x:c>
      <x:c r="K13" s="150" t="n"/>
      <x:c r="L13" s="149" t="n">
        <x:v>1</x:v>
      </x:c>
      <x:c r="M13" s="149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49" t="inlineStr">
        <x:is>
          <x:t xml:space="preserve">RL-06</x:t>
        </x:is>
      </x:c>
      <x:c r="B14" s="149" t="inlineStr">
        <x:is>
          <x:t xml:space="preserve">Unit</x:t>
        </x:is>
      </x:c>
      <x:c r="C14" s="149" t="inlineStr">
        <x:is>
          <x:t xml:space="preserve">All parts</x:t>
        </x:is>
      </x:c>
      <x:c r="D14" s="150" t="inlineStr">
        <x:is>
          <x:t xml:space="preserve">Default anatomy, recipes, direct completion details, native props, hooks, refs, disabled, and read-only behavior pass focused tests.</x:t>
        </x:is>
      </x:c>
      <x:c r="E14" s="149" t="inlineStr">
        <x:is>
          <x:t xml:space="preserve">package</x:t>
        </x:is>
      </x:c>
      <x:c r="F14" s="149" t="inlineStr">
        <x:is>
          <x:t xml:space="preserve">component</x:t>
        </x:is>
      </x:c>
      <x:c r="G14" s="150" t="inlineStr">
        <x:is>
          <x:t xml:space="preserve">../test/components/reorderable-list/reorderable-list.test.tsx</x:t>
        </x:is>
      </x:c>
      <x:c r="H14" s="149" t="inlineStr">
        <x:is>
          <x:t xml:space="preserve">tested</x:t>
        </x:is>
      </x:c>
      <x:c r="I14" s="149" t="inlineStr">
        <x:is>
          <x:t xml:space="preserve">no</x:t>
        </x:is>
      </x:c>
      <x:c r="J14" s="151" t="n">
        <x:v>46257</x:v>
      </x:c>
      <x:c r="K14" s="150" t="n"/>
      <x:c r="L14" s="149" t="n">
        <x:v>1</x:v>
      </x:c>
      <x:c r="M14" s="149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49" t="inlineStr">
        <x:is>
          <x:t xml:space="preserve">RL-07</x:t>
        </x:is>
      </x:c>
      <x:c r="B15" s="149" t="inlineStr">
        <x:is>
          <x:t xml:space="preserve">Direct movement</x:t>
        </x:is>
      </x:c>
      <x:c r="C15" s="149" t="inlineStr">
        <x:is>
          <x:t xml:space="preserve">Move controls</x:t>
        </x:is>
      </x:c>
      <x:c r="D15" s="150" t="inlineStr">
        <x:is>
          <x:t xml:space="preserve">Visible before and after controls update stable order exactly once, expose unavailable states, and retain focus on the moved item.</x:t>
        </x:is>
      </x:c>
      <x:c r="E15" s="149" t="inlineStr">
        <x:is>
          <x:t xml:space="preserve">package</x:t>
        </x:is>
      </x:c>
      <x:c r="F15" s="149" t="inlineStr">
        <x:is>
          <x:t xml:space="preserve">browser</x:t>
        </x:is>
      </x:c>
      <x:c r="G15" s="150" t="inlineStr">
        <x:is>
          <x:t xml:space="preserve">tests/components/reorderable-list/behavior.spec.ts</x:t>
        </x:is>
      </x:c>
      <x:c r="H15" s="149" t="inlineStr">
        <x:is>
          <x:t xml:space="preserve">tested</x:t>
        </x:is>
      </x:c>
      <x:c r="I15" s="149" t="inlineStr">
        <x:is>
          <x:t xml:space="preserve">no</x:t>
        </x:is>
      </x:c>
      <x:c r="J15" s="151" t="n">
        <x:v>46257</x:v>
      </x:c>
      <x:c r="K15" s="150" t="n"/>
      <x:c r="L15" s="149" t="n">
        <x:v>1</x:v>
      </x:c>
      <x:c r="M15" s="149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49" t="inlineStr">
        <x:is>
          <x:t xml:space="preserve">RL-08</x:t>
        </x:is>
      </x:c>
      <x:c r="B16" s="149" t="inlineStr">
        <x:is>
          <x:t xml:space="preserve">Keyboard</x:t>
        </x:is>
      </x:c>
      <x:c r="C16" s="149" t="inlineStr">
        <x:is>
          <x:t xml:space="preserve">Handle</x:t>
        </x:is>
      </x:c>
      <x:c r="D16" s="150" t="inlineStr">
        <x:is>
          <x:t xml:space="preserve">Space lift/drop, arrow target movement, Escape cancellation, stable identity, and keyed focus preservation pass. Grid uses four spatial arrows and Home/End.</x:t>
        </x:is>
      </x:c>
      <x:c r="E16" s="149" t="inlineStr">
        <x:is>
          <x:t xml:space="preserve">package</x:t>
        </x:is>
      </x:c>
      <x:c r="F16" s="149" t="inlineStr">
        <x:is>
          <x:t xml:space="preserve">browser</x:t>
        </x:is>
      </x:c>
      <x:c r="G16" s="150" t="inlineStr">
        <x:is>
          <x:t xml:space="preserve">tests/components/reorderable-list/behavior.spec.ts</x:t>
        </x:is>
      </x:c>
      <x:c r="H16" s="149" t="inlineStr">
        <x:is>
          <x:t xml:space="preserve">partial</x:t>
        </x:is>
      </x:c>
      <x:c r="I16" s="149" t="inlineStr">
        <x:is>
          <x:t xml:space="preserve">no</x:t>
        </x:is>
      </x:c>
      <x:c r="J16" s="151" t="inlineStr">
        <x:is>
          <x:t xml:space="preserve">2026-09-16</x:t>
        </x:is>
      </x:c>
      <x:c r="K16" s="150" t="inlineStr">
        <x:is>
          <x:t xml:space="preserve">Layout extension implemented; final browser and manual qualification tracked in component evidence.</x:t>
        </x:is>
      </x:c>
      <x:c r="L16" s="149" t="n">
        <x:v>1</x:v>
      </x:c>
      <x:c r="M16" s="149" t="n">
        <x:f>IF(OR(AND(I16="yes",H16="verified"),AND(I16="no",OR(H16="tested",H16="verified")),AND(H16="not applicable",K16&lt;&gt;"")),1,0)</x:f>
        <x:v>0</x:v>
      </x:c>
    </x:row>
    <x:row r="17" s="127" customFormat="1" ht="54" customHeight="1">
      <x:c r="A17" s="149" t="inlineStr">
        <x:is>
          <x:t xml:space="preserve">RL-09</x:t>
        </x:is>
      </x:c>
      <x:c r="B17" s="149" t="inlineStr">
        <x:is>
          <x:t xml:space="preserve">Pointer</x:t>
        </x:is>
      </x:c>
      <x:c r="C17" s="149" t="inlineStr">
        <x:is>
          <x:t xml:space="preserve">Handle</x:t>
        </x:is>
      </x:c>
      <x:c r="D17" s="150" t="inlineStr">
        <x:is>
          <x:t xml:space="preserve">Mouse dragging commits at valid item targets and abandoned movement outside valid space preserves the starting order.</x:t>
        </x:is>
      </x:c>
      <x:c r="E17" s="149" t="inlineStr">
        <x:is>
          <x:t xml:space="preserve">package</x:t>
        </x:is>
      </x:c>
      <x:c r="F17" s="149" t="inlineStr">
        <x:is>
          <x:t xml:space="preserve">browser</x:t>
        </x:is>
      </x:c>
      <x:c r="G17" s="150" t="inlineStr">
        <x:is>
          <x:t xml:space="preserve">tests/components/reorderable-list/behavior.spec.ts</x:t>
        </x:is>
      </x:c>
      <x:c r="H17" s="149" t="inlineStr">
        <x:is>
          <x:t xml:space="preserve">tested</x:t>
        </x:is>
      </x:c>
      <x:c r="I17" s="149" t="inlineStr">
        <x:is>
          <x:t xml:space="preserve">no</x:t>
        </x:is>
      </x:c>
      <x:c r="J17" s="151" t="n">
        <x:v>46257</x:v>
      </x:c>
      <x:c r="K17" s="150" t="n"/>
      <x:c r="L17" s="149" t="n">
        <x:v>1</x:v>
      </x:c>
      <x:c r="M17" s="149" t="n">
        <x:f>IF(OR(AND(I17="yes",H17="verified"),AND(I17="no",OR(H17="tested",H17="verified")),AND(H17="not applicable",K17&lt;&gt;"")),1,0)</x:f>
        <x:v>1</x:v>
      </x:c>
    </x:row>
    <x:row r="18" s="127" customFormat="1" ht="54" customHeight="1">
      <x:c r="A18" s="149" t="inlineStr">
        <x:is>
          <x:t xml:space="preserve">RL-10</x:t>
        </x:is>
      </x:c>
      <x:c r="B18" s="149" t="inlineStr">
        <x:is>
          <x:t xml:space="preserve">Geometry</x:t>
        </x:is>
      </x:c>
      <x:c r="C18" s="149" t="inlineStr">
        <x:is>
          <x:t xml:space="preserve">Item</x:t>
        </x:is>
      </x:c>
      <x:c r="D18" s="150" t="inlineStr">
        <x:is>
          <x:t xml:space="preserve">Recipes, insertion targets, complete focus rings, state paint, and container-responsive narrow action placement remain contained. Grid and unequal-width wrapping require two-axis projection matching the committed layout.</x:t>
        </x:is>
      </x:c>
      <x:c r="E18" s="149" t="inlineStr">
        <x:is>
          <x:t xml:space="preserve">package</x:t>
        </x:is>
      </x:c>
      <x:c r="F18" s="149" t="inlineStr">
        <x:is>
          <x:t xml:space="preserve">browser</x:t>
        </x:is>
      </x:c>
      <x:c r="G18" s="150" t="inlineStr">
        <x:is>
          <x:t xml:space="preserve">tests/components/reorderable-list/behavior.spec.ts</x:t>
        </x:is>
      </x:c>
      <x:c r="H18" s="149" t="inlineStr">
        <x:is>
          <x:t xml:space="preserve">partial</x:t>
        </x:is>
      </x:c>
      <x:c r="I18" s="149" t="inlineStr">
        <x:is>
          <x:t xml:space="preserve">no</x:t>
        </x:is>
      </x:c>
      <x:c r="J18" s="151" t="inlineStr">
        <x:is>
          <x:t xml:space="preserve">2026-09-16</x:t>
        </x:is>
      </x:c>
      <x:c r="K18" s="150" t="inlineStr">
        <x:is>
          <x:t xml:space="preserve">Layout extension implemented; final browser and manual qualification tracked in component evidence.</x:t>
        </x:is>
      </x:c>
      <x:c r="L18" s="149" t="n">
        <x:v>1</x:v>
      </x:c>
      <x:c r="M18" s="149" t="n">
        <x:f>IF(OR(AND(I18="yes",H18="verified"),AND(I18="no",OR(H18="tested",H18="verified")),AND(H18="not applicable",K18&lt;&gt;"")),1,0)</x:f>
        <x:v>0</x:v>
      </x:c>
    </x:row>
    <x:row r="19" s="127" customFormat="1" ht="54" customHeight="1">
      <x:c r="A19" s="149" t="inlineStr">
        <x:is>
          <x:t xml:space="preserve">RL-11</x:t>
        </x:is>
      </x:c>
      <x:c r="B19" s="149" t="inlineStr">
        <x:is>
          <x:t xml:space="preserve">Direction</x:t>
        </x:is>
      </x:c>
      <x:c r="C19" s="149" t="inlineStr">
        <x:is>
          <x:t xml:space="preserve">Root/Item</x:t>
        </x:is>
      </x:c>
      <x:c r="D19" s="150" t="inlineStr">
        <x:is>
          <x:t xml:space="preserve">Horizontal overflow and RTL preserve logical before/after placement, useful item measure, and source order. Grid insertion edges follow inline direction.</x:t>
        </x:is>
      </x:c>
      <x:c r="E19" s="149" t="inlineStr">
        <x:is>
          <x:t xml:space="preserve">package</x:t>
        </x:is>
      </x:c>
      <x:c r="F19" s="149" t="inlineStr">
        <x:is>
          <x:t xml:space="preserve">browser</x:t>
        </x:is>
      </x:c>
      <x:c r="G19" s="150" t="inlineStr">
        <x:is>
          <x:t xml:space="preserve">tests/components/reorderable-list/behavior.spec.ts</x:t>
        </x:is>
      </x:c>
      <x:c r="H19" s="149" t="inlineStr">
        <x:is>
          <x:t xml:space="preserve">partial</x:t>
        </x:is>
      </x:c>
      <x:c r="I19" s="149" t="inlineStr">
        <x:is>
          <x:t xml:space="preserve">no</x:t>
        </x:is>
      </x:c>
      <x:c r="J19" s="151" t="inlineStr">
        <x:is>
          <x:t xml:space="preserve">2026-09-16</x:t>
        </x:is>
      </x:c>
      <x:c r="K19" s="150" t="inlineStr">
        <x:is>
          <x:t xml:space="preserve">Layout extension implemented; final browser and manual qualification tracked in component evidence.</x:t>
        </x:is>
      </x:c>
      <x:c r="L19" s="149" t="n">
        <x:v>1</x:v>
      </x:c>
      <x:c r="M19" s="149" t="n">
        <x:f>IF(OR(AND(I19="yes",H19="verified"),AND(I19="no",OR(H19="tested",H19="verified")),AND(H19="not applicable",K19&lt;&gt;"")),1,0)</x:f>
        <x:v>0</x:v>
      </x:c>
    </x:row>
    <x:row r="20" s="127" customFormat="1" ht="54" customHeight="1">
      <x:c r="A20" s="149" t="inlineStr">
        <x:is>
          <x:t xml:space="preserve">RL-12</x:t>
        </x:is>
      </x:c>
      <x:c r="B20" s="149" t="inlineStr">
        <x:is>
          <x:t xml:space="preserve">Accessibility</x:t>
        </x:is>
      </x:c>
      <x:c r="C20" s="149" t="inlineStr">
        <x:is>
          <x:t xml:space="preserve">All parts</x:t>
        </x:is>
      </x:c>
      <x:c r="D20" s="150" t="inlineStr">
        <x:is>
          <x:t xml:space="preserve">Ordered-list semantics, complete control names, equivalent direct movement, focus, state, and axe checks pass without drag-only operation.</x:t>
        </x:is>
      </x:c>
      <x:c r="E20" s="149" t="inlineStr">
        <x:is>
          <x:t xml:space="preserve">package</x:t>
        </x:is>
      </x:c>
      <x:c r="F20" s="149" t="inlineStr">
        <x:is>
          <x:t xml:space="preserve">axe</x:t>
        </x:is>
      </x:c>
      <x:c r="G20" s="150" t="inlineStr">
        <x:is>
          <x:t xml:space="preserve">tests/components/reorderable-list/behavior.spec.ts</x:t>
        </x:is>
      </x:c>
      <x:c r="H20" s="149" t="inlineStr">
        <x:is>
          <x:t xml:space="preserve">tested</x:t>
        </x:is>
      </x:c>
      <x:c r="I20" s="149" t="inlineStr">
        <x:is>
          <x:t xml:space="preserve">no</x:t>
        </x:is>
      </x:c>
      <x:c r="J20" s="151" t="n">
        <x:v>46257</x:v>
      </x:c>
      <x:c r="K20" s="150" t="n"/>
      <x:c r="L20" s="149" t="n">
        <x:v>1</x:v>
      </x:c>
      <x:c r="M20" s="149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49" t="inlineStr">
        <x:is>
          <x:t xml:space="preserve">RL-13</x:t>
        </x:is>
      </x:c>
      <x:c r="B21" s="149" t="inlineStr">
        <x:is>
          <x:t xml:space="preserve">Visual</x:t>
        </x:is>
      </x:c>
      <x:c r="C21" s="149" t="inlineStr">
        <x:is>
          <x:t xml:space="preserve">All parts</x:t>
        </x:is>
      </x:c>
      <x:c r="D21" s="150" t="inlineStr">
        <x:is>
          <x:t xml:space="preserve">Reviewed baselines cover overview, recipes, direct movement, states, dark Theme, mobile RTL, and forced-color boundaries.</x:t>
        </x:is>
      </x:c>
      <x:c r="E21" s="149" t="inlineStr">
        <x:is>
          <x:t xml:space="preserve">package</x:t>
        </x:is>
      </x:c>
      <x:c r="F21" s="149" t="inlineStr">
        <x:is>
          <x:t xml:space="preserve">visual</x:t>
        </x:is>
      </x:c>
      <x:c r="G21" s="150" t="inlineStr">
        <x:is>
          <x:t xml:space="preserve">tests/components/reorderable-list/visual.spec.ts</x:t>
        </x:is>
      </x:c>
      <x:c r="H21" s="149" t="inlineStr">
        <x:is>
          <x:t xml:space="preserve">verified</x:t>
        </x:is>
      </x:c>
      <x:c r="I21" s="149" t="inlineStr">
        <x:is>
          <x:t xml:space="preserve">yes</x:t>
        </x:is>
      </x:c>
      <x:c r="J21" s="151" t="n">
        <x:v>46257</x:v>
      </x:c>
      <x:c r="K21" s="150" t="inlineStr">
        <x:is>
          <x:t xml:space="preserve">Owner reviewed the implemented list during Batch 04 Lab C qualification.</x:t>
        </x:is>
      </x:c>
      <x:c r="L21" s="149" t="n">
        <x:v>1</x:v>
      </x:c>
      <x:c r="M21" s="149" t="n">
        <x:f>IF(OR(AND(I21="yes",H21="verified"),AND(I21="no",OR(H21="tested",H21="verified")),AND(H21="not applicable",K21&lt;&gt;"")),1,0)</x:f>
        <x:v>1</x:v>
      </x:c>
    </x:row>
    <x:row r="22" s="127" customFormat="1" ht="54" customHeight="1">
      <x:c r="A22" s="149" t="inlineStr">
        <x:is>
          <x:t xml:space="preserve">RL-14</x:t>
        </x:is>
      </x:c>
      <x:c r="B22" s="149" t="inlineStr">
        <x:is>
          <x:t xml:space="preserve">Manual</x:t>
        </x:is>
      </x:c>
      <x:c r="C22" s="149" t="inlineStr">
        <x:is>
          <x:t xml:space="preserve">Input and stress</x:t>
        </x:is>
      </x:c>
      <x:c r="D22" s="150" t="inlineStr">
        <x:is>
          <x:t xml:space="preserve">A tester completes keyboard, mouse, physical touch, cancellation, focus, screen-reader announcements, zoom, appearance, and direction protocol.</x:t>
        </x:is>
      </x:c>
      <x:c r="E22" s="149" t="inlineStr">
        <x:is>
          <x:t xml:space="preserve">package</x:t>
        </x:is>
      </x:c>
      <x:c r="F22" s="149" t="inlineStr">
        <x:is>
          <x:t xml:space="preserve">manual</x:t>
        </x:is>
      </x:c>
      <x:c r="G22" s="150" t="inlineStr">
        <x:is>
          <x:t xml:space="preserve">manual-tests/reorderable-list.md</x:t>
        </x:is>
      </x:c>
      <x:c r="H22" s="149" t="inlineStr">
        <x:is>
          <x:t xml:space="preserve">implemented</x:t>
        </x:is>
      </x:c>
      <x:c r="I22" s="149" t="inlineStr">
        <x:is>
          <x:t xml:space="preserve">yes</x:t>
        </x:is>
      </x:c>
      <x:c r="J22" s="151" t="n"/>
      <x:c r="K22" s="150" t="inlineStr">
        <x:is>
          <x:t xml:space="preserve">Automated browser evidence and owner visual review pass; physical touch and recorded assistive-technology review remain pending.</x:t>
        </x:is>
      </x:c>
      <x:c r="L22" s="149" t="n">
        <x:v>1</x:v>
      </x:c>
      <x:c r="M22" s="149" t="n">
        <x:f>IF(OR(AND(I22="yes",H22="verified"),AND(I22="no",OR(H22="tested",H22="verified")),AND(H22="not applicable",K22&lt;&gt;"")),1,0)</x:f>
        <x:v>0</x:v>
      </x:c>
    </x:row>
    <x:row r="23" s="127" customFormat="1" ht="54" customHeight="1">
      <x:c r="A23" s="149" t="inlineStr">
        <x:is>
          <x:t xml:space="preserve">RL-15</x:t>
        </x:is>
      </x:c>
      <x:c r="B23" s="149" t="inlineStr">
        <x:is>
          <x:t xml:space="preserve">Docs</x:t>
        </x:is>
      </x:c>
      <x:c r="C23" s="149" t="inlineStr">
        <x:is>
          <x:t xml:space="preserve">Reorderable List</x:t>
        </x:is>
      </x:c>
      <x:c r="D23" s="150" t="inlineStr">
        <x:is>
          <x:t xml:space="preserve">Public guidance covers selection, anatomy, recipes, manual-order ownership, responsive behavior, accessibility, CSS, and application boundaries.</x:t>
        </x:is>
      </x:c>
      <x:c r="E23" s="149" t="inlineStr">
        <x:is>
          <x:t xml:space="preserve">package</x:t>
        </x:is>
      </x:c>
      <x:c r="F23" s="149" t="inlineStr">
        <x:is>
          <x:t xml:space="preserve">docs</x:t>
        </x:is>
      </x:c>
      <x:c r="G23" s="150" t="inlineStr">
        <x:is>
          <x:t xml:space="preserve">../docs/components/reorderable-list/README.md</x:t>
        </x:is>
      </x:c>
      <x:c r="H23" s="149" t="inlineStr">
        <x:is>
          <x:t xml:space="preserve">tested</x:t>
        </x:is>
      </x:c>
      <x:c r="I23" s="149" t="inlineStr">
        <x:is>
          <x:t xml:space="preserve">no</x:t>
        </x:is>
      </x:c>
      <x:c r="J23" s="151" t="n">
        <x:v>46257</x:v>
      </x:c>
      <x:c r="K23" s="150" t="n"/>
      <x:c r="L23" s="149" t="n">
        <x:v>1</x:v>
      </x:c>
      <x:c r="M23" s="149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49" t="inlineStr">
        <x:is>
          <x:t xml:space="preserve">RL-16</x:t>
        </x:is>
      </x:c>
      <x:c r="B24" s="149" t="inlineStr">
        <x:is>
          <x:t xml:space="preserve">Agent Knowledge</x:t>
        </x:is>
      </x:c>
      <x:c r="C24" s="149" t="inlineStr">
        <x:is>
          <x:t xml:space="preserve">Selection</x:t>
        </x:is>
      </x:c>
      <x:c r="D24" s="150" t="inlineStr">
        <x:is>
          <x:t xml:space="preserve">Machine-readable guidance distinguishes manual ordering from static List, Data Grid sorting, and multi-container drag jobs.</x:t>
        </x:is>
      </x:c>
      <x:c r="E24" s="149" t="inlineStr">
        <x:is>
          <x:t xml:space="preserve">package</x:t>
        </x:is>
      </x:c>
      <x:c r="F24" s="149" t="inlineStr">
        <x:is>
          <x:t xml:space="preserve">documentation</x:t>
        </x:is>
      </x:c>
      <x:c r="G24" s="150" t="inlineStr">
        <x:is>
          <x:t xml:space="preserve">../src/components/reorderable-list/agent.json; ../src/components/reorderable-list/agent.md</x:t>
        </x:is>
      </x:c>
      <x:c r="H24" s="149" t="inlineStr">
        <x:is>
          <x:t xml:space="preserve">tested</x:t>
        </x:is>
      </x:c>
      <x:c r="I24" s="149" t="inlineStr">
        <x:is>
          <x:t xml:space="preserve">no</x:t>
        </x:is>
      </x:c>
      <x:c r="J24" s="151" t="n">
        <x:v>46257</x:v>
      </x:c>
      <x:c r="K24" s="150" t="n"/>
      <x:c r="L24" s="149" t="n">
        <x:v>1</x:v>
      </x:c>
      <x:c r="M24" s="149" t="n">
        <x:f>IF(OR(AND(I24="yes",H24="verified"),AND(I24="no",OR(H24="tested",H24="verified")),AND(H24="not applicable",K24&lt;&gt;"")),1,0)</x:f>
        <x:v>1</x:v>
      </x:c>
    </x:row>
    <x:row r="25" s="127" customFormat="1" ht="54" customHeight="1">
      <x:c r="A25" s="149" t="inlineStr">
        <x:is>
          <x:t xml:space="preserve">RL-17</x:t>
        </x:is>
      </x:c>
      <x:c r="B25" s="149" t="inlineStr">
        <x:is>
          <x:t xml:space="preserve">Changelog</x:t>
        </x:is>
      </x:c>
      <x:c r="C25" s="149" t="inlineStr">
        <x:is>
          <x:t xml:space="preserve">Reorderable List</x:t>
        </x:is>
      </x:c>
      <x:c r="D25" s="150" t="inlineStr">
        <x:is>
          <x:t xml:space="preserve">The component changelog records the finished Atom-backed manual-order composition and container-responsive layout.</x:t>
        </x:is>
      </x:c>
      <x:c r="E25" s="149" t="inlineStr">
        <x:is>
          <x:t xml:space="preserve">package</x:t>
        </x:is>
      </x:c>
      <x:c r="F25" s="149" t="inlineStr">
        <x:is>
          <x:t xml:space="preserve">docs</x:t>
        </x:is>
      </x:c>
      <x:c r="G25" s="150" t="inlineStr">
        <x:is>
          <x:t xml:space="preserve">../docs/components/reorderable-list/CHANGELOG.md; ../CHANGELOG.md</x:t>
        </x:is>
      </x:c>
      <x:c r="H25" s="149" t="inlineStr">
        <x:is>
          <x:t xml:space="preserve">tested</x:t>
        </x:is>
      </x:c>
      <x:c r="I25" s="149" t="inlineStr">
        <x:is>
          <x:t xml:space="preserve">no</x:t>
        </x:is>
      </x:c>
      <x:c r="J25" s="151" t="n">
        <x:v>46257</x:v>
      </x:c>
      <x:c r="K25" s="150" t="n"/>
      <x:c r="L25" s="149" t="n">
        <x:v>1</x:v>
      </x:c>
      <x:c r="M25" s="149" t="n">
        <x:f>IF(OR(AND(I25="yes",H25="verified"),AND(I25="no",OR(H25="tested",H25="verified")),AND(H25="not applicable",K25&lt;&gt;"")),1,0)</x:f>
        <x:v>1</x:v>
      </x:c>
    </x:row>
    <x:row r="26" s="127" customFormat="1" ht="54" customHeight="1">
      <x:c r="A26" s="149" t="inlineStr">
        <x:is>
          <x:t xml:space="preserve">RL-18</x:t>
        </x:is>
      </x:c>
      <x:c r="B26" s="149" t="inlineStr">
        <x:is>
          <x:t xml:space="preserve">Consumer</x:t>
        </x:is>
      </x:c>
      <x:c r="C26" s="149" t="inlineStr">
        <x:is>
          <x:t xml:space="preserve">Composition</x:t>
        </x:is>
      </x:c>
      <x:c r="D26" s="150" t="inlineStr">
        <x:is>
          <x:t xml:space="preserve">A realistic packed-package consumer composes public Reorderable List imports with stable data and direct movement controls.</x:t>
        </x:is>
      </x:c>
      <x:c r="E26" s="149" t="inlineStr">
        <x:is>
          <x:t xml:space="preserve">consumer</x:t>
        </x:is>
      </x:c>
      <x:c r="F26" s="149" t="inlineStr">
        <x:is>
          <x:t xml:space="preserve">consumer</x:t>
        </x:is>
      </x:c>
      <x:c r="G26" s="150" t="inlineStr">
        <x:is>
          <x:t xml:space="preserve">../apps/consumer/src/App.tsx; ../apps/consumer/tests/consumer.spec.ts</x:t>
        </x:is>
      </x:c>
      <x:c r="H26" s="149" t="inlineStr">
        <x:is>
          <x:t xml:space="preserve">tested</x:t>
        </x:is>
      </x:c>
      <x:c r="I26" s="149" t="inlineStr">
        <x:is>
          <x:t xml:space="preserve">no</x:t>
        </x:is>
      </x:c>
      <x:c r="J26" s="151" t="n">
        <x:v>46257</x:v>
      </x:c>
      <x:c r="K26" s="150" t="n"/>
      <x:c r="L26" s="149" t="n">
        <x:v>1</x:v>
      </x:c>
      <x:c r="M26" s="149" t="n">
        <x:f>IF(OR(AND(I26="yes",H26="verified"),AND(I26="no",OR(H26="tested",H26="verified")),AND(H26="not applicable",K26&lt;&gt;"")),1,0)</x:f>
        <x:v>1</x:v>
      </x:c>
    </x:row>
    <x:row r="27" s="127" customFormat="1" ht="54" customHeight="1">
      <x:c r="A27" s="149" t="inlineStr">
        <x:is>
          <x:t xml:space="preserve">RL-19</x:t>
        </x:is>
      </x:c>
      <x:c r="B27" s="149" t="inlineStr">
        <x:is>
          <x:t xml:space="preserve">Package</x:t>
        </x:is>
      </x:c>
      <x:c r="C27" s="149" t="inlineStr">
        <x:is>
          <x:t xml:space="preserve">Reorderable List</x:t>
        </x:is>
      </x:c>
      <x:c r="D27" s="150" t="inlineStr">
        <x:is>
          <x:t xml:space="preserve">Build, SSR, exports, CSS, Atom compatibility, tarball, React 18/19, packed Consumer, browser, axe, and visual gates pass.</x:t>
        </x:is>
      </x:c>
      <x:c r="E27" s="149" t="inlineStr">
        <x:is>
          <x:t xml:space="preserve">package</x:t>
        </x:is>
      </x:c>
      <x:c r="F27" s="149" t="inlineStr">
        <x:is>
          <x:t xml:space="preserve">package</x:t>
        </x:is>
      </x:c>
      <x:c r="G27" s="150" t="inlineStr">
        <x:is>
          <x:t xml:space="preserve">../test/package; ../scripts/verify-package.mjs; ../scripts/verify-consumers.mjs</x:t>
        </x:is>
      </x:c>
      <x:c r="H27" s="149" t="inlineStr">
        <x:is>
          <x:t xml:space="preserve">implemented</x:t>
        </x:is>
      </x:c>
      <x:c r="I27" s="149" t="inlineStr">
        <x:is>
          <x:t xml:space="preserve">yes</x:t>
        </x:is>
      </x:c>
      <x:c r="J27" s="151" t="n"/>
      <x:c r="K27" s="150" t="inlineStr">
        <x:is>
          <x:t xml:space="preserve">Automated package gates pass; complete status waits for the component-owned physical-touch and assistive-technology manual run.</x:t>
        </x:is>
      </x:c>
      <x:c r="L27" s="149" t="n">
        <x:v>1</x:v>
      </x:c>
      <x:c r="M27" s="149" t="n">
        <x:f>IF(OR(AND(I27="yes",H27="verified"),AND(I27="no",OR(H27="tested",H27="verified")),AND(H27="not applicable",K27&lt;&gt;"")),1,0)</x:f>
        <x:v>0</x:v>
      </x:c>
    </x:row>
  </x:sheetData>
  <x:mergeCells>
    <x:mergeCell ref="A2:M2"/>
    <x:mergeCell ref="A1:M1"/>
  </x:mergeCells>
  <x:conditionalFormatting sqref="H9:H27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0" showDropDown="0" showInputMessage="0" showErrorMessage="0" sqref="H9:H27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27">
      <x:formula1>"yes,no"</x:formula1>
      <x:formula2>0</x:formula2>
    </x:dataValidation>
  </x:dataValidations>
  <x:pageMargins left="0.7" right="0.7" top="0.75" bottom="0.75" header="0.3" footer="0.3"/>
</x:worksheet>
</file>

<file path=xl/worksheets/sheet86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Color Swatch Evidence</x:t>
        </x:is>
      </x:c>
    </x:row>
    <x:row r="2" s="127" customFormat="1" ht="27.75" customHeight="1">
      <x:c r="A2" s="129" t="inlineStr">
        <x:is>
          <x:t xml:space="preserve">Assertion-level passive preview, CSS, browser, accessibility, documentation, and package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COUNTA(A9:A25)</x:f>
        <x:v>17</x:v>
      </x:c>
      <x:c r="D4" s="130" t="inlineStr">
        <x:is>
          <x:t xml:space="preserve">Resolved</x:t>
        </x:is>
      </x:c>
      <x:c r="E4" s="131" t="n">
        <x:f>SUM(M9:M25)</x:f>
        <x:v>13</x:v>
      </x:c>
      <x:c r="G4" s="130" t="inlineStr">
        <x:is>
          <x:t xml:space="preserve">Completion</x:t>
        </x:is>
      </x:c>
      <x:c r="H4" s="173" t="n">
        <x:f>IF(B4=0,0,E4/B4)</x:f>
        <x:v>0.7647058823529411</x:v>
      </x:c>
      <x:c r="J4" s="130" t="inlineStr">
        <x:is>
          <x:t xml:space="preserve">Package gate</x:t>
        </x:is>
      </x:c>
      <x:c r="K4" s="131" t="str">
        <x:f>IF(COUNTIFS(E9:E25,"package",M9:M25,0)&gt;0,"open","complete")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IF(COUNTIFS(I9:I25,"yes",M9:M25,0)&gt;0,"open","complete")</x:f>
        <x:v>open</x:v>
      </x:c>
      <x:c r="D5" s="130" t="inlineStr">
        <x:is>
          <x:t xml:space="preserve">Consumer gate</x:t>
        </x:is>
      </x:c>
      <x:c r="E5" s="131" t="str">
        <x:f>IF(COUNTIFS(E9:E25,"consumer",M9:M25,0)&gt;0,"open","complete")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42" customHeight="1">
      <x:c r="A9" s="125" t="inlineStr">
        <x:is>
          <x:t xml:space="preserve">CS-01</x:t>
        </x:is>
      </x:c>
      <x:c r="B9" s="125" t="inlineStr">
        <x:is>
          <x:t xml:space="preserve">Implementation</x:t>
        </x:is>
      </x:c>
      <x:c r="C9" s="125" t="inlineStr">
        <x:is>
          <x:t xml:space="preserve">Root / Mix</x:t>
        </x:is>
      </x:c>
      <x:c r="D9" s="125" t="inlineStr">
        <x:is>
          <x:t xml:space="preserve">Root and Mix render passive solid, alpha, and multi-color previews with decorative or named image semantics.</x:t>
        </x:is>
      </x:c>
      <x:c r="E9" s="125" t="inlineStr">
        <x:is>
          <x:t xml:space="preserve">package</x:t>
        </x:is>
      </x:c>
      <x:c r="F9" s="125" t="inlineStr">
        <x:is>
          <x:t xml:space="preserve">source</x:t>
        </x:is>
      </x:c>
      <x:c r="G9" s="125" t="inlineStr">
        <x:is>
          <x:t xml:space="preserve">../src/components/color-swatch</x:t>
        </x:is>
      </x:c>
      <x:c r="H9" s="125" t="inlineStr">
        <x:is>
          <x:t xml:space="preserve">tested</x:t>
        </x:is>
      </x:c>
      <x:c r="I9" s="125" t="inlineStr">
        <x:is>
          <x:t xml:space="preserve">no</x:t>
        </x:is>
      </x:c>
      <x:c r="J9" s="180" t="n">
        <x:v>46265</x:v>
      </x:c>
      <x:c r="K9" s="138" t="n"/>
      <x:c r="L9" s="125" t="n">
        <x:v>1</x:v>
      </x:c>
      <x:c r="M9" s="125" t="n">
        <x:f>IF(OR(AND(I9="yes",H9="verified"),AND(I9="no",OR(H9="tested",H9="verified")),AND(H9="not applicable",K9&lt;&gt;"")),1,0)</x:f>
        <x:v>1</x:v>
      </x:c>
    </x:row>
    <x:row r="10" s="127" customFormat="1" ht="42" customHeight="1">
      <x:c r="A10" s="125" t="inlineStr">
        <x:is>
          <x:t xml:space="preserve">CS-02</x:t>
        </x:is>
      </x:c>
      <x:c r="B10" s="125" t="inlineStr">
        <x:is>
          <x:t xml:space="preserve">Exports</x:t>
        </x:is>
      </x:c>
      <x:c r="C10" s="125" t="inlineStr">
        <x:is>
          <x:t xml:space="preserve">ColorSwatch</x:t>
        </x:is>
      </x:c>
      <x:c r="D10" s="125" t="inlineStr">
        <x:is>
          <x:t xml:space="preserve">Root and color-swatch subpath exports expose runtime, declarations, props, sizes, and ColorSwatchShape.</x:t>
        </x:is>
      </x:c>
      <x:c r="E10" s="125" t="inlineStr">
        <x:is>
          <x:t xml:space="preserve">package</x:t>
        </x:is>
      </x:c>
      <x:c r="F10" s="125" t="inlineStr">
        <x:is>
          <x:t xml:space="preserve">package</x:t>
        </x:is>
      </x:c>
      <x:c r="G10" s="125" t="inlineStr">
        <x:is>
          <x:t xml:space="preserve">../test/package/package.test.mjs</x:t>
        </x:is>
      </x:c>
      <x:c r="H10" s="125" t="inlineStr">
        <x:is>
          <x:t xml:space="preserve">tested</x:t>
        </x:is>
      </x:c>
      <x:c r="I10" s="125" t="inlineStr">
        <x:is>
          <x:t xml:space="preserve">no</x:t>
        </x:is>
      </x:c>
      <x:c r="J10" s="180" t="n">
        <x:v>46265</x:v>
      </x:c>
      <x:c r="K10" s="138" t="n"/>
      <x:c r="L10" s="125" t="n">
        <x:v>1</x:v>
      </x:c>
      <x:c r="M10" s="125" t="n">
        <x:f>IF(OR(AND(I10="yes",H10="verified"),AND(I10="no",OR(H10="tested",H10="verified")),AND(H10="not applicable",K10&lt;&gt;"")),1,0)</x:f>
        <x:v>1</x:v>
      </x:c>
    </x:row>
    <x:row r="11" s="127" customFormat="1" ht="42" customHeight="1">
      <x:c r="A11" s="125" t="inlineStr">
        <x:is>
          <x:t xml:space="preserve">CS-03</x:t>
        </x:is>
      </x:c>
      <x:c r="B11" s="125" t="inlineStr">
        <x:is>
          <x:t xml:space="preserve">Types</x:t>
        </x:is>
      </x:c>
      <x:c r="C11" s="125" t="inlineStr">
        <x:is>
          <x:t xml:space="preserve">Root / Mix</x:t>
        </x:is>
      </x:c>
      <x:c r="D11" s="125" t="inlineStr">
        <x:is>
          <x:t xml:space="preserve">Required values, Mix tuple, refs, sizes, sharp/rounded/circle shapes, and invalid cases type-check.</x:t>
        </x:is>
      </x:c>
      <x:c r="E11" s="125" t="inlineStr">
        <x:is>
          <x:t xml:space="preserve">package</x:t>
        </x:is>
      </x:c>
      <x:c r="F11" s="125" t="inlineStr">
        <x:is>
          <x:t xml:space="preserve">types</x:t>
        </x:is>
      </x:c>
      <x:c r="G11" s="125" t="inlineStr">
        <x:is>
          <x:t xml:space="preserve">../test/types/components/color-swatch.test.ts</x:t>
        </x:is>
      </x:c>
      <x:c r="H11" s="125" t="inlineStr">
        <x:is>
          <x:t xml:space="preserve">tested</x:t>
        </x:is>
      </x:c>
      <x:c r="I11" s="125" t="inlineStr">
        <x:is>
          <x:t xml:space="preserve">no</x:t>
        </x:is>
      </x:c>
      <x:c r="J11" s="180" t="n">
        <x:v>46265</x:v>
      </x:c>
      <x:c r="K11" s="138" t="n"/>
      <x:c r="L11" s="125" t="n">
        <x:v>1</x:v>
      </x:c>
      <x:c r="M11" s="125" t="n">
        <x:f>IF(OR(AND(I11="yes",H11="verified"),AND(I11="no",OR(H11="tested",H11="verified")),AND(H11="not applicable",K11&lt;&gt;"")),1,0)</x:f>
        <x:v>1</x:v>
      </x:c>
    </x:row>
    <x:row r="12" s="127" customFormat="1" ht="42" customHeight="1">
      <x:c r="A12" s="125" t="inlineStr">
        <x:is>
          <x:t xml:space="preserve">CS-04</x:t>
        </x:is>
      </x:c>
      <x:c r="B12" s="125" t="inlineStr">
        <x:is>
          <x:t xml:space="preserve">CSS</x:t>
        </x:is>
      </x:c>
      <x:c r="C12" s="125" t="inlineStr">
        <x:is>
          <x:t xml:space="preserve">Root / Mix</x:t>
        </x:is>
      </x:c>
      <x:c r="D12" s="125" t="inlineStr">
        <x:is>
          <x:t xml:space="preserve">Static CSS provides checker, paint, sizes, border, public radius, three closed shapes, and forced-color hooks.</x:t>
        </x:is>
      </x:c>
      <x:c r="E12" s="125" t="inlineStr">
        <x:is>
          <x:t xml:space="preserve">package</x:t>
        </x:is>
      </x:c>
      <x:c r="F12" s="125" t="inlineStr">
        <x:is>
          <x:t xml:space="preserve">css</x:t>
        </x:is>
      </x:c>
      <x:c r="G12" s="125" t="inlineStr">
        <x:is>
          <x:t xml:space="preserve">../src/components/color-swatch/color-swatch.css</x:t>
        </x:is>
      </x:c>
      <x:c r="H12" s="125" t="inlineStr">
        <x:is>
          <x:t xml:space="preserve">tested</x:t>
        </x:is>
      </x:c>
      <x:c r="I12" s="125" t="inlineStr">
        <x:is>
          <x:t xml:space="preserve">no</x:t>
        </x:is>
      </x:c>
      <x:c r="J12" s="180" t="n">
        <x:v>46265</x:v>
      </x:c>
      <x:c r="K12" s="138" t="n"/>
      <x:c r="L12" s="125" t="n">
        <x:v>1</x:v>
      </x:c>
      <x:c r="M12" s="125" t="n">
        <x:f>IF(OR(AND(I12="yes",H12="verified"),AND(I12="no",OR(H12="tested",H12="verified")),AND(H12="not applicable",K12&lt;&gt;"")),1,0)</x:f>
        <x:v>1</x:v>
      </x:c>
    </x:row>
    <x:row r="13" s="127" customFormat="1" ht="42" customHeight="1">
      <x:c r="A13" s="125" t="inlineStr">
        <x:is>
          <x:t xml:space="preserve">CS-05</x:t>
        </x:is>
      </x:c>
      <x:c r="B13" s="125" t="inlineStr">
        <x:is>
          <x:t xml:space="preserve">Unit</x:t>
        </x:is>
      </x:c>
      <x:c r="C13" s="125" t="inlineStr">
        <x:is>
          <x:t xml:space="preserve">Root / Mix</x:t>
        </x:is>
      </x:c>
      <x:c r="D13" s="125" t="inlineStr">
        <x:is>
          <x:t xml:space="preserve">DOM, refs, semantics, sizes, all shapes, and generated single/mixed value hooks pass focused tests.</x:t>
        </x:is>
      </x:c>
      <x:c r="E13" s="125" t="inlineStr">
        <x:is>
          <x:t xml:space="preserve">package</x:t>
        </x:is>
      </x:c>
      <x:c r="F13" s="125" t="inlineStr">
        <x:is>
          <x:t xml:space="preserve">component</x:t>
        </x:is>
      </x:c>
      <x:c r="G13" s="125" t="inlineStr">
        <x:is>
          <x:t xml:space="preserve">../test/components/color-swatch/color-swatch.test.tsx</x:t>
        </x:is>
      </x:c>
      <x:c r="H13" s="125" t="inlineStr">
        <x:is>
          <x:t xml:space="preserve">tested</x:t>
        </x:is>
      </x:c>
      <x:c r="I13" s="125" t="inlineStr">
        <x:is>
          <x:t xml:space="preserve">no</x:t>
        </x:is>
      </x:c>
      <x:c r="J13" s="180" t="n">
        <x:v>46265</x:v>
      </x:c>
      <x:c r="K13" s="138" t="n"/>
      <x:c r="L13" s="125" t="n">
        <x:v>1</x:v>
      </x:c>
      <x:c r="M13" s="125" t="n">
        <x:f>IF(OR(AND(I13="yes",H13="verified"),AND(I13="no",OR(H13="tested",H13="verified")),AND(H13="not applicable",K13&lt;&gt;"")),1,0)</x:f>
        <x:v>1</x:v>
      </x:c>
    </x:row>
    <x:row r="14" s="127" customFormat="1" ht="42" customHeight="1">
      <x:c r="A14" s="125" t="inlineStr">
        <x:is>
          <x:t xml:space="preserve">CS-06</x:t>
        </x:is>
      </x:c>
      <x:c r="B14" s="125" t="inlineStr">
        <x:is>
          <x:t xml:space="preserve">Browser</x:t>
        </x:is>
      </x:c>
      <x:c r="C14" s="125" t="inlineStr">
        <x:is>
          <x:t xml:space="preserve">Root / Mix</x:t>
        </x:is>
      </x:c>
      <x:c r="D14" s="125" t="inlineStr">
        <x:is>
          <x:t xml:space="preserve">Real-browser solid, alpha, mix, semantics, size, and exact sharp/rounded/circle geometry checks pass.</x:t>
        </x:is>
      </x:c>
      <x:c r="E14" s="125" t="inlineStr">
        <x:is>
          <x:t xml:space="preserve">package</x:t>
        </x:is>
      </x:c>
      <x:c r="F14" s="125" t="inlineStr">
        <x:is>
          <x:t xml:space="preserve">browser</x:t>
        </x:is>
      </x:c>
      <x:c r="G14" s="125" t="inlineStr">
        <x:is>
          <x:t xml:space="preserve">tests/components/color-swatch/behavior.spec.ts</x:t>
        </x:is>
      </x:c>
      <x:c r="H14" s="125" t="inlineStr">
        <x:is>
          <x:t xml:space="preserve">tested</x:t>
        </x:is>
      </x:c>
      <x:c r="I14" s="125" t="inlineStr">
        <x:is>
          <x:t xml:space="preserve">no</x:t>
        </x:is>
      </x:c>
      <x:c r="J14" s="180" t="n">
        <x:v>46265</x:v>
      </x:c>
      <x:c r="K14" s="138" t="n"/>
      <x:c r="L14" s="125" t="n">
        <x:v>1</x:v>
      </x:c>
      <x:c r="M14" s="125" t="n">
        <x:f>IF(OR(AND(I14="yes",H14="verified"),AND(I14="no",OR(H14="tested",H14="verified")),AND(H14="not applicable",K14&lt;&gt;"")),1,0)</x:f>
        <x:v>1</x:v>
      </x:c>
    </x:row>
    <x:row r="15" s="127" customFormat="1" ht="42" customHeight="1">
      <x:c r="A15" s="125" t="inlineStr">
        <x:is>
          <x:t xml:space="preserve">CS-07</x:t>
        </x:is>
      </x:c>
      <x:c r="B15" s="125" t="inlineStr">
        <x:is>
          <x:t xml:space="preserve">Accessibility</x:t>
        </x:is>
      </x:c>
      <x:c r="C15" s="125" t="inlineStr">
        <x:is>
          <x:t xml:space="preserve">Root / Mix</x:t>
        </x:is>
      </x:c>
      <x:c r="D15" s="125" t="inlineStr">
        <x:is>
          <x:t xml:space="preserve">Axe passes and decorative versus labeled image semantics match the contract without color-only meaning.</x:t>
        </x:is>
      </x:c>
      <x:c r="E15" s="125" t="inlineStr">
        <x:is>
          <x:t xml:space="preserve">package</x:t>
        </x:is>
      </x:c>
      <x:c r="F15" s="125" t="inlineStr">
        <x:is>
          <x:t xml:space="preserve">axe</x:t>
        </x:is>
      </x:c>
      <x:c r="G15" s="125" t="inlineStr">
        <x:is>
          <x:t xml:space="preserve">tests/components/color-swatch/behavior.spec.ts</x:t>
        </x:is>
      </x:c>
      <x:c r="H15" s="125" t="inlineStr">
        <x:is>
          <x:t xml:space="preserve">tested</x:t>
        </x:is>
      </x:c>
      <x:c r="I15" s="125" t="inlineStr">
        <x:is>
          <x:t xml:space="preserve">no</x:t>
        </x:is>
      </x:c>
      <x:c r="J15" s="180" t="n">
        <x:v>46265</x:v>
      </x:c>
      <x:c r="K15" s="138" t="n"/>
      <x:c r="L15" s="125" t="n">
        <x:v>1</x:v>
      </x:c>
      <x:c r="M15" s="125" t="n">
        <x:f>IF(OR(AND(I15="yes",H15="verified"),AND(I15="no",OR(H15="tested",H15="verified")),AND(H15="not applicable",K15&lt;&gt;"")),1,0)</x:f>
        <x:v>1</x:v>
      </x:c>
    </x:row>
    <x:row r="16" s="127" customFormat="1" ht="42" customHeight="1">
      <x:c r="A16" s="125" t="inlineStr">
        <x:is>
          <x:t xml:space="preserve">CS-08</x:t>
        </x:is>
      </x:c>
      <x:c r="B16" s="125" t="inlineStr">
        <x:is>
          <x:t xml:space="preserve">Visual</x:t>
        </x:is>
      </x:c>
      <x:c r="C16" s="125" t="inlineStr">
        <x:is>
          <x:t xml:space="preserve">Root / Mix</x:t>
        </x:is>
      </x:c>
      <x:c r="D16" s="125" t="inlineStr">
        <x:is>
          <x:t xml:space="preserve">Risk-selected solid, alpha, mix, sizes, shapes, appearance, and forced-colors evidence is captured.</x:t>
        </x:is>
      </x:c>
      <x:c r="E16" s="125" t="inlineStr">
        <x:is>
          <x:t xml:space="preserve">package</x:t>
        </x:is>
      </x:c>
      <x:c r="F16" s="125" t="inlineStr">
        <x:is>
          <x:t xml:space="preserve">visual</x:t>
        </x:is>
      </x:c>
      <x:c r="G16" s="125" t="inlineStr">
        <x:is>
          <x:t xml:space="preserve">tests/components/color-swatch/visual.spec.ts</x:t>
        </x:is>
      </x:c>
      <x:c r="H16" s="125" t="inlineStr">
        <x:is>
          <x:t xml:space="preserve">tested</x:t>
        </x:is>
      </x:c>
      <x:c r="I16" s="125" t="inlineStr">
        <x:is>
          <x:t xml:space="preserve">yes</x:t>
        </x:is>
      </x:c>
      <x:c r="J16" s="180" t="n">
        <x:v>46265</x:v>
      </x:c>
      <x:c r="K16" s="125" t="inlineStr">
        <x:is>
          <x:t xml:space="preserve">Expanded shape baselines were generated and agent-inspected on August 31, 2026; owner review remains open.</x:t>
        </x:is>
      </x:c>
      <x:c r="L16" s="125" t="n">
        <x:v>1</x:v>
      </x:c>
      <x:c r="M16" s="125" t="n">
        <x:f>IF(OR(AND(I16="yes",H16="verified"),AND(I16="no",OR(H16="tested",H16="verified")),AND(H16="not applicable",K16&lt;&gt;"")),1,0)</x:f>
        <x:v>0</x:v>
      </x:c>
    </x:row>
    <x:row r="17" s="127" customFormat="1" ht="42" customHeight="1">
      <x:c r="A17" s="125" t="inlineStr">
        <x:is>
          <x:t xml:space="preserve">CS-09</x:t>
        </x:is>
      </x:c>
      <x:c r="B17" s="125" t="inlineStr">
        <x:is>
          <x:t xml:space="preserve">Responsive</x:t>
        </x:is>
      </x:c>
      <x:c r="C17" s="125" t="inlineStr">
        <x:is>
          <x:t xml:space="preserve">Root / Mix</x:t>
        </x:is>
      </x:c>
      <x:c r="D17" s="125" t="inlineStr">
        <x:is>
          <x:t xml:space="preserve">Seven fixed square sizes from 14 to 32px, plus inherit and full with definite parent dimensions.</x:t>
        </x:is>
      </x:c>
      <x:c r="E17" s="125" t="inlineStr">
        <x:is>
          <x:t xml:space="preserve">package</x:t>
        </x:is>
      </x:c>
      <x:c r="F17" s="125" t="inlineStr">
        <x:is>
          <x:t xml:space="preserve">manual</x:t>
        </x:is>
      </x:c>
      <x:c r="G17" s="125" t="inlineStr">
        <x:is>
          <x:t xml:space="preserve">tests/components/color-picker/docs.spec.ts</x:t>
        </x:is>
      </x:c>
      <x:c r="H17" s="125" t="inlineStr">
        <x:is>
          <x:t xml:space="preserve">not started</x:t>
        </x:is>
      </x:c>
      <x:c r="I17" s="125" t="inlineStr">
        <x:is>
          <x:t xml:space="preserve">yes</x:t>
        </x:is>
      </x:c>
      <x:c r="J17" s="181" t="n"/>
      <x:c r="K17" s="125" t="inlineStr">
        <x:is>
          <x:t xml:space="preserve">Manual owner review remains open.</x:t>
        </x:is>
      </x:c>
      <x:c r="L17" s="125" t="n">
        <x:v>1</x:v>
      </x:c>
      <x:c r="M17" s="125" t="n">
        <x:f>IF(OR(AND(I17="yes",H17="verified"),AND(I17="no",OR(H17="tested",H17="verified")),AND(H17="not applicable",K17&lt;&gt;"")),1,0)</x:f>
        <x:v>0</x:v>
      </x:c>
    </x:row>
    <x:row r="18" s="127" customFormat="1" ht="42" customHeight="1">
      <x:c r="A18" s="125" t="inlineStr">
        <x:is>
          <x:t xml:space="preserve">CS-10</x:t>
        </x:is>
      </x:c>
      <x:c r="B18" s="125" t="inlineStr">
        <x:is>
          <x:t xml:space="preserve">Theme</x:t>
        </x:is>
      </x:c>
      <x:c r="C18" s="125" t="inlineStr">
        <x:is>
          <x:t xml:space="preserve">Root / Mix</x:t>
        </x:is>
      </x:c>
      <x:c r="D18" s="125" t="inlineStr">
        <x:is>
          <x:t xml:space="preserve">Light, dark, checker contrast, and forced-colors boundaries remain perceivable.</x:t>
        </x:is>
      </x:c>
      <x:c r="E18" s="125" t="inlineStr">
        <x:is>
          <x:t xml:space="preserve">package</x:t>
        </x:is>
      </x:c>
      <x:c r="F18" s="125" t="inlineStr">
        <x:is>
          <x:t xml:space="preserve">manual</x:t>
        </x:is>
      </x:c>
      <x:c r="G18" s="125" t="inlineStr">
        <x:is>
          <x:t xml:space="preserve">manual-tests/color-swatch.md; tests/components/color-swatch/visual.spec.ts</x:t>
        </x:is>
      </x:c>
      <x:c r="H18" s="125" t="inlineStr">
        <x:is>
          <x:t xml:space="preserve">tested</x:t>
        </x:is>
      </x:c>
      <x:c r="I18" s="125" t="inlineStr">
        <x:is>
          <x:t xml:space="preserve">yes</x:t>
        </x:is>
      </x:c>
      <x:c r="J18" s="181" t="n">
        <x:v>46265</x:v>
      </x:c>
      <x:c r="K18" s="125" t="inlineStr">
        <x:is>
          <x:t xml:space="preserve">Automated and visual evidence exists; owner manual review remains open.</x:t>
        </x:is>
      </x:c>
      <x:c r="L18" s="125" t="n">
        <x:v>1</x:v>
      </x:c>
      <x:c r="M18" s="125" t="n">
        <x:f>IF(OR(AND(I18="yes",H18="verified"),AND(I18="no",OR(H18="tested",H18="verified")),AND(H18="not applicable",K18&lt;&gt;"")),1,0)</x:f>
        <x:v>0</x:v>
      </x:c>
    </x:row>
    <x:row r="19" s="127" customFormat="1" ht="42" customHeight="1">
      <x:c r="A19" s="125" t="inlineStr">
        <x:is>
          <x:t xml:space="preserve">CS-11</x:t>
        </x:is>
      </x:c>
      <x:c r="B19" s="125" t="inlineStr">
        <x:is>
          <x:t xml:space="preserve">Composition</x:t>
        </x:is>
      </x:c>
      <x:c r="C19" s="125" t="inlineStr">
        <x:is>
          <x:t xml:space="preserve">Root / Mix</x:t>
        </x:is>
      </x:c>
      <x:c r="D19" s="125" t="inlineStr">
        <x:is>
          <x:t xml:space="preserve">Passive swatches compose inside Button and ColorPicker.SwatchTrigger while interaction remains on the semantic owner.</x:t>
        </x:is>
      </x:c>
      <x:c r="E19" s="125" t="inlineStr">
        <x:is>
          <x:t xml:space="preserve">package</x:t>
        </x:is>
      </x:c>
      <x:c r="F19" s="125" t="inlineStr">
        <x:is>
          <x:t xml:space="preserve">browser</x:t>
        </x:is>
      </x:c>
      <x:c r="G19" s="125" t="inlineStr">
        <x:is>
          <x:t xml:space="preserve">manual-tests/color-swatch.md; tests/components/color-swatch/behavior.spec.ts; ../apps/consumer/src/App.tsx</x:t>
        </x:is>
      </x:c>
      <x:c r="H19" s="125" t="inlineStr">
        <x:is>
          <x:t xml:space="preserve">tested</x:t>
        </x:is>
      </x:c>
      <x:c r="I19" s="125" t="inlineStr">
        <x:is>
          <x:t xml:space="preserve">no</x:t>
        </x:is>
      </x:c>
      <x:c r="J19" s="180" t="n">
        <x:v>46265</x:v>
      </x:c>
      <x:c r="K19" s="125" t="n"/>
      <x:c r="L19" s="125" t="n">
        <x:v>1</x:v>
      </x:c>
      <x:c r="M19" s="125" t="n">
        <x:f>IF(OR(AND(I19="yes",H19="verified"),AND(I19="no",OR(H19="tested",H19="verified")),AND(H19="not applicable",K19&lt;&gt;"")),1,0)</x:f>
        <x:v>1</x:v>
      </x:c>
    </x:row>
    <x:row r="20" s="127" customFormat="1" ht="42" customHeight="1">
      <x:c r="A20" s="125" t="inlineStr">
        <x:is>
          <x:t xml:space="preserve">CS-12</x:t>
        </x:is>
      </x:c>
      <x:c r="B20" s="125" t="inlineStr">
        <x:is>
          <x:t xml:space="preserve">Manual</x:t>
        </x:is>
      </x:c>
      <x:c r="C20" s="125" t="inlineStr">
        <x:is>
          <x:t xml:space="preserve">Root / Mix</x:t>
        </x:is>
      </x:c>
      <x:c r="D20" s="125" t="inlineStr">
        <x:is>
          <x:t xml:space="preserve">The numbered component-owned protocol covers every playground scenario and physical/assistive review.</x:t>
        </x:is>
      </x:c>
      <x:c r="E20" s="125" t="inlineStr">
        <x:is>
          <x:t xml:space="preserve">package</x:t>
        </x:is>
      </x:c>
      <x:c r="F20" s="125" t="inlineStr">
        <x:is>
          <x:t xml:space="preserve">manual</x:t>
        </x:is>
      </x:c>
      <x:c r="G20" s="125" t="inlineStr">
        <x:is>
          <x:t xml:space="preserve">manual-tests/color-swatch.md</x:t>
        </x:is>
      </x:c>
      <x:c r="H20" s="125" t="inlineStr">
        <x:is>
          <x:t xml:space="preserve">not started</x:t>
        </x:is>
      </x:c>
      <x:c r="I20" s="125" t="inlineStr">
        <x:is>
          <x:t xml:space="preserve">yes</x:t>
        </x:is>
      </x:c>
      <x:c r="J20" s="181" t="n"/>
      <x:c r="K20" s="125" t="inlineStr">
        <x:is>
          <x:t xml:space="preserve">No completed physical-device or assistive-technology run is recorded.</x:t>
        </x:is>
      </x:c>
      <x:c r="L20" s="125" t="n">
        <x:v>1</x:v>
      </x:c>
      <x:c r="M20" s="125" t="n">
        <x:f>IF(OR(AND(I20="yes",H20="verified"),AND(I20="no",OR(H20="tested",H20="verified")),AND(H20="not applicable",K20&lt;&gt;"")),1,0)</x:f>
        <x:v>0</x:v>
      </x:c>
    </x:row>
    <x:row r="21" s="127" customFormat="1" ht="42" customHeight="1">
      <x:c r="A21" s="125" t="inlineStr">
        <x:is>
          <x:t xml:space="preserve">CS-13</x:t>
        </x:is>
      </x:c>
      <x:c r="B21" s="125" t="inlineStr">
        <x:is>
          <x:t xml:space="preserve">Docs</x:t>
        </x:is>
      </x:c>
      <x:c r="C21" s="125" t="inlineStr">
        <x:is>
          <x:t xml:space="preserve">ColorSwatch</x:t>
        </x:is>
      </x:c>
      <x:c r="D21" s="125" t="inlineStr">
        <x:is>
          <x:t xml:space="preserve">Public usage, API Reference, data attributes, shapes, accessibility, customization, and evidence documentation passes.</x:t>
        </x:is>
      </x:c>
      <x:c r="E21" s="125" t="inlineStr">
        <x:is>
          <x:t xml:space="preserve">package</x:t>
        </x:is>
      </x:c>
      <x:c r="F21" s="125" t="inlineStr">
        <x:is>
          <x:t xml:space="preserve">docs</x:t>
        </x:is>
      </x:c>
      <x:c r="G21" s="125" t="inlineStr">
        <x:is>
          <x:t xml:space="preserve">../docs/components/color-swatch/README.md</x:t>
        </x:is>
      </x:c>
      <x:c r="H21" s="125" t="inlineStr">
        <x:is>
          <x:t xml:space="preserve">tested</x:t>
        </x:is>
      </x:c>
      <x:c r="I21" s="125" t="inlineStr">
        <x:is>
          <x:t xml:space="preserve">no</x:t>
        </x:is>
      </x:c>
      <x:c r="J21" s="180" t="n">
        <x:v>46265</x:v>
      </x:c>
      <x:c r="K21" s="138" t="n"/>
      <x:c r="L21" s="125" t="n">
        <x:v>1</x:v>
      </x:c>
      <x:c r="M21" s="125" t="n">
        <x:f>IF(OR(AND(I21="yes",H21="verified"),AND(I21="no",OR(H21="tested",H21="verified")),AND(H21="not applicable",K21&lt;&gt;"")),1,0)</x:f>
        <x:v>1</x:v>
      </x:c>
    </x:row>
    <x:row r="22" s="127" customFormat="1" ht="42" customHeight="1">
      <x:c r="A22" s="125" t="inlineStr">
        <x:is>
          <x:t xml:space="preserve">CS-14</x:t>
        </x:is>
      </x:c>
      <x:c r="B22" s="125" t="inlineStr">
        <x:is>
          <x:t xml:space="preserve">Agent Knowledge</x:t>
        </x:is>
      </x:c>
      <x:c r="C22" s="125" t="inlineStr">
        <x:is>
          <x:t xml:space="preserve">ColorSwatch</x:t>
        </x:is>
      </x:c>
      <x:c r="D22" s="125" t="inlineStr">
        <x:is>
          <x:t xml:space="preserve">Machine and Markdown guidance teach passive ownership, semantics, closed shapes, composition, exclusions, and validation.</x:t>
        </x:is>
      </x:c>
      <x:c r="E22" s="125" t="inlineStr">
        <x:is>
          <x:t xml:space="preserve">package</x:t>
        </x:is>
      </x:c>
      <x:c r="F22" s="125" t="inlineStr">
        <x:is>
          <x:t xml:space="preserve">agents</x:t>
        </x:is>
      </x:c>
      <x:c r="G22" s="125" t="inlineStr">
        <x:is>
          <x:t xml:space="preserve">../src/components/color-swatch/agent.json; ../agents/components/color-swatch/agent.json</x:t>
        </x:is>
      </x:c>
      <x:c r="H22" s="125" t="inlineStr">
        <x:is>
          <x:t xml:space="preserve">tested</x:t>
        </x:is>
      </x:c>
      <x:c r="I22" s="125" t="inlineStr">
        <x:is>
          <x:t xml:space="preserve">no</x:t>
        </x:is>
      </x:c>
      <x:c r="J22" s="180" t="n">
        <x:v>46265</x:v>
      </x:c>
      <x:c r="K22" s="138" t="n"/>
      <x:c r="L22" s="125" t="n">
        <x:v>1</x:v>
      </x:c>
      <x:c r="M22" s="125" t="n">
        <x:f>IF(OR(AND(I22="yes",H22="verified"),AND(I22="no",OR(H22="tested",H22="verified")),AND(H22="not applicable",K22&lt;&gt;"")),1,0)</x:f>
        <x:v>1</x:v>
      </x:c>
    </x:row>
    <x:row r="23" s="127" customFormat="1" ht="42" customHeight="1">
      <x:c r="A23" s="125" t="inlineStr">
        <x:is>
          <x:t xml:space="preserve">CS-15</x:t>
        </x:is>
      </x:c>
      <x:c r="B23" s="125" t="inlineStr">
        <x:is>
          <x:t xml:space="preserve">Changelog</x:t>
        </x:is>
      </x:c>
      <x:c r="C23" s="125" t="inlineStr">
        <x:is>
          <x:t xml:space="preserve">ColorSwatch</x:t>
        </x:is>
      </x:c>
      <x:c r="D23" s="125" t="inlineStr">
        <x:is>
          <x:t xml:space="preserve">Component and package changelogs record the shape expansion.</x:t>
        </x:is>
      </x:c>
      <x:c r="E23" s="125" t="inlineStr">
        <x:is>
          <x:t xml:space="preserve">package</x:t>
        </x:is>
      </x:c>
      <x:c r="F23" s="125" t="inlineStr">
        <x:is>
          <x:t xml:space="preserve">docs</x:t>
        </x:is>
      </x:c>
      <x:c r="G23" s="125" t="inlineStr">
        <x:is>
          <x:t xml:space="preserve">../docs/components/color-swatch/CHANGELOG.md; ../CHANGELOG.md</x:t>
        </x:is>
      </x:c>
      <x:c r="H23" s="125" t="inlineStr">
        <x:is>
          <x:t xml:space="preserve">tested</x:t>
        </x:is>
      </x:c>
      <x:c r="I23" s="125" t="inlineStr">
        <x:is>
          <x:t xml:space="preserve">no</x:t>
        </x:is>
      </x:c>
      <x:c r="J23" s="180" t="n">
        <x:v>46265</x:v>
      </x:c>
      <x:c r="K23" s="125" t="n"/>
      <x:c r="L23" s="125" t="n">
        <x:v>1</x:v>
      </x:c>
      <x:c r="M23" s="125" t="n">
        <x:f>IF(OR(AND(I23="yes",H23="verified"),AND(I23="no",OR(H23="tested",H23="verified")),AND(H23="not applicable",K23&lt;&gt;"")),1,0)</x:f>
        <x:v>1</x:v>
      </x:c>
    </x:row>
    <x:row r="24" s="127" customFormat="1" ht="42" customHeight="1">
      <x:c r="A24" s="125" t="inlineStr">
        <x:is>
          <x:t xml:space="preserve">CS-16</x:t>
        </x:is>
      </x:c>
      <x:c r="B24" s="125" t="inlineStr">
        <x:is>
          <x:t xml:space="preserve">Consumer</x:t>
        </x:is>
      </x:c>
      <x:c r="C24" s="125" t="inlineStr">
        <x:is>
          <x:t xml:space="preserve">ColorSwatch</x:t>
        </x:is>
      </x:c>
      <x:c r="D24" s="125" t="inlineStr">
        <x:is>
          <x:t xml:space="preserve">The standalone Consumer exercises sharp, circle, rounded mix, alpha, and named semantics through the public subpath.</x:t>
        </x:is>
      </x:c>
      <x:c r="E24" s="125" t="inlineStr">
        <x:is>
          <x:t xml:space="preserve">consumer</x:t>
        </x:is>
      </x:c>
      <x:c r="F24" s="125" t="inlineStr">
        <x:is>
          <x:t xml:space="preserve">consumer</x:t>
        </x:is>
      </x:c>
      <x:c r="G24" s="125" t="inlineStr">
        <x:is>
          <x:t xml:space="preserve">../apps/consumer/src/App.tsx; ../apps/consumer/tests/consumer.spec.ts</x:t>
        </x:is>
      </x:c>
      <x:c r="H24" s="125" t="inlineStr">
        <x:is>
          <x:t xml:space="preserve">tested</x:t>
        </x:is>
      </x:c>
      <x:c r="I24" s="125" t="inlineStr">
        <x:is>
          <x:t xml:space="preserve">no</x:t>
        </x:is>
      </x:c>
      <x:c r="J24" s="180" t="n">
        <x:v>46265</x:v>
      </x:c>
      <x:c r="K24" s="125" t="inlineStr">
        <x:is>
          <x:t xml:space="preserve">Desktop and mobile focused Consumer verification passed.</x:t>
        </x:is>
      </x:c>
      <x:c r="L24" s="125" t="n">
        <x:v>1</x:v>
      </x:c>
      <x:c r="M24" s="125" t="n">
        <x:f>IF(OR(AND(I24="yes",H24="verified"),AND(I24="no",OR(H24="tested",H24="verified")),AND(H24="not applicable",K24&lt;&gt;"")),1,0)</x:f>
        <x:v>1</x:v>
      </x:c>
    </x:row>
    <x:row r="25" s="135" customFormat="1" ht="15" customHeight="1">
      <x:c r="A25" s="138" t="inlineStr">
        <x:is>
          <x:t xml:space="preserve">CS-17</x:t>
        </x:is>
      </x:c>
      <x:c r="B25" s="138" t="inlineStr">
        <x:is>
          <x:t xml:space="preserve">Package</x:t>
        </x:is>
      </x:c>
      <x:c r="C25" s="138" t="inlineStr">
        <x:is>
          <x:t xml:space="preserve">ColorSwatch</x:t>
        </x:is>
      </x:c>
      <x:c r="D25" s="138" t="inlineStr">
        <x:is>
          <x:t xml:space="preserve">Build, exports, tarball, CSS, exact Atom dependency, and clean consumer boundaries pass.</x:t>
        </x:is>
      </x:c>
      <x:c r="E25" s="138" t="inlineStr">
        <x:is>
          <x:t xml:space="preserve">package</x:t>
        </x:is>
      </x:c>
      <x:c r="F25" s="138" t="inlineStr">
        <x:is>
          <x:t xml:space="preserve">package</x:t>
        </x:is>
      </x:c>
      <x:c r="G25" s="138" t="inlineStr">
        <x:is>
          <x:t xml:space="preserve">../scripts/verify-package.mjs; ../scripts/verify-consumers.mjs</x:t>
        </x:is>
      </x:c>
      <x:c r="H25" s="138" t="inlineStr">
        <x:is>
          <x:t xml:space="preserve">tested</x:t>
        </x:is>
      </x:c>
      <x:c r="I25" s="138" t="inlineStr">
        <x:is>
          <x:t xml:space="preserve">no</x:t>
        </x:is>
      </x:c>
      <x:c r="J25" s="181" t="n">
        <x:v>46265</x:v>
      </x:c>
      <x:c r="K25" s="138" t="inlineStr">
        <x:is>
          <x:t xml:space="preserve">Qualified against exact published Atom 0.26.0.</x:t>
        </x:is>
      </x:c>
      <x:c r="L25" s="138" t="n">
        <x:v>1</x:v>
      </x:c>
      <x:c r="M25" s="138" t="n">
        <x:f>IF(OR(AND(I25="yes",H25="verified"),AND(I25="no",OR(H25="tested",H25="verified")),AND(H25="not applicable",K25&lt;&gt;"")),1,0)</x:f>
        <x:v>1</x:v>
      </x:c>
    </x:row>
  </x:sheetData>
  <x:mergeCells>
    <x:mergeCell ref="A2:M2"/>
    <x:mergeCell ref="A1:M1"/>
  </x:mergeCells>
  <x:conditionalFormatting sqref="H9:H24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1" showDropDown="0" showInputMessage="1" showErrorMessage="1" sqref="H9:H24">
      <x:formula1>"not started,partial,implemented,tested,verified,blocked,not applicable"</x:formula1>
      <x:formula2>0</x:formula2>
    </x:dataValidation>
    <x:dataValidation type="list" errorStyle="stop" operator="between" allowBlank="1" showDropDown="0" showInputMessage="1" showErrorMessage="1" sqref="I9:I24">
      <x:formula1>"yes,no"</x:formula1>
      <x:formula2>0</x:formula2>
    </x:dataValidation>
  </x:dataValidations>
  <x:pageMargins left="0.7" right="0.7" top="0.75" bottom="0.75" header="0.3" footer="0.3"/>
</x:worksheet>
</file>

<file path=xl/worksheets/sheet87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Bleed Evidence</x:t>
        </x:is>
      </x:c>
    </x:row>
    <x:row r="2" s="127" customFormat="1" ht="27.75" customHeight="1">
      <x:c r="A2" s="129" t="inlineStr">
        <x:is>
          <x:t xml:space="preserve">Assertion-level static layout, responsive geometry, composition, accessibility, documentation, and package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COUNTA(A9:A28)</x:f>
        <x:v>20</x:v>
      </x:c>
      <x:c r="D4" s="130" t="inlineStr">
        <x:is>
          <x:t xml:space="preserve">Resolved</x:t>
        </x:is>
      </x:c>
      <x:c r="E4" s="131" t="n">
        <x:f>SUM(M9:M28)</x:f>
        <x:v>14</x:v>
      </x:c>
      <x:c r="G4" s="130" t="inlineStr">
        <x:is>
          <x:t xml:space="preserve">Completion</x:t>
        </x:is>
      </x:c>
      <x:c r="H4" s="132" t="n">
        <x:f>IF(B4=0,0,E4/B4)</x:f>
        <x:v>0.7</x:v>
      </x:c>
      <x:c r="J4" s="130" t="inlineStr">
        <x:is>
          <x:t xml:space="preserve">Package gate</x:t>
        </x:is>
      </x:c>
      <x:c r="K4" s="131" t="str">
        <x:f>IF(COUNTIFS(E9:E28,"package",M9:M28,0)&gt;0,"open","complete")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IF(COUNTIFS(I9:I28,"yes",M9:M28,0)&gt;0,"open","complete")</x:f>
        <x:v>open</x:v>
      </x:c>
      <x:c r="D5" s="130" t="inlineStr">
        <x:is>
          <x:t xml:space="preserve">Consumer gate</x:t>
        </x:is>
      </x:c>
      <x:c r="E5" s="131" t="str">
        <x:f>IF(COUNTIFS(E9:E28,"consumer",M9:M28,0)&gt;0,"open","complete")</x:f>
        <x:v>open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48" customHeight="1">
      <x:c r="A9" s="125" t="inlineStr">
        <x:is>
          <x:t xml:space="preserve">BLD-01</x:t>
        </x:is>
      </x:c>
      <x:c r="B9" s="125" t="inlineStr">
        <x:is>
          <x:t xml:space="preserve">Implementation</x:t>
        </x:is>
      </x:c>
      <x:c r="C9" s="150" t="inlineStr">
        <x:is>
          <x:t xml:space="preserve">Bleed</x:t>
        </x:is>
      </x:c>
      <x:c r="D9" s="150" t="inlineStr">
        <x:is>
          <x:t xml:space="preserve">Bleed renders one selected native host or enhances one non-Fragment child without adding descendants, semantics, focus, or behavior.</x:t>
        </x:is>
      </x:c>
      <x:c r="E9" s="125" t="inlineStr">
        <x:is>
          <x:t xml:space="preserve">package</x:t>
        </x:is>
      </x:c>
      <x:c r="F9" s="125" t="inlineStr">
        <x:is>
          <x:t xml:space="preserve">source</x:t>
        </x:is>
      </x:c>
      <x:c r="G9" s="150" t="inlineStr">
        <x:is>
          <x:t xml:space="preserve">../src/components/bleed</x:t>
        </x:is>
      </x:c>
      <x:c r="H9" s="125" t="inlineStr">
        <x:is>
          <x:t xml:space="preserve">tested</x:t>
        </x:is>
      </x:c>
      <x:c r="I9" s="125" t="inlineStr">
        <x:is>
          <x:t xml:space="preserve">no</x:t>
        </x:is>
      </x:c>
      <x:c r="J9" s="141" t="n">
        <x:v>46262</x:v>
      </x:c>
      <x:c r="K9" s="150" t="n"/>
      <x:c r="L9" s="125" t="n">
        <x:v>1</x:v>
      </x:c>
      <x:c r="M9" s="125" t="n">
        <x:f>IF(OR(AND(I9="yes",H9="verified"),AND(I9="no",OR(H9="tested",H9="verified")),AND(H9="not applicable",K9&lt;&gt;"")),1,0)</x:f>
        <x:v>1</x:v>
      </x:c>
    </x:row>
    <x:row r="10" s="127" customFormat="1" ht="48" customHeight="1">
      <x:c r="A10" s="125" t="inlineStr">
        <x:is>
          <x:t xml:space="preserve">BLD-02</x:t>
        </x:is>
      </x:c>
      <x:c r="B10" s="125" t="inlineStr">
        <x:is>
          <x:t xml:space="preserve">Anatomy</x:t>
        </x:is>
      </x:c>
      <x:c r="C10" s="150" t="inlineStr">
        <x:is>
          <x:t xml:space="preserve">Bleed</x:t>
        </x:is>
      </x:c>
      <x:c r="D10" s="150" t="inlineStr">
        <x:is>
          <x:t xml:space="preserve">The one public part exposes stable class, data-bleed, data-slot, native host, and forwarded-ref ownership.</x:t>
        </x:is>
      </x:c>
      <x:c r="E10" s="125" t="inlineStr">
        <x:is>
          <x:t xml:space="preserve">package</x:t>
        </x:is>
      </x:c>
      <x:c r="F10" s="125" t="inlineStr">
        <x:is>
          <x:t xml:space="preserve">component</x:t>
        </x:is>
      </x:c>
      <x:c r="G10" s="150" t="inlineStr">
        <x:is>
          <x:t xml:space="preserve">../test/components/bleed/bleed.test.tsx</x:t>
        </x:is>
      </x:c>
      <x:c r="H10" s="125" t="inlineStr">
        <x:is>
          <x:t xml:space="preserve">tested</x:t>
        </x:is>
      </x:c>
      <x:c r="I10" s="125" t="inlineStr">
        <x:is>
          <x:t xml:space="preserve">no</x:t>
        </x:is>
      </x:c>
      <x:c r="J10" s="141" t="n">
        <x:v>46262</x:v>
      </x:c>
      <x:c r="K10" s="150" t="n"/>
      <x:c r="L10" s="125" t="n">
        <x:v>1</x:v>
      </x:c>
      <x:c r="M10" s="125" t="n">
        <x:f>IF(OR(AND(I10="yes",H10="verified"),AND(I10="no",OR(H10="tested",H10="verified")),AND(H10="not applicable",K10&lt;&gt;"")),1,0)</x:f>
        <x:v>1</x:v>
      </x:c>
    </x:row>
    <x:row r="11" s="127" customFormat="1" ht="48" customHeight="1">
      <x:c r="A11" s="125" t="inlineStr">
        <x:is>
          <x:t xml:space="preserve">BLD-03</x:t>
        </x:is>
      </x:c>
      <x:c r="B11" s="125" t="inlineStr">
        <x:is>
          <x:t xml:space="preserve">Exports</x:t>
        </x:is>
      </x:c>
      <x:c r="C11" s="150" t="inlineStr">
        <x:is>
          <x:t xml:space="preserve">Bleed</x:t>
        </x:is>
      </x:c>
      <x:c r="D11" s="150" t="inlineStr">
        <x:is>
          <x:t xml:space="preserve">Root and bleed subpath exports expose Bleed, BleedProps, and BleedElement through runtime and declaration surfaces.</x:t>
        </x:is>
      </x:c>
      <x:c r="E11" s="125" t="inlineStr">
        <x:is>
          <x:t xml:space="preserve">package</x:t>
        </x:is>
      </x:c>
      <x:c r="F11" s="125" t="inlineStr">
        <x:is>
          <x:t xml:space="preserve">package</x:t>
        </x:is>
      </x:c>
      <x:c r="G11" s="150" t="inlineStr">
        <x:is>
          <x:t xml:space="preserve">../test/package/package.test.mjs</x:t>
        </x:is>
      </x:c>
      <x:c r="H11" s="125" t="inlineStr">
        <x:is>
          <x:t xml:space="preserve">tested</x:t>
        </x:is>
      </x:c>
      <x:c r="I11" s="125" t="inlineStr">
        <x:is>
          <x:t xml:space="preserve">no</x:t>
        </x:is>
      </x:c>
      <x:c r="J11" s="141" t="n">
        <x:v>46262</x:v>
      </x:c>
      <x:c r="K11" s="150" t="n"/>
      <x:c r="L11" s="125" t="n">
        <x:v>1</x:v>
      </x:c>
      <x:c r="M11" s="125" t="n">
        <x:f>IF(OR(AND(I11="yes",H11="verified"),AND(I11="no",OR(H11="tested",H11="verified")),AND(H11="not applicable",K11&lt;&gt;"")),1,0)</x:f>
        <x:v>1</x:v>
      </x:c>
    </x:row>
    <x:row r="12" s="127" customFormat="1" ht="48" customHeight="1">
      <x:c r="A12" s="125" t="inlineStr">
        <x:is>
          <x:t xml:space="preserve">BLD-04</x:t>
        </x:is>
      </x:c>
      <x:c r="B12" s="125" t="inlineStr">
        <x:is>
          <x:t xml:space="preserve">Types</x:t>
        </x:is>
      </x:c>
      <x:c r="C12" s="150" t="inlineStr">
        <x:is>
          <x:t xml:space="preserve">Bleed</x:t>
        </x:is>
      </x:c>
      <x:c r="D12" s="150" t="inlineStr">
        <x:is>
          <x:t xml:space="preserve">Closed host choices, responsive spacing, asChild composition, refs, and rejected paint props type-check.</x:t>
        </x:is>
      </x:c>
      <x:c r="E12" s="125" t="inlineStr">
        <x:is>
          <x:t xml:space="preserve">package</x:t>
        </x:is>
      </x:c>
      <x:c r="F12" s="125" t="inlineStr">
        <x:is>
          <x:t xml:space="preserve">types</x:t>
        </x:is>
      </x:c>
      <x:c r="G12" s="150" t="inlineStr">
        <x:is>
          <x:t xml:space="preserve">../test/types/components/bleed.test.ts</x:t>
        </x:is>
      </x:c>
      <x:c r="H12" s="125" t="inlineStr">
        <x:is>
          <x:t xml:space="preserve">tested</x:t>
        </x:is>
      </x:c>
      <x:c r="I12" s="125" t="inlineStr">
        <x:is>
          <x:t xml:space="preserve">no</x:t>
        </x:is>
      </x:c>
      <x:c r="J12" s="141" t="n">
        <x:v>46262</x:v>
      </x:c>
      <x:c r="K12" s="150" t="n"/>
      <x:c r="L12" s="125" t="n">
        <x:v>1</x:v>
      </x:c>
      <x:c r="M12" s="125" t="n">
        <x:f>IF(OR(AND(I12="yes",H12="verified"),AND(I12="no",OR(H12="tested",H12="verified")),AND(H12="not applicable",K12&lt;&gt;"")),1,0)</x:f>
        <x:v>1</x:v>
      </x:c>
    </x:row>
    <x:row r="13" s="127" customFormat="1" ht="48" customHeight="1">
      <x:c r="A13" s="125" t="inlineStr">
        <x:is>
          <x:t xml:space="preserve">BLD-05</x:t>
        </x:is>
      </x:c>
      <x:c r="B13" s="125" t="inlineStr">
        <x:is>
          <x:t xml:space="preserve">CSS</x:t>
        </x:is>
      </x:c>
      <x:c r="C13" s="150" t="inlineStr">
        <x:is>
          <x:t xml:space="preserve">Bleed</x:t>
        </x:is>
      </x:c>
      <x:c r="D13" s="150" t="inlineStr">
        <x:is>
          <x:t xml:space="preserve">Static utility-layer CSS converts logical public spacing into locally scoped negative margins across initial, sm, md, lg, and xl states.</x:t>
        </x:is>
      </x:c>
      <x:c r="E13" s="125" t="inlineStr">
        <x:is>
          <x:t xml:space="preserve">package</x:t>
        </x:is>
      </x:c>
      <x:c r="F13" s="125" t="inlineStr">
        <x:is>
          <x:t xml:space="preserve">css</x:t>
        </x:is>
      </x:c>
      <x:c r="G13" s="150" t="inlineStr">
        <x:is>
          <x:t xml:space="preserve">../src/components/bleed/bleed.css</x:t>
        </x:is>
      </x:c>
      <x:c r="H13" s="125" t="inlineStr">
        <x:is>
          <x:t xml:space="preserve">tested</x:t>
        </x:is>
      </x:c>
      <x:c r="I13" s="125" t="inlineStr">
        <x:is>
          <x:t xml:space="preserve">no</x:t>
        </x:is>
      </x:c>
      <x:c r="J13" s="141" t="n">
        <x:v>46262</x:v>
      </x:c>
      <x:c r="K13" s="150" t="n"/>
      <x:c r="L13" s="125" t="n">
        <x:v>1</x:v>
      </x:c>
      <x:c r="M13" s="125" t="n">
        <x:f>IF(OR(AND(I13="yes",H13="verified"),AND(I13="no",OR(H13="tested",H13="verified")),AND(H13="not applicable",K13&lt;&gt;"")),1,0)</x:f>
        <x:v>1</x:v>
      </x:c>
    </x:row>
    <x:row r="14" s="127" customFormat="1" ht="48" customHeight="1">
      <x:c r="A14" s="125" t="inlineStr">
        <x:is>
          <x:t xml:space="preserve">BLD-06</x:t>
        </x:is>
      </x:c>
      <x:c r="B14" s="125" t="inlineStr">
        <x:is>
          <x:t xml:space="preserve">Props</x:t>
        </x:is>
      </x:c>
      <x:c r="C14" s="150" t="inlineStr">
        <x:is>
          <x:t xml:space="preserve">Bleed</x:t>
        </x:is>
      </x:c>
      <x:c r="D14" s="150" t="inlineStr">
        <x:is>
          <x:t xml:space="preserve">Axis and directional values serialize without DOM leakage, and a directional edge overrides its matching axis edge.</x:t>
        </x:is>
      </x:c>
      <x:c r="E14" s="125" t="inlineStr">
        <x:is>
          <x:t xml:space="preserve">package</x:t>
        </x:is>
      </x:c>
      <x:c r="F14" s="125" t="inlineStr">
        <x:is>
          <x:t xml:space="preserve">component</x:t>
        </x:is>
      </x:c>
      <x:c r="G14" s="150" t="inlineStr">
        <x:is>
          <x:t xml:space="preserve">../test/components/bleed/bleed.test.tsx</x:t>
        </x:is>
      </x:c>
      <x:c r="H14" s="125" t="inlineStr">
        <x:is>
          <x:t xml:space="preserve">tested</x:t>
        </x:is>
      </x:c>
      <x:c r="I14" s="125" t="inlineStr">
        <x:is>
          <x:t xml:space="preserve">no</x:t>
        </x:is>
      </x:c>
      <x:c r="J14" s="141" t="n">
        <x:v>46262</x:v>
      </x:c>
      <x:c r="K14" s="150" t="n"/>
      <x:c r="L14" s="125" t="n">
        <x:v>1</x:v>
      </x:c>
      <x:c r="M14" s="125" t="n">
        <x:f>IF(OR(AND(I14="yes",H14="verified"),AND(I14="no",OR(H14="tested",H14="verified")),AND(H14="not applicable",K14&lt;&gt;"")),1,0)</x:f>
        <x:v>1</x:v>
      </x:c>
    </x:row>
    <x:row r="15" s="127" customFormat="1" ht="48" customHeight="1">
      <x:c r="A15" s="125" t="inlineStr">
        <x:is>
          <x:t xml:space="preserve">BLD-07</x:t>
        </x:is>
      </x:c>
      <x:c r="B15" s="125" t="inlineStr">
        <x:is>
          <x:t xml:space="preserve">Responsive</x:t>
        </x:is>
      </x:c>
      <x:c r="C15" s="150" t="inlineStr">
        <x:is>
          <x:t xml:space="preserve">Bleed</x:t>
        </x:is>
      </x:c>
      <x:c r="D15" s="150" t="inlineStr">
        <x:is>
          <x:t xml:space="preserve">Real-browser geometry crosses only authored logical edges and responsive values change at the tested viewport.</x:t>
        </x:is>
      </x:c>
      <x:c r="E15" s="125" t="inlineStr">
        <x:is>
          <x:t xml:space="preserve">package</x:t>
        </x:is>
      </x:c>
      <x:c r="F15" s="125" t="inlineStr">
        <x:is>
          <x:t xml:space="preserve">browser</x:t>
        </x:is>
      </x:c>
      <x:c r="G15" s="150" t="inlineStr">
        <x:is>
          <x:t xml:space="preserve">tests/components/bleed/behavior.spec.ts</x:t>
        </x:is>
      </x:c>
      <x:c r="H15" s="125" t="inlineStr">
        <x:is>
          <x:t xml:space="preserve">tested</x:t>
        </x:is>
      </x:c>
      <x:c r="I15" s="125" t="inlineStr">
        <x:is>
          <x:t xml:space="preserve">no</x:t>
        </x:is>
      </x:c>
      <x:c r="J15" s="141" t="n">
        <x:v>46262</x:v>
      </x:c>
      <x:c r="K15" s="150" t="n"/>
      <x:c r="L15" s="125" t="n">
        <x:v>1</x:v>
      </x:c>
      <x:c r="M15" s="125" t="n">
        <x:f>IF(OR(AND(I15="yes",H15="verified"),AND(I15="no",OR(H15="tested",H15="verified")),AND(H15="not applicable",K15&lt;&gt;"")),1,0)</x:f>
        <x:v>1</x:v>
      </x:c>
    </x:row>
    <x:row r="16" s="127" customFormat="1" ht="48" customHeight="1">
      <x:c r="A16" s="125" t="inlineStr">
        <x:is>
          <x:t xml:space="preserve">BLD-08</x:t>
        </x:is>
      </x:c>
      <x:c r="B16" s="125" t="inlineStr">
        <x:is>
          <x:t xml:space="preserve">Composition</x:t>
        </x:is>
      </x:c>
      <x:c r="C16" s="150" t="inlineStr">
        <x:is>
          <x:t xml:space="preserve">Bleed</x:t>
        </x:is>
      </x:c>
      <x:c r="D16" s="150" t="inlineStr">
        <x:is>
          <x:t xml:space="preserve">asChild preserves the authored semantic figure and composed class/ref ownership without adding a wrapper.</x:t>
        </x:is>
      </x:c>
      <x:c r="E16" s="125" t="inlineStr">
        <x:is>
          <x:t xml:space="preserve">package</x:t>
        </x:is>
      </x:c>
      <x:c r="F16" s="125" t="inlineStr">
        <x:is>
          <x:t xml:space="preserve">component</x:t>
        </x:is>
      </x:c>
      <x:c r="G16" s="150" t="inlineStr">
        <x:is>
          <x:t xml:space="preserve">../test/components/bleed/bleed.test.tsx; tests/components/bleed/behavior.spec.ts</x:t>
        </x:is>
      </x:c>
      <x:c r="H16" s="125" t="inlineStr">
        <x:is>
          <x:t xml:space="preserve">tested</x:t>
        </x:is>
      </x:c>
      <x:c r="I16" s="125" t="inlineStr">
        <x:is>
          <x:t xml:space="preserve">no</x:t>
        </x:is>
      </x:c>
      <x:c r="J16" s="141" t="n">
        <x:v>46262</x:v>
      </x:c>
      <x:c r="K16" s="150" t="n"/>
      <x:c r="L16" s="125" t="n">
        <x:v>1</x:v>
      </x:c>
      <x:c r="M16" s="125" t="n">
        <x:f>IF(OR(AND(I16="yes",H16="verified"),AND(I16="no",OR(H16="tested",H16="verified")),AND(H16="not applicable",K16&lt;&gt;"")),1,0)</x:f>
        <x:v>1</x:v>
      </x:c>
    </x:row>
    <x:row r="17" s="127" customFormat="1" ht="48" customHeight="1">
      <x:c r="A17" s="125" t="inlineStr">
        <x:is>
          <x:t xml:space="preserve">BLD-09</x:t>
        </x:is>
      </x:c>
      <x:c r="B17" s="125" t="inlineStr">
        <x:is>
          <x:t xml:space="preserve">Accessibility</x:t>
        </x:is>
      </x:c>
      <x:c r="C17" s="150" t="inlineStr">
        <x:is>
          <x:t xml:space="preserve">Bleed</x:t>
        </x:is>
      </x:c>
      <x:c r="D17" s="150" t="inlineStr">
        <x:is>
          <x:t xml:space="preserve">Narrow-width overflow and axe checks pass while Bleed remains semantically neutral.</x:t>
        </x:is>
      </x:c>
      <x:c r="E17" s="125" t="inlineStr">
        <x:is>
          <x:t xml:space="preserve">package</x:t>
        </x:is>
      </x:c>
      <x:c r="F17" s="125" t="inlineStr">
        <x:is>
          <x:t xml:space="preserve">axe</x:t>
        </x:is>
      </x:c>
      <x:c r="G17" s="150" t="inlineStr">
        <x:is>
          <x:t xml:space="preserve">tests/components/bleed/behavior.spec.ts</x:t>
        </x:is>
      </x:c>
      <x:c r="H17" s="125" t="inlineStr">
        <x:is>
          <x:t xml:space="preserve">tested</x:t>
        </x:is>
      </x:c>
      <x:c r="I17" s="125" t="inlineStr">
        <x:is>
          <x:t xml:space="preserve">no</x:t>
        </x:is>
      </x:c>
      <x:c r="J17" s="141" t="n">
        <x:v>46262</x:v>
      </x:c>
      <x:c r="K17" s="150" t="n"/>
      <x:c r="L17" s="125" t="n">
        <x:v>1</x:v>
      </x:c>
      <x:c r="M17" s="125" t="n">
        <x:f>IF(OR(AND(I17="yes",H17="verified"),AND(I17="no",OR(H17="tested",H17="verified")),AND(H17="not applicable",K17&lt;&gt;"")),1,0)</x:f>
        <x:v>1</x:v>
      </x:c>
    </x:row>
    <x:row r="18" s="127" customFormat="1" ht="48" customHeight="1">
      <x:c r="A18" s="125" t="inlineStr">
        <x:is>
          <x:t xml:space="preserve">BLD-10</x:t>
        </x:is>
      </x:c>
      <x:c r="B18" s="125" t="inlineStr">
        <x:is>
          <x:t xml:space="preserve">Visual</x:t>
        </x:is>
      </x:c>
      <x:c r="C18" s="150" t="inlineStr">
        <x:is>
          <x:t xml:space="preserve">Bleed</x:t>
        </x:is>
      </x:c>
      <x:c r="D18" s="150" t="inlineStr">
        <x:is>
          <x:t xml:space="preserve">The visual owner defines edge-media and narrow responsive screenshots, but the required baselines do not exist yet.</x:t>
        </x:is>
      </x:c>
      <x:c r="E18" s="125" t="inlineStr">
        <x:is>
          <x:t xml:space="preserve">package</x:t>
        </x:is>
      </x:c>
      <x:c r="F18" s="125" t="inlineStr">
        <x:is>
          <x:t xml:space="preserve">visual</x:t>
        </x:is>
      </x:c>
      <x:c r="G18" s="150" t="inlineStr">
        <x:is>
          <x:t xml:space="preserve">tests/components/bleed/visual.spec.ts</x:t>
        </x:is>
      </x:c>
      <x:c r="H18" s="125" t="inlineStr">
        <x:is>
          <x:t xml:space="preserve">partial</x:t>
        </x:is>
      </x:c>
      <x:c r="I18" s="125" t="inlineStr">
        <x:is>
          <x:t xml:space="preserve">yes</x:t>
        </x:is>
      </x:c>
      <x:c r="J18" s="141" t="n">
        <x:v>46262</x:v>
      </x:c>
      <x:c r="K18" s="150" t="inlineStr">
        <x:is>
          <x:t xml:space="preserve">Focused Chromium visual checks wrote actuals because both required baselines are missing.</x:t>
        </x:is>
      </x:c>
      <x:c r="L18" s="125" t="n">
        <x:v>1</x:v>
      </x:c>
      <x:c r="M18" s="125" t="n">
        <x:f>IF(OR(AND(I18="yes",H18="verified"),AND(I18="no",OR(H18="tested",H18="verified")),AND(H18="not applicable",K18&lt;&gt;"")),1,0)</x:f>
        <x:v>0</x:v>
      </x:c>
    </x:row>
    <x:row r="19" s="127" customFormat="1" ht="48" customHeight="1">
      <x:c r="A19" s="125" t="inlineStr">
        <x:is>
          <x:t xml:space="preserve">BLD-11</x:t>
        </x:is>
      </x:c>
      <x:c r="B19" s="125" t="inlineStr">
        <x:is>
          <x:t xml:space="preserve">Stress</x:t>
        </x:is>
      </x:c>
      <x:c r="C19" s="150" t="inlineStr">
        <x:is>
          <x:t xml:space="preserve">Bleed</x:t>
        </x:is>
      </x:c>
      <x:c r="D19" s="150" t="inlineStr">
        <x:is>
          <x:t xml:space="preserve">320 px, zoom, long content, nested values, RTL, and focus visibility receive the numbered human review.</x:t>
        </x:is>
      </x:c>
      <x:c r="E19" s="125" t="inlineStr">
        <x:is>
          <x:t xml:space="preserve">package</x:t>
        </x:is>
      </x:c>
      <x:c r="F19" s="125" t="inlineStr">
        <x:is>
          <x:t xml:space="preserve">manual</x:t>
        </x:is>
      </x:c>
      <x:c r="G19" s="150" t="inlineStr">
        <x:is>
          <x:t xml:space="preserve">manual-tests/bleed.md</x:t>
        </x:is>
      </x:c>
      <x:c r="H19" s="125" t="inlineStr">
        <x:is>
          <x:t xml:space="preserve">not started</x:t>
        </x:is>
      </x:c>
      <x:c r="I19" s="125" t="inlineStr">
        <x:is>
          <x:t xml:space="preserve">yes</x:t>
        </x:is>
      </x:c>
      <x:c r="K19" s="150" t="inlineStr">
        <x:is>
          <x:t xml:space="preserve">No completed responsive and RTL owner run is recorded.</x:t>
        </x:is>
      </x:c>
      <x:c r="L19" s="125" t="n">
        <x:v>1</x:v>
      </x:c>
      <x:c r="M19" s="125" t="n">
        <x:f>IF(OR(AND(I19="yes",H19="verified"),AND(I19="no",OR(H19="tested",H19="verified")),AND(H19="not applicable",K19&lt;&gt;"")),1,0)</x:f>
        <x:v>0</x:v>
      </x:c>
    </x:row>
    <x:row r="20" s="127" customFormat="1" ht="48" customHeight="1">
      <x:c r="A20" s="125" t="inlineStr">
        <x:is>
          <x:t xml:space="preserve">BLD-12</x:t>
        </x:is>
      </x:c>
      <x:c r="B20" s="125" t="inlineStr">
        <x:is>
          <x:t xml:space="preserve">Theme</x:t>
        </x:is>
      </x:c>
      <x:c r="C20" s="150" t="inlineStr">
        <x:is>
          <x:t xml:space="preserve">Bleed</x:t>
        </x:is>
      </x:c>
      <x:c r="D20" s="150" t="inlineStr">
        <x:is>
          <x:t xml:space="preserve">Forced colors and appearance changes preserve descendant readability and focus without introducing component paint.</x:t>
        </x:is>
      </x:c>
      <x:c r="E20" s="125" t="inlineStr">
        <x:is>
          <x:t xml:space="preserve">package</x:t>
        </x:is>
      </x:c>
      <x:c r="F20" s="125" t="inlineStr">
        <x:is>
          <x:t xml:space="preserve">manual</x:t>
        </x:is>
      </x:c>
      <x:c r="G20" s="150" t="inlineStr">
        <x:is>
          <x:t xml:space="preserve">manual-tests/bleed.md</x:t>
        </x:is>
      </x:c>
      <x:c r="H20" s="125" t="inlineStr">
        <x:is>
          <x:t xml:space="preserve">not started</x:t>
        </x:is>
      </x:c>
      <x:c r="I20" s="125" t="inlineStr">
        <x:is>
          <x:t xml:space="preserve">yes</x:t>
        </x:is>
      </x:c>
      <x:c r="K20" s="150" t="inlineStr">
        <x:is>
          <x:t xml:space="preserve">No completed appearance owner run is recorded.</x:t>
        </x:is>
      </x:c>
      <x:c r="L20" s="125" t="n">
        <x:v>1</x:v>
      </x:c>
      <x:c r="M20" s="125" t="n">
        <x:f>IF(OR(AND(I20="yes",H20="verified"),AND(I20="no",OR(H20="tested",H20="verified")),AND(H20="not applicable",K20&lt;&gt;"")),1,0)</x:f>
        <x:v>0</x:v>
      </x:c>
    </x:row>
    <x:row r="21" s="127" customFormat="1" ht="48" customHeight="1">
      <x:c r="A21" s="125" t="inlineStr">
        <x:is>
          <x:t xml:space="preserve">BLD-13</x:t>
        </x:is>
      </x:c>
      <x:c r="B21" s="125" t="inlineStr">
        <x:is>
          <x:t xml:space="preserve">Manual</x:t>
        </x:is>
      </x:c>
      <x:c r="C21" s="150" t="inlineStr">
        <x:is>
          <x:t xml:space="preserve">Bleed</x:t>
        </x:is>
      </x:c>
      <x:c r="D21" s="150" t="inlineStr">
        <x:is>
          <x:t xml:space="preserve">The numbered component-owned protocol passes axis, responsive, nested, narrow, zoom, RTL, device, and assistive-technology scenarios.</x:t>
        </x:is>
      </x:c>
      <x:c r="E21" s="125" t="inlineStr">
        <x:is>
          <x:t xml:space="preserve">package</x:t>
        </x:is>
      </x:c>
      <x:c r="F21" s="125" t="inlineStr">
        <x:is>
          <x:t xml:space="preserve">manual</x:t>
        </x:is>
      </x:c>
      <x:c r="G21" s="150" t="inlineStr">
        <x:is>
          <x:t xml:space="preserve">manual-tests/bleed.md</x:t>
        </x:is>
      </x:c>
      <x:c r="H21" s="125" t="inlineStr">
        <x:is>
          <x:t xml:space="preserve">not started</x:t>
        </x:is>
      </x:c>
      <x:c r="I21" s="125" t="inlineStr">
        <x:is>
          <x:t xml:space="preserve">yes</x:t>
        </x:is>
      </x:c>
      <x:c r="K21" s="150" t="inlineStr">
        <x:is>
          <x:t xml:space="preserve">No completed manual run is recorded.</x:t>
        </x:is>
      </x:c>
      <x:c r="L21" s="125" t="n">
        <x:v>1</x:v>
      </x:c>
      <x:c r="M21" s="125" t="n">
        <x:f>IF(OR(AND(I21="yes",H21="verified"),AND(I21="no",OR(H21="tested",H21="verified")),AND(H21="not applicable",K21&lt;&gt;"")),1,0)</x:f>
        <x:v>0</x:v>
      </x:c>
    </x:row>
    <x:row r="22" s="127" customFormat="1" ht="48" customHeight="1">
      <x:c r="A22" s="125" t="inlineStr">
        <x:is>
          <x:t xml:space="preserve">BLD-14</x:t>
        </x:is>
      </x:c>
      <x:c r="B22" s="125" t="inlineStr">
        <x:is>
          <x:t xml:space="preserve">Playground</x:t>
        </x:is>
      </x:c>
      <x:c r="C22" s="150" t="inlineStr">
        <x:is>
          <x:t xml:space="preserve">Bleed</x:t>
        </x:is>
      </x:c>
      <x:c r="D22" s="150" t="inlineStr">
        <x:is>
          <x:t xml:space="preserve">One route exposes axis, one-edge, responsive, nested, and stress specimens for review.</x:t>
        </x:is>
      </x:c>
      <x:c r="E22" s="125" t="inlineStr">
        <x:is>
          <x:t xml:space="preserve">package</x:t>
        </x:is>
      </x:c>
      <x:c r="F22" s="125" t="inlineStr">
        <x:is>
          <x:t xml:space="preserve">playground</x:t>
        </x:is>
      </x:c>
      <x:c r="G22" s="150" t="inlineStr">
        <x:is>
          <x:t xml:space="preserve">src/components/bleed/BleedPage.tsx</x:t>
        </x:is>
      </x:c>
      <x:c r="H22" s="125" t="inlineStr">
        <x:is>
          <x:t xml:space="preserve">tested</x:t>
        </x:is>
      </x:c>
      <x:c r="I22" s="125" t="inlineStr">
        <x:is>
          <x:t xml:space="preserve">no</x:t>
        </x:is>
      </x:c>
      <x:c r="J22" s="141" t="n">
        <x:v>46262</x:v>
      </x:c>
      <x:c r="K22" s="150" t="n"/>
      <x:c r="L22" s="125" t="n">
        <x:v>1</x:v>
      </x:c>
      <x:c r="M22" s="125" t="n">
        <x:f>IF(OR(AND(I22="yes",H22="verified"),AND(I22="no",OR(H22="tested",H22="verified")),AND(H22="not applicable",K22&lt;&gt;"")),1,0)</x:f>
        <x:v>1</x:v>
      </x:c>
    </x:row>
    <x:row r="23" s="127" customFormat="1" ht="48" customHeight="1">
      <x:c r="A23" s="125" t="inlineStr">
        <x:is>
          <x:t xml:space="preserve">BLD-15</x:t>
        </x:is>
      </x:c>
      <x:c r="B23" s="125" t="inlineStr">
        <x:is>
          <x:t xml:space="preserve">Docs</x:t>
        </x:is>
      </x:c>
      <x:c r="C23" s="150" t="inlineStr">
        <x:is>
          <x:t xml:space="preserve">Bleed</x:t>
        </x:is>
      </x:c>
      <x:c r="D23" s="150" t="inlineStr">
        <x:is>
          <x:t xml:space="preserve">Public use, exclusions, API, responsive behavior, accessibility, composition, customization, and evidence documentation pass.</x:t>
        </x:is>
      </x:c>
      <x:c r="E23" s="125" t="inlineStr">
        <x:is>
          <x:t xml:space="preserve">package</x:t>
        </x:is>
      </x:c>
      <x:c r="F23" s="125" t="inlineStr">
        <x:is>
          <x:t xml:space="preserve">docs</x:t>
        </x:is>
      </x:c>
      <x:c r="G23" s="150" t="inlineStr">
        <x:is>
          <x:t xml:space="preserve">../docs/components/bleed/README.md</x:t>
        </x:is>
      </x:c>
      <x:c r="H23" s="125" t="inlineStr">
        <x:is>
          <x:t xml:space="preserve">tested</x:t>
        </x:is>
      </x:c>
      <x:c r="I23" s="125" t="inlineStr">
        <x:is>
          <x:t xml:space="preserve">no</x:t>
        </x:is>
      </x:c>
      <x:c r="J23" s="141" t="n">
        <x:v>46262</x:v>
      </x:c>
      <x:c r="K23" s="150" t="n"/>
      <x:c r="L23" s="125" t="n">
        <x:v>1</x:v>
      </x:c>
      <x:c r="M23" s="125" t="n">
        <x:f>IF(OR(AND(I23="yes",H23="verified"),AND(I23="no",OR(H23="tested",H23="verified")),AND(H23="not applicable",K23&lt;&gt;"")),1,0)</x:f>
        <x:v>1</x:v>
      </x:c>
    </x:row>
    <x:row r="24" s="127" customFormat="1" ht="48" customHeight="1">
      <x:c r="A24" s="125" t="inlineStr">
        <x:is>
          <x:t xml:space="preserve">BLD-16</x:t>
        </x:is>
      </x:c>
      <x:c r="B24" s="125" t="inlineStr">
        <x:is>
          <x:t xml:space="preserve">Agent Knowledge</x:t>
        </x:is>
      </x:c>
      <x:c r="C24" s="150" t="inlineStr">
        <x:is>
          <x:t xml:space="preserve">Bleed</x:t>
        </x:is>
      </x:c>
      <x:c r="D24" s="150" t="inlineStr">
        <x:is>
          <x:t xml:space="preserve">Machine-readable selection, props, composition, accessibility, and evidence guidance ships with the component.</x:t>
        </x:is>
      </x:c>
      <x:c r="E24" s="125" t="inlineStr">
        <x:is>
          <x:t xml:space="preserve">package</x:t>
        </x:is>
      </x:c>
      <x:c r="F24" s="125" t="inlineStr">
        <x:is>
          <x:t xml:space="preserve">docs</x:t>
        </x:is>
      </x:c>
      <x:c r="G24" s="150" t="inlineStr">
        <x:is>
          <x:t xml:space="preserve">../src/components/bleed/agent.json; ../src/components/bleed/agent.md</x:t>
        </x:is>
      </x:c>
      <x:c r="H24" s="125" t="inlineStr">
        <x:is>
          <x:t xml:space="preserve">tested</x:t>
        </x:is>
      </x:c>
      <x:c r="I24" s="125" t="inlineStr">
        <x:is>
          <x:t xml:space="preserve">no</x:t>
        </x:is>
      </x:c>
      <x:c r="J24" s="141" t="n">
        <x:v>46262</x:v>
      </x:c>
      <x:c r="K24" s="150" t="n"/>
      <x:c r="L24" s="125" t="n">
        <x:v>1</x:v>
      </x:c>
      <x:c r="M24" s="125" t="n">
        <x:f>IF(OR(AND(I24="yes",H24="verified"),AND(I24="no",OR(H24="tested",H24="verified")),AND(H24="not applicable",K24&lt;&gt;"")),1,0)</x:f>
        <x:v>1</x:v>
      </x:c>
    </x:row>
    <x:row r="25" s="127" customFormat="1" ht="48" customHeight="1">
      <x:c r="A25" s="125" t="inlineStr">
        <x:is>
          <x:t xml:space="preserve">BLD-17</x:t>
        </x:is>
      </x:c>
      <x:c r="B25" s="125" t="inlineStr">
        <x:is>
          <x:t xml:space="preserve">Changelog</x:t>
        </x:is>
      </x:c>
      <x:c r="C25" s="150" t="inlineStr">
        <x:is>
          <x:t xml:space="preserve">Bleed</x:t>
        </x:is>
      </x:c>
      <x:c r="D25" s="150" t="inlineStr">
        <x:is>
          <x:t xml:space="preserve">Bleed owns component history and the package changelog records its addition.</x:t>
        </x:is>
      </x:c>
      <x:c r="E25" s="125" t="inlineStr">
        <x:is>
          <x:t xml:space="preserve">package</x:t>
        </x:is>
      </x:c>
      <x:c r="F25" s="125" t="inlineStr">
        <x:is>
          <x:t xml:space="preserve">docs</x:t>
        </x:is>
      </x:c>
      <x:c r="G25" s="150" t="inlineStr">
        <x:is>
          <x:t xml:space="preserve">../docs/components/bleed/CHANGELOG.md; ../CHANGELOG.md</x:t>
        </x:is>
      </x:c>
      <x:c r="H25" s="125" t="inlineStr">
        <x:is>
          <x:t xml:space="preserve">tested</x:t>
        </x:is>
      </x:c>
      <x:c r="I25" s="125" t="inlineStr">
        <x:is>
          <x:t xml:space="preserve">no</x:t>
        </x:is>
      </x:c>
      <x:c r="J25" s="141" t="n">
        <x:v>46262</x:v>
      </x:c>
      <x:c r="K25" s="150" t="n"/>
      <x:c r="L25" s="125" t="n">
        <x:v>1</x:v>
      </x:c>
      <x:c r="M25" s="125" t="n">
        <x:f>IF(OR(AND(I25="yes",H25="verified"),AND(I25="no",OR(H25="tested",H25="verified")),AND(H25="not applicable",K25&lt;&gt;"")),1,0)</x:f>
        <x:v>1</x:v>
      </x:c>
    </x:row>
    <x:row r="26" s="127" customFormat="1" ht="48" customHeight="1">
      <x:c r="A26" s="125" t="inlineStr">
        <x:is>
          <x:t xml:space="preserve">BLD-18</x:t>
        </x:is>
      </x:c>
      <x:c r="B26" s="125" t="inlineStr">
        <x:is>
          <x:t xml:space="preserve">Consumer</x:t>
        </x:is>
      </x:c>
      <x:c r="C26" s="150" t="inlineStr">
        <x:is>
          <x:t xml:space="preserve">Bleed</x:t>
        </x:is>
      </x:c>
      <x:c r="D26" s="150" t="inlineStr">
        <x:is>
          <x:t xml:space="preserve">The packed standalone Consumer imports the public bleed subpath in a realistic edge-media composition.</x:t>
        </x:is>
      </x:c>
      <x:c r="E26" s="125" t="inlineStr">
        <x:is>
          <x:t xml:space="preserve">consumer</x:t>
        </x:is>
      </x:c>
      <x:c r="F26" s="125" t="inlineStr">
        <x:is>
          <x:t xml:space="preserve">consumer</x:t>
        </x:is>
      </x:c>
      <x:c r="G26" s="150" t="inlineStr">
        <x:is>
          <x:t xml:space="preserve">../apps/consumer/src/App.tsx; ../apps/consumer/tests/consumer.spec.ts</x:t>
        </x:is>
      </x:c>
      <x:c r="H26" s="125" t="inlineStr">
        <x:is>
          <x:t xml:space="preserve">not started</x:t>
        </x:is>
      </x:c>
      <x:c r="I26" s="125" t="inlineStr">
        <x:is>
          <x:t xml:space="preserve">no</x:t>
        </x:is>
      </x:c>
      <x:c r="K26" s="150" t="inlineStr">
        <x:is>
          <x:t xml:space="preserve">No Bleed Consumer composition or assertion exists yet.</x:t>
        </x:is>
      </x:c>
      <x:c r="L26" s="125" t="n">
        <x:v>1</x:v>
      </x:c>
      <x:c r="M26" s="125" t="n">
        <x:f>IF(OR(AND(I26="yes",H26="verified"),AND(I26="no",OR(H26="tested",H26="verified")),AND(H26="not applicable",K26&lt;&gt;"")),1,0)</x:f>
        <x:v>0</x:v>
      </x:c>
    </x:row>
    <x:row r="27" s="127" customFormat="1" ht="48" customHeight="1">
      <x:c r="A27" s="125" t="inlineStr">
        <x:is>
          <x:t xml:space="preserve">BLD-19</x:t>
        </x:is>
      </x:c>
      <x:c r="B27" s="125" t="inlineStr">
        <x:is>
          <x:t xml:space="preserve">Package</x:t>
        </x:is>
      </x:c>
      <x:c r="C27" s="150" t="inlineStr">
        <x:is>
          <x:t xml:space="preserve">Bleed</x:t>
        </x:is>
      </x:c>
      <x:c r="D27" s="150" t="inlineStr">
        <x:is>
          <x:t xml:space="preserve">Build, exports, CSS, tarball, component tests, and repository verification pass.</x:t>
        </x:is>
      </x:c>
      <x:c r="E27" s="125" t="inlineStr">
        <x:is>
          <x:t xml:space="preserve">package</x:t>
        </x:is>
      </x:c>
      <x:c r="F27" s="125" t="inlineStr">
        <x:is>
          <x:t xml:space="preserve">package</x:t>
        </x:is>
      </x:c>
      <x:c r="G27" s="150" t="inlineStr">
        <x:is>
          <x:t xml:space="preserve">../scripts/verify-package.mjs; ../scripts/verify-consumers.mjs</x:t>
        </x:is>
      </x:c>
      <x:c r="H27" s="125" t="inlineStr">
        <x:is>
          <x:t xml:space="preserve">blocked</x:t>
        </x:is>
      </x:c>
      <x:c r="I27" s="125" t="inlineStr">
        <x:is>
          <x:t xml:space="preserve">no</x:t>
        </x:is>
      </x:c>
      <x:c r="J27" s="141" t="n">
        <x:v>46262</x:v>
      </x:c>
      <x:c r="K27" s="150" t="inlineStr">
        <x:is>
          <x:t xml:space="preserve">Clean Consumer verification cannot install unpublished @flowstack-ui/atom 0.23.1 from the public registry.</x:t>
        </x:is>
      </x:c>
      <x:c r="L27" s="125" t="n">
        <x:v>1</x:v>
      </x:c>
      <x:c r="M27" s="125" t="n">
        <x:f>IF(OR(AND(I27="yes",H27="verified"),AND(I27="no",OR(H27="tested",H27="verified")),AND(H27="not applicable",K27&lt;&gt;"")),1,0)</x:f>
        <x:v>0</x:v>
      </x:c>
    </x:row>
    <x:row r="28" s="127" customFormat="1" ht="48" customHeight="1">
      <x:c r="A28" s="125" t="inlineStr">
        <x:is>
          <x:t xml:space="preserve">BLD-20</x:t>
        </x:is>
      </x:c>
      <x:c r="B28" s="125" t="inlineStr">
        <x:is>
          <x:t xml:space="preserve">Ownership</x:t>
        </x:is>
      </x:c>
      <x:c r="C28" s="150" t="inlineStr">
        <x:is>
          <x:t xml:space="preserve">Bleed</x:t>
        </x:is>
      </x:c>
      <x:c r="D28" s="150" t="inlineStr">
        <x:is>
          <x:t xml:space="preserve">The adopted contract records Bleed as a Brick-native static layout primitive with no missing Atom capability.</x:t>
        </x:is>
      </x:c>
      <x:c r="E28" s="125" t="inlineStr">
        <x:is>
          <x:t xml:space="preserve">package</x:t>
        </x:is>
      </x:c>
      <x:c r="F28" s="125" t="inlineStr">
        <x:is>
          <x:t xml:space="preserve">docs</x:t>
        </x:is>
      </x:c>
      <x:c r="G28" s="150" t="inlineStr">
        <x:is>
          <x:t xml:space="preserve">../../docs/components/bleed/contract.md</x:t>
        </x:is>
      </x:c>
      <x:c r="H28" s="125" t="inlineStr">
        <x:is>
          <x:t xml:space="preserve">tested</x:t>
        </x:is>
      </x:c>
      <x:c r="I28" s="125" t="inlineStr">
        <x:is>
          <x:t xml:space="preserve">no</x:t>
        </x:is>
      </x:c>
      <x:c r="J28" s="141" t="n">
        <x:v>46262</x:v>
      </x:c>
      <x:c r="K28" s="150" t="n"/>
      <x:c r="L28" s="125" t="n">
        <x:v>1</x:v>
      </x:c>
      <x:c r="M28" s="125" t="n">
        <x:f>IF(OR(AND(I28="yes",H28="verified"),AND(I28="no",OR(H28="tested",H28="verified")),AND(H28="not applicable",K28&lt;&gt;"")),1,0)</x:f>
        <x:v>1</x:v>
      </x:c>
    </x:row>
  </x:sheetData>
  <x:mergeCells>
    <x:mergeCell ref="A2:M2"/>
    <x:mergeCell ref="A1:M1"/>
  </x:mergeCells>
  <x:conditionalFormatting sqref="H9:H28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0" showDropDown="0" showInputMessage="0" showErrorMessage="0" sqref="H9:H28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28">
      <x:formula1>"yes,no"</x:formula1>
      <x:formula2>0</x:formula2>
    </x:dataValidation>
  </x:dataValidations>
  <x:pageMargins left="0.7" right="0.7" top="0.75" bottom="0.75" header="0.3" footer="0.3"/>
</x:worksheet>
</file>

<file path=xl/worksheets/sheet88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Data List Evidence</x:t>
        </x:is>
      </x:c>
    </x:row>
    <x:row r="2" s="127" customFormat="1" ht="27.75" customHeight="1">
      <x:c r="A2" s="129" t="inlineStr">
        <x:is>
          <x:t xml:space="preserve">Assertion-level native description-list, responsive recipe, accessibility, documentation, and package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COUNTA(A9:A28)</x:f>
        <x:v>20</x:v>
      </x:c>
      <x:c r="D4" s="130" t="inlineStr">
        <x:is>
          <x:t xml:space="preserve">Resolved</x:t>
        </x:is>
      </x:c>
      <x:c r="E4" s="131" t="n">
        <x:f>SUM(M9:M28)</x:f>
        <x:v>14</x:v>
      </x:c>
      <x:c r="G4" s="130" t="inlineStr">
        <x:is>
          <x:t xml:space="preserve">Completion</x:t>
        </x:is>
      </x:c>
      <x:c r="H4" s="132" t="n">
        <x:f>IF(B4=0,0,E4/B4)</x:f>
        <x:v>0.7</x:v>
      </x:c>
      <x:c r="J4" s="130" t="inlineStr">
        <x:is>
          <x:t xml:space="preserve">Package gate</x:t>
        </x:is>
      </x:c>
      <x:c r="K4" s="131" t="str">
        <x:f>IF(COUNTIFS(E9:E28,"package",M9:M28,0)&gt;0,"open","complete")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IF(COUNTIFS(I9:I28,"yes",M9:M28,0)&gt;0,"open","complete")</x:f>
        <x:v>open</x:v>
      </x:c>
      <x:c r="D5" s="130" t="inlineStr">
        <x:is>
          <x:t xml:space="preserve">Consumer gate</x:t>
        </x:is>
      </x:c>
      <x:c r="E5" s="131" t="str">
        <x:f>IF(COUNTIFS(E9:E28,"consumer",M9:M28,0)&gt;0,"open","complete")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48" customHeight="1">
      <x:c r="A9" s="125" t="inlineStr">
        <x:is>
          <x:t xml:space="preserve">DL-01</x:t>
        </x:is>
      </x:c>
      <x:c r="B9" s="125" t="inlineStr">
        <x:is>
          <x:t xml:space="preserve">Implementation</x:t>
        </x:is>
      </x:c>
      <x:c r="C9" s="150" t="inlineStr">
        <x:is>
          <x:t xml:space="preserve">Root / Item / Label / Value</x:t>
        </x:is>
      </x:c>
      <x:c r="D9" s="150" t="str">
        <x:v>Fixed dl, div, dt and dd hosts preserve native props and refs. PropsProvider supplies styling defaults without a host.</x:v>
      </x:c>
      <x:c r="E9" s="125" t="inlineStr">
        <x:is>
          <x:t xml:space="preserve">package</x:t>
        </x:is>
      </x:c>
      <x:c r="F9" s="125" t="inlineStr">
        <x:is>
          <x:t xml:space="preserve">source</x:t>
        </x:is>
      </x:c>
      <x:c r="G9" s="150" t="inlineStr">
        <x:is>
          <x:t xml:space="preserve">../src/components/data-list</x:t>
        </x:is>
      </x:c>
      <x:c r="H9" s="125" t="inlineStr">
        <x:is>
          <x:t xml:space="preserve">tested</x:t>
        </x:is>
      </x:c>
      <x:c r="I9" s="125" t="inlineStr">
        <x:is>
          <x:t xml:space="preserve">no</x:t>
        </x:is>
      </x:c>
      <x:c r="J9" s="141" t="n">
        <x:v>46284</x:v>
      </x:c>
      <x:c r="K9" s="150" t="n"/>
      <x:c r="L9" s="125" t="n">
        <x:v>1</x:v>
      </x:c>
      <x:c r="M9" s="125" t="n">
        <x:f>IF(OR(AND(I9="yes",H9="verified"),AND(I9="no",OR(H9="tested",H9="verified")),AND(H9="not applicable",K9&lt;&gt;"")),1,0)</x:f>
        <x:v>1</x:v>
      </x:c>
    </x:row>
    <x:row r="10" s="127" customFormat="1" ht="48" customHeight="1">
      <x:c r="A10" s="125" t="inlineStr">
        <x:is>
          <x:t xml:space="preserve">DL-02</x:t>
        </x:is>
      </x:c>
      <x:c r="B10" s="125" t="inlineStr">
        <x:is>
          <x:t xml:space="preserve">Anatomy</x:t>
        </x:is>
      </x:c>
      <x:c r="C10" s="150" t="inlineStr">
        <x:is>
          <x:t xml:space="preserve">Root / Item / Label / Value</x:t>
        </x:is>
      </x:c>
      <x:c r="D10" s="150" t="inlineStr">
        <x:is>
          <x:t xml:space="preserve">Stable classes and data-slot hooks preserve Label-before-Value source order inside every Item.</x:t>
        </x:is>
      </x:c>
      <x:c r="E10" s="125" t="inlineStr">
        <x:is>
          <x:t xml:space="preserve">package</x:t>
        </x:is>
      </x:c>
      <x:c r="F10" s="125" t="inlineStr">
        <x:is>
          <x:t xml:space="preserve">component</x:t>
        </x:is>
      </x:c>
      <x:c r="G10" s="150" t="inlineStr">
        <x:is>
          <x:t xml:space="preserve">../test/components/data-list/data-list.test.tsx</x:t>
        </x:is>
      </x:c>
      <x:c r="H10" s="125" t="inlineStr">
        <x:is>
          <x:t xml:space="preserve">tested</x:t>
        </x:is>
      </x:c>
      <x:c r="I10" s="125" t="inlineStr">
        <x:is>
          <x:t xml:space="preserve">no</x:t>
        </x:is>
      </x:c>
      <x:c r="J10" s="141" t="n">
        <x:v>46262</x:v>
      </x:c>
      <x:c r="K10" s="150" t="n"/>
      <x:c r="L10" s="125" t="n">
        <x:v>1</x:v>
      </x:c>
      <x:c r="M10" s="125" t="n">
        <x:f>IF(OR(AND(I10="yes",H10="verified"),AND(I10="no",OR(H10="tested",H10="verified")),AND(H10="not applicable",K10&lt;&gt;"")),1,0)</x:f>
        <x:v>1</x:v>
      </x:c>
    </x:row>
    <x:row r="11" s="127" customFormat="1" ht="48" customHeight="1">
      <x:c r="A11" s="125" t="inlineStr">
        <x:is>
          <x:t xml:space="preserve">DL-03</x:t>
        </x:is>
      </x:c>
      <x:c r="B11" s="125" t="inlineStr">
        <x:is>
          <x:t xml:space="preserve">Exports</x:t>
        </x:is>
      </x:c>
      <x:c r="C11" s="150" t="inlineStr">
        <x:is>
          <x:t xml:space="preserve">DataList</x:t>
        </x:is>
      </x:c>
      <x:c r="D11" s="150" t="str">
        <x:v>Namespace, named parts, PropsProvider, recipe types and root/subpath exports are available.</x:v>
      </x:c>
      <x:c r="E11" s="125" t="inlineStr">
        <x:is>
          <x:t xml:space="preserve">package</x:t>
        </x:is>
      </x:c>
      <x:c r="F11" s="125" t="inlineStr">
        <x:is>
          <x:t xml:space="preserve">package</x:t>
        </x:is>
      </x:c>
      <x:c r="G11" s="150" t="inlineStr">
        <x:is>
          <x:t xml:space="preserve">../test/package/package.test.mjs</x:t>
        </x:is>
      </x:c>
      <x:c r="H11" s="125" t="inlineStr">
        <x:is>
          <x:t xml:space="preserve">tested</x:t>
        </x:is>
      </x:c>
      <x:c r="I11" s="125" t="inlineStr">
        <x:is>
          <x:t xml:space="preserve">no</x:t>
        </x:is>
      </x:c>
      <x:c r="J11" s="141" t="n">
        <x:v>46284</x:v>
      </x:c>
      <x:c r="K11" s="150" t="n"/>
      <x:c r="L11" s="125" t="n">
        <x:v>1</x:v>
      </x:c>
      <x:c r="M11" s="125" t="n">
        <x:f>IF(OR(AND(I11="yes",H11="verified"),AND(I11="no",OR(H11="tested",H11="verified")),AND(H11="not applicable",K11&lt;&gt;"")),1,0)</x:f>
        <x:v>1</x:v>
      </x:c>
    </x:row>
    <x:row r="12" s="127" customFormat="1" ht="48" customHeight="1">
      <x:c r="A12" s="125" t="inlineStr">
        <x:is>
          <x:t xml:space="preserve">DL-04</x:t>
        </x:is>
      </x:c>
      <x:c r="B12" s="125" t="inlineStr">
        <x:is>
          <x:t xml:space="preserve">Types</x:t>
        </x:is>
      </x:c>
      <x:c r="C12" s="150" t="inlineStr">
        <x:is>
          <x:t xml:space="preserve">Root / Item / Label / Value</x:t>
        </x:is>
      </x:c>
      <x:c r="D12" s="150" t="str">
        <x:v>Responsive size, variant, orientation and label measures, native props and refs type-check.</x:v>
      </x:c>
      <x:c r="E12" s="125" t="inlineStr">
        <x:is>
          <x:t xml:space="preserve">package</x:t>
        </x:is>
      </x:c>
      <x:c r="F12" s="125" t="inlineStr">
        <x:is>
          <x:t xml:space="preserve">types</x:t>
        </x:is>
      </x:c>
      <x:c r="G12" s="150" t="inlineStr">
        <x:is>
          <x:t xml:space="preserve">../test/types/components/data-list.test.ts</x:t>
        </x:is>
      </x:c>
      <x:c r="H12" s="125" t="inlineStr">
        <x:is>
          <x:t xml:space="preserve">tested</x:t>
        </x:is>
      </x:c>
      <x:c r="I12" s="125" t="inlineStr">
        <x:is>
          <x:t xml:space="preserve">no</x:t>
        </x:is>
      </x:c>
      <x:c r="J12" s="141" t="n">
        <x:v>46284</x:v>
      </x:c>
      <x:c r="K12" s="150" t="n"/>
      <x:c r="L12" s="125" t="n">
        <x:v>1</x:v>
      </x:c>
      <x:c r="M12" s="125" t="n">
        <x:f>IF(OR(AND(I12="yes",H12="verified"),AND(I12="no",OR(H12="tested",H12="verified")),AND(H12="not applicable",K12&lt;&gt;"")),1,0)</x:f>
        <x:v>1</x:v>
      </x:c>
    </x:row>
    <x:row r="13" s="127" customFormat="1" ht="48" customHeight="1">
      <x:c r="A13" s="125" t="inlineStr">
        <x:is>
          <x:t xml:space="preserve">DL-05</x:t>
        </x:is>
      </x:c>
      <x:c r="B13" s="125" t="inlineStr">
        <x:is>
          <x:t xml:space="preserve">CSS</x:t>
        </x:is>
      </x:c>
      <x:c r="C13" s="150" t="inlineStr">
        <x:is>
          <x:t xml:space="preserve">Root / Item / Label / Value</x:t>
        </x:is>
      </x:c>
      <x:c r="D13" s="150" t="inlineStr">
        <x:is>
          <x:t xml:space="preserve">Static CSS provides size, orientation, label measure, divider, wrapping, RTL, and forced-color recipes through public hooks.</x:t>
        </x:is>
      </x:c>
      <x:c r="E13" s="125" t="inlineStr">
        <x:is>
          <x:t xml:space="preserve">package</x:t>
        </x:is>
      </x:c>
      <x:c r="F13" s="125" t="inlineStr">
        <x:is>
          <x:t xml:space="preserve">css</x:t>
        </x:is>
      </x:c>
      <x:c r="G13" s="150" t="inlineStr">
        <x:is>
          <x:t xml:space="preserve">../src/components/data-list/data-list.css</x:t>
        </x:is>
      </x:c>
      <x:c r="H13" s="125" t="inlineStr">
        <x:is>
          <x:t xml:space="preserve">tested</x:t>
        </x:is>
      </x:c>
      <x:c r="I13" s="125" t="inlineStr">
        <x:is>
          <x:t xml:space="preserve">no</x:t>
        </x:is>
      </x:c>
      <x:c r="J13" s="141" t="n">
        <x:v>46262</x:v>
      </x:c>
      <x:c r="K13" s="150" t="n"/>
      <x:c r="L13" s="125" t="n">
        <x:v>1</x:v>
      </x:c>
      <x:c r="M13" s="125" t="n">
        <x:f>IF(OR(AND(I13="yes",H13="verified"),AND(I13="no",OR(H13="tested",H13="verified")),AND(H13="not applicable",K13&lt;&gt;"")),1,0)</x:f>
        <x:v>1</x:v>
      </x:c>
    </x:row>
    <x:row r="14" s="127" customFormat="1" ht="48" customHeight="1">
      <x:c r="A14" s="125" t="inlineStr">
        <x:is>
          <x:t xml:space="preserve">DL-06</x:t>
        </x:is>
      </x:c>
      <x:c r="B14" s="125" t="inlineStr">
        <x:is>
          <x:t xml:space="preserve">Defaults</x:t>
        </x:is>
      </x:c>
      <x:c r="C14" s="150" t="inlineStr">
        <x:is>
          <x:t xml:space="preserve">Root</x:t>
        </x:is>
      </x:c>
      <x:c r="D14" s="150" t="str">
        <x:v>Medium, subtle, vertical, automatic label measure and no separators are the defaults.</x:v>
      </x:c>
      <x:c r="E14" s="125" t="inlineStr">
        <x:is>
          <x:t xml:space="preserve">package</x:t>
        </x:is>
      </x:c>
      <x:c r="F14" s="125" t="inlineStr">
        <x:is>
          <x:t xml:space="preserve">component</x:t>
        </x:is>
      </x:c>
      <x:c r="G14" s="150" t="inlineStr">
        <x:is>
          <x:t xml:space="preserve">../test/components/data-list/data-list.test.tsx</x:t>
        </x:is>
      </x:c>
      <x:c r="H14" s="125" t="inlineStr">
        <x:is>
          <x:t xml:space="preserve">tested</x:t>
        </x:is>
      </x:c>
      <x:c r="I14" s="125" t="inlineStr">
        <x:is>
          <x:t xml:space="preserve">no</x:t>
        </x:is>
      </x:c>
      <x:c r="J14" s="141" t="n">
        <x:v>46284</x:v>
      </x:c>
      <x:c r="K14" s="150" t="n"/>
      <x:c r="L14" s="125" t="n">
        <x:v>1</x:v>
      </x:c>
      <x:c r="M14" s="125" t="n">
        <x:f>IF(OR(AND(I14="yes",H14="verified"),AND(I14="no",OR(H14="tested",H14="verified")),AND(H14="not applicable",K14&lt;&gt;"")),1,0)</x:f>
        <x:v>1</x:v>
      </x:c>
    </x:row>
    <x:row r="15" s="127" customFormat="1" ht="48" customHeight="1">
      <x:c r="A15" s="125" t="inlineStr">
        <x:is>
          <x:t xml:space="preserve">DL-07</x:t>
        </x:is>
      </x:c>
      <x:c r="B15" s="125" t="inlineStr">
        <x:is>
          <x:t xml:space="preserve">Recipes</x:t>
        </x:is>
      </x:c>
      <x:c r="C15" s="150" t="inlineStr">
        <x:is>
          <x:t xml:space="preserve">Root / Item</x:t>
        </x:is>
      </x:c>
      <x:c r="D15" s="150" t="str">
        <x:v>Three sizes, subtle/bold emphasis, bounded label measures and dividers use stable attributes.</x:v>
      </x:c>
      <x:c r="E15" s="125" t="inlineStr">
        <x:is>
          <x:t xml:space="preserve">package</x:t>
        </x:is>
      </x:c>
      <x:c r="F15" s="125" t="inlineStr">
        <x:is>
          <x:t xml:space="preserve">component</x:t>
        </x:is>
      </x:c>
      <x:c r="G15" s="150" t="inlineStr">
        <x:is>
          <x:t xml:space="preserve">../test/components/data-list/data-list.test.tsx</x:t>
        </x:is>
      </x:c>
      <x:c r="H15" s="125" t="inlineStr">
        <x:is>
          <x:t xml:space="preserve">tested</x:t>
        </x:is>
      </x:c>
      <x:c r="I15" s="125" t="inlineStr">
        <x:is>
          <x:t xml:space="preserve">no</x:t>
        </x:is>
      </x:c>
      <x:c r="J15" s="141" t="n">
        <x:v>46284</x:v>
      </x:c>
      <x:c r="K15" s="150" t="n"/>
      <x:c r="L15" s="125" t="n">
        <x:v>1</x:v>
      </x:c>
      <x:c r="M15" s="125" t="n">
        <x:f>IF(OR(AND(I15="yes",H15="verified"),AND(I15="no",OR(H15="tested",H15="verified")),AND(H15="not applicable",K15&lt;&gt;"")),1,0)</x:f>
        <x:v>1</x:v>
      </x:c>
    </x:row>
    <x:row r="16" s="127" customFormat="1" ht="48" customHeight="1">
      <x:c r="A16" s="125" t="inlineStr">
        <x:is>
          <x:t xml:space="preserve">DL-08</x:t>
        </x:is>
      </x:c>
      <x:c r="B16" s="125" t="inlineStr">
        <x:is>
          <x:t xml:space="preserve">Responsive</x:t>
        </x:is>
      </x:c>
      <x:c r="C16" s="150" t="inlineStr">
        <x:is>
          <x:t xml:space="preserve">Root / Item</x:t>
        </x:is>
      </x:c>
      <x:c r="D16" s="150" t="str">
        <x:v>Size, variant, measure and orientation respond without duplicating content. Horizontal-to-vertical reversal resets both columns.</x:v>
      </x:c>
      <x:c r="E16" s="125" t="inlineStr">
        <x:is>
          <x:t xml:space="preserve">package</x:t>
        </x:is>
      </x:c>
      <x:c r="F16" s="125" t="inlineStr">
        <x:is>
          <x:t xml:space="preserve">browser</x:t>
        </x:is>
      </x:c>
      <x:c r="G16" s="150" t="inlineStr">
        <x:is>
          <x:t xml:space="preserve">tests/components/data-list/behavior.spec.ts</x:t>
        </x:is>
      </x:c>
      <x:c r="H16" s="125" t="inlineStr">
        <x:is>
          <x:t xml:space="preserve">tested</x:t>
        </x:is>
      </x:c>
      <x:c r="I16" s="125" t="inlineStr">
        <x:is>
          <x:t xml:space="preserve">no</x:t>
        </x:is>
      </x:c>
      <x:c r="J16" s="141" t="n">
        <x:v>46284</x:v>
      </x:c>
      <x:c r="K16" s="150" t="n"/>
      <x:c r="L16" s="125" t="n">
        <x:v>1</x:v>
      </x:c>
      <x:c r="M16" s="125" t="n">
        <x:f>IF(OR(AND(I16="yes",H16="verified"),AND(I16="no",OR(H16="tested",H16="verified")),AND(H16="not applicable",K16&lt;&gt;"")),1,0)</x:f>
        <x:v>1</x:v>
      </x:c>
    </x:row>
    <x:row r="17" s="127" customFormat="1" ht="48" customHeight="1">
      <x:c r="A17" s="125" t="inlineStr">
        <x:is>
          <x:t xml:space="preserve">DL-09</x:t>
        </x:is>
      </x:c>
      <x:c r="B17" s="125" t="inlineStr">
        <x:is>
          <x:t xml:space="preserve">Accessibility</x:t>
        </x:is>
      </x:c>
      <x:c r="C17" s="150" t="inlineStr">
        <x:is>
          <x:t xml:space="preserve">Root / Label / Value</x:t>
        </x:is>
      </x:c>
      <x:c r="D17" s="150" t="inlineStr">
        <x:is>
          <x:t xml:space="preserve">Native dl, dt, and dd semantics remain intact without redundant roles, and axe passes.</x:t>
        </x:is>
      </x:c>
      <x:c r="E17" s="125" t="inlineStr">
        <x:is>
          <x:t xml:space="preserve">package</x:t>
        </x:is>
      </x:c>
      <x:c r="F17" s="125" t="inlineStr">
        <x:is>
          <x:t xml:space="preserve">axe</x:t>
        </x:is>
      </x:c>
      <x:c r="G17" s="150" t="inlineStr">
        <x:is>
          <x:t xml:space="preserve">tests/components/data-list/behavior.spec.ts</x:t>
        </x:is>
      </x:c>
      <x:c r="H17" s="125" t="inlineStr">
        <x:is>
          <x:t xml:space="preserve">tested</x:t>
        </x:is>
      </x:c>
      <x:c r="I17" s="125" t="inlineStr">
        <x:is>
          <x:t xml:space="preserve">no</x:t>
        </x:is>
      </x:c>
      <x:c r="J17" s="141" t="n">
        <x:v>46262</x:v>
      </x:c>
      <x:c r="K17" s="150" t="n"/>
      <x:c r="L17" s="125" t="n">
        <x:v>1</x:v>
      </x:c>
      <x:c r="M17" s="125" t="n">
        <x:f>IF(OR(AND(I17="yes",H17="verified"),AND(I17="no",OR(H17="tested",H17="verified")),AND(H17="not applicable",K17&lt;&gt;"")),1,0)</x:f>
        <x:v>1</x:v>
      </x:c>
    </x:row>
    <x:row r="18" s="127" customFormat="1" ht="48" customHeight="1">
      <x:c r="A18" s="125" t="inlineStr">
        <x:is>
          <x:t xml:space="preserve">DL-10</x:t>
        </x:is>
      </x:c>
      <x:c r="B18" s="125" t="inlineStr">
        <x:is>
          <x:t xml:space="preserve">Visual</x:t>
        </x:is>
      </x:c>
      <x:c r="C18" s="150" t="inlineStr">
        <x:is>
          <x:t xml:space="preserve">DataList</x:t>
        </x:is>
      </x:c>
      <x:c r="D18" s="150" t="str">
        <x:v>Seven Chromium baselines cover recipes, grouped facts, rich values, narrow RTL and forced colors.</x:v>
      </x:c>
      <x:c r="E18" s="125" t="inlineStr">
        <x:is>
          <x:t xml:space="preserve">package</x:t>
        </x:is>
      </x:c>
      <x:c r="F18" s="125" t="inlineStr">
        <x:is>
          <x:t xml:space="preserve">visual</x:t>
        </x:is>
      </x:c>
      <x:c r="G18" s="150" t="inlineStr">
        <x:is>
          <x:t xml:space="preserve">tests/components/data-list/visual.spec.ts</x:t>
        </x:is>
      </x:c>
      <x:c r="H18" s="125" t="str">
        <x:v>tested</x:v>
      </x:c>
      <x:c r="I18" s="125" t="inlineStr">
        <x:is>
          <x:t xml:space="preserve">yes</x:t>
        </x:is>
      </x:c>
      <x:c r="J18" s="141" t="n">
        <x:v>46284</x:v>
      </x:c>
      <x:c r="K18" s="150" t="str">
        <x:v>Agent inspected seven baselines; owner visual approval remains open.</x:v>
      </x:c>
      <x:c r="L18" s="125" t="n">
        <x:v>1</x:v>
      </x:c>
      <x:c r="M18" s="125" t="n">
        <x:f>IF(OR(AND(I18="yes",H18="verified"),AND(I18="no",OR(H18="tested",H18="verified")),AND(H18="not applicable",K18&lt;&gt;"")),1,0)</x:f>
        <x:v>0</x:v>
      </x:c>
    </x:row>
    <x:row r="19" s="127" customFormat="1" ht="48" customHeight="1">
      <x:c r="A19" s="125" t="inlineStr">
        <x:is>
          <x:t xml:space="preserve">DL-11</x:t>
        </x:is>
      </x:c>
      <x:c r="B19" s="125" t="inlineStr">
        <x:is>
          <x:t xml:space="preserve">Stress</x:t>
        </x:is>
      </x:c>
      <x:c r="C19" s="150" t="inlineStr">
        <x:is>
          <x:t xml:space="preserve">Root / Item</x:t>
        </x:is>
      </x:c>
      <x:c r="D19" s="150" t="inlineStr">
        <x:is>
          <x:t xml:space="preserve">Long labels and values remain readable at narrow widths, 200% text, 400% zoom, localization, and RTL.</x:t>
        </x:is>
      </x:c>
      <x:c r="E19" s="125" t="inlineStr">
        <x:is>
          <x:t xml:space="preserve">package</x:t>
        </x:is>
      </x:c>
      <x:c r="F19" s="125" t="inlineStr">
        <x:is>
          <x:t xml:space="preserve">manual</x:t>
        </x:is>
      </x:c>
      <x:c r="G19" s="150" t="inlineStr">
        <x:is>
          <x:t xml:space="preserve">manual-tests/data-list.md</x:t>
        </x:is>
      </x:c>
      <x:c r="H19" s="125" t="inlineStr">
        <x:is>
          <x:t xml:space="preserve">not started</x:t>
        </x:is>
      </x:c>
      <x:c r="I19" s="125" t="inlineStr">
        <x:is>
          <x:t xml:space="preserve">yes</x:t>
        </x:is>
      </x:c>
      <x:c r="K19" s="150" t="str">
        <x:v>Narrow RTL automated checks passed. Physical-device, 200% text and 400% zoom review remain open.</x:v>
      </x:c>
      <x:c r="L19" s="125" t="n">
        <x:v>1</x:v>
      </x:c>
      <x:c r="M19" s="125" t="n">
        <x:f>IF(OR(AND(I19="yes",H19="verified"),AND(I19="no",OR(H19="tested",H19="verified")),AND(H19="not applicable",K19&lt;&gt;"")),1,0)</x:f>
        <x:v>0</x:v>
      </x:c>
    </x:row>
    <x:row r="20" s="127" customFormat="1" ht="48" customHeight="1">
      <x:c r="A20" s="125" t="inlineStr">
        <x:is>
          <x:t xml:space="preserve">DL-12</x:t>
        </x:is>
      </x:c>
      <x:c r="B20" s="125" t="inlineStr">
        <x:is>
          <x:t xml:space="preserve">Theme</x:t>
        </x:is>
      </x:c>
      <x:c r="C20" s="150" t="inlineStr">
        <x:is>
          <x:t xml:space="preserve">Root / Label / Value</x:t>
        </x:is>
      </x:c>
      <x:c r="D20" s="150" t="inlineStr">
        <x:is>
          <x:t xml:space="preserve">Light, dark, forced-colors, dividers, and nested focus remain distinguishable.</x:t>
        </x:is>
      </x:c>
      <x:c r="E20" s="125" t="inlineStr">
        <x:is>
          <x:t xml:space="preserve">package</x:t>
        </x:is>
      </x:c>
      <x:c r="F20" s="125" t="inlineStr">
        <x:is>
          <x:t xml:space="preserve">manual</x:t>
        </x:is>
      </x:c>
      <x:c r="G20" s="150" t="inlineStr">
        <x:is>
          <x:t xml:space="preserve">manual-tests/data-list.md</x:t>
        </x:is>
      </x:c>
      <x:c r="H20" s="125" t="inlineStr">
        <x:is>
          <x:t xml:space="preserve">not started</x:t>
        </x:is>
      </x:c>
      <x:c r="I20" s="125" t="inlineStr">
        <x:is>
          <x:t xml:space="preserve">yes</x:t>
        </x:is>
      </x:c>
      <x:c r="K20" s="150" t="inlineStr">
        <x:is>
          <x:t xml:space="preserve">No completed appearance owner run is recorded.</x:t>
        </x:is>
      </x:c>
      <x:c r="L20" s="125" t="n">
        <x:v>1</x:v>
      </x:c>
      <x:c r="M20" s="125" t="n">
        <x:f>IF(OR(AND(I20="yes",H20="verified"),AND(I20="no",OR(H20="tested",H20="verified")),AND(H20="not applicable",K20&lt;&gt;"")),1,0)</x:f>
        <x:v>0</x:v>
      </x:c>
    </x:row>
    <x:row r="21" s="127" customFormat="1" ht="48" customHeight="1">
      <x:c r="A21" s="125" t="inlineStr">
        <x:is>
          <x:t xml:space="preserve">DL-13</x:t>
        </x:is>
      </x:c>
      <x:c r="B21" s="125" t="inlineStr">
        <x:is>
          <x:t xml:space="preserve">Composition</x:t>
        </x:is>
      </x:c>
      <x:c r="C21" s="150" t="inlineStr">
        <x:is>
          <x:t xml:space="preserve">Value</x:t>
        </x:is>
      </x:c>
      <x:c r="D21" s="150" t="inlineStr">
        <x:is>
          <x:t xml:space="preserve">Rich values retain their own native links and controls without row action, focus, or table semantics.</x:t>
        </x:is>
      </x:c>
      <x:c r="E21" s="125" t="inlineStr">
        <x:is>
          <x:t xml:space="preserve">package</x:t>
        </x:is>
      </x:c>
      <x:c r="F21" s="125" t="inlineStr">
        <x:is>
          <x:t xml:space="preserve">manual</x:t>
        </x:is>
      </x:c>
      <x:c r="G21" s="150" t="inlineStr">
        <x:is>
          <x:t xml:space="preserve">manual-tests/data-list.md; src/components/data-list/DataListPage.tsx</x:t>
        </x:is>
      </x:c>
      <x:c r="H21" s="125" t="inlineStr">
        <x:is>
          <x:t xml:space="preserve">implemented</x:t>
        </x:is>
      </x:c>
      <x:c r="I21" s="125" t="inlineStr">
        <x:is>
          <x:t xml:space="preserve">yes</x:t>
        </x:is>
      </x:c>
      <x:c r="J21" s="141" t="n">
        <x:v>46284</x:v>
      </x:c>
      <x:c r="K21" s="150" t="str">
        <x:v>Keyboard info-tip open, Escape and focus return passed in three engines. Human assistive-technology review remains open.</x:v>
      </x:c>
      <x:c r="L21" s="125" t="n">
        <x:v>1</x:v>
      </x:c>
      <x:c r="M21" s="125" t="n">
        <x:f>IF(OR(AND(I21="yes",H21="verified"),AND(I21="no",OR(H21="tested",H21="verified")),AND(H21="not applicable",K21&lt;&gt;"")),1,0)</x:f>
        <x:v>0</x:v>
      </x:c>
    </x:row>
    <x:row r="22" s="127" customFormat="1" ht="48" customHeight="1">
      <x:c r="A22" s="125" t="inlineStr">
        <x:is>
          <x:t xml:space="preserve">DL-14</x:t>
        </x:is>
      </x:c>
      <x:c r="B22" s="125" t="inlineStr">
        <x:is>
          <x:t xml:space="preserve">Manual</x:t>
        </x:is>
      </x:c>
      <x:c r="C22" s="150" t="inlineStr">
        <x:is>
          <x:t xml:space="preserve">DataList</x:t>
        </x:is>
      </x:c>
      <x:c r="D22" s="150" t="inlineStr">
        <x:is>
          <x:t xml:space="preserve">The numbered component-owned protocol passes semantics, recipes, rich values, theme, reflow, RTL, device, and assistive-technology scenarios.</x:t>
        </x:is>
      </x:c>
      <x:c r="E22" s="125" t="inlineStr">
        <x:is>
          <x:t xml:space="preserve">package</x:t>
        </x:is>
      </x:c>
      <x:c r="F22" s="125" t="inlineStr">
        <x:is>
          <x:t xml:space="preserve">manual</x:t>
        </x:is>
      </x:c>
      <x:c r="G22" s="150" t="inlineStr">
        <x:is>
          <x:t xml:space="preserve">manual-tests/data-list.md</x:t>
        </x:is>
      </x:c>
      <x:c r="H22" s="125" t="inlineStr">
        <x:is>
          <x:t xml:space="preserve">not started</x:t>
        </x:is>
      </x:c>
      <x:c r="I22" s="125" t="inlineStr">
        <x:is>
          <x:t xml:space="preserve">yes</x:t>
        </x:is>
      </x:c>
      <x:c r="K22" s="150" t="inlineStr">
        <x:is>
          <x:t xml:space="preserve">No completed manual run is recorded.</x:t>
        </x:is>
      </x:c>
      <x:c r="L22" s="125" t="n">
        <x:v>1</x:v>
      </x:c>
      <x:c r="M22" s="125" t="n">
        <x:f>IF(OR(AND(I22="yes",H22="verified"),AND(I22="no",OR(H22="tested",H22="verified")),AND(H22="not applicable",K22&lt;&gt;"")),1,0)</x:f>
        <x:v>0</x:v>
      </x:c>
    </x:row>
    <x:row r="23" s="127" customFormat="1" ht="48" customHeight="1">
      <x:c r="A23" s="125" t="inlineStr">
        <x:is>
          <x:t xml:space="preserve">DL-15</x:t>
        </x:is>
      </x:c>
      <x:c r="B23" s="125" t="inlineStr">
        <x:is>
          <x:t xml:space="preserve">Playground</x:t>
        </x:is>
      </x:c>
      <x:c r="C23" s="150" t="inlineStr">
        <x:is>
          <x:t xml:space="preserve">DataList</x:t>
        </x:is>
      </x:c>
      <x:c r="D23" s="150" t="str">
        <x:v>Twelve source-paired examples and a complete parts TOC cover responsive recipes, info tips, rich values, grouping and shared defaults.</x:v>
      </x:c>
      <x:c r="E23" s="125" t="inlineStr">
        <x:is>
          <x:t xml:space="preserve">package</x:t>
        </x:is>
      </x:c>
      <x:c r="F23" s="125" t="inlineStr">
        <x:is>
          <x:t xml:space="preserve">playground</x:t>
        </x:is>
      </x:c>
      <x:c r="G23" s="150" t="inlineStr">
        <x:is>
          <x:t xml:space="preserve">src/components/data-list/DataListPage.tsx</x:t>
        </x:is>
      </x:c>
      <x:c r="H23" s="125" t="inlineStr">
        <x:is>
          <x:t xml:space="preserve">tested</x:t>
        </x:is>
      </x:c>
      <x:c r="I23" s="125" t="inlineStr">
        <x:is>
          <x:t xml:space="preserve">no</x:t>
        </x:is>
      </x:c>
      <x:c r="J23" s="141" t="n">
        <x:v>46284</x:v>
      </x:c>
      <x:c r="K23" s="150" t="n"/>
      <x:c r="L23" s="125" t="n">
        <x:v>1</x:v>
      </x:c>
      <x:c r="M23" s="125" t="n">
        <x:f>IF(OR(AND(I23="yes",H23="verified"),AND(I23="no",OR(H23="tested",H23="verified")),AND(H23="not applicable",K23&lt;&gt;"")),1,0)</x:f>
        <x:v>1</x:v>
      </x:c>
    </x:row>
    <x:row r="24" s="127" customFormat="1" ht="48" customHeight="1">
      <x:c r="A24" s="125" t="inlineStr">
        <x:is>
          <x:t xml:space="preserve">DL-16</x:t>
        </x:is>
      </x:c>
      <x:c r="B24" s="125" t="inlineStr">
        <x:is>
          <x:t xml:space="preserve">Docs</x:t>
        </x:is>
      </x:c>
      <x:c r="C24" s="150" t="inlineStr">
        <x:is>
          <x:t xml:space="preserve">DataList</x:t>
        </x:is>
      </x:c>
      <x:c r="D24" s="150" t="inlineStr">
        <x:is>
          <x:t xml:space="preserve">Public use, API, anatomy, semantics, responsive behavior, accessibility, customization, and evidence documentation pass.</x:t>
        </x:is>
      </x:c>
      <x:c r="E24" s="125" t="inlineStr">
        <x:is>
          <x:t xml:space="preserve">package</x:t>
        </x:is>
      </x:c>
      <x:c r="F24" s="125" t="inlineStr">
        <x:is>
          <x:t xml:space="preserve">docs</x:t>
        </x:is>
      </x:c>
      <x:c r="G24" s="150" t="inlineStr">
        <x:is>
          <x:t xml:space="preserve">../docs/components/data-list/README.md</x:t>
        </x:is>
      </x:c>
      <x:c r="H24" s="125" t="inlineStr">
        <x:is>
          <x:t xml:space="preserve">tested</x:t>
        </x:is>
      </x:c>
      <x:c r="I24" s="125" t="inlineStr">
        <x:is>
          <x:t xml:space="preserve">no</x:t>
        </x:is>
      </x:c>
      <x:c r="J24" s="141" t="n">
        <x:v>46262</x:v>
      </x:c>
      <x:c r="K24" s="150" t="n"/>
      <x:c r="L24" s="125" t="n">
        <x:v>1</x:v>
      </x:c>
      <x:c r="M24" s="125" t="n">
        <x:f>IF(OR(AND(I24="yes",H24="verified"),AND(I24="no",OR(H24="tested",H24="verified")),AND(H24="not applicable",K24&lt;&gt;"")),1,0)</x:f>
        <x:v>1</x:v>
      </x:c>
    </x:row>
    <x:row r="25" s="127" customFormat="1" ht="48" customHeight="1">
      <x:c r="A25" s="125" t="inlineStr">
        <x:is>
          <x:t xml:space="preserve">DL-17</x:t>
        </x:is>
      </x:c>
      <x:c r="B25" s="125" t="inlineStr">
        <x:is>
          <x:t xml:space="preserve">Agent Knowledge</x:t>
        </x:is>
      </x:c>
      <x:c r="C25" s="150" t="inlineStr">
        <x:is>
          <x:t xml:space="preserve">DataList</x:t>
        </x:is>
      </x:c>
      <x:c r="D25" s="150" t="inlineStr">
        <x:is>
          <x:t xml:space="preserve">Machine-readable guidance distinguishes metadata pairs from peer lists, tables, editable fields, and generic layout.</x:t>
        </x:is>
      </x:c>
      <x:c r="E25" s="125" t="inlineStr">
        <x:is>
          <x:t xml:space="preserve">package</x:t>
        </x:is>
      </x:c>
      <x:c r="F25" s="125" t="inlineStr">
        <x:is>
          <x:t xml:space="preserve">docs</x:t>
        </x:is>
      </x:c>
      <x:c r="G25" s="150" t="inlineStr">
        <x:is>
          <x:t xml:space="preserve">../src/components/data-list/agent.json; ../src/components/data-list/agent.md</x:t>
        </x:is>
      </x:c>
      <x:c r="H25" s="125" t="inlineStr">
        <x:is>
          <x:t xml:space="preserve">tested</x:t>
        </x:is>
      </x:c>
      <x:c r="I25" s="125" t="inlineStr">
        <x:is>
          <x:t xml:space="preserve">no</x:t>
        </x:is>
      </x:c>
      <x:c r="J25" s="141" t="n">
        <x:v>46262</x:v>
      </x:c>
      <x:c r="K25" s="150" t="n"/>
      <x:c r="L25" s="125" t="n">
        <x:v>1</x:v>
      </x:c>
      <x:c r="M25" s="125" t="n">
        <x:f>IF(OR(AND(I25="yes",H25="verified"),AND(I25="no",OR(H25="tested",H25="verified")),AND(H25="not applicable",K25&lt;&gt;"")),1,0)</x:f>
        <x:v>1</x:v>
      </x:c>
    </x:row>
    <x:row r="26" s="127" customFormat="1" ht="48" customHeight="1">
      <x:c r="A26" s="125" t="inlineStr">
        <x:is>
          <x:t xml:space="preserve">DL-18</x:t>
        </x:is>
      </x:c>
      <x:c r="B26" s="125" t="inlineStr">
        <x:is>
          <x:t xml:space="preserve">Changelog</x:t>
        </x:is>
      </x:c>
      <x:c r="C26" s="150" t="inlineStr">
        <x:is>
          <x:t xml:space="preserve">DataList</x:t>
        </x:is>
      </x:c>
      <x:c r="D26" s="150" t="inlineStr">
        <x:is>
          <x:t xml:space="preserve">Data List owns component history and the package changelog records its addition.</x:t>
        </x:is>
      </x:c>
      <x:c r="E26" s="125" t="inlineStr">
        <x:is>
          <x:t xml:space="preserve">package</x:t>
        </x:is>
      </x:c>
      <x:c r="F26" s="125" t="inlineStr">
        <x:is>
          <x:t xml:space="preserve">docs</x:t>
        </x:is>
      </x:c>
      <x:c r="G26" s="150" t="inlineStr">
        <x:is>
          <x:t xml:space="preserve">../docs/components/data-list/CHANGELOG.md; ../CHANGELOG.md</x:t>
        </x:is>
      </x:c>
      <x:c r="H26" s="125" t="inlineStr">
        <x:is>
          <x:t xml:space="preserve">tested</x:t>
        </x:is>
      </x:c>
      <x:c r="I26" s="125" t="inlineStr">
        <x:is>
          <x:t xml:space="preserve">no</x:t>
        </x:is>
      </x:c>
      <x:c r="J26" s="141" t="n">
        <x:v>46262</x:v>
      </x:c>
      <x:c r="K26" s="150" t="n"/>
      <x:c r="L26" s="125" t="n">
        <x:v>1</x:v>
      </x:c>
      <x:c r="M26" s="125" t="n">
        <x:f>IF(OR(AND(I26="yes",H26="verified"),AND(I26="no",OR(H26="tested",H26="verified")),AND(H26="not applicable",K26&lt;&gt;"")),1,0)</x:f>
        <x:v>1</x:v>
      </x:c>
    </x:row>
    <x:row r="27" s="127" customFormat="1" ht="48" customHeight="1">
      <x:c r="A27" s="125" t="inlineStr">
        <x:is>
          <x:t xml:space="preserve">DL-19</x:t>
        </x:is>
      </x:c>
      <x:c r="B27" s="125" t="inlineStr">
        <x:is>
          <x:t xml:space="preserve">Consumer</x:t>
        </x:is>
      </x:c>
      <x:c r="C27" s="150" t="inlineStr">
        <x:is>
          <x:t xml:space="preserve">DataList</x:t>
        </x:is>
      </x:c>
      <x:c r="D27" s="150" t="str">
        <x:v>Clean packed React 18/19 consumers verify root/subpath types, provider SSR/hydration, native refs and cleanup.</x:v>
      </x:c>
      <x:c r="E27" s="125" t="inlineStr">
        <x:is>
          <x:t xml:space="preserve">consumer</x:t>
        </x:is>
      </x:c>
      <x:c r="F27" s="125" t="inlineStr">
        <x:is>
          <x:t xml:space="preserve">consumer</x:t>
        </x:is>
      </x:c>
      <x:c r="G27" s="150" t="str">
        <x:v>../scripts/verify-data-list-consumers.mjs</x:v>
      </x:c>
      <x:c r="H27" s="125" t="str">
        <x:v>tested</x:v>
      </x:c>
      <x:c r="I27" s="125" t="inlineStr">
        <x:is>
          <x:t xml:space="preserve">no</x:t>
        </x:is>
      </x:c>
      <x:c r="K27" s="150" t="str">
        <x:v>Focused packed consumers passed; broader application Consumer qualification is separate.</x:v>
      </x:c>
      <x:c r="L27" s="125" t="n">
        <x:v>1</x:v>
      </x:c>
      <x:c r="M27" s="125" t="n">
        <x:f>IF(OR(AND(I27="yes",H27="verified"),AND(I27="no",OR(H27="tested",H27="verified")),AND(H27="not applicable",K27&lt;&gt;"")),1,0)</x:f>
        <x:v>1</x:v>
      </x:c>
    </x:row>
    <x:row r="28" s="127" customFormat="1" ht="48" customHeight="1">
      <x:c r="A28" s="125" t="inlineStr">
        <x:is>
          <x:t xml:space="preserve">DL-20</x:t>
        </x:is>
      </x:c>
      <x:c r="B28" s="125" t="inlineStr">
        <x:is>
          <x:t xml:space="preserve">Package</x:t>
        </x:is>
      </x:c>
      <x:c r="C28" s="150" t="inlineStr">
        <x:is>
          <x:t xml:space="preserve">DataList</x:t>
        </x:is>
      </x:c>
      <x:c r="D28" s="150" t="inlineStr">
        <x:is>
          <x:t xml:space="preserve">Build, exports, CSS, tarball, component tests, and repository verification pass.</x:t>
        </x:is>
      </x:c>
      <x:c r="E28" s="125" t="inlineStr">
        <x:is>
          <x:t xml:space="preserve">package</x:t>
        </x:is>
      </x:c>
      <x:c r="F28" s="125" t="inlineStr">
        <x:is>
          <x:t xml:space="preserve">package</x:t>
        </x:is>
      </x:c>
      <x:c r="G28" s="150" t="inlineStr">
        <x:is>
          <x:t xml:space="preserve">../scripts/verify-package.mjs; ../scripts/verify-consumers.mjs</x:t>
        </x:is>
      </x:c>
      <x:c r="H28" s="125" t="str">
        <x:v>implemented</x:v>
      </x:c>
      <x:c r="I28" s="125" t="inlineStr">
        <x:is>
          <x:t xml:space="preserve">no</x:t>
        </x:is>
      </x:c>
      <x:c r="J28" s="141" t="n">
        <x:v>46284</x:v>
      </x:c>
      <x:c r="K28" s="150" t="str">
        <x:v>Focused build, CSS, types, docs and consumers passed. Broad repository and manual qualification remain open.</x:v>
      </x:c>
      <x:c r="L28" s="125" t="n">
        <x:v>1</x:v>
      </x:c>
      <x:c r="M28" s="125" t="n">
        <x:f>IF(OR(AND(I28="yes",H28="verified"),AND(I28="no",OR(H28="tested",H28="verified")),AND(H28="not applicable",K28&lt;&gt;"")),1,0)</x:f>
        <x:v>0</x:v>
      </x:c>
    </x:row>
  </x:sheetData>
  <x:mergeCells>
    <x:mergeCell ref="A2:M2"/>
    <x:mergeCell ref="A1:M1"/>
  </x:mergeCells>
  <x:conditionalFormatting sqref="H9:H28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0" showDropDown="0" showInputMessage="0" showErrorMessage="0" sqref="H9:H28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28">
      <x:formula1>"yes,no"</x:formula1>
      <x:formula2>0</x:formula2>
    </x:dataValidation>
  </x:dataValidations>
  <x:pageMargins left="0.7" right="0.7" top="0.75" bottom="0.75" header="0.3" footer="0.3"/>
</x:worksheet>
</file>

<file path=xl/worksheets/sheet89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Link Box Evidence</x:t>
        </x:is>
      </x:c>
    </x:row>
    <x:row r="2" s="127" customFormat="1" ht="27.75" customHeight="1">
      <x:c r="A2" s="129" t="inlineStr">
        <x:is>
          <x:t xml:space="preserve">Assertion-level destination geometry, independent-action, browser, accessibility, documentation, and package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COUNTA(A9:A28)</x:f>
        <x:v>20</x:v>
      </x:c>
      <x:c r="D4" s="130" t="inlineStr">
        <x:is>
          <x:t xml:space="preserve">Resolved</x:t>
        </x:is>
      </x:c>
      <x:c r="E4" s="131" t="n">
        <x:f>SUM(M9:M28)</x:f>
        <x:v>16</x:v>
      </x:c>
      <x:c r="G4" s="130" t="inlineStr">
        <x:is>
          <x:t xml:space="preserve">Completion</x:t>
        </x:is>
      </x:c>
      <x:c r="H4" s="132" t="n">
        <x:f>IF(B4=0,0,E4/B4)</x:f>
        <x:v>0.8</x:v>
      </x:c>
      <x:c r="J4" s="130" t="inlineStr">
        <x:is>
          <x:t xml:space="preserve">Package gate</x:t>
        </x:is>
      </x:c>
      <x:c r="K4" s="131" t="str">
        <x:f>IF(COUNTIFS(E9:E28,"package",M9:M28,0)&gt;0,"open","complete")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IF(COUNTIFS(I9:I28,"yes",M9:M28,0)&gt;0,"open","complete")</x:f>
        <x:v>open</x:v>
      </x:c>
      <x:c r="D5" s="130" t="inlineStr">
        <x:is>
          <x:t xml:space="preserve">Consumer gate</x:t>
        </x:is>
      </x:c>
      <x:c r="E5" s="131" t="str">
        <x:f>IF(COUNTIFS(E9:E28,"consumer",M9:M28,0)&gt;0,"open","complete")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48" customHeight="1">
      <x:c r="A9" s="125" t="inlineStr">
        <x:is>
          <x:t xml:space="preserve">LB-01</x:t>
        </x:is>
      </x:c>
      <x:c r="B9" s="125" t="inlineStr">
        <x:is>
          <x:t xml:space="preserve">Implementation</x:t>
        </x:is>
      </x:c>
      <x:c r="C9" s="150" t="inlineStr">
        <x:is>
          <x:t xml:space="preserve">Root / Link / Action</x:t>
        </x:is>
      </x:c>
      <x:c r="D9" s="150" t="inlineStr">
        <x:is>
          <x:t xml:space="preserve">Root, Link and Action provide shared radius, inherited title weight and a full-region native destination.</x:t>
        </x:is>
      </x:c>
      <x:c r="E9" s="125" t="inlineStr">
        <x:is>
          <x:t xml:space="preserve">package</x:t>
        </x:is>
      </x:c>
      <x:c r="F9" s="125" t="inlineStr">
        <x:is>
          <x:t xml:space="preserve">source</x:t>
        </x:is>
      </x:c>
      <x:c r="G9" s="150" t="inlineStr">
        <x:is>
          <x:t xml:space="preserve">../src/components/link-box</x:t>
        </x:is>
      </x:c>
      <x:c r="H9" s="125" t="inlineStr">
        <x:is>
          <x:t xml:space="preserve">tested</x:t>
        </x:is>
      </x:c>
      <x:c r="I9" s="125" t="inlineStr">
        <x:is>
          <x:t xml:space="preserve">no</x:t>
        </x:is>
      </x:c>
      <x:c r="J9" s="141" t="n">
        <x:v>46262</x:v>
      </x:c>
      <x:c r="K9" s="150" t="n"/>
      <x:c r="L9" s="125" t="n">
        <x:v>1</x:v>
      </x:c>
      <x:c r="M9" s="125" t="n">
        <x:f>IF(OR(AND(I9="yes",H9="verified"),AND(I9="no",OR(H9="tested",H9="verified")),AND(H9="not applicable",K9&lt;&gt;"")),1,0)</x:f>
        <x:v>1</x:v>
      </x:c>
    </x:row>
    <x:row r="10" s="127" customFormat="1" ht="48" customHeight="1">
      <x:c r="A10" s="125" t="inlineStr">
        <x:is>
          <x:t xml:space="preserve">LB-02</x:t>
        </x:is>
      </x:c>
      <x:c r="B10" s="125" t="inlineStr">
        <x:is>
          <x:t xml:space="preserve">Anatomy</x:t>
        </x:is>
      </x:c>
      <x:c r="C10" s="150" t="inlineStr">
        <x:is>
          <x:t xml:space="preserve">Root / Link / Action</x:t>
        </x:is>
      </x:c>
      <x:c r="D10" s="150" t="inlineStr">
        <x:is>
          <x:t xml:space="preserve">The three public parts expose stable classes, data slots, exact hosts, and forwarded refs.</x:t>
        </x:is>
      </x:c>
      <x:c r="E10" s="125" t="inlineStr">
        <x:is>
          <x:t xml:space="preserve">package</x:t>
        </x:is>
      </x:c>
      <x:c r="F10" s="125" t="inlineStr">
        <x:is>
          <x:t xml:space="preserve">component</x:t>
        </x:is>
      </x:c>
      <x:c r="G10" s="150" t="inlineStr">
        <x:is>
          <x:t xml:space="preserve">../test/components/link-box/link-box.test.tsx</x:t>
        </x:is>
      </x:c>
      <x:c r="H10" s="125" t="inlineStr">
        <x:is>
          <x:t xml:space="preserve">tested</x:t>
        </x:is>
      </x:c>
      <x:c r="I10" s="125" t="inlineStr">
        <x:is>
          <x:t xml:space="preserve">no</x:t>
        </x:is>
      </x:c>
      <x:c r="J10" s="141" t="n">
        <x:v>46262</x:v>
      </x:c>
      <x:c r="K10" s="150" t="n"/>
      <x:c r="L10" s="125" t="n">
        <x:v>1</x:v>
      </x:c>
      <x:c r="M10" s="125" t="n">
        <x:f>IF(OR(AND(I10="yes",H10="verified"),AND(I10="no",OR(H10="tested",H10="verified")),AND(H10="not applicable",K10&lt;&gt;"")),1,0)</x:f>
        <x:v>1</x:v>
      </x:c>
    </x:row>
    <x:row r="11" s="127" customFormat="1" ht="48" customHeight="1">
      <x:c r="A11" s="125" t="inlineStr">
        <x:is>
          <x:t xml:space="preserve">LB-03</x:t>
        </x:is>
      </x:c>
      <x:c r="B11" s="125" t="inlineStr">
        <x:is>
          <x:t xml:space="preserve">Exports</x:t>
        </x:is>
      </x:c>
      <x:c r="C11" s="150" t="inlineStr">
        <x:is>
          <x:t xml:space="preserve">LinkBox</x:t>
        </x:is>
      </x:c>
      <x:c r="D11" s="150" t="inlineStr">
        <x:is>
          <x:t xml:space="preserve">Namespace, named parts, public types, root export, link-box subpath, and SSR output are verified.</x:t>
        </x:is>
      </x:c>
      <x:c r="E11" s="125" t="inlineStr">
        <x:is>
          <x:t xml:space="preserve">package</x:t>
        </x:is>
      </x:c>
      <x:c r="F11" s="125" t="inlineStr">
        <x:is>
          <x:t xml:space="preserve">package</x:t>
        </x:is>
      </x:c>
      <x:c r="G11" s="150" t="inlineStr">
        <x:is>
          <x:t xml:space="preserve">../test/package/package.test.mjs; ../test/package/ssr.test.mjs</x:t>
        </x:is>
      </x:c>
      <x:c r="H11" s="125" t="inlineStr">
        <x:is>
          <x:t xml:space="preserve">tested</x:t>
        </x:is>
      </x:c>
      <x:c r="I11" s="125" t="inlineStr">
        <x:is>
          <x:t xml:space="preserve">no</x:t>
        </x:is>
      </x:c>
      <x:c r="J11" s="141" t="n">
        <x:v>46262</x:v>
      </x:c>
      <x:c r="K11" s="150" t="n"/>
      <x:c r="L11" s="125" t="n">
        <x:v>1</x:v>
      </x:c>
      <x:c r="M11" s="125" t="n">
        <x:f>IF(OR(AND(I11="yes",H11="verified"),AND(I11="no",OR(H11="tested",H11="verified")),AND(H11="not applicable",K11&lt;&gt;"")),1,0)</x:f>
        <x:v>1</x:v>
      </x:c>
    </x:row>
    <x:row r="12" s="127" customFormat="1" ht="48" customHeight="1">
      <x:c r="A12" s="125" t="inlineStr">
        <x:is>
          <x:t xml:space="preserve">LB-04</x:t>
        </x:is>
      </x:c>
      <x:c r="B12" s="125" t="inlineStr">
        <x:is>
          <x:t xml:space="preserve">Types</x:t>
        </x:is>
      </x:c>
      <x:c r="C12" s="150" t="inlineStr">
        <x:is>
          <x:t xml:space="preserve">Root / Link / Action</x:t>
        </x:is>
      </x:c>
      <x:c r="D12" s="150" t="inlineStr">
        <x:is>
          <x:t xml:space="preserve">Closed Root hosts, variants, Link composition, native props, Action props, and exact refs type-check.</x:t>
        </x:is>
      </x:c>
      <x:c r="E12" s="125" t="inlineStr">
        <x:is>
          <x:t xml:space="preserve">package</x:t>
        </x:is>
      </x:c>
      <x:c r="F12" s="125" t="inlineStr">
        <x:is>
          <x:t xml:space="preserve">types</x:t>
        </x:is>
      </x:c>
      <x:c r="G12" s="150" t="inlineStr">
        <x:is>
          <x:t xml:space="preserve">../test/types/components/link-box.test.ts</x:t>
        </x:is>
      </x:c>
      <x:c r="H12" s="125" t="inlineStr">
        <x:is>
          <x:t xml:space="preserve">tested</x:t>
        </x:is>
      </x:c>
      <x:c r="I12" s="125" t="inlineStr">
        <x:is>
          <x:t xml:space="preserve">no</x:t>
        </x:is>
      </x:c>
      <x:c r="J12" s="141" t="n">
        <x:v>46262</x:v>
      </x:c>
      <x:c r="K12" s="150" t="n"/>
      <x:c r="L12" s="125" t="n">
        <x:v>1</x:v>
      </x:c>
      <x:c r="M12" s="125" t="n">
        <x:f>IF(OR(AND(I12="yes",H12="verified"),AND(I12="no",OR(H12="tested",H12="verified")),AND(H12="not applicable",K12&lt;&gt;"")),1,0)</x:f>
        <x:v>1</x:v>
      </x:c>
    </x:row>
    <x:row r="13" s="127" customFormat="1" ht="48" customHeight="1">
      <x:c r="A13" s="125" t="inlineStr">
        <x:is>
          <x:t xml:space="preserve">LB-05</x:t>
        </x:is>
      </x:c>
      <x:c r="B13" s="125" t="inlineStr">
        <x:is>
          <x:t xml:space="preserve">CSS</x:t>
        </x:is>
      </x:c>
      <x:c r="C13" s="150" t="inlineStr">
        <x:is>
          <x:t xml:space="preserve">Root / Link / Action</x:t>
        </x:is>
      </x:c>
      <x:c r="D13" s="150" t="inlineStr">
        <x:is>
          <x:t xml:space="preserve">Static CSS provides complete-region target geometry, outline/plain state paint, focus, layering, reduced motion, and forced colors.</x:t>
        </x:is>
      </x:c>
      <x:c r="E13" s="125" t="inlineStr">
        <x:is>
          <x:t xml:space="preserve">package</x:t>
        </x:is>
      </x:c>
      <x:c r="F13" s="125" t="inlineStr">
        <x:is>
          <x:t xml:space="preserve">css</x:t>
        </x:is>
      </x:c>
      <x:c r="G13" s="150" t="inlineStr">
        <x:is>
          <x:t xml:space="preserve">../src/components/link-box/link-box.css</x:t>
        </x:is>
      </x:c>
      <x:c r="H13" s="125" t="inlineStr">
        <x:is>
          <x:t xml:space="preserve">tested</x:t>
        </x:is>
      </x:c>
      <x:c r="I13" s="125" t="inlineStr">
        <x:is>
          <x:t xml:space="preserve">no</x:t>
        </x:is>
      </x:c>
      <x:c r="J13" s="141" t="n">
        <x:v>46262</x:v>
      </x:c>
      <x:c r="K13" s="150" t="n"/>
      <x:c r="L13" s="125" t="n">
        <x:v>1</x:v>
      </x:c>
      <x:c r="M13" s="125" t="n">
        <x:f>IF(OR(AND(I13="yes",H13="verified"),AND(I13="no",OR(H13="tested",H13="verified")),AND(H13="not applicable",K13&lt;&gt;"")),1,0)</x:f>
        <x:v>1</x:v>
      </x:c>
    </x:row>
    <x:row r="14" s="127" customFormat="1" ht="48" customHeight="1">
      <x:c r="A14" s="125" t="inlineStr">
        <x:is>
          <x:t xml:space="preserve">LB-06</x:t>
        </x:is>
      </x:c>
      <x:c r="B14" s="125" t="inlineStr">
        <x:is>
          <x:t xml:space="preserve">Defaults</x:t>
        </x:is>
      </x:c>
      <x:c r="C14" s="150" t="inlineStr">
        <x:is>
          <x:t xml:space="preserve">Root / Link</x:t>
        </x:is>
      </x:c>
      <x:c r="D14" s="150" t="inlineStr">
        <x:is>
          <x:t xml:space="preserve">Outline Root plus plain inherit-tone Link is the canonical default without changing native destination semantics.</x:t>
        </x:is>
      </x:c>
      <x:c r="E14" s="125" t="inlineStr">
        <x:is>
          <x:t xml:space="preserve">package</x:t>
        </x:is>
      </x:c>
      <x:c r="F14" s="125" t="inlineStr">
        <x:is>
          <x:t xml:space="preserve">component</x:t>
        </x:is>
      </x:c>
      <x:c r="G14" s="150" t="inlineStr">
        <x:is>
          <x:t xml:space="preserve">../test/components/link-box/link-box.test.tsx</x:t>
        </x:is>
      </x:c>
      <x:c r="H14" s="125" t="inlineStr">
        <x:is>
          <x:t xml:space="preserve">tested</x:t>
        </x:is>
      </x:c>
      <x:c r="I14" s="125" t="inlineStr">
        <x:is>
          <x:t xml:space="preserve">no</x:t>
        </x:is>
      </x:c>
      <x:c r="J14" s="141" t="n">
        <x:v>46262</x:v>
      </x:c>
      <x:c r="K14" s="150" t="inlineStr">
        <x:is>
          <x:t xml:space="preserve">September 12: focused unit, type and three-engine browser checks pass. Documentation examples and qualification scenarios remain separate.</x:t>
        </x:is>
      </x:c>
      <x:c r="L14" s="125" t="n">
        <x:v>1</x:v>
      </x:c>
      <x:c r="M14" s="125" t="n">
        <x:f>IF(OR(AND(I14="yes",H14="verified"),AND(I14="no",OR(H14="tested",H14="verified")),AND(H14="not applicable",K14&lt;&gt;"")),1,0)</x:f>
        <x:v>1</x:v>
      </x:c>
    </x:row>
    <x:row r="15" s="127" customFormat="1" ht="48" customHeight="1">
      <x:c r="A15" s="125" t="inlineStr">
        <x:is>
          <x:t xml:space="preserve">LB-07</x:t>
        </x:is>
      </x:c>
      <x:c r="B15" s="125" t="inlineStr">
        <x:is>
          <x:t xml:space="preserve">Destination</x:t>
        </x:is>
      </x:c>
      <x:c r="C15" s="150" t="inlineStr">
        <x:is>
          <x:t xml:space="preserve">Root / Link</x:t>
        </x:is>
      </x:c>
      <x:c r="D15" s="150" t="inlineStr">
        <x:is>
          <x:t xml:space="preserve">Pointer and keyboard evidence proves one native Link owns the complete visual target and one Root-sized focus ring.</x:t>
        </x:is>
      </x:c>
      <x:c r="E15" s="125" t="inlineStr">
        <x:is>
          <x:t xml:space="preserve">package</x:t>
        </x:is>
      </x:c>
      <x:c r="F15" s="125" t="inlineStr">
        <x:is>
          <x:t xml:space="preserve">browser</x:t>
        </x:is>
      </x:c>
      <x:c r="G15" s="150" t="inlineStr">
        <x:is>
          <x:t xml:space="preserve">tests/components/link-box/behavior.spec.ts</x:t>
        </x:is>
      </x:c>
      <x:c r="H15" s="125" t="inlineStr">
        <x:is>
          <x:t xml:space="preserve">tested</x:t>
        </x:is>
      </x:c>
      <x:c r="I15" s="125" t="inlineStr">
        <x:is>
          <x:t xml:space="preserve">no</x:t>
        </x:is>
      </x:c>
      <x:c r="J15" s="141" t="n">
        <x:v>46262</x:v>
      </x:c>
      <x:c r="K15" s="150" t="n"/>
      <x:c r="L15" s="125" t="n">
        <x:v>1</x:v>
      </x:c>
      <x:c r="M15" s="125" t="n">
        <x:f>IF(OR(AND(I15="yes",H15="verified"),AND(I15="no",OR(H15="tested",H15="verified")),AND(H15="not applicable",K15&lt;&gt;"")),1,0)</x:f>
        <x:v>1</x:v>
      </x:c>
    </x:row>
    <x:row r="16" s="127" customFormat="1" ht="48" customHeight="1">
      <x:c r="A16" s="125" t="inlineStr">
        <x:is>
          <x:t xml:space="preserve">LB-08</x:t>
        </x:is>
      </x:c>
      <x:c r="B16" s="125" t="inlineStr">
        <x:is>
          <x:t xml:space="preserve">Independent action</x:t>
        </x:is>
      </x:c>
      <x:c r="C16" s="150" t="inlineStr">
        <x:is>
          <x:t xml:space="preserve">Action</x:t>
        </x:is>
      </x:c>
      <x:c r="D16" s="150" t="inlineStr">
        <x:is>
          <x:t xml:space="preserve">A separately named button remains outside the anchor, operates independently, and does not navigate.</x:t>
        </x:is>
      </x:c>
      <x:c r="E16" s="125" t="inlineStr">
        <x:is>
          <x:t xml:space="preserve">package</x:t>
        </x:is>
      </x:c>
      <x:c r="F16" s="125" t="inlineStr">
        <x:is>
          <x:t xml:space="preserve">browser</x:t>
        </x:is>
      </x:c>
      <x:c r="G16" s="150" t="inlineStr">
        <x:is>
          <x:t xml:space="preserve">../test/components/link-box/link-box.test.tsx; tests/components/link-box/behavior.spec.ts</x:t>
        </x:is>
      </x:c>
      <x:c r="H16" s="125" t="inlineStr">
        <x:is>
          <x:t xml:space="preserve">tested</x:t>
        </x:is>
      </x:c>
      <x:c r="I16" s="125" t="inlineStr">
        <x:is>
          <x:t xml:space="preserve">no</x:t>
        </x:is>
      </x:c>
      <x:c r="J16" s="141" t="n">
        <x:v>46262</x:v>
      </x:c>
      <x:c r="K16" s="150" t="n"/>
      <x:c r="L16" s="125" t="n">
        <x:v>1</x:v>
      </x:c>
      <x:c r="M16" s="125" t="n">
        <x:f>IF(OR(AND(I16="yes",H16="verified"),AND(I16="no",OR(H16="tested",H16="verified")),AND(H16="not applicable",K16&lt;&gt;"")),1,0)</x:f>
        <x:v>1</x:v>
      </x:c>
    </x:row>
    <x:row r="17" s="127" customFormat="1" ht="48" customHeight="1">
      <x:c r="A17" s="125" t="inlineStr">
        <x:is>
          <x:t xml:space="preserve">LB-09</x:t>
        </x:is>
      </x:c>
      <x:c r="B17" s="125" t="inlineStr">
        <x:is>
          <x:t xml:space="preserve">Composition</x:t>
        </x:is>
      </x:c>
      <x:c r="C17" s="150" t="inlineStr">
        <x:is>
          <x:t xml:space="preserve">Link</x:t>
        </x:is>
      </x:c>
      <x:c r="D17" s="150" t="inlineStr">
        <x:is>
          <x:t xml:space="preserve">Explicit Link presentation and asChild/router composition preserve the destination owner and public Link API.</x:t>
        </x:is>
      </x:c>
      <x:c r="E17" s="125" t="inlineStr">
        <x:is>
          <x:t xml:space="preserve">package</x:t>
        </x:is>
      </x:c>
      <x:c r="F17" s="125" t="inlineStr">
        <x:is>
          <x:t xml:space="preserve">component</x:t>
        </x:is>
      </x:c>
      <x:c r="G17" s="150" t="inlineStr">
        <x:is>
          <x:t xml:space="preserve">../test/components/link-box/link-box.test.tsx</x:t>
        </x:is>
      </x:c>
      <x:c r="H17" s="125" t="inlineStr">
        <x:is>
          <x:t xml:space="preserve">tested</x:t>
        </x:is>
      </x:c>
      <x:c r="I17" s="125" t="inlineStr">
        <x:is>
          <x:t xml:space="preserve">no</x:t>
        </x:is>
      </x:c>
      <x:c r="J17" s="141" t="n">
        <x:v>46262</x:v>
      </x:c>
      <x:c r="K17" s="150" t="n"/>
      <x:c r="L17" s="125" t="n">
        <x:v>1</x:v>
      </x:c>
      <x:c r="M17" s="125" t="n">
        <x:f>IF(OR(AND(I17="yes",H17="verified"),AND(I17="no",OR(H17="tested",H17="verified")),AND(H17="not applicable",K17&lt;&gt;"")),1,0)</x:f>
        <x:v>1</x:v>
      </x:c>
    </x:row>
    <x:row r="18" s="127" customFormat="1" ht="48" customHeight="1">
      <x:c r="A18" s="125" t="inlineStr">
        <x:is>
          <x:t xml:space="preserve">LB-10</x:t>
        </x:is>
      </x:c>
      <x:c r="B18" s="125" t="inlineStr">
        <x:is>
          <x:t xml:space="preserve">Accessibility</x:t>
        </x:is>
      </x:c>
      <x:c r="C18" s="150" t="inlineStr">
        <x:is>
          <x:t xml:space="preserve">Root / Link / Action</x:t>
        </x:is>
      </x:c>
      <x:c r="D18" s="150" t="inlineStr">
        <x:is>
          <x:t xml:space="preserve">Root and Action add no role or tab stop, focus order remains native, complete names are exposed, and axe passes.</x:t>
        </x:is>
      </x:c>
      <x:c r="E18" s="125" t="inlineStr">
        <x:is>
          <x:t xml:space="preserve">package</x:t>
        </x:is>
      </x:c>
      <x:c r="F18" s="125" t="inlineStr">
        <x:is>
          <x:t xml:space="preserve">axe</x:t>
        </x:is>
      </x:c>
      <x:c r="G18" s="150" t="inlineStr">
        <x:is>
          <x:t xml:space="preserve">tests/components/link-box/behavior.spec.ts</x:t>
        </x:is>
      </x:c>
      <x:c r="H18" s="125" t="inlineStr">
        <x:is>
          <x:t xml:space="preserve">tested</x:t>
        </x:is>
      </x:c>
      <x:c r="I18" s="125" t="inlineStr">
        <x:is>
          <x:t xml:space="preserve">no</x:t>
        </x:is>
      </x:c>
      <x:c r="J18" s="141" t="n">
        <x:v>46262</x:v>
      </x:c>
      <x:c r="K18" s="150" t="n"/>
      <x:c r="L18" s="125" t="n">
        <x:v>1</x:v>
      </x:c>
      <x:c r="M18" s="125" t="n">
        <x:f>IF(OR(AND(I18="yes",H18="verified"),AND(I18="no",OR(H18="tested",H18="verified")),AND(H18="not applicable",K18&lt;&gt;"")),1,0)</x:f>
        <x:v>1</x:v>
      </x:c>
    </x:row>
    <x:row r="19" s="127" customFormat="1" ht="48" customHeight="1">
      <x:c r="A19" s="125" t="inlineStr">
        <x:is>
          <x:t xml:space="preserve">LB-11</x:t>
        </x:is>
      </x:c>
      <x:c r="B19" s="125" t="inlineStr">
        <x:is>
          <x:t xml:space="preserve">Visual</x:t>
        </x:is>
      </x:c>
      <x:c r="C19" s="150" t="inlineStr">
        <x:is>
          <x:t xml:space="preserve">LinkBox</x:t>
        </x:is>
      </x:c>
      <x:c r="D19" s="150" t="inlineStr">
        <x:is>
          <x:t xml:space="preserve">Destination and independent-action screenshots have automated light baselines and await owner visual review.</x:t>
        </x:is>
      </x:c>
      <x:c r="E19" s="125" t="inlineStr">
        <x:is>
          <x:t xml:space="preserve">package</x:t>
        </x:is>
      </x:c>
      <x:c r="F19" s="125" t="inlineStr">
        <x:is>
          <x:t xml:space="preserve">visual</x:t>
        </x:is>
      </x:c>
      <x:c r="G19" s="150" t="inlineStr">
        <x:is>
          <x:t xml:space="preserve">tests/components/link-box/visual.spec.ts</x:t>
        </x:is>
      </x:c>
      <x:c r="H19" s="125" t="inlineStr">
        <x:is>
          <x:t xml:space="preserve">verified</x:t>
        </x:is>
      </x:c>
      <x:c r="I19" s="125" t="inlineStr">
        <x:is>
          <x:t xml:space="preserve">yes</x:t>
        </x:is>
      </x:c>
      <x:c r="J19" s="141" t="n">
        <x:v>46264</x:v>
      </x:c>
      <x:c r="K19" s="150" t="inlineStr">
        <x:is>
          <x:t xml:space="preserve">Owner visual review completed against accepted desktop, dark RTL, 320 CSS px with 200% text spacing, mobile, and forced-color evidence on August 30, 2026.</x:t>
        </x:is>
      </x:c>
      <x:c r="L19" s="125" t="n">
        <x:v>1</x:v>
      </x:c>
      <x:c r="M19" s="125" t="n">
        <x:f>IF(OR(AND(I19="yes",H19="verified"),AND(I19="no",OR(H19="tested",H19="verified")),AND(H19="not applicable",K19&lt;&gt;"")),1,0)</x:f>
        <x:v>1</x:v>
      </x:c>
    </x:row>
    <x:row r="20" s="127" customFormat="1" ht="48" customHeight="1">
      <x:c r="A20" s="125" t="inlineStr">
        <x:is>
          <x:t xml:space="preserve">LB-12</x:t>
        </x:is>
      </x:c>
      <x:c r="B20" s="125" t="inlineStr">
        <x:is>
          <x:t xml:space="preserve">Stress</x:t>
        </x:is>
      </x:c>
      <x:c r="C20" s="150" t="inlineStr">
        <x:is>
          <x:t xml:space="preserve">LinkBox</x:t>
        </x:is>
      </x:c>
      <x:c r="D20" s="150" t="inlineStr">
        <x:is>
          <x:t xml:space="preserve">Narrow, zoom, long copy, touch target, focus visibility, and RTL preserve target and action relationships.</x:t>
        </x:is>
      </x:c>
      <x:c r="E20" s="125" t="inlineStr">
        <x:is>
          <x:t xml:space="preserve">package</x:t>
        </x:is>
      </x:c>
      <x:c r="F20" s="125" t="inlineStr">
        <x:is>
          <x:t xml:space="preserve">manual</x:t>
        </x:is>
      </x:c>
      <x:c r="G20" s="150" t="inlineStr">
        <x:is>
          <x:t xml:space="preserve">manual-tests/link-box.md</x:t>
        </x:is>
      </x:c>
      <x:c r="H20" s="125" t="inlineStr">
        <x:is>
          <x:t xml:space="preserve">implemented</x:t>
        </x:is>
      </x:c>
      <x:c r="I20" s="125" t="inlineStr">
        <x:is>
          <x:t xml:space="preserve">yes</x:t>
        </x:is>
      </x:c>
      <x:c r="J20" s="182" t="n"/>
      <x:c r="K20" s="150" t="inlineStr">
        <x:is>
          <x:t xml:space="preserve">Human protocol remains pending. Automated and visual evidence stays in its owning tests and does not complete this human gate.</x:t>
        </x:is>
      </x:c>
      <x:c r="L20" s="125" t="n">
        <x:v>1</x:v>
      </x:c>
      <x:c r="M20" s="125" t="n">
        <x:f>IF(OR(AND(I20="yes",H20="verified"),AND(I20="no",OR(H20="tested",H20="verified")),AND(H20="not applicable",K20&lt;&gt;"")),1,0)</x:f>
        <x:v>0</x:v>
      </x:c>
    </x:row>
    <x:row r="21" s="127" customFormat="1" ht="48" customHeight="1">
      <x:c r="A21" s="125" t="inlineStr">
        <x:is>
          <x:t xml:space="preserve">LB-13</x:t>
        </x:is>
      </x:c>
      <x:c r="B21" s="125" t="inlineStr">
        <x:is>
          <x:t xml:space="preserve">Browser conventions</x:t>
        </x:is>
      </x:c>
      <x:c r="C21" s="150" t="inlineStr">
        <x:is>
          <x:t xml:space="preserve">Link</x:t>
        </x:is>
      </x:c>
      <x:c r="D21" s="150" t="inlineStr">
        <x:is>
          <x:t xml:space="preserve">Context menu, modifier click, new-tab behavior, text-selection tradeoff, and assistive-technology naming remain native.</x:t>
        </x:is>
      </x:c>
      <x:c r="E21" s="125" t="inlineStr">
        <x:is>
          <x:t xml:space="preserve">package</x:t>
        </x:is>
      </x:c>
      <x:c r="F21" s="125" t="inlineStr">
        <x:is>
          <x:t xml:space="preserve">manual</x:t>
        </x:is>
      </x:c>
      <x:c r="G21" s="150" t="inlineStr">
        <x:is>
          <x:t xml:space="preserve">manual-tests/link-box.md</x:t>
        </x:is>
      </x:c>
      <x:c r="H21" s="125" t="inlineStr">
        <x:is>
          <x:t xml:space="preserve">not started</x:t>
        </x:is>
      </x:c>
      <x:c r="I21" s="125" t="inlineStr">
        <x:is>
          <x:t xml:space="preserve">yes</x:t>
        </x:is>
      </x:c>
      <x:c r="K21" s="150" t="inlineStr">
        <x:is>
          <x:t xml:space="preserve">No completed native-browser owner run is recorded.</x:t>
        </x:is>
      </x:c>
      <x:c r="L21" s="125" t="n">
        <x:v>1</x:v>
      </x:c>
      <x:c r="M21" s="125" t="n">
        <x:f>IF(OR(AND(I21="yes",H21="verified"),AND(I21="no",OR(H21="tested",H21="verified")),AND(H21="not applicable",K21&lt;&gt;"")),1,0)</x:f>
        <x:v>0</x:v>
      </x:c>
    </x:row>
    <x:row r="22" s="127" customFormat="1" ht="48" customHeight="1">
      <x:c r="A22" s="125" t="inlineStr">
        <x:is>
          <x:t xml:space="preserve">LB-14</x:t>
        </x:is>
      </x:c>
      <x:c r="B22" s="125" t="inlineStr">
        <x:is>
          <x:t xml:space="preserve">Manual</x:t>
        </x:is>
      </x:c>
      <x:c r="C22" s="150" t="inlineStr">
        <x:is>
          <x:t xml:space="preserve">LinkBox</x:t>
        </x:is>
      </x:c>
      <x:c r="D22" s="150" t="inlineStr">
        <x:is>
          <x:t xml:space="preserve">The numbered component-owned protocol passes destination, action, browser, selection, reflow, device, and assistive-technology scenarios.</x:t>
        </x:is>
      </x:c>
      <x:c r="E22" s="125" t="inlineStr">
        <x:is>
          <x:t xml:space="preserve">package</x:t>
        </x:is>
      </x:c>
      <x:c r="F22" s="125" t="inlineStr">
        <x:is>
          <x:t xml:space="preserve">manual</x:t>
        </x:is>
      </x:c>
      <x:c r="G22" s="150" t="inlineStr">
        <x:is>
          <x:t xml:space="preserve">manual-tests/link-box.md</x:t>
        </x:is>
      </x:c>
      <x:c r="H22" s="125" t="inlineStr">
        <x:is>
          <x:t xml:space="preserve">not started</x:t>
        </x:is>
      </x:c>
      <x:c r="I22" s="125" t="inlineStr">
        <x:is>
          <x:t xml:space="preserve">yes</x:t>
        </x:is>
      </x:c>
      <x:c r="K22" s="150" t="inlineStr">
        <x:is>
          <x:t xml:space="preserve">No completed manual run is recorded.</x:t>
        </x:is>
      </x:c>
      <x:c r="L22" s="125" t="n">
        <x:v>1</x:v>
      </x:c>
      <x:c r="M22" s="125" t="n">
        <x:f>IF(OR(AND(I22="yes",H22="verified"),AND(I22="no",OR(H22="tested",H22="verified")),AND(H22="not applicable",K22&lt;&gt;"")),1,0)</x:f>
        <x:v>0</x:v>
      </x:c>
    </x:row>
    <x:row r="23" s="127" customFormat="1" ht="48" customHeight="1">
      <x:c r="A23" s="125" t="inlineStr">
        <x:is>
          <x:t xml:space="preserve">LB-15</x:t>
        </x:is>
      </x:c>
      <x:c r="B23" s="125" t="inlineStr">
        <x:is>
          <x:t xml:space="preserve">Playground</x:t>
        </x:is>
      </x:c>
      <x:c r="C23" s="150" t="inlineStr">
        <x:is>
          <x:t xml:space="preserve">LinkBox</x:t>
        </x:is>
      </x:c>
      <x:c r="D23" s="150" t="inlineStr">
        <x:is>
          <x:t xml:space="preserve">One route exposes the primary destination, independent action, stress behavior, and text-selection tradeoff.</x:t>
        </x:is>
      </x:c>
      <x:c r="E23" s="125" t="inlineStr">
        <x:is>
          <x:t xml:space="preserve">package</x:t>
        </x:is>
      </x:c>
      <x:c r="F23" s="125" t="inlineStr">
        <x:is>
          <x:t xml:space="preserve">playground</x:t>
        </x:is>
      </x:c>
      <x:c r="G23" s="150" t="inlineStr">
        <x:is>
          <x:t xml:space="preserve">src/components/link-box/LinkBoxPage.tsx</x:t>
        </x:is>
      </x:c>
      <x:c r="H23" s="125" t="inlineStr">
        <x:is>
          <x:t xml:space="preserve">tested</x:t>
        </x:is>
      </x:c>
      <x:c r="I23" s="125" t="inlineStr">
        <x:is>
          <x:t xml:space="preserve">no</x:t>
        </x:is>
      </x:c>
      <x:c r="J23" s="141" t="n">
        <x:v>46262</x:v>
      </x:c>
      <x:c r="K23" s="150" t="n"/>
      <x:c r="L23" s="125" t="n">
        <x:v>1</x:v>
      </x:c>
      <x:c r="M23" s="125" t="n">
        <x:f>IF(OR(AND(I23="yes",H23="verified"),AND(I23="no",OR(H23="tested",H23="verified")),AND(H23="not applicable",K23&lt;&gt;"")),1,0)</x:f>
        <x:v>1</x:v>
      </x:c>
    </x:row>
    <x:row r="24" s="127" customFormat="1" ht="48" customHeight="1">
      <x:c r="A24" s="125" t="inlineStr">
        <x:is>
          <x:t xml:space="preserve">LB-16</x:t>
        </x:is>
      </x:c>
      <x:c r="B24" s="125" t="inlineStr">
        <x:is>
          <x:t xml:space="preserve">Docs</x:t>
        </x:is>
      </x:c>
      <x:c r="C24" s="150" t="inlineStr">
        <x:is>
          <x:t xml:space="preserve">LinkBox</x:t>
        </x:is>
      </x:c>
      <x:c r="D24" s="150" t="inlineStr">
        <x:is>
          <x:t xml:space="preserve">Public use, exclusions, anatomy, API, target model, accessibility, composition, customization, and evidence documentation pass.</x:t>
        </x:is>
      </x:c>
      <x:c r="E24" s="125" t="inlineStr">
        <x:is>
          <x:t xml:space="preserve">package</x:t>
        </x:is>
      </x:c>
      <x:c r="F24" s="125" t="inlineStr">
        <x:is>
          <x:t xml:space="preserve">docs</x:t>
        </x:is>
      </x:c>
      <x:c r="G24" s="150" t="inlineStr">
        <x:is>
          <x:t xml:space="preserve">../docs/components/link-box/README.md</x:t>
        </x:is>
      </x:c>
      <x:c r="H24" s="125" t="inlineStr">
        <x:is>
          <x:t xml:space="preserve">tested</x:t>
        </x:is>
      </x:c>
      <x:c r="I24" s="125" t="inlineStr">
        <x:is>
          <x:t xml:space="preserve">no</x:t>
        </x:is>
      </x:c>
      <x:c r="J24" s="141" t="n">
        <x:v>46262</x:v>
      </x:c>
      <x:c r="K24" s="150" t="n"/>
      <x:c r="L24" s="125" t="n">
        <x:v>1</x:v>
      </x:c>
      <x:c r="M24" s="125" t="n">
        <x:f>IF(OR(AND(I24="yes",H24="verified"),AND(I24="no",OR(H24="tested",H24="verified")),AND(H24="not applicable",K24&lt;&gt;"")),1,0)</x:f>
        <x:v>1</x:v>
      </x:c>
    </x:row>
    <x:row r="25" s="127" customFormat="1" ht="48" customHeight="1">
      <x:c r="A25" s="125" t="inlineStr">
        <x:is>
          <x:t xml:space="preserve">LB-17</x:t>
        </x:is>
      </x:c>
      <x:c r="B25" s="125" t="inlineStr">
        <x:is>
          <x:t xml:space="preserve">Agent Knowledge</x:t>
        </x:is>
      </x:c>
      <x:c r="C25" s="150" t="inlineStr">
        <x:is>
          <x:t xml:space="preserve">LinkBox</x:t>
        </x:is>
      </x:c>
      <x:c r="D25" s="150" t="inlineStr">
        <x:is>
          <x:t xml:space="preserve">Machine-readable guidance distinguishes one destination region from Button, Pressable, and ordinary text links.</x:t>
        </x:is>
      </x:c>
      <x:c r="E25" s="125" t="inlineStr">
        <x:is>
          <x:t xml:space="preserve">package</x:t>
        </x:is>
      </x:c>
      <x:c r="F25" s="125" t="inlineStr">
        <x:is>
          <x:t xml:space="preserve">docs</x:t>
        </x:is>
      </x:c>
      <x:c r="G25" s="150" t="inlineStr">
        <x:is>
          <x:t xml:space="preserve">../src/components/link-box/agent.json; ../src/components/link-box/agent.md</x:t>
        </x:is>
      </x:c>
      <x:c r="H25" s="125" t="inlineStr">
        <x:is>
          <x:t xml:space="preserve">tested</x:t>
        </x:is>
      </x:c>
      <x:c r="I25" s="125" t="inlineStr">
        <x:is>
          <x:t xml:space="preserve">no</x:t>
        </x:is>
      </x:c>
      <x:c r="J25" s="141" t="n">
        <x:v>46262</x:v>
      </x:c>
      <x:c r="K25" s="150" t="n"/>
      <x:c r="L25" s="125" t="n">
        <x:v>1</x:v>
      </x:c>
      <x:c r="M25" s="125" t="n">
        <x:f>IF(OR(AND(I25="yes",H25="verified"),AND(I25="no",OR(H25="tested",H25="verified")),AND(H25="not applicable",K25&lt;&gt;"")),1,0)</x:f>
        <x:v>1</x:v>
      </x:c>
    </x:row>
    <x:row r="26" s="127" customFormat="1" ht="48" customHeight="1">
      <x:c r="A26" s="125" t="inlineStr">
        <x:is>
          <x:t xml:space="preserve">LB-18</x:t>
        </x:is>
      </x:c>
      <x:c r="B26" s="125" t="inlineStr">
        <x:is>
          <x:t xml:space="preserve">Changelog</x:t>
        </x:is>
      </x:c>
      <x:c r="C26" s="150" t="inlineStr">
        <x:is>
          <x:t xml:space="preserve">LinkBox</x:t>
        </x:is>
      </x:c>
      <x:c r="D26" s="150" t="inlineStr">
        <x:is>
          <x:t xml:space="preserve">Link Box owns component history and the package changelog records its addition.</x:t>
        </x:is>
      </x:c>
      <x:c r="E26" s="125" t="inlineStr">
        <x:is>
          <x:t xml:space="preserve">package</x:t>
        </x:is>
      </x:c>
      <x:c r="F26" s="125" t="inlineStr">
        <x:is>
          <x:t xml:space="preserve">docs</x:t>
        </x:is>
      </x:c>
      <x:c r="G26" s="150" t="inlineStr">
        <x:is>
          <x:t xml:space="preserve">../docs/components/link-box/CHANGELOG.md; ../CHANGELOG.md</x:t>
        </x:is>
      </x:c>
      <x:c r="H26" s="125" t="inlineStr">
        <x:is>
          <x:t xml:space="preserve">tested</x:t>
        </x:is>
      </x:c>
      <x:c r="I26" s="125" t="inlineStr">
        <x:is>
          <x:t xml:space="preserve">no</x:t>
        </x:is>
      </x:c>
      <x:c r="J26" s="141" t="n">
        <x:v>46262</x:v>
      </x:c>
      <x:c r="K26" s="150" t="n"/>
      <x:c r="L26" s="125" t="n">
        <x:v>1</x:v>
      </x:c>
      <x:c r="M26" s="125" t="n">
        <x:f>IF(OR(AND(I26="yes",H26="verified"),AND(I26="no",OR(H26="tested",H26="verified")),AND(H26="not applicable",K26&lt;&gt;"")),1,0)</x:f>
        <x:v>1</x:v>
      </x:c>
    </x:row>
    <x:row r="27" s="127" customFormat="1" ht="48" customHeight="1">
      <x:c r="A27" s="125" t="inlineStr">
        <x:is>
          <x:t xml:space="preserve">LB-19</x:t>
        </x:is>
      </x:c>
      <x:c r="B27" s="125" t="inlineStr">
        <x:is>
          <x:t xml:space="preserve">Consumer</x:t>
        </x:is>
      </x:c>
      <x:c r="C27" s="150" t="inlineStr">
        <x:is>
          <x:t xml:space="preserve">LinkBox</x:t>
        </x:is>
      </x:c>
      <x:c r="D27" s="150" t="inlineStr">
        <x:is>
          <x:t xml:space="preserve">The packed standalone Consumer imports the public link-box subpath with one destination and an independent action.</x:t>
        </x:is>
      </x:c>
      <x:c r="E27" s="125" t="inlineStr">
        <x:is>
          <x:t xml:space="preserve">consumer</x:t>
        </x:is>
      </x:c>
      <x:c r="F27" s="125" t="inlineStr">
        <x:is>
          <x:t xml:space="preserve">consumer</x:t>
        </x:is>
      </x:c>
      <x:c r="G27" s="150" t="inlineStr">
        <x:is>
          <x:t xml:space="preserve">../apps/consumer/src/App.tsx; ../apps/consumer/tests/consumer.spec.ts</x:t>
        </x:is>
      </x:c>
      <x:c r="H27" s="125" t="inlineStr">
        <x:is>
          <x:t xml:space="preserve">tested</x:t>
        </x:is>
      </x:c>
      <x:c r="I27" s="125" t="inlineStr">
        <x:is>
          <x:t xml:space="preserve">no</x:t>
        </x:is>
      </x:c>
      <x:c r="J27" s="182" t="n">
        <x:v>46264</x:v>
      </x:c>
      <x:c r="K27" s="150" t="inlineStr">
        <x:is>
          <x:t xml:space="preserve">The packed Consumer imports Link Box through its public subpath and verifies one complete-card destination plus an independent action.</x:t>
        </x:is>
      </x:c>
      <x:c r="L27" s="125" t="n">
        <x:v>1</x:v>
      </x:c>
      <x:c r="M27" s="125" t="n">
        <x:f>IF(OR(AND(I27="yes",H27="verified"),AND(I27="no",OR(H27="tested",H27="verified")),AND(H27="not applicable",K27&lt;&gt;"")),1,0)</x:f>
        <x:v>1</x:v>
      </x:c>
    </x:row>
    <x:row r="28" s="127" customFormat="1" ht="48" customHeight="1">
      <x:c r="A28" s="125" t="inlineStr">
        <x:is>
          <x:t xml:space="preserve">LB-20</x:t>
        </x:is>
      </x:c>
      <x:c r="B28" s="125" t="inlineStr">
        <x:is>
          <x:t xml:space="preserve">Package</x:t>
        </x:is>
      </x:c>
      <x:c r="C28" s="150" t="inlineStr">
        <x:is>
          <x:t xml:space="preserve">LinkBox</x:t>
        </x:is>
      </x:c>
      <x:c r="D28" s="150" t="inlineStr">
        <x:is>
          <x:t xml:space="preserve">Build, SSR, exports, CSS, tarball, component tests, and repository verification pass.</x:t>
        </x:is>
      </x:c>
      <x:c r="E28" s="125" t="inlineStr">
        <x:is>
          <x:t xml:space="preserve">package</x:t>
        </x:is>
      </x:c>
      <x:c r="F28" s="125" t="inlineStr">
        <x:is>
          <x:t xml:space="preserve">package</x:t>
        </x:is>
      </x:c>
      <x:c r="G28" s="150" t="inlineStr">
        <x:is>
          <x:t xml:space="preserve">../scripts/verify-package.mjs; ../scripts/verify-consumers.mjs</x:t>
        </x:is>
      </x:c>
      <x:c r="H28" s="125" t="inlineStr">
        <x:is>
          <x:t xml:space="preserve">partial</x:t>
        </x:is>
      </x:c>
      <x:c r="I28" s="125" t="inlineStr">
        <x:is>
          <x:t xml:space="preserve">no</x:t>
        </x:is>
      </x:c>
      <x:c r="J28" s="141" t="n">
        <x:v>46264</x:v>
      </x:c>
      <x:c r="K28" s="150" t="inlineStr">
        <x:is>
          <x:t xml:space="preserve">September 12 parity pass: scoped automated checks pass. Full release matrix and manual device, screen-reader and OS browser-convention checks were not rerun. Nothing released.</x:t>
        </x:is>
      </x:c>
      <x:c r="L28" s="125" t="n">
        <x:v>1</x:v>
      </x:c>
      <x:c r="M28" s="125" t="n">
        <x:f>IF(OR(AND(I28="yes",H28="verified"),AND(I28="no",OR(H28="tested",H28="verified")),AND(H28="not applicable",K28&lt;&gt;"")),1,0)</x:f>
        <x:v>0</x:v>
      </x:c>
    </x:row>
  </x:sheetData>
  <x:mergeCells>
    <x:mergeCell ref="A2:M2"/>
    <x:mergeCell ref="A1:M1"/>
  </x:mergeCells>
  <x:conditionalFormatting sqref="H9:H28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0" showDropDown="0" showInputMessage="0" showErrorMessage="0" sqref="H9:H28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28">
      <x:formula1>"yes,no"</x:formula1>
      <x:formula2>0</x:formula2>
    </x:dataValidation>
  </x:dataValidations>
  <x:pageMargins left="0.7" right="0.7" top="0.75" bottom="0.75" header="0.3" footer="0.3"/>
</x:worksheet>
</file>

<file path=xl/worksheets/sheet90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Segment Group Evidence</x:t>
        </x:is>
      </x:c>
    </x:row>
    <x:row r="2" s="127" customFormat="1" ht="27.75" customHeight="1">
      <x:c r="A2" s="129" t="inlineStr">
        <x:is>
          <x:t xml:space="preserve">Assertion-level Atom-backed selection, moving-indicator, browser, accessibility, documentation, and package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COUNTA(A9:A28)</x:f>
        <x:v>20</x:v>
      </x:c>
      <x:c r="D4" s="130" t="inlineStr">
        <x:is>
          <x:t xml:space="preserve">Resolved</x:t>
        </x:is>
      </x:c>
      <x:c r="E4" s="131" t="n">
        <x:f>SUM(M9:M28)</x:f>
        <x:v>13</x:v>
      </x:c>
      <x:c r="G4" s="130" t="inlineStr">
        <x:is>
          <x:t xml:space="preserve">Completion</x:t>
        </x:is>
      </x:c>
      <x:c r="H4" s="132" t="n">
        <x:f>IF(B4=0,0,E4/B4)</x:f>
        <x:v>0.65</x:v>
      </x:c>
      <x:c r="J4" s="130" t="inlineStr">
        <x:is>
          <x:t xml:space="preserve">Package gate</x:t>
        </x:is>
      </x:c>
      <x:c r="K4" s="131" t="str">
        <x:f>IF(COUNTIFS(E9:E28,"package",M9:M28,0)&gt;0,"open","complete")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IF(COUNTIFS(I9:I28,"yes",M9:M28,0)&gt;0,"open","complete")</x:f>
        <x:v>open</x:v>
      </x:c>
      <x:c r="D5" s="130" t="inlineStr">
        <x:is>
          <x:t xml:space="preserve">Consumer gate</x:t>
        </x:is>
      </x:c>
      <x:c r="E5" s="131" t="str">
        <x:f>IF(COUNTIFS(E9:E28,"consumer",M9:M28,0)&gt;0,"open","complete")</x:f>
        <x:v>open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48" customHeight="1">
      <x:c r="A9" s="125" t="inlineStr">
        <x:is>
          <x:t xml:space="preserve">SG-01</x:t>
        </x:is>
      </x:c>
      <x:c r="B9" s="125" t="inlineStr">
        <x:is>
          <x:t xml:space="preserve">Implementation</x:t>
        </x:is>
      </x:c>
      <x:c r="C9" s="150" t="inlineStr">
        <x:is>
          <x:t xml:space="preserve">Root / Item</x:t>
        </x:is>
      </x:c>
      <x:c r="D9" s="150" t="inlineStr">
        <x:is>
          <x:t xml:space="preserve">Atom 0.26.1 local candidate owns selection, forms, keyboard and measured indicator. Publication remains separate.</x:t>
        </x:is>
      </x:c>
      <x:c r="E9" s="125" t="inlineStr">
        <x:is>
          <x:t xml:space="preserve">package</x:t>
        </x:is>
      </x:c>
      <x:c r="F9" s="125" t="inlineStr">
        <x:is>
          <x:t xml:space="preserve">source</x:t>
        </x:is>
      </x:c>
      <x:c r="G9" s="150" t="inlineStr">
        <x:is>
          <x:t xml:space="preserve">../src/components/segment-group</x:t>
        </x:is>
      </x:c>
      <x:c r="H9" s="125" t="inlineStr">
        <x:is>
          <x:t xml:space="preserve">tested</x:t>
        </x:is>
      </x:c>
      <x:c r="I9" s="125" t="inlineStr">
        <x:is>
          <x:t xml:space="preserve">no</x:t>
        </x:is>
      </x:c>
      <x:c r="J9" s="180" t="n">
        <x:v>46279.5</x:v>
      </x:c>
      <x:c r="K9" s="150" t="n"/>
      <x:c r="L9" s="125" t="n">
        <x:v>1</x:v>
      </x:c>
      <x:c r="M9" s="125" t="n">
        <x:f>IF(OR(AND(I9="yes",H9="verified"),AND(I9="no",OR(H9="tested",H9="verified")),AND(H9="not applicable",K9&lt;&gt;"")),1,0)</x:f>
        <x:v>1</x:v>
      </x:c>
    </x:row>
    <x:row r="10" s="127" customFormat="1" ht="48" customHeight="1">
      <x:c r="A10" s="125" t="inlineStr">
        <x:is>
          <x:t xml:space="preserve">SG-02</x:t>
        </x:is>
      </x:c>
      <x:c r="B10" s="125" t="inlineStr">
        <x:is>
          <x:t xml:space="preserve">Anatomy</x:t>
        </x:is>
      </x:c>
      <x:c r="C10" s="150" t="inlineStr">
        <x:is>
          <x:t xml:space="preserve">Root / Item / ItemText / Indicator / Items</x:t>
        </x:is>
      </x:c>
      <x:c r="D10" s="150" t="inlineStr">
        <x:is>
          <x:t xml:space="preserve">Five public parts preserve radio anatomy; Items renders string/object choices without duplicate inputs.</x:t>
        </x:is>
      </x:c>
      <x:c r="E10" s="125" t="inlineStr">
        <x:is>
          <x:t xml:space="preserve">package</x:t>
        </x:is>
      </x:c>
      <x:c r="F10" s="125" t="inlineStr">
        <x:is>
          <x:t xml:space="preserve">component</x:t>
        </x:is>
      </x:c>
      <x:c r="G10" s="150" t="inlineStr">
        <x:is>
          <x:t xml:space="preserve">../test/components/segment-group/segment-group.test.tsx</x:t>
        </x:is>
      </x:c>
      <x:c r="H10" s="125" t="inlineStr">
        <x:is>
          <x:t xml:space="preserve">tested</x:t>
        </x:is>
      </x:c>
      <x:c r="I10" s="125" t="inlineStr">
        <x:is>
          <x:t xml:space="preserve">no</x:t>
        </x:is>
      </x:c>
      <x:c r="J10" s="180" t="n">
        <x:v>46279.5</x:v>
      </x:c>
      <x:c r="K10" s="150" t="n"/>
      <x:c r="L10" s="125" t="n">
        <x:v>1</x:v>
      </x:c>
      <x:c r="M10" s="125" t="n">
        <x:f>IF(OR(AND(I10="yes",H10="verified"),AND(I10="no",OR(H10="tested",H10="verified")),AND(H10="not applicable",K10&lt;&gt;"")),1,0)</x:f>
        <x:v>1</x:v>
      </x:c>
    </x:row>
    <x:row r="11" s="127" customFormat="1" ht="48" customHeight="1">
      <x:c r="A11" s="125" t="inlineStr">
        <x:is>
          <x:t xml:space="preserve">SG-03</x:t>
        </x:is>
      </x:c>
      <x:c r="B11" s="125" t="inlineStr">
        <x:is>
          <x:t xml:space="preserve">Exports</x:t>
        </x:is>
      </x:c>
      <x:c r="C11" s="150" t="inlineStr">
        <x:is>
          <x:t xml:space="preserve">SegmentGroup</x:t>
        </x:is>
      </x:c>
      <x:c r="D11" s="150" t="inlineStr">
        <x:is>
          <x:t xml:space="preserve">Namespace, named parts, public types, root export, and segment-group subpath are exported.</x:t>
        </x:is>
      </x:c>
      <x:c r="E11" s="125" t="inlineStr">
        <x:is>
          <x:t xml:space="preserve">package</x:t>
        </x:is>
      </x:c>
      <x:c r="F11" s="125" t="inlineStr">
        <x:is>
          <x:t xml:space="preserve">package</x:t>
        </x:is>
      </x:c>
      <x:c r="G11" s="150" t="inlineStr">
        <x:is>
          <x:t xml:space="preserve">../test/package/package.test.mjs</x:t>
        </x:is>
      </x:c>
      <x:c r="H11" s="125" t="inlineStr">
        <x:is>
          <x:t xml:space="preserve">tested</x:t>
        </x:is>
      </x:c>
      <x:c r="I11" s="125" t="inlineStr">
        <x:is>
          <x:t xml:space="preserve">no</x:t>
        </x:is>
      </x:c>
      <x:c r="J11" s="180" t="n">
        <x:v>46262</x:v>
      </x:c>
      <x:c r="K11" s="150" t="n"/>
      <x:c r="L11" s="125" t="n">
        <x:v>1</x:v>
      </x:c>
      <x:c r="M11" s="125" t="n">
        <x:f>IF(OR(AND(I11="yes",H11="verified"),AND(I11="no",OR(H11="tested",H11="verified")),AND(H11="not applicable",K11&lt;&gt;"")),1,0)</x:f>
        <x:v>1</x:v>
      </x:c>
    </x:row>
    <x:row r="12" s="127" customFormat="1" ht="48" customHeight="1">
      <x:c r="A12" s="125" t="inlineStr">
        <x:is>
          <x:t xml:space="preserve">SG-04</x:t>
        </x:is>
      </x:c>
      <x:c r="B12" s="125" t="inlineStr">
        <x:is>
          <x:t xml:space="preserve">Types</x:t>
        </x:is>
      </x:c>
      <x:c r="C12" s="150" t="inlineStr">
        <x:is>
          <x:t xml:space="preserve">Root / Item / Indicator</x:t>
        </x:is>
      </x:c>
      <x:c r="D12" s="150" t="inlineStr">
        <x:is>
          <x:t xml:space="preserve">Closed five sizes and neutral/accent/contrast tones, readonly Items, Atom behavior and refs type-check.</x:t>
        </x:is>
      </x:c>
      <x:c r="E12" s="125" t="inlineStr">
        <x:is>
          <x:t xml:space="preserve">package</x:t>
        </x:is>
      </x:c>
      <x:c r="F12" s="125" t="inlineStr">
        <x:is>
          <x:t xml:space="preserve">types</x:t>
        </x:is>
      </x:c>
      <x:c r="G12" s="150" t="inlineStr">
        <x:is>
          <x:t xml:space="preserve">../test/types/components/segment-group.test.ts</x:t>
        </x:is>
      </x:c>
      <x:c r="H12" s="125" t="inlineStr">
        <x:is>
          <x:t xml:space="preserve">tested</x:t>
        </x:is>
      </x:c>
      <x:c r="I12" s="125" t="inlineStr">
        <x:is>
          <x:t xml:space="preserve">no</x:t>
        </x:is>
      </x:c>
      <x:c r="J12" s="180" t="n">
        <x:v>46279.5</x:v>
      </x:c>
      <x:c r="K12" s="150" t="n"/>
      <x:c r="L12" s="125" t="n">
        <x:v>1</x:v>
      </x:c>
      <x:c r="M12" s="125" t="n">
        <x:f>IF(OR(AND(I12="yes",H12="verified"),AND(I12="no",OR(H12="tested",H12="verified")),AND(H12="not applicable",K12&lt;&gt;"")),1,0)</x:f>
        <x:v>1</x:v>
      </x:c>
    </x:row>
    <x:row r="13" s="127" customFormat="1" ht="48" customHeight="1">
      <x:c r="A13" s="125" t="inlineStr">
        <x:is>
          <x:t xml:space="preserve">SG-05</x:t>
        </x:is>
      </x:c>
      <x:c r="B13" s="125" t="inlineStr">
        <x:is>
          <x:t xml:space="preserve">CSS</x:t>
        </x:is>
      </x:c>
      <x:c r="C13" s="150" t="inlineStr">
        <x:is>
          <x:t xml:space="preserve">Root / Item / Indicator</x:t>
        </x:is>
      </x:c>
      <x:c r="D13" s="150" t="inlineStr">
        <x:is>
          <x:t xml:space="preserve">Static CSS provides shared sizes, inset Root, selected surface, focus, icon-only geometry, reduced motion, and forced colors.</x:t>
        </x:is>
      </x:c>
      <x:c r="E13" s="125" t="inlineStr">
        <x:is>
          <x:t xml:space="preserve">package</x:t>
        </x:is>
      </x:c>
      <x:c r="F13" s="125" t="inlineStr">
        <x:is>
          <x:t xml:space="preserve">css</x:t>
        </x:is>
      </x:c>
      <x:c r="G13" s="150" t="inlineStr">
        <x:is>
          <x:t xml:space="preserve">../src/components/segment-group/segment-group.css</x:t>
        </x:is>
      </x:c>
      <x:c r="H13" s="125" t="inlineStr">
        <x:is>
          <x:t xml:space="preserve">tested</x:t>
        </x:is>
      </x:c>
      <x:c r="I13" s="125" t="inlineStr">
        <x:is>
          <x:t xml:space="preserve">no</x:t>
        </x:is>
      </x:c>
      <x:c r="J13" s="180" t="n">
        <x:v>46279.5</x:v>
      </x:c>
      <x:c r="K13" s="150" t="n"/>
      <x:c r="L13" s="125" t="n">
        <x:v>1</x:v>
      </x:c>
      <x:c r="M13" s="125" t="n">
        <x:f>IF(OR(AND(I13="yes",H13="verified"),AND(I13="no",OR(H13="tested",H13="verified")),AND(H13="not applicable",K13&lt;&gt;"")),1,0)</x:f>
        <x:v>1</x:v>
      </x:c>
    </x:row>
    <x:row r="14" s="127" customFormat="1" ht="48" customHeight="1">
      <x:c r="A14" s="125" t="inlineStr">
        <x:is>
          <x:t xml:space="preserve">SG-06</x:t>
        </x:is>
      </x:c>
      <x:c r="B14" s="125" t="inlineStr">
        <x:is>
          <x:t xml:space="preserve">Defaults</x:t>
        </x:is>
      </x:c>
      <x:c r="C14" s="150" t="inlineStr">
        <x:is>
          <x:t xml:space="preserve">Root / Item</x:t>
        </x:is>
      </x:c>
      <x:c r="D14" s="150" t="inlineStr">
        <x:is>
          <x:t xml:space="preserve">Medium horizontal intrinsic layout, one selected value, and ordinary text Items are the canonical defaults.</x:t>
        </x:is>
      </x:c>
      <x:c r="E14" s="125" t="inlineStr">
        <x:is>
          <x:t xml:space="preserve">package</x:t>
        </x:is>
      </x:c>
      <x:c r="F14" s="125" t="inlineStr">
        <x:is>
          <x:t xml:space="preserve">component</x:t>
        </x:is>
      </x:c>
      <x:c r="G14" s="150" t="inlineStr">
        <x:is>
          <x:t xml:space="preserve">../test/components/segment-group/segment-group.test.tsx</x:t>
        </x:is>
      </x:c>
      <x:c r="H14" s="125" t="inlineStr">
        <x:is>
          <x:t xml:space="preserve">tested</x:t>
        </x:is>
      </x:c>
      <x:c r="I14" s="125" t="inlineStr">
        <x:is>
          <x:t xml:space="preserve">no</x:t>
        </x:is>
      </x:c>
      <x:c r="J14" s="180" t="n">
        <x:v>46279.5</x:v>
      </x:c>
      <x:c r="K14" s="150" t="n"/>
      <x:c r="L14" s="125" t="n">
        <x:v>1</x:v>
      </x:c>
      <x:c r="M14" s="125" t="n">
        <x:f>IF(OR(AND(I14="yes",H14="verified"),AND(I14="no",OR(H14="tested",H14="verified")),AND(H14="not applicable",K14&lt;&gt;"")),1,0)</x:f>
        <x:v>1</x:v>
      </x:c>
    </x:row>
    <x:row r="15" s="127" customFormat="1" ht="48" customHeight="1">
      <x:c r="A15" s="125" t="inlineStr">
        <x:is>
          <x:t xml:space="preserve">SG-07</x:t>
        </x:is>
      </x:c>
      <x:c r="B15" s="125" t="inlineStr">
        <x:is>
          <x:t xml:space="preserve">Recipes</x:t>
        </x:is>
      </x:c>
      <x:c r="C15" s="150" t="inlineStr">
        <x:is>
          <x:t xml:space="preserve">Root / Item</x:t>
        </x:is>
      </x:c>
      <x:c r="D15" s="150" t="inlineStr">
        <x:is>
          <x:t xml:space="preserve">Five shared sizes, neutral/accent/contrast selected paint, radius and scoped indicator overrides.</x:t>
        </x:is>
      </x:c>
      <x:c r="E15" s="125" t="inlineStr">
        <x:is>
          <x:t xml:space="preserve">package</x:t>
        </x:is>
      </x:c>
      <x:c r="F15" s="125" t="inlineStr">
        <x:is>
          <x:t xml:space="preserve">component</x:t>
        </x:is>
      </x:c>
      <x:c r="G15" s="150" t="inlineStr">
        <x:is>
          <x:t xml:space="preserve">../test/components/segment-group/segment-group.test.tsx</x:t>
        </x:is>
      </x:c>
      <x:c r="H15" s="125" t="inlineStr">
        <x:is>
          <x:t xml:space="preserve">tested</x:t>
        </x:is>
      </x:c>
      <x:c r="I15" s="125" t="inlineStr">
        <x:is>
          <x:t xml:space="preserve">no</x:t>
        </x:is>
      </x:c>
      <x:c r="J15" s="180" t="n">
        <x:v>46279.5</x:v>
      </x:c>
      <x:c r="K15" s="150" t="n"/>
      <x:c r="L15" s="125" t="n">
        <x:v>1</x:v>
      </x:c>
      <x:c r="M15" s="125" t="n">
        <x:f>IF(OR(AND(I15="yes",H15="verified"),AND(I15="no",OR(H15="tested",H15="verified")),AND(H15="not applicable",K15&lt;&gt;"")),1,0)</x:f>
        <x:v>1</x:v>
      </x:c>
    </x:row>
    <x:row r="16" s="127" customFormat="1" ht="48" customHeight="1">
      <x:c r="A16" s="125" t="inlineStr">
        <x:is>
          <x:t xml:space="preserve">SG-08</x:t>
        </x:is>
      </x:c>
      <x:c r="B16" s="125" t="inlineStr">
        <x:is>
          <x:t xml:space="preserve">Selection</x:t>
        </x:is>
      </x:c>
      <x:c r="C16" s="150" t="inlineStr">
        <x:is>
          <x:t xml:space="preserve">Root / Item</x:t>
        </x:is>
      </x:c>
      <x:c r="D16" s="150" t="inlineStr">
        <x:is>
          <x:t xml:space="preserve">Pointer and keyboard selection keep one checked radio, move focus, and emit the selected value through Atom ownership.</x:t>
        </x:is>
      </x:c>
      <x:c r="E16" s="125" t="inlineStr">
        <x:is>
          <x:t xml:space="preserve">package</x:t>
        </x:is>
      </x:c>
      <x:c r="F16" s="125" t="inlineStr">
        <x:is>
          <x:t xml:space="preserve">browser</x:t>
        </x:is>
      </x:c>
      <x:c r="G16" s="150" t="inlineStr">
        <x:is>
          <x:t xml:space="preserve">../test/components/segment-group/segment-group.test.tsx; tests/components/segment-group/behavior.spec.ts</x:t>
        </x:is>
      </x:c>
      <x:c r="H16" s="125" t="inlineStr">
        <x:is>
          <x:t xml:space="preserve">tested</x:t>
        </x:is>
      </x:c>
      <x:c r="I16" s="125" t="inlineStr">
        <x:is>
          <x:t xml:space="preserve">no</x:t>
        </x:is>
      </x:c>
      <x:c r="J16" s="180" t="n">
        <x:v>46279.5</x:v>
      </x:c>
      <x:c r="K16" s="150" t="n"/>
      <x:c r="L16" s="125" t="n">
        <x:v>1</x:v>
      </x:c>
      <x:c r="M16" s="125" t="n">
        <x:f>IF(OR(AND(I16="yes",H16="verified"),AND(I16="no",OR(H16="tested",H16="verified")),AND(H16="not applicable",K16&lt;&gt;"")),1,0)</x:f>
        <x:v>1</x:v>
      </x:c>
    </x:row>
    <x:row r="17" s="127" customFormat="1" ht="48" customHeight="1">
      <x:c r="A17" s="125" t="inlineStr">
        <x:is>
          <x:t xml:space="preserve">SG-09</x:t>
        </x:is>
      </x:c>
      <x:c r="B17" s="125" t="inlineStr">
        <x:is>
          <x:t xml:space="preserve">Indicator</x:t>
        </x:is>
      </x:c>
      <x:c r="C17" s="150" t="inlineStr">
        <x:is>
          <x:t xml:space="preserve">Indicator</x:t>
        </x:is>
      </x:c>
      <x:c r="D17" s="150" t="inlineStr">
        <x:is>
          <x:t xml:space="preserve">Post-commit indicator alignment, named dividers, SSR fallback, iframe owner-window, scale and sibling resize.</x:t>
        </x:is>
      </x:c>
      <x:c r="E17" s="125" t="inlineStr">
        <x:is>
          <x:t xml:space="preserve">package</x:t>
        </x:is>
      </x:c>
      <x:c r="F17" s="125" t="inlineStr">
        <x:is>
          <x:t xml:space="preserve">browser</x:t>
        </x:is>
      </x:c>
      <x:c r="G17" s="150" t="inlineStr">
        <x:is>
          <x:t xml:space="preserve">tests/components/segment-group/behavior.spec.ts; tests/components/segment-group/parity.spec.ts</x:t>
        </x:is>
      </x:c>
      <x:c r="H17" s="125" t="inlineStr">
        <x:is>
          <x:t xml:space="preserve">tested</x:t>
        </x:is>
      </x:c>
      <x:c r="I17" s="125" t="inlineStr">
        <x:is>
          <x:t xml:space="preserve">no</x:t>
        </x:is>
      </x:c>
      <x:c r="J17" s="180" t="n">
        <x:v>46279.5</x:v>
      </x:c>
      <x:c r="K17" s="150" t="n"/>
      <x:c r="L17" s="125" t="n">
        <x:v>1</x:v>
      </x:c>
      <x:c r="M17" s="125" t="n">
        <x:f>IF(OR(AND(I17="yes",H17="verified"),AND(I17="no",OR(H17="tested",H17="verified")),AND(H17="not applicable",K17&lt;&gt;"")),1,0)</x:f>
        <x:v>1</x:v>
      </x:c>
    </x:row>
    <x:row r="18" s="127" customFormat="1" ht="48" customHeight="1">
      <x:c r="A18" s="125" t="inlineStr">
        <x:is>
          <x:t xml:space="preserve">SG-10</x:t>
        </x:is>
      </x:c>
      <x:c r="B18" s="125" t="inlineStr">
        <x:is>
          <x:t xml:space="preserve">Icon-only</x:t>
        </x:is>
      </x:c>
      <x:c r="C18" s="150" t="inlineStr">
        <x:is>
          <x:t xml:space="preserve">Item</x:t>
        </x:is>
      </x:c>
      <x:c r="D18" s="150" t="inlineStr">
        <x:is>
          <x:t xml:space="preserve">Named icon-only Items remain square and center their artwork on both axes.</x:t>
        </x:is>
      </x:c>
      <x:c r="E18" s="125" t="inlineStr">
        <x:is>
          <x:t xml:space="preserve">package</x:t>
        </x:is>
      </x:c>
      <x:c r="F18" s="125" t="inlineStr">
        <x:is>
          <x:t xml:space="preserve">browser</x:t>
        </x:is>
      </x:c>
      <x:c r="G18" s="150" t="inlineStr">
        <x:is>
          <x:t xml:space="preserve">tests/components/segment-group/behavior.spec.ts</x:t>
        </x:is>
      </x:c>
      <x:c r="H18" s="125" t="inlineStr">
        <x:is>
          <x:t xml:space="preserve">tested</x:t>
        </x:is>
      </x:c>
      <x:c r="I18" s="125" t="inlineStr">
        <x:is>
          <x:t xml:space="preserve">no</x:t>
        </x:is>
      </x:c>
      <x:c r="J18" s="180" t="n">
        <x:v>46279.5</x:v>
      </x:c>
      <x:c r="K18" s="150" t="n"/>
      <x:c r="L18" s="125" t="n">
        <x:v>1</x:v>
      </x:c>
      <x:c r="M18" s="125" t="n">
        <x:f>IF(OR(AND(I18="yes",H18="verified"),AND(I18="no",OR(H18="tested",H18="verified")),AND(H18="not applicable",K18&lt;&gt;"")),1,0)</x:f>
        <x:v>1</x:v>
      </x:c>
    </x:row>
    <x:row r="19" s="127" customFormat="1" ht="48" customHeight="1">
      <x:c r="A19" s="125" t="inlineStr">
        <x:is>
          <x:t xml:space="preserve">SG-11</x:t>
        </x:is>
      </x:c>
      <x:c r="B19" s="125" t="inlineStr">
        <x:is>
          <x:t xml:space="preserve">Accessibility</x:t>
        </x:is>
      </x:c>
      <x:c r="C19" s="150" t="inlineStr">
        <x:is>
          <x:t xml:space="preserve">Root / Item / Indicator</x:t>
        </x:is>
      </x:c>
      <x:c r="D19" s="150" t="inlineStr">
        <x:is>
          <x:t xml:space="preserve">Radio-group and radio semantics, complete names, checked state, decorative Indicator, and axe checks pass.</x:t>
        </x:is>
      </x:c>
      <x:c r="E19" s="125" t="inlineStr">
        <x:is>
          <x:t xml:space="preserve">package</x:t>
        </x:is>
      </x:c>
      <x:c r="F19" s="125" t="inlineStr">
        <x:is>
          <x:t xml:space="preserve">axe</x:t>
        </x:is>
      </x:c>
      <x:c r="G19" s="150" t="inlineStr">
        <x:is>
          <x:t xml:space="preserve">tests/components/segment-group/behavior.spec.ts</x:t>
        </x:is>
      </x:c>
      <x:c r="H19" s="125" t="inlineStr">
        <x:is>
          <x:t xml:space="preserve">tested</x:t>
        </x:is>
      </x:c>
      <x:c r="I19" s="125" t="inlineStr">
        <x:is>
          <x:t xml:space="preserve">no</x:t>
        </x:is>
      </x:c>
      <x:c r="J19" s="180" t="n">
        <x:v>46279.5</x:v>
      </x:c>
      <x:c r="K19" s="150" t="n"/>
      <x:c r="L19" s="125" t="n">
        <x:v>1</x:v>
      </x:c>
      <x:c r="M19" s="125" t="n">
        <x:f>IF(OR(AND(I19="yes",H19="verified"),AND(I19="no",OR(H19="tested",H19="verified")),AND(H19="not applicable",K19&lt;&gt;"")),1,0)</x:f>
        <x:v>1</x:v>
      </x:c>
    </x:row>
    <x:row r="20" s="127" customFormat="1" ht="48" customHeight="1">
      <x:c r="A20" s="125" t="inlineStr">
        <x:is>
          <x:t xml:space="preserve">SG-12</x:t>
        </x:is>
      </x:c>
      <x:c r="B20" s="125" t="inlineStr">
        <x:is>
          <x:t xml:space="preserve">Visual</x:t>
        </x:is>
      </x:c>
      <x:c r="C20" s="150" t="inlineStr">
        <x:is>
          <x:t xml:space="preserve">SegmentGroup</x:t>
        </x:is>
      </x:c>
      <x:c r="D20" s="150" t="inlineStr">
        <x:is>
          <x:t xml:space="preserve">Default, size, and dark-appearance screenshots have automated baselines and await owner visual review.</x:t>
        </x:is>
      </x:c>
      <x:c r="E20" s="125" t="inlineStr">
        <x:is>
          <x:t xml:space="preserve">package</x:t>
        </x:is>
      </x:c>
      <x:c r="F20" s="125" t="inlineStr">
        <x:is>
          <x:t xml:space="preserve">visual</x:t>
        </x:is>
      </x:c>
      <x:c r="G20" s="150" t="inlineStr">
        <x:is>
          <x:t xml:space="preserve">tests/components/segment-group/visual.spec.ts</x:t>
        </x:is>
      </x:c>
      <x:c r="H20" s="125" t="inlineStr">
        <x:is>
          <x:t xml:space="preserve">partial</x:t>
        </x:is>
      </x:c>
      <x:c r="I20" s="125" t="inlineStr">
        <x:is>
          <x:t xml:space="preserve">yes</x:t>
        </x:is>
      </x:c>
      <x:c r="J20" s="180" t="n">
        <x:v>46262</x:v>
      </x:c>
      <x:c r="K20" s="150" t="inlineStr">
        <x:is>
          <x:t xml:space="preserve">Automated checks and agent visual inspection do not replace owner, screen-reader, physical-device or actual zoom verification.</x:t>
        </x:is>
      </x:c>
      <x:c r="L20" s="125" t="n">
        <x:v>1</x:v>
      </x:c>
      <x:c r="M20" s="125" t="n">
        <x:f>IF(OR(AND(I20="yes",H20="verified"),AND(I20="no",OR(H20="tested",H20="verified")),AND(H20="not applicable",K20&lt;&gt;"")),1,0)</x:f>
        <x:v>0</x:v>
      </x:c>
    </x:row>
    <x:row r="21" s="127" customFormat="1" ht="48" customHeight="1">
      <x:c r="A21" s="125" t="inlineStr">
        <x:is>
          <x:t xml:space="preserve">SG-13</x:t>
        </x:is>
      </x:c>
      <x:c r="B21" s="125" t="inlineStr">
        <x:is>
          <x:t xml:space="preserve">States</x:t>
        </x:is>
      </x:c>
      <x:c r="C21" s="150" t="inlineStr">
        <x:is>
          <x:t xml:space="preserve">Root / Item</x:t>
        </x:is>
      </x:c>
      <x:c r="D21" s="150" t="inlineStr">
        <x:is>
          <x:t xml:space="preserve">Disabled and read-only choices remain distinguishable and preserve the Atom-owned interaction boundary.</x:t>
        </x:is>
      </x:c>
      <x:c r="E21" s="125" t="inlineStr">
        <x:is>
          <x:t xml:space="preserve">package</x:t>
        </x:is>
      </x:c>
      <x:c r="F21" s="125" t="inlineStr">
        <x:is>
          <x:t xml:space="preserve">manual</x:t>
        </x:is>
      </x:c>
      <x:c r="G21" s="150" t="inlineStr">
        <x:is>
          <x:t xml:space="preserve">manual-tests/segment-group.md</x:t>
        </x:is>
      </x:c>
      <x:c r="H21" s="125" t="inlineStr">
        <x:is>
          <x:t xml:space="preserve">partial</x:t>
        </x:is>
      </x:c>
      <x:c r="I21" s="125" t="inlineStr">
        <x:is>
          <x:t xml:space="preserve">yes</x:t>
        </x:is>
      </x:c>
      <x:c r="J21" s="181" t="n"/>
      <x:c r="K21" s="150" t="inlineStr">
        <x:is>
          <x:t xml:space="preserve">Automated checks and agent visual inspection do not replace owner, screen-reader, physical-device or actual zoom verification.</x:t>
        </x:is>
      </x:c>
      <x:c r="L21" s="125" t="n">
        <x:v>1</x:v>
      </x:c>
      <x:c r="M21" s="125" t="n">
        <x:f>IF(OR(AND(I21="yes",H21="verified"),AND(I21="no",OR(H21="tested",H21="verified")),AND(H21="not applicable",K21&lt;&gt;"")),1,0)</x:f>
        <x:v>0</x:v>
      </x:c>
    </x:row>
    <x:row r="22" s="127" customFormat="1" ht="48" customHeight="1">
      <x:c r="A22" s="125" t="inlineStr">
        <x:is>
          <x:t xml:space="preserve">SG-14</x:t>
        </x:is>
      </x:c>
      <x:c r="B22" s="125" t="inlineStr">
        <x:is>
          <x:t xml:space="preserve">Stress</x:t>
        </x:is>
      </x:c>
      <x:c r="C22" s="150" t="inlineStr">
        <x:is>
          <x:t xml:space="preserve">Root / Item / Indicator</x:t>
        </x:is>
      </x:c>
      <x:c r="D22" s="150" t="inlineStr">
        <x:is>
          <x:t xml:space="preserve">320 px, zoom, resize, long labels, RTL, and font changes preserve control containment and Indicator alignment.</x:t>
        </x:is>
      </x:c>
      <x:c r="E22" s="125" t="inlineStr">
        <x:is>
          <x:t xml:space="preserve">package</x:t>
        </x:is>
      </x:c>
      <x:c r="F22" s="125" t="inlineStr">
        <x:is>
          <x:t xml:space="preserve">manual</x:t>
        </x:is>
      </x:c>
      <x:c r="G22" s="150" t="inlineStr">
        <x:is>
          <x:t xml:space="preserve">manual-tests/segment-group.md</x:t>
        </x:is>
      </x:c>
      <x:c r="H22" s="125" t="inlineStr">
        <x:is>
          <x:t xml:space="preserve">partial</x:t>
        </x:is>
      </x:c>
      <x:c r="I22" s="125" t="inlineStr">
        <x:is>
          <x:t xml:space="preserve">yes</x:t>
        </x:is>
      </x:c>
      <x:c r="J22" s="181" t="n"/>
      <x:c r="K22" s="150" t="inlineStr">
        <x:is>
          <x:t xml:space="preserve">Automated checks and agent visual inspection do not replace owner, screen-reader, physical-device or actual zoom verification.</x:t>
        </x:is>
      </x:c>
      <x:c r="L22" s="125" t="n">
        <x:v>1</x:v>
      </x:c>
      <x:c r="M22" s="125" t="n">
        <x:f>IF(OR(AND(I22="yes",H22="verified"),AND(I22="no",OR(H22="tested",H22="verified")),AND(H22="not applicable",K22&lt;&gt;"")),1,0)</x:f>
        <x:v>0</x:v>
      </x:c>
    </x:row>
    <x:row r="23" s="127" customFormat="1" ht="48" customHeight="1">
      <x:c r="A23" s="125" t="inlineStr">
        <x:is>
          <x:t xml:space="preserve">SG-15</x:t>
        </x:is>
      </x:c>
      <x:c r="B23" s="125" t="inlineStr">
        <x:is>
          <x:t xml:space="preserve">Theme and motion</x:t>
        </x:is>
      </x:c>
      <x:c r="C23" s="150" t="inlineStr">
        <x:is>
          <x:t xml:space="preserve">Root / Item / Indicator</x:t>
        </x:is>
      </x:c>
      <x:c r="D23" s="150" t="inlineStr">
        <x:is>
          <x:t xml:space="preserve">Light, dark, forced colors, theme changes, and reduced motion preserve selected and focus distinctions.</x:t>
        </x:is>
      </x:c>
      <x:c r="E23" s="125" t="inlineStr">
        <x:is>
          <x:t xml:space="preserve">package</x:t>
        </x:is>
      </x:c>
      <x:c r="F23" s="125" t="inlineStr">
        <x:is>
          <x:t xml:space="preserve">manual</x:t>
        </x:is>
      </x:c>
      <x:c r="G23" s="150" t="inlineStr">
        <x:is>
          <x:t xml:space="preserve">manual-tests/segment-group.md</x:t>
        </x:is>
      </x:c>
      <x:c r="H23" s="125" t="inlineStr">
        <x:is>
          <x:t xml:space="preserve">partial</x:t>
        </x:is>
      </x:c>
      <x:c r="I23" s="125" t="inlineStr">
        <x:is>
          <x:t xml:space="preserve">yes</x:t>
        </x:is>
      </x:c>
      <x:c r="J23" s="181" t="n"/>
      <x:c r="K23" s="150" t="inlineStr">
        <x:is>
          <x:t xml:space="preserve">Automated checks and agent visual inspection do not replace owner, screen-reader, physical-device or actual zoom verification.</x:t>
        </x:is>
      </x:c>
      <x:c r="L23" s="125" t="n">
        <x:v>1</x:v>
      </x:c>
      <x:c r="M23" s="125" t="n">
        <x:f>IF(OR(AND(I23="yes",H23="verified"),AND(I23="no",OR(H23="tested",H23="verified")),AND(H23="not applicable",K23&lt;&gt;"")),1,0)</x:f>
        <x:v>0</x:v>
      </x:c>
    </x:row>
    <x:row r="24" s="127" customFormat="1" ht="48" customHeight="1">
      <x:c r="A24" s="125" t="inlineStr">
        <x:is>
          <x:t xml:space="preserve">SG-16</x:t>
        </x:is>
      </x:c>
      <x:c r="B24" s="125" t="inlineStr">
        <x:is>
          <x:t xml:space="preserve">Manual</x:t>
        </x:is>
      </x:c>
      <x:c r="C24" s="150" t="inlineStr">
        <x:is>
          <x:t xml:space="preserve">SegmentGroup</x:t>
        </x:is>
      </x:c>
      <x:c r="D24" s="150" t="inlineStr">
        <x:is>
          <x:t xml:space="preserve">The numbered component-owned protocol passes selection, sizes, states, theme, reflow, device, and assistive-technology scenarios.</x:t>
        </x:is>
      </x:c>
      <x:c r="E24" s="125" t="inlineStr">
        <x:is>
          <x:t xml:space="preserve">package</x:t>
        </x:is>
      </x:c>
      <x:c r="F24" s="125" t="inlineStr">
        <x:is>
          <x:t xml:space="preserve">manual</x:t>
        </x:is>
      </x:c>
      <x:c r="G24" s="150" t="inlineStr">
        <x:is>
          <x:t xml:space="preserve">manual-tests/segment-group.md</x:t>
        </x:is>
      </x:c>
      <x:c r="H24" s="125" t="inlineStr">
        <x:is>
          <x:t xml:space="preserve">partial</x:t>
        </x:is>
      </x:c>
      <x:c r="I24" s="125" t="inlineStr">
        <x:is>
          <x:t xml:space="preserve">yes</x:t>
        </x:is>
      </x:c>
      <x:c r="J24" s="181" t="n"/>
      <x:c r="K24" s="150" t="inlineStr">
        <x:is>
          <x:t xml:space="preserve">Automated checks and agent visual inspection do not replace owner, screen-reader, physical-device or actual zoom verification.</x:t>
        </x:is>
      </x:c>
      <x:c r="L24" s="125" t="n">
        <x:v>1</x:v>
      </x:c>
      <x:c r="M24" s="125" t="n">
        <x:f>IF(OR(AND(I24="yes",H24="verified"),AND(I24="no",OR(H24="tested",H24="verified")),AND(H24="not applicable",K24&lt;&gt;"")),1,0)</x:f>
        <x:v>0</x:v>
      </x:c>
    </x:row>
    <x:row r="25" s="127" customFormat="1" ht="48" customHeight="1">
      <x:c r="A25" s="125" t="inlineStr">
        <x:is>
          <x:t xml:space="preserve">SG-17</x:t>
        </x:is>
      </x:c>
      <x:c r="B25" s="125" t="inlineStr">
        <x:is>
          <x:t xml:space="preserve">Docs</x:t>
        </x:is>
      </x:c>
      <x:c r="C25" s="150" t="inlineStr">
        <x:is>
          <x:t xml:space="preserve">SegmentGroup</x:t>
        </x:is>
      </x:c>
      <x:c r="D25" s="150" t="inlineStr">
        <x:is>
          <x:t xml:space="preserve">Public use, API, anatomy, states, accessibility, Atom ownership, customization, and evidence documentation pass.</x:t>
        </x:is>
      </x:c>
      <x:c r="E25" s="125" t="inlineStr">
        <x:is>
          <x:t xml:space="preserve">package</x:t>
        </x:is>
      </x:c>
      <x:c r="F25" s="125" t="inlineStr">
        <x:is>
          <x:t xml:space="preserve">docs</x:t>
        </x:is>
      </x:c>
      <x:c r="G25" s="150" t="inlineStr">
        <x:is>
          <x:t xml:space="preserve">../docs/components/segment-group/README.md</x:t>
        </x:is>
      </x:c>
      <x:c r="H25" s="125" t="inlineStr">
        <x:is>
          <x:t xml:space="preserve">tested</x:t>
        </x:is>
      </x:c>
      <x:c r="I25" s="125" t="inlineStr">
        <x:is>
          <x:t xml:space="preserve">no</x:t>
        </x:is>
      </x:c>
      <x:c r="J25" s="180" t="n">
        <x:v>46279.5</x:v>
      </x:c>
      <x:c r="K25" s="150" t="n"/>
      <x:c r="L25" s="125" t="n">
        <x:v>1</x:v>
      </x:c>
      <x:c r="M25" s="125" t="n">
        <x:f>IF(OR(AND(I25="yes",H25="verified"),AND(I25="no",OR(H25="tested",H25="verified")),AND(H25="not applicable",K25&lt;&gt;"")),1,0)</x:f>
        <x:v>1</x:v>
      </x:c>
    </x:row>
    <x:row r="26" s="127" customFormat="1" ht="48" customHeight="1">
      <x:c r="A26" s="125" t="inlineStr">
        <x:is>
          <x:t xml:space="preserve">SG-18</x:t>
        </x:is>
      </x:c>
      <x:c r="B26" s="125" t="inlineStr">
        <x:is>
          <x:t xml:space="preserve">Agent Knowledge</x:t>
        </x:is>
      </x:c>
      <x:c r="C26" s="150" t="inlineStr">
        <x:is>
          <x:t xml:space="preserve">SegmentGroup</x:t>
        </x:is>
      </x:c>
      <x:c r="D26" s="150" t="inlineStr">
        <x:is>
          <x:t xml:space="preserve">Machine-readable guidance distinguishes single-choice modes from Toggle Group, Tabs, Radio Group, and Select.</x:t>
        </x:is>
      </x:c>
      <x:c r="E26" s="125" t="inlineStr">
        <x:is>
          <x:t xml:space="preserve">package</x:t>
        </x:is>
      </x:c>
      <x:c r="F26" s="125" t="inlineStr">
        <x:is>
          <x:t xml:space="preserve">docs</x:t>
        </x:is>
      </x:c>
      <x:c r="G26" s="150" t="inlineStr">
        <x:is>
          <x:t xml:space="preserve">../src/components/segment-group/agent.json; ../src/components/segment-group/agent.md</x:t>
        </x:is>
      </x:c>
      <x:c r="H26" s="125" t="inlineStr">
        <x:is>
          <x:t xml:space="preserve">tested</x:t>
        </x:is>
      </x:c>
      <x:c r="I26" s="125" t="inlineStr">
        <x:is>
          <x:t xml:space="preserve">no</x:t>
        </x:is>
      </x:c>
      <x:c r="J26" s="180" t="n">
        <x:v>46279.5</x:v>
      </x:c>
      <x:c r="K26" s="150" t="n"/>
      <x:c r="L26" s="125" t="n">
        <x:v>1</x:v>
      </x:c>
      <x:c r="M26" s="125" t="n">
        <x:f>IF(OR(AND(I26="yes",H26="verified"),AND(I26="no",OR(H26="tested",H26="verified")),AND(H26="not applicable",K26&lt;&gt;"")),1,0)</x:f>
        <x:v>1</x:v>
      </x:c>
    </x:row>
    <x:row r="27" s="127" customFormat="1" ht="48" customHeight="1">
      <x:c r="A27" s="125" t="inlineStr">
        <x:is>
          <x:t xml:space="preserve">SG-19</x:t>
        </x:is>
      </x:c>
      <x:c r="B27" s="125" t="inlineStr">
        <x:is>
          <x:t xml:space="preserve">Consumer</x:t>
        </x:is>
      </x:c>
      <x:c r="C27" s="150" t="inlineStr">
        <x:is>
          <x:t xml:space="preserve">SegmentGroup</x:t>
        </x:is>
      </x:c>
      <x:c r="D27" s="150" t="inlineStr">
        <x:is>
          <x:t xml:space="preserve">The packed standalone Consumer imports the public segment-group subpath and exercises selection.</x:t>
        </x:is>
      </x:c>
      <x:c r="E27" s="125" t="inlineStr">
        <x:is>
          <x:t xml:space="preserve">consumer</x:t>
        </x:is>
      </x:c>
      <x:c r="F27" s="125" t="inlineStr">
        <x:is>
          <x:t xml:space="preserve">consumer</x:t>
        </x:is>
      </x:c>
      <x:c r="G27" s="150" t="inlineStr">
        <x:is>
          <x:t xml:space="preserve">apps/consumer/src/SegmentView.tsx; apps/consumer/tests/consumer.spec.ts</x:t>
        </x:is>
      </x:c>
      <x:c r="H27" s="125" t="inlineStr">
        <x:is>
          <x:t xml:space="preserve">partial</x:t>
        </x:is>
      </x:c>
      <x:c r="I27" s="125" t="inlineStr">
        <x:is>
          <x:t xml:space="preserve">no</x:t>
        </x:is>
      </x:c>
      <x:c r="J27" s="181" t="n"/>
      <x:c r="K27" s="150" t="inlineStr">
        <x:is>
          <x:t xml:space="preserve">Local application desktop/mobile selection passed. Clean packed React 18/19 runtime, SSR and types passed; full packed application suite not run.</x:t>
        </x:is>
      </x:c>
      <x:c r="L27" s="125" t="n">
        <x:v>1</x:v>
      </x:c>
      <x:c r="M27" s="125" t="n">
        <x:f>IF(OR(AND(I27="yes",H27="verified"),AND(I27="no",OR(H27="tested",H27="verified")),AND(H27="not applicable",K27&lt;&gt;"")),1,0)</x:f>
        <x:v>0</x:v>
      </x:c>
    </x:row>
    <x:row r="28" s="127" customFormat="1" ht="48" customHeight="1">
      <x:c r="A28" s="125" t="inlineStr">
        <x:is>
          <x:t xml:space="preserve">SG-20</x:t>
        </x:is>
      </x:c>
      <x:c r="B28" s="125" t="inlineStr">
        <x:is>
          <x:t xml:space="preserve">Package</x:t>
        </x:is>
      </x:c>
      <x:c r="C28" s="150" t="inlineStr">
        <x:is>
          <x:t xml:space="preserve">SegmentGroup</x:t>
        </x:is>
      </x:c>
      <x:c r="D28" s="150" t="inlineStr">
        <x:is>
          <x:t xml:space="preserve">Build, exports, CSS, tarball, component tests, and repository verification pass.</x:t>
        </x:is>
      </x:c>
      <x:c r="E28" s="125" t="inlineStr">
        <x:is>
          <x:t xml:space="preserve">package</x:t>
        </x:is>
      </x:c>
      <x:c r="F28" s="125" t="inlineStr">
        <x:is>
          <x:t xml:space="preserve">package</x:t>
        </x:is>
      </x:c>
      <x:c r="G28" s="150" t="inlineStr">
        <x:is>
          <x:t xml:space="preserve">../scripts/verify-package.mjs; ../scripts/verify-consumers.mjs</x:t>
        </x:is>
      </x:c>
      <x:c r="H28" s="125" t="inlineStr">
        <x:is>
          <x:t xml:space="preserve">partial</x:t>
        </x:is>
      </x:c>
      <x:c r="I28" s="125" t="inlineStr">
        <x:is>
          <x:t xml:space="preserve">no</x:t>
        </x:is>
      </x:c>
      <x:c r="J28" s="180" t="n">
        <x:v>46262</x:v>
      </x:c>
      <x:c r="K28" s="150" t="inlineStr">
        <x:is>
          <x:t xml:space="preserve">Local candidate only. Broader repository docs failures and manual release gates remain.</x:t>
        </x:is>
      </x:c>
      <x:c r="L28" s="125" t="n">
        <x:v>1</x:v>
      </x:c>
      <x:c r="M28" s="125" t="n">
        <x:f>IF(OR(AND(I28="yes",H28="verified"),AND(I28="no",OR(H28="tested",H28="verified")),AND(H28="not applicable",K28&lt;&gt;"")),1,0)</x:f>
        <x:v>0</x:v>
      </x:c>
    </x:row>
  </x:sheetData>
  <x:mergeCells>
    <x:mergeCell ref="A2:M2"/>
    <x:mergeCell ref="A1:M1"/>
  </x:mergeCells>
  <x:conditionalFormatting sqref="H9:H28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0" showDropDown="0" showInputMessage="0" showErrorMessage="0" sqref="H9:H28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28">
      <x:formula1>"yes,no"</x:formula1>
      <x:formula2>0</x:formula2>
    </x:dataValidation>
  </x:dataValidations>
  <x:pageMargins left="0.7" right="0.7" top="0.75" bottom="0.75" header="0.3" footer="0.3"/>
</x:worksheet>
</file>

<file path=xl/worksheets/sheet91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Status Evidence</x:t>
        </x:is>
      </x:c>
    </x:row>
    <x:row r="2" s="127" customFormat="1" ht="27.75" customHeight="1">
      <x:c r="A2" s="129" t="inlineStr">
        <x:is>
          <x:t xml:space="preserve">Assertion-level passive-state, semantic-tone, accessibility, documentation, and package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COUNTA(A9:A28)</x:f>
        <x:v>20</x:v>
      </x:c>
      <x:c r="D4" s="130" t="inlineStr">
        <x:is>
          <x:t xml:space="preserve">Resolved</x:t>
        </x:is>
      </x:c>
      <x:c r="E4" s="131" t="n">
        <x:f>SUM(M9:M28)</x:f>
        <x:v>13</x:v>
      </x:c>
      <x:c r="G4" s="130" t="inlineStr">
        <x:is>
          <x:t xml:space="preserve">Completion</x:t>
        </x:is>
      </x:c>
      <x:c r="H4" s="132" t="n">
        <x:f>IF(B4=0,0,E4/B4)</x:f>
        <x:v>0.65</x:v>
      </x:c>
      <x:c r="J4" s="130" t="inlineStr">
        <x:is>
          <x:t xml:space="preserve">Package gate</x:t>
        </x:is>
      </x:c>
      <x:c r="K4" s="131" t="str">
        <x:f>IF(COUNTIFS(E9:E28,"package",M9:M28,0)&gt;0,"open","complete")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IF(COUNTIFS(I9:I28,"yes",M9:M28,0)&gt;0,"open","complete")</x:f>
        <x:v>open</x:v>
      </x:c>
      <x:c r="D5" s="130" t="inlineStr">
        <x:is>
          <x:t xml:space="preserve">Consumer gate</x:t>
        </x:is>
      </x:c>
      <x:c r="E5" s="131" t="str">
        <x:f>IF(COUNTIFS(E9:E28,"consumer",M9:M28,0)&gt;0,"open","complete")</x:f>
        <x:v>open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48" customHeight="1">
      <x:c r="A9" s="125" t="inlineStr">
        <x:is>
          <x:t xml:space="preserve">ST-01</x:t>
        </x:is>
      </x:c>
      <x:c r="B9" s="125" t="inlineStr">
        <x:is>
          <x:t xml:space="preserve">Implementation</x:t>
        </x:is>
      </x:c>
      <x:c r="C9" s="150" t="inlineStr">
        <x:is>
          <x:t xml:space="preserve">Root / Indicator / Label</x:t>
        </x:is>
      </x:c>
      <x:c r="D9" s="150" t="inlineStr">
        <x:is>
          <x:t xml:space="preserve">The three public parts render passive native spans with exact refs, stable hooks, and no built-in live-region behavior.</x:t>
        </x:is>
      </x:c>
      <x:c r="E9" s="125" t="inlineStr">
        <x:is>
          <x:t xml:space="preserve">package</x:t>
        </x:is>
      </x:c>
      <x:c r="F9" s="125" t="inlineStr">
        <x:is>
          <x:t xml:space="preserve">source</x:t>
        </x:is>
      </x:c>
      <x:c r="G9" s="150" t="inlineStr">
        <x:is>
          <x:t xml:space="preserve">../src/components/status</x:t>
        </x:is>
      </x:c>
      <x:c r="H9" s="125" t="inlineStr">
        <x:is>
          <x:t xml:space="preserve">tested</x:t>
        </x:is>
      </x:c>
      <x:c r="I9" s="125" t="inlineStr">
        <x:is>
          <x:t xml:space="preserve">no</x:t>
        </x:is>
      </x:c>
      <x:c r="J9" s="141" t="n">
        <x:v>46262</x:v>
      </x:c>
      <x:c r="K9" s="150" t="n"/>
      <x:c r="L9" s="125" t="n">
        <x:v>1</x:v>
      </x:c>
      <x:c r="M9" s="125" t="n">
        <x:f>IF(OR(AND(I9="yes",H9="verified"),AND(I9="no",OR(H9="tested",H9="verified")),AND(H9="not applicable",K9&lt;&gt;"")),1,0)</x:f>
        <x:v>1</x:v>
      </x:c>
    </x:row>
    <x:row r="10" s="127" customFormat="1" ht="48" customHeight="1">
      <x:c r="A10" s="125" t="inlineStr">
        <x:is>
          <x:t xml:space="preserve">ST-02</x:t>
        </x:is>
      </x:c>
      <x:c r="B10" s="125" t="inlineStr">
        <x:is>
          <x:t xml:space="preserve">Anatomy</x:t>
        </x:is>
      </x:c>
      <x:c r="C10" s="150" t="inlineStr">
        <x:is>
          <x:t xml:space="preserve">Root / Indicator / Label</x:t>
        </x:is>
      </x:c>
      <x:c r="D10" s="150" t="inlineStr">
        <x:is>
          <x:t xml:space="preserve">Root owns state composition, Indicator is decorative, and Label owns readable visible state text.</x:t>
        </x:is>
      </x:c>
      <x:c r="E10" s="125" t="inlineStr">
        <x:is>
          <x:t xml:space="preserve">package</x:t>
        </x:is>
      </x:c>
      <x:c r="F10" s="125" t="inlineStr">
        <x:is>
          <x:t xml:space="preserve">component</x:t>
        </x:is>
      </x:c>
      <x:c r="G10" s="150" t="inlineStr">
        <x:is>
          <x:t xml:space="preserve">../test/components/status/status.test.tsx</x:t>
        </x:is>
      </x:c>
      <x:c r="H10" s="125" t="inlineStr">
        <x:is>
          <x:t xml:space="preserve">tested</x:t>
        </x:is>
      </x:c>
      <x:c r="I10" s="125" t="inlineStr">
        <x:is>
          <x:t xml:space="preserve">no</x:t>
        </x:is>
      </x:c>
      <x:c r="J10" s="141" t="n">
        <x:v>46262</x:v>
      </x:c>
      <x:c r="K10" s="150" t="n"/>
      <x:c r="L10" s="125" t="n">
        <x:v>1</x:v>
      </x:c>
      <x:c r="M10" s="125" t="n">
        <x:f>IF(OR(AND(I10="yes",H10="verified"),AND(I10="no",OR(H10="tested",H10="verified")),AND(H10="not applicable",K10&lt;&gt;"")),1,0)</x:f>
        <x:v>1</x:v>
      </x:c>
    </x:row>
    <x:row r="11" s="127" customFormat="1" ht="48" customHeight="1">
      <x:c r="A11" s="125" t="inlineStr">
        <x:is>
          <x:t xml:space="preserve">ST-03</x:t>
        </x:is>
      </x:c>
      <x:c r="B11" s="125" t="inlineStr">
        <x:is>
          <x:t xml:space="preserve">Exports</x:t>
        </x:is>
      </x:c>
      <x:c r="C11" s="150" t="inlineStr">
        <x:is>
          <x:t xml:space="preserve">Status</x:t>
        </x:is>
      </x:c>
      <x:c r="D11" s="150" t="inlineStr">
        <x:is>
          <x:t xml:space="preserve">Namespace, named parts, public types, root export, and status subpath are exported.</x:t>
        </x:is>
      </x:c>
      <x:c r="E11" s="125" t="inlineStr">
        <x:is>
          <x:t xml:space="preserve">package</x:t>
        </x:is>
      </x:c>
      <x:c r="F11" s="125" t="inlineStr">
        <x:is>
          <x:t xml:space="preserve">package</x:t>
        </x:is>
      </x:c>
      <x:c r="G11" s="150" t="inlineStr">
        <x:is>
          <x:t xml:space="preserve">../test/package/package.test.mjs</x:t>
        </x:is>
      </x:c>
      <x:c r="H11" s="125" t="inlineStr">
        <x:is>
          <x:t xml:space="preserve">tested</x:t>
        </x:is>
      </x:c>
      <x:c r="I11" s="125" t="inlineStr">
        <x:is>
          <x:t xml:space="preserve">no</x:t>
        </x:is>
      </x:c>
      <x:c r="J11" s="141" t="n">
        <x:v>46262</x:v>
      </x:c>
      <x:c r="K11" s="150" t="n"/>
      <x:c r="L11" s="125" t="n">
        <x:v>1</x:v>
      </x:c>
      <x:c r="M11" s="125" t="n">
        <x:f>IF(OR(AND(I11="yes",H11="verified"),AND(I11="no",OR(H11="tested",H11="verified")),AND(H11="not applicable",K11&lt;&gt;"")),1,0)</x:f>
        <x:v>1</x:v>
      </x:c>
    </x:row>
    <x:row r="12" s="127" customFormat="1" ht="48" customHeight="1">
      <x:c r="A12" s="125" t="inlineStr">
        <x:is>
          <x:t xml:space="preserve">ST-04</x:t>
        </x:is>
      </x:c>
      <x:c r="B12" s="125" t="inlineStr">
        <x:is>
          <x:t xml:space="preserve">Types</x:t>
        </x:is>
      </x:c>
      <x:c r="C12" s="150" t="inlineStr">
        <x:is>
          <x:t xml:space="preserve">Root / Indicator / Label</x:t>
        </x:is>
      </x:c>
      <x:c r="D12" s="150" t="inlineStr">
        <x:is>
          <x:t xml:space="preserve">Closed sizes, semantic tones, part props, invalid values, native attributes, and exact refs type-check.</x:t>
        </x:is>
      </x:c>
      <x:c r="E12" s="125" t="inlineStr">
        <x:is>
          <x:t xml:space="preserve">package</x:t>
        </x:is>
      </x:c>
      <x:c r="F12" s="125" t="inlineStr">
        <x:is>
          <x:t xml:space="preserve">types</x:t>
        </x:is>
      </x:c>
      <x:c r="G12" s="150" t="inlineStr">
        <x:is>
          <x:t xml:space="preserve">../test/types/components/status.test.ts</x:t>
        </x:is>
      </x:c>
      <x:c r="H12" s="125" t="inlineStr">
        <x:is>
          <x:t xml:space="preserve">tested</x:t>
        </x:is>
      </x:c>
      <x:c r="I12" s="125" t="inlineStr">
        <x:is>
          <x:t xml:space="preserve">no</x:t>
        </x:is>
      </x:c>
      <x:c r="J12" s="141" t="n">
        <x:v>46262</x:v>
      </x:c>
      <x:c r="K12" s="150" t="n"/>
      <x:c r="L12" s="125" t="n">
        <x:v>1</x:v>
      </x:c>
      <x:c r="M12" s="125" t="n">
        <x:f>IF(OR(AND(I12="yes",H12="verified"),AND(I12="no",OR(H12="tested",H12="verified")),AND(H12="not applicable",K12&lt;&gt;"")),1,0)</x:f>
        <x:v>1</x:v>
      </x:c>
    </x:row>
    <x:row r="13" s="127" customFormat="1" ht="48" customHeight="1">
      <x:c r="A13" s="125" t="inlineStr">
        <x:is>
          <x:t xml:space="preserve">ST-05</x:t>
        </x:is>
      </x:c>
      <x:c r="B13" s="125" t="inlineStr">
        <x:is>
          <x:t xml:space="preserve">CSS</x:t>
        </x:is>
      </x:c>
      <x:c r="C13" s="150" t="inlineStr">
        <x:is>
          <x:t xml:space="preserve">Root / Indicator / Label</x:t>
        </x:is>
      </x:c>
      <x:c r="D13" s="150" t="inlineStr">
        <x:is>
          <x:t xml:space="preserve">Static CSS provides dot, gap, text, size, semantic-tone, wrapping, and forced-color recipes through public hooks.</x:t>
        </x:is>
      </x:c>
      <x:c r="E13" s="125" t="inlineStr">
        <x:is>
          <x:t xml:space="preserve">package</x:t>
        </x:is>
      </x:c>
      <x:c r="F13" s="125" t="inlineStr">
        <x:is>
          <x:t xml:space="preserve">css</x:t>
        </x:is>
      </x:c>
      <x:c r="G13" s="150" t="inlineStr">
        <x:is>
          <x:t xml:space="preserve">../src/components/status/status.css</x:t>
        </x:is>
      </x:c>
      <x:c r="H13" s="125" t="inlineStr">
        <x:is>
          <x:t xml:space="preserve">tested</x:t>
        </x:is>
      </x:c>
      <x:c r="I13" s="125" t="inlineStr">
        <x:is>
          <x:t xml:space="preserve">no</x:t>
        </x:is>
      </x:c>
      <x:c r="J13" s="141" t="n">
        <x:v>46262</x:v>
      </x:c>
      <x:c r="K13" s="150" t="n"/>
      <x:c r="L13" s="125" t="n">
        <x:v>1</x:v>
      </x:c>
      <x:c r="M13" s="125" t="n">
        <x:f>IF(OR(AND(I13="yes",H13="verified"),AND(I13="no",OR(H13="tested",H13="verified")),AND(H13="not applicable",K13&lt;&gt;"")),1,0)</x:f>
        <x:v>1</x:v>
      </x:c>
    </x:row>
    <x:row r="14" s="127" customFormat="1" ht="48" customHeight="1">
      <x:c r="A14" s="125" t="inlineStr">
        <x:is>
          <x:t xml:space="preserve">ST-06</x:t>
        </x:is>
      </x:c>
      <x:c r="B14" s="125" t="inlineStr">
        <x:is>
          <x:t xml:space="preserve">Defaults</x:t>
        </x:is>
      </x:c>
      <x:c r="C14" s="150" t="inlineStr">
        <x:is>
          <x:t xml:space="preserve">Root</x:t>
        </x:is>
      </x:c>
      <x:c r="D14" s="150" t="inlineStr">
        <x:is>
          <x:t xml:space="preserve">Medium neutral presentation with no role or aria-live attribute is the canonical default.</x:t>
        </x:is>
      </x:c>
      <x:c r="E14" s="125" t="inlineStr">
        <x:is>
          <x:t xml:space="preserve">package</x:t>
        </x:is>
      </x:c>
      <x:c r="F14" s="125" t="inlineStr">
        <x:is>
          <x:t xml:space="preserve">component</x:t>
        </x:is>
      </x:c>
      <x:c r="G14" s="150" t="inlineStr">
        <x:is>
          <x:t xml:space="preserve">../test/components/status/status.test.tsx</x:t>
        </x:is>
      </x:c>
      <x:c r="H14" s="125" t="inlineStr">
        <x:is>
          <x:t xml:space="preserve">tested</x:t>
        </x:is>
      </x:c>
      <x:c r="I14" s="125" t="inlineStr">
        <x:is>
          <x:t xml:space="preserve">no</x:t>
        </x:is>
      </x:c>
      <x:c r="J14" s="141" t="n">
        <x:v>46262</x:v>
      </x:c>
      <x:c r="K14" s="150" t="n"/>
      <x:c r="L14" s="125" t="n">
        <x:v>1</x:v>
      </x:c>
      <x:c r="M14" s="125" t="n">
        <x:f>IF(OR(AND(I14="yes",H14="verified"),AND(I14="no",OR(H14="tested",H14="verified")),AND(H14="not applicable",K14&lt;&gt;"")),1,0)</x:f>
        <x:v>1</x:v>
      </x:c>
    </x:row>
    <x:row r="15" s="127" customFormat="1" ht="48" customHeight="1">
      <x:c r="A15" s="125" t="inlineStr">
        <x:is>
          <x:t xml:space="preserve">ST-07</x:t>
        </x:is>
      </x:c>
      <x:c r="B15" s="125" t="inlineStr">
        <x:is>
          <x:t xml:space="preserve">Recipes</x:t>
        </x:is>
      </x:c>
      <x:c r="C15" s="150" t="inlineStr">
        <x:is>
          <x:t xml:space="preserve">Root / Indicator</x:t>
        </x:is>
      </x:c>
      <x:c r="D15" s="150" t="inlineStr">
        <x:is>
          <x:t xml:space="preserve">Small, medium, large and neutral, accent, info, success, warning, and danger recipes serialize through stable attributes.</x:t>
        </x:is>
      </x:c>
      <x:c r="E15" s="125" t="inlineStr">
        <x:is>
          <x:t xml:space="preserve">package</x:t>
        </x:is>
      </x:c>
      <x:c r="F15" s="125" t="inlineStr">
        <x:is>
          <x:t xml:space="preserve">component</x:t>
        </x:is>
      </x:c>
      <x:c r="G15" s="150" t="inlineStr">
        <x:is>
          <x:t xml:space="preserve">../test/components/status/status.test.tsx</x:t>
        </x:is>
      </x:c>
      <x:c r="H15" s="125" t="inlineStr">
        <x:is>
          <x:t xml:space="preserve">tested</x:t>
        </x:is>
      </x:c>
      <x:c r="I15" s="125" t="inlineStr">
        <x:is>
          <x:t xml:space="preserve">no</x:t>
        </x:is>
      </x:c>
      <x:c r="J15" s="141" t="n">
        <x:v>46262</x:v>
      </x:c>
      <x:c r="K15" s="150" t="n"/>
      <x:c r="L15" s="125" t="n">
        <x:v>1</x:v>
      </x:c>
      <x:c r="M15" s="125" t="n">
        <x:f>IF(OR(AND(I15="yes",H15="verified"),AND(I15="no",OR(H15="tested",H15="verified")),AND(H15="not applicable",K15&lt;&gt;"")),1,0)</x:f>
        <x:v>1</x:v>
      </x:c>
    </x:row>
    <x:row r="16" s="127" customFormat="1" ht="48" customHeight="1">
      <x:c r="A16" s="125" t="inlineStr">
        <x:is>
          <x:t xml:space="preserve">ST-08</x:t>
        </x:is>
      </x:c>
      <x:c r="B16" s="125" t="inlineStr">
        <x:is>
          <x:t xml:space="preserve">Semantics</x:t>
        </x:is>
      </x:c>
      <x:c r="C16" s="150" t="inlineStr">
        <x:is>
          <x:t xml:space="preserve">Indicator / Label</x:t>
        </x:is>
      </x:c>
      <x:c r="D16" s="150" t="inlineStr">
        <x:is>
          <x:t xml:space="preserve">Indicator remains aria-hidden while visible Label text communicates state without color-only meaning or unsolicited announcement.</x:t>
        </x:is>
      </x:c>
      <x:c r="E16" s="125" t="inlineStr">
        <x:is>
          <x:t xml:space="preserve">package</x:t>
        </x:is>
      </x:c>
      <x:c r="F16" s="125" t="inlineStr">
        <x:is>
          <x:t xml:space="preserve">browser</x:t>
        </x:is>
      </x:c>
      <x:c r="G16" s="150" t="inlineStr">
        <x:is>
          <x:t xml:space="preserve">../test/components/status/status.test.tsx; tests/components/status/behavior.spec.ts</x:t>
        </x:is>
      </x:c>
      <x:c r="H16" s="125" t="inlineStr">
        <x:is>
          <x:t xml:space="preserve">tested</x:t>
        </x:is>
      </x:c>
      <x:c r="I16" s="125" t="inlineStr">
        <x:is>
          <x:t xml:space="preserve">no</x:t>
        </x:is>
      </x:c>
      <x:c r="J16" s="141" t="n">
        <x:v>46262</x:v>
      </x:c>
      <x:c r="K16" s="150" t="n"/>
      <x:c r="L16" s="125" t="n">
        <x:v>1</x:v>
      </x:c>
      <x:c r="M16" s="125" t="n">
        <x:f>IF(OR(AND(I16="yes",H16="verified"),AND(I16="no",OR(H16="tested",H16="verified")),AND(H16="not applicable",K16&lt;&gt;"")),1,0)</x:f>
        <x:v>1</x:v>
      </x:c>
    </x:row>
    <x:row r="17" s="127" customFormat="1" ht="48" customHeight="1">
      <x:c r="A17" s="125" t="inlineStr">
        <x:is>
          <x:t xml:space="preserve">ST-09</x:t>
        </x:is>
      </x:c>
      <x:c r="B17" s="125" t="inlineStr">
        <x:is>
          <x:t xml:space="preserve">Accessibility</x:t>
        </x:is>
      </x:c>
      <x:c r="C17" s="150" t="inlineStr">
        <x:is>
          <x:t xml:space="preserve">Root / Indicator / Label</x:t>
        </x:is>
      </x:c>
      <x:c r="D17" s="150" t="inlineStr">
        <x:is>
          <x:t xml:space="preserve">Passive state text, decorative Indicator, application-authored ARIA pass-through, and axe checks preserve the contract.</x:t>
        </x:is>
      </x:c>
      <x:c r="E17" s="125" t="inlineStr">
        <x:is>
          <x:t xml:space="preserve">package</x:t>
        </x:is>
      </x:c>
      <x:c r="F17" s="125" t="inlineStr">
        <x:is>
          <x:t xml:space="preserve">axe</x:t>
        </x:is>
      </x:c>
      <x:c r="G17" s="150" t="inlineStr">
        <x:is>
          <x:t xml:space="preserve">tests/components/status/behavior.spec.ts</x:t>
        </x:is>
      </x:c>
      <x:c r="H17" s="125" t="inlineStr">
        <x:is>
          <x:t xml:space="preserve">tested</x:t>
        </x:is>
      </x:c>
      <x:c r="I17" s="125" t="inlineStr">
        <x:is>
          <x:t xml:space="preserve">no</x:t>
        </x:is>
      </x:c>
      <x:c r="J17" s="141" t="n">
        <x:v>46262</x:v>
      </x:c>
      <x:c r="K17" s="150" t="n"/>
      <x:c r="L17" s="125" t="n">
        <x:v>1</x:v>
      </x:c>
      <x:c r="M17" s="125" t="n">
        <x:f>IF(OR(AND(I17="yes",H17="verified"),AND(I17="no",OR(H17="tested",H17="verified")),AND(H17="not applicable",K17&lt;&gt;"")),1,0)</x:f>
        <x:v>1</x:v>
      </x:c>
    </x:row>
    <x:row r="18" s="127" customFormat="1" ht="48" customHeight="1">
      <x:c r="A18" s="125" t="inlineStr">
        <x:is>
          <x:t xml:space="preserve">ST-10</x:t>
        </x:is>
      </x:c>
      <x:c r="B18" s="125" t="inlineStr">
        <x:is>
          <x:t xml:space="preserve">Visual</x:t>
        </x:is>
      </x:c>
      <x:c r="C18" s="150" t="inlineStr">
        <x:is>
          <x:t xml:space="preserve">Status</x:t>
        </x:is>
      </x:c>
      <x:c r="D18" s="150" t="inlineStr">
        <x:is>
          <x:t xml:space="preserve">The visual owner currently proves route visibility but lacks risk-selected screenshot baselines and owner review.</x:t>
        </x:is>
      </x:c>
      <x:c r="E18" s="125" t="inlineStr">
        <x:is>
          <x:t xml:space="preserve">package</x:t>
        </x:is>
      </x:c>
      <x:c r="F18" s="125" t="inlineStr">
        <x:is>
          <x:t xml:space="preserve">visual</x:t>
        </x:is>
      </x:c>
      <x:c r="G18" s="150" t="inlineStr">
        <x:is>
          <x:t xml:space="preserve">tests/components/status/visual.spec.ts</x:t>
        </x:is>
      </x:c>
      <x:c r="H18" s="125" t="inlineStr">
        <x:is>
          <x:t xml:space="preserve">partial</x:t>
        </x:is>
      </x:c>
      <x:c r="I18" s="125" t="inlineStr">
        <x:is>
          <x:t xml:space="preserve">yes</x:t>
        </x:is>
      </x:c>
      <x:c r="J18" s="141" t="n">
        <x:v>46262</x:v>
      </x:c>
      <x:c r="K18" s="150" t="inlineStr">
        <x:is>
          <x:t xml:space="preserve">Capture and review tones, sizes, dark, RTL, long-label, and forced-color baselines.</x:t>
        </x:is>
      </x:c>
      <x:c r="L18" s="125" t="n">
        <x:v>1</x:v>
      </x:c>
      <x:c r="M18" s="125" t="n">
        <x:f>IF(OR(AND(I18="yes",H18="verified"),AND(I18="no",OR(H18="tested",H18="verified")),AND(H18="not applicable",K18&lt;&gt;"")),1,0)</x:f>
        <x:v>0</x:v>
      </x:c>
    </x:row>
    <x:row r="19" s="127" customFormat="1" ht="48" customHeight="1">
      <x:c r="A19" s="125" t="inlineStr">
        <x:is>
          <x:t xml:space="preserve">ST-11</x:t>
        </x:is>
      </x:c>
      <x:c r="B19" s="125" t="inlineStr">
        <x:is>
          <x:t xml:space="preserve">Indicator-only</x:t>
        </x:is>
      </x:c>
      <x:c r="C19" s="150" t="inlineStr">
        <x:is>
          <x:t xml:space="preserve">Root / Indicator</x:t>
        </x:is>
      </x:c>
      <x:c r="D19" s="150" t="inlineStr">
        <x:is>
          <x:t xml:space="preserve">A decorative indicator-only composition is tested only when adjacent text already names the same state.</x:t>
        </x:is>
      </x:c>
      <x:c r="E19" s="125" t="inlineStr">
        <x:is>
          <x:t xml:space="preserve">package</x:t>
        </x:is>
      </x:c>
      <x:c r="F19" s="125" t="inlineStr">
        <x:is>
          <x:t xml:space="preserve">component</x:t>
        </x:is>
      </x:c>
      <x:c r="G19" s="150" t="inlineStr">
        <x:is>
          <x:t xml:space="preserve">../test/components/status/status.test.tsx</x:t>
        </x:is>
      </x:c>
      <x:c r="H19" s="125" t="inlineStr">
        <x:is>
          <x:t xml:space="preserve">tested</x:t>
        </x:is>
      </x:c>
      <x:c r="I19" s="125" t="inlineStr">
        <x:is>
          <x:t xml:space="preserve">no</x:t>
        </x:is>
      </x:c>
      <x:c r="J19" s="141" t="n">
        <x:v>46262</x:v>
      </x:c>
      <x:c r="K19" s="150" t="n"/>
      <x:c r="L19" s="125" t="n">
        <x:v>1</x:v>
      </x:c>
      <x:c r="M19" s="125" t="n">
        <x:f>IF(OR(AND(I19="yes",H19="verified"),AND(I19="no",OR(H19="tested",H19="verified")),AND(H19="not applicable",K19&lt;&gt;"")),1,0)</x:f>
        <x:v>1</x:v>
      </x:c>
    </x:row>
    <x:row r="20" s="127" customFormat="1" ht="48" customHeight="1">
      <x:c r="A20" s="125" t="inlineStr">
        <x:is>
          <x:t xml:space="preserve">ST-12</x:t>
        </x:is>
      </x:c>
      <x:c r="B20" s="125" t="inlineStr">
        <x:is>
          <x:t xml:space="preserve">Stress</x:t>
        </x:is>
      </x:c>
      <x:c r="C20" s="150" t="inlineStr">
        <x:is>
          <x:t xml:space="preserve">Root / Label</x:t>
        </x:is>
      </x:c>
      <x:c r="D20" s="150" t="inlineStr">
        <x:is>
          <x:t xml:space="preserve">Narrow widths, 200% text, 400% zoom, localization, and RTL preserve readable label and dot alignment.</x:t>
        </x:is>
      </x:c>
      <x:c r="E20" s="125" t="inlineStr">
        <x:is>
          <x:t xml:space="preserve">package</x:t>
        </x:is>
      </x:c>
      <x:c r="F20" s="125" t="inlineStr">
        <x:is>
          <x:t xml:space="preserve">manual</x:t>
        </x:is>
      </x:c>
      <x:c r="G20" s="150" t="inlineStr">
        <x:is>
          <x:t xml:space="preserve">manual-tests/status.md</x:t>
        </x:is>
      </x:c>
      <x:c r="H20" s="125" t="inlineStr">
        <x:is>
          <x:t xml:space="preserve">not started</x:t>
        </x:is>
      </x:c>
      <x:c r="I20" s="125" t="inlineStr">
        <x:is>
          <x:t xml:space="preserve">yes</x:t>
        </x:is>
      </x:c>
      <x:c r="K20" s="150" t="inlineStr">
        <x:is>
          <x:t xml:space="preserve">No completed reflow and RTL owner run is recorded.</x:t>
        </x:is>
      </x:c>
      <x:c r="L20" s="125" t="n">
        <x:v>1</x:v>
      </x:c>
      <x:c r="M20" s="125" t="n">
        <x:f>IF(OR(AND(I20="yes",H20="verified"),AND(I20="no",OR(H20="tested",H20="verified")),AND(H20="not applicable",K20&lt;&gt;"")),1,0)</x:f>
        <x:v>0</x:v>
      </x:c>
    </x:row>
    <x:row r="21" s="127" customFormat="1" ht="48" customHeight="1">
      <x:c r="A21" s="125" t="inlineStr">
        <x:is>
          <x:t xml:space="preserve">ST-13</x:t>
        </x:is>
      </x:c>
      <x:c r="B21" s="125" t="inlineStr">
        <x:is>
          <x:t xml:space="preserve">Theme</x:t>
        </x:is>
      </x:c>
      <x:c r="C21" s="150" t="inlineStr">
        <x:is>
          <x:t xml:space="preserve">Root / Indicator / Label</x:t>
        </x:is>
      </x:c>
      <x:c r="D21" s="150" t="inlineStr">
        <x:is>
          <x:t xml:space="preserve">Light, dark, forced colors, every tone, and adjacent focus remain distinguishable.</x:t>
        </x:is>
      </x:c>
      <x:c r="E21" s="125" t="inlineStr">
        <x:is>
          <x:t xml:space="preserve">package</x:t>
        </x:is>
      </x:c>
      <x:c r="F21" s="125" t="inlineStr">
        <x:is>
          <x:t xml:space="preserve">manual</x:t>
        </x:is>
      </x:c>
      <x:c r="G21" s="150" t="inlineStr">
        <x:is>
          <x:t xml:space="preserve">manual-tests/status.md</x:t>
        </x:is>
      </x:c>
      <x:c r="H21" s="125" t="inlineStr">
        <x:is>
          <x:t xml:space="preserve">not started</x:t>
        </x:is>
      </x:c>
      <x:c r="I21" s="125" t="inlineStr">
        <x:is>
          <x:t xml:space="preserve">yes</x:t>
        </x:is>
      </x:c>
      <x:c r="K21" s="150" t="inlineStr">
        <x:is>
          <x:t xml:space="preserve">No completed appearance owner run is recorded.</x:t>
        </x:is>
      </x:c>
      <x:c r="L21" s="125" t="n">
        <x:v>1</x:v>
      </x:c>
      <x:c r="M21" s="125" t="n">
        <x:f>IF(OR(AND(I21="yes",H21="verified"),AND(I21="no",OR(H21="tested",H21="verified")),AND(H21="not applicable",K21&lt;&gt;"")),1,0)</x:f>
        <x:v>0</x:v>
      </x:c>
    </x:row>
    <x:row r="22" s="127" customFormat="1" ht="48" customHeight="1">
      <x:c r="A22" s="125" t="inlineStr">
        <x:is>
          <x:t xml:space="preserve">ST-14</x:t>
        </x:is>
      </x:c>
      <x:c r="B22" s="125" t="inlineStr">
        <x:is>
          <x:t xml:space="preserve">Live updates</x:t>
        </x:is>
      </x:c>
      <x:c r="C22" s="150" t="inlineStr">
        <x:is>
          <x:t xml:space="preserve">Root</x:t>
        </x:is>
      </x:c>
      <x:c r="D22" s="150" t="inlineStr">
        <x:is>
          <x:t xml:space="preserve">Only an application deliberately authors role=status when it owns timing, repetition, focus, and announcement policy.</x:t>
        </x:is>
      </x:c>
      <x:c r="E22" s="125" t="inlineStr">
        <x:is>
          <x:t xml:space="preserve">package</x:t>
        </x:is>
      </x:c>
      <x:c r="F22" s="125" t="inlineStr">
        <x:is>
          <x:t xml:space="preserve">manual</x:t>
        </x:is>
      </x:c>
      <x:c r="G22" s="150" t="inlineStr">
        <x:is>
          <x:t xml:space="preserve">manual-tests/status.md; ../docs/components/status/README.md</x:t>
        </x:is>
      </x:c>
      <x:c r="H22" s="125" t="inlineStr">
        <x:is>
          <x:t xml:space="preserve">implemented</x:t>
        </x:is>
      </x:c>
      <x:c r="I22" s="125" t="inlineStr">
        <x:is>
          <x:t xml:space="preserve">yes</x:t>
        </x:is>
      </x:c>
      <x:c r="J22" s="141" t="n">
        <x:v>46262</x:v>
      </x:c>
      <x:c r="K22" s="150" t="inlineStr">
        <x:is>
          <x:t xml:space="preserve">The application-owned example exists; assistive-technology review is pending.</x:t>
        </x:is>
      </x:c>
      <x:c r="L22" s="125" t="n">
        <x:v>1</x:v>
      </x:c>
      <x:c r="M22" s="125" t="n">
        <x:f>IF(OR(AND(I22="yes",H22="verified"),AND(I22="no",OR(H22="tested",H22="verified")),AND(H22="not applicable",K22&lt;&gt;"")),1,0)</x:f>
        <x:v>0</x:v>
      </x:c>
    </x:row>
    <x:row r="23" s="127" customFormat="1" ht="48" customHeight="1">
      <x:c r="A23" s="125" t="inlineStr">
        <x:is>
          <x:t xml:space="preserve">ST-15</x:t>
        </x:is>
      </x:c>
      <x:c r="B23" s="125" t="inlineStr">
        <x:is>
          <x:t xml:space="preserve">Manual</x:t>
        </x:is>
      </x:c>
      <x:c r="C23" s="150" t="inlineStr">
        <x:is>
          <x:t xml:space="preserve">Status</x:t>
        </x:is>
      </x:c>
      <x:c r="D23" s="150" t="inlineStr">
        <x:is>
          <x:t xml:space="preserve">The numbered component-owned protocol passes tones, sizes, semantics, theme, reflow, device, and assistive-technology scenarios.</x:t>
        </x:is>
      </x:c>
      <x:c r="E23" s="125" t="inlineStr">
        <x:is>
          <x:t xml:space="preserve">package</x:t>
        </x:is>
      </x:c>
      <x:c r="F23" s="125" t="inlineStr">
        <x:is>
          <x:t xml:space="preserve">manual</x:t>
        </x:is>
      </x:c>
      <x:c r="G23" s="150" t="inlineStr">
        <x:is>
          <x:t xml:space="preserve">manual-tests/status.md</x:t>
        </x:is>
      </x:c>
      <x:c r="H23" s="125" t="inlineStr">
        <x:is>
          <x:t xml:space="preserve">not started</x:t>
        </x:is>
      </x:c>
      <x:c r="I23" s="125" t="inlineStr">
        <x:is>
          <x:t xml:space="preserve">yes</x:t>
        </x:is>
      </x:c>
      <x:c r="K23" s="150" t="inlineStr">
        <x:is>
          <x:t xml:space="preserve">No completed manual run is recorded.</x:t>
        </x:is>
      </x:c>
      <x:c r="L23" s="125" t="n">
        <x:v>1</x:v>
      </x:c>
      <x:c r="M23" s="125" t="n">
        <x:f>IF(OR(AND(I23="yes",H23="verified"),AND(I23="no",OR(H23="tested",H23="verified")),AND(H23="not applicable",K23&lt;&gt;"")),1,0)</x:f>
        <x:v>0</x:v>
      </x:c>
    </x:row>
    <x:row r="24" s="127" customFormat="1" ht="48" customHeight="1">
      <x:c r="A24" s="125" t="inlineStr">
        <x:is>
          <x:t xml:space="preserve">ST-16</x:t>
        </x:is>
      </x:c>
      <x:c r="B24" s="125" t="inlineStr">
        <x:is>
          <x:t xml:space="preserve">Playground</x:t>
        </x:is>
      </x:c>
      <x:c r="C24" s="150" t="inlineStr">
        <x:is>
          <x:t xml:space="preserve">Status</x:t>
        </x:is>
      </x:c>
      <x:c r="D24" s="150" t="inlineStr">
        <x:is>
          <x:t xml:space="preserve">One route exposes overview, tones, sizes, composition, semantics, theme, and stress scenarios.</x:t>
        </x:is>
      </x:c>
      <x:c r="E24" s="125" t="inlineStr">
        <x:is>
          <x:t xml:space="preserve">package</x:t>
        </x:is>
      </x:c>
      <x:c r="F24" s="125" t="inlineStr">
        <x:is>
          <x:t xml:space="preserve">playground</x:t>
        </x:is>
      </x:c>
      <x:c r="G24" s="150" t="inlineStr">
        <x:is>
          <x:t xml:space="preserve">src/components/status/StatusPage.tsx</x:t>
        </x:is>
      </x:c>
      <x:c r="H24" s="125" t="inlineStr">
        <x:is>
          <x:t xml:space="preserve">tested</x:t>
        </x:is>
      </x:c>
      <x:c r="I24" s="125" t="inlineStr">
        <x:is>
          <x:t xml:space="preserve">no</x:t>
        </x:is>
      </x:c>
      <x:c r="J24" s="141" t="n">
        <x:v>46262</x:v>
      </x:c>
      <x:c r="K24" s="150" t="n"/>
      <x:c r="L24" s="125" t="n">
        <x:v>1</x:v>
      </x:c>
      <x:c r="M24" s="125" t="n">
        <x:f>IF(OR(AND(I24="yes",H24="verified"),AND(I24="no",OR(H24="tested",H24="verified")),AND(H24="not applicable",K24&lt;&gt;"")),1,0)</x:f>
        <x:v>1</x:v>
      </x:c>
    </x:row>
    <x:row r="25" s="127" customFormat="1" ht="48" customHeight="1">
      <x:c r="A25" s="125" t="inlineStr">
        <x:is>
          <x:t xml:space="preserve">ST-17</x:t>
        </x:is>
      </x:c>
      <x:c r="B25" s="125" t="inlineStr">
        <x:is>
          <x:t xml:space="preserve">Docs</x:t>
        </x:is>
      </x:c>
      <x:c r="C25" s="150" t="inlineStr">
        <x:is>
          <x:t xml:space="preserve">Status</x:t>
        </x:is>
      </x:c>
      <x:c r="D25" s="150" t="inlineStr">
        <x:is>
          <x:t xml:space="preserve">Public use, exclusions, API, anatomy, semantics, accessibility, customization, and evidence documentation pass.</x:t>
        </x:is>
      </x:c>
      <x:c r="E25" s="125" t="inlineStr">
        <x:is>
          <x:t xml:space="preserve">package</x:t>
        </x:is>
      </x:c>
      <x:c r="F25" s="125" t="inlineStr">
        <x:is>
          <x:t xml:space="preserve">docs</x:t>
        </x:is>
      </x:c>
      <x:c r="G25" s="150" t="inlineStr">
        <x:is>
          <x:t xml:space="preserve">../docs/components/status/README.md</x:t>
        </x:is>
      </x:c>
      <x:c r="H25" s="125" t="inlineStr">
        <x:is>
          <x:t xml:space="preserve">tested</x:t>
        </x:is>
      </x:c>
      <x:c r="I25" s="125" t="inlineStr">
        <x:is>
          <x:t xml:space="preserve">no</x:t>
        </x:is>
      </x:c>
      <x:c r="J25" s="141" t="n">
        <x:v>46262</x:v>
      </x:c>
      <x:c r="K25" s="150" t="n"/>
      <x:c r="L25" s="125" t="n">
        <x:v>1</x:v>
      </x:c>
      <x:c r="M25" s="125" t="n">
        <x:f>IF(OR(AND(I25="yes",H25="verified"),AND(I25="no",OR(H25="tested",H25="verified")),AND(H25="not applicable",K25&lt;&gt;"")),1,0)</x:f>
        <x:v>1</x:v>
      </x:c>
    </x:row>
    <x:row r="26" s="127" customFormat="1" ht="48" customHeight="1">
      <x:c r="A26" s="125" t="inlineStr">
        <x:is>
          <x:t xml:space="preserve">ST-18</x:t>
        </x:is>
      </x:c>
      <x:c r="B26" s="125" t="inlineStr">
        <x:is>
          <x:t xml:space="preserve">Agent Knowledge</x:t>
        </x:is>
      </x:c>
      <x:c r="C26" s="150" t="inlineStr">
        <x:is>
          <x:t xml:space="preserve">Status</x:t>
        </x:is>
      </x:c>
      <x:c r="D26" s="150" t="inlineStr">
        <x:is>
          <x:t xml:space="preserve">Machine-readable guidance distinguishes passive state text from Badge, Progress, Alert, Avatar presence, and live regions.</x:t>
        </x:is>
      </x:c>
      <x:c r="E26" s="125" t="inlineStr">
        <x:is>
          <x:t xml:space="preserve">package</x:t>
        </x:is>
      </x:c>
      <x:c r="F26" s="125" t="inlineStr">
        <x:is>
          <x:t xml:space="preserve">docs</x:t>
        </x:is>
      </x:c>
      <x:c r="G26" s="150" t="inlineStr">
        <x:is>
          <x:t xml:space="preserve">../src/components/status/agent.json; ../src/components/status/agent.md</x:t>
        </x:is>
      </x:c>
      <x:c r="H26" s="125" t="inlineStr">
        <x:is>
          <x:t xml:space="preserve">tested</x:t>
        </x:is>
      </x:c>
      <x:c r="I26" s="125" t="inlineStr">
        <x:is>
          <x:t xml:space="preserve">no</x:t>
        </x:is>
      </x:c>
      <x:c r="J26" s="141" t="n">
        <x:v>46262</x:v>
      </x:c>
      <x:c r="K26" s="150" t="n"/>
      <x:c r="L26" s="125" t="n">
        <x:v>1</x:v>
      </x:c>
      <x:c r="M26" s="125" t="n">
        <x:f>IF(OR(AND(I26="yes",H26="verified"),AND(I26="no",OR(H26="tested",H26="verified")),AND(H26="not applicable",K26&lt;&gt;"")),1,0)</x:f>
        <x:v>1</x:v>
      </x:c>
    </x:row>
    <x:row r="27" s="127" customFormat="1" ht="48" customHeight="1">
      <x:c r="A27" s="125" t="inlineStr">
        <x:is>
          <x:t xml:space="preserve">ST-19</x:t>
        </x:is>
      </x:c>
      <x:c r="B27" s="125" t="inlineStr">
        <x:is>
          <x:t xml:space="preserve">Consumer</x:t>
        </x:is>
      </x:c>
      <x:c r="C27" s="150" t="inlineStr">
        <x:is>
          <x:t xml:space="preserve">Status</x:t>
        </x:is>
      </x:c>
      <x:c r="D27" s="150" t="inlineStr">
        <x:is>
          <x:t xml:space="preserve">The packed standalone Consumer imports the public status subpath in a realistic passive state composition.</x:t>
        </x:is>
      </x:c>
      <x:c r="E27" s="125" t="inlineStr">
        <x:is>
          <x:t xml:space="preserve">consumer</x:t>
        </x:is>
      </x:c>
      <x:c r="F27" s="125" t="inlineStr">
        <x:is>
          <x:t xml:space="preserve">consumer</x:t>
        </x:is>
      </x:c>
      <x:c r="G27" s="150" t="inlineStr">
        <x:is>
          <x:t xml:space="preserve">../apps/consumer/src/App.tsx; ../apps/consumer/tests/consumer.spec.ts</x:t>
        </x:is>
      </x:c>
      <x:c r="H27" s="125" t="inlineStr">
        <x:is>
          <x:t xml:space="preserve">not started</x:t>
        </x:is>
      </x:c>
      <x:c r="I27" s="125" t="inlineStr">
        <x:is>
          <x:t xml:space="preserve">no</x:t>
        </x:is>
      </x:c>
      <x:c r="K27" s="150" t="inlineStr">
        <x:is>
          <x:t xml:space="preserve">No Status Consumer composition or assertion exists yet.</x:t>
        </x:is>
      </x:c>
      <x:c r="L27" s="125" t="n">
        <x:v>1</x:v>
      </x:c>
      <x:c r="M27" s="125" t="n">
        <x:f>IF(OR(AND(I27="yes",H27="verified"),AND(I27="no",OR(H27="tested",H27="verified")),AND(H27="not applicable",K27&lt;&gt;"")),1,0)</x:f>
        <x:v>0</x:v>
      </x:c>
    </x:row>
    <x:row r="28" s="127" customFormat="1" ht="48" customHeight="1">
      <x:c r="A28" s="125" t="inlineStr">
        <x:is>
          <x:t xml:space="preserve">ST-20</x:t>
        </x:is>
      </x:c>
      <x:c r="B28" s="125" t="inlineStr">
        <x:is>
          <x:t xml:space="preserve">Package</x:t>
        </x:is>
      </x:c>
      <x:c r="C28" s="150" t="inlineStr">
        <x:is>
          <x:t xml:space="preserve">Status</x:t>
        </x:is>
      </x:c>
      <x:c r="D28" s="150" t="inlineStr">
        <x:is>
          <x:t xml:space="preserve">Build, exports, CSS, tarball, component tests, and repository verification pass.</x:t>
        </x:is>
      </x:c>
      <x:c r="E28" s="125" t="inlineStr">
        <x:is>
          <x:t xml:space="preserve">package</x:t>
        </x:is>
      </x:c>
      <x:c r="F28" s="125" t="inlineStr">
        <x:is>
          <x:t xml:space="preserve">package</x:t>
        </x:is>
      </x:c>
      <x:c r="G28" s="150" t="inlineStr">
        <x:is>
          <x:t xml:space="preserve">../scripts/verify-package.mjs; ../scripts/verify-consumers.mjs</x:t>
        </x:is>
      </x:c>
      <x:c r="H28" s="125" t="inlineStr">
        <x:is>
          <x:t xml:space="preserve">blocked</x:t>
        </x:is>
      </x:c>
      <x:c r="I28" s="125" t="inlineStr">
        <x:is>
          <x:t xml:space="preserve">no</x:t>
        </x:is>
      </x:c>
      <x:c r="J28" s="141" t="n">
        <x:v>46262</x:v>
      </x:c>
      <x:c r="K28" s="150" t="inlineStr">
        <x:is>
          <x:t xml:space="preserve">Clean Consumer verification cannot install unpublished @flowstack-ui/atom 0.23.1 from the public registry.</x:t>
        </x:is>
      </x:c>
      <x:c r="L28" s="125" t="n">
        <x:v>1</x:v>
      </x:c>
      <x:c r="M28" s="125" t="n">
        <x:f>IF(OR(AND(I28="yes",H28="verified"),AND(I28="no",OR(H28="tested",H28="verified")),AND(H28="not applicable",K28&lt;&gt;"")),1,0)</x:f>
        <x:v>0</x:v>
      </x:c>
    </x:row>
  </x:sheetData>
  <x:mergeCells>
    <x:mergeCell ref="A2:M2"/>
    <x:mergeCell ref="A1:M1"/>
  </x:mergeCells>
  <x:conditionalFormatting sqref="H9:H28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0" showDropDown="0" showInputMessage="0" showErrorMessage="0" sqref="H9:H28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28">
      <x:formula1>"yes,no"</x:formula1>
      <x:formula2>0</x:formula2>
    </x:dataValidation>
  </x:dataValidations>
  <x:pageMargins left="0.7" right="0.7" top="0.75" bottom="0.75" header="0.3" footer="0.3"/>
</x:worksheet>
</file>

<file path=xl/worksheets/sheet92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5" customWidth="1"/>
    <x:col min="2" max="2" width="15.710000038146973" style="125" customWidth="1"/>
    <x:col min="3" max="3" width="18.709999084472656" style="125" customWidth="1"/>
    <x:col min="4" max="4" width="58.709999084472656" style="125" customWidth="1"/>
    <x:col min="5" max="6" width="14.710000038146973" style="125" customWidth="1"/>
    <x:col min="7" max="7" width="50.709999084472656" style="125" customWidth="1"/>
    <x:col min="8" max="8" width="17.709999084472656" style="125" customWidth="1"/>
    <x:col min="9" max="9" width="14.710000038146973" style="125" customWidth="1"/>
    <x:col min="10" max="10" width="14.710000038146973" style="141" customWidth="1"/>
    <x:col min="11" max="11" width="42.709999084472656" style="125" customWidth="1"/>
    <x:col min="12" max="13" width="10.710000038146973" style="125" customWidth="1"/>
  </x:cols>
  <x:sheetData>
    <x:row r="1" s="127" customFormat="1" ht="37.5" customHeight="1">
      <x:c r="A1" s="128" t="inlineStr">
        <x:is>
          <x:t xml:space="preserve">Color Picker Evidence</x:t>
        </x:is>
      </x:c>
    </x:row>
    <x:row r="2" s="127" customFormat="1" ht="27.75" customHeight="1">
      <x:c r="A2" s="129" t="inlineStr">
        <x:is>
          <x:t xml:space="preserve">Assertion-level Atom-backed anatomy, value, form, Popover, CSS, browser, accessibility, documentation, Agent Knowledge, Consumer, and package evidence.</x:t>
        </x:is>
      </x:c>
    </x:row>
    <x:row r="3"/>
    <x:row r="4" s="127" customFormat="1" ht="17.25" customHeight="1">
      <x:c r="A4" s="130" t="inlineStr">
        <x:is>
          <x:t xml:space="preserve">Requirements</x:t>
        </x:is>
      </x:c>
      <x:c r="B4" s="131" t="n">
        <x:f>COUNTA(A9:A29)</x:f>
        <x:v>21</x:v>
      </x:c>
      <x:c r="D4" s="130" t="inlineStr">
        <x:is>
          <x:t xml:space="preserve">Resolved</x:t>
        </x:is>
      </x:c>
      <x:c r="E4" s="131" t="n">
        <x:f>SUM(M9:M29)</x:f>
        <x:v>19</x:v>
      </x:c>
      <x:c r="G4" s="130" t="inlineStr">
        <x:is>
          <x:t xml:space="preserve">Completion</x:t>
        </x:is>
      </x:c>
      <x:c r="H4" s="173" t="n">
        <x:f>IF(B4=0,0,E4/B4)</x:f>
        <x:v>0.9047619047619048</x:v>
      </x:c>
      <x:c r="J4" s="130" t="inlineStr">
        <x:is>
          <x:t xml:space="preserve">Package gate</x:t>
        </x:is>
      </x:c>
      <x:c r="K4" s="131" t="str">
        <x:f>IF(COUNTIFS(E9:E29,"package",M9:M29,0)&gt;0,"open","complete")</x:f>
        <x:v>open</x:v>
      </x:c>
    </x:row>
    <x:row r="5" s="127" customFormat="1" ht="17.25" customHeight="1">
      <x:c r="A5" s="130" t="inlineStr">
        <x:is>
          <x:t xml:space="preserve">Manual review</x:t>
        </x:is>
      </x:c>
      <x:c r="B5" s="131" t="str">
        <x:f>IF(COUNTIFS(I9:I29,"yes",M9:M29,0)&gt;0,"open","complete")</x:f>
        <x:v>open</x:v>
      </x:c>
      <x:c r="D5" s="130" t="inlineStr">
        <x:is>
          <x:t xml:space="preserve">Consumer gate</x:t>
        </x:is>
      </x:c>
      <x:c r="E5" s="131" t="str">
        <x:f>IF(COUNTIFS(E9:E29,"consumer",M9:M29,0)&gt;0,"open","complete")</x:f>
        <x:v>complete</x:v>
      </x:c>
    </x:row>
    <x:row r="6"/>
    <x:row r="7"/>
    <x:row r="8" s="127" customFormat="1" ht="15" customHeight="1">
      <x:c r="A8" s="125" t="inlineStr">
        <x:is>
          <x:t xml:space="preserve">ID</x:t>
        </x:is>
      </x:c>
      <x:c r="B8" s="125" t="inlineStr">
        <x:is>
          <x:t xml:space="preserve">Area</x:t>
        </x:is>
      </x:c>
      <x:c r="C8" s="125" t="inlineStr">
        <x:is>
          <x:t xml:space="preserve">Part</x:t>
        </x:is>
      </x:c>
      <x:c r="D8" s="125" t="inlineStr">
        <x:is>
          <x:t xml:space="preserve">Requirement</x:t>
        </x:is>
      </x:c>
      <x:c r="E8" s="125" t="inlineStr">
        <x:is>
          <x:t xml:space="preserve">Gate</x:t>
        </x:is>
      </x:c>
      <x:c r="F8" s="125" t="inlineStr">
        <x:is>
          <x:t xml:space="preserve">Evidence type</x:t>
        </x:is>
      </x:c>
      <x:c r="G8" s="125" t="inlineStr">
        <x:is>
          <x:t xml:space="preserve">Evidence / link</x:t>
        </x:is>
      </x:c>
      <x:c r="H8" s="125" t="inlineStr">
        <x:is>
          <x:t xml:space="preserve">Status</x:t>
        </x:is>
      </x:c>
      <x:c r="I8" s="125" t="inlineStr">
        <x:is>
          <x:t xml:space="preserve">Human review?</x:t>
        </x:is>
      </x:c>
      <x:c r="J8" s="141" t="inlineStr">
        <x:is>
          <x:t xml:space="preserve">Last verified</x:t>
        </x:is>
      </x:c>
      <x:c r="K8" s="125" t="inlineStr">
        <x:is>
          <x:t xml:space="preserve">Blocker / N/A reason</x:t>
        </x:is>
      </x:c>
      <x:c r="L8" s="125" t="inlineStr">
        <x:is>
          <x:t xml:space="preserve">Weight</x:t>
        </x:is>
      </x:c>
      <x:c r="M8" s="125" t="inlineStr">
        <x:is>
          <x:t xml:space="preserve">Resolved</x:t>
        </x:is>
      </x:c>
    </x:row>
    <x:row r="9" s="127" customFormat="1" ht="42" customHeight="1">
      <x:c r="A9" s="125" t="inlineStr">
        <x:is>
          <x:t xml:space="preserve">CP-01</x:t>
        </x:is>
      </x:c>
      <x:c r="B9" s="125" t="inlineStr">
        <x:is>
          <x:t xml:space="preserve">Implementation</x:t>
        </x:is>
      </x:c>
      <x:c r="C9" s="125" t="inlineStr">
        <x:is>
          <x:t xml:space="preserve">All parts</x:t>
        </x:is>
      </x:c>
      <x:c r="D9" s="125" t="inlineStr">
        <x:is>
          <x:t xml:space="preserve">Atom 0.26.1 local controller owns color and overlay behavior. Brick owns visual recipes and shortcuts.</x:t>
        </x:is>
      </x:c>
      <x:c r="E9" s="125" t="inlineStr">
        <x:is>
          <x:t xml:space="preserve">package</x:t>
        </x:is>
      </x:c>
      <x:c r="F9" s="125" t="inlineStr">
        <x:is>
          <x:t xml:space="preserve">source</x:t>
        </x:is>
      </x:c>
      <x:c r="G9" s="125" t="inlineStr">
        <x:is>
          <x:t xml:space="preserve">../src/components/color-picker</x:t>
        </x:is>
      </x:c>
      <x:c r="H9" s="125" t="inlineStr">
        <x:is>
          <x:t xml:space="preserve">tested</x:t>
        </x:is>
      </x:c>
      <x:c r="I9" s="125" t="inlineStr">
        <x:is>
          <x:t xml:space="preserve">no</x:t>
        </x:is>
      </x:c>
      <x:c r="J9" s="180" t="n">
        <x:v>46265</x:v>
      </x:c>
      <x:c r="K9" s="125" t="inlineStr">
        <x:is>
          <x:t xml:space="preserve">Unpublished local candidate; release qualification remains separate.</x:t>
        </x:is>
      </x:c>
      <x:c r="L9" s="125" t="n">
        <x:v>1</x:v>
      </x:c>
      <x:c r="M9" s="125" t="n">
        <x:f>IF(OR(AND(I9="yes",H9="verified"),AND(I9="no",OR(H9="tested",H9="verified")),AND(H9="not applicable",K9&lt;&gt;"")),1,0)</x:f>
        <x:v>1</x:v>
      </x:c>
    </x:row>
    <x:row r="10" s="127" customFormat="1" ht="42" customHeight="1">
      <x:c r="A10" s="125" t="inlineStr">
        <x:is>
          <x:t xml:space="preserve">CP-02</x:t>
        </x:is>
      </x:c>
      <x:c r="B10" s="125" t="inlineStr">
        <x:is>
          <x:t xml:space="preserve">Anatomy</x:t>
        </x:is>
      </x:c>
      <x:c r="C10" s="125" t="inlineStr">
        <x:is>
          <x:t xml:space="preserve">All parts</x:t>
        </x:is>
      </x:c>
      <x:c r="D10" s="125" t="inlineStr">
        <x:is>
          <x:t xml:space="preserve">Default anatomy, external controller, channel helpers, lifecycle and per-part docs with matching source examples.</x:t>
        </x:is>
      </x:c>
      <x:c r="E10" s="125" t="inlineStr">
        <x:is>
          <x:t xml:space="preserve">package</x:t>
        </x:is>
      </x:c>
      <x:c r="F10" s="125" t="inlineStr">
        <x:is>
          <x:t xml:space="preserve">component</x:t>
        </x:is>
      </x:c>
      <x:c r="G10" s="125" t="inlineStr">
        <x:is>
          <x:t xml:space="preserve">../test/components/color-picker/color-picker.test.tsx</x:t>
        </x:is>
      </x:c>
      <x:c r="H10" s="125" t="inlineStr">
        <x:is>
          <x:t xml:space="preserve">tested</x:t>
        </x:is>
      </x:c>
      <x:c r="I10" s="125" t="inlineStr">
        <x:is>
          <x:t xml:space="preserve">no</x:t>
        </x:is>
      </x:c>
      <x:c r="J10" s="180" t="n">
        <x:v>46265</x:v>
      </x:c>
      <x:c r="K10" s="138" t="n"/>
      <x:c r="L10" s="125" t="n">
        <x:v>1</x:v>
      </x:c>
      <x:c r="M10" s="125" t="n">
        <x:f>IF(OR(AND(I10="yes",H10="verified"),AND(I10="no",OR(H10="tested",H10="verified")),AND(H10="not applicable",K10&lt;&gt;"")),1,0)</x:f>
        <x:v>1</x:v>
      </x:c>
    </x:row>
    <x:row r="11" s="127" customFormat="1" ht="42" customHeight="1">
      <x:c r="A11" s="125" t="inlineStr">
        <x:is>
          <x:t xml:space="preserve">CP-03</x:t>
        </x:is>
      </x:c>
      <x:c r="B11" s="125" t="inlineStr">
        <x:is>
          <x:t xml:space="preserve">Exports</x:t>
        </x:is>
      </x:c>
      <x:c r="C11" s="125" t="inlineStr">
        <x:is>
          <x:t xml:space="preserve">ColorPicker</x:t>
        </x:is>
      </x:c>
      <x:c r="D11" s="125" t="inlineStr">
        <x:is>
          <x:t xml:space="preserve">Root and color-picker subpath exports expose the namespace, every styled part, public props, and closed recipe types.</x:t>
        </x:is>
      </x:c>
      <x:c r="E11" s="125" t="inlineStr">
        <x:is>
          <x:t xml:space="preserve">package</x:t>
        </x:is>
      </x:c>
      <x:c r="F11" s="125" t="inlineStr">
        <x:is>
          <x:t xml:space="preserve">package</x:t>
        </x:is>
      </x:c>
      <x:c r="G11" s="125" t="inlineStr">
        <x:is>
          <x:t xml:space="preserve">../test/package/package.test.mjs; ../test/package/ssr.test.mjs</x:t>
        </x:is>
      </x:c>
      <x:c r="H11" s="125" t="inlineStr">
        <x:is>
          <x:t xml:space="preserve">tested</x:t>
        </x:is>
      </x:c>
      <x:c r="I11" s="125" t="inlineStr">
        <x:is>
          <x:t xml:space="preserve">no</x:t>
        </x:is>
      </x:c>
      <x:c r="J11" s="180" t="n">
        <x:v>46265</x:v>
      </x:c>
      <x:c r="K11" s="138" t="n"/>
      <x:c r="L11" s="125" t="n">
        <x:v>1</x:v>
      </x:c>
      <x:c r="M11" s="125" t="n">
        <x:f>IF(OR(AND(I11="yes",H11="verified"),AND(I11="no",OR(H11="tested",H11="verified")),AND(H11="not applicable",K11&lt;&gt;"")),1,0)</x:f>
        <x:v>1</x:v>
      </x:c>
    </x:row>
    <x:row r="12" s="127" customFormat="1" ht="42" customHeight="1">
      <x:c r="A12" s="125" t="inlineStr">
        <x:is>
          <x:t xml:space="preserve">CP-04</x:t>
        </x:is>
      </x:c>
      <x:c r="B12" s="125" t="inlineStr">
        <x:is>
          <x:t xml:space="preserve">Types</x:t>
        </x:is>
      </x:c>
      <x:c r="C12" s="125" t="inlineStr">
        <x:is>
          <x:t xml:space="preserve">Root / parts</x:t>
        </x:is>
      </x:c>
      <x:c r="D12" s="125" t="inlineStr">
        <x:is>
          <x:t xml:space="preserve">Popup positioning, formats, channels, values, callbacks, refs, sizes, variants, and invalid cases type-check.</x:t>
        </x:is>
      </x:c>
      <x:c r="E12" s="125" t="inlineStr">
        <x:is>
          <x:t xml:space="preserve">package</x:t>
        </x:is>
      </x:c>
      <x:c r="F12" s="125" t="inlineStr">
        <x:is>
          <x:t xml:space="preserve">types</x:t>
        </x:is>
      </x:c>
      <x:c r="G12" s="125" t="inlineStr">
        <x:is>
          <x:t xml:space="preserve">../test/types/components/color-picker.test.ts</x:t>
        </x:is>
      </x:c>
      <x:c r="H12" s="125" t="inlineStr">
        <x:is>
          <x:t xml:space="preserve">tested</x:t>
        </x:is>
      </x:c>
      <x:c r="I12" s="125" t="inlineStr">
        <x:is>
          <x:t xml:space="preserve">no</x:t>
        </x:is>
      </x:c>
      <x:c r="J12" s="180" t="n">
        <x:v>46265</x:v>
      </x:c>
      <x:c r="K12" s="138" t="n"/>
      <x:c r="L12" s="125" t="n">
        <x:v>1</x:v>
      </x:c>
      <x:c r="M12" s="125" t="n">
        <x:f>IF(OR(AND(I12="yes",H12="verified"),AND(I12="no",OR(H12="tested",H12="verified")),AND(H12="not applicable",K12&lt;&gt;"")),1,0)</x:f>
        <x:v>1</x:v>
      </x:c>
    </x:row>
    <x:row r="13" s="127" customFormat="1" ht="42" customHeight="1">
      <x:c r="A13" s="125" t="inlineStr">
        <x:is>
          <x:t xml:space="preserve">CP-05</x:t>
        </x:is>
      </x:c>
      <x:c r="B13" s="125" t="inlineStr">
        <x:is>
          <x:t xml:space="preserve">CSS</x:t>
        </x:is>
      </x:c>
      <x:c r="C13" s="125" t="inlineStr">
        <x:is>
          <x:t xml:space="preserve">All styled parts</x:t>
        </x:is>
      </x:c>
      <x:c r="D13" s="125" t="inlineStr">
        <x:is>
          <x:t xml:space="preserve">Finished CSS ships control, popup, area-gradient, channel, alpha, format, preset, focus, state, forced-color, reduced-motion, and narrow containment recipes.</x:t>
        </x:is>
      </x:c>
      <x:c r="E13" s="125" t="inlineStr">
        <x:is>
          <x:t xml:space="preserve">package</x:t>
        </x:is>
      </x:c>
      <x:c r="F13" s="125" t="inlineStr">
        <x:is>
          <x:t xml:space="preserve">css</x:t>
        </x:is>
      </x:c>
      <x:c r="G13" s="125" t="inlineStr">
        <x:is>
          <x:t xml:space="preserve">../src/components/color-picker/color-picker.css</x:t>
        </x:is>
      </x:c>
      <x:c r="H13" s="125" t="inlineStr">
        <x:is>
          <x:t xml:space="preserve">tested</x:t>
        </x:is>
      </x:c>
      <x:c r="I13" s="125" t="inlineStr">
        <x:is>
          <x:t xml:space="preserve">no</x:t>
        </x:is>
      </x:c>
      <x:c r="J13" s="180" t="n">
        <x:v>46265</x:v>
      </x:c>
      <x:c r="K13" s="138" t="n"/>
      <x:c r="L13" s="125" t="n">
        <x:v>1</x:v>
      </x:c>
      <x:c r="M13" s="125" t="n">
        <x:f>IF(OR(AND(I13="yes",H13="verified"),AND(I13="no",OR(H13="tested",H13="verified")),AND(H13="not applicable",K13&lt;&gt;"")),1,0)</x:f>
        <x:v>1</x:v>
      </x:c>
    </x:row>
    <x:row r="14" s="127" customFormat="1" ht="42" customHeight="1">
      <x:c r="A14" s="125" t="inlineStr">
        <x:is>
          <x:t xml:space="preserve">CP-06</x:t>
        </x:is>
      </x:c>
      <x:c r="B14" s="125" t="inlineStr">
        <x:is>
          <x:t xml:space="preserve">Value</x:t>
        </x:is>
      </x:c>
      <x:c r="C14" s="125" t="inlineStr">
        <x:is>
          <x:t xml:space="preserve">Inputs / value parts</x:t>
        </x:is>
      </x:c>
      <x:c r="D14" s="125" t="inlineStr">
        <x:is>
          <x:t xml:space="preserve">Text, channel inputs, ValueText, ValueSwatch, native chooser, and presets synchronize one Atom color value including alpha and normalized formats.</x:t>
        </x:is>
      </x:c>
      <x:c r="E14" s="125" t="inlineStr">
        <x:is>
          <x:t xml:space="preserve">package</x:t>
        </x:is>
      </x:c>
      <x:c r="F14" s="125" t="inlineStr">
        <x:is>
          <x:t xml:space="preserve">browser</x:t>
        </x:is>
      </x:c>
      <x:c r="G14" s="125" t="inlineStr">
        <x:is>
          <x:t xml:space="preserve">tests/components/color-picker/behavior.spec.ts</x:t>
        </x:is>
      </x:c>
      <x:c r="H14" s="125" t="inlineStr">
        <x:is>
          <x:t xml:space="preserve">tested</x:t>
        </x:is>
      </x:c>
      <x:c r="I14" s="125" t="inlineStr">
        <x:is>
          <x:t xml:space="preserve">no</x:t>
        </x:is>
      </x:c>
      <x:c r="J14" s="180" t="n">
        <x:v>46265</x:v>
      </x:c>
      <x:c r="K14" s="143" t="inlineStr">
        <x:is>
          <x:t xml:space="preserve">Surface checks pass in light/dark; see owner browser suite. Full owner review remains separate.</x:t>
        </x:is>
      </x:c>
      <x:c r="L14" s="125" t="n">
        <x:v>1</x:v>
      </x:c>
      <x:c r="M14" s="125" t="n">
        <x:f>IF(OR(AND(I14="yes",H14="verified"),AND(I14="no",OR(H14="tested",H14="verified")),AND(H14="not applicable",K14&lt;&gt;"")),1,0)</x:f>
        <x:v>1</x:v>
      </x:c>
    </x:row>
    <x:row r="15" s="127" customFormat="1" ht="42" customHeight="1">
      <x:c r="A15" s="125" t="inlineStr">
        <x:is>
          <x:t xml:space="preserve">CP-07</x:t>
        </x:is>
      </x:c>
      <x:c r="B15" s="125" t="inlineStr">
        <x:is>
          <x:t xml:space="preserve">Editor</x:t>
        </x:is>
      </x:c>
      <x:c r="C15" s="125" t="inlineStr">
        <x:is>
          <x:t xml:space="preserve">Area / sliders</x:t>
        </x:is>
      </x:c>
      <x:c r="D15" s="125" t="inlineStr">
        <x:is>
          <x:t xml:space="preserve">Two-dimensional area selection plus hue and alpha sliders expose pointer, touch, keyboard, labels, values, and visible thumbs without Brick-owned math.</x:t>
        </x:is>
      </x:c>
      <x:c r="E15" s="125" t="inlineStr">
        <x:is>
          <x:t xml:space="preserve">package</x:t>
        </x:is>
      </x:c>
      <x:c r="F15" s="125" t="inlineStr">
        <x:is>
          <x:t xml:space="preserve">browser</x:t>
        </x:is>
      </x:c>
      <x:c r="G15" s="125" t="inlineStr">
        <x:is>
          <x:t xml:space="preserve">tests/components/color-picker/behavior.spec.ts; tests/components/color-picker/visual.spec.ts</x:t>
        </x:is>
      </x:c>
      <x:c r="H15" s="125" t="inlineStr">
        <x:is>
          <x:t xml:space="preserve">tested</x:t>
        </x:is>
      </x:c>
      <x:c r="I15" s="125" t="inlineStr">
        <x:is>
          <x:t xml:space="preserve">no</x:t>
        </x:is>
      </x:c>
      <x:c r="J15" s="180" t="n">
        <x:v>46265</x:v>
      </x:c>
      <x:c r="K15" s="138" t="n"/>
      <x:c r="L15" s="125" t="n">
        <x:v>1</x:v>
      </x:c>
      <x:c r="M15" s="125" t="n">
        <x:f>IF(OR(AND(I15="yes",H15="verified"),AND(I15="no",OR(H15="tested",H15="verified")),AND(H15="not applicable",K15&lt;&gt;"")),1,0)</x:f>
        <x:v>1</x:v>
      </x:c>
    </x:row>
    <x:row r="16" s="127" customFormat="1" ht="42" customHeight="1">
      <x:c r="A16" s="125" t="inlineStr">
        <x:is>
          <x:t xml:space="preserve">CP-08</x:t>
        </x:is>
      </x:c>
      <x:c r="B16" s="125" t="inlineStr">
        <x:is>
          <x:t xml:space="preserve">Formats</x:t>
        </x:is>
      </x:c>
      <x:c r="C16" s="125" t="inlineStr">
        <x:is>
          <x:t xml:space="preserve">Format / View / channels</x:t>
        </x:is>
      </x:c>
      <x:c r="D16" s="125" t="inlineStr">
        <x:is>
          <x:t xml:space="preserve">RGBA, HSLA, and HSBA views expose correct channels while preserving the represented color.</x:t>
        </x:is>
      </x:c>
      <x:c r="E16" s="125" t="inlineStr">
        <x:is>
          <x:t xml:space="preserve">package</x:t>
        </x:is>
      </x:c>
      <x:c r="F16" s="125" t="inlineStr">
        <x:is>
          <x:t xml:space="preserve">browser</x:t>
        </x:is>
      </x:c>
      <x:c r="G16" s="125" t="inlineStr">
        <x:is>
          <x:t xml:space="preserve">tests/components/color-picker/behavior.spec.ts</x:t>
        </x:is>
      </x:c>
      <x:c r="H16" s="125" t="inlineStr">
        <x:is>
          <x:t xml:space="preserve">tested</x:t>
        </x:is>
      </x:c>
      <x:c r="I16" s="125" t="inlineStr">
        <x:is>
          <x:t xml:space="preserve">no</x:t>
        </x:is>
      </x:c>
      <x:c r="J16" s="180" t="n">
        <x:v>46265</x:v>
      </x:c>
      <x:c r="K16" s="138" t="n"/>
      <x:c r="L16" s="125" t="n">
        <x:v>1</x:v>
      </x:c>
      <x:c r="M16" s="125" t="n">
        <x:f>IF(OR(AND(I16="yes",H16="verified"),AND(I16="no",OR(H16="tested",H16="verified")),AND(H16="not applicable",K16&lt;&gt;"")),1,0)</x:f>
        <x:v>1</x:v>
      </x:c>
    </x:row>
    <x:row r="17" s="127" customFormat="1" ht="42" customHeight="1">
      <x:c r="A17" s="125" t="inlineStr">
        <x:is>
          <x:t xml:space="preserve">CP-09</x:t>
        </x:is>
      </x:c>
      <x:c r="B17" s="125" t="inlineStr">
        <x:is>
          <x:t xml:space="preserve">Popover</x:t>
        </x:is>
      </x:c>
      <x:c r="C17" s="125" t="inlineStr">
        <x:is>
          <x:t xml:space="preserve">Trigger / Positioner / Content</x:t>
        </x:is>
      </x:c>
      <x:c r="D17" s="125" t="inlineStr">
        <x:is>
          <x:t xml:space="preserve">Popup content opens through Positioner, dismisses with Escape, restores trigger focus, and stays viewport-contained.</x:t>
        </x:is>
      </x:c>
      <x:c r="E17" s="125" t="inlineStr">
        <x:is>
          <x:t xml:space="preserve">package</x:t>
        </x:is>
      </x:c>
      <x:c r="F17" s="125" t="inlineStr">
        <x:is>
          <x:t xml:space="preserve">browser</x:t>
        </x:is>
      </x:c>
      <x:c r="G17" s="125" t="inlineStr">
        <x:is>
          <x:t xml:space="preserve">tests/components/color-picker/behavior.spec.ts</x:t>
        </x:is>
      </x:c>
      <x:c r="H17" s="125" t="inlineStr">
        <x:is>
          <x:t xml:space="preserve">tested</x:t>
        </x:is>
      </x:c>
      <x:c r="I17" s="125" t="inlineStr">
        <x:is>
          <x:t xml:space="preserve">no</x:t>
        </x:is>
      </x:c>
      <x:c r="J17" s="180" t="n">
        <x:v>46265</x:v>
      </x:c>
      <x:c r="K17" s="138" t="n"/>
      <x:c r="L17" s="125" t="n">
        <x:v>1</x:v>
      </x:c>
      <x:c r="M17" s="125" t="n">
        <x:f>IF(OR(AND(I17="yes",H17="verified"),AND(I17="no",OR(H17="tested",H17="verified")),AND(H17="not applicable",K17&lt;&gt;"")),1,0)</x:f>
        <x:v>1</x:v>
      </x:c>
    </x:row>
    <x:row r="18" s="127" customFormat="1" ht="42" customHeight="1">
      <x:c r="A18" s="125" t="inlineStr">
        <x:is>
          <x:t xml:space="preserve">CP-10</x:t>
        </x:is>
      </x:c>
      <x:c r="B18" s="125" t="inlineStr">
        <x:is>
          <x:t xml:space="preserve">Presets</x:t>
        </x:is>
      </x:c>
      <x:c r="C18" s="125" t="inlineStr">
        <x:is>
          <x:t xml:space="preserve">Swatch parts</x:t>
        </x:is>
      </x:c>
      <x:c r="D18" s="125" t="inlineStr">
        <x:is>
          <x:t xml:space="preserve">Named presets expose checked state and a visible SwatchIndicator so selection never relies on color alone.</x:t>
        </x:is>
      </x:c>
      <x:c r="E18" s="125" t="inlineStr">
        <x:is>
          <x:t xml:space="preserve">package</x:t>
        </x:is>
      </x:c>
      <x:c r="F18" s="125" t="inlineStr">
        <x:is>
          <x:t xml:space="preserve">browser</x:t>
        </x:is>
      </x:c>
      <x:c r="G18" s="125" t="inlineStr">
        <x:is>
          <x:t xml:space="preserve">tests/components/color-picker/behavior.spec.ts</x:t>
        </x:is>
      </x:c>
      <x:c r="H18" s="125" t="inlineStr">
        <x:is>
          <x:t xml:space="preserve">tested</x:t>
        </x:is>
      </x:c>
      <x:c r="I18" s="125" t="inlineStr">
        <x:is>
          <x:t xml:space="preserve">no</x:t>
        </x:is>
      </x:c>
      <x:c r="J18" s="180" t="n">
        <x:v>46265</x:v>
      </x:c>
      <x:c r="K18" s="138" t="n"/>
      <x:c r="L18" s="125" t="n">
        <x:v>1</x:v>
      </x:c>
      <x:c r="M18" s="125" t="n">
        <x:f>IF(OR(AND(I18="yes",H18="verified"),AND(I18="no",OR(H18="tested",H18="verified")),AND(H18="not applicable",K18&lt;&gt;"")),1,0)</x:f>
        <x:v>1</x:v>
      </x:c>
    </x:row>
    <x:row r="19" s="127" customFormat="1" ht="42" customHeight="1">
      <x:c r="A19" s="125" t="inlineStr">
        <x:is>
          <x:t xml:space="preserve">CP-11</x:t>
        </x:is>
      </x:c>
      <x:c r="B19" s="125" t="inlineStr">
        <x:is>
          <x:t xml:space="preserve">Platform</x:t>
        </x:is>
      </x:c>
      <x:c r="C19" s="125" t="inlineStr">
        <x:is>
          <x:t xml:space="preserve">Native / EyeDropper</x:t>
        </x:is>
      </x:c>
      <x:c r="D19" s="125" t="inlineStr">
        <x:is>
          <x:t xml:space="preserve">NativeInput synchronizes with the editor and EyeDropper remains a named progressive enhancement rather than the only editing path.</x:t>
        </x:is>
      </x:c>
      <x:c r="E19" s="125" t="inlineStr">
        <x:is>
          <x:t xml:space="preserve">package</x:t>
        </x:is>
      </x:c>
      <x:c r="F19" s="125" t="inlineStr">
        <x:is>
          <x:t xml:space="preserve">browser</x:t>
        </x:is>
      </x:c>
      <x:c r="G19" s="125" t="inlineStr">
        <x:is>
          <x:t xml:space="preserve">tests/components/color-picker/behavior.spec.ts; manual-tests/color-picker.md</x:t>
        </x:is>
      </x:c>
      <x:c r="H19" s="125" t="inlineStr">
        <x:is>
          <x:t xml:space="preserve">tested</x:t>
        </x:is>
      </x:c>
      <x:c r="I19" s="125" t="inlineStr">
        <x:is>
          <x:t xml:space="preserve">no</x:t>
        </x:is>
      </x:c>
      <x:c r="J19" s="180" t="n">
        <x:v>46265</x:v>
      </x:c>
      <x:c r="K19" s="138" t="n"/>
      <x:c r="L19" s="125" t="n">
        <x:v>1</x:v>
      </x:c>
      <x:c r="M19" s="125" t="n">
        <x:f>IF(OR(AND(I19="yes",H19="verified"),AND(I19="no",OR(H19="tested",H19="verified")),AND(H19="not applicable",K19&lt;&gt;"")),1,0)</x:f>
        <x:v>1</x:v>
      </x:c>
    </x:row>
    <x:row r="20" s="127" customFormat="1" ht="42" customHeight="1">
      <x:c r="A20" s="125" t="inlineStr">
        <x:is>
          <x:t xml:space="preserve">CP-12</x:t>
        </x:is>
      </x:c>
      <x:c r="B20" s="125" t="inlineStr">
        <x:is>
          <x:t xml:space="preserve">Forms / states</x:t>
        </x:is>
      </x:c>
      <x:c r="C20" s="125" t="inlineStr">
        <x:is>
          <x:t xml:space="preserve">Root / HiddenInput</x:t>
        </x:is>
      </x:c>
      <x:c r="D20" s="125" t="inlineStr">
        <x:is>
          <x:t xml:space="preserve">One hidden successful control submits/resets; disabled and read-only block mutation; invalid and required remain exposed.</x:t>
        </x:is>
      </x:c>
      <x:c r="E20" s="125" t="inlineStr">
        <x:is>
          <x:t xml:space="preserve">package</x:t>
        </x:is>
      </x:c>
      <x:c r="F20" s="125" t="inlineStr">
        <x:is>
          <x:t xml:space="preserve">browser</x:t>
        </x:is>
      </x:c>
      <x:c r="G20" s="125" t="inlineStr">
        <x:is>
          <x:t xml:space="preserve">tests/components/color-picker/behavior.spec.ts; ../test/components/color-picker/color-picker.test.tsx</x:t>
        </x:is>
      </x:c>
      <x:c r="H20" s="125" t="inlineStr">
        <x:is>
          <x:t xml:space="preserve">tested</x:t>
        </x:is>
      </x:c>
      <x:c r="I20" s="125" t="inlineStr">
        <x:is>
          <x:t xml:space="preserve">no</x:t>
        </x:is>
      </x:c>
      <x:c r="J20" s="180" t="n">
        <x:v>46265</x:v>
      </x:c>
      <x:c r="K20" s="125" t="n"/>
      <x:c r="L20" s="125" t="n">
        <x:v>1</x:v>
      </x:c>
      <x:c r="M20" s="125" t="n">
        <x:f>IF(OR(AND(I20="yes",H20="verified"),AND(I20="no",OR(H20="tested",H20="verified")),AND(H20="not applicable",K20&lt;&gt;"")),1,0)</x:f>
        <x:v>1</x:v>
      </x:c>
    </x:row>
    <x:row r="21" s="127" customFormat="1" ht="42" customHeight="1">
      <x:c r="A21" s="125" t="inlineStr">
        <x:is>
          <x:t xml:space="preserve">CP-13</x:t>
        </x:is>
      </x:c>
      <x:c r="B21" s="125" t="inlineStr">
        <x:is>
          <x:t xml:space="preserve">Accessibility</x:t>
        </x:is>
      </x:c>
      <x:c r="C21" s="125" t="inlineStr">
        <x:is>
          <x:t xml:space="preserve">All parts</x:t>
        </x:is>
      </x:c>
      <x:c r="D21" s="125" t="inlineStr">
        <x:is>
          <x:t xml:space="preserve">Named controls, native semantics, focus restoration, non-color selection, and the focused route pass automated accessibility checks.</x:t>
        </x:is>
      </x:c>
      <x:c r="E21" s="125" t="inlineStr">
        <x:is>
          <x:t xml:space="preserve">package</x:t>
        </x:is>
      </x:c>
      <x:c r="F21" s="125" t="inlineStr">
        <x:is>
          <x:t xml:space="preserve">axe</x:t>
        </x:is>
      </x:c>
      <x:c r="G21" s="125" t="inlineStr">
        <x:is>
          <x:t xml:space="preserve">tests/components/color-picker/behavior.spec.ts</x:t>
        </x:is>
      </x:c>
      <x:c r="H21" s="125" t="inlineStr">
        <x:is>
          <x:t xml:space="preserve">tested</x:t>
        </x:is>
      </x:c>
      <x:c r="I21" s="125" t="inlineStr">
        <x:is>
          <x:t xml:space="preserve">no</x:t>
        </x:is>
      </x:c>
      <x:c r="J21" s="180" t="n">
        <x:v>46265</x:v>
      </x:c>
      <x:c r="K21" s="125" t="n"/>
      <x:c r="L21" s="125" t="n">
        <x:v>1</x:v>
      </x:c>
      <x:c r="M21" s="125" t="n">
        <x:f>IF(OR(AND(I21="yes",H21="verified"),AND(I21="no",OR(H21="tested",H21="verified")),AND(H21="not applicable",K21&lt;&gt;"")),1,0)</x:f>
        <x:v>1</x:v>
      </x:c>
    </x:row>
    <x:row r="22" s="127" customFormat="1" ht="42" customHeight="1">
      <x:c r="A22" s="125" t="inlineStr">
        <x:is>
          <x:t xml:space="preserve">CP-14</x:t>
        </x:is>
      </x:c>
      <x:c r="B22" s="125" t="inlineStr">
        <x:is>
          <x:t xml:space="preserve">Responsive</x:t>
        </x:is>
      </x:c>
      <x:c r="C22" s="125" t="inlineStr">
        <x:is>
          <x:t xml:space="preserve">Root / Content</x:t>
        </x:is>
      </x:c>
      <x:c r="D22" s="125" t="inlineStr">
        <x:is>
          <x:t xml:space="preserve">Seven responsive sizes, including shrinking recipes; subtle fill and token radius.</x:t>
        </x:is>
      </x:c>
      <x:c r="E22" s="125" t="inlineStr">
        <x:is>
          <x:t xml:space="preserve">package</x:t>
        </x:is>
      </x:c>
      <x:c r="F22" s="125" t="inlineStr">
        <x:is>
          <x:t xml:space="preserve">browser</x:t>
        </x:is>
      </x:c>
      <x:c r="G22" s="125" t="inlineStr">
        <x:is>
          <x:t xml:space="preserve">tests/components/color-picker/docs.spec.ts</x:t>
        </x:is>
      </x:c>
      <x:c r="H22" s="125" t="inlineStr">
        <x:is>
          <x:t xml:space="preserve">tested</x:t>
        </x:is>
      </x:c>
      <x:c r="I22" s="125" t="inlineStr">
        <x:is>
          <x:t xml:space="preserve">no</x:t>
        </x:is>
      </x:c>
      <x:c r="J22" s="180" t="n">
        <x:v>46265</x:v>
      </x:c>
      <x:c r="K22" s="138" t="n"/>
      <x:c r="L22" s="125" t="n">
        <x:v>1</x:v>
      </x:c>
      <x:c r="M22" s="125" t="n">
        <x:f>IF(OR(AND(I22="yes",H22="verified"),AND(I22="no",OR(H22="tested",H22="verified")),AND(H22="not applicable",K22&lt;&gt;"")),1,0)</x:f>
        <x:v>1</x:v>
      </x:c>
    </x:row>
    <x:row r="23" s="127" customFormat="1" ht="42" customHeight="1">
      <x:c r="A23" s="125" t="inlineStr">
        <x:is>
          <x:t xml:space="preserve">CP-15</x:t>
        </x:is>
      </x:c>
      <x:c r="B23" s="125" t="inlineStr">
        <x:is>
          <x:t xml:space="preserve">Appearance</x:t>
        </x:is>
      </x:c>
      <x:c r="C23" s="125" t="inlineStr">
        <x:is>
          <x:t xml:space="preserve">All styled parts</x:t>
        </x:is>
      </x:c>
      <x:c r="D23" s="125" t="inlineStr">
        <x:is>
          <x:t xml:space="preserve">Light, dark, forced-color, area gradient, tracks, thumb, popup, selected, invalid, and focus paint remain distinguishable.</x:t>
        </x:is>
      </x:c>
      <x:c r="E23" s="125" t="inlineStr">
        <x:is>
          <x:t xml:space="preserve">package</x:t>
        </x:is>
      </x:c>
      <x:c r="F23" s="125" t="inlineStr">
        <x:is>
          <x:t xml:space="preserve">visual</x:t>
        </x:is>
      </x:c>
      <x:c r="G23" s="125" t="inlineStr">
        <x:is>
          <x:t xml:space="preserve">tests/components/color-picker/visual.spec.ts</x:t>
        </x:is>
      </x:c>
      <x:c r="H23" s="125" t="inlineStr">
        <x:is>
          <x:t xml:space="preserve">tested</x:t>
        </x:is>
      </x:c>
      <x:c r="I23" s="125" t="inlineStr">
        <x:is>
          <x:t xml:space="preserve">yes</x:t>
        </x:is>
      </x:c>
      <x:c r="J23" s="180" t="n">
        <x:v>46265</x:v>
      </x:c>
      <x:c r="K23" s="138" t="inlineStr">
        <x:is>
          <x:t xml:space="preserve">New Atom 0.26.0 baselines were generated and agent-inspected on August 31, 2026; owner review remains open.</x:t>
        </x:is>
      </x:c>
      <x:c r="L23" s="125" t="n">
        <x:v>1</x:v>
      </x:c>
      <x:c r="M23" s="125" t="n">
        <x:f>IF(OR(AND(I23="yes",H23="verified"),AND(I23="no",OR(H23="tested",H23="verified")),AND(H23="not applicable",K23&lt;&gt;"")),1,0)</x:f>
        <x:v>0</x:v>
      </x:c>
    </x:row>
    <x:row r="24" s="127" customFormat="1" ht="42" customHeight="1">
      <x:c r="A24" s="125" t="inlineStr">
        <x:is>
          <x:t xml:space="preserve">CP-16</x:t>
        </x:is>
      </x:c>
      <x:c r="B24" s="125" t="inlineStr">
        <x:is>
          <x:t xml:space="preserve">Customization</x:t>
        </x:is>
      </x:c>
      <x:c r="C24" s="125" t="inlineStr">
        <x:is>
          <x:t xml:space="preserve">Root / parts</x:t>
        </x:is>
      </x:c>
      <x:c r="D24" s="125" t="inlineStr">
        <x:is>
          <x:t xml:space="preserve">Documented recipes, classes, slots, attributes, and public properties customize the complete editor without changing Atom behavior.</x:t>
        </x:is>
      </x:c>
      <x:c r="E24" s="125" t="inlineStr">
        <x:is>
          <x:t xml:space="preserve">package</x:t>
        </x:is>
      </x:c>
      <x:c r="F24" s="125" t="inlineStr">
        <x:is>
          <x:t xml:space="preserve">docs</x:t>
        </x:is>
      </x:c>
      <x:c r="G24" s="125" t="inlineStr">
        <x:is>
          <x:t xml:space="preserve">../docs/components/color-picker/README.md; ../scripts/component-documentation-contracts.mjs</x:t>
        </x:is>
      </x:c>
      <x:c r="H24" s="125" t="inlineStr">
        <x:is>
          <x:t xml:space="preserve">tested</x:t>
        </x:is>
      </x:c>
      <x:c r="I24" s="125" t="inlineStr">
        <x:is>
          <x:t xml:space="preserve">no</x:t>
        </x:is>
      </x:c>
      <x:c r="J24" s="180" t="n">
        <x:v>46265</x:v>
      </x:c>
      <x:c r="K24" s="138" t="n"/>
      <x:c r="L24" s="125" t="n">
        <x:v>1</x:v>
      </x:c>
      <x:c r="M24" s="125" t="n">
        <x:f>IF(OR(AND(I24="yes",H24="verified"),AND(I24="no",OR(H24="tested",H24="verified")),AND(H24="not applicable",K24&lt;&gt;"")),1,0)</x:f>
        <x:v>1</x:v>
      </x:c>
    </x:row>
    <x:row r="25" s="127" customFormat="1" ht="42" customHeight="1">
      <x:c r="A25" s="125" t="inlineStr">
        <x:is>
          <x:t xml:space="preserve">CP-17</x:t>
        </x:is>
      </x:c>
      <x:c r="B25" s="125" t="inlineStr">
        <x:is>
          <x:t xml:space="preserve">Agent Knowledge</x:t>
        </x:is>
      </x:c>
      <x:c r="C25" s="125" t="inlineStr">
        <x:is>
          <x:t xml:space="preserve">ColorPicker</x:t>
        </x:is>
      </x:c>
      <x:c r="D25" s="125" t="inlineStr">
        <x:is>
          <x:t xml:space="preserve">Machine and Markdown guidance teach exact ownership, complete anatomy, popup/inline composition, forms, formats, accessibility, exclusions, and validation.</x:t>
        </x:is>
      </x:c>
      <x:c r="E25" s="125" t="inlineStr">
        <x:is>
          <x:t xml:space="preserve">package</x:t>
        </x:is>
      </x:c>
      <x:c r="F25" s="125" t="inlineStr">
        <x:is>
          <x:t xml:space="preserve">agents</x:t>
        </x:is>
      </x:c>
      <x:c r="G25" s="125" t="inlineStr">
        <x:is>
          <x:t xml:space="preserve">../src/components/color-picker/agent.json; ../agents/components/color-picker/agent.json</x:t>
        </x:is>
      </x:c>
      <x:c r="H25" s="125" t="inlineStr">
        <x:is>
          <x:t xml:space="preserve">tested</x:t>
        </x:is>
      </x:c>
      <x:c r="I25" s="125" t="inlineStr">
        <x:is>
          <x:t xml:space="preserve">no</x:t>
        </x:is>
      </x:c>
      <x:c r="J25" s="180" t="n">
        <x:v>46265</x:v>
      </x:c>
      <x:c r="K25" s="138" t="n"/>
      <x:c r="L25" s="125" t="n">
        <x:v>1</x:v>
      </x:c>
      <x:c r="M25" s="125" t="n">
        <x:f>IF(OR(AND(I25="yes",H25="verified"),AND(I25="no",OR(H25="tested",H25="verified")),AND(H25="not applicable",K25&lt;&gt;"")),1,0)</x:f>
        <x:v>1</x:v>
      </x:c>
    </x:row>
    <x:row r="26" s="127" customFormat="1" ht="42" customHeight="1">
      <x:c r="A26" s="125" t="inlineStr">
        <x:is>
          <x:t xml:space="preserve">CP-18</x:t>
        </x:is>
      </x:c>
      <x:c r="B26" s="125" t="inlineStr">
        <x:is>
          <x:t xml:space="preserve">Documentation</x:t>
        </x:is>
      </x:c>
      <x:c r="C26" s="125" t="inlineStr">
        <x:is>
          <x:t xml:space="preserve">ColorPicker</x:t>
        </x:is>
      </x:c>
      <x:c r="D26" s="125" t="inlineStr">
        <x:is>
          <x:t xml:space="preserve">Default anatomy, external controller, channel helpers, lifecycle and per-part docs with matching source examples.</x:t>
        </x:is>
      </x:c>
      <x:c r="E26" s="125" t="inlineStr">
        <x:is>
          <x:t xml:space="preserve">package</x:t>
        </x:is>
      </x:c>
      <x:c r="F26" s="125" t="inlineStr">
        <x:is>
          <x:t xml:space="preserve">docs</x:t>
        </x:is>
      </x:c>
      <x:c r="G26" s="125" t="inlineStr">
        <x:is>
          <x:t xml:space="preserve">../docs/components/color-picker/README.md</x:t>
        </x:is>
      </x:c>
      <x:c r="H26" s="125" t="inlineStr">
        <x:is>
          <x:t xml:space="preserve">tested</x:t>
        </x:is>
      </x:c>
      <x:c r="I26" s="125" t="inlineStr">
        <x:is>
          <x:t xml:space="preserve">no</x:t>
        </x:is>
      </x:c>
      <x:c r="J26" s="180" t="n">
        <x:v>46265</x:v>
      </x:c>
      <x:c r="K26" s="138" t="n"/>
      <x:c r="L26" s="125" t="n">
        <x:v>1</x:v>
      </x:c>
      <x:c r="M26" s="125" t="n">
        <x:f>IF(OR(AND(I26="yes",H26="verified"),AND(I26="no",OR(H26="tested",H26="verified")),AND(H26="not applicable",K26&lt;&gt;"")),1,0)</x:f>
        <x:v>1</x:v>
      </x:c>
    </x:row>
    <x:row r="27" s="127" customFormat="1" ht="42" customHeight="1">
      <x:c r="A27" s="125" t="inlineStr">
        <x:is>
          <x:t xml:space="preserve">CP-19</x:t>
        </x:is>
      </x:c>
      <x:c r="B27" s="125" t="inlineStr">
        <x:is>
          <x:t xml:space="preserve">Changelog</x:t>
        </x:is>
      </x:c>
      <x:c r="C27" s="125" t="inlineStr">
        <x:is>
          <x:t xml:space="preserve">ColorPicker</x:t>
        </x:is>
      </x:c>
      <x:c r="D27" s="125" t="inlineStr">
        <x:is>
          <x:t xml:space="preserve">Component and package changelogs record the full release-facing expansion.</x:t>
        </x:is>
      </x:c>
      <x:c r="E27" s="125" t="inlineStr">
        <x:is>
          <x:t xml:space="preserve">package</x:t>
        </x:is>
      </x:c>
      <x:c r="F27" s="125" t="inlineStr">
        <x:is>
          <x:t xml:space="preserve">docs</x:t>
        </x:is>
      </x:c>
      <x:c r="G27" s="125" t="inlineStr">
        <x:is>
          <x:t xml:space="preserve">../docs/components/color-picker/CHANGELOG.md; ../CHANGELOG.md</x:t>
        </x:is>
      </x:c>
      <x:c r="H27" s="125" t="inlineStr">
        <x:is>
          <x:t xml:space="preserve">tested</x:t>
        </x:is>
      </x:c>
      <x:c r="I27" s="125" t="inlineStr">
        <x:is>
          <x:t xml:space="preserve">no</x:t>
        </x:is>
      </x:c>
      <x:c r="J27" s="180" t="n">
        <x:v>46265</x:v>
      </x:c>
      <x:c r="K27" s="125" t="n"/>
      <x:c r="L27" s="125" t="n">
        <x:v>1</x:v>
      </x:c>
      <x:c r="M27" s="125" t="n">
        <x:f>IF(OR(AND(I27="yes",H27="verified"),AND(I27="no",OR(H27="tested",H27="verified")),AND(H27="not applicable",K27&lt;&gt;"")),1,0)</x:f>
        <x:v>1</x:v>
      </x:c>
    </x:row>
    <x:row r="28" s="127" customFormat="1" ht="42" customHeight="1">
      <x:c r="A28" s="125" t="inlineStr">
        <x:is>
          <x:t xml:space="preserve">CP-20</x:t>
        </x:is>
      </x:c>
      <x:c r="B28" s="125" t="inlineStr">
        <x:is>
          <x:t xml:space="preserve">Consumer / package</x:t>
        </x:is>
      </x:c>
      <x:c r="C28" s="125" t="inlineStr">
        <x:is>
          <x:t xml:space="preserve">ColorPicker</x:t>
        </x:is>
      </x:c>
      <x:c r="D28" s="125" t="inlineStr">
        <x:is>
          <x:t xml:space="preserve">The realistic Consumer and exact packed consumers install public exports, exercise the full editor, and verify exact Atom 0.26.0 boundaries.</x:t>
        </x:is>
      </x:c>
      <x:c r="E28" s="125" t="inlineStr">
        <x:is>
          <x:t xml:space="preserve">consumer</x:t>
        </x:is>
      </x:c>
      <x:c r="F28" s="125" t="inlineStr">
        <x:is>
          <x:t xml:space="preserve">consumer</x:t>
        </x:is>
      </x:c>
      <x:c r="G28" s="125" t="inlineStr">
        <x:is>
          <x:t xml:space="preserve">../apps/consumer/src/App.tsx; ../apps/consumer/tests/consumer.spec.ts; ../scripts/verify-consumers.mjs</x:t>
        </x:is>
      </x:c>
      <x:c r="H28" s="125" t="inlineStr">
        <x:is>
          <x:t xml:space="preserve">tested</x:t>
        </x:is>
      </x:c>
      <x:c r="I28" s="125" t="inlineStr">
        <x:is>
          <x:t xml:space="preserve">no</x:t>
        </x:is>
      </x:c>
      <x:c r="J28" s="181" t="n">
        <x:v>46265</x:v>
      </x:c>
      <x:c r="K28" s="125" t="inlineStr">
        <x:is>
          <x:t xml:space="preserve">Desktop and mobile focused Consumer verification passed before release qualification.</x:t>
        </x:is>
      </x:c>
      <x:c r="L28" s="125" t="n">
        <x:v>1</x:v>
      </x:c>
      <x:c r="M28" s="125" t="n">
        <x:f>IF(OR(AND(I28="yes",H28="verified"),AND(I28="no",OR(H28="tested",H28="verified")),AND(H28="not applicable",K28&lt;&gt;"")),1,0)</x:f>
        <x:v>1</x:v>
      </x:c>
    </x:row>
    <x:row r="29" s="135" customFormat="1" ht="15" customHeight="1">
      <x:c r="A29" s="138" t="inlineStr">
        <x:is>
          <x:t xml:space="preserve">CP-21</x:t>
        </x:is>
      </x:c>
      <x:c r="B29" s="138" t="inlineStr">
        <x:is>
          <x:t xml:space="preserve">Manual</x:t>
        </x:is>
      </x:c>
      <x:c r="C29" s="138" t="inlineStr">
        <x:is>
          <x:t xml:space="preserve">All parts</x:t>
        </x:is>
      </x:c>
      <x:c r="D29" s="138" t="inlineStr">
        <x:is>
          <x:t xml:space="preserve">The numbered protocol covers visual finish, keyboard, touch, assistive technology, preferences, zoom, RTL, platform tools, forms, formats, and popup review.</x:t>
        </x:is>
      </x:c>
      <x:c r="E29" s="138" t="inlineStr">
        <x:is>
          <x:t xml:space="preserve">package</x:t>
        </x:is>
      </x:c>
      <x:c r="F29" s="138" t="inlineStr">
        <x:is>
          <x:t xml:space="preserve">manual</x:t>
        </x:is>
      </x:c>
      <x:c r="G29" s="138" t="inlineStr">
        <x:is>
          <x:t xml:space="preserve">manual-tests/color-picker.md</x:t>
        </x:is>
      </x:c>
      <x:c r="H29" s="138" t="inlineStr">
        <x:is>
          <x:t xml:space="preserve">not started</x:t>
        </x:is>
      </x:c>
      <x:c r="I29" s="138" t="inlineStr">
        <x:is>
          <x:t xml:space="preserve">yes</x:t>
        </x:is>
      </x:c>
      <x:c r="J29" s="181" t="n"/>
      <x:c r="K29" s="138" t="inlineStr">
        <x:is>
          <x:t xml:space="preserve">No completed physical-device or assistive-technology run is recorded.</x:t>
        </x:is>
      </x:c>
      <x:c r="L29" s="138" t="n">
        <x:v>1</x:v>
      </x:c>
      <x:c r="M29" s="138" t="n">
        <x:f>IF(OR(AND(I29="yes",H29="verified"),AND(I29="no",OR(H29="tested",H29="verified")),AND(H29="not applicable",K29&lt;&gt;"")),1,0)</x:f>
        <x:v>0</x:v>
      </x:c>
    </x:row>
  </x:sheetData>
  <x:mergeCells>
    <x:mergeCell ref="A2:M2"/>
    <x:mergeCell ref="A1:M1"/>
  </x:mergeCells>
  <x:conditionalFormatting sqref="H9:H28">
    <x:cfRule type="containsText" dxfId="8" priority="2" aboveAverage="0" percent="0" bottom="0" operator="containsText" text="not started" rank="0" equalAverage="0">
      <x:formula>NOT(ISERROR(SEARCH("not started",H9)))</x:formula>
    </x:cfRule>
    <x:cfRule type="containsText" dxfId="7" priority="3" aboveAverage="0" percent="0" bottom="0" operator="containsText" text="partial" rank="0" equalAverage="0">
      <x:formula>NOT(ISERROR(SEARCH("partial",H9)))</x:formula>
    </x:cfRule>
    <x:cfRule type="containsText" dxfId="6" priority="4" aboveAverage="0" percent="0" bottom="0" operator="containsText" text="implemented" rank="0" equalAverage="0">
      <x:formula>NOT(ISERROR(SEARCH("implemented",H9)))</x:formula>
    </x:cfRule>
    <x:cfRule type="containsText" dxfId="5" priority="5" aboveAverage="0" percent="0" bottom="0" operator="containsText" text="tested" rank="0" equalAverage="0">
      <x:formula>NOT(ISERROR(SEARCH("tested",H9)))</x:formula>
    </x:cfRule>
    <x:cfRule type="containsText" dxfId="4" priority="6" aboveAverage="0" percent="0" bottom="0" operator="containsText" text="verified" rank="0" equalAverage="0">
      <x:formula>NOT(ISERROR(SEARCH("verified",H9)))</x:formula>
    </x:cfRule>
    <x:cfRule type="containsText" dxfId="12" priority="7" aboveAverage="0" percent="0" bottom="0" operator="containsText" text="blocked" rank="0" equalAverage="0">
      <x:formula>NOT(ISERROR(SEARCH("blocked",H9)))</x:formula>
    </x:cfRule>
    <x:cfRule type="containsText" dxfId="8" priority="8" aboveAverage="0" percent="0" bottom="0" operator="containsText" text="not applicable" rank="0" equalAverage="0">
      <x:formula>NOT(ISERROR(SEARCH("not applicable",H9)))</x:formula>
    </x:cfRule>
  </x:conditionalFormatting>
  <x:dataValidations count="2">
    <x:dataValidation type="list" errorStyle="stop" operator="between" allowBlank="0" showDropDown="0" showInputMessage="0" showErrorMessage="0" sqref="H9:H28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28">
      <x:formula1>"yes,no"</x:formula1>
      <x:formula2>0</x:formula2>
    </x:dataValidation>
  </x:dataValidations>
  <x:pageMargins left="0.7" right="0.7" top="0.75" bottom="0.75" header="0.3" footer="0.3"/>
</x:worksheet>
</file>

<file path=xl/worksheets/sheet93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7" customWidth="1"/>
    <x:col min="2" max="2" width="15.710000038146973" style="127" customWidth="1"/>
    <x:col min="3" max="3" width="18.709999084472656" style="127" customWidth="1"/>
    <x:col min="4" max="4" width="58.709999084472656" style="127" customWidth="1"/>
    <x:col min="5" max="6" width="14.710000038146973" style="127" customWidth="1"/>
    <x:col min="7" max="7" width="50.709999084472656" style="127" customWidth="1"/>
    <x:col min="8" max="8" width="17.709999084472656" style="127" customWidth="1"/>
    <x:col min="9" max="10" width="14.710000038146973" style="127" customWidth="1"/>
    <x:col min="11" max="11" width="42.709999084472656" style="127" customWidth="1"/>
    <x:col min="12" max="13" width="10.710000038146973" style="127" customWidth="1"/>
  </x:cols>
  <x:sheetData>
    <x:row r="1" s="127" customFormat="1" ht="37.5" customHeight="1">
      <x:c r="A1" s="183" t="inlineStr">
        <x:is>
          <x:t xml:space="preserve">Em Evidence</x:t>
        </x:is>
      </x:c>
      <x:c r="B1" s="183" t="n"/>
      <x:c r="C1" s="183" t="n"/>
      <x:c r="D1" s="183" t="n"/>
      <x:c r="E1" s="183" t="n"/>
      <x:c r="F1" s="183" t="n"/>
      <x:c r="G1" s="183" t="n"/>
      <x:c r="H1" s="183" t="n"/>
      <x:c r="I1" s="183" t="n"/>
      <x:c r="J1" s="183" t="n"/>
      <x:c r="K1" s="183" t="n"/>
      <x:c r="L1" s="183" t="n"/>
      <x:c r="M1" s="183" t="n"/>
    </x:row>
    <x:row r="2" s="127" customFormat="1" ht="27.75" customHeight="1">
      <x:c r="A2" s="157" t="inlineStr">
        <x:is>
          <x:t xml:space="preserve">Assertion-level native emphasis, inheritance, browser, documentation, Consumer, and release evidence.</x:t>
        </x:is>
      </x:c>
      <x:c r="B2" s="157" t="n"/>
      <x:c r="C2" s="157" t="n"/>
      <x:c r="D2" s="157" t="n"/>
      <x:c r="E2" s="157" t="n"/>
      <x:c r="F2" s="157" t="n"/>
      <x:c r="G2" s="157" t="n"/>
      <x:c r="H2" s="157" t="n"/>
      <x:c r="I2" s="157" t="n"/>
      <x:c r="J2" s="157" t="n"/>
      <x:c r="K2" s="157" t="n"/>
      <x:c r="L2" s="157" t="n"/>
      <x:c r="M2" s="157" t="n"/>
    </x:row>
    <x:row r="3"/>
    <x:row r="4" s="127" customFormat="1" ht="17.25" customHeight="1">
      <x:c r="A4" s="157" t="inlineStr">
        <x:is>
          <x:t xml:space="preserve">Requirements</x:t>
        </x:is>
      </x:c>
      <x:c r="B4" s="184" t="n">
        <x:f>COUNTA(A9:A25)</x:f>
        <x:v>17</x:v>
      </x:c>
      <x:c r="C4" s="157" t="n"/>
      <x:c r="D4" s="157" t="inlineStr">
        <x:is>
          <x:t xml:space="preserve">Resolved</x:t>
        </x:is>
      </x:c>
      <x:c r="E4" s="184" t="n">
        <x:f>SUM(M9:M25)</x:f>
        <x:v>12</x:v>
      </x:c>
      <x:c r="F4" s="157" t="n"/>
      <x:c r="G4" s="157" t="inlineStr">
        <x:is>
          <x:t xml:space="preserve">Completion</x:t>
        </x:is>
      </x:c>
      <x:c r="H4" s="184" t="n">
        <x:f>IF(B4=0,0,E4/B4)</x:f>
        <x:v>0.7058823529411765</x:v>
      </x:c>
      <x:c r="I4" s="157" t="n"/>
      <x:c r="J4" s="157" t="inlineStr">
        <x:is>
          <x:t xml:space="preserve">Package gate</x:t>
        </x:is>
      </x:c>
      <x:c r="K4" s="184" t="str">
        <x:f>IF(COUNTIFS(E9:E25,"package",M9:M25,0)&gt;0,"open","complete")</x:f>
        <x:v>open</x:v>
      </x:c>
      <x:c r="L4" s="157" t="n"/>
      <x:c r="M4" s="157" t="n"/>
    </x:row>
    <x:row r="5" s="127" customFormat="1" ht="17.25" customHeight="1">
      <x:c r="A5" s="157" t="inlineStr">
        <x:is>
          <x:t xml:space="preserve">Manual review</x:t>
        </x:is>
      </x:c>
      <x:c r="B5" s="184" t="str">
        <x:f>IF(COUNTIFS(I9:I25,"yes",M9:M25,0)&gt;0,"open","complete")</x:f>
        <x:v>open</x:v>
      </x:c>
      <x:c r="C5" s="157" t="n"/>
      <x:c r="D5" s="157" t="inlineStr">
        <x:is>
          <x:t xml:space="preserve">Consumer gate</x:t>
        </x:is>
      </x:c>
      <x:c r="E5" s="184" t="str">
        <x:f>IF(COUNTIFS(E9:E25,"consumer",M9:M25,0)&gt;0,"open","complete")</x:f>
        <x:v>complete</x:v>
      </x:c>
      <x:c r="F5" s="157" t="n"/>
      <x:c r="G5" s="157" t="n"/>
      <x:c r="H5" s="157" t="n"/>
      <x:c r="I5" s="157" t="n"/>
      <x:c r="J5" s="157" t="n"/>
      <x:c r="K5" s="157" t="n"/>
      <x:c r="L5" s="157" t="n"/>
      <x:c r="M5" s="157" t="n"/>
    </x:row>
    <x:row r="6"/>
    <x:row r="7"/>
    <x:row r="8" s="127" customFormat="1" ht="15" customHeight="1">
      <x:c r="A8" s="159" t="inlineStr">
        <x:is>
          <x:t xml:space="preserve">ID</x:t>
        </x:is>
      </x:c>
      <x:c r="B8" s="159" t="inlineStr">
        <x:is>
          <x:t xml:space="preserve">Area</x:t>
        </x:is>
      </x:c>
      <x:c r="C8" s="159" t="inlineStr">
        <x:is>
          <x:t xml:space="preserve">Part</x:t>
        </x:is>
      </x:c>
      <x:c r="D8" s="159" t="inlineStr">
        <x:is>
          <x:t xml:space="preserve">Requirement</x:t>
        </x:is>
      </x:c>
      <x:c r="E8" s="159" t="inlineStr">
        <x:is>
          <x:t xml:space="preserve">Gate</x:t>
        </x:is>
      </x:c>
      <x:c r="F8" s="159" t="inlineStr">
        <x:is>
          <x:t xml:space="preserve">Evidence type</x:t>
        </x:is>
      </x:c>
      <x:c r="G8" s="159" t="inlineStr">
        <x:is>
          <x:t xml:space="preserve">Evidence / link</x:t>
        </x:is>
      </x:c>
      <x:c r="H8" s="159" t="inlineStr">
        <x:is>
          <x:t xml:space="preserve">Status</x:t>
        </x:is>
      </x:c>
      <x:c r="I8" s="159" t="inlineStr">
        <x:is>
          <x:t xml:space="preserve">Human review?</x:t>
        </x:is>
      </x:c>
      <x:c r="J8" s="159" t="inlineStr">
        <x:is>
          <x:t xml:space="preserve">Last verified</x:t>
        </x:is>
      </x:c>
      <x:c r="K8" s="159" t="inlineStr">
        <x:is>
          <x:t xml:space="preserve">Blocker / N/A reason</x:t>
        </x:is>
      </x:c>
      <x:c r="L8" s="159" t="inlineStr">
        <x:is>
          <x:t xml:space="preserve">Weight</x:t>
        </x:is>
      </x:c>
      <x:c r="M8" s="159" t="inlineStr">
        <x:is>
          <x:t xml:space="preserve">Resolved</x:t>
        </x:is>
      </x:c>
    </x:row>
    <x:row r="9" s="127" customFormat="1" ht="54" customHeight="1">
      <x:c r="A9" s="161" t="inlineStr">
        <x:is>
          <x:t xml:space="preserve">EM-01</x:t>
        </x:is>
      </x:c>
      <x:c r="B9" s="161" t="inlineStr">
        <x:is>
          <x:t xml:space="preserve">Implementation</x:t>
        </x:is>
      </x:c>
      <x:c r="C9" s="161" t="inlineStr">
        <x:is>
          <x:t xml:space="preserve">Em</x:t>
        </x:is>
      </x:c>
      <x:c r="D9" s="161" t="inlineStr">
        <x:is>
          <x:t xml:space="preserve">Native em output and static asChild composition; explicit data-slot with deprecated slot alias.</x:t>
        </x:is>
      </x:c>
      <x:c r="E9" s="161" t="inlineStr">
        <x:is>
          <x:t xml:space="preserve">package</x:t>
        </x:is>
      </x:c>
      <x:c r="F9" s="161" t="inlineStr">
        <x:is>
          <x:t xml:space="preserve">source</x:t>
        </x:is>
      </x:c>
      <x:c r="G9" s="161" t="inlineStr">
        <x:is>
          <x:t xml:space="preserve">../src/components/em</x:t>
        </x:is>
      </x:c>
      <x:c r="H9" s="162" t="inlineStr">
        <x:is>
          <x:t xml:space="preserve">tested</x:t>
        </x:is>
      </x:c>
      <x:c r="I9" s="161" t="inlineStr">
        <x:is>
          <x:t xml:space="preserve">no</x:t>
        </x:is>
      </x:c>
      <x:c r="J9" s="163" t="n">
        <x:v>46264</x:v>
      </x:c>
      <x:c r="K9" s="161" t="n"/>
      <x:c r="L9" s="164" t="n">
        <x:v>1</x:v>
      </x:c>
      <x:c r="M9" s="164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61" t="inlineStr">
        <x:is>
          <x:t xml:space="preserve">EM-02</x:t>
        </x:is>
      </x:c>
      <x:c r="B10" s="161" t="inlineStr">
        <x:is>
          <x:t xml:space="preserve">Ownership</x:t>
        </x:is>
      </x:c>
      <x:c r="C10" s="161" t="inlineStr">
        <x:is>
          <x:t xml:space="preserve">Em</x:t>
        </x:is>
      </x:c>
      <x:c r="D10" s="161" t="inlineStr">
        <x:is>
          <x:t xml:space="preserve">Native emphasis inherits surrounding typography and adds no unsupported variant system.</x:t>
        </x:is>
      </x:c>
      <x:c r="E10" s="161" t="inlineStr">
        <x:is>
          <x:t xml:space="preserve">package</x:t>
        </x:is>
      </x:c>
      <x:c r="F10" s="161" t="inlineStr">
        <x:is>
          <x:t xml:space="preserve">component</x:t>
        </x:is>
      </x:c>
      <x:c r="G10" s="161" t="inlineStr">
        <x:is>
          <x:t xml:space="preserve">../test/components/em/em.test.tsx; ../docs/components/em/README.md</x:t>
        </x:is>
      </x:c>
      <x:c r="H10" s="162" t="inlineStr">
        <x:is>
          <x:t xml:space="preserve">tested</x:t>
        </x:is>
      </x:c>
      <x:c r="I10" s="161" t="inlineStr">
        <x:is>
          <x:t xml:space="preserve">no</x:t>
        </x:is>
      </x:c>
      <x:c r="J10" s="163" t="n">
        <x:v>46264</x:v>
      </x:c>
      <x:c r="K10" s="161" t="n"/>
      <x:c r="L10" s="164" t="n">
        <x:v>1</x:v>
      </x:c>
      <x:c r="M10" s="164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61" t="inlineStr">
        <x:is>
          <x:t xml:space="preserve">EM-03</x:t>
        </x:is>
      </x:c>
      <x:c r="B11" s="161" t="inlineStr">
        <x:is>
          <x:t xml:space="preserve">Exports</x:t>
        </x:is>
      </x:c>
      <x:c r="C11" s="161" t="inlineStr">
        <x:is>
          <x:t xml:space="preserve">Em</x:t>
        </x:is>
      </x:c>
      <x:c r="D11" s="161" t="inlineStr">
        <x:is>
          <x:t xml:space="preserve">Root and public Em subpath exports expose the runtime and every public type.</x:t>
        </x:is>
      </x:c>
      <x:c r="E11" s="161" t="inlineStr">
        <x:is>
          <x:t xml:space="preserve">package</x:t>
        </x:is>
      </x:c>
      <x:c r="F11" s="161" t="inlineStr">
        <x:is>
          <x:t xml:space="preserve">package</x:t>
        </x:is>
      </x:c>
      <x:c r="G11" s="161" t="inlineStr">
        <x:is>
          <x:t xml:space="preserve">../test/package/package.test.mjs; ../test/package/ssr.test.mjs</x:t>
        </x:is>
      </x:c>
      <x:c r="H11" s="162" t="inlineStr">
        <x:is>
          <x:t xml:space="preserve">tested</x:t>
        </x:is>
      </x:c>
      <x:c r="I11" s="161" t="inlineStr">
        <x:is>
          <x:t xml:space="preserve">no</x:t>
        </x:is>
      </x:c>
      <x:c r="J11" s="163" t="n">
        <x:v>46264</x:v>
      </x:c>
      <x:c r="K11" s="161" t="n"/>
      <x:c r="L11" s="164" t="n">
        <x:v>1</x:v>
      </x:c>
      <x:c r="M11" s="164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61" t="inlineStr">
        <x:is>
          <x:t xml:space="preserve">EM-04</x:t>
        </x:is>
      </x:c>
      <x:c r="B12" s="161" t="inlineStr">
        <x:is>
          <x:t xml:space="preserve">Types</x:t>
        </x:is>
      </x:c>
      <x:c r="C12" s="161" t="inlineStr">
        <x:is>
          <x:t xml:space="preserve">Em</x:t>
        </x:is>
      </x:c>
      <x:c r="D12" s="161" t="inlineStr">
        <x:is>
          <x:t xml:space="preserve">Native attributes, recipes, composition branches, and ref contracts type-check.</x:t>
        </x:is>
      </x:c>
      <x:c r="E12" s="161" t="inlineStr">
        <x:is>
          <x:t xml:space="preserve">package</x:t>
        </x:is>
      </x:c>
      <x:c r="F12" s="161" t="inlineStr">
        <x:is>
          <x:t xml:space="preserve">types</x:t>
        </x:is>
      </x:c>
      <x:c r="G12" s="161" t="inlineStr">
        <x:is>
          <x:t xml:space="preserve">../test/types/components/em.test.ts</x:t>
        </x:is>
      </x:c>
      <x:c r="H12" s="162" t="inlineStr">
        <x:is>
          <x:t xml:space="preserve">tested</x:t>
        </x:is>
      </x:c>
      <x:c r="I12" s="161" t="inlineStr">
        <x:is>
          <x:t xml:space="preserve">no</x:t>
        </x:is>
      </x:c>
      <x:c r="J12" s="163" t="n">
        <x:v>46264</x:v>
      </x:c>
      <x:c r="K12" s="161" t="n"/>
      <x:c r="L12" s="164" t="n">
        <x:v>1</x:v>
      </x:c>
      <x:c r="M12" s="164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61" t="inlineStr">
        <x:is>
          <x:t xml:space="preserve">EM-05</x:t>
        </x:is>
      </x:c>
      <x:c r="B13" s="161" t="inlineStr">
        <x:is>
          <x:t xml:space="preserve">CSS</x:t>
        </x:is>
      </x:c>
      <x:c r="C13" s="161" t="inlineStr">
        <x:is>
          <x:t xml:space="preserve">Em</x:t>
        </x:is>
      </x:c>
      <x:c r="D13" s="161" t="inlineStr">
        <x:is>
          <x:t xml:space="preserve">Static CSS ships the approved recipes, tokens, states, preferences, and public hooks.</x:t>
        </x:is>
      </x:c>
      <x:c r="E13" s="161" t="inlineStr">
        <x:is>
          <x:t xml:space="preserve">package</x:t>
        </x:is>
      </x:c>
      <x:c r="F13" s="161" t="inlineStr">
        <x:is>
          <x:t xml:space="preserve">css</x:t>
        </x:is>
      </x:c>
      <x:c r="G13" s="161" t="inlineStr">
        <x:is>
          <x:t xml:space="preserve">../src/components/em/em.css</x:t>
        </x:is>
      </x:c>
      <x:c r="H13" s="162" t="inlineStr">
        <x:is>
          <x:t xml:space="preserve">tested</x:t>
        </x:is>
      </x:c>
      <x:c r="I13" s="161" t="inlineStr">
        <x:is>
          <x:t xml:space="preserve">no</x:t>
        </x:is>
      </x:c>
      <x:c r="J13" s="163" t="n">
        <x:v>46264</x:v>
      </x:c>
      <x:c r="K13" s="161" t="n"/>
      <x:c r="L13" s="164" t="n">
        <x:v>1</x:v>
      </x:c>
      <x:c r="M13" s="164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61" t="inlineStr">
        <x:is>
          <x:t xml:space="preserve">EM-06</x:t>
        </x:is>
      </x:c>
      <x:c r="B14" s="161" t="inlineStr">
        <x:is>
          <x:t xml:space="preserve">Unit</x:t>
        </x:is>
      </x:c>
      <x:c r="C14" s="161" t="inlineStr">
        <x:is>
          <x:t xml:space="preserve">Em</x:t>
        </x:is>
      </x:c>
      <x:c r="D14" s="161" t="inlineStr">
        <x:is>
          <x:t xml:space="preserve">Native em output, inherited typography, refs, classes, styles, and native forwarding pass.</x:t>
        </x:is>
      </x:c>
      <x:c r="E14" s="161" t="inlineStr">
        <x:is>
          <x:t xml:space="preserve">package</x:t>
        </x:is>
      </x:c>
      <x:c r="F14" s="161" t="inlineStr">
        <x:is>
          <x:t xml:space="preserve">component</x:t>
        </x:is>
      </x:c>
      <x:c r="G14" s="161" t="inlineStr">
        <x:is>
          <x:t xml:space="preserve">../test/components/em/em.test.tsx</x:t>
        </x:is>
      </x:c>
      <x:c r="H14" s="162" t="inlineStr">
        <x:is>
          <x:t xml:space="preserve">tested</x:t>
        </x:is>
      </x:c>
      <x:c r="I14" s="161" t="inlineStr">
        <x:is>
          <x:t xml:space="preserve">no</x:t>
        </x:is>
      </x:c>
      <x:c r="J14" s="163" t="n">
        <x:v>46264</x:v>
      </x:c>
      <x:c r="K14" s="161" t="inlineStr">
        <x:is>
          <x:t xml:space="preserve">2026-09-12: Three unit tests cover native forwarding, projection, refs and slot precedence.</x:t>
        </x:is>
      </x:c>
      <x:c r="L14" s="164" t="n">
        <x:v>1</x:v>
      </x:c>
      <x:c r="M14" s="164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61" t="inlineStr">
        <x:is>
          <x:t xml:space="preserve">EM-07</x:t>
        </x:is>
      </x:c>
      <x:c r="B15" s="161" t="inlineStr">
        <x:is>
          <x:t xml:space="preserve">Browser</x:t>
        </x:is>
      </x:c>
      <x:c r="C15" s="161" t="inlineStr">
        <x:is>
          <x:t xml:space="preserve">Em</x:t>
        </x:is>
      </x:c>
      <x:c r="D15" s="161" t="inlineStr">
        <x:is>
          <x:t xml:space="preserve">Single projected host, inherited size/weight/color/line height, source tabs and mobile containment.</x:t>
        </x:is>
      </x:c>
      <x:c r="E15" s="161" t="inlineStr">
        <x:is>
          <x:t xml:space="preserve">package</x:t>
        </x:is>
      </x:c>
      <x:c r="F15" s="161" t="inlineStr">
        <x:is>
          <x:t xml:space="preserve">browser</x:t>
        </x:is>
      </x:c>
      <x:c r="G15" s="161" t="inlineStr">
        <x:is>
          <x:t xml:space="preserve">tests/components/em/behavior.spec.ts; tests/components/em/parity.spec.ts</x:t>
        </x:is>
      </x:c>
      <x:c r="H15" s="162" t="inlineStr">
        <x:is>
          <x:t xml:space="preserve">tested</x:t>
        </x:is>
      </x:c>
      <x:c r="I15" s="161" t="inlineStr">
        <x:is>
          <x:t xml:space="preserve">no</x:t>
        </x:is>
      </x:c>
      <x:c r="J15" s="163" t="n">
        <x:v>46264</x:v>
      </x:c>
      <x:c r="K15" s="161" t="n"/>
      <x:c r="L15" s="164" t="n">
        <x:v>1</x:v>
      </x:c>
      <x:c r="M15" s="164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61" t="inlineStr">
        <x:is>
          <x:t xml:space="preserve">EM-08</x:t>
        </x:is>
      </x:c>
      <x:c r="B16" s="161" t="inlineStr">
        <x:is>
          <x:t xml:space="preserve">Accessibility</x:t>
        </x:is>
      </x:c>
      <x:c r="C16" s="161" t="inlineStr">
        <x:is>
          <x:t xml:space="preserve">Em</x:t>
        </x:is>
      </x:c>
      <x:c r="D16" s="161" t="inlineStr">
        <x:is>
          <x:t xml:space="preserve">Native emphasis semantics, readable contrast, text spacing, and axe pass.</x:t>
        </x:is>
      </x:c>
      <x:c r="E16" s="161" t="inlineStr">
        <x:is>
          <x:t xml:space="preserve">package</x:t>
        </x:is>
      </x:c>
      <x:c r="F16" s="161" t="inlineStr">
        <x:is>
          <x:t xml:space="preserve">axe</x:t>
        </x:is>
      </x:c>
      <x:c r="G16" s="161" t="inlineStr">
        <x:is>
          <x:t xml:space="preserve">tests/components/em/behavior.spec.ts</x:t>
        </x:is>
      </x:c>
      <x:c r="H16" s="162" t="inlineStr">
        <x:is>
          <x:t xml:space="preserve">tested</x:t>
        </x:is>
      </x:c>
      <x:c r="I16" s="161" t="inlineStr">
        <x:is>
          <x:t xml:space="preserve">no</x:t>
        </x:is>
      </x:c>
      <x:c r="J16" s="163" t="n">
        <x:v>46264</x:v>
      </x:c>
      <x:c r="K16" s="161" t="n"/>
      <x:c r="L16" s="164" t="n">
        <x:v>1</x:v>
      </x:c>
      <x:c r="M16" s="164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61" t="inlineStr">
        <x:is>
          <x:t xml:space="preserve">EM-09</x:t>
        </x:is>
      </x:c>
      <x:c r="B17" s="161" t="inlineStr">
        <x:is>
          <x:t xml:space="preserve">Visual</x:t>
        </x:is>
      </x:c>
      <x:c r="C17" s="161" t="inlineStr">
        <x:is>
          <x:t xml:space="preserve">Em</x:t>
        </x:is>
      </x:c>
      <x:c r="D17" s="161" t="inlineStr">
        <x:is>
          <x:t xml:space="preserve">Prose contexts, native output, customization, light, dark, forced colors, and mobile own baselines.</x:t>
        </x:is>
      </x:c>
      <x:c r="E17" s="161" t="inlineStr">
        <x:is>
          <x:t xml:space="preserve">package</x:t>
        </x:is>
      </x:c>
      <x:c r="F17" s="161" t="inlineStr">
        <x:is>
          <x:t xml:space="preserve">visual</x:t>
        </x:is>
      </x:c>
      <x:c r="G17" s="161" t="inlineStr">
        <x:is>
          <x:t xml:space="preserve">tests/components/em/visual.spec.ts</x:t>
        </x:is>
      </x:c>
      <x:c r="H17" s="165" t="inlineStr">
        <x:is>
          <x:t xml:space="preserve">tested</x:t>
        </x:is>
      </x:c>
      <x:c r="I17" s="161" t="inlineStr">
        <x:is>
          <x:t xml:space="preserve">yes</x:t>
        </x:is>
      </x:c>
      <x:c r="J17" s="163" t="n">
        <x:v>46264</x:v>
      </x:c>
      <x:c r="K17" s="161" t="inlineStr">
        <x:is>
          <x:t xml:space="preserve">2026-09-12: Eight light/dark/mobile/forced-color screenshots inspected. Manual protocol remains pending.</x:t>
        </x:is>
      </x:c>
      <x:c r="L17" s="164" t="n">
        <x:v>1</x:v>
      </x:c>
      <x:c r="M17" s="164" t="n">
        <x:f>IF(OR(AND(I17="yes",H17="verified"),AND(I17="no",OR(H17="tested",H17="verified")),AND(H17="not applicable",K17&lt;&gt;"")),1,0)</x:f>
        <x:v>0</x:v>
      </x:c>
    </x:row>
    <x:row r="18" s="127" customFormat="1" ht="54" customHeight="1">
      <x:c r="A18" s="161" t="inlineStr">
        <x:is>
          <x:t xml:space="preserve">EM-10</x:t>
        </x:is>
      </x:c>
      <x:c r="B18" s="161" t="inlineStr">
        <x:is>
          <x:t xml:space="preserve">Responsive</x:t>
        </x:is>
      </x:c>
      <x:c r="C18" s="161" t="inlineStr">
        <x:is>
          <x:t xml:space="preserve">Em</x:t>
        </x:is>
      </x:c>
      <x:c r="D18" s="161" t="inlineStr">
        <x:is>
          <x:t xml:space="preserve">Long localized emphasis, mobile widths, RTL, text spacing, and zoom remain readable.</x:t>
        </x:is>
      </x:c>
      <x:c r="E18" s="161" t="inlineStr">
        <x:is>
          <x:t xml:space="preserve">package</x:t>
        </x:is>
      </x:c>
      <x:c r="F18" s="161" t="inlineStr">
        <x:is>
          <x:t xml:space="preserve">manual</x:t>
        </x:is>
      </x:c>
      <x:c r="G18" s="161" t="inlineStr">
        <x:is>
          <x:t xml:space="preserve">manual-tests/em.md</x:t>
        </x:is>
      </x:c>
      <x:c r="H18" s="165" t="inlineStr">
        <x:is>
          <x:t xml:space="preserve">implemented</x:t>
        </x:is>
      </x:c>
      <x:c r="I18" s="161" t="inlineStr">
        <x:is>
          <x:t xml:space="preserve">yes</x:t>
        </x:is>
      </x:c>
      <x:c r="J18" s="163" t="n"/>
      <x:c r="K18" s="161" t="inlineStr">
        <x:is>
          <x:t xml:space="preserve">Human protocol remains pending. Automated and visual evidence stays in its owning tests and does not complete this human gate.</x:t>
        </x:is>
      </x:c>
      <x:c r="L18" s="164" t="n">
        <x:v>1</x:v>
      </x:c>
      <x:c r="M18" s="164" t="n">
        <x:f>IF(OR(AND(I18="yes",H18="verified"),AND(I18="no",OR(H18="tested",H18="verified")),AND(H18="not applicable",K18&lt;&gt;"")),1,0)</x:f>
        <x:v>0</x:v>
      </x:c>
    </x:row>
    <x:row r="19" s="127" customFormat="1" ht="54" customHeight="1">
      <x:c r="A19" s="161" t="inlineStr">
        <x:is>
          <x:t xml:space="preserve">EM-11</x:t>
        </x:is>
      </x:c>
      <x:c r="B19" s="161" t="inlineStr">
        <x:is>
          <x:t xml:space="preserve">Theme</x:t>
        </x:is>
      </x:c>
      <x:c r="C19" s="161" t="inlineStr">
        <x:is>
          <x:t xml:space="preserve">Em</x:t>
        </x:is>
      </x:c>
      <x:c r="D19" s="161" t="inlineStr">
        <x:is>
          <x:t xml:space="preserve">Inherited light, dark, forced-color, and customized typography remain legible.</x:t>
        </x:is>
      </x:c>
      <x:c r="E19" s="161" t="inlineStr">
        <x:is>
          <x:t xml:space="preserve">package</x:t>
        </x:is>
      </x:c>
      <x:c r="F19" s="161" t="inlineStr">
        <x:is>
          <x:t xml:space="preserve">manual</x:t>
        </x:is>
      </x:c>
      <x:c r="G19" s="161" t="inlineStr">
        <x:is>
          <x:t xml:space="preserve">manual-tests/em.md; tests/components/em/visual.spec.ts</x:t>
        </x:is>
      </x:c>
      <x:c r="H19" s="165" t="inlineStr">
        <x:is>
          <x:t xml:space="preserve">implemented</x:t>
        </x:is>
      </x:c>
      <x:c r="I19" s="161" t="inlineStr">
        <x:is>
          <x:t xml:space="preserve">yes</x:t>
        </x:is>
      </x:c>
      <x:c r="J19" s="163" t="n"/>
      <x:c r="K19" s="161" t="inlineStr">
        <x:is>
          <x:t xml:space="preserve">Human protocol remains pending. Automated and visual evidence stays in its owning tests and does not complete this human gate.</x:t>
        </x:is>
      </x:c>
      <x:c r="L19" s="164" t="n">
        <x:v>1</x:v>
      </x:c>
      <x:c r="M19" s="164" t="n">
        <x:f>IF(OR(AND(I19="yes",H19="verified"),AND(I19="no",OR(H19="tested",H19="verified")),AND(H19="not applicable",K19&lt;&gt;"")),1,0)</x:f>
        <x:v>0</x:v>
      </x:c>
    </x:row>
    <x:row r="20" s="127" customFormat="1" ht="54" customHeight="1">
      <x:c r="A20" s="161" t="inlineStr">
        <x:is>
          <x:t xml:space="preserve">EM-12</x:t>
        </x:is>
      </x:c>
      <x:c r="B20" s="161" t="inlineStr">
        <x:is>
          <x:t xml:space="preserve">Semantics</x:t>
        </x:is>
      </x:c>
      <x:c r="C20" s="161" t="inlineStr">
        <x:is>
          <x:t xml:space="preserve">Em</x:t>
        </x:is>
      </x:c>
      <x:c r="D20" s="161" t="inlineStr">
        <x:is>
          <x:t xml:space="preserve">The rendered host remains native em and does not substitute presentation-only styling.</x:t>
        </x:is>
      </x:c>
      <x:c r="E20" s="161" t="inlineStr">
        <x:is>
          <x:t xml:space="preserve">package</x:t>
        </x:is>
      </x:c>
      <x:c r="F20" s="161" t="inlineStr">
        <x:is>
          <x:t xml:space="preserve">browser</x:t>
        </x:is>
      </x:c>
      <x:c r="G20" s="161" t="inlineStr">
        <x:is>
          <x:t xml:space="preserve">tests/components/em/behavior.spec.ts</x:t>
        </x:is>
      </x:c>
      <x:c r="H20" s="162" t="inlineStr">
        <x:is>
          <x:t xml:space="preserve">tested</x:t>
        </x:is>
      </x:c>
      <x:c r="I20" s="161" t="inlineStr">
        <x:is>
          <x:t xml:space="preserve">no</x:t>
        </x:is>
      </x:c>
      <x:c r="J20" s="163" t="n">
        <x:v>46264</x:v>
      </x:c>
      <x:c r="K20" s="161" t="n"/>
      <x:c r="L20" s="164" t="n">
        <x:v>1</x:v>
      </x:c>
      <x:c r="M20" s="164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61" t="inlineStr">
        <x:is>
          <x:t xml:space="preserve">EM-13</x:t>
        </x:is>
      </x:c>
      <x:c r="B21" s="161" t="inlineStr">
        <x:is>
          <x:t xml:space="preserve">Manual</x:t>
        </x:is>
      </x:c>
      <x:c r="C21" s="161" t="inlineStr">
        <x:is>
          <x:t xml:space="preserve">Em</x:t>
        </x:is>
      </x:c>
      <x:c r="D21" s="161" t="inlineStr">
        <x:is>
          <x:t xml:space="preserve">The component-owned manual protocol covers every Em playground scenario.</x:t>
        </x:is>
      </x:c>
      <x:c r="E21" s="161" t="inlineStr">
        <x:is>
          <x:t xml:space="preserve">package</x:t>
        </x:is>
      </x:c>
      <x:c r="F21" s="161" t="inlineStr">
        <x:is>
          <x:t xml:space="preserve">manual</x:t>
        </x:is>
      </x:c>
      <x:c r="G21" s="161" t="inlineStr">
        <x:is>
          <x:t xml:space="preserve">manual-tests/em.md</x:t>
        </x:is>
      </x:c>
      <x:c r="H21" s="165" t="inlineStr">
        <x:is>
          <x:t xml:space="preserve">implemented</x:t>
        </x:is>
      </x:c>
      <x:c r="I21" s="161" t="inlineStr">
        <x:is>
          <x:t xml:space="preserve">yes</x:t>
        </x:is>
      </x:c>
      <x:c r="J21" s="163" t="n"/>
      <x:c r="K21" s="161" t="inlineStr">
        <x:is>
          <x:t xml:space="preserve">Human protocol remains pending. Automated and visual evidence stays in its owning tests and does not complete this human gate.</x:t>
        </x:is>
      </x:c>
      <x:c r="L21" s="164" t="n">
        <x:v>1</x:v>
      </x:c>
      <x:c r="M21" s="164" t="n">
        <x:f>IF(OR(AND(I21="yes",H21="verified"),AND(I21="no",OR(H21="tested",H21="verified")),AND(H21="not applicable",K21&lt;&gt;"")),1,0)</x:f>
        <x:v>0</x:v>
      </x:c>
    </x:row>
    <x:row r="22" s="127" customFormat="1" ht="54" customHeight="1">
      <x:c r="A22" s="161" t="inlineStr">
        <x:is>
          <x:t xml:space="preserve">EM-14</x:t>
        </x:is>
      </x:c>
      <x:c r="B22" s="161" t="inlineStr">
        <x:is>
          <x:t xml:space="preserve">Docs</x:t>
        </x:is>
      </x:c>
      <x:c r="C22" s="161" t="inlineStr">
        <x:is>
          <x:t xml:space="preserve">Em</x:t>
        </x:is>
      </x:c>
      <x:c r="D22" s="161" t="inlineStr">
        <x:is>
          <x:t xml:space="preserve">Source-backed public usage, API, accessibility, and token documentation passes.</x:t>
        </x:is>
      </x:c>
      <x:c r="E22" s="161" t="inlineStr">
        <x:is>
          <x:t xml:space="preserve">package</x:t>
        </x:is>
      </x:c>
      <x:c r="F22" s="161" t="inlineStr">
        <x:is>
          <x:t xml:space="preserve">docs</x:t>
        </x:is>
      </x:c>
      <x:c r="G22" s="161" t="inlineStr">
        <x:is>
          <x:t xml:space="preserve">../docs/components/em/README.md</x:t>
        </x:is>
      </x:c>
      <x:c r="H22" s="162" t="inlineStr">
        <x:is>
          <x:t xml:space="preserve">tested</x:t>
        </x:is>
      </x:c>
      <x:c r="I22" s="161" t="inlineStr">
        <x:is>
          <x:t xml:space="preserve">no</x:t>
        </x:is>
      </x:c>
      <x:c r="J22" s="163" t="n">
        <x:v>46264</x:v>
      </x:c>
      <x:c r="K22" s="161" t="n"/>
      <x:c r="L22" s="164" t="n">
        <x:v>1</x:v>
      </x:c>
      <x:c r="M22" s="164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61" t="inlineStr">
        <x:is>
          <x:t xml:space="preserve">EM-15</x:t>
        </x:is>
      </x:c>
      <x:c r="B23" s="161" t="inlineStr">
        <x:is>
          <x:t xml:space="preserve">Changelog</x:t>
        </x:is>
      </x:c>
      <x:c r="C23" s="161" t="inlineStr">
        <x:is>
          <x:t xml:space="preserve">Em</x:t>
        </x:is>
      </x:c>
      <x:c r="D23" s="161" t="inlineStr">
        <x:is>
          <x:t xml:space="preserve">Em owns a public changelog and the package changelog records its addition.</x:t>
        </x:is>
      </x:c>
      <x:c r="E23" s="161" t="inlineStr">
        <x:is>
          <x:t xml:space="preserve">package</x:t>
        </x:is>
      </x:c>
      <x:c r="F23" s="161" t="inlineStr">
        <x:is>
          <x:t xml:space="preserve">docs</x:t>
        </x:is>
      </x:c>
      <x:c r="G23" s="161" t="inlineStr">
        <x:is>
          <x:t xml:space="preserve">../docs/components/em/CHANGELOG.md; ../CHANGELOG.md</x:t>
        </x:is>
      </x:c>
      <x:c r="H23" s="162" t="inlineStr">
        <x:is>
          <x:t xml:space="preserve">tested</x:t>
        </x:is>
      </x:c>
      <x:c r="I23" s="161" t="inlineStr">
        <x:is>
          <x:t xml:space="preserve">no</x:t>
        </x:is>
      </x:c>
      <x:c r="J23" s="163" t="n">
        <x:v>46264</x:v>
      </x:c>
      <x:c r="K23" s="161" t="n"/>
      <x:c r="L23" s="164" t="n">
        <x:v>1</x:v>
      </x:c>
      <x:c r="M23" s="164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61" t="inlineStr">
        <x:is>
          <x:t xml:space="preserve">EM-16</x:t>
        </x:is>
      </x:c>
      <x:c r="B24" s="161" t="inlineStr">
        <x:is>
          <x:t xml:space="preserve">Consumer</x:t>
        </x:is>
      </x:c>
      <x:c r="C24" s="161" t="inlineStr">
        <x:is>
          <x:t xml:space="preserve">Em</x:t>
        </x:is>
      </x:c>
      <x:c r="D24" s="161" t="inlineStr">
        <x:is>
          <x:t xml:space="preserve">The packed Consumer proves Em through the public package subpath.</x:t>
        </x:is>
      </x:c>
      <x:c r="E24" s="161" t="inlineStr">
        <x:is>
          <x:t xml:space="preserve">consumer</x:t>
        </x:is>
      </x:c>
      <x:c r="F24" s="161" t="inlineStr">
        <x:is>
          <x:t xml:space="preserve">consumer</x:t>
        </x:is>
      </x:c>
      <x:c r="G24" s="161" t="inlineStr">
        <x:is>
          <x:t xml:space="preserve">../apps/consumer/src/App.tsx; ../apps/consumer/tests/consumer.spec.ts</x:t>
        </x:is>
      </x:c>
      <x:c r="H24" s="162" t="inlineStr">
        <x:is>
          <x:t xml:space="preserve">tested</x:t>
        </x:is>
      </x:c>
      <x:c r="I24" s="161" t="inlineStr">
        <x:is>
          <x:t xml:space="preserve">no</x:t>
        </x:is>
      </x:c>
      <x:c r="J24" s="163" t="n">
        <x:v>46264</x:v>
      </x:c>
      <x:c r="K24" s="161" t="n"/>
      <x:c r="L24" s="164" t="n">
        <x:v>1</x:v>
      </x:c>
      <x:c r="M24" s="164" t="n">
        <x:f>IF(OR(AND(I24="yes",H24="verified"),AND(I24="no",OR(H24="tested",H24="verified")),AND(H24="not applicable",K24&lt;&gt;"")),1,0)</x:f>
        <x:v>1</x:v>
      </x:c>
    </x:row>
    <x:row r="25" s="127" customFormat="1" ht="54" customHeight="1">
      <x:c r="A25" s="161" t="inlineStr">
        <x:is>
          <x:t xml:space="preserve">EM-17</x:t>
        </x:is>
      </x:c>
      <x:c r="B25" s="161" t="inlineStr">
        <x:is>
          <x:t xml:space="preserve">Package</x:t>
        </x:is>
      </x:c>
      <x:c r="C25" s="161" t="inlineStr">
        <x:is>
          <x:t xml:space="preserve">Em</x:t>
        </x:is>
      </x:c>
      <x:c r="D25" s="161" t="inlineStr">
        <x:is>
          <x:t xml:space="preserve">Build, SSR, exports, CSS, Agent Knowledge, tarball, React 18/19, and packed-consumer verification pass.</x:t>
        </x:is>
      </x:c>
      <x:c r="E25" s="161" t="inlineStr">
        <x:is>
          <x:t xml:space="preserve">package</x:t>
        </x:is>
      </x:c>
      <x:c r="F25" s="161" t="inlineStr">
        <x:is>
          <x:t xml:space="preserve">package</x:t>
        </x:is>
      </x:c>
      <x:c r="G25" s="161" t="inlineStr">
        <x:is>
          <x:t xml:space="preserve">../test/package; ../scripts/verify-package.mjs; ../scripts/verify-consumers.mjs</x:t>
        </x:is>
      </x:c>
      <x:c r="H25" s="165" t="inlineStr">
        <x:is>
          <x:t xml:space="preserve">partial</x:t>
        </x:is>
      </x:c>
      <x:c r="I25" s="161" t="inlineStr">
        <x:is>
          <x:t xml:space="preserve">yes</x:t>
        </x:is>
      </x:c>
      <x:c r="J25" s="163" t="n">
        <x:v>46264</x:v>
      </x:c>
      <x:c r="K25" s="161" t="inlineStr">
        <x:is>
          <x:t xml:space="preserve">2026-09-12: Local parity candidate. Release, actual zoom, physical-device and screen-reader checks remain pending.</x:t>
        </x:is>
      </x:c>
      <x:c r="L25" s="164" t="n">
        <x:v>1</x:v>
      </x:c>
      <x:c r="M25" s="164" t="n">
        <x:f>IF(OR(AND(I25="yes",H25="verified"),AND(I25="no",OR(H25="tested",H25="verified")),AND(H25="not applicable",K25&lt;&gt;"")),1,0)</x:f>
        <x:v>0</x:v>
      </x:c>
    </x:row>
  </x:sheetData>
  <x:dataValidations count="2">
    <x:dataValidation type="list" errorStyle="stop" operator="between" allowBlank="0" showDropDown="0" showInputMessage="0" showErrorMessage="0" sqref="H9:H25">
      <x:formula1>_Lists!$A$1:$A$7</x:formula1>
      <x:formula2>0</x:formula2>
    </x:dataValidation>
    <x:dataValidation type="list" errorStyle="stop" operator="between" allowBlank="0" showDropDown="0" showInputMessage="0" showErrorMessage="0" sqref="I9:I25">
      <x:formula1>_Lists!$B$1:$B$2</x:formula1>
      <x:formula2>0</x:formula2>
    </x:dataValidation>
  </x:dataValidations>
  <x:pageMargins left="0.7" right="0.7" top="0.75" bottom="0.75" header="0.3" footer="0.3"/>
</x:worksheet>
</file>

<file path=xl/worksheets/sheet94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7" customWidth="1"/>
    <x:col min="2" max="2" width="15.710000038146973" style="127" customWidth="1"/>
    <x:col min="3" max="3" width="18.709999084472656" style="127" customWidth="1"/>
    <x:col min="4" max="4" width="58.709999084472656" style="127" customWidth="1"/>
    <x:col min="5" max="6" width="14.710000038146973" style="127" customWidth="1"/>
    <x:col min="7" max="7" width="50.709999084472656" style="127" customWidth="1"/>
    <x:col min="8" max="8" width="17.709999084472656" style="127" customWidth="1"/>
    <x:col min="9" max="10" width="14.710000038146973" style="127" customWidth="1"/>
    <x:col min="11" max="11" width="42.709999084472656" style="127" customWidth="1"/>
    <x:col min="12" max="13" width="10.710000038146973" style="127" customWidth="1"/>
  </x:cols>
  <x:sheetData>
    <x:row r="1" s="127" customFormat="1" ht="37.5" customHeight="1">
      <x:c r="A1" s="183" t="inlineStr">
        <x:is>
          <x:t xml:space="preserve">Mark Evidence</x:t>
        </x:is>
      </x:c>
      <x:c r="B1" s="183" t="n"/>
      <x:c r="C1" s="183" t="n"/>
      <x:c r="D1" s="183" t="n"/>
      <x:c r="E1" s="183" t="n"/>
      <x:c r="F1" s="183" t="n"/>
      <x:c r="G1" s="183" t="n"/>
      <x:c r="H1" s="183" t="n"/>
      <x:c r="I1" s="183" t="n"/>
      <x:c r="J1" s="183" t="n"/>
      <x:c r="K1" s="183" t="n"/>
      <x:c r="L1" s="183" t="n"/>
      <x:c r="M1" s="183" t="n"/>
    </x:row>
    <x:row r="2" s="127" customFormat="1" ht="27.75" customHeight="1">
      <x:c r="A2" s="157" t="inlineStr">
        <x:is>
          <x:t xml:space="preserve">Assertion-level semantic mark, restrained recipes, browser, documentation, Consumer, and release evidence.</x:t>
        </x:is>
      </x:c>
      <x:c r="B2" s="157" t="n"/>
      <x:c r="C2" s="157" t="n"/>
      <x:c r="D2" s="157" t="n"/>
      <x:c r="E2" s="157" t="n"/>
      <x:c r="F2" s="157" t="n"/>
      <x:c r="G2" s="157" t="n"/>
      <x:c r="H2" s="157" t="n"/>
      <x:c r="I2" s="157" t="n"/>
      <x:c r="J2" s="157" t="n"/>
      <x:c r="K2" s="157" t="n"/>
      <x:c r="L2" s="157" t="n"/>
      <x:c r="M2" s="157" t="n"/>
    </x:row>
    <x:row r="3"/>
    <x:row r="4" s="127" customFormat="1" ht="17.25" customHeight="1">
      <x:c r="A4" s="157" t="inlineStr">
        <x:is>
          <x:t xml:space="preserve">Requirements</x:t>
        </x:is>
      </x:c>
      <x:c r="B4" s="184" t="n">
        <x:f>COUNTA(A9:A25)</x:f>
        <x:v>17</x:v>
      </x:c>
      <x:c r="C4" s="157" t="n"/>
      <x:c r="D4" s="157" t="inlineStr">
        <x:is>
          <x:t xml:space="preserve">Resolved</x:t>
        </x:is>
      </x:c>
      <x:c r="E4" s="184" t="n">
        <x:f>SUM(M9:M25)</x:f>
        <x:v>12</x:v>
      </x:c>
      <x:c r="F4" s="157" t="n"/>
      <x:c r="G4" s="157" t="inlineStr">
        <x:is>
          <x:t xml:space="preserve">Completion</x:t>
        </x:is>
      </x:c>
      <x:c r="H4" s="184" t="n">
        <x:f>IF(B4=0,0,E4/B4)</x:f>
        <x:v>0.7058823529411765</x:v>
      </x:c>
      <x:c r="I4" s="157" t="n"/>
      <x:c r="J4" s="157" t="inlineStr">
        <x:is>
          <x:t xml:space="preserve">Package gate</x:t>
        </x:is>
      </x:c>
      <x:c r="K4" s="184" t="str">
        <x:f>IF(COUNTIFS(E9:E25,"package",M9:M25,0)&gt;0,"open","complete")</x:f>
        <x:v>open</x:v>
      </x:c>
      <x:c r="L4" s="157" t="n"/>
      <x:c r="M4" s="157" t="n"/>
    </x:row>
    <x:row r="5" s="127" customFormat="1" ht="17.25" customHeight="1">
      <x:c r="A5" s="157" t="inlineStr">
        <x:is>
          <x:t xml:space="preserve">Manual review</x:t>
        </x:is>
      </x:c>
      <x:c r="B5" s="184" t="str">
        <x:f>IF(COUNTIFS(I9:I25,"yes",M9:M25,0)&gt;0,"open","complete")</x:f>
        <x:v>open</x:v>
      </x:c>
      <x:c r="C5" s="157" t="n"/>
      <x:c r="D5" s="157" t="inlineStr">
        <x:is>
          <x:t xml:space="preserve">Consumer gate</x:t>
        </x:is>
      </x:c>
      <x:c r="E5" s="184" t="str">
        <x:f>IF(COUNTIFS(E9:E25,"consumer",M9:M25,0)&gt;0,"open","complete")</x:f>
        <x:v>complete</x:v>
      </x:c>
      <x:c r="F5" s="157" t="n"/>
      <x:c r="G5" s="157" t="n"/>
      <x:c r="H5" s="157" t="n"/>
      <x:c r="I5" s="157" t="n"/>
      <x:c r="J5" s="157" t="n"/>
      <x:c r="K5" s="157" t="n"/>
      <x:c r="L5" s="157" t="n"/>
      <x:c r="M5" s="157" t="n"/>
    </x:row>
    <x:row r="6"/>
    <x:row r="7"/>
    <x:row r="8" s="127" customFormat="1" ht="15" customHeight="1">
      <x:c r="A8" s="159" t="inlineStr">
        <x:is>
          <x:t xml:space="preserve">ID</x:t>
        </x:is>
      </x:c>
      <x:c r="B8" s="159" t="inlineStr">
        <x:is>
          <x:t xml:space="preserve">Area</x:t>
        </x:is>
      </x:c>
      <x:c r="C8" s="159" t="inlineStr">
        <x:is>
          <x:t xml:space="preserve">Part</x:t>
        </x:is>
      </x:c>
      <x:c r="D8" s="159" t="inlineStr">
        <x:is>
          <x:t xml:space="preserve">Requirement</x:t>
        </x:is>
      </x:c>
      <x:c r="E8" s="159" t="inlineStr">
        <x:is>
          <x:t xml:space="preserve">Gate</x:t>
        </x:is>
      </x:c>
      <x:c r="F8" s="159" t="inlineStr">
        <x:is>
          <x:t xml:space="preserve">Evidence type</x:t>
        </x:is>
      </x:c>
      <x:c r="G8" s="159" t="inlineStr">
        <x:is>
          <x:t xml:space="preserve">Evidence / link</x:t>
        </x:is>
      </x:c>
      <x:c r="H8" s="159" t="inlineStr">
        <x:is>
          <x:t xml:space="preserve">Status</x:t>
        </x:is>
      </x:c>
      <x:c r="I8" s="159" t="inlineStr">
        <x:is>
          <x:t xml:space="preserve">Human review?</x:t>
        </x:is>
      </x:c>
      <x:c r="J8" s="159" t="inlineStr">
        <x:is>
          <x:t xml:space="preserve">Last verified</x:t>
        </x:is>
      </x:c>
      <x:c r="K8" s="159" t="inlineStr">
        <x:is>
          <x:t xml:space="preserve">Blocker / N/A reason</x:t>
        </x:is>
      </x:c>
      <x:c r="L8" s="159" t="inlineStr">
        <x:is>
          <x:t xml:space="preserve">Weight</x:t>
        </x:is>
      </x:c>
      <x:c r="M8" s="159" t="inlineStr">
        <x:is>
          <x:t xml:space="preserve">Resolved</x:t>
        </x:is>
      </x:c>
    </x:row>
    <x:row r="9" s="127" customFormat="1" ht="54" customHeight="1">
      <x:c r="A9" s="161" t="inlineStr">
        <x:is>
          <x:t xml:space="preserve">MK-01</x:t>
        </x:is>
      </x:c>
      <x:c r="B9" s="161" t="inlineStr">
        <x:is>
          <x:t xml:space="preserve">Implementation</x:t>
        </x:is>
      </x:c>
      <x:c r="C9" s="161" t="inlineStr">
        <x:is>
          <x:t xml:space="preserve">Mark</x:t>
        </x:is>
      </x:c>
      <x:c r="D9" s="161" t="inlineStr">
        <x:is>
          <x:t xml:space="preserve">Native mark host, four variants, six semantic tones and static asChild projection.</x:t>
        </x:is>
      </x:c>
      <x:c r="E9" s="161" t="inlineStr">
        <x:is>
          <x:t xml:space="preserve">package</x:t>
        </x:is>
      </x:c>
      <x:c r="F9" s="161" t="inlineStr">
        <x:is>
          <x:t xml:space="preserve">source</x:t>
        </x:is>
      </x:c>
      <x:c r="G9" s="161" t="inlineStr">
        <x:is>
          <x:t xml:space="preserve">../src/components/mark</x:t>
        </x:is>
      </x:c>
      <x:c r="H9" s="162" t="inlineStr">
        <x:is>
          <x:t xml:space="preserve">tested</x:t>
        </x:is>
      </x:c>
      <x:c r="I9" s="161" t="inlineStr">
        <x:is>
          <x:t xml:space="preserve">no</x:t>
        </x:is>
      </x:c>
      <x:c r="J9" s="163" t="n">
        <x:v>46264</x:v>
      </x:c>
      <x:c r="K9" s="161" t="n"/>
      <x:c r="L9" s="164" t="n">
        <x:v>1</x:v>
      </x:c>
      <x:c r="M9" s="164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61" t="inlineStr">
        <x:is>
          <x:t xml:space="preserve">MK-02</x:t>
        </x:is>
      </x:c>
      <x:c r="B10" s="161" t="inlineStr">
        <x:is>
          <x:t xml:space="preserve">Ownership</x:t>
        </x:is>
      </x:c>
      <x:c r="C10" s="161" t="inlineStr">
        <x:is>
          <x:t xml:space="preserve">Mark</x:t>
        </x:is>
      </x:c>
      <x:c r="D10" s="161" t="inlineStr">
        <x:is>
          <x:t xml:space="preserve">Static semantic marking stays separate from query matching and application search state.</x:t>
        </x:is>
      </x:c>
      <x:c r="E10" s="161" t="inlineStr">
        <x:is>
          <x:t xml:space="preserve">package</x:t>
        </x:is>
      </x:c>
      <x:c r="F10" s="161" t="inlineStr">
        <x:is>
          <x:t xml:space="preserve">component</x:t>
        </x:is>
      </x:c>
      <x:c r="G10" s="161" t="inlineStr">
        <x:is>
          <x:t xml:space="preserve">../test/components/mark/mark.test.tsx; ../docs/components/mark/README.md</x:t>
        </x:is>
      </x:c>
      <x:c r="H10" s="162" t="inlineStr">
        <x:is>
          <x:t xml:space="preserve">tested</x:t>
        </x:is>
      </x:c>
      <x:c r="I10" s="161" t="inlineStr">
        <x:is>
          <x:t xml:space="preserve">no</x:t>
        </x:is>
      </x:c>
      <x:c r="J10" s="163" t="n">
        <x:v>46264</x:v>
      </x:c>
      <x:c r="K10" s="161" t="n"/>
      <x:c r="L10" s="164" t="n">
        <x:v>1</x:v>
      </x:c>
      <x:c r="M10" s="164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61" t="inlineStr">
        <x:is>
          <x:t xml:space="preserve">MK-03</x:t>
        </x:is>
      </x:c>
      <x:c r="B11" s="161" t="inlineStr">
        <x:is>
          <x:t xml:space="preserve">Exports</x:t>
        </x:is>
      </x:c>
      <x:c r="C11" s="161" t="inlineStr">
        <x:is>
          <x:t xml:space="preserve">Mark</x:t>
        </x:is>
      </x:c>
      <x:c r="D11" s="161" t="inlineStr">
        <x:is>
          <x:t xml:space="preserve">Root and public Mark subpath exports expose the runtime and every public type.</x:t>
        </x:is>
      </x:c>
      <x:c r="E11" s="161" t="inlineStr">
        <x:is>
          <x:t xml:space="preserve">package</x:t>
        </x:is>
      </x:c>
      <x:c r="F11" s="161" t="inlineStr">
        <x:is>
          <x:t xml:space="preserve">package</x:t>
        </x:is>
      </x:c>
      <x:c r="G11" s="161" t="inlineStr">
        <x:is>
          <x:t xml:space="preserve">../test/package/package.test.mjs; ../test/package/ssr.test.mjs</x:t>
        </x:is>
      </x:c>
      <x:c r="H11" s="162" t="inlineStr">
        <x:is>
          <x:t xml:space="preserve">tested</x:t>
        </x:is>
      </x:c>
      <x:c r="I11" s="161" t="inlineStr">
        <x:is>
          <x:t xml:space="preserve">no</x:t>
        </x:is>
      </x:c>
      <x:c r="J11" s="163" t="n">
        <x:v>46264</x:v>
      </x:c>
      <x:c r="K11" s="161" t="n"/>
      <x:c r="L11" s="164" t="n">
        <x:v>1</x:v>
      </x:c>
      <x:c r="M11" s="164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61" t="inlineStr">
        <x:is>
          <x:t xml:space="preserve">MK-04</x:t>
        </x:is>
      </x:c>
      <x:c r="B12" s="161" t="inlineStr">
        <x:is>
          <x:t xml:space="preserve">Types</x:t>
        </x:is>
      </x:c>
      <x:c r="C12" s="161" t="inlineStr">
        <x:is>
          <x:t xml:space="preserve">Mark</x:t>
        </x:is>
      </x:c>
      <x:c r="D12" s="161" t="inlineStr">
        <x:is>
          <x:t xml:space="preserve">Native attributes, recipes, composition branches, and ref contracts type-check.</x:t>
        </x:is>
      </x:c>
      <x:c r="E12" s="161" t="inlineStr">
        <x:is>
          <x:t xml:space="preserve">package</x:t>
        </x:is>
      </x:c>
      <x:c r="F12" s="161" t="inlineStr">
        <x:is>
          <x:t xml:space="preserve">types</x:t>
        </x:is>
      </x:c>
      <x:c r="G12" s="161" t="inlineStr">
        <x:is>
          <x:t xml:space="preserve">../test/types/components/mark.test.ts</x:t>
        </x:is>
      </x:c>
      <x:c r="H12" s="162" t="inlineStr">
        <x:is>
          <x:t xml:space="preserve">tested</x:t>
        </x:is>
      </x:c>
      <x:c r="I12" s="161" t="inlineStr">
        <x:is>
          <x:t xml:space="preserve">no</x:t>
        </x:is>
      </x:c>
      <x:c r="J12" s="163" t="n">
        <x:v>46264</x:v>
      </x:c>
      <x:c r="K12" s="161" t="n"/>
      <x:c r="L12" s="164" t="n">
        <x:v>1</x:v>
      </x:c>
      <x:c r="M12" s="164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61" t="inlineStr">
        <x:is>
          <x:t xml:space="preserve">MK-05</x:t>
        </x:is>
      </x:c>
      <x:c r="B13" s="161" t="inlineStr">
        <x:is>
          <x:t xml:space="preserve">CSS</x:t>
        </x:is>
      </x:c>
      <x:c r="C13" s="161" t="inlineStr">
        <x:is>
          <x:t xml:space="preserve">Mark</x:t>
        </x:is>
      </x:c>
      <x:c r="D13" s="161" t="inlineStr">
        <x:is>
          <x:t xml:space="preserve">Paired theme colors, medium text variant, inherited typography and forced-color precedence.</x:t>
        </x:is>
      </x:c>
      <x:c r="E13" s="161" t="inlineStr">
        <x:is>
          <x:t xml:space="preserve">package</x:t>
        </x:is>
      </x:c>
      <x:c r="F13" s="161" t="inlineStr">
        <x:is>
          <x:t xml:space="preserve">css</x:t>
        </x:is>
      </x:c>
      <x:c r="G13" s="161" t="inlineStr">
        <x:is>
          <x:t xml:space="preserve">../src/components/mark/mark.css</x:t>
        </x:is>
      </x:c>
      <x:c r="H13" s="162" t="inlineStr">
        <x:is>
          <x:t xml:space="preserve">tested</x:t>
        </x:is>
      </x:c>
      <x:c r="I13" s="161" t="inlineStr">
        <x:is>
          <x:t xml:space="preserve">no</x:t>
        </x:is>
      </x:c>
      <x:c r="J13" s="163" t="n">
        <x:v>46264</x:v>
      </x:c>
      <x:c r="K13" s="161" t="n"/>
      <x:c r="L13" s="164" t="n">
        <x:v>1</x:v>
      </x:c>
      <x:c r="M13" s="164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61" t="inlineStr">
        <x:is>
          <x:t xml:space="preserve">MK-06</x:t>
        </x:is>
      </x:c>
      <x:c r="B14" s="161" t="inlineStr">
        <x:is>
          <x:t xml:space="preserve">Unit</x:t>
        </x:is>
      </x:c>
      <x:c r="C14" s="161" t="inlineStr">
        <x:is>
          <x:t xml:space="preserve">Mark</x:t>
        </x:is>
      </x:c>
      <x:c r="D14" s="161" t="inlineStr">
        <x:is>
          <x:t xml:space="preserve">Native mark output, recipes, refs, classes, styles, and native forwarding pass.</x:t>
        </x:is>
      </x:c>
      <x:c r="E14" s="161" t="inlineStr">
        <x:is>
          <x:t xml:space="preserve">package</x:t>
        </x:is>
      </x:c>
      <x:c r="F14" s="161" t="inlineStr">
        <x:is>
          <x:t xml:space="preserve">component</x:t>
        </x:is>
      </x:c>
      <x:c r="G14" s="161" t="inlineStr">
        <x:is>
          <x:t xml:space="preserve">../test/components/mark/mark.test.tsx</x:t>
        </x:is>
      </x:c>
      <x:c r="H14" s="162" t="inlineStr">
        <x:is>
          <x:t xml:space="preserve">tested</x:t>
        </x:is>
      </x:c>
      <x:c r="I14" s="161" t="inlineStr">
        <x:is>
          <x:t xml:space="preserve">no</x:t>
        </x:is>
      </x:c>
      <x:c r="J14" s="163" t="n">
        <x:v>46264</x:v>
      </x:c>
      <x:c r="K14" s="161" t="inlineStr">
        <x:is>
          <x:t xml:space="preserve">2026-09-12: Three unit tests cover native and projected hosts, refs and recipes.</x:t>
        </x:is>
      </x:c>
      <x:c r="L14" s="164" t="n">
        <x:v>1</x:v>
      </x:c>
      <x:c r="M14" s="164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61" t="inlineStr">
        <x:is>
          <x:t xml:space="preserve">MK-07</x:t>
        </x:is>
      </x:c>
      <x:c r="B15" s="161" t="inlineStr">
        <x:is>
          <x:t xml:space="preserve">Browser</x:t>
        </x:is>
      </x:c>
      <x:c r="C15" s="161" t="inlineStr">
        <x:is>
          <x:t xml:space="preserve">Mark</x:t>
        </x:is>
      </x:c>
      <x:c r="D15" s="161" t="inlineStr">
        <x:is>
          <x:t xml:space="preserve">Native output, all variant/tone combinations, heading inheritance and multiline wrapping.</x:t>
        </x:is>
      </x:c>
      <x:c r="E15" s="161" t="inlineStr">
        <x:is>
          <x:t xml:space="preserve">package</x:t>
        </x:is>
      </x:c>
      <x:c r="F15" s="161" t="inlineStr">
        <x:is>
          <x:t xml:space="preserve">browser</x:t>
        </x:is>
      </x:c>
      <x:c r="G15" s="161" t="inlineStr">
        <x:is>
          <x:t xml:space="preserve">tests/components/mark/behavior.spec.ts; tests/components/mark/parity.spec.ts</x:t>
        </x:is>
      </x:c>
      <x:c r="H15" s="162" t="inlineStr">
        <x:is>
          <x:t xml:space="preserve">tested</x:t>
        </x:is>
      </x:c>
      <x:c r="I15" s="161" t="inlineStr">
        <x:is>
          <x:t xml:space="preserve">no</x:t>
        </x:is>
      </x:c>
      <x:c r="J15" s="163" t="n">
        <x:v>46264</x:v>
      </x:c>
      <x:c r="K15" s="161" t="n"/>
      <x:c r="L15" s="164" t="n">
        <x:v>1</x:v>
      </x:c>
      <x:c r="M15" s="164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61" t="inlineStr">
        <x:is>
          <x:t xml:space="preserve">MK-08</x:t>
        </x:is>
      </x:c>
      <x:c r="B16" s="161" t="inlineStr">
        <x:is>
          <x:t xml:space="preserve">Accessibility</x:t>
        </x:is>
      </x:c>
      <x:c r="C16" s="161" t="inlineStr">
        <x:is>
          <x:t xml:space="preserve">Mark</x:t>
        </x:is>
      </x:c>
      <x:c r="D16" s="161" t="inlineStr">
        <x:is>
          <x:t xml:space="preserve">Native mark semantics, readable contrast, forced colors, text spacing, and axe pass.</x:t>
        </x:is>
      </x:c>
      <x:c r="E16" s="161" t="inlineStr">
        <x:is>
          <x:t xml:space="preserve">package</x:t>
        </x:is>
      </x:c>
      <x:c r="F16" s="161" t="inlineStr">
        <x:is>
          <x:t xml:space="preserve">axe</x:t>
        </x:is>
      </x:c>
      <x:c r="G16" s="161" t="inlineStr">
        <x:is>
          <x:t xml:space="preserve">tests/components/mark/behavior.spec.ts</x:t>
        </x:is>
      </x:c>
      <x:c r="H16" s="162" t="inlineStr">
        <x:is>
          <x:t xml:space="preserve">tested</x:t>
        </x:is>
      </x:c>
      <x:c r="I16" s="161" t="inlineStr">
        <x:is>
          <x:t xml:space="preserve">no</x:t>
        </x:is>
      </x:c>
      <x:c r="J16" s="163" t="n">
        <x:v>46264</x:v>
      </x:c>
      <x:c r="K16" s="161" t="n"/>
      <x:c r="L16" s="164" t="n">
        <x:v>1</x:v>
      </x:c>
      <x:c r="M16" s="164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61" t="inlineStr">
        <x:is>
          <x:t xml:space="preserve">MK-09</x:t>
        </x:is>
      </x:c>
      <x:c r="B17" s="161" t="inlineStr">
        <x:is>
          <x:t xml:space="preserve">Visual</x:t>
        </x:is>
      </x:c>
      <x:c r="C17" s="161" t="inlineStr">
        <x:is>
          <x:t xml:space="preserve">Mark</x:t>
        </x:is>
      </x:c>
      <x:c r="D17" s="161" t="inlineStr">
        <x:is>
          <x:t xml:space="preserve">Default and restrained recipes, customization, light, dark, forced colors, and mobile own baselines.</x:t>
        </x:is>
      </x:c>
      <x:c r="E17" s="161" t="inlineStr">
        <x:is>
          <x:t xml:space="preserve">package</x:t>
        </x:is>
      </x:c>
      <x:c r="F17" s="161" t="inlineStr">
        <x:is>
          <x:t xml:space="preserve">visual</x:t>
        </x:is>
      </x:c>
      <x:c r="G17" s="161" t="inlineStr">
        <x:is>
          <x:t xml:space="preserve">tests/components/mark/visual.spec.ts</x:t>
        </x:is>
      </x:c>
      <x:c r="H17" s="165" t="inlineStr">
        <x:is>
          <x:t xml:space="preserve">tested</x:t>
        </x:is>
      </x:c>
      <x:c r="I17" s="161" t="inlineStr">
        <x:is>
          <x:t xml:space="preserve">yes</x:t>
        </x:is>
      </x:c>
      <x:c r="J17" s="163" t="n">
        <x:v>46264</x:v>
      </x:c>
      <x:c r="K17" s="161" t="inlineStr">
        <x:is>
          <x:t xml:space="preserve">2026-09-12: Renewed light, dark, forced-color and mobile baselines. Manual protocol remains pending.</x:t>
        </x:is>
      </x:c>
      <x:c r="L17" s="164" t="n">
        <x:v>1</x:v>
      </x:c>
      <x:c r="M17" s="164" t="n">
        <x:f>IF(OR(AND(I17="yes",H17="verified"),AND(I17="no",OR(H17="tested",H17="verified")),AND(H17="not applicable",K17&lt;&gt;"")),1,0)</x:f>
        <x:v>0</x:v>
      </x:c>
    </x:row>
    <x:row r="18" s="127" customFormat="1" ht="54" customHeight="1">
      <x:c r="A18" s="161" t="inlineStr">
        <x:is>
          <x:t xml:space="preserve">MK-10</x:t>
        </x:is>
      </x:c>
      <x:c r="B18" s="161" t="inlineStr">
        <x:is>
          <x:t xml:space="preserve">Responsive</x:t>
        </x:is>
      </x:c>
      <x:c r="C18" s="161" t="inlineStr">
        <x:is>
          <x:t xml:space="preserve">Mark</x:t>
        </x:is>
      </x:c>
      <x:c r="D18" s="161" t="inlineStr">
        <x:is>
          <x:t xml:space="preserve">Long marked content, mobile widths, RTL, selection, text spacing, and zoom remain readable.</x:t>
        </x:is>
      </x:c>
      <x:c r="E18" s="161" t="inlineStr">
        <x:is>
          <x:t xml:space="preserve">package</x:t>
        </x:is>
      </x:c>
      <x:c r="F18" s="161" t="inlineStr">
        <x:is>
          <x:t xml:space="preserve">manual</x:t>
        </x:is>
      </x:c>
      <x:c r="G18" s="161" t="inlineStr">
        <x:is>
          <x:t xml:space="preserve">manual-tests/mark.md</x:t>
        </x:is>
      </x:c>
      <x:c r="H18" s="165" t="inlineStr">
        <x:is>
          <x:t xml:space="preserve">implemented</x:t>
        </x:is>
      </x:c>
      <x:c r="I18" s="161" t="inlineStr">
        <x:is>
          <x:t xml:space="preserve">yes</x:t>
        </x:is>
      </x:c>
      <x:c r="J18" s="163" t="n"/>
      <x:c r="K18" s="161" t="inlineStr">
        <x:is>
          <x:t xml:space="preserve">Human protocol remains pending. Automated and visual evidence stays in its owning tests and does not complete this human gate.</x:t>
        </x:is>
      </x:c>
      <x:c r="L18" s="164" t="n">
        <x:v>1</x:v>
      </x:c>
      <x:c r="M18" s="164" t="n">
        <x:f>IF(OR(AND(I18="yes",H18="verified"),AND(I18="no",OR(H18="tested",H18="verified")),AND(H18="not applicable",K18&lt;&gt;"")),1,0)</x:f>
        <x:v>0</x:v>
      </x:c>
    </x:row>
    <x:row r="19" s="127" customFormat="1" ht="54" customHeight="1">
      <x:c r="A19" s="161" t="inlineStr">
        <x:is>
          <x:t xml:space="preserve">MK-11</x:t>
        </x:is>
      </x:c>
      <x:c r="B19" s="161" t="inlineStr">
        <x:is>
          <x:t xml:space="preserve">Theme</x:t>
        </x:is>
      </x:c>
      <x:c r="C19" s="161" t="inlineStr">
        <x:is>
          <x:t xml:space="preserve">Mark</x:t>
        </x:is>
      </x:c>
      <x:c r="D19" s="161" t="inlineStr">
        <x:is>
          <x:t xml:space="preserve">All recipes retain readable foreground/background relationships across appearances and forced colors.</x:t>
        </x:is>
      </x:c>
      <x:c r="E19" s="161" t="inlineStr">
        <x:is>
          <x:t xml:space="preserve">package</x:t>
        </x:is>
      </x:c>
      <x:c r="F19" s="161" t="inlineStr">
        <x:is>
          <x:t xml:space="preserve">manual</x:t>
        </x:is>
      </x:c>
      <x:c r="G19" s="161" t="inlineStr">
        <x:is>
          <x:t xml:space="preserve">manual-tests/mark.md; tests/components/mark/visual.spec.ts</x:t>
        </x:is>
      </x:c>
      <x:c r="H19" s="165" t="inlineStr">
        <x:is>
          <x:t xml:space="preserve">implemented</x:t>
        </x:is>
      </x:c>
      <x:c r="I19" s="161" t="inlineStr">
        <x:is>
          <x:t xml:space="preserve">yes</x:t>
        </x:is>
      </x:c>
      <x:c r="J19" s="163" t="n"/>
      <x:c r="K19" s="161" t="inlineStr">
        <x:is>
          <x:t xml:space="preserve">Human protocol remains pending. Automated and visual evidence stays in its owning tests and does not complete this human gate.</x:t>
        </x:is>
      </x:c>
      <x:c r="L19" s="164" t="n">
        <x:v>1</x:v>
      </x:c>
      <x:c r="M19" s="164" t="n">
        <x:f>IF(OR(AND(I19="yes",H19="verified"),AND(I19="no",OR(H19="tested",H19="verified")),AND(H19="not applicable",K19&lt;&gt;"")),1,0)</x:f>
        <x:v>0</x:v>
      </x:c>
    </x:row>
    <x:row r="20" s="127" customFormat="1" ht="54" customHeight="1">
      <x:c r="A20" s="161" t="inlineStr">
        <x:is>
          <x:t xml:space="preserve">MK-12</x:t>
        </x:is>
      </x:c>
      <x:c r="B20" s="161" t="inlineStr">
        <x:is>
          <x:t xml:space="preserve">Semantics</x:t>
        </x:is>
      </x:c>
      <x:c r="C20" s="161" t="inlineStr">
        <x:is>
          <x:t xml:space="preserve">Mark</x:t>
        </x:is>
      </x:c>
      <x:c r="D20" s="161" t="inlineStr">
        <x:is>
          <x:t xml:space="preserve">The component renders native mark without accepting a query or duplicating Atom Highlight.</x:t>
        </x:is>
      </x:c>
      <x:c r="E20" s="161" t="inlineStr">
        <x:is>
          <x:t xml:space="preserve">package</x:t>
        </x:is>
      </x:c>
      <x:c r="F20" s="161" t="inlineStr">
        <x:is>
          <x:t xml:space="preserve">browser</x:t>
        </x:is>
      </x:c>
      <x:c r="G20" s="161" t="inlineStr">
        <x:is>
          <x:t xml:space="preserve">tests/components/mark/behavior.spec.ts</x:t>
        </x:is>
      </x:c>
      <x:c r="H20" s="162" t="inlineStr">
        <x:is>
          <x:t xml:space="preserve">tested</x:t>
        </x:is>
      </x:c>
      <x:c r="I20" s="161" t="inlineStr">
        <x:is>
          <x:t xml:space="preserve">no</x:t>
        </x:is>
      </x:c>
      <x:c r="J20" s="163" t="n">
        <x:v>46264</x:v>
      </x:c>
      <x:c r="K20" s="161" t="n"/>
      <x:c r="L20" s="164" t="n">
        <x:v>1</x:v>
      </x:c>
      <x:c r="M20" s="164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61" t="inlineStr">
        <x:is>
          <x:t xml:space="preserve">MK-13</x:t>
        </x:is>
      </x:c>
      <x:c r="B21" s="161" t="inlineStr">
        <x:is>
          <x:t xml:space="preserve">Manual</x:t>
        </x:is>
      </x:c>
      <x:c r="C21" s="161" t="inlineStr">
        <x:is>
          <x:t xml:space="preserve">Mark</x:t>
        </x:is>
      </x:c>
      <x:c r="D21" s="161" t="inlineStr">
        <x:is>
          <x:t xml:space="preserve">The component-owned manual protocol covers every Mark playground scenario.</x:t>
        </x:is>
      </x:c>
      <x:c r="E21" s="161" t="inlineStr">
        <x:is>
          <x:t xml:space="preserve">package</x:t>
        </x:is>
      </x:c>
      <x:c r="F21" s="161" t="inlineStr">
        <x:is>
          <x:t xml:space="preserve">manual</x:t>
        </x:is>
      </x:c>
      <x:c r="G21" s="161" t="inlineStr">
        <x:is>
          <x:t xml:space="preserve">manual-tests/mark.md</x:t>
        </x:is>
      </x:c>
      <x:c r="H21" s="165" t="inlineStr">
        <x:is>
          <x:t xml:space="preserve">implemented</x:t>
        </x:is>
      </x:c>
      <x:c r="I21" s="161" t="inlineStr">
        <x:is>
          <x:t xml:space="preserve">yes</x:t>
        </x:is>
      </x:c>
      <x:c r="J21" s="163" t="n"/>
      <x:c r="K21" s="161" t="inlineStr">
        <x:is>
          <x:t xml:space="preserve">Human protocol remains pending. Automated and visual evidence stays in its owning tests and does not complete this human gate.</x:t>
        </x:is>
      </x:c>
      <x:c r="L21" s="164" t="n">
        <x:v>1</x:v>
      </x:c>
      <x:c r="M21" s="164" t="n">
        <x:f>IF(OR(AND(I21="yes",H21="verified"),AND(I21="no",OR(H21="tested",H21="verified")),AND(H21="not applicable",K21&lt;&gt;"")),1,0)</x:f>
        <x:v>0</x:v>
      </x:c>
    </x:row>
    <x:row r="22" s="127" customFormat="1" ht="54" customHeight="1">
      <x:c r="A22" s="161" t="inlineStr">
        <x:is>
          <x:t xml:space="preserve">MK-14</x:t>
        </x:is>
      </x:c>
      <x:c r="B22" s="161" t="inlineStr">
        <x:is>
          <x:t xml:space="preserve">Docs</x:t>
        </x:is>
      </x:c>
      <x:c r="C22" s="161" t="inlineStr">
        <x:is>
          <x:t xml:space="preserve">Mark</x:t>
        </x:is>
      </x:c>
      <x:c r="D22" s="161" t="inlineStr">
        <x:is>
          <x:t xml:space="preserve">Source-backed public usage, API, accessibility, and token documentation passes.</x:t>
        </x:is>
      </x:c>
      <x:c r="E22" s="161" t="inlineStr">
        <x:is>
          <x:t xml:space="preserve">package</x:t>
        </x:is>
      </x:c>
      <x:c r="F22" s="161" t="inlineStr">
        <x:is>
          <x:t xml:space="preserve">docs</x:t>
        </x:is>
      </x:c>
      <x:c r="G22" s="161" t="inlineStr">
        <x:is>
          <x:t xml:space="preserve">../docs/components/mark/README.md</x:t>
        </x:is>
      </x:c>
      <x:c r="H22" s="162" t="inlineStr">
        <x:is>
          <x:t xml:space="preserve">tested</x:t>
        </x:is>
      </x:c>
      <x:c r="I22" s="161" t="inlineStr">
        <x:is>
          <x:t xml:space="preserve">no</x:t>
        </x:is>
      </x:c>
      <x:c r="J22" s="163" t="n">
        <x:v>46264</x:v>
      </x:c>
      <x:c r="K22" s="161" t="n"/>
      <x:c r="L22" s="164" t="n">
        <x:v>1</x:v>
      </x:c>
      <x:c r="M22" s="164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61" t="inlineStr">
        <x:is>
          <x:t xml:space="preserve">MK-15</x:t>
        </x:is>
      </x:c>
      <x:c r="B23" s="161" t="inlineStr">
        <x:is>
          <x:t xml:space="preserve">Changelog</x:t>
        </x:is>
      </x:c>
      <x:c r="C23" s="161" t="inlineStr">
        <x:is>
          <x:t xml:space="preserve">Mark</x:t>
        </x:is>
      </x:c>
      <x:c r="D23" s="161" t="inlineStr">
        <x:is>
          <x:t xml:space="preserve">Mark owns a public changelog and the package changelog records its addition.</x:t>
        </x:is>
      </x:c>
      <x:c r="E23" s="161" t="inlineStr">
        <x:is>
          <x:t xml:space="preserve">package</x:t>
        </x:is>
      </x:c>
      <x:c r="F23" s="161" t="inlineStr">
        <x:is>
          <x:t xml:space="preserve">docs</x:t>
        </x:is>
      </x:c>
      <x:c r="G23" s="161" t="inlineStr">
        <x:is>
          <x:t xml:space="preserve">../docs/components/mark/CHANGELOG.md; ../CHANGELOG.md</x:t>
        </x:is>
      </x:c>
      <x:c r="H23" s="162" t="inlineStr">
        <x:is>
          <x:t xml:space="preserve">tested</x:t>
        </x:is>
      </x:c>
      <x:c r="I23" s="161" t="inlineStr">
        <x:is>
          <x:t xml:space="preserve">no</x:t>
        </x:is>
      </x:c>
      <x:c r="J23" s="163" t="n">
        <x:v>46264</x:v>
      </x:c>
      <x:c r="K23" s="161" t="n"/>
      <x:c r="L23" s="164" t="n">
        <x:v>1</x:v>
      </x:c>
      <x:c r="M23" s="164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61" t="inlineStr">
        <x:is>
          <x:t xml:space="preserve">MK-16</x:t>
        </x:is>
      </x:c>
      <x:c r="B24" s="161" t="inlineStr">
        <x:is>
          <x:t xml:space="preserve">Consumer</x:t>
        </x:is>
      </x:c>
      <x:c r="C24" s="161" t="inlineStr">
        <x:is>
          <x:t xml:space="preserve">Mark</x:t>
        </x:is>
      </x:c>
      <x:c r="D24" s="161" t="inlineStr">
        <x:is>
          <x:t xml:space="preserve">The packed Consumer proves Mark through the public package subpath.</x:t>
        </x:is>
      </x:c>
      <x:c r="E24" s="161" t="inlineStr">
        <x:is>
          <x:t xml:space="preserve">consumer</x:t>
        </x:is>
      </x:c>
      <x:c r="F24" s="161" t="inlineStr">
        <x:is>
          <x:t xml:space="preserve">consumer</x:t>
        </x:is>
      </x:c>
      <x:c r="G24" s="161" t="inlineStr">
        <x:is>
          <x:t xml:space="preserve">../apps/consumer/src/App.tsx; ../apps/consumer/tests/consumer.spec.ts</x:t>
        </x:is>
      </x:c>
      <x:c r="H24" s="162" t="inlineStr">
        <x:is>
          <x:t xml:space="preserve">tested</x:t>
        </x:is>
      </x:c>
      <x:c r="I24" s="161" t="inlineStr">
        <x:is>
          <x:t xml:space="preserve">no</x:t>
        </x:is>
      </x:c>
      <x:c r="J24" s="163" t="n">
        <x:v>46264</x:v>
      </x:c>
      <x:c r="K24" s="161" t="n"/>
      <x:c r="L24" s="164" t="n">
        <x:v>1</x:v>
      </x:c>
      <x:c r="M24" s="164" t="n">
        <x:f>IF(OR(AND(I24="yes",H24="verified"),AND(I24="no",OR(H24="tested",H24="verified")),AND(H24="not applicable",K24&lt;&gt;"")),1,0)</x:f>
        <x:v>1</x:v>
      </x:c>
    </x:row>
    <x:row r="25" s="127" customFormat="1" ht="54" customHeight="1">
      <x:c r="A25" s="161" t="inlineStr">
        <x:is>
          <x:t xml:space="preserve">MK-17</x:t>
        </x:is>
      </x:c>
      <x:c r="B25" s="161" t="inlineStr">
        <x:is>
          <x:t xml:space="preserve">Package</x:t>
        </x:is>
      </x:c>
      <x:c r="C25" s="161" t="inlineStr">
        <x:is>
          <x:t xml:space="preserve">Mark</x:t>
        </x:is>
      </x:c>
      <x:c r="D25" s="161" t="inlineStr">
        <x:is>
          <x:t xml:space="preserve">Build, SSR, exports, CSS, Agent Knowledge, tarball, React 18/19, and packed-consumer verification pass.</x:t>
        </x:is>
      </x:c>
      <x:c r="E25" s="161" t="inlineStr">
        <x:is>
          <x:t xml:space="preserve">package</x:t>
        </x:is>
      </x:c>
      <x:c r="F25" s="161" t="inlineStr">
        <x:is>
          <x:t xml:space="preserve">package</x:t>
        </x:is>
      </x:c>
      <x:c r="G25" s="161" t="inlineStr">
        <x:is>
          <x:t xml:space="preserve">../test/package; ../scripts/verify-package.mjs; ../scripts/verify-consumers.mjs</x:t>
        </x:is>
      </x:c>
      <x:c r="H25" s="165" t="inlineStr">
        <x:is>
          <x:t xml:space="preserve">partial</x:t>
        </x:is>
      </x:c>
      <x:c r="I25" s="161" t="inlineStr">
        <x:is>
          <x:t xml:space="preserve">yes</x:t>
        </x:is>
      </x:c>
      <x:c r="J25" s="163" t="n">
        <x:v>46264</x:v>
      </x:c>
      <x:c r="K25" s="161" t="inlineStr">
        <x:is>
          <x:t xml:space="preserve">2026-09-12: Local parity changes. Release, actual zoom, screen reader and physical-device qualification remain pending.</x:t>
        </x:is>
      </x:c>
      <x:c r="L25" s="164" t="n">
        <x:v>1</x:v>
      </x:c>
      <x:c r="M25" s="164" t="n">
        <x:f>IF(OR(AND(I25="yes",H25="verified"),AND(I25="no",OR(H25="tested",H25="verified")),AND(H25="not applicable",K25&lt;&gt;"")),1,0)</x:f>
        <x:v>0</x:v>
      </x:c>
    </x:row>
  </x:sheetData>
  <x:dataValidations count="2">
    <x:dataValidation type="list" errorStyle="stop" operator="between" allowBlank="0" showDropDown="0" showInputMessage="0" showErrorMessage="0" sqref="H9:H25">
      <x:formula1>_Lists!$A$1:$A$7</x:formula1>
      <x:formula2>0</x:formula2>
    </x:dataValidation>
    <x:dataValidation type="list" errorStyle="stop" operator="between" allowBlank="0" showDropDown="0" showInputMessage="0" showErrorMessage="0" sqref="I9:I25">
      <x:formula1>_Lists!$B$1:$B$2</x:formula1>
      <x:formula2>0</x:formula2>
    </x:dataValidation>
  </x:dataValidations>
  <x:pageMargins left="0.7" right="0.7" top="0.75" bottom="0.75" header="0.3" footer="0.3"/>
</x:worksheet>
</file>

<file path=xl/worksheets/sheet95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7" customWidth="1"/>
    <x:col min="2" max="2" width="15.710000038146973" style="127" customWidth="1"/>
    <x:col min="3" max="3" width="18.709999084472656" style="127" customWidth="1"/>
    <x:col min="4" max="4" width="58.709999084472656" style="127" customWidth="1"/>
    <x:col min="5" max="6" width="14.710000038146973" style="127" customWidth="1"/>
    <x:col min="7" max="7" width="50.709999084472656" style="127" customWidth="1"/>
    <x:col min="8" max="8" width="17.709999084472656" style="127" customWidth="1"/>
    <x:col min="9" max="10" width="14.710000038146973" style="127" customWidth="1"/>
    <x:col min="11" max="11" width="42.709999084472656" style="127" customWidth="1"/>
    <x:col min="12" max="13" width="10.710000038146973" style="127" customWidth="1"/>
  </x:cols>
  <x:sheetData>
    <x:row r="1" s="127" customFormat="1" ht="37.5" customHeight="1">
      <x:c r="A1" s="183" t="inlineStr">
        <x:is>
          <x:t xml:space="preserve">Kbd Evidence</x:t>
        </x:is>
      </x:c>
      <x:c r="B1" s="183" t="n"/>
      <x:c r="C1" s="183" t="n"/>
      <x:c r="D1" s="183" t="n"/>
      <x:c r="E1" s="183" t="n"/>
      <x:c r="F1" s="183" t="n"/>
      <x:c r="G1" s="183" t="n"/>
      <x:c r="H1" s="183" t="n"/>
      <x:c r="I1" s="183" t="n"/>
      <x:c r="J1" s="183" t="n"/>
      <x:c r="K1" s="183" t="n"/>
      <x:c r="L1" s="183" t="n"/>
      <x:c r="M1" s="183" t="n"/>
    </x:row>
    <x:row r="2" s="127" customFormat="1" ht="27.75" customHeight="1">
      <x:c r="A2" s="157" t="inlineStr">
        <x:is>
          <x:t xml:space="preserve">Assertion-level keyboard notation, composed sequences, browser, documentation, Consumer, and release evidence.</x:t>
        </x:is>
      </x:c>
      <x:c r="B2" s="157" t="n"/>
      <x:c r="C2" s="157" t="n"/>
      <x:c r="D2" s="157" t="n"/>
      <x:c r="E2" s="157" t="n"/>
      <x:c r="F2" s="157" t="n"/>
      <x:c r="G2" s="157" t="n"/>
      <x:c r="H2" s="157" t="n"/>
      <x:c r="I2" s="157" t="n"/>
      <x:c r="J2" s="157" t="n"/>
      <x:c r="K2" s="157" t="n"/>
      <x:c r="L2" s="157" t="n"/>
      <x:c r="M2" s="157" t="n"/>
    </x:row>
    <x:row r="3"/>
    <x:row r="4" s="127" customFormat="1" ht="17.25" customHeight="1">
      <x:c r="A4" s="157" t="inlineStr">
        <x:is>
          <x:t xml:space="preserve">Requirements</x:t>
        </x:is>
      </x:c>
      <x:c r="B4" s="184" t="n">
        <x:f>COUNTA(A9:A25)</x:f>
        <x:v>17</x:v>
      </x:c>
      <x:c r="C4" s="157" t="n"/>
      <x:c r="D4" s="157" t="inlineStr">
        <x:is>
          <x:t xml:space="preserve">Resolved</x:t>
        </x:is>
      </x:c>
      <x:c r="E4" s="184" t="n">
        <x:f>SUM(M9:M25)</x:f>
        <x:v>12</x:v>
      </x:c>
      <x:c r="F4" s="157" t="n"/>
      <x:c r="G4" s="157" t="inlineStr">
        <x:is>
          <x:t xml:space="preserve">Completion</x:t>
        </x:is>
      </x:c>
      <x:c r="H4" s="184" t="n">
        <x:f>IF(B4=0,0,E4/B4)</x:f>
        <x:v>0.7058823529411765</x:v>
      </x:c>
      <x:c r="I4" s="157" t="n"/>
      <x:c r="J4" s="157" t="inlineStr">
        <x:is>
          <x:t xml:space="preserve">Package gate</x:t>
        </x:is>
      </x:c>
      <x:c r="K4" s="184" t="str">
        <x:f>IF(COUNTIFS(E9:E25,"package",M9:M25,0)&gt;0,"open","complete")</x:f>
        <x:v>open</x:v>
      </x:c>
      <x:c r="L4" s="157" t="n"/>
      <x:c r="M4" s="157" t="n"/>
    </x:row>
    <x:row r="5" s="127" customFormat="1" ht="17.25" customHeight="1">
      <x:c r="A5" s="157" t="inlineStr">
        <x:is>
          <x:t xml:space="preserve">Manual review</x:t>
        </x:is>
      </x:c>
      <x:c r="B5" s="184" t="str">
        <x:f>IF(COUNTIFS(I9:I25,"yes",M9:M25,0)&gt;0,"open","complete")</x:f>
        <x:v>open</x:v>
      </x:c>
      <x:c r="C5" s="157" t="n"/>
      <x:c r="D5" s="157" t="inlineStr">
        <x:is>
          <x:t xml:space="preserve">Consumer gate</x:t>
        </x:is>
      </x:c>
      <x:c r="E5" s="184" t="str">
        <x:f>IF(COUNTIFS(E9:E25,"consumer",M9:M25,0)&gt;0,"open","complete")</x:f>
        <x:v>complete</x:v>
      </x:c>
      <x:c r="F5" s="157" t="n"/>
      <x:c r="G5" s="157" t="n"/>
      <x:c r="H5" s="157" t="n"/>
      <x:c r="I5" s="157" t="n"/>
      <x:c r="J5" s="157" t="n"/>
      <x:c r="K5" s="157" t="n"/>
      <x:c r="L5" s="157" t="n"/>
      <x:c r="M5" s="157" t="n"/>
    </x:row>
    <x:row r="6"/>
    <x:row r="7"/>
    <x:row r="8" s="127" customFormat="1" ht="15" customHeight="1">
      <x:c r="A8" s="159" t="inlineStr">
        <x:is>
          <x:t xml:space="preserve">ID</x:t>
        </x:is>
      </x:c>
      <x:c r="B8" s="159" t="inlineStr">
        <x:is>
          <x:t xml:space="preserve">Area</x:t>
        </x:is>
      </x:c>
      <x:c r="C8" s="159" t="inlineStr">
        <x:is>
          <x:t xml:space="preserve">Part</x:t>
        </x:is>
      </x:c>
      <x:c r="D8" s="159" t="inlineStr">
        <x:is>
          <x:t xml:space="preserve">Requirement</x:t>
        </x:is>
      </x:c>
      <x:c r="E8" s="159" t="inlineStr">
        <x:is>
          <x:t xml:space="preserve">Gate</x:t>
        </x:is>
      </x:c>
      <x:c r="F8" s="159" t="inlineStr">
        <x:is>
          <x:t xml:space="preserve">Evidence type</x:t>
        </x:is>
      </x:c>
      <x:c r="G8" s="159" t="inlineStr">
        <x:is>
          <x:t xml:space="preserve">Evidence / link</x:t>
        </x:is>
      </x:c>
      <x:c r="H8" s="159" t="inlineStr">
        <x:is>
          <x:t xml:space="preserve">Status</x:t>
        </x:is>
      </x:c>
      <x:c r="I8" s="159" t="inlineStr">
        <x:is>
          <x:t xml:space="preserve">Human review?</x:t>
        </x:is>
      </x:c>
      <x:c r="J8" s="159" t="inlineStr">
        <x:is>
          <x:t xml:space="preserve">Last verified</x:t>
        </x:is>
      </x:c>
      <x:c r="K8" s="159" t="inlineStr">
        <x:is>
          <x:t xml:space="preserve">Blocker / N/A reason</x:t>
        </x:is>
      </x:c>
      <x:c r="L8" s="159" t="inlineStr">
        <x:is>
          <x:t xml:space="preserve">Weight</x:t>
        </x:is>
      </x:c>
      <x:c r="M8" s="159" t="inlineStr">
        <x:is>
          <x:t xml:space="preserve">Resolved</x:t>
        </x:is>
      </x:c>
    </x:row>
    <x:row r="9" s="127" customFormat="1" ht="54" customHeight="1">
      <x:c r="A9" s="161" t="inlineStr">
        <x:is>
          <x:t xml:space="preserve">KB-01</x:t>
        </x:is>
      </x:c>
      <x:c r="B9" s="161" t="inlineStr">
        <x:is>
          <x:t xml:space="preserve">Implementation</x:t>
        </x:is>
      </x:c>
      <x:c r="C9" s="161" t="inlineStr">
        <x:is>
          <x:t xml:space="preserve">Kbd</x:t>
        </x:is>
      </x:c>
      <x:c r="D9" s="161" t="inlineStr">
        <x:is>
          <x:t xml:space="preserve">Native kbd host, semantic tones, four variants and static asChild projection.</x:t>
        </x:is>
      </x:c>
      <x:c r="E9" s="161" t="inlineStr">
        <x:is>
          <x:t xml:space="preserve">package</x:t>
        </x:is>
      </x:c>
      <x:c r="F9" s="161" t="inlineStr">
        <x:is>
          <x:t xml:space="preserve">source</x:t>
        </x:is>
      </x:c>
      <x:c r="G9" s="161" t="inlineStr">
        <x:is>
          <x:t xml:space="preserve">../src/components/kbd</x:t>
        </x:is>
      </x:c>
      <x:c r="H9" s="162" t="inlineStr">
        <x:is>
          <x:t xml:space="preserve">tested</x:t>
        </x:is>
      </x:c>
      <x:c r="I9" s="161" t="inlineStr">
        <x:is>
          <x:t xml:space="preserve">no</x:t>
        </x:is>
      </x:c>
      <x:c r="J9" s="163" t="n">
        <x:v>46264</x:v>
      </x:c>
      <x:c r="K9" s="161" t="n"/>
      <x:c r="L9" s="164" t="n">
        <x:v>1</x:v>
      </x:c>
      <x:c r="M9" s="164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61" t="inlineStr">
        <x:is>
          <x:t xml:space="preserve">KB-02</x:t>
        </x:is>
      </x:c>
      <x:c r="B10" s="161" t="inlineStr">
        <x:is>
          <x:t xml:space="preserve">Ownership</x:t>
        </x:is>
      </x:c>
      <x:c r="C10" s="161" t="inlineStr">
        <x:is>
          <x:t xml:space="preserve">Kbd</x:t>
        </x:is>
      </x:c>
      <x:c r="D10" s="161" t="inlineStr">
        <x:is>
          <x:t xml:space="preserve">Keyboard notation remains presentation-only and owns no shortcut registration or platform translation.</x:t>
        </x:is>
      </x:c>
      <x:c r="E10" s="161" t="inlineStr">
        <x:is>
          <x:t xml:space="preserve">package</x:t>
        </x:is>
      </x:c>
      <x:c r="F10" s="161" t="inlineStr">
        <x:is>
          <x:t xml:space="preserve">component</x:t>
        </x:is>
      </x:c>
      <x:c r="G10" s="161" t="inlineStr">
        <x:is>
          <x:t xml:space="preserve">../test/components/kbd/kbd.test.tsx; ../docs/components/kbd/README.md</x:t>
        </x:is>
      </x:c>
      <x:c r="H10" s="162" t="inlineStr">
        <x:is>
          <x:t xml:space="preserve">tested</x:t>
        </x:is>
      </x:c>
      <x:c r="I10" s="161" t="inlineStr">
        <x:is>
          <x:t xml:space="preserve">no</x:t>
        </x:is>
      </x:c>
      <x:c r="J10" s="163" t="n">
        <x:v>46264</x:v>
      </x:c>
      <x:c r="K10" s="161" t="n"/>
      <x:c r="L10" s="164" t="n">
        <x:v>1</x:v>
      </x:c>
      <x:c r="M10" s="164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61" t="inlineStr">
        <x:is>
          <x:t xml:space="preserve">KB-03</x:t>
        </x:is>
      </x:c>
      <x:c r="B11" s="161" t="inlineStr">
        <x:is>
          <x:t xml:space="preserve">Exports</x:t>
        </x:is>
      </x:c>
      <x:c r="C11" s="161" t="inlineStr">
        <x:is>
          <x:t xml:space="preserve">Kbd</x:t>
        </x:is>
      </x:c>
      <x:c r="D11" s="161" t="inlineStr">
        <x:is>
          <x:t xml:space="preserve">Root and public Kbd subpath exports expose the runtime and every public type.</x:t>
        </x:is>
      </x:c>
      <x:c r="E11" s="161" t="inlineStr">
        <x:is>
          <x:t xml:space="preserve">package</x:t>
        </x:is>
      </x:c>
      <x:c r="F11" s="161" t="inlineStr">
        <x:is>
          <x:t xml:space="preserve">package</x:t>
        </x:is>
      </x:c>
      <x:c r="G11" s="161" t="inlineStr">
        <x:is>
          <x:t xml:space="preserve">../test/package/package.test.mjs; ../test/package/ssr.test.mjs</x:t>
        </x:is>
      </x:c>
      <x:c r="H11" s="162" t="inlineStr">
        <x:is>
          <x:t xml:space="preserve">tested</x:t>
        </x:is>
      </x:c>
      <x:c r="I11" s="161" t="inlineStr">
        <x:is>
          <x:t xml:space="preserve">no</x:t>
        </x:is>
      </x:c>
      <x:c r="J11" s="163" t="n">
        <x:v>46264</x:v>
      </x:c>
      <x:c r="K11" s="161" t="n"/>
      <x:c r="L11" s="164" t="n">
        <x:v>1</x:v>
      </x:c>
      <x:c r="M11" s="164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61" t="inlineStr">
        <x:is>
          <x:t xml:space="preserve">KB-04</x:t>
        </x:is>
      </x:c>
      <x:c r="B12" s="161" t="inlineStr">
        <x:is>
          <x:t xml:space="preserve">Types</x:t>
        </x:is>
      </x:c>
      <x:c r="C12" s="161" t="inlineStr">
        <x:is>
          <x:t xml:space="preserve">Kbd</x:t>
        </x:is>
      </x:c>
      <x:c r="D12" s="161" t="inlineStr">
        <x:is>
          <x:t xml:space="preserve">Native attributes, recipes, composition branches, and ref contracts type-check.</x:t>
        </x:is>
      </x:c>
      <x:c r="E12" s="161" t="inlineStr">
        <x:is>
          <x:t xml:space="preserve">package</x:t>
        </x:is>
      </x:c>
      <x:c r="F12" s="161" t="inlineStr">
        <x:is>
          <x:t xml:space="preserve">types</x:t>
        </x:is>
      </x:c>
      <x:c r="G12" s="161" t="inlineStr">
        <x:is>
          <x:t xml:space="preserve">../test/types/components/kbd.test.ts</x:t>
        </x:is>
      </x:c>
      <x:c r="H12" s="162" t="inlineStr">
        <x:is>
          <x:t xml:space="preserve">tested</x:t>
        </x:is>
      </x:c>
      <x:c r="I12" s="161" t="inlineStr">
        <x:is>
          <x:t xml:space="preserve">no</x:t>
        </x:is>
      </x:c>
      <x:c r="J12" s="163" t="n">
        <x:v>46264</x:v>
      </x:c>
      <x:c r="K12" s="161" t="n"/>
      <x:c r="L12" s="164" t="n">
        <x:v>1</x:v>
      </x:c>
      <x:c r="M12" s="164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61" t="inlineStr">
        <x:is>
          <x:t xml:space="preserve">KB-05</x:t>
        </x:is>
      </x:c>
      <x:c r="B13" s="161" t="inlineStr">
        <x:is>
          <x:t xml:space="preserve">CSS</x:t>
        </x:is>
      </x:c>
      <x:c r="C13" s="161" t="inlineStr">
        <x:is>
          <x:t xml:space="preserve">Kbd</x:t>
        </x:is>
      </x:c>
      <x:c r="D13" s="161" t="inlineStr">
        <x:is>
          <x:t xml:space="preserve">Compact token typography, raised bottom border and zero plain padding at every size.</x:t>
        </x:is>
      </x:c>
      <x:c r="E13" s="161" t="inlineStr">
        <x:is>
          <x:t xml:space="preserve">package</x:t>
        </x:is>
      </x:c>
      <x:c r="F13" s="161" t="inlineStr">
        <x:is>
          <x:t xml:space="preserve">css</x:t>
        </x:is>
      </x:c>
      <x:c r="G13" s="161" t="inlineStr">
        <x:is>
          <x:t xml:space="preserve">../src/components/kbd/kbd.css</x:t>
        </x:is>
      </x:c>
      <x:c r="H13" s="162" t="inlineStr">
        <x:is>
          <x:t xml:space="preserve">tested</x:t>
        </x:is>
      </x:c>
      <x:c r="I13" s="161" t="inlineStr">
        <x:is>
          <x:t xml:space="preserve">no</x:t>
        </x:is>
      </x:c>
      <x:c r="J13" s="163" t="n">
        <x:v>46264</x:v>
      </x:c>
      <x:c r="K13" s="161" t="n"/>
      <x:c r="L13" s="164" t="n">
        <x:v>1</x:v>
      </x:c>
      <x:c r="M13" s="164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61" t="inlineStr">
        <x:is>
          <x:t xml:space="preserve">KB-06</x:t>
        </x:is>
      </x:c>
      <x:c r="B14" s="161" t="inlineStr">
        <x:is>
          <x:t xml:space="preserve">Unit</x:t>
        </x:is>
      </x:c>
      <x:c r="C14" s="161" t="inlineStr">
        <x:is>
          <x:t xml:space="preserve">Kbd</x:t>
        </x:is>
      </x:c>
      <x:c r="D14" s="161" t="inlineStr">
        <x:is>
          <x:t xml:space="preserve">Native kbd output, recipes, refs, native forwarding, and composed key sequences pass.</x:t>
        </x:is>
      </x:c>
      <x:c r="E14" s="161" t="inlineStr">
        <x:is>
          <x:t xml:space="preserve">package</x:t>
        </x:is>
      </x:c>
      <x:c r="F14" s="161" t="inlineStr">
        <x:is>
          <x:t xml:space="preserve">component</x:t>
        </x:is>
      </x:c>
      <x:c r="G14" s="161" t="inlineStr">
        <x:is>
          <x:t xml:space="preserve">../test/components/kbd/kbd.test.tsx</x:t>
        </x:is>
      </x:c>
      <x:c r="H14" s="162" t="inlineStr">
        <x:is>
          <x:t xml:space="preserve">tested</x:t>
        </x:is>
      </x:c>
      <x:c r="I14" s="161" t="inlineStr">
        <x:is>
          <x:t xml:space="preserve">no</x:t>
        </x:is>
      </x:c>
      <x:c r="J14" s="163" t="n">
        <x:v>46264</x:v>
      </x:c>
      <x:c r="K14" s="161" t="inlineStr">
        <x:is>
          <x:t xml:space="preserve">2026-09-12: Four unit tests cover native and projected hosts, refs and semantic tones.</x:t>
        </x:is>
      </x:c>
      <x:c r="L14" s="164" t="n">
        <x:v>1</x:v>
      </x:c>
      <x:c r="M14" s="164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61" t="inlineStr">
        <x:is>
          <x:t xml:space="preserve">KB-07</x:t>
        </x:is>
      </x:c>
      <x:c r="B15" s="161" t="inlineStr">
        <x:is>
          <x:t xml:space="preserve">Browser</x:t>
        </x:is>
      </x:c>
      <x:c r="C15" s="161" t="inlineStr">
        <x:is>
          <x:t xml:space="preserve">Kbd</x:t>
        </x:is>
      </x:c>
      <x:c r="D15" s="161" t="inlineStr">
        <x:is>
          <x:t xml:space="preserve">Native output, recipe matrix, forced colors and narrow documentation containment.</x:t>
        </x:is>
      </x:c>
      <x:c r="E15" s="161" t="inlineStr">
        <x:is>
          <x:t xml:space="preserve">package</x:t>
        </x:is>
      </x:c>
      <x:c r="F15" s="161" t="inlineStr">
        <x:is>
          <x:t xml:space="preserve">browser</x:t>
        </x:is>
      </x:c>
      <x:c r="G15" s="161" t="inlineStr">
        <x:is>
          <x:t xml:space="preserve">tests/components/kbd/behavior.spec.ts; tests/components/kbd/parity.spec.ts</x:t>
        </x:is>
      </x:c>
      <x:c r="H15" s="162" t="inlineStr">
        <x:is>
          <x:t xml:space="preserve">tested</x:t>
        </x:is>
      </x:c>
      <x:c r="I15" s="161" t="inlineStr">
        <x:is>
          <x:t xml:space="preserve">no</x:t>
        </x:is>
      </x:c>
      <x:c r="J15" s="163" t="n">
        <x:v>46264</x:v>
      </x:c>
      <x:c r="K15" s="161" t="n"/>
      <x:c r="L15" s="164" t="n">
        <x:v>1</x:v>
      </x:c>
      <x:c r="M15" s="164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61" t="inlineStr">
        <x:is>
          <x:t xml:space="preserve">KB-08</x:t>
        </x:is>
      </x:c>
      <x:c r="B16" s="161" t="inlineStr">
        <x:is>
          <x:t xml:space="preserve">Accessibility</x:t>
        </x:is>
      </x:c>
      <x:c r="C16" s="161" t="inlineStr">
        <x:is>
          <x:t xml:space="preserve">Kbd</x:t>
        </x:is>
      </x:c>
      <x:c r="D16" s="161" t="inlineStr">
        <x:is>
          <x:t xml:space="preserve">Native keyboard-input semantics, readable contrast, forced colors, and axe pass.</x:t>
        </x:is>
      </x:c>
      <x:c r="E16" s="161" t="inlineStr">
        <x:is>
          <x:t xml:space="preserve">package</x:t>
        </x:is>
      </x:c>
      <x:c r="F16" s="161" t="inlineStr">
        <x:is>
          <x:t xml:space="preserve">axe</x:t>
        </x:is>
      </x:c>
      <x:c r="G16" s="161" t="inlineStr">
        <x:is>
          <x:t xml:space="preserve">tests/components/kbd/behavior.spec.ts</x:t>
        </x:is>
      </x:c>
      <x:c r="H16" s="162" t="inlineStr">
        <x:is>
          <x:t xml:space="preserve">tested</x:t>
        </x:is>
      </x:c>
      <x:c r="I16" s="161" t="inlineStr">
        <x:is>
          <x:t xml:space="preserve">no</x:t>
        </x:is>
      </x:c>
      <x:c r="J16" s="163" t="n">
        <x:v>46264</x:v>
      </x:c>
      <x:c r="K16" s="161" t="n"/>
      <x:c r="L16" s="164" t="n">
        <x:v>1</x:v>
      </x:c>
      <x:c r="M16" s="164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61" t="inlineStr">
        <x:is>
          <x:t xml:space="preserve">KB-09</x:t>
        </x:is>
      </x:c>
      <x:c r="B17" s="161" t="inlineStr">
        <x:is>
          <x:t xml:space="preserve">Visual</x:t>
        </x:is>
      </x:c>
      <x:c r="C17" s="161" t="inlineStr">
        <x:is>
          <x:t xml:space="preserve">Kbd</x:t>
        </x:is>
      </x:c>
      <x:c r="D17" s="161" t="inlineStr">
        <x:is>
          <x:t xml:space="preserve">Single keys, sequences, recipes, customization, light, dark, forced colors, and mobile own baselines.</x:t>
        </x:is>
      </x:c>
      <x:c r="E17" s="161" t="inlineStr">
        <x:is>
          <x:t xml:space="preserve">package</x:t>
        </x:is>
      </x:c>
      <x:c r="F17" s="161" t="inlineStr">
        <x:is>
          <x:t xml:space="preserve">visual</x:t>
        </x:is>
      </x:c>
      <x:c r="G17" s="161" t="inlineStr">
        <x:is>
          <x:t xml:space="preserve">tests/components/kbd/visual.spec.ts</x:t>
        </x:is>
      </x:c>
      <x:c r="H17" s="165" t="inlineStr">
        <x:is>
          <x:t xml:space="preserve">tested</x:t>
        </x:is>
      </x:c>
      <x:c r="I17" s="161" t="inlineStr">
        <x:is>
          <x:t xml:space="preserve">yes</x:t>
        </x:is>
      </x:c>
      <x:c r="J17" s="163" t="n">
        <x:v>46264</x:v>
      </x:c>
      <x:c r="K17" s="161" t="inlineStr">
        <x:is>
          <x:t xml:space="preserve">2026-09-12: Renewed light, dark, forced-color and mobile baselines. Manual protocol remains pending.</x:t>
        </x:is>
      </x:c>
      <x:c r="L17" s="164" t="n">
        <x:v>1</x:v>
      </x:c>
      <x:c r="M17" s="164" t="n">
        <x:f>IF(OR(AND(I17="yes",H17="verified"),AND(I17="no",OR(H17="tested",H17="verified")),AND(H17="not applicable",K17&lt;&gt;"")),1,0)</x:f>
        <x:v>0</x:v>
      </x:c>
    </x:row>
    <x:row r="18" s="127" customFormat="1" ht="54" customHeight="1">
      <x:c r="A18" s="161" t="inlineStr">
        <x:is>
          <x:t xml:space="preserve">KB-10</x:t>
        </x:is>
      </x:c>
      <x:c r="B18" s="161" t="inlineStr">
        <x:is>
          <x:t xml:space="preserve">Responsive</x:t>
        </x:is>
      </x:c>
      <x:c r="C18" s="161" t="inlineStr">
        <x:is>
          <x:t xml:space="preserve">Kbd</x:t>
        </x:is>
      </x:c>
      <x:c r="D18" s="161" t="inlineStr">
        <x:is>
          <x:t xml:space="preserve">Long labels and composed sequences wrap or contain correctly across narrow and RTL layouts.</x:t>
        </x:is>
      </x:c>
      <x:c r="E18" s="161" t="inlineStr">
        <x:is>
          <x:t xml:space="preserve">package</x:t>
        </x:is>
      </x:c>
      <x:c r="F18" s="161" t="inlineStr">
        <x:is>
          <x:t xml:space="preserve">manual</x:t>
        </x:is>
      </x:c>
      <x:c r="G18" s="161" t="inlineStr">
        <x:is>
          <x:t xml:space="preserve">manual-tests/kbd.md</x:t>
        </x:is>
      </x:c>
      <x:c r="H18" s="165" t="inlineStr">
        <x:is>
          <x:t xml:space="preserve">implemented</x:t>
        </x:is>
      </x:c>
      <x:c r="I18" s="161" t="inlineStr">
        <x:is>
          <x:t xml:space="preserve">yes</x:t>
        </x:is>
      </x:c>
      <x:c r="J18" s="163" t="n"/>
      <x:c r="K18" s="161" t="inlineStr">
        <x:is>
          <x:t xml:space="preserve">Human protocol remains pending. Automated and visual evidence stays in its owning tests and does not complete this human gate.</x:t>
        </x:is>
      </x:c>
      <x:c r="L18" s="164" t="n">
        <x:v>1</x:v>
      </x:c>
      <x:c r="M18" s="164" t="n">
        <x:f>IF(OR(AND(I18="yes",H18="verified"),AND(I18="no",OR(H18="tested",H18="verified")),AND(H18="not applicable",K18&lt;&gt;"")),1,0)</x:f>
        <x:v>0</x:v>
      </x:c>
    </x:row>
    <x:row r="19" s="127" customFormat="1" ht="54" customHeight="1">
      <x:c r="A19" s="161" t="inlineStr">
        <x:is>
          <x:t xml:space="preserve">KB-11</x:t>
        </x:is>
      </x:c>
      <x:c r="B19" s="161" t="inlineStr">
        <x:is>
          <x:t xml:space="preserve">Theme</x:t>
        </x:is>
      </x:c>
      <x:c r="C19" s="161" t="inlineStr">
        <x:is>
          <x:t xml:space="preserve">Kbd</x:t>
        </x:is>
      </x:c>
      <x:c r="D19" s="161" t="inlineStr">
        <x:is>
          <x:t xml:space="preserve">Key surfaces, borders, text, focus-neutral output, and forced colors remain legible.</x:t>
        </x:is>
      </x:c>
      <x:c r="E19" s="161" t="inlineStr">
        <x:is>
          <x:t xml:space="preserve">package</x:t>
        </x:is>
      </x:c>
      <x:c r="F19" s="161" t="inlineStr">
        <x:is>
          <x:t xml:space="preserve">manual</x:t>
        </x:is>
      </x:c>
      <x:c r="G19" s="161" t="inlineStr">
        <x:is>
          <x:t xml:space="preserve">manual-tests/kbd.md; tests/components/kbd/visual.spec.ts</x:t>
        </x:is>
      </x:c>
      <x:c r="H19" s="165" t="inlineStr">
        <x:is>
          <x:t xml:space="preserve">implemented</x:t>
        </x:is>
      </x:c>
      <x:c r="I19" s="161" t="inlineStr">
        <x:is>
          <x:t xml:space="preserve">yes</x:t>
        </x:is>
      </x:c>
      <x:c r="J19" s="163" t="n"/>
      <x:c r="K19" s="161" t="inlineStr">
        <x:is>
          <x:t xml:space="preserve">Human protocol remains pending. Automated and visual evidence stays in its owning tests and does not complete this human gate.</x:t>
        </x:is>
      </x:c>
      <x:c r="L19" s="164" t="n">
        <x:v>1</x:v>
      </x:c>
      <x:c r="M19" s="164" t="n">
        <x:f>IF(OR(AND(I19="yes",H19="verified"),AND(I19="no",OR(H19="tested",H19="verified")),AND(H19="not applicable",K19&lt;&gt;"")),1,0)</x:f>
        <x:v>0</x:v>
      </x:c>
    </x:row>
    <x:row r="20" s="127" customFormat="1" ht="54" customHeight="1">
      <x:c r="A20" s="161" t="inlineStr">
        <x:is>
          <x:t xml:space="preserve">KB-12</x:t>
        </x:is>
      </x:c>
      <x:c r="B20" s="161" t="inlineStr">
        <x:is>
          <x:t xml:space="preserve">Semantics</x:t>
        </x:is>
      </x:c>
      <x:c r="C20" s="161" t="inlineStr">
        <x:is>
          <x:t xml:space="preserve">Kbd</x:t>
        </x:is>
      </x:c>
      <x:c r="D20" s="161" t="inlineStr">
        <x:is>
          <x:t xml:space="preserve">Every key remains native kbd output and no event listener or shortcut behavior is installed.</x:t>
        </x:is>
      </x:c>
      <x:c r="E20" s="161" t="inlineStr">
        <x:is>
          <x:t xml:space="preserve">package</x:t>
        </x:is>
      </x:c>
      <x:c r="F20" s="161" t="inlineStr">
        <x:is>
          <x:t xml:space="preserve">browser</x:t>
        </x:is>
      </x:c>
      <x:c r="G20" s="161" t="inlineStr">
        <x:is>
          <x:t xml:space="preserve">tests/components/kbd/behavior.spec.ts</x:t>
        </x:is>
      </x:c>
      <x:c r="H20" s="162" t="inlineStr">
        <x:is>
          <x:t xml:space="preserve">tested</x:t>
        </x:is>
      </x:c>
      <x:c r="I20" s="161" t="inlineStr">
        <x:is>
          <x:t xml:space="preserve">no</x:t>
        </x:is>
      </x:c>
      <x:c r="J20" s="163" t="n">
        <x:v>46264</x:v>
      </x:c>
      <x:c r="K20" s="161" t="n"/>
      <x:c r="L20" s="164" t="n">
        <x:v>1</x:v>
      </x:c>
      <x:c r="M20" s="164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61" t="inlineStr">
        <x:is>
          <x:t xml:space="preserve">KB-13</x:t>
        </x:is>
      </x:c>
      <x:c r="B21" s="161" t="inlineStr">
        <x:is>
          <x:t xml:space="preserve">Manual</x:t>
        </x:is>
      </x:c>
      <x:c r="C21" s="161" t="inlineStr">
        <x:is>
          <x:t xml:space="preserve">Kbd</x:t>
        </x:is>
      </x:c>
      <x:c r="D21" s="161" t="inlineStr">
        <x:is>
          <x:t xml:space="preserve">The component-owned manual protocol covers every Kbd playground scenario.</x:t>
        </x:is>
      </x:c>
      <x:c r="E21" s="161" t="inlineStr">
        <x:is>
          <x:t xml:space="preserve">package</x:t>
        </x:is>
      </x:c>
      <x:c r="F21" s="161" t="inlineStr">
        <x:is>
          <x:t xml:space="preserve">manual</x:t>
        </x:is>
      </x:c>
      <x:c r="G21" s="161" t="inlineStr">
        <x:is>
          <x:t xml:space="preserve">manual-tests/kbd.md</x:t>
        </x:is>
      </x:c>
      <x:c r="H21" s="165" t="inlineStr">
        <x:is>
          <x:t xml:space="preserve">implemented</x:t>
        </x:is>
      </x:c>
      <x:c r="I21" s="161" t="inlineStr">
        <x:is>
          <x:t xml:space="preserve">yes</x:t>
        </x:is>
      </x:c>
      <x:c r="J21" s="163" t="n"/>
      <x:c r="K21" s="161" t="inlineStr">
        <x:is>
          <x:t xml:space="preserve">Human protocol remains pending. Automated and visual evidence stays in its owning tests and does not complete this human gate.</x:t>
        </x:is>
      </x:c>
      <x:c r="L21" s="164" t="n">
        <x:v>1</x:v>
      </x:c>
      <x:c r="M21" s="164" t="n">
        <x:f>IF(OR(AND(I21="yes",H21="verified"),AND(I21="no",OR(H21="tested",H21="verified")),AND(H21="not applicable",K21&lt;&gt;"")),1,0)</x:f>
        <x:v>0</x:v>
      </x:c>
    </x:row>
    <x:row r="22" s="127" customFormat="1" ht="54" customHeight="1">
      <x:c r="A22" s="161" t="inlineStr">
        <x:is>
          <x:t xml:space="preserve">KB-14</x:t>
        </x:is>
      </x:c>
      <x:c r="B22" s="161" t="inlineStr">
        <x:is>
          <x:t xml:space="preserve">Docs</x:t>
        </x:is>
      </x:c>
      <x:c r="C22" s="161" t="inlineStr">
        <x:is>
          <x:t xml:space="preserve">Kbd</x:t>
        </x:is>
      </x:c>
      <x:c r="D22" s="161" t="inlineStr">
        <x:is>
          <x:t xml:space="preserve">Source-backed public usage, API, accessibility, and token documentation passes.</x:t>
        </x:is>
      </x:c>
      <x:c r="E22" s="161" t="inlineStr">
        <x:is>
          <x:t xml:space="preserve">package</x:t>
        </x:is>
      </x:c>
      <x:c r="F22" s="161" t="inlineStr">
        <x:is>
          <x:t xml:space="preserve">docs</x:t>
        </x:is>
      </x:c>
      <x:c r="G22" s="161" t="inlineStr">
        <x:is>
          <x:t xml:space="preserve">../docs/components/kbd/README.md</x:t>
        </x:is>
      </x:c>
      <x:c r="H22" s="162" t="inlineStr">
        <x:is>
          <x:t xml:space="preserve">tested</x:t>
        </x:is>
      </x:c>
      <x:c r="I22" s="161" t="inlineStr">
        <x:is>
          <x:t xml:space="preserve">no</x:t>
        </x:is>
      </x:c>
      <x:c r="J22" s="163" t="n">
        <x:v>46264</x:v>
      </x:c>
      <x:c r="K22" s="161" t="n"/>
      <x:c r="L22" s="164" t="n">
        <x:v>1</x:v>
      </x:c>
      <x:c r="M22" s="164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61" t="inlineStr">
        <x:is>
          <x:t xml:space="preserve">KB-15</x:t>
        </x:is>
      </x:c>
      <x:c r="B23" s="161" t="inlineStr">
        <x:is>
          <x:t xml:space="preserve">Changelog</x:t>
        </x:is>
      </x:c>
      <x:c r="C23" s="161" t="inlineStr">
        <x:is>
          <x:t xml:space="preserve">Kbd</x:t>
        </x:is>
      </x:c>
      <x:c r="D23" s="161" t="inlineStr">
        <x:is>
          <x:t xml:space="preserve">Kbd owns a public changelog and the package changelog records its addition.</x:t>
        </x:is>
      </x:c>
      <x:c r="E23" s="161" t="inlineStr">
        <x:is>
          <x:t xml:space="preserve">package</x:t>
        </x:is>
      </x:c>
      <x:c r="F23" s="161" t="inlineStr">
        <x:is>
          <x:t xml:space="preserve">docs</x:t>
        </x:is>
      </x:c>
      <x:c r="G23" s="161" t="inlineStr">
        <x:is>
          <x:t xml:space="preserve">../docs/components/kbd/CHANGELOG.md; ../CHANGELOG.md</x:t>
        </x:is>
      </x:c>
      <x:c r="H23" s="162" t="inlineStr">
        <x:is>
          <x:t xml:space="preserve">tested</x:t>
        </x:is>
      </x:c>
      <x:c r="I23" s="161" t="inlineStr">
        <x:is>
          <x:t xml:space="preserve">no</x:t>
        </x:is>
      </x:c>
      <x:c r="J23" s="163" t="n">
        <x:v>46264</x:v>
      </x:c>
      <x:c r="K23" s="161" t="n"/>
      <x:c r="L23" s="164" t="n">
        <x:v>1</x:v>
      </x:c>
      <x:c r="M23" s="164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61" t="inlineStr">
        <x:is>
          <x:t xml:space="preserve">KB-16</x:t>
        </x:is>
      </x:c>
      <x:c r="B24" s="161" t="inlineStr">
        <x:is>
          <x:t xml:space="preserve">Consumer</x:t>
        </x:is>
      </x:c>
      <x:c r="C24" s="161" t="inlineStr">
        <x:is>
          <x:t xml:space="preserve">Kbd</x:t>
        </x:is>
      </x:c>
      <x:c r="D24" s="161" t="inlineStr">
        <x:is>
          <x:t xml:space="preserve">The packed Consumer proves Kbd through the public package subpath.</x:t>
        </x:is>
      </x:c>
      <x:c r="E24" s="161" t="inlineStr">
        <x:is>
          <x:t xml:space="preserve">consumer</x:t>
        </x:is>
      </x:c>
      <x:c r="F24" s="161" t="inlineStr">
        <x:is>
          <x:t xml:space="preserve">consumer</x:t>
        </x:is>
      </x:c>
      <x:c r="G24" s="161" t="inlineStr">
        <x:is>
          <x:t xml:space="preserve">../apps/consumer/src/App.tsx; ../apps/consumer/tests/consumer.spec.ts</x:t>
        </x:is>
      </x:c>
      <x:c r="H24" s="162" t="inlineStr">
        <x:is>
          <x:t xml:space="preserve">tested</x:t>
        </x:is>
      </x:c>
      <x:c r="I24" s="161" t="inlineStr">
        <x:is>
          <x:t xml:space="preserve">no</x:t>
        </x:is>
      </x:c>
      <x:c r="J24" s="163" t="n">
        <x:v>46264</x:v>
      </x:c>
      <x:c r="K24" s="161" t="n"/>
      <x:c r="L24" s="164" t="n">
        <x:v>1</x:v>
      </x:c>
      <x:c r="M24" s="164" t="n">
        <x:f>IF(OR(AND(I24="yes",H24="verified"),AND(I24="no",OR(H24="tested",H24="verified")),AND(H24="not applicable",K24&lt;&gt;"")),1,0)</x:f>
        <x:v>1</x:v>
      </x:c>
    </x:row>
    <x:row r="25" s="127" customFormat="1" ht="54" customHeight="1">
      <x:c r="A25" s="161" t="inlineStr">
        <x:is>
          <x:t xml:space="preserve">KB-17</x:t>
        </x:is>
      </x:c>
      <x:c r="B25" s="161" t="inlineStr">
        <x:is>
          <x:t xml:space="preserve">Package</x:t>
        </x:is>
      </x:c>
      <x:c r="C25" s="161" t="inlineStr">
        <x:is>
          <x:t xml:space="preserve">Kbd</x:t>
        </x:is>
      </x:c>
      <x:c r="D25" s="161" t="inlineStr">
        <x:is>
          <x:t xml:space="preserve">Build, SSR, exports, CSS, Agent Knowledge, tarball, React 18/19, and packed-consumer verification pass.</x:t>
        </x:is>
      </x:c>
      <x:c r="E25" s="161" t="inlineStr">
        <x:is>
          <x:t xml:space="preserve">package</x:t>
        </x:is>
      </x:c>
      <x:c r="F25" s="161" t="inlineStr">
        <x:is>
          <x:t xml:space="preserve">package</x:t>
        </x:is>
      </x:c>
      <x:c r="G25" s="161" t="inlineStr">
        <x:is>
          <x:t xml:space="preserve">../test/package; ../scripts/verify-package.mjs; ../scripts/verify-consumers.mjs</x:t>
        </x:is>
      </x:c>
      <x:c r="H25" s="165" t="inlineStr">
        <x:is>
          <x:t xml:space="preserve">partial</x:t>
        </x:is>
      </x:c>
      <x:c r="I25" s="161" t="inlineStr">
        <x:is>
          <x:t xml:space="preserve">yes</x:t>
        </x:is>
      </x:c>
      <x:c r="J25" s="163" t="n">
        <x:v>46264</x:v>
      </x:c>
      <x:c r="K25" s="161" t="inlineStr">
        <x:is>
          <x:t xml:space="preserve">2026-09-12: Local parity changes. Release, actual zoom, screen reader and physical-device qualification remain pending.</x:t>
        </x:is>
      </x:c>
      <x:c r="L25" s="164" t="n">
        <x:v>1</x:v>
      </x:c>
      <x:c r="M25" s="164" t="n">
        <x:f>IF(OR(AND(I25="yes",H25="verified"),AND(I25="no",OR(H25="tested",H25="verified")),AND(H25="not applicable",K25&lt;&gt;"")),1,0)</x:f>
        <x:v>0</x:v>
      </x:c>
    </x:row>
  </x:sheetData>
  <x:dataValidations count="2">
    <x:dataValidation type="list" errorStyle="stop" operator="between" allowBlank="0" showDropDown="0" showInputMessage="0" showErrorMessage="0" sqref="H9:H25">
      <x:formula1>_Lists!$A$1:$A$7</x:formula1>
      <x:formula2>0</x:formula2>
    </x:dataValidation>
    <x:dataValidation type="list" errorStyle="stop" operator="between" allowBlank="0" showDropDown="0" showInputMessage="0" showErrorMessage="0" sqref="I9:I25">
      <x:formula1>_Lists!$B$1:$B$2</x:formula1>
      <x:formula2>0</x:formula2>
    </x:dataValidation>
  </x:dataValidations>
  <x:pageMargins left="0.7" right="0.7" top="0.75" bottom="0.75" header="0.3" footer="0.3"/>
</x:worksheet>
</file>

<file path=xl/worksheets/sheet96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7" customWidth="1"/>
    <x:col min="2" max="2" width="15.710000038146973" style="127" customWidth="1"/>
    <x:col min="3" max="3" width="18.709999084472656" style="127" customWidth="1"/>
    <x:col min="4" max="4" width="58.709999084472656" style="127" customWidth="1"/>
    <x:col min="5" max="6" width="14.710000038146973" style="127" customWidth="1"/>
    <x:col min="7" max="7" width="50.709999084472656" style="127" customWidth="1"/>
    <x:col min="8" max="8" width="17.709999084472656" style="127" customWidth="1"/>
    <x:col min="9" max="10" width="14.710000038146973" style="127" customWidth="1"/>
    <x:col min="11" max="11" width="42.709999084472656" style="127" customWidth="1"/>
    <x:col min="12" max="13" width="10.710000038146973" style="127" customWidth="1"/>
  </x:cols>
  <x:sheetData>
    <x:row r="1" s="127" customFormat="1" ht="37.5" customHeight="1">
      <x:c r="A1" s="183" t="inlineStr">
        <x:is>
          <x:t xml:space="preserve">Blockquote Evidence</x:t>
        </x:is>
      </x:c>
      <x:c r="B1" s="183" t="n"/>
      <x:c r="C1" s="183" t="n"/>
      <x:c r="D1" s="183" t="n"/>
      <x:c r="E1" s="183" t="n"/>
      <x:c r="F1" s="183" t="n"/>
      <x:c r="G1" s="183" t="n"/>
      <x:c r="H1" s="183" t="n"/>
      <x:c r="I1" s="183" t="n"/>
      <x:c r="J1" s="183" t="n"/>
      <x:c r="K1" s="183" t="n"/>
      <x:c r="L1" s="183" t="n"/>
      <x:c r="M1" s="183" t="n"/>
    </x:row>
    <x:row r="2" s="127" customFormat="1" ht="27.75" customHeight="1">
      <x:c r="A2" s="157" t="inlineStr">
        <x:is>
          <x:t xml:space="preserve">Assertion-level quotation anatomy, attribution, browser, documentation, Consumer, and release evidence.</x:t>
        </x:is>
      </x:c>
      <x:c r="B2" s="157" t="n"/>
      <x:c r="C2" s="157" t="n"/>
      <x:c r="D2" s="157" t="n"/>
      <x:c r="E2" s="157" t="n"/>
      <x:c r="F2" s="157" t="n"/>
      <x:c r="G2" s="157" t="n"/>
      <x:c r="H2" s="157" t="n"/>
      <x:c r="I2" s="157" t="n"/>
      <x:c r="J2" s="157" t="n"/>
      <x:c r="K2" s="157" t="n"/>
      <x:c r="L2" s="157" t="n"/>
      <x:c r="M2" s="157" t="n"/>
    </x:row>
    <x:row r="3"/>
    <x:row r="4" s="127" customFormat="1" ht="17.25" customHeight="1">
      <x:c r="A4" s="157" t="inlineStr">
        <x:is>
          <x:t xml:space="preserve">Requirements</x:t>
        </x:is>
      </x:c>
      <x:c r="B4" s="184" t="n">
        <x:f>COUNTA(A9:A25)</x:f>
        <x:v>17</x:v>
      </x:c>
      <x:c r="C4" s="157" t="n"/>
      <x:c r="D4" s="157" t="inlineStr">
        <x:is>
          <x:t xml:space="preserve">Resolved</x:t>
        </x:is>
      </x:c>
      <x:c r="E4" s="184" t="n">
        <x:f>SUM(M9:M25)</x:f>
        <x:v>12</x:v>
      </x:c>
      <x:c r="F4" s="157" t="n"/>
      <x:c r="G4" s="157" t="inlineStr">
        <x:is>
          <x:t xml:space="preserve">Completion</x:t>
        </x:is>
      </x:c>
      <x:c r="H4" s="184" t="n">
        <x:f>IF(B4=0,0,E4/B4)</x:f>
        <x:v>0.7058823529411765</x:v>
      </x:c>
      <x:c r="I4" s="157" t="n"/>
      <x:c r="J4" s="157" t="inlineStr">
        <x:is>
          <x:t xml:space="preserve">Package gate</x:t>
        </x:is>
      </x:c>
      <x:c r="K4" s="184" t="str">
        <x:f>IF(COUNTIFS(E9:E25,"package",M9:M25,0)&gt;0,"open","complete")</x:f>
        <x:v>open</x:v>
      </x:c>
      <x:c r="L4" s="157" t="n"/>
      <x:c r="M4" s="157" t="n"/>
    </x:row>
    <x:row r="5" s="127" customFormat="1" ht="17.25" customHeight="1">
      <x:c r="A5" s="157" t="inlineStr">
        <x:is>
          <x:t xml:space="preserve">Manual review</x:t>
        </x:is>
      </x:c>
      <x:c r="B5" s="184" t="str">
        <x:f>IF(COUNTIFS(I9:I25,"yes",M9:M25,0)&gt;0,"open","complete")</x:f>
        <x:v>open</x:v>
      </x:c>
      <x:c r="C5" s="157" t="n"/>
      <x:c r="D5" s="157" t="inlineStr">
        <x:is>
          <x:t xml:space="preserve">Consumer gate</x:t>
        </x:is>
      </x:c>
      <x:c r="E5" s="184" t="str">
        <x:f>IF(COUNTIFS(E9:E25,"consumer",M9:M25,0)&gt;0,"open","complete")</x:f>
        <x:v>complete</x:v>
      </x:c>
      <x:c r="F5" s="157" t="n"/>
      <x:c r="G5" s="157" t="n"/>
      <x:c r="H5" s="157" t="n"/>
      <x:c r="I5" s="157" t="n"/>
      <x:c r="J5" s="157" t="n"/>
      <x:c r="K5" s="157" t="n"/>
      <x:c r="L5" s="157" t="n"/>
      <x:c r="M5" s="157" t="n"/>
    </x:row>
    <x:row r="6"/>
    <x:row r="7"/>
    <x:row r="8" s="127" customFormat="1" ht="15" customHeight="1">
      <x:c r="A8" s="159" t="inlineStr">
        <x:is>
          <x:t xml:space="preserve">ID</x:t>
        </x:is>
      </x:c>
      <x:c r="B8" s="159" t="inlineStr">
        <x:is>
          <x:t xml:space="preserve">Area</x:t>
        </x:is>
      </x:c>
      <x:c r="C8" s="159" t="inlineStr">
        <x:is>
          <x:t xml:space="preserve">Part</x:t>
        </x:is>
      </x:c>
      <x:c r="D8" s="159" t="inlineStr">
        <x:is>
          <x:t xml:space="preserve">Requirement</x:t>
        </x:is>
      </x:c>
      <x:c r="E8" s="159" t="inlineStr">
        <x:is>
          <x:t xml:space="preserve">Gate</x:t>
        </x:is>
      </x:c>
      <x:c r="F8" s="159" t="inlineStr">
        <x:is>
          <x:t xml:space="preserve">Evidence type</x:t>
        </x:is>
      </x:c>
      <x:c r="G8" s="159" t="inlineStr">
        <x:is>
          <x:t xml:space="preserve">Evidence / link</x:t>
        </x:is>
      </x:c>
      <x:c r="H8" s="159" t="inlineStr">
        <x:is>
          <x:t xml:space="preserve">Status</x:t>
        </x:is>
      </x:c>
      <x:c r="I8" s="159" t="inlineStr">
        <x:is>
          <x:t xml:space="preserve">Human review?</x:t>
        </x:is>
      </x:c>
      <x:c r="J8" s="159" t="inlineStr">
        <x:is>
          <x:t xml:space="preserve">Last verified</x:t>
        </x:is>
      </x:c>
      <x:c r="K8" s="159" t="inlineStr">
        <x:is>
          <x:t xml:space="preserve">Blocker / N/A reason</x:t>
        </x:is>
      </x:c>
      <x:c r="L8" s="159" t="inlineStr">
        <x:is>
          <x:t xml:space="preserve">Weight</x:t>
        </x:is>
      </x:c>
      <x:c r="M8" s="159" t="inlineStr">
        <x:is>
          <x:t xml:space="preserve">Resolved</x:t>
        </x:is>
      </x:c>
    </x:row>
    <x:row r="9" s="127" customFormat="1" ht="54" customHeight="1">
      <x:c r="A9" s="161" t="inlineStr">
        <x:is>
          <x:t xml:space="preserve">BQ-01</x:t>
        </x:is>
      </x:c>
      <x:c r="B9" s="161" t="inlineStr">
        <x:is>
          <x:t xml:space="preserve">Implementation</x:t>
        </x:is>
      </x:c>
      <x:c r="C9" s="161" t="inlineStr">
        <x:is>
          <x:t xml:space="preserve">Blockquote</x:t>
        </x:is>
      </x:c>
      <x:c r="D9" s="161" t="inlineStr">
        <x:is>
          <x:t xml:space="preserve">Native quotation anatomy, semantic tones, five variants and static asChild projection.</x:t>
        </x:is>
      </x:c>
      <x:c r="E9" s="161" t="inlineStr">
        <x:is>
          <x:t xml:space="preserve">package</x:t>
        </x:is>
      </x:c>
      <x:c r="F9" s="161" t="inlineStr">
        <x:is>
          <x:t xml:space="preserve">source</x:t>
        </x:is>
      </x:c>
      <x:c r="G9" s="161" t="inlineStr">
        <x:is>
          <x:t xml:space="preserve">../src/components/blockquote</x:t>
        </x:is>
      </x:c>
      <x:c r="H9" s="162" t="inlineStr">
        <x:is>
          <x:t xml:space="preserve">tested</x:t>
        </x:is>
      </x:c>
      <x:c r="I9" s="161" t="inlineStr">
        <x:is>
          <x:t xml:space="preserve">no</x:t>
        </x:is>
      </x:c>
      <x:c r="J9" s="163" t="n">
        <x:v>46264</x:v>
      </x:c>
      <x:c r="K9" s="161" t="n"/>
      <x:c r="L9" s="164" t="n">
        <x:v>1</x:v>
      </x:c>
      <x:c r="M9" s="164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61" t="inlineStr">
        <x:is>
          <x:t xml:space="preserve">BQ-02</x:t>
        </x:is>
      </x:c>
      <x:c r="B10" s="161" t="inlineStr">
        <x:is>
          <x:t xml:space="preserve">Ownership</x:t>
        </x:is>
      </x:c>
      <x:c r="C10" s="161" t="inlineStr">
        <x:is>
          <x:t xml:space="preserve">Blockquote</x:t>
        </x:is>
      </x:c>
      <x:c r="D10" s="161" t="inlineStr">
        <x:is>
          <x:t xml:space="preserve">Quoted content, optional accent, caption, cite label, and cite URL preserve the approved semantic tree.</x:t>
        </x:is>
      </x:c>
      <x:c r="E10" s="161" t="inlineStr">
        <x:is>
          <x:t xml:space="preserve">package</x:t>
        </x:is>
      </x:c>
      <x:c r="F10" s="161" t="inlineStr">
        <x:is>
          <x:t xml:space="preserve">component</x:t>
        </x:is>
      </x:c>
      <x:c r="G10" s="161" t="inlineStr">
        <x:is>
          <x:t xml:space="preserve">../test/components/blockquote/blockquote.test.tsx; ../docs/components/blockquote/README.md</x:t>
        </x:is>
      </x:c>
      <x:c r="H10" s="162" t="inlineStr">
        <x:is>
          <x:t xml:space="preserve">tested</x:t>
        </x:is>
      </x:c>
      <x:c r="I10" s="161" t="inlineStr">
        <x:is>
          <x:t xml:space="preserve">no</x:t>
        </x:is>
      </x:c>
      <x:c r="J10" s="163" t="n">
        <x:v>46264</x:v>
      </x:c>
      <x:c r="K10" s="161" t="n"/>
      <x:c r="L10" s="164" t="n">
        <x:v>1</x:v>
      </x:c>
      <x:c r="M10" s="164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61" t="inlineStr">
        <x:is>
          <x:t xml:space="preserve">BQ-03</x:t>
        </x:is>
      </x:c>
      <x:c r="B11" s="161" t="inlineStr">
        <x:is>
          <x:t xml:space="preserve">Exports</x:t>
        </x:is>
      </x:c>
      <x:c r="C11" s="161" t="inlineStr">
        <x:is>
          <x:t xml:space="preserve">Blockquote</x:t>
        </x:is>
      </x:c>
      <x:c r="D11" s="161" t="inlineStr">
        <x:is>
          <x:t xml:space="preserve">Root and public Blockquote subpath exports expose the runtime and every public type.</x:t>
        </x:is>
      </x:c>
      <x:c r="E11" s="161" t="inlineStr">
        <x:is>
          <x:t xml:space="preserve">package</x:t>
        </x:is>
      </x:c>
      <x:c r="F11" s="161" t="inlineStr">
        <x:is>
          <x:t xml:space="preserve">package</x:t>
        </x:is>
      </x:c>
      <x:c r="G11" s="161" t="inlineStr">
        <x:is>
          <x:t xml:space="preserve">../test/package/package.test.mjs; ../test/package/ssr.test.mjs</x:t>
        </x:is>
      </x:c>
      <x:c r="H11" s="162" t="inlineStr">
        <x:is>
          <x:t xml:space="preserve">tested</x:t>
        </x:is>
      </x:c>
      <x:c r="I11" s="161" t="inlineStr">
        <x:is>
          <x:t xml:space="preserve">no</x:t>
        </x:is>
      </x:c>
      <x:c r="J11" s="163" t="n">
        <x:v>46264</x:v>
      </x:c>
      <x:c r="K11" s="161" t="n"/>
      <x:c r="L11" s="164" t="n">
        <x:v>1</x:v>
      </x:c>
      <x:c r="M11" s="164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61" t="inlineStr">
        <x:is>
          <x:t xml:space="preserve">BQ-04</x:t>
        </x:is>
      </x:c>
      <x:c r="B12" s="161" t="inlineStr">
        <x:is>
          <x:t xml:space="preserve">Types</x:t>
        </x:is>
      </x:c>
      <x:c r="C12" s="161" t="inlineStr">
        <x:is>
          <x:t xml:space="preserve">Blockquote</x:t>
        </x:is>
      </x:c>
      <x:c r="D12" s="161" t="inlineStr">
        <x:is>
          <x:t xml:space="preserve">Native attributes, recipes, composition branches, and ref contracts type-check.</x:t>
        </x:is>
      </x:c>
      <x:c r="E12" s="161" t="inlineStr">
        <x:is>
          <x:t xml:space="preserve">package</x:t>
        </x:is>
      </x:c>
      <x:c r="F12" s="161" t="inlineStr">
        <x:is>
          <x:t xml:space="preserve">types</x:t>
        </x:is>
      </x:c>
      <x:c r="G12" s="161" t="inlineStr">
        <x:is>
          <x:t xml:space="preserve">../test/types/components/blockquote.test.ts</x:t>
        </x:is>
      </x:c>
      <x:c r="H12" s="162" t="inlineStr">
        <x:is>
          <x:t xml:space="preserve">tested</x:t>
        </x:is>
      </x:c>
      <x:c r="I12" s="161" t="inlineStr">
        <x:is>
          <x:t xml:space="preserve">no</x:t>
        </x:is>
      </x:c>
      <x:c r="J12" s="163" t="n">
        <x:v>46264</x:v>
      </x:c>
      <x:c r="K12" s="161" t="n"/>
      <x:c r="L12" s="164" t="n">
        <x:v>1</x:v>
      </x:c>
      <x:c r="M12" s="164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61" t="inlineStr">
        <x:is>
          <x:t xml:space="preserve">BQ-05</x:t>
        </x:is>
      </x:c>
      <x:c r="B13" s="161" t="inlineStr">
        <x:is>
          <x:t xml:space="preserve">CSS</x:t>
        </x:is>
      </x:c>
      <x:c r="C13" s="161" t="inlineStr">
        <x:is>
          <x:t xml:space="preserve">Blockquote</x:t>
        </x:is>
      </x:c>
      <x:c r="D13" s="161" t="inlineStr">
        <x:is>
          <x:t xml:space="preserve">Rule/icon roles, inherited quotation typography, caption recipe and stable SVG geometry.</x:t>
        </x:is>
      </x:c>
      <x:c r="E13" s="161" t="inlineStr">
        <x:is>
          <x:t xml:space="preserve">package</x:t>
        </x:is>
      </x:c>
      <x:c r="F13" s="161" t="inlineStr">
        <x:is>
          <x:t xml:space="preserve">css</x:t>
        </x:is>
      </x:c>
      <x:c r="G13" s="161" t="inlineStr">
        <x:is>
          <x:t xml:space="preserve">../src/components/blockquote/blockquote.css</x:t>
        </x:is>
      </x:c>
      <x:c r="H13" s="162" t="inlineStr">
        <x:is>
          <x:t xml:space="preserve">tested</x:t>
        </x:is>
      </x:c>
      <x:c r="I13" s="161" t="inlineStr">
        <x:is>
          <x:t xml:space="preserve">no</x:t>
        </x:is>
      </x:c>
      <x:c r="J13" s="163" t="n">
        <x:v>46264</x:v>
      </x:c>
      <x:c r="K13" s="161" t="n"/>
      <x:c r="L13" s="164" t="n">
        <x:v>1</x:v>
      </x:c>
      <x:c r="M13" s="164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61" t="inlineStr">
        <x:is>
          <x:t xml:space="preserve">BQ-06</x:t>
        </x:is>
      </x:c>
      <x:c r="B14" s="161" t="inlineStr">
        <x:is>
          <x:t xml:space="preserve">Unit</x:t>
        </x:is>
      </x:c>
      <x:c r="C14" s="161" t="inlineStr">
        <x:is>
          <x:t xml:space="preserve">Blockquote</x:t>
        </x:is>
      </x:c>
      <x:c r="D14" s="161" t="inlineStr">
        <x:is>
          <x:t xml:space="preserve">Root, Content, Caption, Cite, icon/accent branches, refs, and native forwarding pass.</x:t>
        </x:is>
      </x:c>
      <x:c r="E14" s="161" t="inlineStr">
        <x:is>
          <x:t xml:space="preserve">package</x:t>
        </x:is>
      </x:c>
      <x:c r="F14" s="161" t="inlineStr">
        <x:is>
          <x:t xml:space="preserve">component</x:t>
        </x:is>
      </x:c>
      <x:c r="G14" s="161" t="inlineStr">
        <x:is>
          <x:t xml:space="preserve">../test/components/blockquote/blockquote.test.tsx</x:t>
        </x:is>
      </x:c>
      <x:c r="H14" s="162" t="inlineStr">
        <x:is>
          <x:t xml:space="preserve">tested</x:t>
        </x:is>
      </x:c>
      <x:c r="I14" s="161" t="inlineStr">
        <x:is>
          <x:t xml:space="preserve">no</x:t>
        </x:is>
      </x:c>
      <x:c r="J14" s="163" t="n">
        <x:v>46264</x:v>
      </x:c>
      <x:c r="K14" s="161" t="inlineStr">
        <x:is>
          <x:t xml:space="preserve">2026-09-12: Four unit tests cover native and projected hosts, refs and default/custom icons.</x:t>
        </x:is>
      </x:c>
      <x:c r="L14" s="164" t="n">
        <x:v>1</x:v>
      </x:c>
      <x:c r="M14" s="164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61" t="inlineStr">
        <x:is>
          <x:t xml:space="preserve">BQ-07</x:t>
        </x:is>
      </x:c>
      <x:c r="B15" s="161" t="inlineStr">
        <x:is>
          <x:t xml:space="preserve">Browser</x:t>
        </x:is>
      </x:c>
      <x:c r="C15" s="161" t="inlineStr">
        <x:is>
          <x:t xml:space="preserve">Blockquote</x:t>
        </x:is>
      </x:c>
      <x:c r="D15" s="161" t="inlineStr">
        <x:is>
          <x:t xml:space="preserve">Quotation semantics, source URL, recipe geometry, narrow reflow, RTL and Prose integration.</x:t>
        </x:is>
      </x:c>
      <x:c r="E15" s="161" t="inlineStr">
        <x:is>
          <x:t xml:space="preserve">package</x:t>
        </x:is>
      </x:c>
      <x:c r="F15" s="161" t="inlineStr">
        <x:is>
          <x:t xml:space="preserve">browser</x:t>
        </x:is>
      </x:c>
      <x:c r="G15" s="161" t="inlineStr">
        <x:is>
          <x:t xml:space="preserve">tests/components/blockquote/behavior.spec.ts</x:t>
        </x:is>
      </x:c>
      <x:c r="H15" s="162" t="inlineStr">
        <x:is>
          <x:t xml:space="preserve">tested</x:t>
        </x:is>
      </x:c>
      <x:c r="I15" s="161" t="inlineStr">
        <x:is>
          <x:t xml:space="preserve">no</x:t>
        </x:is>
      </x:c>
      <x:c r="J15" s="163" t="n">
        <x:v>46264</x:v>
      </x:c>
      <x:c r="K15" s="161" t="n"/>
      <x:c r="L15" s="164" t="n">
        <x:v>1</x:v>
      </x:c>
      <x:c r="M15" s="164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61" t="inlineStr">
        <x:is>
          <x:t xml:space="preserve">BQ-08</x:t>
        </x:is>
      </x:c>
      <x:c r="B16" s="161" t="inlineStr">
        <x:is>
          <x:t xml:space="preserve">Accessibility</x:t>
        </x:is>
      </x:c>
      <x:c r="C16" s="161" t="inlineStr">
        <x:is>
          <x:t xml:space="preserve">Blockquote</x:t>
        </x:is>
      </x:c>
      <x:c r="D16" s="161" t="inlineStr">
        <x:is>
          <x:t xml:space="preserve">Quoted content stays separate from attribution and the complete composition passes axe.</x:t>
        </x:is>
      </x:c>
      <x:c r="E16" s="161" t="inlineStr">
        <x:is>
          <x:t xml:space="preserve">package</x:t>
        </x:is>
      </x:c>
      <x:c r="F16" s="161" t="inlineStr">
        <x:is>
          <x:t xml:space="preserve">axe</x:t>
        </x:is>
      </x:c>
      <x:c r="G16" s="161" t="inlineStr">
        <x:is>
          <x:t xml:space="preserve">tests/components/blockquote/behavior.spec.ts</x:t>
        </x:is>
      </x:c>
      <x:c r="H16" s="162" t="inlineStr">
        <x:is>
          <x:t xml:space="preserve">tested</x:t>
        </x:is>
      </x:c>
      <x:c r="I16" s="161" t="inlineStr">
        <x:is>
          <x:t xml:space="preserve">no</x:t>
        </x:is>
      </x:c>
      <x:c r="J16" s="163" t="n">
        <x:v>46264</x:v>
      </x:c>
      <x:c r="K16" s="161" t="n"/>
      <x:c r="L16" s="164" t="n">
        <x:v>1</x:v>
      </x:c>
      <x:c r="M16" s="164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61" t="inlineStr">
        <x:is>
          <x:t xml:space="preserve">BQ-09</x:t>
        </x:is>
      </x:c>
      <x:c r="B17" s="161" t="inlineStr">
        <x:is>
          <x:t xml:space="preserve">Visual</x:t>
        </x:is>
      </x:c>
      <x:c r="C17" s="161" t="inlineStr">
        <x:is>
          <x:t xml:space="preserve">Blockquote</x:t>
        </x:is>
      </x:c>
      <x:c r="D17" s="161" t="inlineStr">
        <x:is>
          <x:t xml:space="preserve">Anatomy, recipes, optional parts, long attribution, light, dark, forced colors, and mobile own baselines.</x:t>
        </x:is>
      </x:c>
      <x:c r="E17" s="161" t="inlineStr">
        <x:is>
          <x:t xml:space="preserve">package</x:t>
        </x:is>
      </x:c>
      <x:c r="F17" s="161" t="inlineStr">
        <x:is>
          <x:t xml:space="preserve">visual</x:t>
        </x:is>
      </x:c>
      <x:c r="G17" s="161" t="inlineStr">
        <x:is>
          <x:t xml:space="preserve">tests/components/blockquote/visual.spec.ts</x:t>
        </x:is>
      </x:c>
      <x:c r="H17" s="165" t="inlineStr">
        <x:is>
          <x:t xml:space="preserve">tested</x:t>
        </x:is>
      </x:c>
      <x:c r="I17" s="161" t="inlineStr">
        <x:is>
          <x:t xml:space="preserve">yes</x:t>
        </x:is>
      </x:c>
      <x:c r="J17" s="163" t="n">
        <x:v>46264</x:v>
      </x:c>
      <x:c r="K17" s="161" t="inlineStr">
        <x:is>
          <x:t xml:space="preserve">2026-09-12: Updated visual baselines; renewed physical-device, actual zoom and screen-reader checks remain pending.</x:t>
        </x:is>
      </x:c>
      <x:c r="L17" s="164" t="n">
        <x:v>1</x:v>
      </x:c>
      <x:c r="M17" s="164" t="n">
        <x:f>IF(OR(AND(I17="yes",H17="verified"),AND(I17="no",OR(H17="tested",H17="verified")),AND(H17="not applicable",K17&lt;&gt;"")),1,0)</x:f>
        <x:v>0</x:v>
      </x:c>
    </x:row>
    <x:row r="18" s="127" customFormat="1" ht="54" customHeight="1">
      <x:c r="A18" s="161" t="inlineStr">
        <x:is>
          <x:t xml:space="preserve">BQ-10</x:t>
        </x:is>
      </x:c>
      <x:c r="B18" s="161" t="inlineStr">
        <x:is>
          <x:t xml:space="preserve">Responsive</x:t>
        </x:is>
      </x:c>
      <x:c r="C18" s="161" t="inlineStr">
        <x:is>
          <x:t xml:space="preserve">Blockquote</x:t>
        </x:is>
      </x:c>
      <x:c r="D18" s="161" t="inlineStr">
        <x:is>
          <x:t xml:space="preserve">Long quotations, citations, localized attribution, zoom, mobile widths, and RTL remain readable.</x:t>
        </x:is>
      </x:c>
      <x:c r="E18" s="161" t="inlineStr">
        <x:is>
          <x:t xml:space="preserve">package</x:t>
        </x:is>
      </x:c>
      <x:c r="F18" s="161" t="inlineStr">
        <x:is>
          <x:t xml:space="preserve">manual</x:t>
        </x:is>
      </x:c>
      <x:c r="G18" s="161" t="inlineStr">
        <x:is>
          <x:t xml:space="preserve">manual-tests/blockquote.md</x:t>
        </x:is>
      </x:c>
      <x:c r="H18" s="165" t="inlineStr">
        <x:is>
          <x:t xml:space="preserve">implemented</x:t>
        </x:is>
      </x:c>
      <x:c r="I18" s="161" t="inlineStr">
        <x:is>
          <x:t xml:space="preserve">yes</x:t>
        </x:is>
      </x:c>
      <x:c r="J18" s="163" t="n"/>
      <x:c r="K18" s="161" t="inlineStr">
        <x:is>
          <x:t xml:space="preserve">Human protocol remains pending. Automated and visual evidence stays in its owning tests and does not complete this human gate.</x:t>
        </x:is>
      </x:c>
      <x:c r="L18" s="164" t="n">
        <x:v>1</x:v>
      </x:c>
      <x:c r="M18" s="164" t="n">
        <x:f>IF(OR(AND(I18="yes",H18="verified"),AND(I18="no",OR(H18="tested",H18="verified")),AND(H18="not applicable",K18&lt;&gt;"")),1,0)</x:f>
        <x:v>0</x:v>
      </x:c>
    </x:row>
    <x:row r="19" s="127" customFormat="1" ht="54" customHeight="1">
      <x:c r="A19" s="161" t="inlineStr">
        <x:is>
          <x:t xml:space="preserve">BQ-11</x:t>
        </x:is>
      </x:c>
      <x:c r="B19" s="161" t="inlineStr">
        <x:is>
          <x:t xml:space="preserve">Theme</x:t>
        </x:is>
      </x:c>
      <x:c r="C19" s="161" t="inlineStr">
        <x:is>
          <x:t xml:space="preserve">Blockquote</x:t>
        </x:is>
      </x:c>
      <x:c r="D19" s="161" t="inlineStr">
        <x:is>
          <x:t xml:space="preserve">Quote surfaces, accents, icons, and attribution retain legibility in every supported appearance.</x:t>
        </x:is>
      </x:c>
      <x:c r="E19" s="161" t="inlineStr">
        <x:is>
          <x:t xml:space="preserve">package</x:t>
        </x:is>
      </x:c>
      <x:c r="F19" s="161" t="inlineStr">
        <x:is>
          <x:t xml:space="preserve">manual</x:t>
        </x:is>
      </x:c>
      <x:c r="G19" s="161" t="inlineStr">
        <x:is>
          <x:t xml:space="preserve">manual-tests/blockquote.md; tests/components/blockquote/visual.spec.ts</x:t>
        </x:is>
      </x:c>
      <x:c r="H19" s="165" t="inlineStr">
        <x:is>
          <x:t xml:space="preserve">implemented</x:t>
        </x:is>
      </x:c>
      <x:c r="I19" s="161" t="inlineStr">
        <x:is>
          <x:t xml:space="preserve">yes</x:t>
        </x:is>
      </x:c>
      <x:c r="J19" s="163" t="n"/>
      <x:c r="K19" s="161" t="inlineStr">
        <x:is>
          <x:t xml:space="preserve">Human protocol remains pending. Automated and visual evidence stays in its owning tests and does not complete this human gate.</x:t>
        </x:is>
      </x:c>
      <x:c r="L19" s="164" t="n">
        <x:v>1</x:v>
      </x:c>
      <x:c r="M19" s="164" t="n">
        <x:f>IF(OR(AND(I19="yes",H19="verified"),AND(I19="no",OR(H19="tested",H19="verified")),AND(H19="not applicable",K19&lt;&gt;"")),1,0)</x:f>
        <x:v>0</x:v>
      </x:c>
    </x:row>
    <x:row r="20" s="127" customFormat="1" ht="54" customHeight="1">
      <x:c r="A20" s="161" t="inlineStr">
        <x:is>
          <x:t xml:space="preserve">BQ-12</x:t>
        </x:is>
      </x:c>
      <x:c r="B20" s="161" t="inlineStr">
        <x:is>
          <x:t xml:space="preserve">Semantics</x:t>
        </x:is>
      </x:c>
      <x:c r="C20" s="161" t="inlineStr">
        <x:is>
          <x:t xml:space="preserve">Blockquote</x:t>
        </x:is>
      </x:c>
      <x:c r="D20" s="161" t="inlineStr">
        <x:is>
          <x:t xml:space="preserve">Attribution remains outside the blockquote element while cite metadata stays on quoted content.</x:t>
        </x:is>
      </x:c>
      <x:c r="E20" s="161" t="inlineStr">
        <x:is>
          <x:t xml:space="preserve">package</x:t>
        </x:is>
      </x:c>
      <x:c r="F20" s="161" t="inlineStr">
        <x:is>
          <x:t xml:space="preserve">browser</x:t>
        </x:is>
      </x:c>
      <x:c r="G20" s="161" t="inlineStr">
        <x:is>
          <x:t xml:space="preserve">tests/components/blockquote/behavior.spec.ts</x:t>
        </x:is>
      </x:c>
      <x:c r="H20" s="162" t="inlineStr">
        <x:is>
          <x:t xml:space="preserve">tested</x:t>
        </x:is>
      </x:c>
      <x:c r="I20" s="161" t="inlineStr">
        <x:is>
          <x:t xml:space="preserve">no</x:t>
        </x:is>
      </x:c>
      <x:c r="J20" s="163" t="n">
        <x:v>46264</x:v>
      </x:c>
      <x:c r="K20" s="161" t="n"/>
      <x:c r="L20" s="164" t="n">
        <x:v>1</x:v>
      </x:c>
      <x:c r="M20" s="164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61" t="inlineStr">
        <x:is>
          <x:t xml:space="preserve">BQ-13</x:t>
        </x:is>
      </x:c>
      <x:c r="B21" s="161" t="inlineStr">
        <x:is>
          <x:t xml:space="preserve">Manual</x:t>
        </x:is>
      </x:c>
      <x:c r="C21" s="161" t="inlineStr">
        <x:is>
          <x:t xml:space="preserve">Blockquote</x:t>
        </x:is>
      </x:c>
      <x:c r="D21" s="161" t="inlineStr">
        <x:is>
          <x:t xml:space="preserve">The component-owned manual protocol covers every Blockquote playground scenario.</x:t>
        </x:is>
      </x:c>
      <x:c r="E21" s="161" t="inlineStr">
        <x:is>
          <x:t xml:space="preserve">package</x:t>
        </x:is>
      </x:c>
      <x:c r="F21" s="161" t="inlineStr">
        <x:is>
          <x:t xml:space="preserve">manual</x:t>
        </x:is>
      </x:c>
      <x:c r="G21" s="161" t="inlineStr">
        <x:is>
          <x:t xml:space="preserve">manual-tests/blockquote.md</x:t>
        </x:is>
      </x:c>
      <x:c r="H21" s="165" t="inlineStr">
        <x:is>
          <x:t xml:space="preserve">implemented</x:t>
        </x:is>
      </x:c>
      <x:c r="I21" s="161" t="inlineStr">
        <x:is>
          <x:t xml:space="preserve">yes</x:t>
        </x:is>
      </x:c>
      <x:c r="J21" s="163" t="n"/>
      <x:c r="K21" s="161" t="inlineStr">
        <x:is>
          <x:t xml:space="preserve">Human protocol remains pending. Automated and visual evidence stays in its owning tests and does not complete this human gate.</x:t>
        </x:is>
      </x:c>
      <x:c r="L21" s="164" t="n">
        <x:v>1</x:v>
      </x:c>
      <x:c r="M21" s="164" t="n">
        <x:f>IF(OR(AND(I21="yes",H21="verified"),AND(I21="no",OR(H21="tested",H21="verified")),AND(H21="not applicable",K21&lt;&gt;"")),1,0)</x:f>
        <x:v>0</x:v>
      </x:c>
    </x:row>
    <x:row r="22" s="127" customFormat="1" ht="54" customHeight="1">
      <x:c r="A22" s="161" t="inlineStr">
        <x:is>
          <x:t xml:space="preserve">BQ-14</x:t>
        </x:is>
      </x:c>
      <x:c r="B22" s="161" t="inlineStr">
        <x:is>
          <x:t xml:space="preserve">Docs</x:t>
        </x:is>
      </x:c>
      <x:c r="C22" s="161" t="inlineStr">
        <x:is>
          <x:t xml:space="preserve">Blockquote</x:t>
        </x:is>
      </x:c>
      <x:c r="D22" s="161" t="inlineStr">
        <x:is>
          <x:t xml:space="preserve">Source-backed public usage, API, accessibility, and token documentation passes.</x:t>
        </x:is>
      </x:c>
      <x:c r="E22" s="161" t="inlineStr">
        <x:is>
          <x:t xml:space="preserve">package</x:t>
        </x:is>
      </x:c>
      <x:c r="F22" s="161" t="inlineStr">
        <x:is>
          <x:t xml:space="preserve">docs</x:t>
        </x:is>
      </x:c>
      <x:c r="G22" s="161" t="inlineStr">
        <x:is>
          <x:t xml:space="preserve">../docs/components/blockquote/README.md</x:t>
        </x:is>
      </x:c>
      <x:c r="H22" s="162" t="inlineStr">
        <x:is>
          <x:t xml:space="preserve">tested</x:t>
        </x:is>
      </x:c>
      <x:c r="I22" s="161" t="inlineStr">
        <x:is>
          <x:t xml:space="preserve">no</x:t>
        </x:is>
      </x:c>
      <x:c r="J22" s="163" t="n">
        <x:v>46264</x:v>
      </x:c>
      <x:c r="K22" s="161" t="n"/>
      <x:c r="L22" s="164" t="n">
        <x:v>1</x:v>
      </x:c>
      <x:c r="M22" s="164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61" t="inlineStr">
        <x:is>
          <x:t xml:space="preserve">BQ-15</x:t>
        </x:is>
      </x:c>
      <x:c r="B23" s="161" t="inlineStr">
        <x:is>
          <x:t xml:space="preserve">Changelog</x:t>
        </x:is>
      </x:c>
      <x:c r="C23" s="161" t="inlineStr">
        <x:is>
          <x:t xml:space="preserve">Blockquote</x:t>
        </x:is>
      </x:c>
      <x:c r="D23" s="161" t="inlineStr">
        <x:is>
          <x:t xml:space="preserve">Blockquote owns a public changelog and the package changelog records its addition.</x:t>
        </x:is>
      </x:c>
      <x:c r="E23" s="161" t="inlineStr">
        <x:is>
          <x:t xml:space="preserve">package</x:t>
        </x:is>
      </x:c>
      <x:c r="F23" s="161" t="inlineStr">
        <x:is>
          <x:t xml:space="preserve">docs</x:t>
        </x:is>
      </x:c>
      <x:c r="G23" s="161" t="inlineStr">
        <x:is>
          <x:t xml:space="preserve">../docs/components/blockquote/CHANGELOG.md; ../CHANGELOG.md</x:t>
        </x:is>
      </x:c>
      <x:c r="H23" s="162" t="inlineStr">
        <x:is>
          <x:t xml:space="preserve">tested</x:t>
        </x:is>
      </x:c>
      <x:c r="I23" s="161" t="inlineStr">
        <x:is>
          <x:t xml:space="preserve">no</x:t>
        </x:is>
      </x:c>
      <x:c r="J23" s="163" t="n">
        <x:v>46264</x:v>
      </x:c>
      <x:c r="K23" s="161" t="n"/>
      <x:c r="L23" s="164" t="n">
        <x:v>1</x:v>
      </x:c>
      <x:c r="M23" s="164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61" t="inlineStr">
        <x:is>
          <x:t xml:space="preserve">BQ-16</x:t>
        </x:is>
      </x:c>
      <x:c r="B24" s="161" t="inlineStr">
        <x:is>
          <x:t xml:space="preserve">Consumer</x:t>
        </x:is>
      </x:c>
      <x:c r="C24" s="161" t="inlineStr">
        <x:is>
          <x:t xml:space="preserve">Blockquote</x:t>
        </x:is>
      </x:c>
      <x:c r="D24" s="161" t="inlineStr">
        <x:is>
          <x:t xml:space="preserve">The packed Consumer proves Blockquote through the public package subpath.</x:t>
        </x:is>
      </x:c>
      <x:c r="E24" s="161" t="inlineStr">
        <x:is>
          <x:t xml:space="preserve">consumer</x:t>
        </x:is>
      </x:c>
      <x:c r="F24" s="161" t="inlineStr">
        <x:is>
          <x:t xml:space="preserve">consumer</x:t>
        </x:is>
      </x:c>
      <x:c r="G24" s="161" t="inlineStr">
        <x:is>
          <x:t xml:space="preserve">../apps/consumer/src/App.tsx; ../apps/consumer/tests/consumer.spec.ts</x:t>
        </x:is>
      </x:c>
      <x:c r="H24" s="162" t="inlineStr">
        <x:is>
          <x:t xml:space="preserve">tested</x:t>
        </x:is>
      </x:c>
      <x:c r="I24" s="161" t="inlineStr">
        <x:is>
          <x:t xml:space="preserve">no</x:t>
        </x:is>
      </x:c>
      <x:c r="J24" s="163" t="n">
        <x:v>46264</x:v>
      </x:c>
      <x:c r="K24" s="161" t="n"/>
      <x:c r="L24" s="164" t="n">
        <x:v>1</x:v>
      </x:c>
      <x:c r="M24" s="164" t="n">
        <x:f>IF(OR(AND(I24="yes",H24="verified"),AND(I24="no",OR(H24="tested",H24="verified")),AND(H24="not applicable",K24&lt;&gt;"")),1,0)</x:f>
        <x:v>1</x:v>
      </x:c>
    </x:row>
    <x:row r="25" s="127" customFormat="1" ht="54" customHeight="1">
      <x:c r="A25" s="161" t="inlineStr">
        <x:is>
          <x:t xml:space="preserve">BQ-17</x:t>
        </x:is>
      </x:c>
      <x:c r="B25" s="161" t="inlineStr">
        <x:is>
          <x:t xml:space="preserve">Package</x:t>
        </x:is>
      </x:c>
      <x:c r="C25" s="161" t="inlineStr">
        <x:is>
          <x:t xml:space="preserve">Blockquote</x:t>
        </x:is>
      </x:c>
      <x:c r="D25" s="161" t="inlineStr">
        <x:is>
          <x:t xml:space="preserve">Build, SSR, exports, CSS, Agent Knowledge, tarball, React 18/19, and packed-consumer verification pass.</x:t>
        </x:is>
      </x:c>
      <x:c r="E25" s="161" t="inlineStr">
        <x:is>
          <x:t xml:space="preserve">package</x:t>
        </x:is>
      </x:c>
      <x:c r="F25" s="161" t="inlineStr">
        <x:is>
          <x:t xml:space="preserve">package</x:t>
        </x:is>
      </x:c>
      <x:c r="G25" s="161" t="inlineStr">
        <x:is>
          <x:t xml:space="preserve">../test/package; ../scripts/verify-package.mjs; ../scripts/verify-consumers.mjs</x:t>
        </x:is>
      </x:c>
      <x:c r="H25" s="165" t="inlineStr">
        <x:is>
          <x:t xml:space="preserve">partial</x:t>
        </x:is>
      </x:c>
      <x:c r="I25" s="161" t="inlineStr">
        <x:is>
          <x:t xml:space="preserve">yes</x:t>
        </x:is>
      </x:c>
      <x:c r="J25" s="163" t="n">
        <x:v>46264</x:v>
      </x:c>
      <x:c r="K25" s="161" t="inlineStr">
        <x:is>
          <x:t xml:space="preserve">2026-09-12: Local parity implementation. Release and renewed manual qualification are not declared complete.</x:t>
        </x:is>
      </x:c>
      <x:c r="L25" s="164" t="n">
        <x:v>1</x:v>
      </x:c>
      <x:c r="M25" s="164" t="n">
        <x:f>IF(OR(AND(I25="yes",H25="verified"),AND(I25="no",OR(H25="tested",H25="verified")),AND(H25="not applicable",K25&lt;&gt;"")),1,0)</x:f>
        <x:v>0</x:v>
      </x:c>
    </x:row>
  </x:sheetData>
  <x:dataValidations count="2">
    <x:dataValidation type="list" errorStyle="stop" operator="between" allowBlank="0" showDropDown="0" showInputMessage="0" showErrorMessage="0" sqref="H9:H25">
      <x:formula1>_Lists!$A$1:$A$7</x:formula1>
      <x:formula2>0</x:formula2>
    </x:dataValidation>
    <x:dataValidation type="list" errorStyle="stop" operator="between" allowBlank="0" showDropDown="0" showInputMessage="0" showErrorMessage="0" sqref="I9:I25">
      <x:formula1>_Lists!$B$1:$B$2</x:formula1>
      <x:formula2>0</x:formula2>
    </x:dataValidation>
  </x:dataValidations>
  <x:pageMargins left="0.7" right="0.7" top="0.75" bottom="0.75" header="0.3" footer="0.3"/>
</x:worksheet>
</file>

<file path=xl/worksheets/sheet97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7" customWidth="1"/>
    <x:col min="2" max="2" width="15.710000038146973" style="127" customWidth="1"/>
    <x:col min="3" max="3" width="18.709999084472656" style="127" customWidth="1"/>
    <x:col min="4" max="4" width="58.709999084472656" style="127" customWidth="1"/>
    <x:col min="5" max="6" width="14.710000038146973" style="127" customWidth="1"/>
    <x:col min="7" max="7" width="50.709999084472656" style="127" customWidth="1"/>
    <x:col min="8" max="8" width="17.709999084472656" style="127" customWidth="1"/>
    <x:col min="9" max="10" width="14.710000038146973" style="127" customWidth="1"/>
    <x:col min="11" max="11" width="42.709999084472656" style="127" customWidth="1"/>
    <x:col min="12" max="13" width="10.710000038146973" style="127" customWidth="1"/>
  </x:cols>
  <x:sheetData>
    <x:row r="1" s="127" customFormat="1" ht="37.5" customHeight="1">
      <x:c r="A1" s="183" t="inlineStr">
        <x:is>
          <x:t xml:space="preserve">Highlight Evidence</x:t>
        </x:is>
      </x:c>
      <x:c r="B1" s="183" t="n"/>
      <x:c r="C1" s="183" t="n"/>
      <x:c r="D1" s="183" t="n"/>
      <x:c r="E1" s="183" t="n"/>
      <x:c r="F1" s="183" t="n"/>
      <x:c r="G1" s="183" t="n"/>
      <x:c r="H1" s="183" t="n"/>
      <x:c r="I1" s="183" t="n"/>
      <x:c r="J1" s="183" t="n"/>
      <x:c r="K1" s="183" t="n"/>
      <x:c r="L1" s="183" t="n"/>
      <x:c r="M1" s="183" t="n"/>
    </x:row>
    <x:row r="2" s="127" customFormat="1" ht="27.75" customHeight="1">
      <x:c r="A2" s="157" t="inlineStr">
        <x:is>
          <x:t xml:space="preserve">Assertion-level Atom adaptation, semantic matches, browser, documentation, Consumer, and release evidence.</x:t>
        </x:is>
      </x:c>
      <x:c r="B2" s="157" t="n"/>
      <x:c r="C2" s="157" t="n"/>
      <x:c r="D2" s="157" t="n"/>
      <x:c r="E2" s="157" t="n"/>
      <x:c r="F2" s="157" t="n"/>
      <x:c r="G2" s="157" t="n"/>
      <x:c r="H2" s="157" t="n"/>
      <x:c r="I2" s="157" t="n"/>
      <x:c r="J2" s="157" t="n"/>
      <x:c r="K2" s="157" t="n"/>
      <x:c r="L2" s="157" t="n"/>
      <x:c r="M2" s="157" t="n"/>
    </x:row>
    <x:row r="3"/>
    <x:row r="4" s="127" customFormat="1" ht="17.25" customHeight="1">
      <x:c r="A4" s="157" t="inlineStr">
        <x:is>
          <x:t xml:space="preserve">Requirements</x:t>
        </x:is>
      </x:c>
      <x:c r="B4" s="184" t="n">
        <x:f>COUNTA(A9:A25)</x:f>
        <x:v>17</x:v>
      </x:c>
      <x:c r="C4" s="157" t="n"/>
      <x:c r="D4" s="157" t="inlineStr">
        <x:is>
          <x:t xml:space="preserve">Resolved</x:t>
        </x:is>
      </x:c>
      <x:c r="E4" s="184" t="n">
        <x:f>SUM(M9:M25)</x:f>
        <x:v>12</x:v>
      </x:c>
      <x:c r="F4" s="157" t="n"/>
      <x:c r="G4" s="157" t="inlineStr">
        <x:is>
          <x:t xml:space="preserve">Completion</x:t>
        </x:is>
      </x:c>
      <x:c r="H4" s="184" t="n">
        <x:f>IF(B4=0,0,E4/B4)</x:f>
        <x:v>0.7058823529411765</x:v>
      </x:c>
      <x:c r="I4" s="157" t="n"/>
      <x:c r="J4" s="157" t="inlineStr">
        <x:is>
          <x:t xml:space="preserve">Package gate</x:t>
        </x:is>
      </x:c>
      <x:c r="K4" s="184" t="str">
        <x:f>IF(COUNTIFS(E9:E25,"package",M9:M25,0)&gt;0,"open","complete")</x:f>
        <x:v>open</x:v>
      </x:c>
      <x:c r="L4" s="157" t="n"/>
      <x:c r="M4" s="157" t="n"/>
    </x:row>
    <x:row r="5" s="127" customFormat="1" ht="17.25" customHeight="1">
      <x:c r="A5" s="157" t="inlineStr">
        <x:is>
          <x:t xml:space="preserve">Manual review</x:t>
        </x:is>
      </x:c>
      <x:c r="B5" s="184" t="str">
        <x:f>IF(COUNTIFS(I9:I25,"yes",M9:M25,0)&gt;0,"open","complete")</x:f>
        <x:v>open</x:v>
      </x:c>
      <x:c r="C5" s="157" t="n"/>
      <x:c r="D5" s="157" t="inlineStr">
        <x:is>
          <x:t xml:space="preserve">Consumer gate</x:t>
        </x:is>
      </x:c>
      <x:c r="E5" s="184" t="str">
        <x:f>IF(COUNTIFS(E9:E25,"consumer",M9:M25,0)&gt;0,"open","complete")</x:f>
        <x:v>complete</x:v>
      </x:c>
      <x:c r="F5" s="157" t="n"/>
      <x:c r="G5" s="157" t="n"/>
      <x:c r="H5" s="157" t="n"/>
      <x:c r="I5" s="157" t="n"/>
      <x:c r="J5" s="157" t="n"/>
      <x:c r="K5" s="157" t="n"/>
      <x:c r="L5" s="157" t="n"/>
      <x:c r="M5" s="157" t="n"/>
    </x:row>
    <x:row r="6"/>
    <x:row r="7"/>
    <x:row r="8" s="127" customFormat="1" ht="15" customHeight="1">
      <x:c r="A8" s="159" t="inlineStr">
        <x:is>
          <x:t xml:space="preserve">ID</x:t>
        </x:is>
      </x:c>
      <x:c r="B8" s="159" t="inlineStr">
        <x:is>
          <x:t xml:space="preserve">Area</x:t>
        </x:is>
      </x:c>
      <x:c r="C8" s="159" t="inlineStr">
        <x:is>
          <x:t xml:space="preserve">Part</x:t>
        </x:is>
      </x:c>
      <x:c r="D8" s="159" t="inlineStr">
        <x:is>
          <x:t xml:space="preserve">Requirement</x:t>
        </x:is>
      </x:c>
      <x:c r="E8" s="159" t="inlineStr">
        <x:is>
          <x:t xml:space="preserve">Gate</x:t>
        </x:is>
      </x:c>
      <x:c r="F8" s="159" t="inlineStr">
        <x:is>
          <x:t xml:space="preserve">Evidence type</x:t>
        </x:is>
      </x:c>
      <x:c r="G8" s="159" t="inlineStr">
        <x:is>
          <x:t xml:space="preserve">Evidence / link</x:t>
        </x:is>
      </x:c>
      <x:c r="H8" s="159" t="inlineStr">
        <x:is>
          <x:t xml:space="preserve">Status</x:t>
        </x:is>
      </x:c>
      <x:c r="I8" s="159" t="inlineStr">
        <x:is>
          <x:t xml:space="preserve">Human review?</x:t>
        </x:is>
      </x:c>
      <x:c r="J8" s="159" t="inlineStr">
        <x:is>
          <x:t xml:space="preserve">Last verified</x:t>
        </x:is>
      </x:c>
      <x:c r="K8" s="159" t="inlineStr">
        <x:is>
          <x:t xml:space="preserve">Blocker / N/A reason</x:t>
        </x:is>
      </x:c>
      <x:c r="L8" s="159" t="inlineStr">
        <x:is>
          <x:t xml:space="preserve">Weight</x:t>
        </x:is>
      </x:c>
      <x:c r="M8" s="159" t="inlineStr">
        <x:is>
          <x:t xml:space="preserve">Resolved</x:t>
        </x:is>
      </x:c>
    </x:row>
    <x:row r="9" s="127" customFormat="1" ht="54" customHeight="1">
      <x:c r="A9" s="161" t="inlineStr">
        <x:is>
          <x:t xml:space="preserve">HL-01</x:t>
        </x:is>
      </x:c>
      <x:c r="B9" s="161" t="inlineStr">
        <x:is>
          <x:t xml:space="preserve">Implementation</x:t>
        </x:is>
      </x:c>
      <x:c r="C9" s="161" t="inlineStr">
        <x:is>
          <x:t xml:space="preserve">Highlight</x:t>
        </x:is>
      </x:c>
      <x:c r="D9" s="161" t="inlineStr">
        <x:is>
          <x:t xml:space="preserve">Native span/mark output, five variants, six tones and public Atom segmentation utility.</x:t>
        </x:is>
      </x:c>
      <x:c r="E9" s="161" t="inlineStr">
        <x:is>
          <x:t xml:space="preserve">package</x:t>
        </x:is>
      </x:c>
      <x:c r="F9" s="161" t="inlineStr">
        <x:is>
          <x:t xml:space="preserve">source</x:t>
        </x:is>
      </x:c>
      <x:c r="G9" s="161" t="inlineStr">
        <x:is>
          <x:t xml:space="preserve">../src/components/highlight</x:t>
        </x:is>
      </x:c>
      <x:c r="H9" s="162" t="inlineStr">
        <x:is>
          <x:t xml:space="preserve">tested</x:t>
        </x:is>
      </x:c>
      <x:c r="I9" s="161" t="inlineStr">
        <x:is>
          <x:t xml:space="preserve">no</x:t>
        </x:is>
      </x:c>
      <x:c r="J9" s="163" t="n">
        <x:v>46264</x:v>
      </x:c>
      <x:c r="K9" s="161" t="n"/>
      <x:c r="L9" s="164" t="n">
        <x:v>1</x:v>
      </x:c>
      <x:c r="M9" s="164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61" t="inlineStr">
        <x:is>
          <x:t xml:space="preserve">HL-02</x:t>
        </x:is>
      </x:c>
      <x:c r="B10" s="161" t="inlineStr">
        <x:is>
          <x:t xml:space="preserve">Ownership</x:t>
        </x:is>
      </x:c>
      <x:c r="C10" s="161" t="inlineStr">
        <x:is>
          <x:t xml:space="preserve">Highlight</x:t>
        </x:is>
      </x:c>
      <x:c r="D10" s="161" t="inlineStr">
        <x:is>
          <x:t xml:space="preserve">Brick delegates deterministic segmentation to exact Atom Highlight and owns only finished rendering.</x:t>
        </x:is>
      </x:c>
      <x:c r="E10" s="161" t="inlineStr">
        <x:is>
          <x:t xml:space="preserve">package</x:t>
        </x:is>
      </x:c>
      <x:c r="F10" s="161" t="inlineStr">
        <x:is>
          <x:t xml:space="preserve">component</x:t>
        </x:is>
      </x:c>
      <x:c r="G10" s="161" t="inlineStr">
        <x:is>
          <x:t xml:space="preserve">../test/components/highlight/highlight.test.tsx; ../docs/components/highlight/README.md</x:t>
        </x:is>
      </x:c>
      <x:c r="H10" s="162" t="inlineStr">
        <x:is>
          <x:t xml:space="preserve">tested</x:t>
        </x:is>
      </x:c>
      <x:c r="I10" s="161" t="inlineStr">
        <x:is>
          <x:t xml:space="preserve">no</x:t>
        </x:is>
      </x:c>
      <x:c r="J10" s="163" t="n">
        <x:v>46264</x:v>
      </x:c>
      <x:c r="K10" s="161" t="n"/>
      <x:c r="L10" s="164" t="n">
        <x:v>1</x:v>
      </x:c>
      <x:c r="M10" s="164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61" t="inlineStr">
        <x:is>
          <x:t xml:space="preserve">HL-03</x:t>
        </x:is>
      </x:c>
      <x:c r="B11" s="161" t="inlineStr">
        <x:is>
          <x:t xml:space="preserve">Exports</x:t>
        </x:is>
      </x:c>
      <x:c r="C11" s="161" t="inlineStr">
        <x:is>
          <x:t xml:space="preserve">Highlight</x:t>
        </x:is>
      </x:c>
      <x:c r="D11" s="161" t="inlineStr">
        <x:is>
          <x:t xml:space="preserve">Root and public Highlight subpath exports expose the runtime and every public type.</x:t>
        </x:is>
      </x:c>
      <x:c r="E11" s="161" t="inlineStr">
        <x:is>
          <x:t xml:space="preserve">package</x:t>
        </x:is>
      </x:c>
      <x:c r="F11" s="161" t="inlineStr">
        <x:is>
          <x:t xml:space="preserve">package</x:t>
        </x:is>
      </x:c>
      <x:c r="G11" s="161" t="inlineStr">
        <x:is>
          <x:t xml:space="preserve">../test/package/package.test.mjs; ../test/package/ssr.test.mjs</x:t>
        </x:is>
      </x:c>
      <x:c r="H11" s="162" t="inlineStr">
        <x:is>
          <x:t xml:space="preserve">tested</x:t>
        </x:is>
      </x:c>
      <x:c r="I11" s="161" t="inlineStr">
        <x:is>
          <x:t xml:space="preserve">no</x:t>
        </x:is>
      </x:c>
      <x:c r="J11" s="163" t="n">
        <x:v>46264</x:v>
      </x:c>
      <x:c r="K11" s="161" t="n"/>
      <x:c r="L11" s="164" t="n">
        <x:v>1</x:v>
      </x:c>
      <x:c r="M11" s="164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61" t="inlineStr">
        <x:is>
          <x:t xml:space="preserve">HL-04</x:t>
        </x:is>
      </x:c>
      <x:c r="B12" s="161" t="inlineStr">
        <x:is>
          <x:t xml:space="preserve">Types</x:t>
        </x:is>
      </x:c>
      <x:c r="C12" s="161" t="inlineStr">
        <x:is>
          <x:t xml:space="preserve">Highlight</x:t>
        </x:is>
      </x:c>
      <x:c r="D12" s="161" t="inlineStr">
        <x:is>
          <x:t xml:space="preserve">Native attributes, recipes, composition branches, and ref contracts type-check.</x:t>
        </x:is>
      </x:c>
      <x:c r="E12" s="161" t="inlineStr">
        <x:is>
          <x:t xml:space="preserve">package</x:t>
        </x:is>
      </x:c>
      <x:c r="F12" s="161" t="inlineStr">
        <x:is>
          <x:t xml:space="preserve">types</x:t>
        </x:is>
      </x:c>
      <x:c r="G12" s="161" t="inlineStr">
        <x:is>
          <x:t xml:space="preserve">../test/types/components/highlight.test.ts</x:t>
        </x:is>
      </x:c>
      <x:c r="H12" s="162" t="inlineStr">
        <x:is>
          <x:t xml:space="preserve">tested</x:t>
        </x:is>
      </x:c>
      <x:c r="I12" s="161" t="inlineStr">
        <x:is>
          <x:t xml:space="preserve">no</x:t>
        </x:is>
      </x:c>
      <x:c r="J12" s="163" t="n">
        <x:v>46264</x:v>
      </x:c>
      <x:c r="K12" s="161" t="n"/>
      <x:c r="L12" s="164" t="n">
        <x:v>1</x:v>
      </x:c>
      <x:c r="M12" s="164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61" t="inlineStr">
        <x:is>
          <x:t xml:space="preserve">HL-05</x:t>
        </x:is>
      </x:c>
      <x:c r="B13" s="161" t="inlineStr">
        <x:is>
          <x:t xml:space="preserve">CSS</x:t>
        </x:is>
      </x:c>
      <x:c r="C13" s="161" t="inlineStr">
        <x:is>
          <x:t xml:space="preserve">Highlight</x:t>
        </x:is>
      </x:c>
      <x:c r="D13" s="161" t="inlineStr">
        <x:is>
          <x:t xml:space="preserve">Mark-compatible pairs, inherited type, text weight and forced-color precedence.</x:t>
        </x:is>
      </x:c>
      <x:c r="E13" s="161" t="inlineStr">
        <x:is>
          <x:t xml:space="preserve">package</x:t>
        </x:is>
      </x:c>
      <x:c r="F13" s="161" t="inlineStr">
        <x:is>
          <x:t xml:space="preserve">css</x:t>
        </x:is>
      </x:c>
      <x:c r="G13" s="161" t="inlineStr">
        <x:is>
          <x:t xml:space="preserve">../src/components/highlight/highlight.css</x:t>
        </x:is>
      </x:c>
      <x:c r="H13" s="162" t="inlineStr">
        <x:is>
          <x:t xml:space="preserve">tested</x:t>
        </x:is>
      </x:c>
      <x:c r="I13" s="161" t="inlineStr">
        <x:is>
          <x:t xml:space="preserve">no</x:t>
        </x:is>
      </x:c>
      <x:c r="J13" s="163" t="n">
        <x:v>46264</x:v>
      </x:c>
      <x:c r="K13" s="161" t="n"/>
      <x:c r="L13" s="164" t="n">
        <x:v>1</x:v>
      </x:c>
      <x:c r="M13" s="164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61" t="inlineStr">
        <x:is>
          <x:t xml:space="preserve">HL-06</x:t>
        </x:is>
      </x:c>
      <x:c r="B14" s="161" t="inlineStr">
        <x:is>
          <x:t xml:space="preserve">Unit</x:t>
        </x:is>
      </x:c>
      <x:c r="C14" s="161" t="inlineStr">
        <x:is>
          <x:t xml:space="preserve">Highlight</x:t>
        </x:is>
      </x:c>
      <x:c r="D14" s="161" t="inlineStr">
        <x:is>
          <x:t xml:space="preserve">String and array queries, matching options, semantic segments, recipes, refs, and native forwarding pass.</x:t>
        </x:is>
      </x:c>
      <x:c r="E14" s="161" t="inlineStr">
        <x:is>
          <x:t xml:space="preserve">package</x:t>
        </x:is>
      </x:c>
      <x:c r="F14" s="161" t="inlineStr">
        <x:is>
          <x:t xml:space="preserve">component</x:t>
        </x:is>
      </x:c>
      <x:c r="G14" s="161" t="inlineStr">
        <x:is>
          <x:t xml:space="preserve">../test/components/highlight/highlight.test.tsx</x:t>
        </x:is>
      </x:c>
      <x:c r="H14" s="162" t="inlineStr">
        <x:is>
          <x:t xml:space="preserve">tested</x:t>
        </x:is>
      </x:c>
      <x:c r="I14" s="161" t="inlineStr">
        <x:is>
          <x:t xml:space="preserve">no</x:t>
        </x:is>
      </x:c>
      <x:c r="J14" s="163" t="n">
        <x:v>46264</x:v>
      </x:c>
      <x:c r="K14" s="161" t="inlineStr">
        <x:is>
          <x:t xml:space="preserve">2026-09-12: Five unit tests cover recipes, refs, segmentation identity and SSR safety.</x:t>
        </x:is>
      </x:c>
      <x:c r="L14" s="164" t="n">
        <x:v>1</x:v>
      </x:c>
      <x:c r="M14" s="164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61" t="inlineStr">
        <x:is>
          <x:t xml:space="preserve">HL-07</x:t>
        </x:is>
      </x:c>
      <x:c r="B15" s="161" t="inlineStr">
        <x:is>
          <x:t xml:space="preserve">Browser</x:t>
        </x:is>
      </x:c>
      <x:c r="C15" s="161" t="inlineStr">
        <x:is>
          <x:t xml:space="preserve">Highlight</x:t>
        </x:is>
      </x:c>
      <x:c r="D15" s="161" t="inlineStr">
        <x:is>
          <x:t xml:space="preserve">Matching options, dynamic query, custom composition, paired appearance and mobile containment.</x:t>
        </x:is>
      </x:c>
      <x:c r="E15" s="161" t="inlineStr">
        <x:is>
          <x:t xml:space="preserve">package</x:t>
        </x:is>
      </x:c>
      <x:c r="F15" s="161" t="inlineStr">
        <x:is>
          <x:t xml:space="preserve">browser</x:t>
        </x:is>
      </x:c>
      <x:c r="G15" s="161" t="inlineStr">
        <x:is>
          <x:t xml:space="preserve">tests/components/highlight/behavior.spec.ts; tests/components/highlight/parity.spec.ts</x:t>
        </x:is>
      </x:c>
      <x:c r="H15" s="162" t="inlineStr">
        <x:is>
          <x:t xml:space="preserve">tested</x:t>
        </x:is>
      </x:c>
      <x:c r="I15" s="161" t="inlineStr">
        <x:is>
          <x:t xml:space="preserve">no</x:t>
        </x:is>
      </x:c>
      <x:c r="J15" s="163" t="n">
        <x:v>46264</x:v>
      </x:c>
      <x:c r="K15" s="161" t="n"/>
      <x:c r="L15" s="164" t="n">
        <x:v>1</x:v>
      </x:c>
      <x:c r="M15" s="164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61" t="inlineStr">
        <x:is>
          <x:t xml:space="preserve">HL-08</x:t>
        </x:is>
      </x:c>
      <x:c r="B16" s="161" t="inlineStr">
        <x:is>
          <x:t xml:space="preserve">Accessibility</x:t>
        </x:is>
      </x:c>
      <x:c r="C16" s="161" t="inlineStr">
        <x:is>
          <x:t xml:space="preserve">Highlight</x:t>
        </x:is>
      </x:c>
      <x:c r="D16" s="161" t="inlineStr">
        <x:is>
          <x:t xml:space="preserve">Semantic marked segments preserve readable surrounding text, contrast, forced colors, and axe.</x:t>
        </x:is>
      </x:c>
      <x:c r="E16" s="161" t="inlineStr">
        <x:is>
          <x:t xml:space="preserve">package</x:t>
        </x:is>
      </x:c>
      <x:c r="F16" s="161" t="inlineStr">
        <x:is>
          <x:t xml:space="preserve">axe</x:t>
        </x:is>
      </x:c>
      <x:c r="G16" s="161" t="inlineStr">
        <x:is>
          <x:t xml:space="preserve">tests/components/highlight/behavior.spec.ts</x:t>
        </x:is>
      </x:c>
      <x:c r="H16" s="162" t="inlineStr">
        <x:is>
          <x:t xml:space="preserve">tested</x:t>
        </x:is>
      </x:c>
      <x:c r="I16" s="161" t="inlineStr">
        <x:is>
          <x:t xml:space="preserve">no</x:t>
        </x:is>
      </x:c>
      <x:c r="J16" s="163" t="n">
        <x:v>46264</x:v>
      </x:c>
      <x:c r="K16" s="161" t="n"/>
      <x:c r="L16" s="164" t="n">
        <x:v>1</x:v>
      </x:c>
      <x:c r="M16" s="164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61" t="inlineStr">
        <x:is>
          <x:t xml:space="preserve">HL-09</x:t>
        </x:is>
      </x:c>
      <x:c r="B17" s="161" t="inlineStr">
        <x:is>
          <x:t xml:space="preserve">Visual</x:t>
        </x:is>
      </x:c>
      <x:c r="C17" s="161" t="inlineStr">
        <x:is>
          <x:t xml:space="preserve">Highlight</x:t>
        </x:is>
      </x:c>
      <x:c r="D17" s="161" t="inlineStr">
        <x:is>
          <x:t xml:space="preserve">Matching recipes, repeated segments, customization, light, dark, forced colors, and mobile own baselines.</x:t>
        </x:is>
      </x:c>
      <x:c r="E17" s="161" t="inlineStr">
        <x:is>
          <x:t xml:space="preserve">package</x:t>
        </x:is>
      </x:c>
      <x:c r="F17" s="161" t="inlineStr">
        <x:is>
          <x:t xml:space="preserve">visual</x:t>
        </x:is>
      </x:c>
      <x:c r="G17" s="161" t="inlineStr">
        <x:is>
          <x:t xml:space="preserve">tests/components/highlight/visual.spec.ts</x:t>
        </x:is>
      </x:c>
      <x:c r="H17" s="165" t="inlineStr">
        <x:is>
          <x:t xml:space="preserve">tested</x:t>
        </x:is>
      </x:c>
      <x:c r="I17" s="161" t="inlineStr">
        <x:is>
          <x:t xml:space="preserve">yes</x:t>
        </x:is>
      </x:c>
      <x:c r="J17" s="163" t="n">
        <x:v>46264</x:v>
      </x:c>
      <x:c r="K17" s="161" t="inlineStr">
        <x:is>
          <x:t xml:space="preserve">2026-09-12: Light, dark, forced-color and mobile snapshots inspected. Manual protocol remains pending.</x:t>
        </x:is>
      </x:c>
      <x:c r="L17" s="164" t="n">
        <x:v>1</x:v>
      </x:c>
      <x:c r="M17" s="164" t="n">
        <x:f>IF(OR(AND(I17="yes",H17="verified"),AND(I17="no",OR(H17="tested",H17="verified")),AND(H17="not applicable",K17&lt;&gt;"")),1,0)</x:f>
        <x:v>0</x:v>
      </x:c>
    </x:row>
    <x:row r="18" s="127" customFormat="1" ht="54" customHeight="1">
      <x:c r="A18" s="161" t="inlineStr">
        <x:is>
          <x:t xml:space="preserve">HL-10</x:t>
        </x:is>
      </x:c>
      <x:c r="B18" s="161" t="inlineStr">
        <x:is>
          <x:t xml:space="preserve">Responsive</x:t>
        </x:is>
      </x:c>
      <x:c r="C18" s="161" t="inlineStr">
        <x:is>
          <x:t xml:space="preserve">Highlight</x:t>
        </x:is>
      </x:c>
      <x:c r="D18" s="161" t="inlineStr">
        <x:is>
          <x:t xml:space="preserve">Long searchable text, repeated matches, mobile widths, zoom, selection, and RTL remain usable.</x:t>
        </x:is>
      </x:c>
      <x:c r="E18" s="161" t="inlineStr">
        <x:is>
          <x:t xml:space="preserve">package</x:t>
        </x:is>
      </x:c>
      <x:c r="F18" s="161" t="inlineStr">
        <x:is>
          <x:t xml:space="preserve">manual</x:t>
        </x:is>
      </x:c>
      <x:c r="G18" s="161" t="inlineStr">
        <x:is>
          <x:t xml:space="preserve">manual-tests/highlight.md</x:t>
        </x:is>
      </x:c>
      <x:c r="H18" s="165" t="inlineStr">
        <x:is>
          <x:t xml:space="preserve">implemented</x:t>
        </x:is>
      </x:c>
      <x:c r="I18" s="161" t="inlineStr">
        <x:is>
          <x:t xml:space="preserve">yes</x:t>
        </x:is>
      </x:c>
      <x:c r="J18" s="163" t="n"/>
      <x:c r="K18" s="161" t="inlineStr">
        <x:is>
          <x:t xml:space="preserve">Human protocol remains pending. Automated and visual evidence stays in its owning tests and does not complete this human gate.</x:t>
        </x:is>
      </x:c>
      <x:c r="L18" s="164" t="n">
        <x:v>1</x:v>
      </x:c>
      <x:c r="M18" s="164" t="n">
        <x:f>IF(OR(AND(I18="yes",H18="verified"),AND(I18="no",OR(H18="tested",H18="verified")),AND(H18="not applicable",K18&lt;&gt;"")),1,0)</x:f>
        <x:v>0</x:v>
      </x:c>
    </x:row>
    <x:row r="19" s="127" customFormat="1" ht="54" customHeight="1">
      <x:c r="A19" s="161" t="inlineStr">
        <x:is>
          <x:t xml:space="preserve">HL-11</x:t>
        </x:is>
      </x:c>
      <x:c r="B19" s="161" t="inlineStr">
        <x:is>
          <x:t xml:space="preserve">Theme</x:t>
        </x:is>
      </x:c>
      <x:c r="C19" s="161" t="inlineStr">
        <x:is>
          <x:t xml:space="preserve">Highlight</x:t>
        </x:is>
      </x:c>
      <x:c r="D19" s="161" t="inlineStr">
        <x:is>
          <x:t xml:space="preserve">Every match recipe remains distinguishable without obscuring text across appearances and forced colors.</x:t>
        </x:is>
      </x:c>
      <x:c r="E19" s="161" t="inlineStr">
        <x:is>
          <x:t xml:space="preserve">package</x:t>
        </x:is>
      </x:c>
      <x:c r="F19" s="161" t="inlineStr">
        <x:is>
          <x:t xml:space="preserve">manual</x:t>
        </x:is>
      </x:c>
      <x:c r="G19" s="161" t="inlineStr">
        <x:is>
          <x:t xml:space="preserve">manual-tests/highlight.md; tests/components/highlight/visual.spec.ts</x:t>
        </x:is>
      </x:c>
      <x:c r="H19" s="165" t="inlineStr">
        <x:is>
          <x:t xml:space="preserve">implemented</x:t>
        </x:is>
      </x:c>
      <x:c r="I19" s="161" t="inlineStr">
        <x:is>
          <x:t xml:space="preserve">yes</x:t>
        </x:is>
      </x:c>
      <x:c r="J19" s="163" t="n"/>
      <x:c r="K19" s="161" t="inlineStr">
        <x:is>
          <x:t xml:space="preserve">Human protocol remains pending. Automated and visual evidence stays in its owning tests and does not complete this human gate.</x:t>
        </x:is>
      </x:c>
      <x:c r="L19" s="164" t="n">
        <x:v>1</x:v>
      </x:c>
      <x:c r="M19" s="164" t="n">
        <x:f>IF(OR(AND(I19="yes",H19="verified"),AND(I19="no",OR(H19="tested",H19="verified")),AND(H19="not applicable",K19&lt;&gt;"")),1,0)</x:f>
        <x:v>0</x:v>
      </x:c>
    </x:row>
    <x:row r="20" s="127" customFormat="1" ht="54" customHeight="1">
      <x:c r="A20" s="161" t="inlineStr">
        <x:is>
          <x:t xml:space="preserve">HL-12</x:t>
        </x:is>
      </x:c>
      <x:c r="B20" s="161" t="inlineStr">
        <x:is>
          <x:t xml:space="preserve">Semantics</x:t>
        </x:is>
      </x:c>
      <x:c r="C20" s="161" t="inlineStr">
        <x:is>
          <x:t xml:space="preserve">Highlight</x:t>
        </x:is>
      </x:c>
      <x:c r="D20" s="161" t="inlineStr">
        <x:is>
          <x:t xml:space="preserve">Original text order and literal matching options are preserved without reimplementation.</x:t>
        </x:is>
      </x:c>
      <x:c r="E20" s="161" t="inlineStr">
        <x:is>
          <x:t xml:space="preserve">package</x:t>
        </x:is>
      </x:c>
      <x:c r="F20" s="161" t="inlineStr">
        <x:is>
          <x:t xml:space="preserve">browser</x:t>
        </x:is>
      </x:c>
      <x:c r="G20" s="161" t="inlineStr">
        <x:is>
          <x:t xml:space="preserve">tests/components/highlight/behavior.spec.ts</x:t>
        </x:is>
      </x:c>
      <x:c r="H20" s="162" t="inlineStr">
        <x:is>
          <x:t xml:space="preserve">tested</x:t>
        </x:is>
      </x:c>
      <x:c r="I20" s="161" t="inlineStr">
        <x:is>
          <x:t xml:space="preserve">no</x:t>
        </x:is>
      </x:c>
      <x:c r="J20" s="163" t="n">
        <x:v>46264</x:v>
      </x:c>
      <x:c r="K20" s="161" t="n"/>
      <x:c r="L20" s="164" t="n">
        <x:v>1</x:v>
      </x:c>
      <x:c r="M20" s="164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61" t="inlineStr">
        <x:is>
          <x:t xml:space="preserve">HL-13</x:t>
        </x:is>
      </x:c>
      <x:c r="B21" s="161" t="inlineStr">
        <x:is>
          <x:t xml:space="preserve">Manual</x:t>
        </x:is>
      </x:c>
      <x:c r="C21" s="161" t="inlineStr">
        <x:is>
          <x:t xml:space="preserve">Highlight</x:t>
        </x:is>
      </x:c>
      <x:c r="D21" s="161" t="inlineStr">
        <x:is>
          <x:t xml:space="preserve">The component-owned manual protocol covers every Highlight playground scenario.</x:t>
        </x:is>
      </x:c>
      <x:c r="E21" s="161" t="inlineStr">
        <x:is>
          <x:t xml:space="preserve">package</x:t>
        </x:is>
      </x:c>
      <x:c r="F21" s="161" t="inlineStr">
        <x:is>
          <x:t xml:space="preserve">manual</x:t>
        </x:is>
      </x:c>
      <x:c r="G21" s="161" t="inlineStr">
        <x:is>
          <x:t xml:space="preserve">manual-tests/highlight.md</x:t>
        </x:is>
      </x:c>
      <x:c r="H21" s="165" t="inlineStr">
        <x:is>
          <x:t xml:space="preserve">implemented</x:t>
        </x:is>
      </x:c>
      <x:c r="I21" s="161" t="inlineStr">
        <x:is>
          <x:t xml:space="preserve">yes</x:t>
        </x:is>
      </x:c>
      <x:c r="J21" s="163" t="n"/>
      <x:c r="K21" s="161" t="inlineStr">
        <x:is>
          <x:t xml:space="preserve">Human protocol remains pending. Automated and visual evidence stays in its owning tests and does not complete this human gate.</x:t>
        </x:is>
      </x:c>
      <x:c r="L21" s="164" t="n">
        <x:v>1</x:v>
      </x:c>
      <x:c r="M21" s="164" t="n">
        <x:f>IF(OR(AND(I21="yes",H21="verified"),AND(I21="no",OR(H21="tested",H21="verified")),AND(H21="not applicable",K21&lt;&gt;"")),1,0)</x:f>
        <x:v>0</x:v>
      </x:c>
    </x:row>
    <x:row r="22" s="127" customFormat="1" ht="54" customHeight="1">
      <x:c r="A22" s="161" t="inlineStr">
        <x:is>
          <x:t xml:space="preserve">HL-14</x:t>
        </x:is>
      </x:c>
      <x:c r="B22" s="161" t="inlineStr">
        <x:is>
          <x:t xml:space="preserve">Docs</x:t>
        </x:is>
      </x:c>
      <x:c r="C22" s="161" t="inlineStr">
        <x:is>
          <x:t xml:space="preserve">Highlight</x:t>
        </x:is>
      </x:c>
      <x:c r="D22" s="161" t="inlineStr">
        <x:is>
          <x:t xml:space="preserve">Source-backed public usage, API, accessibility, and token documentation passes.</x:t>
        </x:is>
      </x:c>
      <x:c r="E22" s="161" t="inlineStr">
        <x:is>
          <x:t xml:space="preserve">package</x:t>
        </x:is>
      </x:c>
      <x:c r="F22" s="161" t="inlineStr">
        <x:is>
          <x:t xml:space="preserve">docs</x:t>
        </x:is>
      </x:c>
      <x:c r="G22" s="161" t="inlineStr">
        <x:is>
          <x:t xml:space="preserve">../docs/components/highlight/README.md</x:t>
        </x:is>
      </x:c>
      <x:c r="H22" s="162" t="inlineStr">
        <x:is>
          <x:t xml:space="preserve">tested</x:t>
        </x:is>
      </x:c>
      <x:c r="I22" s="161" t="inlineStr">
        <x:is>
          <x:t xml:space="preserve">no</x:t>
        </x:is>
      </x:c>
      <x:c r="J22" s="163" t="n">
        <x:v>46264</x:v>
      </x:c>
      <x:c r="K22" s="161" t="n"/>
      <x:c r="L22" s="164" t="n">
        <x:v>1</x:v>
      </x:c>
      <x:c r="M22" s="164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61" t="inlineStr">
        <x:is>
          <x:t xml:space="preserve">HL-15</x:t>
        </x:is>
      </x:c>
      <x:c r="B23" s="161" t="inlineStr">
        <x:is>
          <x:t xml:space="preserve">Changelog</x:t>
        </x:is>
      </x:c>
      <x:c r="C23" s="161" t="inlineStr">
        <x:is>
          <x:t xml:space="preserve">Highlight</x:t>
        </x:is>
      </x:c>
      <x:c r="D23" s="161" t="inlineStr">
        <x:is>
          <x:t xml:space="preserve">Highlight owns a public changelog and the package changelog records its addition.</x:t>
        </x:is>
      </x:c>
      <x:c r="E23" s="161" t="inlineStr">
        <x:is>
          <x:t xml:space="preserve">package</x:t>
        </x:is>
      </x:c>
      <x:c r="F23" s="161" t="inlineStr">
        <x:is>
          <x:t xml:space="preserve">docs</x:t>
        </x:is>
      </x:c>
      <x:c r="G23" s="161" t="inlineStr">
        <x:is>
          <x:t xml:space="preserve">../docs/components/highlight/CHANGELOG.md; ../CHANGELOG.md</x:t>
        </x:is>
      </x:c>
      <x:c r="H23" s="162" t="inlineStr">
        <x:is>
          <x:t xml:space="preserve">tested</x:t>
        </x:is>
      </x:c>
      <x:c r="I23" s="161" t="inlineStr">
        <x:is>
          <x:t xml:space="preserve">no</x:t>
        </x:is>
      </x:c>
      <x:c r="J23" s="163" t="n">
        <x:v>46264</x:v>
      </x:c>
      <x:c r="K23" s="161" t="n"/>
      <x:c r="L23" s="164" t="n">
        <x:v>1</x:v>
      </x:c>
      <x:c r="M23" s="164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61" t="inlineStr">
        <x:is>
          <x:t xml:space="preserve">HL-16</x:t>
        </x:is>
      </x:c>
      <x:c r="B24" s="161" t="inlineStr">
        <x:is>
          <x:t xml:space="preserve">Consumer</x:t>
        </x:is>
      </x:c>
      <x:c r="C24" s="161" t="inlineStr">
        <x:is>
          <x:t xml:space="preserve">Highlight</x:t>
        </x:is>
      </x:c>
      <x:c r="D24" s="161" t="inlineStr">
        <x:is>
          <x:t xml:space="preserve">The packed Consumer proves Highlight through the public package subpath.</x:t>
        </x:is>
      </x:c>
      <x:c r="E24" s="161" t="inlineStr">
        <x:is>
          <x:t xml:space="preserve">consumer</x:t>
        </x:is>
      </x:c>
      <x:c r="F24" s="161" t="inlineStr">
        <x:is>
          <x:t xml:space="preserve">consumer</x:t>
        </x:is>
      </x:c>
      <x:c r="G24" s="161" t="inlineStr">
        <x:is>
          <x:t xml:space="preserve">../apps/consumer/src/App.tsx; ../apps/consumer/tests/consumer.spec.ts</x:t>
        </x:is>
      </x:c>
      <x:c r="H24" s="162" t="inlineStr">
        <x:is>
          <x:t xml:space="preserve">tested</x:t>
        </x:is>
      </x:c>
      <x:c r="I24" s="161" t="inlineStr">
        <x:is>
          <x:t xml:space="preserve">no</x:t>
        </x:is>
      </x:c>
      <x:c r="J24" s="163" t="n">
        <x:v>46264</x:v>
      </x:c>
      <x:c r="K24" s="161" t="n"/>
      <x:c r="L24" s="164" t="n">
        <x:v>1</x:v>
      </x:c>
      <x:c r="M24" s="164" t="n">
        <x:f>IF(OR(AND(I24="yes",H24="verified"),AND(I24="no",OR(H24="tested",H24="verified")),AND(H24="not applicable",K24&lt;&gt;"")),1,0)</x:f>
        <x:v>1</x:v>
      </x:c>
    </x:row>
    <x:row r="25" s="127" customFormat="1" ht="54" customHeight="1">
      <x:c r="A25" s="161" t="inlineStr">
        <x:is>
          <x:t xml:space="preserve">HL-17</x:t>
        </x:is>
      </x:c>
      <x:c r="B25" s="161" t="inlineStr">
        <x:is>
          <x:t xml:space="preserve">Package</x:t>
        </x:is>
      </x:c>
      <x:c r="C25" s="161" t="inlineStr">
        <x:is>
          <x:t xml:space="preserve">Highlight</x:t>
        </x:is>
      </x:c>
      <x:c r="D25" s="161" t="inlineStr">
        <x:is>
          <x:t xml:space="preserve">Build, SSR, exports, CSS, Agent Knowledge, tarball, React 18/19, and packed-consumer verification pass.</x:t>
        </x:is>
      </x:c>
      <x:c r="E25" s="161" t="inlineStr">
        <x:is>
          <x:t xml:space="preserve">package</x:t>
        </x:is>
      </x:c>
      <x:c r="F25" s="161" t="inlineStr">
        <x:is>
          <x:t xml:space="preserve">package</x:t>
        </x:is>
      </x:c>
      <x:c r="G25" s="161" t="inlineStr">
        <x:is>
          <x:t xml:space="preserve">../test/package; ../scripts/verify-package.mjs; ../scripts/verify-consumers.mjs</x:t>
        </x:is>
      </x:c>
      <x:c r="H25" s="165" t="inlineStr">
        <x:is>
          <x:t xml:space="preserve">partial</x:t>
        </x:is>
      </x:c>
      <x:c r="I25" s="161" t="inlineStr">
        <x:is>
          <x:t xml:space="preserve">yes</x:t>
        </x:is>
      </x:c>
      <x:c r="J25" s="163" t="n">
        <x:v>46264</x:v>
      </x:c>
      <x:c r="K25" s="161" t="inlineStr">
        <x:is>
          <x:t xml:space="preserve">2026-09-12: Local parity candidate. Release, actual zoom, screen reader and physical-device checks remain pending.</x:t>
        </x:is>
      </x:c>
      <x:c r="L25" s="164" t="n">
        <x:v>1</x:v>
      </x:c>
      <x:c r="M25" s="164" t="n">
        <x:f>IF(OR(AND(I25="yes",H25="verified"),AND(I25="no",OR(H25="tested",H25="verified")),AND(H25="not applicable",K25&lt;&gt;"")),1,0)</x:f>
        <x:v>0</x:v>
      </x:c>
    </x:row>
  </x:sheetData>
  <x:dataValidations count="2">
    <x:dataValidation type="list" errorStyle="stop" operator="between" allowBlank="0" showDropDown="0" showInputMessage="0" showErrorMessage="0" sqref="H9:H25">
      <x:formula1>_Lists!$A$1:$A$7</x:formula1>
      <x:formula2>0</x:formula2>
    </x:dataValidation>
    <x:dataValidation type="list" errorStyle="stop" operator="between" allowBlank="0" showDropDown="0" showInputMessage="0" showErrorMessage="0" sqref="I9:I25">
      <x:formula1>_Lists!$B$1:$B$2</x:formula1>
      <x:formula2>0</x:formula2>
    </x:dataValidation>
  </x:dataValidations>
  <x:pageMargins left="0.7" right="0.7" top="0.75" bottom="0.75" header="0.3" footer="0.3"/>
</x:worksheet>
</file>

<file path=xl/worksheets/sheet98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3.710000038146973" style="127" customWidth="1"/>
    <x:col min="2" max="2" width="15.710000038146973" style="127" customWidth="1"/>
    <x:col min="3" max="3" width="18.709999084472656" style="127" customWidth="1"/>
    <x:col min="4" max="4" width="58.709999084472656" style="127" customWidth="1"/>
    <x:col min="5" max="6" width="14.710000038146973" style="127" customWidth="1"/>
    <x:col min="7" max="7" width="50.709999084472656" style="127" customWidth="1"/>
    <x:col min="8" max="8" width="17.709999084472656" style="127" customWidth="1"/>
    <x:col min="9" max="10" width="14.710000038146973" style="127" customWidth="1"/>
    <x:col min="11" max="11" width="42.709999084472656" style="127" customWidth="1"/>
    <x:col min="12" max="13" width="10.710000038146973" style="127" customWidth="1"/>
  </x:cols>
  <x:sheetData>
    <x:row r="1" s="127" customFormat="1" ht="37.5" customHeight="1">
      <x:c r="A1" s="183" t="inlineStr">
        <x:is>
          <x:t xml:space="preserve">Prose Evidence</x:t>
        </x:is>
      </x:c>
      <x:c r="B1" s="183" t="n"/>
      <x:c r="C1" s="183" t="n"/>
      <x:c r="D1" s="183" t="n"/>
      <x:c r="E1" s="183" t="n"/>
      <x:c r="F1" s="183" t="n"/>
      <x:c r="G1" s="183" t="n"/>
      <x:c r="H1" s="183" t="n"/>
      <x:c r="I1" s="183" t="n"/>
      <x:c r="J1" s="183" t="n"/>
      <x:c r="K1" s="183" t="n"/>
      <x:c r="L1" s="183" t="n"/>
      <x:c r="M1" s="183" t="n"/>
    </x:row>
    <x:row r="2" s="127" customFormat="1" ht="27.75" customHeight="1">
      <x:c r="A2" s="157" t="inlineStr">
        <x:is>
          <x:t xml:space="preserve">Assertion-level descendant typography, trust boundary, browser, documentation, Consumer, and release evidence.</x:t>
        </x:is>
      </x:c>
      <x:c r="B2" s="157" t="n"/>
      <x:c r="C2" s="157" t="n"/>
      <x:c r="D2" s="157" t="n"/>
      <x:c r="E2" s="157" t="n"/>
      <x:c r="F2" s="157" t="n"/>
      <x:c r="G2" s="157" t="n"/>
      <x:c r="H2" s="157" t="n"/>
      <x:c r="I2" s="157" t="n"/>
      <x:c r="J2" s="157" t="n"/>
      <x:c r="K2" s="157" t="n"/>
      <x:c r="L2" s="157" t="n"/>
      <x:c r="M2" s="157" t="n"/>
    </x:row>
    <x:row r="3"/>
    <x:row r="4" s="127" customFormat="1" ht="17.25" customHeight="1">
      <x:c r="A4" s="157" t="inlineStr">
        <x:is>
          <x:t xml:space="preserve">Requirements</x:t>
        </x:is>
      </x:c>
      <x:c r="B4" s="184" t="n">
        <x:f>COUNTA(A9:A25)</x:f>
        <x:v>17</x:v>
      </x:c>
      <x:c r="C4" s="157" t="n"/>
      <x:c r="D4" s="157" t="inlineStr">
        <x:is>
          <x:t xml:space="preserve">Resolved</x:t>
        </x:is>
      </x:c>
      <x:c r="E4" s="184" t="n">
        <x:f>SUM(M9:M25)</x:f>
        <x:v>13</x:v>
      </x:c>
      <x:c r="F4" s="157" t="n"/>
      <x:c r="G4" s="157" t="inlineStr">
        <x:is>
          <x:t xml:space="preserve">Completion</x:t>
        </x:is>
      </x:c>
      <x:c r="H4" s="184" t="n">
        <x:f>IF(B4=0,0,E4/B4)</x:f>
        <x:v>0.7647058823529411</x:v>
      </x:c>
      <x:c r="I4" s="157" t="n"/>
      <x:c r="J4" s="157" t="inlineStr">
        <x:is>
          <x:t xml:space="preserve">Package gate</x:t>
        </x:is>
      </x:c>
      <x:c r="K4" s="184" t="str">
        <x:f>IF(COUNTIFS(E9:E25,"package",M9:M25,0)&gt;0,"open","complete")</x:f>
        <x:v>open</x:v>
      </x:c>
      <x:c r="L4" s="157" t="n"/>
      <x:c r="M4" s="157" t="n"/>
    </x:row>
    <x:row r="5" s="127" customFormat="1" ht="17.25" customHeight="1">
      <x:c r="A5" s="157" t="inlineStr">
        <x:is>
          <x:t xml:space="preserve">Manual review</x:t>
        </x:is>
      </x:c>
      <x:c r="B5" s="184" t="str">
        <x:f>IF(COUNTIFS(I9:I25,"yes",M9:M25,0)&gt;0,"open","complete")</x:f>
        <x:v>open</x:v>
      </x:c>
      <x:c r="C5" s="157" t="n"/>
      <x:c r="D5" s="157" t="inlineStr">
        <x:is>
          <x:t xml:space="preserve">Consumer gate</x:t>
        </x:is>
      </x:c>
      <x:c r="E5" s="184" t="str">
        <x:f>IF(COUNTIFS(E9:E25,"consumer",M9:M25,0)&gt;0,"open","complete")</x:f>
        <x:v>complete</x:v>
      </x:c>
      <x:c r="F5" s="157" t="n"/>
      <x:c r="G5" s="157" t="n"/>
      <x:c r="H5" s="157" t="n"/>
      <x:c r="I5" s="157" t="n"/>
      <x:c r="J5" s="157" t="n"/>
      <x:c r="K5" s="157" t="n"/>
      <x:c r="L5" s="157" t="n"/>
      <x:c r="M5" s="157" t="n"/>
    </x:row>
    <x:row r="6"/>
    <x:row r="7"/>
    <x:row r="8" s="127" customFormat="1" ht="15" customHeight="1">
      <x:c r="A8" s="159" t="inlineStr">
        <x:is>
          <x:t xml:space="preserve">ID</x:t>
        </x:is>
      </x:c>
      <x:c r="B8" s="159" t="inlineStr">
        <x:is>
          <x:t xml:space="preserve">Area</x:t>
        </x:is>
      </x:c>
      <x:c r="C8" s="159" t="inlineStr">
        <x:is>
          <x:t xml:space="preserve">Part</x:t>
        </x:is>
      </x:c>
      <x:c r="D8" s="159" t="inlineStr">
        <x:is>
          <x:t xml:space="preserve">Requirement</x:t>
        </x:is>
      </x:c>
      <x:c r="E8" s="159" t="inlineStr">
        <x:is>
          <x:t xml:space="preserve">Gate</x:t>
        </x:is>
      </x:c>
      <x:c r="F8" s="159" t="inlineStr">
        <x:is>
          <x:t xml:space="preserve">Evidence type</x:t>
        </x:is>
      </x:c>
      <x:c r="G8" s="159" t="inlineStr">
        <x:is>
          <x:t xml:space="preserve">Evidence / link</x:t>
        </x:is>
      </x:c>
      <x:c r="H8" s="159" t="inlineStr">
        <x:is>
          <x:t xml:space="preserve">Status</x:t>
        </x:is>
      </x:c>
      <x:c r="I8" s="159" t="inlineStr">
        <x:is>
          <x:t xml:space="preserve">Human review?</x:t>
        </x:is>
      </x:c>
      <x:c r="J8" s="159" t="inlineStr">
        <x:is>
          <x:t xml:space="preserve">Last verified</x:t>
        </x:is>
      </x:c>
      <x:c r="K8" s="159" t="inlineStr">
        <x:is>
          <x:t xml:space="preserve">Blocker / N/A reason</x:t>
        </x:is>
      </x:c>
      <x:c r="L8" s="159" t="inlineStr">
        <x:is>
          <x:t xml:space="preserve">Weight</x:t>
        </x:is>
      </x:c>
      <x:c r="M8" s="159" t="inlineStr">
        <x:is>
          <x:t xml:space="preserve">Resolved</x:t>
        </x:is>
      </x:c>
    </x:row>
    <x:row r="9" s="127" customFormat="1" ht="54" customHeight="1">
      <x:c r="A9" s="161" t="inlineStr">
        <x:is>
          <x:t xml:space="preserve">PR-01</x:t>
        </x:is>
      </x:c>
      <x:c r="B9" s="161" t="inlineStr">
        <x:is>
          <x:t xml:space="preserve">Implementation</x:t>
        </x:is>
      </x:c>
      <x:c r="C9" s="161" t="inlineStr">
        <x:is>
          <x:t xml:space="preserve">Prose</x:t>
        </x:is>
      </x:c>
      <x:c r="D9" s="161" t="inlineStr">
        <x:is>
          <x:t xml:space="preserve">Prose, Content and Exclude presentation anatomy is implemented.</x:t>
        </x:is>
      </x:c>
      <x:c r="E9" s="161" t="inlineStr">
        <x:is>
          <x:t xml:space="preserve">package</x:t>
        </x:is>
      </x:c>
      <x:c r="F9" s="161" t="inlineStr">
        <x:is>
          <x:t xml:space="preserve">source</x:t>
        </x:is>
      </x:c>
      <x:c r="G9" s="161" t="inlineStr">
        <x:is>
          <x:t xml:space="preserve">../src/components/prose</x:t>
        </x:is>
      </x:c>
      <x:c r="H9" s="162" t="inlineStr">
        <x:is>
          <x:t xml:space="preserve">tested</x:t>
        </x:is>
      </x:c>
      <x:c r="I9" s="161" t="inlineStr">
        <x:is>
          <x:t xml:space="preserve">no</x:t>
        </x:is>
      </x:c>
      <x:c r="J9" s="163" t="n">
        <x:v>46264</x:v>
      </x:c>
      <x:c r="K9" s="161" t="n"/>
      <x:c r="L9" s="164" t="n">
        <x:v>1</x:v>
      </x:c>
      <x:c r="M9" s="164" t="n">
        <x:f>IF(OR(AND(I9="yes",H9="verified"),AND(I9="no",OR(H9="tested",H9="verified")),AND(H9="not applicable",K9&lt;&gt;"")),1,0)</x:f>
        <x:v>1</x:v>
      </x:c>
    </x:row>
    <x:row r="10" s="127" customFormat="1" ht="54" customHeight="1">
      <x:c r="A10" s="161" t="inlineStr">
        <x:is>
          <x:t xml:space="preserve">PR-02</x:t>
        </x:is>
      </x:c>
      <x:c r="B10" s="161" t="inlineStr">
        <x:is>
          <x:t xml:space="preserve">Ownership</x:t>
        </x:is>
      </x:c>
      <x:c r="C10" s="161" t="inlineStr">
        <x:is>
          <x:t xml:space="preserve">Prose</x:t>
        </x:is>
      </x:c>
      <x:c r="D10" s="161" t="inlineStr">
        <x:is>
          <x:t xml:space="preserve">Trusted React descendants receive coherent typography without parsing, sanitizing, fetching, or persisting content.</x:t>
        </x:is>
      </x:c>
      <x:c r="E10" s="161" t="inlineStr">
        <x:is>
          <x:t xml:space="preserve">package</x:t>
        </x:is>
      </x:c>
      <x:c r="F10" s="161" t="inlineStr">
        <x:is>
          <x:t xml:space="preserve">component</x:t>
        </x:is>
      </x:c>
      <x:c r="G10" s="161" t="inlineStr">
        <x:is>
          <x:t xml:space="preserve">../test/components/prose/prose.test.tsx; ../docs/components/prose/README.md</x:t>
        </x:is>
      </x:c>
      <x:c r="H10" s="162" t="inlineStr">
        <x:is>
          <x:t xml:space="preserve">tested</x:t>
        </x:is>
      </x:c>
      <x:c r="I10" s="161" t="inlineStr">
        <x:is>
          <x:t xml:space="preserve">no</x:t>
        </x:is>
      </x:c>
      <x:c r="J10" s="163" t="n">
        <x:v>46264</x:v>
      </x:c>
      <x:c r="K10" s="161" t="n"/>
      <x:c r="L10" s="164" t="n">
        <x:v>1</x:v>
      </x:c>
      <x:c r="M10" s="164" t="n">
        <x:f>IF(OR(AND(I10="yes",H10="verified"),AND(I10="no",OR(H10="tested",H10="verified")),AND(H10="not applicable",K10&lt;&gt;"")),1,0)</x:f>
        <x:v>1</x:v>
      </x:c>
    </x:row>
    <x:row r="11" s="127" customFormat="1" ht="54" customHeight="1">
      <x:c r="A11" s="161" t="inlineStr">
        <x:is>
          <x:t xml:space="preserve">PR-03</x:t>
        </x:is>
      </x:c>
      <x:c r="B11" s="161" t="inlineStr">
        <x:is>
          <x:t xml:space="preserve">Exports</x:t>
        </x:is>
      </x:c>
      <x:c r="C11" s="161" t="inlineStr">
        <x:is>
          <x:t xml:space="preserve">Prose</x:t>
        </x:is>
      </x:c>
      <x:c r="D11" s="161" t="inlineStr">
        <x:is>
          <x:t xml:space="preserve">Root and public Prose subpath exports expose the runtime and every public type.</x:t>
        </x:is>
      </x:c>
      <x:c r="E11" s="161" t="inlineStr">
        <x:is>
          <x:t xml:space="preserve">package</x:t>
        </x:is>
      </x:c>
      <x:c r="F11" s="161" t="inlineStr">
        <x:is>
          <x:t xml:space="preserve">package</x:t>
        </x:is>
      </x:c>
      <x:c r="G11" s="161" t="inlineStr">
        <x:is>
          <x:t xml:space="preserve">../test/package/package.test.mjs; ../test/package/ssr.test.mjs</x:t>
        </x:is>
      </x:c>
      <x:c r="H11" s="162" t="inlineStr">
        <x:is>
          <x:t xml:space="preserve">tested</x:t>
        </x:is>
      </x:c>
      <x:c r="I11" s="161" t="inlineStr">
        <x:is>
          <x:t xml:space="preserve">no</x:t>
        </x:is>
      </x:c>
      <x:c r="J11" s="163" t="n">
        <x:v>46264</x:v>
      </x:c>
      <x:c r="K11" s="161" t="n"/>
      <x:c r="L11" s="164" t="n">
        <x:v>1</x:v>
      </x:c>
      <x:c r="M11" s="164" t="n">
        <x:f>IF(OR(AND(I11="yes",H11="verified"),AND(I11="no",OR(H11="tested",H11="verified")),AND(H11="not applicable",K11&lt;&gt;"")),1,0)</x:f>
        <x:v>1</x:v>
      </x:c>
    </x:row>
    <x:row r="12" s="127" customFormat="1" ht="54" customHeight="1">
      <x:c r="A12" s="161" t="inlineStr">
        <x:is>
          <x:t xml:space="preserve">PR-04</x:t>
        </x:is>
      </x:c>
      <x:c r="B12" s="161" t="inlineStr">
        <x:is>
          <x:t xml:space="preserve">Types</x:t>
        </x:is>
      </x:c>
      <x:c r="C12" s="161" t="inlineStr">
        <x:is>
          <x:t xml:space="preserve">Prose</x:t>
        </x:is>
      </x:c>
      <x:c r="D12" s="161" t="inlineStr">
        <x:is>
          <x:t xml:space="preserve">Native attributes, recipes, composition branches, and ref contracts type-check.</x:t>
        </x:is>
      </x:c>
      <x:c r="E12" s="161" t="inlineStr">
        <x:is>
          <x:t xml:space="preserve">package</x:t>
        </x:is>
      </x:c>
      <x:c r="F12" s="161" t="inlineStr">
        <x:is>
          <x:t xml:space="preserve">types</x:t>
        </x:is>
      </x:c>
      <x:c r="G12" s="161" t="inlineStr">
        <x:is>
          <x:t xml:space="preserve">../test/types/components/prose.test.ts</x:t>
        </x:is>
      </x:c>
      <x:c r="H12" s="162" t="inlineStr">
        <x:is>
          <x:t xml:space="preserve">tested</x:t>
        </x:is>
      </x:c>
      <x:c r="I12" s="161" t="inlineStr">
        <x:is>
          <x:t xml:space="preserve">no</x:t>
        </x:is>
      </x:c>
      <x:c r="J12" s="163" t="n">
        <x:v>46264</x:v>
      </x:c>
      <x:c r="K12" s="161" t="n"/>
      <x:c r="L12" s="164" t="n">
        <x:v>1</x:v>
      </x:c>
      <x:c r="M12" s="164" t="n">
        <x:f>IF(OR(AND(I12="yes",H12="verified"),AND(I12="no",OR(H12="tested",H12="verified")),AND(H12="not applicable",K12&lt;&gt;"")),1,0)</x:f>
        <x:v>1</x:v>
      </x:c>
    </x:row>
    <x:row r="13" s="127" customFormat="1" ht="54" customHeight="1">
      <x:c r="A13" s="161" t="inlineStr">
        <x:is>
          <x:t xml:space="preserve">PR-05</x:t>
        </x:is>
      </x:c>
      <x:c r="B13" s="161" t="inlineStr">
        <x:is>
          <x:t xml:space="preserve">CSS</x:t>
        </x:is>
      </x:c>
      <x:c r="C13" s="161" t="inlineStr">
        <x:is>
          <x:t xml:space="preserve">Prose</x:t>
        </x:is>
      </x:c>
      <x:c r="D13" s="161" t="inlineStr">
        <x:is>
          <x:t xml:space="preserve">Static CSS ships the approved recipes, tokens, states, preferences, and public hooks.</x:t>
        </x:is>
      </x:c>
      <x:c r="E13" s="161" t="inlineStr">
        <x:is>
          <x:t xml:space="preserve">package</x:t>
        </x:is>
      </x:c>
      <x:c r="F13" s="161" t="inlineStr">
        <x:is>
          <x:t xml:space="preserve">css</x:t>
        </x:is>
      </x:c>
      <x:c r="G13" s="161" t="inlineStr">
        <x:is>
          <x:t xml:space="preserve">../src/components/prose/prose.css</x:t>
        </x:is>
      </x:c>
      <x:c r="H13" s="162" t="inlineStr">
        <x:is>
          <x:t xml:space="preserve">tested</x:t>
        </x:is>
      </x:c>
      <x:c r="I13" s="161" t="inlineStr">
        <x:is>
          <x:t xml:space="preserve">no</x:t>
        </x:is>
      </x:c>
      <x:c r="J13" s="163" t="n">
        <x:v>46264</x:v>
      </x:c>
      <x:c r="K13" s="161" t="n"/>
      <x:c r="L13" s="164" t="n">
        <x:v>1</x:v>
      </x:c>
      <x:c r="M13" s="164" t="n">
        <x:f>IF(OR(AND(I13="yes",H13="verified"),AND(I13="no",OR(H13="tested",H13="verified")),AND(H13="not applicable",K13&lt;&gt;"")),1,0)</x:f>
        <x:v>1</x:v>
      </x:c>
    </x:row>
    <x:row r="14" s="127" customFormat="1" ht="54" customHeight="1">
      <x:c r="A14" s="161" t="inlineStr">
        <x:is>
          <x:t xml:space="preserve">PR-06</x:t>
        </x:is>
      </x:c>
      <x:c r="B14" s="161" t="inlineStr">
        <x:is>
          <x:t xml:space="preserve">Unit</x:t>
        </x:is>
      </x:c>
      <x:c r="C14" s="161" t="inlineStr">
        <x:is>
          <x:t xml:space="preserve">Prose</x:t>
        </x:is>
      </x:c>
      <x:c r="D14" s="161" t="inlineStr">
        <x:is>
          <x:t xml:space="preserve">Native host selection, measure, scale, descendant hooks, refs, native forwarding, and safe children pass.</x:t>
        </x:is>
      </x:c>
      <x:c r="E14" s="161" t="inlineStr">
        <x:is>
          <x:t xml:space="preserve">package</x:t>
        </x:is>
      </x:c>
      <x:c r="F14" s="161" t="inlineStr">
        <x:is>
          <x:t xml:space="preserve">component</x:t>
        </x:is>
      </x:c>
      <x:c r="G14" s="161" t="inlineStr">
        <x:is>
          <x:t xml:space="preserve">../test/components/prose/prose.test.tsx</x:t>
        </x:is>
      </x:c>
      <x:c r="H14" s="162" t="inlineStr">
        <x:is>
          <x:t xml:space="preserve">tested</x:t>
        </x:is>
      </x:c>
      <x:c r="I14" s="161" t="inlineStr">
        <x:is>
          <x:t xml:space="preserve">no</x:t>
        </x:is>
      </x:c>
      <x:c r="J14" s="163" t="n">
        <x:v>46264</x:v>
      </x:c>
      <x:c r="K14" s="161" t="n"/>
      <x:c r="L14" s="164" t="n">
        <x:v>1</x:v>
      </x:c>
      <x:c r="M14" s="164" t="n">
        <x:f>IF(OR(AND(I14="yes",H14="verified"),AND(I14="no",OR(H14="tested",H14="verified")),AND(H14="not applicable",K14&lt;&gt;"")),1,0)</x:f>
        <x:v>1</x:v>
      </x:c>
    </x:row>
    <x:row r="15" s="127" customFormat="1" ht="54" customHeight="1">
      <x:c r="A15" s="161" t="inlineStr">
        <x:is>
          <x:t xml:space="preserve">PR-07</x:t>
        </x:is>
      </x:c>
      <x:c r="B15" s="161" t="inlineStr">
        <x:is>
          <x:t xml:space="preserve">Browser</x:t>
        </x:is>
      </x:c>
      <x:c r="C15" s="161" t="inlineStr">
        <x:is>
          <x:t xml:space="preserve">Prose</x:t>
        </x:is>
      </x:c>
      <x:c r="D15" s="161" t="inlineStr">
        <x:is>
          <x:t xml:space="preserve">Headings, paragraphs, links, lists, quotes, tables, code, rules, media, zoom, RTL, and reflow pass.</x:t>
        </x:is>
      </x:c>
      <x:c r="E15" s="161" t="inlineStr">
        <x:is>
          <x:t xml:space="preserve">package</x:t>
        </x:is>
      </x:c>
      <x:c r="F15" s="161" t="inlineStr">
        <x:is>
          <x:t xml:space="preserve">browser</x:t>
        </x:is>
      </x:c>
      <x:c r="G15" s="161" t="inlineStr">
        <x:is>
          <x:t xml:space="preserve">tests/components/prose/behavior.spec.ts</x:t>
        </x:is>
      </x:c>
      <x:c r="H15" s="162" t="inlineStr">
        <x:is>
          <x:t xml:space="preserve">tested</x:t>
        </x:is>
      </x:c>
      <x:c r="I15" s="161" t="inlineStr">
        <x:is>
          <x:t xml:space="preserve">no</x:t>
        </x:is>
      </x:c>
      <x:c r="J15" s="163" t="n">
        <x:v>46264</x:v>
      </x:c>
      <x:c r="K15" s="161" t="n"/>
      <x:c r="L15" s="164" t="n">
        <x:v>1</x:v>
      </x:c>
      <x:c r="M15" s="164" t="n">
        <x:f>IF(OR(AND(I15="yes",H15="verified"),AND(I15="no",OR(H15="tested",H15="verified")),AND(H15="not applicable",K15&lt;&gt;"")),1,0)</x:f>
        <x:v>1</x:v>
      </x:c>
    </x:row>
    <x:row r="16" s="127" customFormat="1" ht="54" customHeight="1">
      <x:c r="A16" s="161" t="inlineStr">
        <x:is>
          <x:t xml:space="preserve">PR-08</x:t>
        </x:is>
      </x:c>
      <x:c r="B16" s="161" t="inlineStr">
        <x:is>
          <x:t xml:space="preserve">Accessibility</x:t>
        </x:is>
      </x:c>
      <x:c r="C16" s="161" t="inlineStr">
        <x:is>
          <x:t xml:space="preserve">Prose</x:t>
        </x:is>
      </x:c>
      <x:c r="D16" s="161" t="inlineStr">
        <x:is>
          <x:t xml:space="preserve">Semantic descendant output, readable measure, text spacing, contrast, keyboard links, and axe pass.</x:t>
        </x:is>
      </x:c>
      <x:c r="E16" s="161" t="inlineStr">
        <x:is>
          <x:t xml:space="preserve">package</x:t>
        </x:is>
      </x:c>
      <x:c r="F16" s="161" t="inlineStr">
        <x:is>
          <x:t xml:space="preserve">axe</x:t>
        </x:is>
      </x:c>
      <x:c r="G16" s="161" t="inlineStr">
        <x:is>
          <x:t xml:space="preserve">tests/components/prose/behavior.spec.ts</x:t>
        </x:is>
      </x:c>
      <x:c r="H16" s="162" t="inlineStr">
        <x:is>
          <x:t xml:space="preserve">tested</x:t>
        </x:is>
      </x:c>
      <x:c r="I16" s="161" t="inlineStr">
        <x:is>
          <x:t xml:space="preserve">no</x:t>
        </x:is>
      </x:c>
      <x:c r="J16" s="163" t="n">
        <x:v>46264</x:v>
      </x:c>
      <x:c r="K16" s="161" t="n"/>
      <x:c r="L16" s="164" t="n">
        <x:v>1</x:v>
      </x:c>
      <x:c r="M16" s="164" t="n">
        <x:f>IF(OR(AND(I16="yes",H16="verified"),AND(I16="no",OR(H16="tested",H16="verified")),AND(H16="not applicable",K16&lt;&gt;"")),1,0)</x:f>
        <x:v>1</x:v>
      </x:c>
    </x:row>
    <x:row r="17" s="127" customFormat="1" ht="54" customHeight="1">
      <x:c r="A17" s="161" t="inlineStr">
        <x:is>
          <x:t xml:space="preserve">PR-09</x:t>
        </x:is>
      </x:c>
      <x:c r="B17" s="161" t="inlineStr">
        <x:is>
          <x:t xml:space="preserve">Visual</x:t>
        </x:is>
      </x:c>
      <x:c r="C17" s="161" t="inlineStr">
        <x:is>
          <x:t xml:space="preserve">Prose</x:t>
        </x:is>
      </x:c>
      <x:c r="D17" s="161" t="inlineStr">
        <x:is>
          <x:t xml:space="preserve">Representative editorial content, scales, measures, customization, light, dark, forced colors, and mobile own baselines.</x:t>
        </x:is>
      </x:c>
      <x:c r="E17" s="161" t="inlineStr">
        <x:is>
          <x:t xml:space="preserve">package</x:t>
        </x:is>
      </x:c>
      <x:c r="F17" s="161" t="inlineStr">
        <x:is>
          <x:t xml:space="preserve">visual</x:t>
        </x:is>
      </x:c>
      <x:c r="G17" s="161" t="inlineStr">
        <x:is>
          <x:t xml:space="preserve">tests/components/prose/visual.spec.ts</x:t>
        </x:is>
      </x:c>
      <x:c r="H17" s="165" t="inlineStr">
        <x:is>
          <x:t xml:space="preserve">verified</x:t>
        </x:is>
      </x:c>
      <x:c r="I17" s="161" t="inlineStr">
        <x:is>
          <x:t xml:space="preserve">yes</x:t>
        </x:is>
      </x:c>
      <x:c r="J17" s="163" t="n">
        <x:v>46264</x:v>
      </x:c>
      <x:c r="K17" s="161" t="inlineStr">
        <x:is>
          <x:t xml:space="preserve">Owner visual review completed against accepted desktop, dark RTL, 320 CSS px with 200% text spacing, mobile, and forced-color evidence on August 30, 2026.</x:t>
        </x:is>
      </x:c>
      <x:c r="L17" s="164" t="n">
        <x:v>1</x:v>
      </x:c>
      <x:c r="M17" s="164" t="n">
        <x:f>IF(OR(AND(I17="yes",H17="verified"),AND(I17="no",OR(H17="tested",H17="verified")),AND(H17="not applicable",K17&lt;&gt;"")),1,0)</x:f>
        <x:v>1</x:v>
      </x:c>
    </x:row>
    <x:row r="18" s="127" customFormat="1" ht="54" customHeight="1">
      <x:c r="A18" s="161" t="inlineStr">
        <x:is>
          <x:t xml:space="preserve">PR-10</x:t>
        </x:is>
      </x:c>
      <x:c r="B18" s="161" t="inlineStr">
        <x:is>
          <x:t xml:space="preserve">Responsive</x:t>
        </x:is>
      </x:c>
      <x:c r="C18" s="161" t="inlineStr">
        <x:is>
          <x:t xml:space="preserve">Prose</x:t>
        </x:is>
      </x:c>
      <x:c r="D18" s="161" t="inlineStr">
        <x:is>
          <x:t xml:space="preserve">Long editorial content, tables, code, media, mobile widths, zoom, and RTL stay usable and contained.</x:t>
        </x:is>
      </x:c>
      <x:c r="E18" s="161" t="inlineStr">
        <x:is>
          <x:t xml:space="preserve">package</x:t>
        </x:is>
      </x:c>
      <x:c r="F18" s="161" t="inlineStr">
        <x:is>
          <x:t xml:space="preserve">manual</x:t>
        </x:is>
      </x:c>
      <x:c r="G18" s="161" t="inlineStr">
        <x:is>
          <x:t xml:space="preserve">manual-tests/prose.md</x:t>
        </x:is>
      </x:c>
      <x:c r="H18" s="165" t="inlineStr">
        <x:is>
          <x:t xml:space="preserve">implemented</x:t>
        </x:is>
      </x:c>
      <x:c r="I18" s="161" t="inlineStr">
        <x:is>
          <x:t xml:space="preserve">yes</x:t>
        </x:is>
      </x:c>
      <x:c r="J18" s="163" t="n"/>
      <x:c r="K18" s="161" t="inlineStr">
        <x:is>
          <x:t xml:space="preserve">Human protocol remains pending. Automated and visual evidence stays in its owning tests and does not complete this human gate.</x:t>
        </x:is>
      </x:c>
      <x:c r="L18" s="164" t="n">
        <x:v>1</x:v>
      </x:c>
      <x:c r="M18" s="164" t="n">
        <x:f>IF(OR(AND(I18="yes",H18="verified"),AND(I18="no",OR(H18="tested",H18="verified")),AND(H18="not applicable",K18&lt;&gt;"")),1,0)</x:f>
        <x:v>0</x:v>
      </x:c>
    </x:row>
    <x:row r="19" s="127" customFormat="1" ht="54" customHeight="1">
      <x:c r="A19" s="161" t="inlineStr">
        <x:is>
          <x:t xml:space="preserve">PR-11</x:t>
        </x:is>
      </x:c>
      <x:c r="B19" s="161" t="inlineStr">
        <x:is>
          <x:t xml:space="preserve">Theme</x:t>
        </x:is>
      </x:c>
      <x:c r="C19" s="161" t="inlineStr">
        <x:is>
          <x:t xml:space="preserve">Prose</x:t>
        </x:is>
      </x:c>
      <x:c r="D19" s="161" t="inlineStr">
        <x:is>
          <x:t xml:space="preserve">All descendant selectors preserve hierarchy and readable contrast across appearances and forced colors.</x:t>
        </x:is>
      </x:c>
      <x:c r="E19" s="161" t="inlineStr">
        <x:is>
          <x:t xml:space="preserve">package</x:t>
        </x:is>
      </x:c>
      <x:c r="F19" s="161" t="inlineStr">
        <x:is>
          <x:t xml:space="preserve">manual</x:t>
        </x:is>
      </x:c>
      <x:c r="G19" s="161" t="inlineStr">
        <x:is>
          <x:t xml:space="preserve">manual-tests/prose.md; tests/components/prose/visual.spec.ts</x:t>
        </x:is>
      </x:c>
      <x:c r="H19" s="165" t="inlineStr">
        <x:is>
          <x:t xml:space="preserve">implemented</x:t>
        </x:is>
      </x:c>
      <x:c r="I19" s="161" t="inlineStr">
        <x:is>
          <x:t xml:space="preserve">yes</x:t>
        </x:is>
      </x:c>
      <x:c r="J19" s="163" t="n"/>
      <x:c r="K19" s="161" t="inlineStr">
        <x:is>
          <x:t xml:space="preserve">Human protocol remains pending. Automated and visual evidence stays in its owning tests and does not complete this human gate.</x:t>
        </x:is>
      </x:c>
      <x:c r="L19" s="164" t="n">
        <x:v>1</x:v>
      </x:c>
      <x:c r="M19" s="164" t="n">
        <x:f>IF(OR(AND(I19="yes",H19="verified"),AND(I19="no",OR(H19="tested",H19="verified")),AND(H19="not applicable",K19&lt;&gt;"")),1,0)</x:f>
        <x:v>0</x:v>
      </x:c>
    </x:row>
    <x:row r="20" s="127" customFormat="1" ht="54" customHeight="1">
      <x:c r="A20" s="161" t="inlineStr">
        <x:is>
          <x:t xml:space="preserve">PR-12</x:t>
        </x:is>
      </x:c>
      <x:c r="B20" s="161" t="inlineStr">
        <x:is>
          <x:t xml:space="preserve">Semantics</x:t>
        </x:is>
      </x:c>
      <x:c r="C20" s="161" t="inlineStr">
        <x:is>
          <x:t xml:space="preserve">Prose</x:t>
        </x:is>
      </x:c>
      <x:c r="D20" s="161" t="inlineStr">
        <x:is>
          <x:t xml:space="preserve">Prose styles trusted React output only and exposes no unsafe HTML, Markdown, or sanitization shortcut.</x:t>
        </x:is>
      </x:c>
      <x:c r="E20" s="161" t="inlineStr">
        <x:is>
          <x:t xml:space="preserve">package</x:t>
        </x:is>
      </x:c>
      <x:c r="F20" s="161" t="inlineStr">
        <x:is>
          <x:t xml:space="preserve">browser</x:t>
        </x:is>
      </x:c>
      <x:c r="G20" s="161" t="inlineStr">
        <x:is>
          <x:t xml:space="preserve">tests/components/prose/behavior.spec.ts</x:t>
        </x:is>
      </x:c>
      <x:c r="H20" s="162" t="inlineStr">
        <x:is>
          <x:t xml:space="preserve">tested</x:t>
        </x:is>
      </x:c>
      <x:c r="I20" s="161" t="inlineStr">
        <x:is>
          <x:t xml:space="preserve">no</x:t>
        </x:is>
      </x:c>
      <x:c r="J20" s="163" t="n">
        <x:v>46264</x:v>
      </x:c>
      <x:c r="K20" s="161" t="n"/>
      <x:c r="L20" s="164" t="n">
        <x:v>1</x:v>
      </x:c>
      <x:c r="M20" s="164" t="n">
        <x:f>IF(OR(AND(I20="yes",H20="verified"),AND(I20="no",OR(H20="tested",H20="verified")),AND(H20="not applicable",K20&lt;&gt;"")),1,0)</x:f>
        <x:v>1</x:v>
      </x:c>
    </x:row>
    <x:row r="21" s="127" customFormat="1" ht="54" customHeight="1">
      <x:c r="A21" s="161" t="inlineStr">
        <x:is>
          <x:t xml:space="preserve">PR-13</x:t>
        </x:is>
      </x:c>
      <x:c r="B21" s="161" t="inlineStr">
        <x:is>
          <x:t xml:space="preserve">Manual</x:t>
        </x:is>
      </x:c>
      <x:c r="C21" s="161" t="inlineStr">
        <x:is>
          <x:t xml:space="preserve">Prose</x:t>
        </x:is>
      </x:c>
      <x:c r="D21" s="161" t="inlineStr">
        <x:is>
          <x:t xml:space="preserve">The component-owned manual protocol covers every Prose playground scenario.</x:t>
        </x:is>
      </x:c>
      <x:c r="E21" s="161" t="inlineStr">
        <x:is>
          <x:t xml:space="preserve">package</x:t>
        </x:is>
      </x:c>
      <x:c r="F21" s="161" t="inlineStr">
        <x:is>
          <x:t xml:space="preserve">manual</x:t>
        </x:is>
      </x:c>
      <x:c r="G21" s="161" t="inlineStr">
        <x:is>
          <x:t xml:space="preserve">manual-tests/prose.md</x:t>
        </x:is>
      </x:c>
      <x:c r="H21" s="165" t="inlineStr">
        <x:is>
          <x:t xml:space="preserve">implemented</x:t>
        </x:is>
      </x:c>
      <x:c r="I21" s="161" t="inlineStr">
        <x:is>
          <x:t xml:space="preserve">yes</x:t>
        </x:is>
      </x:c>
      <x:c r="J21" s="163" t="n"/>
      <x:c r="K21" s="161" t="inlineStr">
        <x:is>
          <x:t xml:space="preserve">Human protocol remains pending. Automated and visual evidence stays in its owning tests and does not complete this human gate.</x:t>
        </x:is>
      </x:c>
      <x:c r="L21" s="164" t="n">
        <x:v>1</x:v>
      </x:c>
      <x:c r="M21" s="164" t="n">
        <x:f>IF(OR(AND(I21="yes",H21="verified"),AND(I21="no",OR(H21="tested",H21="verified")),AND(H21="not applicable",K21&lt;&gt;"")),1,0)</x:f>
        <x:v>0</x:v>
      </x:c>
    </x:row>
    <x:row r="22" s="127" customFormat="1" ht="54" customHeight="1">
      <x:c r="A22" s="161" t="inlineStr">
        <x:is>
          <x:t xml:space="preserve">PR-14</x:t>
        </x:is>
      </x:c>
      <x:c r="B22" s="161" t="inlineStr">
        <x:is>
          <x:t xml:space="preserve">Docs</x:t>
        </x:is>
      </x:c>
      <x:c r="C22" s="161" t="inlineStr">
        <x:is>
          <x:t xml:space="preserve">Prose</x:t>
        </x:is>
      </x:c>
      <x:c r="D22" s="161" t="inlineStr">
        <x:is>
          <x:t xml:space="preserve">Source-backed public usage, API, accessibility, and token documentation passes.</x:t>
        </x:is>
      </x:c>
      <x:c r="E22" s="161" t="inlineStr">
        <x:is>
          <x:t xml:space="preserve">package</x:t>
        </x:is>
      </x:c>
      <x:c r="F22" s="161" t="inlineStr">
        <x:is>
          <x:t xml:space="preserve">docs</x:t>
        </x:is>
      </x:c>
      <x:c r="G22" s="161" t="inlineStr">
        <x:is>
          <x:t xml:space="preserve">../docs/components/prose/README.md</x:t>
        </x:is>
      </x:c>
      <x:c r="H22" s="162" t="inlineStr">
        <x:is>
          <x:t xml:space="preserve">tested</x:t>
        </x:is>
      </x:c>
      <x:c r="I22" s="161" t="inlineStr">
        <x:is>
          <x:t xml:space="preserve">no</x:t>
        </x:is>
      </x:c>
      <x:c r="J22" s="163" t="n">
        <x:v>46264</x:v>
      </x:c>
      <x:c r="K22" s="161" t="n"/>
      <x:c r="L22" s="164" t="n">
        <x:v>1</x:v>
      </x:c>
      <x:c r="M22" s="164" t="n">
        <x:f>IF(OR(AND(I22="yes",H22="verified"),AND(I22="no",OR(H22="tested",H22="verified")),AND(H22="not applicable",K22&lt;&gt;"")),1,0)</x:f>
        <x:v>1</x:v>
      </x:c>
    </x:row>
    <x:row r="23" s="127" customFormat="1" ht="54" customHeight="1">
      <x:c r="A23" s="161" t="inlineStr">
        <x:is>
          <x:t xml:space="preserve">PR-15</x:t>
        </x:is>
      </x:c>
      <x:c r="B23" s="161" t="inlineStr">
        <x:is>
          <x:t xml:space="preserve">Changelog</x:t>
        </x:is>
      </x:c>
      <x:c r="C23" s="161" t="inlineStr">
        <x:is>
          <x:t xml:space="preserve">Prose</x:t>
        </x:is>
      </x:c>
      <x:c r="D23" s="161" t="inlineStr">
        <x:is>
          <x:t xml:space="preserve">Prose owns a public changelog and the package changelog records its addition.</x:t>
        </x:is>
      </x:c>
      <x:c r="E23" s="161" t="inlineStr">
        <x:is>
          <x:t xml:space="preserve">package</x:t>
        </x:is>
      </x:c>
      <x:c r="F23" s="161" t="inlineStr">
        <x:is>
          <x:t xml:space="preserve">docs</x:t>
        </x:is>
      </x:c>
      <x:c r="G23" s="161" t="inlineStr">
        <x:is>
          <x:t xml:space="preserve">../docs/components/prose/CHANGELOG.md; ../CHANGELOG.md</x:t>
        </x:is>
      </x:c>
      <x:c r="H23" s="162" t="inlineStr">
        <x:is>
          <x:t xml:space="preserve">tested</x:t>
        </x:is>
      </x:c>
      <x:c r="I23" s="161" t="inlineStr">
        <x:is>
          <x:t xml:space="preserve">no</x:t>
        </x:is>
      </x:c>
      <x:c r="J23" s="163" t="n">
        <x:v>46264</x:v>
      </x:c>
      <x:c r="K23" s="161" t="n"/>
      <x:c r="L23" s="164" t="n">
        <x:v>1</x:v>
      </x:c>
      <x:c r="M23" s="164" t="n">
        <x:f>IF(OR(AND(I23="yes",H23="verified"),AND(I23="no",OR(H23="tested",H23="verified")),AND(H23="not applicable",K23&lt;&gt;"")),1,0)</x:f>
        <x:v>1</x:v>
      </x:c>
    </x:row>
    <x:row r="24" s="127" customFormat="1" ht="54" customHeight="1">
      <x:c r="A24" s="161" t="inlineStr">
        <x:is>
          <x:t xml:space="preserve">PR-16</x:t>
        </x:is>
      </x:c>
      <x:c r="B24" s="161" t="inlineStr">
        <x:is>
          <x:t xml:space="preserve">Consumer</x:t>
        </x:is>
      </x:c>
      <x:c r="C24" s="161" t="inlineStr">
        <x:is>
          <x:t xml:space="preserve">Prose</x:t>
        </x:is>
      </x:c>
      <x:c r="D24" s="161" t="inlineStr">
        <x:is>
          <x:t xml:space="preserve">The packed Consumer proves Prose through the public package subpath.</x:t>
        </x:is>
      </x:c>
      <x:c r="E24" s="161" t="inlineStr">
        <x:is>
          <x:t xml:space="preserve">consumer</x:t>
        </x:is>
      </x:c>
      <x:c r="F24" s="161" t="inlineStr">
        <x:is>
          <x:t xml:space="preserve">consumer</x:t>
        </x:is>
      </x:c>
      <x:c r="G24" s="161" t="inlineStr">
        <x:is>
          <x:t xml:space="preserve">../apps/consumer/src/App.tsx; ../apps/consumer/tests/consumer.spec.ts</x:t>
        </x:is>
      </x:c>
      <x:c r="H24" s="162" t="inlineStr">
        <x:is>
          <x:t xml:space="preserve">tested</x:t>
        </x:is>
      </x:c>
      <x:c r="I24" s="161" t="inlineStr">
        <x:is>
          <x:t xml:space="preserve">no</x:t>
        </x:is>
      </x:c>
      <x:c r="J24" s="163" t="n">
        <x:v>46264</x:v>
      </x:c>
      <x:c r="K24" s="161" t="n"/>
      <x:c r="L24" s="164" t="n">
        <x:v>1</x:v>
      </x:c>
      <x:c r="M24" s="164" t="n">
        <x:f>IF(OR(AND(I24="yes",H24="verified"),AND(I24="no",OR(H24="tested",H24="verified")),AND(H24="not applicable",K24&lt;&gt;"")),1,0)</x:f>
        <x:v>1</x:v>
      </x:c>
    </x:row>
    <x:row r="25" s="127" customFormat="1" ht="54" customHeight="1">
      <x:c r="A25" s="161" t="inlineStr">
        <x:is>
          <x:t xml:space="preserve">PR-17</x:t>
        </x:is>
      </x:c>
      <x:c r="B25" s="161" t="inlineStr">
        <x:is>
          <x:t xml:space="preserve">Package</x:t>
        </x:is>
      </x:c>
      <x:c r="C25" s="161" t="inlineStr">
        <x:is>
          <x:t xml:space="preserve">Prose</x:t>
        </x:is>
      </x:c>
      <x:c r="D25" s="161" t="inlineStr">
        <x:is>
          <x:t xml:space="preserve">Build, SSR, exports, CSS, Agent Knowledge, tarball, React 18/19, and packed-consumer verification pass.</x:t>
        </x:is>
      </x:c>
      <x:c r="E25" s="161" t="inlineStr">
        <x:is>
          <x:t xml:space="preserve">package</x:t>
        </x:is>
      </x:c>
      <x:c r="F25" s="161" t="inlineStr">
        <x:is>
          <x:t xml:space="preserve">package</x:t>
        </x:is>
      </x:c>
      <x:c r="G25" s="161" t="inlineStr">
        <x:is>
          <x:t xml:space="preserve">../test/package; ../scripts/verify-package.mjs; ../scripts/verify-consumers.mjs</x:t>
        </x:is>
      </x:c>
      <x:c r="H25" s="165" t="inlineStr">
        <x:is>
          <x:t xml:space="preserve">partial</x:t>
        </x:is>
      </x:c>
      <x:c r="I25" s="161" t="inlineStr">
        <x:is>
          <x:t xml:space="preserve">yes</x:t>
        </x:is>
      </x:c>
      <x:c r="J25" s="163" t="n">
        <x:v>46264</x:v>
      </x:c>
      <x:c r="K25" s="161" t="inlineStr">
        <x:is>
          <x:t xml:space="preserve">September 12: focused parity checks pass; broader theme-contract gate reports IconButton token failure. Full candidate and manual qualification remain open.</x:t>
        </x:is>
      </x:c>
      <x:c r="L25" s="164" t="n">
        <x:v>1</x:v>
      </x:c>
      <x:c r="M25" s="164" t="n">
        <x:f>IF(OR(AND(I25="yes",H25="verified"),AND(I25="no",OR(H25="tested",H25="verified")),AND(H25="not applicable",K25&lt;&gt;"")),1,0)</x:f>
        <x:v>0</x:v>
      </x:c>
    </x:row>
  </x:sheetData>
  <x:dataValidations count="2">
    <x:dataValidation type="list" errorStyle="stop" operator="between" allowBlank="0" showDropDown="0" showInputMessage="0" showErrorMessage="0" sqref="H9:H25">
      <x:formula1>_Lists!$A$1:$A$7</x:formula1>
      <x:formula2>0</x:formula2>
    </x:dataValidation>
    <x:dataValidation type="list" errorStyle="stop" operator="between" allowBlank="0" showDropDown="0" showInputMessage="0" showErrorMessage="0" sqref="I9:I25">
      <x:formula1>_Lists!$B$1:$B$2</x:formula1>
      <x:formula2>0</x:formula2>
    </x:dataValidation>
  </x:dataValidations>
  <x:pageMargins left="0.7" right="0.7" top="0.75" bottom="0.75" header="0.3" footer="0.3"/>
</x:worksheet>
</file>

<file path=xl/worksheets/sheet99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38" customWidth="1"/>
    <x:col min="2" max="2" width="15.710000038146973" style="138" customWidth="1"/>
    <x:col min="3" max="3" width="18.709999084472656" style="138" customWidth="1"/>
    <x:col min="4" max="4" width="58.709999084472656" style="138" customWidth="1"/>
    <x:col min="5" max="6" width="14.710000038146973" style="138" customWidth="1"/>
    <x:col min="7" max="7" width="50.709999084472656" style="138" customWidth="1"/>
    <x:col min="8" max="8" width="17.709999084472656" style="138" customWidth="1"/>
    <x:col min="9" max="10" width="14.710000038146973" style="138" customWidth="1"/>
    <x:col min="11" max="11" width="42.709999084472656" style="138" customWidth="1"/>
    <x:col min="12" max="13" width="10.710000038146973" style="138" customWidth="1"/>
  </x:cols>
  <x:sheetData>
    <x:row r="1" s="135" customFormat="1" ht="37.5" customHeight="1">
      <x:c r="A1" s="185" t="inlineStr">
        <x:is>
          <x:t xml:space="preserve">AvatarGroup Evidence</x:t>
        </x:is>
      </x:c>
    </x:row>
    <x:row r="2" s="135" customFormat="1" ht="27.75" customHeight="1">
      <x:c r="A2" s="186" t="inlineStr">
        <x:is>
          <x:t xml:space="preserve">Assertion-level package, browser, human-review, documentation, and consumer evidence.</x:t>
        </x:is>
      </x:c>
    </x:row>
    <x:row r="3" s="135" customFormat="1" ht="15" customHeight="1">
      <x:c r="A3" s="138" t="n"/>
      <x:c r="B3" s="138" t="n"/>
      <x:c r="C3" s="138" t="n"/>
      <x:c r="D3" s="138" t="n"/>
      <x:c r="E3" s="138" t="n"/>
      <x:c r="F3" s="138" t="n"/>
      <x:c r="G3" s="138" t="n"/>
      <x:c r="H3" s="138" t="n"/>
      <x:c r="I3" s="138" t="n"/>
      <x:c r="J3" s="138" t="n"/>
      <x:c r="K3" s="138" t="n"/>
      <x:c r="L3" s="138" t="n"/>
      <x:c r="M3" s="138" t="n"/>
    </x:row>
    <x:row r="4" s="135" customFormat="1" ht="17.25" customHeight="1">
      <x:c r="A4" s="187" t="inlineStr">
        <x:is>
          <x:t xml:space="preserve">Requirements</x:t>
        </x:is>
      </x:c>
      <x:c r="B4" s="188" t="n">
        <x:f>COUNTA(A9:A24)</x:f>
        <x:v>16</x:v>
      </x:c>
      <x:c r="C4" s="189" t="n"/>
      <x:c r="D4" s="187" t="inlineStr">
        <x:is>
          <x:t xml:space="preserve">Resolved</x:t>
        </x:is>
      </x:c>
      <x:c r="E4" s="188" t="n">
        <x:f>SUM(M9:M24)</x:f>
        <x:v>15</x:v>
      </x:c>
      <x:c r="F4" s="189" t="n"/>
      <x:c r="G4" s="187" t="inlineStr">
        <x:is>
          <x:t xml:space="preserve">Completion</x:t>
        </x:is>
      </x:c>
      <x:c r="H4" s="190" t="n">
        <x:f>IF(B4=0,0,E4/B4)</x:f>
        <x:v>0.9375</x:v>
      </x:c>
      <x:c r="I4" s="189" t="n"/>
      <x:c r="J4" s="187" t="inlineStr">
        <x:is>
          <x:t xml:space="preserve">Package gate</x:t>
        </x:is>
      </x:c>
      <x:c r="K4" s="188" t="str">
        <x:f>IF(COUNTIFS(E9:E24,"package",M9:M24,0)&gt;0,"open","complete")</x:f>
        <x:v>open</x:v>
      </x:c>
      <x:c r="L4" s="189" t="n"/>
      <x:c r="M4" s="189" t="n"/>
    </x:row>
    <x:row r="5" s="135" customFormat="1" ht="17.25" customHeight="1">
      <x:c r="A5" s="187" t="inlineStr">
        <x:is>
          <x:t xml:space="preserve">Manual review</x:t>
        </x:is>
      </x:c>
      <x:c r="B5" s="188" t="str">
        <x:f>IF(COUNTIFS(I9:I24,"yes",M9:M24,0)&gt;0,"open","complete")</x:f>
        <x:v>open</x:v>
      </x:c>
      <x:c r="C5" s="189" t="n"/>
      <x:c r="D5" s="187" t="inlineStr">
        <x:is>
          <x:t xml:space="preserve">Consumer gate</x:t>
        </x:is>
      </x:c>
      <x:c r="E5" s="188" t="str">
        <x:f>IF(COUNTIFS(E9:E24,"consumer",M9:M24,0)&gt;0,"open","complete")</x:f>
        <x:v>complete</x:v>
      </x:c>
      <x:c r="F5" s="189" t="n"/>
      <x:c r="G5" s="189" t="n"/>
      <x:c r="H5" s="189" t="n"/>
      <x:c r="I5" s="189" t="n"/>
      <x:c r="J5" s="189" t="n"/>
      <x:c r="K5" s="189" t="n"/>
      <x:c r="L5" s="189" t="n"/>
      <x:c r="M5" s="189" t="n"/>
    </x:row>
    <x:row r="6" s="135" customFormat="1" ht="15" customHeight="1">
      <x:c r="A6" s="138" t="n"/>
      <x:c r="B6" s="138" t="n"/>
      <x:c r="C6" s="138" t="n"/>
      <x:c r="D6" s="138" t="n"/>
      <x:c r="E6" s="138" t="n"/>
      <x:c r="F6" s="138" t="n"/>
      <x:c r="G6" s="138" t="n"/>
      <x:c r="H6" s="138" t="n"/>
      <x:c r="I6" s="138" t="n"/>
      <x:c r="J6" s="138" t="n"/>
      <x:c r="K6" s="138" t="n"/>
      <x:c r="L6" s="138" t="n"/>
      <x:c r="M6" s="138" t="n"/>
    </x:row>
    <x:row r="7" s="135" customFormat="1" ht="15" customHeight="1">
      <x:c r="A7" s="138" t="n"/>
      <x:c r="B7" s="138" t="n"/>
      <x:c r="C7" s="138" t="n"/>
      <x:c r="D7" s="138" t="n"/>
      <x:c r="E7" s="138" t="n"/>
      <x:c r="F7" s="138" t="n"/>
      <x:c r="G7" s="138" t="n"/>
      <x:c r="H7" s="138" t="n"/>
      <x:c r="I7" s="138" t="n"/>
      <x:c r="J7" s="138" t="n"/>
      <x:c r="K7" s="138" t="n"/>
      <x:c r="L7" s="138" t="n"/>
      <x:c r="M7" s="138" t="n"/>
    </x:row>
    <x:row r="8" s="135" customFormat="1" ht="15" customHeight="1">
      <x:c r="A8" s="191" t="inlineStr">
        <x:is>
          <x:t xml:space="preserve">ID</x:t>
        </x:is>
      </x:c>
      <x:c r="B8" s="191" t="inlineStr">
        <x:is>
          <x:t xml:space="preserve">Area</x:t>
        </x:is>
      </x:c>
      <x:c r="C8" s="191" t="inlineStr">
        <x:is>
          <x:t xml:space="preserve">Part</x:t>
        </x:is>
      </x:c>
      <x:c r="D8" s="191" t="inlineStr">
        <x:is>
          <x:t xml:space="preserve">Requirement</x:t>
        </x:is>
      </x:c>
      <x:c r="E8" s="191" t="inlineStr">
        <x:is>
          <x:t xml:space="preserve">Gate</x:t>
        </x:is>
      </x:c>
      <x:c r="F8" s="191" t="inlineStr">
        <x:is>
          <x:t xml:space="preserve">Evidence type</x:t>
        </x:is>
      </x:c>
      <x:c r="G8" s="191" t="inlineStr">
        <x:is>
          <x:t xml:space="preserve">Evidence / link</x:t>
        </x:is>
      </x:c>
      <x:c r="H8" s="191" t="inlineStr">
        <x:is>
          <x:t xml:space="preserve">Status</x:t>
        </x:is>
      </x:c>
      <x:c r="I8" s="191" t="inlineStr">
        <x:is>
          <x:t xml:space="preserve">Human review?</x:t>
        </x:is>
      </x:c>
      <x:c r="J8" s="191" t="inlineStr">
        <x:is>
          <x:t xml:space="preserve">Last verified</x:t>
        </x:is>
      </x:c>
      <x:c r="K8" s="191" t="inlineStr">
        <x:is>
          <x:t xml:space="preserve">Blocker / N/A reason</x:t>
        </x:is>
      </x:c>
      <x:c r="L8" s="191" t="inlineStr">
        <x:is>
          <x:t xml:space="preserve">Weight</x:t>
        </x:is>
      </x:c>
      <x:c r="M8" s="191" t="inlineStr">
        <x:is>
          <x:t xml:space="preserve">Resolved</x:t>
        </x:is>
      </x:c>
    </x:row>
    <x:row r="9" s="135" customFormat="1" ht="54" customHeight="1">
      <x:c r="A9" s="192" t="inlineStr">
        <x:is>
          <x:t xml:space="preserve">AG-01</x:t>
        </x:is>
      </x:c>
      <x:c r="B9" s="192" t="inlineStr">
        <x:is>
          <x:t xml:space="preserve">Implementation</x:t>
        </x:is>
      </x:c>
      <x:c r="C9" s="192" t="inlineStr">
        <x:is>
          <x:t xml:space="preserve">AvatarGroup</x:t>
        </x:is>
      </x:c>
      <x:c r="D9" s="193" t="inlineStr">
        <x:is>
          <x:t xml:space="preserve">Public presentation owner and Avatar context adapter implement one reusable identity stack.</x:t>
        </x:is>
      </x:c>
      <x:c r="E9" s="192" t="inlineStr">
        <x:is>
          <x:t xml:space="preserve">package</x:t>
        </x:is>
      </x:c>
      <x:c r="F9" s="192" t="inlineStr">
        <x:is>
          <x:t xml:space="preserve">source</x:t>
        </x:is>
      </x:c>
      <x:c r="G9" s="193" t="inlineStr">
        <x:is>
          <x:t xml:space="preserve">../src/components/avatar-group/AvatarGroup.tsx; ../src/components/avatar-group/AvatarGroupContext.ts</x:t>
        </x:is>
      </x:c>
      <x:c r="H9" s="194" t="inlineStr">
        <x:is>
          <x:t xml:space="preserve">tested</x:t>
        </x:is>
      </x:c>
      <x:c r="I9" s="192" t="inlineStr">
        <x:is>
          <x:t xml:space="preserve">no</x:t>
        </x:is>
      </x:c>
      <x:c r="J9" s="192" t="inlineStr">
        <x:is>
          <x:t xml:space="preserve">2026-09-01</x:t>
        </x:is>
      </x:c>
      <x:c r="K9" s="193" t="n"/>
      <x:c r="L9" s="195" t="n">
        <x:v>1</x:v>
      </x:c>
      <x:c r="M9" s="195" t="n">
        <x:f>IF(OR(AND(I9="yes",H9="verified"),AND(I9="no",OR(H9="tested",H9="verified")),AND(H9="not applicable",K9&lt;&gt;"")),1,0)</x:f>
        <x:v>1</x:v>
      </x:c>
    </x:row>
    <x:row r="10" s="135" customFormat="1" ht="54" customHeight="1">
      <x:c r="A10" s="196" t="inlineStr">
        <x:is>
          <x:t xml:space="preserve">AG-02</x:t>
        </x:is>
      </x:c>
      <x:c r="B10" s="196" t="inlineStr">
        <x:is>
          <x:t xml:space="preserve">Exports</x:t>
        </x:is>
      </x:c>
      <x:c r="C10" s="196" t="inlineStr">
        <x:is>
          <x:t xml:space="preserve">AvatarGroup</x:t>
        </x:is>
      </x:c>
      <x:c r="D10" s="197" t="inlineStr">
        <x:is>
          <x:t xml:space="preserve">Root and public avatar-group subpath exports expose runtime and public types.</x:t>
        </x:is>
      </x:c>
      <x:c r="E10" s="196" t="inlineStr">
        <x:is>
          <x:t xml:space="preserve">package</x:t>
        </x:is>
      </x:c>
      <x:c r="F10" s="196" t="inlineStr">
        <x:is>
          <x:t xml:space="preserve">package</x:t>
        </x:is>
      </x:c>
      <x:c r="G10" s="197" t="inlineStr">
        <x:is>
          <x:t xml:space="preserve">../src/avatar-group.ts; ../src/index.ts; ../package.json</x:t>
        </x:is>
      </x:c>
      <x:c r="H10" s="198" t="inlineStr">
        <x:is>
          <x:t xml:space="preserve">tested</x:t>
        </x:is>
      </x:c>
      <x:c r="I10" s="196" t="inlineStr">
        <x:is>
          <x:t xml:space="preserve">no</x:t>
        </x:is>
      </x:c>
      <x:c r="J10" s="196" t="inlineStr">
        <x:is>
          <x:t xml:space="preserve">2026-09-01</x:t>
        </x:is>
      </x:c>
      <x:c r="K10" s="197" t="n"/>
      <x:c r="L10" s="199" t="n">
        <x:v>1</x:v>
      </x:c>
      <x:c r="M10" s="199" t="n">
        <x:f>IF(OR(AND(I10="yes",H10="verified"),AND(I10="no",OR(H10="tested",H10="verified")),AND(H10="not applicable",K10&lt;&gt;"")),1,0)</x:f>
        <x:v>1</x:v>
      </x:c>
    </x:row>
    <x:row r="11" s="135" customFormat="1" ht="54" customHeight="1">
      <x:c r="A11" s="196" t="inlineStr">
        <x:is>
          <x:t xml:space="preserve">AG-03</x:t>
        </x:is>
      </x:c>
      <x:c r="B11" s="196" t="inlineStr">
        <x:is>
          <x:t xml:space="preserve">Types</x:t>
        </x:is>
      </x:c>
      <x:c r="C11" s="196" t="inlineStr">
        <x:is>
          <x:t xml:space="preserve">AvatarGroup</x:t>
        </x:is>
      </x:c>
      <x:c r="D11" s="197" t="inlineStr">
        <x:is>
          <x:t xml:space="preserve">Closed recipes, overflow branches, hosts, native props, refs, and invalid combinations type-check.</x:t>
        </x:is>
      </x:c>
      <x:c r="E11" s="196" t="inlineStr">
        <x:is>
          <x:t xml:space="preserve">package</x:t>
        </x:is>
      </x:c>
      <x:c r="F11" s="196" t="inlineStr">
        <x:is>
          <x:t xml:space="preserve">types</x:t>
        </x:is>
      </x:c>
      <x:c r="G11" s="197" t="inlineStr">
        <x:is>
          <x:t xml:space="preserve">../test/types/components/avatar-group.test.ts</x:t>
        </x:is>
      </x:c>
      <x:c r="H11" s="198" t="inlineStr">
        <x:is>
          <x:t xml:space="preserve">tested</x:t>
        </x:is>
      </x:c>
      <x:c r="I11" s="196" t="inlineStr">
        <x:is>
          <x:t xml:space="preserve">no</x:t>
        </x:is>
      </x:c>
      <x:c r="J11" s="196" t="inlineStr">
        <x:is>
          <x:t xml:space="preserve">2026-09-01</x:t>
        </x:is>
      </x:c>
      <x:c r="K11" s="197" t="n"/>
      <x:c r="L11" s="199" t="n">
        <x:v>1</x:v>
      </x:c>
      <x:c r="M11" s="199" t="n">
        <x:f>IF(OR(AND(I11="yes",H11="verified"),AND(I11="no",OR(H11="tested",H11="verified")),AND(H11="not applicable",K11&lt;&gt;"")),1,0)</x:f>
        <x:v>1</x:v>
      </x:c>
    </x:row>
    <x:row r="12" s="135" customFormat="1" ht="54" customHeight="1">
      <x:c r="A12" s="196" t="inlineStr">
        <x:is>
          <x:t xml:space="preserve">AG-04</x:t>
        </x:is>
      </x:c>
      <x:c r="B12" s="196" t="inlineStr">
        <x:is>
          <x:t xml:space="preserve">CSS</x:t>
        </x:is>
      </x:c>
      <x:c r="C12" s="196" t="inlineStr">
        <x:is>
          <x:t xml:space="preserve">AvatarGroup and Avatar</x:t>
        </x:is>
      </x:c>
      <x:c r="D12" s="197" t="inlineStr">
        <x:is>
          <x:t xml:space="preserve">Static CSS ships logical overlap, paint order, size geometry, outline integration, and forced-colors treatment.</x:t>
        </x:is>
      </x:c>
      <x:c r="E12" s="196" t="inlineStr">
        <x:is>
          <x:t xml:space="preserve">package</x:t>
        </x:is>
      </x:c>
      <x:c r="F12" s="196" t="inlineStr">
        <x:is>
          <x:t xml:space="preserve">css</x:t>
        </x:is>
      </x:c>
      <x:c r="G12" s="197" t="inlineStr">
        <x:is>
          <x:t xml:space="preserve">../src/components/avatar-group/avatar-group.css; ../scripts/css-entrypoints.mjs</x:t>
        </x:is>
      </x:c>
      <x:c r="H12" s="198" t="inlineStr">
        <x:is>
          <x:t xml:space="preserve">tested</x:t>
        </x:is>
      </x:c>
      <x:c r="I12" s="196" t="inlineStr">
        <x:is>
          <x:t xml:space="preserve">no</x:t>
        </x:is>
      </x:c>
      <x:c r="J12" s="196" t="inlineStr">
        <x:is>
          <x:t xml:space="preserve">2026-09-01</x:t>
        </x:is>
      </x:c>
      <x:c r="K12" s="197" t="n"/>
      <x:c r="L12" s="199" t="n">
        <x:v>1</x:v>
      </x:c>
      <x:c r="M12" s="199" t="n">
        <x:f>IF(OR(AND(I12="yes",H12="verified"),AND(I12="no",OR(H12="tested",H12="verified")),AND(H12="not applicable",K12&lt;&gt;"")),1,0)</x:f>
        <x:v>1</x:v>
      </x:c>
    </x:row>
    <x:row r="13" s="135" customFormat="1" ht="54" customHeight="1">
      <x:c r="A13" s="196" t="inlineStr">
        <x:is>
          <x:t xml:space="preserve">AG-05</x:t>
        </x:is>
      </x:c>
      <x:c r="B13" s="196" t="inlineStr">
        <x:is>
          <x:t xml:space="preserve">Unit</x:t>
        </x:is>
      </x:c>
      <x:c r="C13" s="196" t="inlineStr">
        <x:is>
          <x:t xml:space="preserve">AvatarGroup</x:t>
        </x:is>
      </x:c>
      <x:c r="D13" s="197" t="inlineStr">
        <x:is>
          <x:t xml:space="preserve">Defaults, context, overlap, stacking, localized/custom overflow, native props, events, and refs pass focused tests.</x:t>
        </x:is>
      </x:c>
      <x:c r="E13" s="196" t="inlineStr">
        <x:is>
          <x:t xml:space="preserve">package</x:t>
        </x:is>
      </x:c>
      <x:c r="F13" s="196" t="inlineStr">
        <x:is>
          <x:t xml:space="preserve">component</x:t>
        </x:is>
      </x:c>
      <x:c r="G13" s="197" t="inlineStr">
        <x:is>
          <x:t xml:space="preserve">../test/components/avatar-group/avatar-group.test.tsx</x:t>
        </x:is>
      </x:c>
      <x:c r="H13" s="198" t="inlineStr">
        <x:is>
          <x:t xml:space="preserve">tested</x:t>
        </x:is>
      </x:c>
      <x:c r="I13" s="196" t="inlineStr">
        <x:is>
          <x:t xml:space="preserve">no</x:t>
        </x:is>
      </x:c>
      <x:c r="J13" s="196" t="inlineStr">
        <x:is>
          <x:t xml:space="preserve">2026-09-01</x:t>
        </x:is>
      </x:c>
      <x:c r="K13" s="197" t="n"/>
      <x:c r="L13" s="199" t="n">
        <x:v>1</x:v>
      </x:c>
      <x:c r="M13" s="199" t="n">
        <x:f>IF(OR(AND(I13="yes",H13="verified"),AND(I13="no",OR(H13="tested",H13="verified")),AND(H13="not applicable",K13&lt;&gt;"")),1,0)</x:f>
        <x:v>1</x:v>
      </x:c>
    </x:row>
    <x:row r="14" s="135" customFormat="1" ht="54" customHeight="1">
      <x:c r="A14" s="196" t="inlineStr">
        <x:is>
          <x:t xml:space="preserve">AG-06</x:t>
        </x:is>
      </x:c>
      <x:c r="B14" s="196" t="inlineStr">
        <x:is>
          <x:t xml:space="preserve">Browser</x:t>
        </x:is>
      </x:c>
      <x:c r="C14" s="196" t="inlineStr">
        <x:is>
          <x:t xml:space="preserve">AvatarGroup</x:t>
        </x:is>
      </x:c>
      <x:c r="D14" s="197" t="inlineStr">
        <x:is>
          <x:t xml:space="preserve">Real-browser geometry, paint order, max/total, custom overflow focus, RTL, zoom, and narrow containment pass.</x:t>
        </x:is>
      </x:c>
      <x:c r="E14" s="196" t="inlineStr">
        <x:is>
          <x:t xml:space="preserve">package</x:t>
        </x:is>
      </x:c>
      <x:c r="F14" s="196" t="inlineStr">
        <x:is>
          <x:t xml:space="preserve">browser</x:t>
        </x:is>
      </x:c>
      <x:c r="G14" s="197" t="inlineStr">
        <x:is>
          <x:t xml:space="preserve">tests/components/avatar-group/behavior.spec.ts</x:t>
        </x:is>
      </x:c>
      <x:c r="H14" s="198" t="inlineStr">
        <x:is>
          <x:t xml:space="preserve">tested</x:t>
        </x:is>
      </x:c>
      <x:c r="I14" s="196" t="inlineStr">
        <x:is>
          <x:t xml:space="preserve">no</x:t>
        </x:is>
      </x:c>
      <x:c r="J14" s="196" t="inlineStr">
        <x:is>
          <x:t xml:space="preserve">2026-09-01</x:t>
        </x:is>
      </x:c>
      <x:c r="K14" s="197" t="n"/>
      <x:c r="L14" s="199" t="n">
        <x:v>1</x:v>
      </x:c>
      <x:c r="M14" s="199" t="n">
        <x:f>IF(OR(AND(I14="yes",H14="verified"),AND(I14="no",OR(H14="tested",H14="verified")),AND(H14="not applicable",K14&lt;&gt;"")),1,0)</x:f>
        <x:v>1</x:v>
      </x:c>
    </x:row>
    <x:row r="15" s="135" customFormat="1" ht="54" customHeight="1">
      <x:c r="A15" s="196" t="inlineStr">
        <x:is>
          <x:t xml:space="preserve">AG-07</x:t>
        </x:is>
      </x:c>
      <x:c r="B15" s="196" t="inlineStr">
        <x:is>
          <x:t xml:space="preserve">Accessibility</x:t>
        </x:is>
      </x:c>
      <x:c r="C15" s="196" t="inlineStr">
        <x:is>
          <x:t xml:space="preserve">AvatarGroup</x:t>
        </x:is>
      </x:c>
      <x:c r="D15" s="197" t="inlineStr">
        <x:is>
          <x:t xml:space="preserve">Neutral default semantics, localized overflow naming, focus behavior, source order, and axe checks pass.</x:t>
        </x:is>
      </x:c>
      <x:c r="E15" s="196" t="inlineStr">
        <x:is>
          <x:t xml:space="preserve">package</x:t>
        </x:is>
      </x:c>
      <x:c r="F15" s="196" t="inlineStr">
        <x:is>
          <x:t xml:space="preserve">axe</x:t>
        </x:is>
      </x:c>
      <x:c r="G15" s="197" t="inlineStr">
        <x:is>
          <x:t xml:space="preserve">tests/components/avatar-group/behavior.spec.ts</x:t>
        </x:is>
      </x:c>
      <x:c r="H15" s="198" t="inlineStr">
        <x:is>
          <x:t xml:space="preserve">tested</x:t>
        </x:is>
      </x:c>
      <x:c r="I15" s="196" t="inlineStr">
        <x:is>
          <x:t xml:space="preserve">no</x:t>
        </x:is>
      </x:c>
      <x:c r="J15" s="196" t="inlineStr">
        <x:is>
          <x:t xml:space="preserve">2026-09-01</x:t>
        </x:is>
      </x:c>
      <x:c r="K15" s="197" t="n"/>
      <x:c r="L15" s="199" t="n">
        <x:v>1</x:v>
      </x:c>
      <x:c r="M15" s="199" t="n">
        <x:f>IF(OR(AND(I15="yes",H15="verified"),AND(I15="no",OR(H15="tested",H15="verified")),AND(H15="not applicable",K15&lt;&gt;"")),1,0)</x:f>
        <x:v>1</x:v>
      </x:c>
    </x:row>
    <x:row r="16" s="135" customFormat="1" ht="54" customHeight="1">
      <x:c r="A16" s="196" t="inlineStr">
        <x:is>
          <x:t xml:space="preserve">AG-08</x:t>
        </x:is>
      </x:c>
      <x:c r="B16" s="196" t="inlineStr">
        <x:is>
          <x:t xml:space="preserve">Visual</x:t>
        </x:is>
      </x:c>
      <x:c r="C16" s="196" t="inlineStr">
        <x:is>
          <x:t xml:space="preserve">AvatarGroup</x:t>
        </x:is>
      </x:c>
      <x:c r="D16" s="197" t="inlineStr">
        <x:is>
          <x:t xml:space="preserve">Reviewed baselines cover defaults, sizes, shapes, overlap, stacking, overflow, dark, mobile, and forced colors.</x:t>
        </x:is>
      </x:c>
      <x:c r="E16" s="196" t="inlineStr">
        <x:is>
          <x:t xml:space="preserve">package</x:t>
        </x:is>
      </x:c>
      <x:c r="F16" s="196" t="inlineStr">
        <x:is>
          <x:t xml:space="preserve">visual</x:t>
        </x:is>
      </x:c>
      <x:c r="G16" s="197" t="inlineStr">
        <x:is>
          <x:t xml:space="preserve">tests/components/avatar-group/visual.spec.ts</x:t>
        </x:is>
      </x:c>
      <x:c r="H16" s="200" t="inlineStr">
        <x:is>
          <x:t xml:space="preserve">verified</x:t>
        </x:is>
      </x:c>
      <x:c r="I16" s="196" t="inlineStr">
        <x:is>
          <x:t xml:space="preserve">yes</x:t>
        </x:is>
      </x:c>
      <x:c r="J16" s="196" t="inlineStr">
        <x:is>
          <x:t xml:space="preserve">2026-09-01</x:t>
        </x:is>
      </x:c>
      <x:c r="K16" s="197" t="inlineStr">
        <x:is>
          <x:t xml:space="preserve">Owner reviewed all seven current AvatarGroup baselines.</x:t>
        </x:is>
      </x:c>
      <x:c r="L16" s="199" t="n">
        <x:v>1</x:v>
      </x:c>
      <x:c r="M16" s="199" t="n">
        <x:f>IF(OR(AND(I16="yes",H16="verified"),AND(I16="no",OR(H16="tested",H16="verified")),AND(H16="not applicable",K16&lt;&gt;"")),1,0)</x:f>
        <x:v>1</x:v>
      </x:c>
    </x:row>
    <x:row r="17" s="135" customFormat="1" ht="54" customHeight="1">
      <x:c r="A17" s="196" t="inlineStr">
        <x:is>
          <x:t xml:space="preserve">AG-09</x:t>
        </x:is>
      </x:c>
      <x:c r="B17" s="196" t="inlineStr">
        <x:is>
          <x:t xml:space="preserve">Responsive</x:t>
        </x:is>
      </x:c>
      <x:c r="C17" s="196" t="inlineStr">
        <x:is>
          <x:t xml:space="preserve">AvatarGroup</x:t>
        </x:is>
      </x:c>
      <x:c r="D17" s="197" t="inlineStr">
        <x:is>
          <x:t xml:space="preserve">320px, 200% zoom, localized content stress, and RTL remain visible, ordered, and contained.</x:t>
        </x:is>
      </x:c>
      <x:c r="E17" s="196" t="inlineStr">
        <x:is>
          <x:t xml:space="preserve">package</x:t>
        </x:is>
      </x:c>
      <x:c r="F17" s="196" t="inlineStr">
        <x:is>
          <x:t xml:space="preserve">browser</x:t>
        </x:is>
      </x:c>
      <x:c r="G17" s="197" t="inlineStr">
        <x:is>
          <x:t xml:space="preserve">tests/components/avatar-group/behavior.spec.ts; tests/components/avatar-group/visual.spec.ts</x:t>
        </x:is>
      </x:c>
      <x:c r="H17" s="200" t="inlineStr">
        <x:is>
          <x:t xml:space="preserve">verified</x:t>
        </x:is>
      </x:c>
      <x:c r="I17" s="196" t="inlineStr">
        <x:is>
          <x:t xml:space="preserve">yes</x:t>
        </x:is>
      </x:c>
      <x:c r="J17" s="196" t="inlineStr">
        <x:is>
          <x:t xml:space="preserve">2026-09-01</x:t>
        </x:is>
      </x:c>
      <x:c r="K17" s="197" t="inlineStr">
        <x:is>
          <x:t xml:space="preserve">Automated geometry and reviewed stress baseline pass.</x:t>
        </x:is>
      </x:c>
      <x:c r="L17" s="199" t="n">
        <x:v>1</x:v>
      </x:c>
      <x:c r="M17" s="199" t="n">
        <x:f>IF(OR(AND(I17="yes",H17="verified"),AND(I17="no",OR(H17="tested",H17="verified")),AND(H17="not applicable",K17&lt;&gt;"")),1,0)</x:f>
        <x:v>1</x:v>
      </x:c>
    </x:row>
    <x:row r="18" s="135" customFormat="1" ht="54" customHeight="1">
      <x:c r="A18" s="196" t="inlineStr">
        <x:is>
          <x:t xml:space="preserve">AG-10</x:t>
        </x:is>
      </x:c>
      <x:c r="B18" s="196" t="inlineStr">
        <x:is>
          <x:t xml:space="preserve">Theme</x:t>
        </x:is>
      </x:c>
      <x:c r="C18" s="196" t="inlineStr">
        <x:is>
          <x:t xml:space="preserve">AvatarGroup and Avatar</x:t>
        </x:is>
      </x:c>
      <x:c r="D18" s="197" t="inlineStr">
        <x:is>
          <x:t xml:space="preserve">Light, dark, outline separation, focus stacking, and forced-colors treatment remain legible.</x:t>
        </x:is>
      </x:c>
      <x:c r="E18" s="196" t="inlineStr">
        <x:is>
          <x:t xml:space="preserve">package</x:t>
        </x:is>
      </x:c>
      <x:c r="F18" s="196" t="inlineStr">
        <x:is>
          <x:t xml:space="preserve">visual</x:t>
        </x:is>
      </x:c>
      <x:c r="G18" s="197" t="inlineStr">
        <x:is>
          <x:t xml:space="preserve">tests/components/avatar-group/visual.spec.ts</x:t>
        </x:is>
      </x:c>
      <x:c r="H18" s="200" t="inlineStr">
        <x:is>
          <x:t xml:space="preserve">verified</x:t>
        </x:is>
      </x:c>
      <x:c r="I18" s="196" t="inlineStr">
        <x:is>
          <x:t xml:space="preserve">yes</x:t>
        </x:is>
      </x:c>
      <x:c r="J18" s="196" t="inlineStr">
        <x:is>
          <x:t xml:space="preserve">2026-09-01</x:t>
        </x:is>
      </x:c>
      <x:c r="K18" s="197" t="inlineStr">
        <x:is>
          <x:t xml:space="preserve">Reviewed light, dark, and forced-colors baselines pass.</x:t>
        </x:is>
      </x:c>
      <x:c r="L18" s="199" t="n">
        <x:v>1</x:v>
      </x:c>
      <x:c r="M18" s="199" t="n">
        <x:f>IF(OR(AND(I18="yes",H18="verified"),AND(I18="no",OR(H18="tested",H18="verified")),AND(H18="not applicable",K18&lt;&gt;"")),1,0)</x:f>
        <x:v>1</x:v>
      </x:c>
    </x:row>
    <x:row r="19" s="135" customFormat="1" ht="54" customHeight="1">
      <x:c r="A19" s="196" t="inlineStr">
        <x:is>
          <x:t xml:space="preserve">AG-11</x:t>
        </x:is>
      </x:c>
      <x:c r="B19" s="196" t="inlineStr">
        <x:is>
          <x:t xml:space="preserve">Semantics</x:t>
        </x:is>
      </x:c>
      <x:c r="C19" s="196" t="inlineStr">
        <x:is>
          <x:t xml:space="preserve">AvatarGroup</x:t>
        </x:is>
      </x:c>
      <x:c r="D19" s="197" t="inlineStr">
        <x:is>
          <x:t xml:space="preserve">DOM order remains authored, paint order changes only z-index, and no implicit group role is added.</x:t>
        </x:is>
      </x:c>
      <x:c r="E19" s="196" t="inlineStr">
        <x:is>
          <x:t xml:space="preserve">package</x:t>
        </x:is>
      </x:c>
      <x:c r="F19" s="196" t="inlineStr">
        <x:is>
          <x:t xml:space="preserve">browser</x:t>
        </x:is>
      </x:c>
      <x:c r="G19" s="197" t="inlineStr">
        <x:is>
          <x:t xml:space="preserve">../test/components/avatar-group/avatar-group.test.tsx; tests/components/avatar-group/behavior.spec.ts</x:t>
        </x:is>
      </x:c>
      <x:c r="H19" s="198" t="inlineStr">
        <x:is>
          <x:t xml:space="preserve">tested</x:t>
        </x:is>
      </x:c>
      <x:c r="I19" s="196" t="inlineStr">
        <x:is>
          <x:t xml:space="preserve">no</x:t>
        </x:is>
      </x:c>
      <x:c r="J19" s="196" t="inlineStr">
        <x:is>
          <x:t xml:space="preserve">2026-09-01</x:t>
        </x:is>
      </x:c>
      <x:c r="K19" s="197" t="n"/>
      <x:c r="L19" s="199" t="n">
        <x:v>1</x:v>
      </x:c>
      <x:c r="M19" s="199" t="n">
        <x:f>IF(OR(AND(I19="yes",H19="verified"),AND(I19="no",OR(H19="tested",H19="verified")),AND(H19="not applicable",K19&lt;&gt;"")),1,0)</x:f>
        <x:v>1</x:v>
      </x:c>
    </x:row>
    <x:row r="20" s="135" customFormat="1" ht="54" customHeight="1">
      <x:c r="A20" s="196" t="inlineStr">
        <x:is>
          <x:t xml:space="preserve">AG-12</x:t>
        </x:is>
      </x:c>
      <x:c r="B20" s="196" t="inlineStr">
        <x:is>
          <x:t xml:space="preserve">Manual</x:t>
        </x:is>
      </x:c>
      <x:c r="C20" s="196" t="inlineStr">
        <x:is>
          <x:t xml:space="preserve">AvatarGroup</x:t>
        </x:is>
      </x:c>
      <x:c r="D20" s="197" t="inlineStr">
        <x:is>
          <x:t xml:space="preserve">The component-owned manual protocol passes every AvatarGroup scenario on physical and assistive-technology paths.</x:t>
        </x:is>
      </x:c>
      <x:c r="E20" s="196" t="inlineStr">
        <x:is>
          <x:t xml:space="preserve">package</x:t>
        </x:is>
      </x:c>
      <x:c r="F20" s="196" t="inlineStr">
        <x:is>
          <x:t xml:space="preserve">manual</x:t>
        </x:is>
      </x:c>
      <x:c r="G20" s="197" t="inlineStr">
        <x:is>
          <x:t xml:space="preserve">manual-tests/avatar-group.md</x:t>
        </x:is>
      </x:c>
      <x:c r="H20" s="201" t="inlineStr">
        <x:is>
          <x:t xml:space="preserve">implemented</x:t>
        </x:is>
      </x:c>
      <x:c r="I20" s="196" t="inlineStr">
        <x:is>
          <x:t xml:space="preserve">yes</x:t>
        </x:is>
      </x:c>
      <x:c r="J20" s="196" t="n"/>
      <x:c r="K20" s="197" t="inlineStr">
        <x:is>
          <x:t xml:space="preserve">Protocol exists; physical device and assistive-technology review remains pending.</x:t>
        </x:is>
      </x:c>
      <x:c r="L20" s="199" t="n">
        <x:v>1</x:v>
      </x:c>
      <x:c r="M20" s="199" t="n">
        <x:f>IF(OR(AND(I20="yes",H20="verified"),AND(I20="no",OR(H20="tested",H20="verified")),AND(H20="not applicable",K20&lt;&gt;"")),1,0)</x:f>
        <x:v>0</x:v>
      </x:c>
    </x:row>
    <x:row r="21" s="135" customFormat="1" ht="54" customHeight="1">
      <x:c r="A21" s="196" t="inlineStr">
        <x:is>
          <x:t xml:space="preserve">AG-13</x:t>
        </x:is>
      </x:c>
      <x:c r="B21" s="196" t="inlineStr">
        <x:is>
          <x:t xml:space="preserve">Docs</x:t>
        </x:is>
      </x:c>
      <x:c r="C21" s="196" t="inlineStr">
        <x:is>
          <x:t xml:space="preserve">AvatarGroup</x:t>
        </x:is>
      </x:c>
      <x:c r="D21" s="197" t="inlineStr">
        <x:is>
          <x:t xml:space="preserve">Public usage, boundaries, accessibility, CSS, API, and Agent Knowledge pass component checks.</x:t>
        </x:is>
      </x:c>
      <x:c r="E21" s="196" t="inlineStr">
        <x:is>
          <x:t xml:space="preserve">package</x:t>
        </x:is>
      </x:c>
      <x:c r="F21" s="196" t="inlineStr">
        <x:is>
          <x:t xml:space="preserve">docs</x:t>
        </x:is>
      </x:c>
      <x:c r="G21" s="197" t="inlineStr">
        <x:is>
          <x:t xml:space="preserve">../docs/components/avatar-group/README.md; ../src/components/avatar-group/agent.md</x:t>
        </x:is>
      </x:c>
      <x:c r="H21" s="198" t="inlineStr">
        <x:is>
          <x:t xml:space="preserve">tested</x:t>
        </x:is>
      </x:c>
      <x:c r="I21" s="196" t="inlineStr">
        <x:is>
          <x:t xml:space="preserve">no</x:t>
        </x:is>
      </x:c>
      <x:c r="J21" s="196" t="inlineStr">
        <x:is>
          <x:t xml:space="preserve">2026-09-01</x:t>
        </x:is>
      </x:c>
      <x:c r="K21" s="197" t="n"/>
      <x:c r="L21" s="199" t="n">
        <x:v>1</x:v>
      </x:c>
      <x:c r="M21" s="199" t="n">
        <x:f>IF(OR(AND(I21="yes",H21="verified"),AND(I21="no",OR(H21="tested",H21="verified")),AND(H21="not applicable",K21&lt;&gt;"")),1,0)</x:f>
        <x:v>1</x:v>
      </x:c>
    </x:row>
    <x:row r="22" s="135" customFormat="1" ht="54" customHeight="1">
      <x:c r="A22" s="196" t="inlineStr">
        <x:is>
          <x:t xml:space="preserve">AG-14</x:t>
        </x:is>
      </x:c>
      <x:c r="B22" s="196" t="inlineStr">
        <x:is>
          <x:t xml:space="preserve">Changelog</x:t>
        </x:is>
      </x:c>
      <x:c r="C22" s="196" t="inlineStr">
        <x:is>
          <x:t xml:space="preserve">AvatarGroup</x:t>
        </x:is>
      </x:c>
      <x:c r="D22" s="197" t="inlineStr">
        <x:is>
          <x:t xml:space="preserve">AvatarGroup owns a public changelog and the package changelog records the addition.</x:t>
        </x:is>
      </x:c>
      <x:c r="E22" s="196" t="inlineStr">
        <x:is>
          <x:t xml:space="preserve">package</x:t>
        </x:is>
      </x:c>
      <x:c r="F22" s="196" t="inlineStr">
        <x:is>
          <x:t xml:space="preserve">docs</x:t>
        </x:is>
      </x:c>
      <x:c r="G22" s="197" t="inlineStr">
        <x:is>
          <x:t xml:space="preserve">../docs/components/avatar-group/CHANGELOG.md; ../CHANGELOG.md</x:t>
        </x:is>
      </x:c>
      <x:c r="H22" s="198" t="inlineStr">
        <x:is>
          <x:t xml:space="preserve">tested</x:t>
        </x:is>
      </x:c>
      <x:c r="I22" s="196" t="inlineStr">
        <x:is>
          <x:t xml:space="preserve">no</x:t>
        </x:is>
      </x:c>
      <x:c r="J22" s="196" t="inlineStr">
        <x:is>
          <x:t xml:space="preserve">2026-09-01</x:t>
        </x:is>
      </x:c>
      <x:c r="K22" s="197" t="n"/>
      <x:c r="L22" s="199" t="n">
        <x:v>1</x:v>
      </x:c>
      <x:c r="M22" s="199" t="n">
        <x:f>IF(OR(AND(I22="yes",H22="verified"),AND(I22="no",OR(H22="tested",H22="verified")),AND(H22="not applicable",K22&lt;&gt;"")),1,0)</x:f>
        <x:v>1</x:v>
      </x:c>
    </x:row>
    <x:row r="23" s="135" customFormat="1" ht="54" customHeight="1">
      <x:c r="A23" s="196" t="inlineStr">
        <x:is>
          <x:t xml:space="preserve">AG-15</x:t>
        </x:is>
      </x:c>
      <x:c r="B23" s="196" t="inlineStr">
        <x:is>
          <x:t xml:space="preserve">Consumer</x:t>
        </x:is>
      </x:c>
      <x:c r="C23" s="196" t="inlineStr">
        <x:is>
          <x:t xml:space="preserve">AvatarGroup</x:t>
        </x:is>
      </x:c>
      <x:c r="D23" s="197" t="inlineStr">
        <x:is>
          <x:t xml:space="preserve">Packed React 18 and 19 consumers import, type-check, SSR-render, and exercise the public subpath.</x:t>
        </x:is>
      </x:c>
      <x:c r="E23" s="196" t="inlineStr">
        <x:is>
          <x:t xml:space="preserve">consumer</x:t>
        </x:is>
      </x:c>
      <x:c r="F23" s="196" t="inlineStr">
        <x:is>
          <x:t xml:space="preserve">consumer</x:t>
        </x:is>
      </x:c>
      <x:c r="G23" s="197" t="inlineStr">
        <x:is>
          <x:t xml:space="preserve">../scripts/verify-consumers.mjs; ../apps/consumer/src/App.tsx</x:t>
        </x:is>
      </x:c>
      <x:c r="H23" s="198" t="inlineStr">
        <x:is>
          <x:t xml:space="preserve">tested</x:t>
        </x:is>
      </x:c>
      <x:c r="I23" s="196" t="inlineStr">
        <x:is>
          <x:t xml:space="preserve">no</x:t>
        </x:is>
      </x:c>
      <x:c r="J23" s="196" t="inlineStr">
        <x:is>
          <x:t xml:space="preserve">2026-09-01</x:t>
        </x:is>
      </x:c>
      <x:c r="K23" s="197" t="n"/>
      <x:c r="L23" s="199" t="n">
        <x:v>1</x:v>
      </x:c>
      <x:c r="M23" s="199" t="n">
        <x:f>IF(OR(AND(I23="yes",H23="verified"),AND(I23="no",OR(H23="tested",H23="verified")),AND(H23="not applicable",K23&lt;&gt;"")),1,0)</x:f>
        <x:v>1</x:v>
      </x:c>
    </x:row>
    <x:row r="24" s="135" customFormat="1" ht="54" customHeight="1">
      <x:c r="A24" s="196" t="inlineStr">
        <x:is>
          <x:t xml:space="preserve">AG-16</x:t>
        </x:is>
      </x:c>
      <x:c r="B24" s="196" t="inlineStr">
        <x:is>
          <x:t xml:space="preserve">Package</x:t>
        </x:is>
      </x:c>
      <x:c r="C24" s="196" t="inlineStr">
        <x:is>
          <x:t xml:space="preserve">AvatarGroup</x:t>
        </x:is>
      </x:c>
      <x:c r="D24" s="197" t="inlineStr">
        <x:is>
          <x:t xml:space="preserve">Build, SSR, exports, CSS, Agent Knowledge, package tests, and clean packed consumers pass.</x:t>
        </x:is>
      </x:c>
      <x:c r="E24" s="196" t="inlineStr">
        <x:is>
          <x:t xml:space="preserve">package</x:t>
        </x:is>
      </x:c>
      <x:c r="F24" s="196" t="inlineStr">
        <x:is>
          <x:t xml:space="preserve">package</x:t>
        </x:is>
      </x:c>
      <x:c r="G24" s="197" t="inlineStr">
        <x:is>
          <x:t xml:space="preserve">../test/package; ../scripts/verify-package.mjs; ../scripts/verify-consumers.mjs</x:t>
        </x:is>
      </x:c>
      <x:c r="H24" s="198" t="inlineStr">
        <x:is>
          <x:t xml:space="preserve">tested</x:t>
        </x:is>
      </x:c>
      <x:c r="I24" s="196" t="inlineStr">
        <x:is>
          <x:t xml:space="preserve">no</x:t>
        </x:is>
      </x:c>
      <x:c r="J24" s="196" t="inlineStr">
        <x:is>
          <x:t xml:space="preserve">2026-09-01</x:t>
        </x:is>
      </x:c>
      <x:c r="K24" s="197" t="n"/>
      <x:c r="L24" s="199" t="n">
        <x:v>1</x:v>
      </x:c>
      <x:c r="M24" s="199" t="n">
        <x:f>IF(OR(AND(I24="yes",H24="verified"),AND(I24="no",OR(H24="tested",H24="verified")),AND(H24="not applicable",K24&lt;&gt;"")),1,0)</x:f>
        <x:v>1</x:v>
      </x:c>
    </x:row>
  </x:sheetData>
  <x:mergeCells>
    <x:mergeCell ref="A2:M2"/>
    <x:mergeCell ref="A1:M1"/>
  </x:mergeCells>
  <x:dataValidations count="3">
    <x:dataValidation type="list" errorStyle="stop" operator="between" allowBlank="0" showDropDown="0" showInputMessage="0" showErrorMessage="0" sqref="H9:H24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24">
      <x:formula1>"yes,no"</x:formula1>
      <x:formula2>0</x:formula2>
    </x:dataValidation>
    <x:dataValidation type="list" errorStyle="stop" operator="between" allowBlank="0" showDropDown="0" showInputMessage="0" showErrorMessage="0" sqref="E9:E24">
      <x:formula1>"package,consumer"</x:formula1>
      <x:formula2>0</x:formula2>
    </x:dataValidation>
  </x:dataValidations>
  <x:pageMargins left="0.7" right="0.7" top="0.75" bottom="0.75" header="0.3" footer="0.3"/>
</x:worksheet>
</file>

<file path=xl/worksheets/sheet100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1.5" style="138" customWidth="1"/>
    <x:col min="2" max="2" width="14.510000228881836" style="138" customWidth="1"/>
    <x:col min="3" max="3" width="14" style="138" customWidth="1"/>
    <x:col min="4" max="4" width="49.5099983215332" style="138" customWidth="1"/>
    <x:col min="5" max="5" width="12" style="138" customWidth="1"/>
    <x:col min="6" max="6" width="13" style="138" customWidth="1"/>
    <x:col min="7" max="7" width="43.75" style="138" customWidth="1"/>
    <x:col min="8" max="8" width="15.75" style="138" customWidth="1"/>
    <x:col min="9" max="9" width="14.75" style="138" customWidth="1"/>
    <x:col min="10" max="10" width="13.5" style="138" customWidth="1"/>
    <x:col min="11" max="11" width="45" style="138" customWidth="1"/>
    <x:col min="12" max="12" width="9.510000228881836" style="138" customWidth="1"/>
    <x:col min="13" max="13" width="10.25" style="138" customWidth="1"/>
  </x:cols>
  <x:sheetData>
    <x:row r="1" s="135" customFormat="1" ht="33" customHeight="1">
      <x:c r="A1" s="202" t="inlineStr">
        <x:is>
          <x:t xml:space="preserve">Center Evidence</x:t>
        </x:is>
      </x:c>
      <x:c r="B1" s="202" t="n"/>
      <x:c r="C1" s="202" t="n"/>
      <x:c r="D1" s="202" t="n"/>
      <x:c r="E1" s="202" t="n"/>
      <x:c r="F1" s="202" t="n"/>
      <x:c r="G1" s="202" t="n"/>
      <x:c r="H1" s="202" t="n"/>
      <x:c r="I1" s="202" t="n"/>
      <x:c r="J1" s="202" t="n"/>
      <x:c r="K1" s="202" t="n"/>
      <x:c r="L1" s="202" t="n"/>
      <x:c r="M1" s="202" t="n"/>
    </x:row>
    <x:row r="2" s="135" customFormat="1" ht="24" customHeight="1">
      <x:c r="A2" s="203" t="inlineStr">
        <x:is>
          <x:t xml:space="preserve">Assertion-level centered-layout, composition, geometry, browser, documentation, and package evidence.</x:t>
        </x:is>
      </x:c>
      <x:c r="B2" s="203" t="n"/>
      <x:c r="C2" s="203" t="n"/>
      <x:c r="D2" s="203" t="n"/>
      <x:c r="E2" s="203" t="n"/>
      <x:c r="F2" s="203" t="n"/>
      <x:c r="G2" s="203" t="n"/>
      <x:c r="H2" s="203" t="n"/>
      <x:c r="I2" s="203" t="n"/>
      <x:c r="J2" s="203" t="n"/>
      <x:c r="K2" s="203" t="n"/>
      <x:c r="L2" s="203" t="n"/>
      <x:c r="M2" s="203" t="n"/>
    </x:row>
    <x:row r="3" s="135" customFormat="1" ht="15" customHeight="1">
      <x:c r="A3" s="138" t="n"/>
      <x:c r="B3" s="138" t="n"/>
      <x:c r="C3" s="138" t="n"/>
      <x:c r="D3" s="138" t="n"/>
      <x:c r="E3" s="138" t="n"/>
      <x:c r="F3" s="138" t="n"/>
      <x:c r="G3" s="138" t="n"/>
      <x:c r="H3" s="138" t="n"/>
      <x:c r="I3" s="138" t="n"/>
      <x:c r="J3" s="138" t="n"/>
      <x:c r="K3" s="138" t="n"/>
      <x:c r="L3" s="138" t="n"/>
      <x:c r="M3" s="138" t="n"/>
    </x:row>
    <x:row r="4" s="135" customFormat="1" ht="21" customHeight="1">
      <x:c r="A4" s="204" t="inlineStr">
        <x:is>
          <x:t xml:space="preserve">Requirements</x:t>
        </x:is>
      </x:c>
      <x:c r="B4" s="205" t="n">
        <x:f>COUNTA(A9:A25)</x:f>
        <x:v>17</x:v>
      </x:c>
      <x:c r="C4" s="206" t="n"/>
      <x:c r="D4" s="204" t="inlineStr">
        <x:is>
          <x:t xml:space="preserve">Resolved</x:t>
        </x:is>
      </x:c>
      <x:c r="E4" s="205" t="n">
        <x:f>SUM(M9:M25)</x:f>
        <x:v>13</x:v>
      </x:c>
      <x:c r="F4" s="206" t="n"/>
      <x:c r="G4" s="204" t="inlineStr">
        <x:is>
          <x:t xml:space="preserve">Completion</x:t>
        </x:is>
      </x:c>
      <x:c r="H4" s="207" t="n">
        <x:f>IF(B4=0,0,E4/B4)</x:f>
        <x:v>0.7647058823529411</x:v>
      </x:c>
      <x:c r="I4" s="206" t="n"/>
      <x:c r="J4" s="204" t="inlineStr">
        <x:is>
          <x:t xml:space="preserve">Package gate</x:t>
        </x:is>
      </x:c>
      <x:c r="K4" s="205" t="str">
        <x:f>IF(COUNTIFS(E9:E24,"package",M9:M24,0)&gt;0,"open","complete")</x:f>
        <x:v>open</x:v>
      </x:c>
      <x:c r="L4" s="206" t="n"/>
      <x:c r="M4" s="206" t="n"/>
    </x:row>
    <x:row r="5" s="135" customFormat="1" ht="21" customHeight="1">
      <x:c r="A5" s="204" t="inlineStr">
        <x:is>
          <x:t xml:space="preserve">Manual review</x:t>
        </x:is>
      </x:c>
      <x:c r="B5" s="205" t="str">
        <x:f>IF(COUNTIFS(I9:I24,"yes",M9:M24,0)&gt;0,"open","complete")</x:f>
        <x:v>open</x:v>
      </x:c>
      <x:c r="C5" s="206" t="n"/>
      <x:c r="D5" s="204" t="inlineStr">
        <x:is>
          <x:t xml:space="preserve">Consumer gate</x:t>
        </x:is>
      </x:c>
      <x:c r="E5" s="205" t="str">
        <x:f>IF(COUNTIFS(E9:E24,"consumer",M9:M24,0)&gt;0,"open","complete")</x:f>
        <x:v>complete</x:v>
      </x:c>
      <x:c r="F5" s="206" t="n"/>
      <x:c r="G5" s="204" t="n"/>
      <x:c r="H5" s="205" t="n"/>
      <x:c r="I5" s="206" t="n"/>
      <x:c r="J5" s="204" t="n"/>
      <x:c r="K5" s="205" t="n"/>
      <x:c r="L5" s="206" t="n"/>
      <x:c r="M5" s="206" t="n"/>
    </x:row>
    <x:row r="6" s="135" customFormat="1" ht="15" customHeight="1">
      <x:c r="A6" s="138" t="n"/>
      <x:c r="B6" s="138" t="n"/>
      <x:c r="C6" s="138" t="n"/>
      <x:c r="D6" s="138" t="n"/>
      <x:c r="E6" s="138" t="n"/>
      <x:c r="F6" s="138" t="n"/>
      <x:c r="G6" s="138" t="n"/>
      <x:c r="H6" s="138" t="n"/>
      <x:c r="I6" s="138" t="n"/>
      <x:c r="J6" s="138" t="n"/>
      <x:c r="K6" s="138" t="n"/>
      <x:c r="L6" s="138" t="n"/>
      <x:c r="M6" s="138" t="n"/>
    </x:row>
    <x:row r="7" s="135" customFormat="1" ht="15" customHeight="1">
      <x:c r="A7" s="138" t="n"/>
      <x:c r="B7" s="138" t="n"/>
      <x:c r="C7" s="138" t="n"/>
      <x:c r="D7" s="138" t="n"/>
      <x:c r="E7" s="138" t="n"/>
      <x:c r="F7" s="138" t="n"/>
      <x:c r="G7" s="138" t="n"/>
      <x:c r="H7" s="138" t="n"/>
      <x:c r="I7" s="138" t="n"/>
      <x:c r="J7" s="138" t="n"/>
      <x:c r="K7" s="138" t="n"/>
      <x:c r="L7" s="138" t="n"/>
      <x:c r="M7" s="138" t="n"/>
    </x:row>
    <x:row r="8" s="135" customFormat="1" ht="21" customHeight="1">
      <x:c r="A8" s="208" t="inlineStr">
        <x:is>
          <x:t xml:space="preserve">ID</x:t>
        </x:is>
      </x:c>
      <x:c r="B8" s="208" t="inlineStr">
        <x:is>
          <x:t xml:space="preserve">Area</x:t>
        </x:is>
      </x:c>
      <x:c r="C8" s="208" t="inlineStr">
        <x:is>
          <x:t xml:space="preserve">Part</x:t>
        </x:is>
      </x:c>
      <x:c r="D8" s="208" t="inlineStr">
        <x:is>
          <x:t xml:space="preserve">Requirement</x:t>
        </x:is>
      </x:c>
      <x:c r="E8" s="208" t="inlineStr">
        <x:is>
          <x:t xml:space="preserve">Gate</x:t>
        </x:is>
      </x:c>
      <x:c r="F8" s="208" t="inlineStr">
        <x:is>
          <x:t xml:space="preserve">Evidence type</x:t>
        </x:is>
      </x:c>
      <x:c r="G8" s="208" t="inlineStr">
        <x:is>
          <x:t xml:space="preserve">Evidence / link</x:t>
        </x:is>
      </x:c>
      <x:c r="H8" s="208" t="inlineStr">
        <x:is>
          <x:t xml:space="preserve">Status</x:t>
        </x:is>
      </x:c>
      <x:c r="I8" s="208" t="inlineStr">
        <x:is>
          <x:t xml:space="preserve">Human review?</x:t>
        </x:is>
      </x:c>
      <x:c r="J8" s="208" t="inlineStr">
        <x:is>
          <x:t xml:space="preserve">Last verified</x:t>
        </x:is>
      </x:c>
      <x:c r="K8" s="208" t="inlineStr">
        <x:is>
          <x:t xml:space="preserve">Blocker / N/A reason</x:t>
        </x:is>
      </x:c>
      <x:c r="L8" s="208" t="inlineStr">
        <x:is>
          <x:t xml:space="preserve">Weight</x:t>
        </x:is>
      </x:c>
      <x:c r="M8" s="208" t="inlineStr">
        <x:is>
          <x:t xml:space="preserve">Resolved</x:t>
        </x:is>
      </x:c>
    </x:row>
    <x:row r="9" s="135" customFormat="1" ht="39" customHeight="1">
      <x:c r="A9" s="209" t="inlineStr">
        <x:is>
          <x:t xml:space="preserve">CE-01</x:t>
        </x:is>
      </x:c>
      <x:c r="B9" s="209" t="inlineStr">
        <x:is>
          <x:t xml:space="preserve">Implementation</x:t>
        </x:is>
      </x:c>
      <x:c r="C9" s="209" t="inlineStr">
        <x:is>
          <x:t xml:space="preserve">Center</x:t>
        </x:is>
      </x:c>
      <x:c r="D9" s="210" t="inlineStr">
        <x:is>
          <x:t xml:space="preserve">Center renders one approved semantic host and centers one child on both axes without owning dimensions or paint.</x:t>
        </x:is>
      </x:c>
      <x:c r="E9" s="209" t="inlineStr">
        <x:is>
          <x:t xml:space="preserve">package</x:t>
        </x:is>
      </x:c>
      <x:c r="F9" s="209" t="inlineStr">
        <x:is>
          <x:t xml:space="preserve">source</x:t>
        </x:is>
      </x:c>
      <x:c r="G9" s="210" t="inlineStr">
        <x:is>
          <x:t xml:space="preserve">../src/components/center</x:t>
        </x:is>
      </x:c>
      <x:c r="H9" s="211" t="inlineStr">
        <x:is>
          <x:t xml:space="preserve">tested</x:t>
        </x:is>
      </x:c>
      <x:c r="I9" s="212" t="inlineStr">
        <x:is>
          <x:t xml:space="preserve">no</x:t>
        </x:is>
      </x:c>
      <x:c r="J9" s="213" t="n">
        <x:v>46268</x:v>
      </x:c>
      <x:c r="K9" s="210" t="n"/>
      <x:c r="L9" s="214" t="n">
        <x:v>1</x:v>
      </x:c>
      <x:c r="M9" s="214" t="n">
        <x:f>IF(OR(AND(I9="yes",H9="verified"),AND(I9="no",OR(H9="tested",H9="verified")),AND(H9="not applicable",K9&lt;&gt;"")),1,0)</x:f>
        <x:v>1</x:v>
      </x:c>
    </x:row>
    <x:row r="10" s="135" customFormat="1" ht="39" customHeight="1">
      <x:c r="A10" s="209" t="inlineStr">
        <x:is>
          <x:t xml:space="preserve">CE-02</x:t>
        </x:is>
      </x:c>
      <x:c r="B10" s="209" t="inlineStr">
        <x:is>
          <x:t xml:space="preserve">Exports</x:t>
        </x:is>
      </x:c>
      <x:c r="C10" s="209" t="inlineStr">
        <x:is>
          <x:t xml:space="preserve">Center</x:t>
        </x:is>
      </x:c>
      <x:c r="D10" s="210" t="inlineStr">
        <x:is>
          <x:t xml:space="preserve">Root and center subpath exports expose Center and every public Center type with identical runtime identity.</x:t>
        </x:is>
      </x:c>
      <x:c r="E10" s="209" t="inlineStr">
        <x:is>
          <x:t xml:space="preserve">package</x:t>
        </x:is>
      </x:c>
      <x:c r="F10" s="209" t="inlineStr">
        <x:is>
          <x:t xml:space="preserve">package</x:t>
        </x:is>
      </x:c>
      <x:c r="G10" s="210" t="inlineStr">
        <x:is>
          <x:t xml:space="preserve">../test/package/package.test.mjs; ../test/package/ssr.test.mjs</x:t>
        </x:is>
      </x:c>
      <x:c r="H10" s="211" t="inlineStr">
        <x:is>
          <x:t xml:space="preserve">tested</x:t>
        </x:is>
      </x:c>
      <x:c r="I10" s="212" t="inlineStr">
        <x:is>
          <x:t xml:space="preserve">no</x:t>
        </x:is>
      </x:c>
      <x:c r="J10" s="213" t="n">
        <x:v>46268</x:v>
      </x:c>
      <x:c r="K10" s="210" t="n"/>
      <x:c r="L10" s="214" t="n">
        <x:v>1</x:v>
      </x:c>
      <x:c r="M10" s="214" t="n">
        <x:f>IF(OR(AND(I10="yes",H10="verified"),AND(I10="no",OR(H10="tested",H10="verified")),AND(H10="not applicable",K10&lt;&gt;"")),1,0)</x:f>
        <x:v>1</x:v>
      </x:c>
    </x:row>
    <x:row r="11" s="135" customFormat="1" ht="39" customHeight="1">
      <x:c r="A11" s="209" t="inlineStr">
        <x:is>
          <x:t xml:space="preserve">CE-03</x:t>
        </x:is>
      </x:c>
      <x:c r="B11" s="209" t="inlineStr">
        <x:is>
          <x:t xml:space="preserve">Types</x:t>
        </x:is>
      </x:c>
      <x:c r="C11" s="209" t="inlineStr">
        <x:is>
          <x:t xml:space="preserve">Public surface</x:t>
        </x:is>
      </x:c>
      <x:c r="D11" s="210" t="inlineStr">
        <x:is>
          <x:t xml:space="preserve">Closed hosts, inline mode, asChild, native props, event handlers, styles, and refs type-check while invalid props are rejected.</x:t>
        </x:is>
      </x:c>
      <x:c r="E11" s="209" t="inlineStr">
        <x:is>
          <x:t xml:space="preserve">package</x:t>
        </x:is>
      </x:c>
      <x:c r="F11" s="209" t="inlineStr">
        <x:is>
          <x:t xml:space="preserve">types</x:t>
        </x:is>
      </x:c>
      <x:c r="G11" s="210" t="inlineStr">
        <x:is>
          <x:t xml:space="preserve">../test/types/components/center.test.ts</x:t>
        </x:is>
      </x:c>
      <x:c r="H11" s="211" t="inlineStr">
        <x:is>
          <x:t xml:space="preserve">tested</x:t>
        </x:is>
      </x:c>
      <x:c r="I11" s="212" t="inlineStr">
        <x:is>
          <x:t xml:space="preserve">no</x:t>
        </x:is>
      </x:c>
      <x:c r="J11" s="213" t="n">
        <x:v>46268</x:v>
      </x:c>
      <x:c r="K11" s="210" t="n"/>
      <x:c r="L11" s="214" t="n">
        <x:v>1</x:v>
      </x:c>
      <x:c r="M11" s="214" t="n">
        <x:f>IF(OR(AND(I11="yes",H11="verified"),AND(I11="no",OR(H11="tested",H11="verified")),AND(H11="not applicable",K11&lt;&gt;"")),1,0)</x:f>
        <x:v>1</x:v>
      </x:c>
    </x:row>
    <x:row r="12" s="135" customFormat="1" ht="39" customHeight="1">
      <x:c r="A12" s="209" t="inlineStr">
        <x:is>
          <x:t xml:space="preserve">CE-04</x:t>
        </x:is>
      </x:c>
      <x:c r="B12" s="209" t="inlineStr">
        <x:is>
          <x:t xml:space="preserve">CSS</x:t>
        </x:is>
      </x:c>
      <x:c r="C12" s="209" t="inlineStr">
        <x:is>
          <x:t xml:space="preserve">Center</x:t>
        </x:is>
      </x:c>
      <x:c r="D12" s="210" t="inlineStr">
        <x:is>
          <x:t xml:space="preserve">Static CSS owns centering and fixed flex participation without taking over paint, spacing, or positioning.</x:t>
        </x:is>
      </x:c>
      <x:c r="E12" s="209" t="inlineStr">
        <x:is>
          <x:t xml:space="preserve">package</x:t>
        </x:is>
      </x:c>
      <x:c r="F12" s="209" t="inlineStr">
        <x:is>
          <x:t xml:space="preserve">css</x:t>
        </x:is>
      </x:c>
      <x:c r="G12" s="210" t="inlineStr">
        <x:is>
          <x:t xml:space="preserve">../src/components/center/center.css</x:t>
        </x:is>
      </x:c>
      <x:c r="H12" s="211" t="inlineStr">
        <x:is>
          <x:t xml:space="preserve">tested</x:t>
        </x:is>
      </x:c>
      <x:c r="I12" s="212" t="inlineStr">
        <x:is>
          <x:t xml:space="preserve">no</x:t>
        </x:is>
      </x:c>
      <x:c r="J12" s="213" t="n">
        <x:v>46268</x:v>
      </x:c>
      <x:c r="K12" s="210" t="n"/>
      <x:c r="L12" s="214" t="n">
        <x:v>1</x:v>
      </x:c>
      <x:c r="M12" s="214" t="n">
        <x:f>IF(OR(AND(I12="yes",H12="verified"),AND(I12="no",OR(H12="tested",H12="verified")),AND(H12="not applicable",K12&lt;&gt;"")),1,0)</x:f>
        <x:v>1</x:v>
      </x:c>
    </x:row>
    <x:row r="13" s="135" customFormat="1" ht="39" customHeight="1">
      <x:c r="A13" s="209" t="inlineStr">
        <x:is>
          <x:t xml:space="preserve">CE-05</x:t>
        </x:is>
      </x:c>
      <x:c r="B13" s="209" t="inlineStr">
        <x:is>
          <x:t xml:space="preserve">Unit</x:t>
        </x:is>
      </x:c>
      <x:c r="C13" s="209" t="inlineStr">
        <x:is>
          <x:t xml:space="preserve">Center</x:t>
        </x:is>
      </x:c>
      <x:c r="D13" s="210" t="inlineStr">
        <x:is>
          <x:t xml:space="preserve">Default, inline, semantic-host, asChild, native-prop, event, style, slot, and ref behavior pass.</x:t>
        </x:is>
      </x:c>
      <x:c r="E13" s="209" t="inlineStr">
        <x:is>
          <x:t xml:space="preserve">package</x:t>
        </x:is>
      </x:c>
      <x:c r="F13" s="209" t="inlineStr">
        <x:is>
          <x:t xml:space="preserve">component</x:t>
        </x:is>
      </x:c>
      <x:c r="G13" s="210" t="inlineStr">
        <x:is>
          <x:t xml:space="preserve">../test/components/center/center.test.tsx</x:t>
        </x:is>
      </x:c>
      <x:c r="H13" s="211" t="inlineStr">
        <x:is>
          <x:t xml:space="preserve">tested</x:t>
        </x:is>
      </x:c>
      <x:c r="I13" s="212" t="inlineStr">
        <x:is>
          <x:t xml:space="preserve">no</x:t>
        </x:is>
      </x:c>
      <x:c r="J13" s="213" t="n">
        <x:v>46268</x:v>
      </x:c>
      <x:c r="K13" s="210" t="n"/>
      <x:c r="L13" s="214" t="n">
        <x:v>1</x:v>
      </x:c>
      <x:c r="M13" s="214" t="n">
        <x:f>IF(OR(AND(I13="yes",H13="verified"),AND(I13="no",OR(H13="tested",H13="verified")),AND(H13="not applicable",K13&lt;&gt;"")),1,0)</x:f>
        <x:v>1</x:v>
      </x:c>
    </x:row>
    <x:row r="14" s="135" customFormat="1" ht="39" customHeight="1">
      <x:c r="A14" s="209" t="inlineStr">
        <x:is>
          <x:t xml:space="preserve">CE-06</x:t>
        </x:is>
      </x:c>
      <x:c r="B14" s="209" t="inlineStr">
        <x:is>
          <x:t xml:space="preserve">Browser</x:t>
        </x:is>
      </x:c>
      <x:c r="C14" s="209" t="inlineStr">
        <x:is>
          <x:t xml:space="preserve">Center</x:t>
        </x:is>
      </x:c>
      <x:c r="D14" s="210" t="inlineStr">
        <x:is>
          <x:t xml:space="preserve">Block and inline centering, intrinsic content, flex pressure, and public hooks resolve correctly in real browsers.</x:t>
        </x:is>
      </x:c>
      <x:c r="E14" s="209" t="inlineStr">
        <x:is>
          <x:t xml:space="preserve">package</x:t>
        </x:is>
      </x:c>
      <x:c r="F14" s="209" t="inlineStr">
        <x:is>
          <x:t xml:space="preserve">browser</x:t>
        </x:is>
      </x:c>
      <x:c r="G14" s="210" t="inlineStr">
        <x:is>
          <x:t xml:space="preserve">tests/components/center/behavior.spec.ts</x:t>
        </x:is>
      </x:c>
      <x:c r="H14" s="211" t="inlineStr">
        <x:is>
          <x:t xml:space="preserve">tested</x:t>
        </x:is>
      </x:c>
      <x:c r="I14" s="212" t="inlineStr">
        <x:is>
          <x:t xml:space="preserve">no</x:t>
        </x:is>
      </x:c>
      <x:c r="J14" s="213" t="n">
        <x:v>46268</x:v>
      </x:c>
      <x:c r="K14" s="210" t="n"/>
      <x:c r="L14" s="214" t="n">
        <x:v>1</x:v>
      </x:c>
      <x:c r="M14" s="214" t="n">
        <x:f>IF(OR(AND(I14="yes",H14="verified"),AND(I14="no",OR(H14="tested",H14="verified")),AND(H14="not applicable",K14&lt;&gt;"")),1,0)</x:f>
        <x:v>1</x:v>
      </x:c>
    </x:row>
    <x:row r="15" s="135" customFormat="1" ht="39" customHeight="1">
      <x:c r="A15" s="209" t="inlineStr">
        <x:is>
          <x:t xml:space="preserve">CE-07</x:t>
        </x:is>
      </x:c>
      <x:c r="B15" s="209" t="inlineStr">
        <x:is>
          <x:t xml:space="preserve">Composition</x:t>
        </x:is>
      </x:c>
      <x:c r="C15" s="209" t="inlineStr">
        <x:is>
          <x:t xml:space="preserve">asChild</x:t>
        </x:is>
      </x:c>
      <x:c r="D15" s="210" t="inlineStr">
        <x:is>
          <x:t xml:space="preserve">Center enhances one semantic or painted child while preserving one host, child props, merged handlers, styles, slot, and ref.</x:t>
        </x:is>
      </x:c>
      <x:c r="E15" s="209" t="inlineStr">
        <x:is>
          <x:t xml:space="preserve">package</x:t>
        </x:is>
      </x:c>
      <x:c r="F15" s="209" t="inlineStr">
        <x:is>
          <x:t xml:space="preserve">browser</x:t>
        </x:is>
      </x:c>
      <x:c r="G15" s="210" t="inlineStr">
        <x:is>
          <x:t xml:space="preserve">tests/components/center/behavior.spec.ts</x:t>
        </x:is>
      </x:c>
      <x:c r="H15" s="211" t="inlineStr">
        <x:is>
          <x:t xml:space="preserve">tested</x:t>
        </x:is>
      </x:c>
      <x:c r="I15" s="212" t="inlineStr">
        <x:is>
          <x:t xml:space="preserve">no</x:t>
        </x:is>
      </x:c>
      <x:c r="J15" s="213" t="n">
        <x:v>46268</x:v>
      </x:c>
      <x:c r="K15" s="210" t="n"/>
      <x:c r="L15" s="214" t="n">
        <x:v>1</x:v>
      </x:c>
      <x:c r="M15" s="214" t="n">
        <x:f>IF(OR(AND(I15="yes",H15="verified"),AND(I15="no",OR(H15="tested",H15="verified")),AND(H15="not applicable",K15&lt;&gt;"")),1,0)</x:f>
        <x:v>1</x:v>
      </x:c>
    </x:row>
    <x:row r="16" s="135" customFormat="1" ht="39" customHeight="1">
      <x:c r="A16" s="209" t="inlineStr">
        <x:is>
          <x:t xml:space="preserve">CE-08</x:t>
        </x:is>
      </x:c>
      <x:c r="B16" s="209" t="inlineStr">
        <x:is>
          <x:t xml:space="preserve">Geometry</x:t>
        </x:is>
      </x:c>
      <x:c r="C16" s="209" t="inlineStr">
        <x:is>
          <x:t xml:space="preserve">Center</x:t>
        </x:is>
      </x:c>
      <x:c r="D16" s="210" t="inlineStr">
        <x:is>
          <x:t xml:space="preserve">Center keeps centered content stable without imposing width or height and does not shrink under flex pressure.</x:t>
        </x:is>
      </x:c>
      <x:c r="E16" s="209" t="inlineStr">
        <x:is>
          <x:t xml:space="preserve">package</x:t>
        </x:is>
      </x:c>
      <x:c r="F16" s="209" t="inlineStr">
        <x:is>
          <x:t xml:space="preserve">browser</x:t>
        </x:is>
      </x:c>
      <x:c r="G16" s="210" t="inlineStr">
        <x:is>
          <x:t xml:space="preserve">tests/components/center/behavior.spec.ts</x:t>
        </x:is>
      </x:c>
      <x:c r="H16" s="211" t="inlineStr">
        <x:is>
          <x:t xml:space="preserve">tested</x:t>
        </x:is>
      </x:c>
      <x:c r="I16" s="212" t="inlineStr">
        <x:is>
          <x:t xml:space="preserve">no</x:t>
        </x:is>
      </x:c>
      <x:c r="J16" s="213" t="n">
        <x:v>46268</x:v>
      </x:c>
      <x:c r="K16" s="210" t="n"/>
      <x:c r="L16" s="214" t="n">
        <x:v>1</x:v>
      </x:c>
      <x:c r="M16" s="214" t="n">
        <x:f>IF(OR(AND(I16="yes",H16="verified"),AND(I16="no",OR(H16="tested",H16="verified")),AND(H16="not applicable",K16&lt;&gt;"")),1,0)</x:f>
        <x:v>1</x:v>
      </x:c>
    </x:row>
    <x:row r="17" s="135" customFormat="1" ht="39" customHeight="1">
      <x:c r="A17" s="209" t="inlineStr">
        <x:is>
          <x:t xml:space="preserve">CE-09</x:t>
        </x:is>
      </x:c>
      <x:c r="B17" s="209" t="inlineStr">
        <x:is>
          <x:t xml:space="preserve">Accessibility</x:t>
        </x:is>
      </x:c>
      <x:c r="C17" s="209" t="inlineStr">
        <x:is>
          <x:t xml:space="preserve">Center</x:t>
        </x:is>
      </x:c>
      <x:c r="D17" s="210" t="inlineStr">
        <x:is>
          <x:t xml:space="preserve">Center adds no landmark or behavior and preserves source order, focus visibility, axe, RTL, and writing modes.</x:t>
        </x:is>
      </x:c>
      <x:c r="E17" s="209" t="inlineStr">
        <x:is>
          <x:t xml:space="preserve">package</x:t>
        </x:is>
      </x:c>
      <x:c r="F17" s="209" t="inlineStr">
        <x:is>
          <x:t xml:space="preserve">axe</x:t>
        </x:is>
      </x:c>
      <x:c r="G17" s="210" t="inlineStr">
        <x:is>
          <x:t xml:space="preserve">tests/components/center/behavior.spec.ts</x:t>
        </x:is>
      </x:c>
      <x:c r="H17" s="211" t="inlineStr">
        <x:is>
          <x:t xml:space="preserve">tested</x:t>
        </x:is>
      </x:c>
      <x:c r="I17" s="212" t="inlineStr">
        <x:is>
          <x:t xml:space="preserve">no</x:t>
        </x:is>
      </x:c>
      <x:c r="J17" s="213" t="n">
        <x:v>46268</x:v>
      </x:c>
      <x:c r="K17" s="210" t="n"/>
      <x:c r="L17" s="214" t="n">
        <x:v>1</x:v>
      </x:c>
      <x:c r="M17" s="214" t="n">
        <x:f>IF(OR(AND(I17="yes",H17="verified"),AND(I17="no",OR(H17="tested",H17="verified")),AND(H17="not applicable",K17&lt;&gt;"")),1,0)</x:f>
        <x:v>1</x:v>
      </x:c>
    </x:row>
    <x:row r="18" s="135" customFormat="1" ht="39" customHeight="1">
      <x:c r="A18" s="209" t="inlineStr">
        <x:is>
          <x:t xml:space="preserve">CE-10</x:t>
        </x:is>
      </x:c>
      <x:c r="B18" s="209" t="inlineStr">
        <x:is>
          <x:t xml:space="preserve">Visual</x:t>
        </x:is>
      </x:c>
      <x:c r="C18" s="209" t="inlineStr">
        <x:is>
          <x:t xml:space="preserve">Center</x:t>
        </x:is>
      </x:c>
      <x:c r="D18" s="210" t="inlineStr">
        <x:is>
          <x:t xml:space="preserve">Baselines cover block, inline, asChild, painted composition, and flex-pressure scenarios across themes.</x:t>
        </x:is>
      </x:c>
      <x:c r="E18" s="209" t="inlineStr">
        <x:is>
          <x:t xml:space="preserve">package</x:t>
        </x:is>
      </x:c>
      <x:c r="F18" s="209" t="inlineStr">
        <x:is>
          <x:t xml:space="preserve">visual</x:t>
        </x:is>
      </x:c>
      <x:c r="G18" s="210" t="inlineStr">
        <x:is>
          <x:t xml:space="preserve">tests/components/center/visual.spec.ts</x:t>
        </x:is>
      </x:c>
      <x:c r="H18" s="211" t="inlineStr">
        <x:is>
          <x:t xml:space="preserve">implemented</x:t>
        </x:is>
      </x:c>
      <x:c r="I18" s="212" t="inlineStr">
        <x:is>
          <x:t xml:space="preserve">yes</x:t>
        </x:is>
      </x:c>
      <x:c r="J18" s="213" t="n"/>
      <x:c r="K18" s="210" t="inlineStr">
        <x:is>
          <x:t xml:space="preserve">Automated baselines exist; complete owner visual review is intentionally unclaimed.</x:t>
        </x:is>
      </x:c>
      <x:c r="L18" s="214" t="n">
        <x:v>1</x:v>
      </x:c>
      <x:c r="M18" s="214" t="n">
        <x:f>IF(OR(AND(I18="yes",H18="verified"),AND(I18="no",OR(H18="tested",H18="verified")),AND(H18="not applicable",K18&lt;&gt;"")),1,0)</x:f>
        <x:v>0</x:v>
      </x:c>
    </x:row>
    <x:row r="19" s="135" customFormat="1" ht="39" customHeight="1">
      <x:c r="A19" s="209" t="inlineStr">
        <x:is>
          <x:t xml:space="preserve">CE-11</x:t>
        </x:is>
      </x:c>
      <x:c r="B19" s="209" t="inlineStr">
        <x:is>
          <x:t xml:space="preserve">Responsive</x:t>
        </x:is>
      </x:c>
      <x:c r="C19" s="209" t="inlineStr">
        <x:is>
          <x:t xml:space="preserve">Center</x:t>
        </x:is>
      </x:c>
      <x:c r="D19" s="210" t="inlineStr">
        <x:is>
          <x:t xml:space="preserve">Mobile, zoom, long content, RTL, and writing-mode scenarios remain centered and usable.</x:t>
        </x:is>
      </x:c>
      <x:c r="E19" s="209" t="inlineStr">
        <x:is>
          <x:t xml:space="preserve">package</x:t>
        </x:is>
      </x:c>
      <x:c r="F19" s="209" t="inlineStr">
        <x:is>
          <x:t xml:space="preserve">manual</x:t>
        </x:is>
      </x:c>
      <x:c r="G19" s="210" t="inlineStr">
        <x:is>
          <x:t xml:space="preserve">manual-tests/center.md</x:t>
        </x:is>
      </x:c>
      <x:c r="H19" s="211" t="inlineStr">
        <x:is>
          <x:t xml:space="preserve">implemented</x:t>
        </x:is>
      </x:c>
      <x:c r="I19" s="212" t="inlineStr">
        <x:is>
          <x:t xml:space="preserve">yes</x:t>
        </x:is>
      </x:c>
      <x:c r="J19" s="213" t="n"/>
      <x:c r="K19" s="210" t="inlineStr">
        <x:is>
          <x:t xml:space="preserve">Automated responsive evidence passes; the complete human run remains pending.</x:t>
        </x:is>
      </x:c>
      <x:c r="L19" s="214" t="n">
        <x:v>1</x:v>
      </x:c>
      <x:c r="M19" s="214" t="n">
        <x:f>IF(OR(AND(I19="yes",H19="verified"),AND(I19="no",OR(H19="tested",H19="verified")),AND(H19="not applicable",K19&lt;&gt;"")),1,0)</x:f>
        <x:v>0</x:v>
      </x:c>
    </x:row>
    <x:row r="20" s="135" customFormat="1" ht="39" customHeight="1">
      <x:c r="A20" s="209" t="inlineStr">
        <x:is>
          <x:t xml:space="preserve">CE-12</x:t>
        </x:is>
      </x:c>
      <x:c r="B20" s="209" t="inlineStr">
        <x:is>
          <x:t xml:space="preserve">Manual</x:t>
        </x:is>
      </x:c>
      <x:c r="C20" s="209" t="inlineStr">
        <x:is>
          <x:t xml:space="preserve">Center</x:t>
        </x:is>
      </x:c>
      <x:c r="D20" s="210" t="inlineStr">
        <x:is>
          <x:t xml:space="preserve">A tester completes the centering, intrinsic sizing, flex-pressure, composition, focus, theme, and writing-mode protocol.</x:t>
        </x:is>
      </x:c>
      <x:c r="E20" s="209" t="inlineStr">
        <x:is>
          <x:t xml:space="preserve">package</x:t>
        </x:is>
      </x:c>
      <x:c r="F20" s="209" t="inlineStr">
        <x:is>
          <x:t xml:space="preserve">manual</x:t>
        </x:is>
      </x:c>
      <x:c r="G20" s="210" t="inlineStr">
        <x:is>
          <x:t xml:space="preserve">manual-tests/center.md</x:t>
        </x:is>
      </x:c>
      <x:c r="H20" s="211" t="inlineStr">
        <x:is>
          <x:t xml:space="preserve">implemented</x:t>
        </x:is>
      </x:c>
      <x:c r="I20" s="212" t="inlineStr">
        <x:is>
          <x:t xml:space="preserve">yes</x:t>
        </x:is>
      </x:c>
      <x:c r="J20" s="213" t="n"/>
      <x:c r="K20" s="210" t="inlineStr">
        <x:is>
          <x:t xml:space="preserve">Protocol exists; owner human review remains intentionally unclaimed.</x:t>
        </x:is>
      </x:c>
      <x:c r="L20" s="214" t="n">
        <x:v>1</x:v>
      </x:c>
      <x:c r="M20" s="214" t="n">
        <x:f>IF(OR(AND(I20="yes",H20="verified"),AND(I20="no",OR(H20="tested",H20="verified")),AND(H20="not applicable",K20&lt;&gt;"")),1,0)</x:f>
        <x:v>0</x:v>
      </x:c>
    </x:row>
    <x:row r="21" s="135" customFormat="1" ht="39" customHeight="1">
      <x:c r="A21" s="209" t="inlineStr">
        <x:is>
          <x:t xml:space="preserve">CE-13</x:t>
        </x:is>
      </x:c>
      <x:c r="B21" s="209" t="inlineStr">
        <x:is>
          <x:t xml:space="preserve">Docs</x:t>
        </x:is>
      </x:c>
      <x:c r="C21" s="209" t="inlineStr">
        <x:is>
          <x:t xml:space="preserve">Center</x:t>
        </x:is>
      </x:c>
      <x:c r="D21" s="210" t="inlineStr">
        <x:is>
          <x:t xml:space="preserve">Public and Agent Knowledge guidance covers selection, ownership boundaries, composition, accessibility, CSS, and API details.</x:t>
        </x:is>
      </x:c>
      <x:c r="E21" s="209" t="inlineStr">
        <x:is>
          <x:t xml:space="preserve">package</x:t>
        </x:is>
      </x:c>
      <x:c r="F21" s="209" t="inlineStr">
        <x:is>
          <x:t xml:space="preserve">docs</x:t>
        </x:is>
      </x:c>
      <x:c r="G21" s="210" t="inlineStr">
        <x:is>
          <x:t xml:space="preserve">../docs/components/center/README.md; ../src/components/center/agent.json; ../src/components/center/agent.md</x:t>
        </x:is>
      </x:c>
      <x:c r="H21" s="211" t="inlineStr">
        <x:is>
          <x:t xml:space="preserve">tested</x:t>
        </x:is>
      </x:c>
      <x:c r="I21" s="212" t="inlineStr">
        <x:is>
          <x:t xml:space="preserve">no</x:t>
        </x:is>
      </x:c>
      <x:c r="J21" s="213" t="n">
        <x:v>46268</x:v>
      </x:c>
      <x:c r="K21" s="210" t="n"/>
      <x:c r="L21" s="214" t="n">
        <x:v>1</x:v>
      </x:c>
      <x:c r="M21" s="214" t="n">
        <x:f>IF(OR(AND(I21="yes",H21="verified"),AND(I21="no",OR(H21="tested",H21="verified")),AND(H21="not applicable",K21&lt;&gt;"")),1,0)</x:f>
        <x:v>1</x:v>
      </x:c>
    </x:row>
    <x:row r="22" s="135" customFormat="1" ht="39" customHeight="1">
      <x:c r="A22" s="209" t="inlineStr">
        <x:is>
          <x:t xml:space="preserve">CE-14</x:t>
        </x:is>
      </x:c>
      <x:c r="B22" s="209" t="inlineStr">
        <x:is>
          <x:t xml:space="preserve">Changelog</x:t>
        </x:is>
      </x:c>
      <x:c r="C22" s="209" t="inlineStr">
        <x:is>
          <x:t xml:space="preserve">Center</x:t>
        </x:is>
      </x:c>
      <x:c r="D22" s="210" t="inlineStr">
        <x:is>
          <x:t xml:space="preserve">Component and package history record the new public primitive and its qualified contract.</x:t>
        </x:is>
      </x:c>
      <x:c r="E22" s="209" t="inlineStr">
        <x:is>
          <x:t xml:space="preserve">package</x:t>
        </x:is>
      </x:c>
      <x:c r="F22" s="209" t="inlineStr">
        <x:is>
          <x:t xml:space="preserve">docs</x:t>
        </x:is>
      </x:c>
      <x:c r="G22" s="210" t="inlineStr">
        <x:is>
          <x:t xml:space="preserve">../docs/components/center/CHANGELOG.md; ../CHANGELOG.md</x:t>
        </x:is>
      </x:c>
      <x:c r="H22" s="211" t="inlineStr">
        <x:is>
          <x:t xml:space="preserve">tested</x:t>
        </x:is>
      </x:c>
      <x:c r="I22" s="212" t="inlineStr">
        <x:is>
          <x:t xml:space="preserve">no</x:t>
        </x:is>
      </x:c>
      <x:c r="J22" s="213" t="n">
        <x:v>46268</x:v>
      </x:c>
      <x:c r="K22" s="210" t="n"/>
      <x:c r="L22" s="214" t="n">
        <x:v>1</x:v>
      </x:c>
      <x:c r="M22" s="214" t="n">
        <x:f>IF(OR(AND(I22="yes",H22="verified"),AND(I22="no",OR(H22="tested",H22="verified")),AND(H22="not applicable",K22&lt;&gt;"")),1,0)</x:f>
        <x:v>1</x:v>
      </x:c>
    </x:row>
    <x:row r="23" s="135" customFormat="1" ht="39" customHeight="1">
      <x:c r="A23" s="209" t="inlineStr">
        <x:is>
          <x:t xml:space="preserve">CE-15</x:t>
        </x:is>
      </x:c>
      <x:c r="B23" s="209" t="inlineStr">
        <x:is>
          <x:t xml:space="preserve">Consumer</x:t>
        </x:is>
      </x:c>
      <x:c r="C23" s="209" t="inlineStr">
        <x:is>
          <x:t xml:space="preserve">Center</x:t>
        </x:is>
      </x:c>
      <x:c r="D23" s="210" t="inlineStr">
        <x:is>
          <x:t xml:space="preserve">A packed consumer directly imports Center for a realistic icon-well composition.</x:t>
        </x:is>
      </x:c>
      <x:c r="E23" s="209" t="inlineStr">
        <x:is>
          <x:t xml:space="preserve">consumer</x:t>
        </x:is>
      </x:c>
      <x:c r="F23" s="209" t="inlineStr">
        <x:is>
          <x:t xml:space="preserve">consumer</x:t>
        </x:is>
      </x:c>
      <x:c r="G23" s="210" t="inlineStr">
        <x:is>
          <x:t xml:space="preserve">../apps/consumer/src/App.tsx; ../apps/consumer/tests/consumer.spec.ts</x:t>
        </x:is>
      </x:c>
      <x:c r="H23" s="211" t="inlineStr">
        <x:is>
          <x:t xml:space="preserve">tested</x:t>
        </x:is>
      </x:c>
      <x:c r="I23" s="212" t="inlineStr">
        <x:is>
          <x:t xml:space="preserve">no</x:t>
        </x:is>
      </x:c>
      <x:c r="J23" s="213" t="n">
        <x:v>46268</x:v>
      </x:c>
      <x:c r="K23" s="210" t="n"/>
      <x:c r="L23" s="214" t="n">
        <x:v>1</x:v>
      </x:c>
      <x:c r="M23" s="214" t="n">
        <x:f>IF(OR(AND(I23="yes",H23="verified"),AND(I23="no",OR(H23="tested",H23="verified")),AND(H23="not applicable",K23&lt;&gt;"")),1,0)</x:f>
        <x:v>1</x:v>
      </x:c>
    </x:row>
    <x:row r="24" s="135" customFormat="1" ht="39" customHeight="1">
      <x:c r="A24" s="209" t="inlineStr">
        <x:is>
          <x:t xml:space="preserve">CE-16</x:t>
        </x:is>
      </x:c>
      <x:c r="B24" s="209" t="inlineStr">
        <x:is>
          <x:t xml:space="preserve">Package</x:t>
        </x:is>
      </x:c>
      <x:c r="C24" s="209" t="inlineStr">
        <x:is>
          <x:t xml:space="preserve">Center</x:t>
        </x:is>
      </x:c>
      <x:c r="D24" s="210" t="inlineStr">
        <x:is>
          <x:t xml:space="preserve">Build, SSR, exports, CSS, tarball, React 18/19, documentation, browser, axe, visual, and packed Consumer gates pass.</x:t>
        </x:is>
      </x:c>
      <x:c r="E24" s="209" t="inlineStr">
        <x:is>
          <x:t xml:space="preserve">package</x:t>
        </x:is>
      </x:c>
      <x:c r="F24" s="209" t="inlineStr">
        <x:is>
          <x:t xml:space="preserve">package</x:t>
        </x:is>
      </x:c>
      <x:c r="G24" s="210" t="inlineStr">
        <x:is>
          <x:t xml:space="preserve">../test/package; ../scripts/verify-package.mjs; ../scripts/verify-app-consumer.mjs</x:t>
        </x:is>
      </x:c>
      <x:c r="H24" s="211" t="inlineStr">
        <x:is>
          <x:t xml:space="preserve">implemented</x:t>
        </x:is>
      </x:c>
      <x:c r="I24" s="212" t="inlineStr">
        <x:is>
          <x:t xml:space="preserve">yes</x:t>
        </x:is>
      </x:c>
      <x:c r="J24" s="213" t="n"/>
      <x:c r="K24" s="210" t="inlineStr">
        <x:is>
          <x:t xml:space="preserve">Automated package gates pass; complete status waits for the component-owned human manual run and a future authorized release.</x:t>
        </x:is>
      </x:c>
      <x:c r="L24" s="214" t="n">
        <x:v>1</x:v>
      </x:c>
      <x:c r="M24" s="214" t="n">
        <x:f>IF(OR(AND(I24="yes",H24="verified"),AND(I24="no",OR(H24="tested",H24="verified")),AND(H24="not applicable",K24&lt;&gt;"")),1,0)</x:f>
        <x:v>0</x:v>
      </x:c>
    </x:row>
    <x:row r="25" s="135" customFormat="1" ht="63.75" customHeight="1">
      <x:c r="A25" s="148" t="inlineStr">
        <x:is>
          <x:t xml:space="preserve">center-inventory</x:t>
        </x:is>
      </x:c>
      <x:c r="B25" s="148" t="inlineStr">
        <x:is>
          <x:t xml:space="preserve">Playground</x:t>
        </x:is>
      </x:c>
      <x:c r="C25" s="148" t="inlineStr">
        <x:is>
          <x:t xml:space="preserve">Center</x:t>
        </x:is>
      </x:c>
      <x:c r="D25" s="148" t="inlineStr">
        <x:is>
          <x:t xml:space="preserve">Every declared scenario renders in order at 390px and 1280px without page overflow or runtime exceptions.</x:t>
        </x:is>
      </x:c>
      <x:c r="E25" s="148" t="inlineStr">
        <x:is>
          <x:t xml:space="preserve">component</x:t>
        </x:is>
      </x:c>
      <x:c r="F25" s="148" t="inlineStr">
        <x:is>
          <x:t xml:space="preserve">browser</x:t>
        </x:is>
      </x:c>
      <x:c r="G25" s="148" t="inlineStr">
        <x:is>
          <x:t xml:space="preserve">playground/tests/integration/recent-component-capabilities.spec.ts</x:t>
        </x:is>
      </x:c>
      <x:c r="H25" s="148" t="inlineStr">
        <x:is>
          <x:t xml:space="preserve">tested</x:t>
        </x:is>
      </x:c>
      <x:c r="I25" s="148" t="inlineStr">
        <x:is>
          <x:t xml:space="preserve">no</x:t>
        </x:is>
      </x:c>
      <x:c r="J25" s="148" t="inlineStr">
        <x:is>
          <x:t xml:space="preserve">2026-09-05</x:t>
        </x:is>
      </x:c>
      <x:c r="K25" s="148" t="inlineStr">
        <x:is>
          <x:t xml:space="preserve">This assertion does not establish full behavioral or manual qualification.</x:t>
        </x:is>
      </x:c>
      <x:c r="L25" s="148" t="n">
        <x:v>1</x:v>
      </x:c>
      <x:c r="M25" s="148" t="n">
        <x:f>IF(OR(H25="tested",H25="verified"),1,0)</x:f>
        <x:v>1</x:v>
      </x:c>
    </x:row>
  </x:sheetData>
  <x:conditionalFormatting sqref="H9:H24">
    <x:cfRule type="containsText" dxfId="16" priority="2" aboveAverage="0" percent="0" bottom="0" operator="containsText" text="implemented" rank="0" equalAverage="0">
      <x:formula>NOT(ISERROR(SEARCH("implemented",H9)))</x:formula>
    </x:cfRule>
    <x:cfRule type="containsText" dxfId="17" priority="3" aboveAverage="0" percent="0" bottom="0" operator="containsText" text="tested" rank="0" equalAverage="0">
      <x:formula>NOT(ISERROR(SEARCH("tested",H9)))</x:formula>
    </x:cfRule>
  </x:conditionalFormatting>
  <x:dataValidations count="3">
    <x:dataValidation type="list" errorStyle="stop" operator="between" allowBlank="0" showDropDown="0" showInputMessage="0" showErrorMessage="0" sqref="H9:H24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24">
      <x:formula1>"yes,no"</x:formula1>
      <x:formula2>0</x:formula2>
    </x:dataValidation>
    <x:dataValidation type="list" errorStyle="stop" operator="between" allowBlank="0" showDropDown="0" showInputMessage="0" showErrorMessage="0" sqref="H25">
      <x:formula1>_Lists!$A$1:$A$7</x:formula1>
      <x:formula2>0</x:formula2>
    </x:dataValidation>
  </x:dataValidations>
  <x:pageMargins left="0.7" right="0.7" top="0.75" bottom="0.75" header="0.3" footer="0.3"/>
</x:worksheet>
</file>

<file path=xl/worksheets/sheet101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1.5" style="138" customWidth="1"/>
    <x:col min="2" max="2" width="14.510000228881836" style="138" customWidth="1"/>
    <x:col min="3" max="3" width="14" style="138" customWidth="1"/>
    <x:col min="4" max="4" width="49.5099983215332" style="138" customWidth="1"/>
    <x:col min="5" max="5" width="12" style="138" customWidth="1"/>
    <x:col min="6" max="6" width="13" style="138" customWidth="1"/>
    <x:col min="7" max="7" width="43.75" style="138" customWidth="1"/>
    <x:col min="8" max="8" width="15.75" style="138" customWidth="1"/>
    <x:col min="9" max="9" width="14.75" style="138" customWidth="1"/>
    <x:col min="10" max="10" width="13.5" style="138" customWidth="1"/>
    <x:col min="11" max="11" width="45" style="138" customWidth="1"/>
    <x:col min="12" max="12" width="9.510000228881836" style="138" customWidth="1"/>
    <x:col min="13" max="13" width="10.25" style="138" customWidth="1"/>
  </x:cols>
  <x:sheetData>
    <x:row r="1" s="135" customFormat="1" ht="33" customHeight="1">
      <x:c r="A1" s="202" t="inlineStr">
        <x:is>
          <x:t xml:space="preserve">Square Evidence</x:t>
        </x:is>
      </x:c>
      <x:c r="B1" s="202" t="n"/>
      <x:c r="C1" s="202" t="n"/>
      <x:c r="D1" s="202" t="n"/>
      <x:c r="E1" s="202" t="n"/>
      <x:c r="F1" s="202" t="n"/>
      <x:c r="G1" s="202" t="n"/>
      <x:c r="H1" s="202" t="n"/>
      <x:c r="I1" s="202" t="n"/>
      <x:c r="J1" s="202" t="n"/>
      <x:c r="K1" s="202" t="n"/>
      <x:c r="L1" s="202" t="n"/>
      <x:c r="M1" s="202" t="n"/>
    </x:row>
    <x:row r="2" s="135" customFormat="1" ht="24" customHeight="1">
      <x:c r="A2" s="203" t="inlineStr">
        <x:is>
          <x:t xml:space="preserve">Assertion-level equal-size, responsive, composition, flex-pressure, browser, documentation, and package evidence.</x:t>
        </x:is>
      </x:c>
      <x:c r="B2" s="203" t="n"/>
      <x:c r="C2" s="203" t="n"/>
      <x:c r="D2" s="203" t="n"/>
      <x:c r="E2" s="203" t="n"/>
      <x:c r="F2" s="203" t="n"/>
      <x:c r="G2" s="203" t="n"/>
      <x:c r="H2" s="203" t="n"/>
      <x:c r="I2" s="203" t="n"/>
      <x:c r="J2" s="203" t="n"/>
      <x:c r="K2" s="203" t="n"/>
      <x:c r="L2" s="203" t="n"/>
      <x:c r="M2" s="203" t="n"/>
    </x:row>
    <x:row r="3" s="135" customFormat="1" ht="15" customHeight="1">
      <x:c r="A3" s="138" t="n"/>
      <x:c r="B3" s="138" t="n"/>
      <x:c r="C3" s="138" t="n"/>
      <x:c r="D3" s="138" t="n"/>
      <x:c r="E3" s="138" t="n"/>
      <x:c r="F3" s="138" t="n"/>
      <x:c r="G3" s="138" t="n"/>
      <x:c r="H3" s="138" t="n"/>
      <x:c r="I3" s="138" t="n"/>
      <x:c r="J3" s="138" t="n"/>
      <x:c r="K3" s="138" t="n"/>
      <x:c r="L3" s="138" t="n"/>
      <x:c r="M3" s="138" t="n"/>
    </x:row>
    <x:row r="4" s="135" customFormat="1" ht="21" customHeight="1">
      <x:c r="A4" s="204" t="inlineStr">
        <x:is>
          <x:t xml:space="preserve">Requirements</x:t>
        </x:is>
      </x:c>
      <x:c r="B4" s="205" t="n">
        <x:f>COUNTA(A9:A25)</x:f>
        <x:v>17</x:v>
      </x:c>
      <x:c r="C4" s="206" t="n"/>
      <x:c r="D4" s="204" t="inlineStr">
        <x:is>
          <x:t xml:space="preserve">Resolved</x:t>
        </x:is>
      </x:c>
      <x:c r="E4" s="205" t="n">
        <x:f>SUM(M9:M25)</x:f>
        <x:v>13</x:v>
      </x:c>
      <x:c r="F4" s="206" t="n"/>
      <x:c r="G4" s="204" t="inlineStr">
        <x:is>
          <x:t xml:space="preserve">Completion</x:t>
        </x:is>
      </x:c>
      <x:c r="H4" s="207" t="n">
        <x:f>IF(B4=0,0,E4/B4)</x:f>
        <x:v>0.7647058823529411</x:v>
      </x:c>
      <x:c r="I4" s="206" t="n"/>
      <x:c r="J4" s="204" t="inlineStr">
        <x:is>
          <x:t xml:space="preserve">Package gate</x:t>
        </x:is>
      </x:c>
      <x:c r="K4" s="205" t="str">
        <x:f>IF(COUNTIFS(E9:E24,"package",M9:M24,0)&gt;0,"open","complete")</x:f>
        <x:v>open</x:v>
      </x:c>
      <x:c r="L4" s="206" t="n"/>
      <x:c r="M4" s="206" t="n"/>
    </x:row>
    <x:row r="5" s="135" customFormat="1" ht="21" customHeight="1">
      <x:c r="A5" s="204" t="inlineStr">
        <x:is>
          <x:t xml:space="preserve">Manual review</x:t>
        </x:is>
      </x:c>
      <x:c r="B5" s="205" t="str">
        <x:f>IF(COUNTIFS(I9:I24,"yes",M9:M24,0)&gt;0,"open","complete")</x:f>
        <x:v>open</x:v>
      </x:c>
      <x:c r="C5" s="206" t="n"/>
      <x:c r="D5" s="204" t="inlineStr">
        <x:is>
          <x:t xml:space="preserve">Consumer gate</x:t>
        </x:is>
      </x:c>
      <x:c r="E5" s="205" t="str">
        <x:f>IF(COUNTIFS(E9:E24,"consumer",M9:M24,0)&gt;0,"open","complete")</x:f>
        <x:v>complete</x:v>
      </x:c>
      <x:c r="F5" s="206" t="n"/>
      <x:c r="G5" s="204" t="n"/>
      <x:c r="H5" s="205" t="n"/>
      <x:c r="I5" s="206" t="n"/>
      <x:c r="J5" s="204" t="n"/>
      <x:c r="K5" s="205" t="n"/>
      <x:c r="L5" s="206" t="n"/>
      <x:c r="M5" s="206" t="n"/>
    </x:row>
    <x:row r="6" s="135" customFormat="1" ht="15" customHeight="1">
      <x:c r="A6" s="138" t="n"/>
      <x:c r="B6" s="138" t="n"/>
      <x:c r="C6" s="138" t="n"/>
      <x:c r="D6" s="138" t="n"/>
      <x:c r="E6" s="138" t="n"/>
      <x:c r="F6" s="138" t="n"/>
      <x:c r="G6" s="138" t="n"/>
      <x:c r="H6" s="138" t="n"/>
      <x:c r="I6" s="138" t="n"/>
      <x:c r="J6" s="138" t="n"/>
      <x:c r="K6" s="138" t="n"/>
      <x:c r="L6" s="138" t="n"/>
      <x:c r="M6" s="138" t="n"/>
    </x:row>
    <x:row r="7" s="135" customFormat="1" ht="15" customHeight="1">
      <x:c r="A7" s="138" t="n"/>
      <x:c r="B7" s="138" t="n"/>
      <x:c r="C7" s="138" t="n"/>
      <x:c r="D7" s="138" t="n"/>
      <x:c r="E7" s="138" t="n"/>
      <x:c r="F7" s="138" t="n"/>
      <x:c r="G7" s="138" t="n"/>
      <x:c r="H7" s="138" t="n"/>
      <x:c r="I7" s="138" t="n"/>
      <x:c r="J7" s="138" t="n"/>
      <x:c r="K7" s="138" t="n"/>
      <x:c r="L7" s="138" t="n"/>
      <x:c r="M7" s="138" t="n"/>
    </x:row>
    <x:row r="8" s="135" customFormat="1" ht="21" customHeight="1">
      <x:c r="A8" s="208" t="inlineStr">
        <x:is>
          <x:t xml:space="preserve">ID</x:t>
        </x:is>
      </x:c>
      <x:c r="B8" s="208" t="inlineStr">
        <x:is>
          <x:t xml:space="preserve">Area</x:t>
        </x:is>
      </x:c>
      <x:c r="C8" s="208" t="inlineStr">
        <x:is>
          <x:t xml:space="preserve">Part</x:t>
        </x:is>
      </x:c>
      <x:c r="D8" s="208" t="inlineStr">
        <x:is>
          <x:t xml:space="preserve">Requirement</x:t>
        </x:is>
      </x:c>
      <x:c r="E8" s="208" t="inlineStr">
        <x:is>
          <x:t xml:space="preserve">Gate</x:t>
        </x:is>
      </x:c>
      <x:c r="F8" s="208" t="inlineStr">
        <x:is>
          <x:t xml:space="preserve">Evidence type</x:t>
        </x:is>
      </x:c>
      <x:c r="G8" s="208" t="inlineStr">
        <x:is>
          <x:t xml:space="preserve">Evidence / link</x:t>
        </x:is>
      </x:c>
      <x:c r="H8" s="208" t="inlineStr">
        <x:is>
          <x:t xml:space="preserve">Status</x:t>
        </x:is>
      </x:c>
      <x:c r="I8" s="208" t="inlineStr">
        <x:is>
          <x:t xml:space="preserve">Human review?</x:t>
        </x:is>
      </x:c>
      <x:c r="J8" s="208" t="inlineStr">
        <x:is>
          <x:t xml:space="preserve">Last verified</x:t>
        </x:is>
      </x:c>
      <x:c r="K8" s="208" t="inlineStr">
        <x:is>
          <x:t xml:space="preserve">Blocker / N/A reason</x:t>
        </x:is>
      </x:c>
      <x:c r="L8" s="208" t="inlineStr">
        <x:is>
          <x:t xml:space="preserve">Weight</x:t>
        </x:is>
      </x:c>
      <x:c r="M8" s="208" t="inlineStr">
        <x:is>
          <x:t xml:space="preserve">Resolved</x:t>
        </x:is>
      </x:c>
    </x:row>
    <x:row r="9" s="135" customFormat="1" ht="39" customHeight="1">
      <x:c r="A9" s="209" t="inlineStr">
        <x:is>
          <x:t xml:space="preserve">SQ-01</x:t>
        </x:is>
      </x:c>
      <x:c r="B9" s="209" t="inlineStr">
        <x:is>
          <x:t xml:space="preserve">Implementation</x:t>
        </x:is>
      </x:c>
      <x:c r="C9" s="209" t="inlineStr">
        <x:is>
          <x:t xml:space="preserve">Square</x:t>
        </x:is>
      </x:c>
      <x:c r="D9" s="210" t="inlineStr">
        <x:is>
          <x:t xml:space="preserve">Square renders one approved semantic host with required equal logical dimensions and centered content.</x:t>
        </x:is>
      </x:c>
      <x:c r="E9" s="209" t="inlineStr">
        <x:is>
          <x:t xml:space="preserve">package</x:t>
        </x:is>
      </x:c>
      <x:c r="F9" s="209" t="inlineStr">
        <x:is>
          <x:t xml:space="preserve">source</x:t>
        </x:is>
      </x:c>
      <x:c r="G9" s="210" t="inlineStr">
        <x:is>
          <x:t xml:space="preserve">../src/components/center</x:t>
        </x:is>
      </x:c>
      <x:c r="H9" s="211" t="inlineStr">
        <x:is>
          <x:t xml:space="preserve">tested</x:t>
        </x:is>
      </x:c>
      <x:c r="I9" s="212" t="inlineStr">
        <x:is>
          <x:t xml:space="preserve">no</x:t>
        </x:is>
      </x:c>
      <x:c r="J9" s="213" t="n">
        <x:v>46268</x:v>
      </x:c>
      <x:c r="K9" s="210" t="n"/>
      <x:c r="L9" s="214" t="n">
        <x:v>1</x:v>
      </x:c>
      <x:c r="M9" s="214" t="n">
        <x:f>IF(OR(AND(I9="yes",H9="verified"),AND(I9="no",OR(H9="tested",H9="verified")),AND(H9="not applicable",K9&lt;&gt;"")),1,0)</x:f>
        <x:v>1</x:v>
      </x:c>
    </x:row>
    <x:row r="10" s="135" customFormat="1" ht="39" customHeight="1">
      <x:c r="A10" s="209" t="inlineStr">
        <x:is>
          <x:t xml:space="preserve">SQ-02</x:t>
        </x:is>
      </x:c>
      <x:c r="B10" s="209" t="inlineStr">
        <x:is>
          <x:t xml:space="preserve">Exports</x:t>
        </x:is>
      </x:c>
      <x:c r="C10" s="209" t="inlineStr">
        <x:is>
          <x:t xml:space="preserve">Square</x:t>
        </x:is>
      </x:c>
      <x:c r="D10" s="210" t="inlineStr">
        <x:is>
          <x:t xml:space="preserve">Root and center subpath exports expose Square and every public Square type with identical runtime identity.</x:t>
        </x:is>
      </x:c>
      <x:c r="E10" s="209" t="inlineStr">
        <x:is>
          <x:t xml:space="preserve">package</x:t>
        </x:is>
      </x:c>
      <x:c r="F10" s="209" t="inlineStr">
        <x:is>
          <x:t xml:space="preserve">package</x:t>
        </x:is>
      </x:c>
      <x:c r="G10" s="210" t="inlineStr">
        <x:is>
          <x:t xml:space="preserve">../test/package/package.test.mjs; ../test/package/ssr.test.mjs</x:t>
        </x:is>
      </x:c>
      <x:c r="H10" s="211" t="inlineStr">
        <x:is>
          <x:t xml:space="preserve">tested</x:t>
        </x:is>
      </x:c>
      <x:c r="I10" s="212" t="inlineStr">
        <x:is>
          <x:t xml:space="preserve">no</x:t>
        </x:is>
      </x:c>
      <x:c r="J10" s="213" t="n">
        <x:v>46268</x:v>
      </x:c>
      <x:c r="K10" s="210" t="n"/>
      <x:c r="L10" s="214" t="n">
        <x:v>1</x:v>
      </x:c>
      <x:c r="M10" s="214" t="n">
        <x:f>IF(OR(AND(I10="yes",H10="verified"),AND(I10="no",OR(H10="tested",H10="verified")),AND(H10="not applicable",K10&lt;&gt;"")),1,0)</x:f>
        <x:v>1</x:v>
      </x:c>
    </x:row>
    <x:row r="11" s="135" customFormat="1" ht="39" customHeight="1">
      <x:c r="A11" s="209" t="inlineStr">
        <x:is>
          <x:t xml:space="preserve">SQ-03</x:t>
        </x:is>
      </x:c>
      <x:c r="B11" s="209" t="inlineStr">
        <x:is>
          <x:t xml:space="preserve">Types</x:t>
        </x:is>
      </x:c>
      <x:c r="C11" s="209" t="inlineStr">
        <x:is>
          <x:t xml:space="preserve">Public surface</x:t>
        </x:is>
      </x:c>
      <x:c r="D11" s="210" t="inlineStr">
        <x:is>
          <x:t xml:space="preserve">Required scalar or responsive size, closed hosts, asChild, native props, event handlers, styles, and refs type-check.</x:t>
        </x:is>
      </x:c>
      <x:c r="E11" s="209" t="inlineStr">
        <x:is>
          <x:t xml:space="preserve">package</x:t>
        </x:is>
      </x:c>
      <x:c r="F11" s="209" t="inlineStr">
        <x:is>
          <x:t xml:space="preserve">types</x:t>
        </x:is>
      </x:c>
      <x:c r="G11" s="210" t="inlineStr">
        <x:is>
          <x:t xml:space="preserve">../test/types/components/center.test.ts</x:t>
        </x:is>
      </x:c>
      <x:c r="H11" s="211" t="inlineStr">
        <x:is>
          <x:t xml:space="preserve">tested</x:t>
        </x:is>
      </x:c>
      <x:c r="I11" s="212" t="inlineStr">
        <x:is>
          <x:t xml:space="preserve">no</x:t>
        </x:is>
      </x:c>
      <x:c r="J11" s="213" t="n">
        <x:v>46268</x:v>
      </x:c>
      <x:c r="K11" s="210" t="n"/>
      <x:c r="L11" s="214" t="n">
        <x:v>1</x:v>
      </x:c>
      <x:c r="M11" s="214" t="n">
        <x:f>IF(OR(AND(I11="yes",H11="verified"),AND(I11="no",OR(H11="tested",H11="verified")),AND(H11="not applicable",K11&lt;&gt;"")),1,0)</x:f>
        <x:v>1</x:v>
      </x:c>
    </x:row>
    <x:row r="12" s="135" customFormat="1" ht="39" customHeight="1">
      <x:c r="A12" s="209" t="inlineStr">
        <x:is>
          <x:t xml:space="preserve">SQ-04</x:t>
        </x:is>
      </x:c>
      <x:c r="B12" s="209" t="inlineStr">
        <x:is>
          <x:t xml:space="preserve">CSS</x:t>
        </x:is>
      </x:c>
      <x:c r="C12" s="209" t="inlineStr">
        <x:is>
          <x:t xml:space="preserve">Square</x:t>
        </x:is>
      </x:c>
      <x:c r="D12" s="210" t="inlineStr">
        <x:is>
          <x:t xml:space="preserve">Static CSS maps required base and breakpoint size variables to equal logical dimensions with fixed flex participation.</x:t>
        </x:is>
      </x:c>
      <x:c r="E12" s="209" t="inlineStr">
        <x:is>
          <x:t xml:space="preserve">package</x:t>
        </x:is>
      </x:c>
      <x:c r="F12" s="209" t="inlineStr">
        <x:is>
          <x:t xml:space="preserve">css</x:t>
        </x:is>
      </x:c>
      <x:c r="G12" s="210" t="inlineStr">
        <x:is>
          <x:t xml:space="preserve">../src/components/center/center.css</x:t>
        </x:is>
      </x:c>
      <x:c r="H12" s="211" t="inlineStr">
        <x:is>
          <x:t xml:space="preserve">tested</x:t>
        </x:is>
      </x:c>
      <x:c r="I12" s="212" t="inlineStr">
        <x:is>
          <x:t xml:space="preserve">no</x:t>
        </x:is>
      </x:c>
      <x:c r="J12" s="213" t="n">
        <x:v>46268</x:v>
      </x:c>
      <x:c r="K12" s="210" t="n"/>
      <x:c r="L12" s="214" t="n">
        <x:v>1</x:v>
      </x:c>
      <x:c r="M12" s="214" t="n">
        <x:f>IF(OR(AND(I12="yes",H12="verified"),AND(I12="no",OR(H12="tested",H12="verified")),AND(H12="not applicable",K12&lt;&gt;"")),1,0)</x:f>
        <x:v>1</x:v>
      </x:c>
    </x:row>
    <x:row r="13" s="135" customFormat="1" ht="39" customHeight="1">
      <x:c r="A13" s="209" t="inlineStr">
        <x:is>
          <x:t xml:space="preserve">SQ-05</x:t>
        </x:is>
      </x:c>
      <x:c r="B13" s="209" t="inlineStr">
        <x:is>
          <x:t xml:space="preserve">Unit</x:t>
        </x:is>
      </x:c>
      <x:c r="C13" s="209" t="inlineStr">
        <x:is>
          <x:t xml:space="preserve">Square</x:t>
        </x:is>
      </x:c>
      <x:c r="D13" s="210" t="inlineStr">
        <x:is>
          <x:t xml:space="preserve">Required size, responsive serialization, semantic-host, asChild, native-prop, event, style, slot, ref, and filtering behavior pass.</x:t>
        </x:is>
      </x:c>
      <x:c r="E13" s="209" t="inlineStr">
        <x:is>
          <x:t xml:space="preserve">package</x:t>
        </x:is>
      </x:c>
      <x:c r="F13" s="209" t="inlineStr">
        <x:is>
          <x:t xml:space="preserve">component</x:t>
        </x:is>
      </x:c>
      <x:c r="G13" s="210" t="inlineStr">
        <x:is>
          <x:t xml:space="preserve">../test/components/center/center.test.tsx</x:t>
        </x:is>
      </x:c>
      <x:c r="H13" s="211" t="inlineStr">
        <x:is>
          <x:t xml:space="preserve">tested</x:t>
        </x:is>
      </x:c>
      <x:c r="I13" s="212" t="inlineStr">
        <x:is>
          <x:t xml:space="preserve">no</x:t>
        </x:is>
      </x:c>
      <x:c r="J13" s="213" t="n">
        <x:v>46268</x:v>
      </x:c>
      <x:c r="K13" s="210" t="n"/>
      <x:c r="L13" s="214" t="n">
        <x:v>1</x:v>
      </x:c>
      <x:c r="M13" s="214" t="n">
        <x:f>IF(OR(AND(I13="yes",H13="verified"),AND(I13="no",OR(H13="tested",H13="verified")),AND(H13="not applicable",K13&lt;&gt;"")),1,0)</x:f>
        <x:v>1</x:v>
      </x:c>
    </x:row>
    <x:row r="14" s="135" customFormat="1" ht="39" customHeight="1">
      <x:c r="A14" s="209" t="inlineStr">
        <x:is>
          <x:t xml:space="preserve">SQ-06</x:t>
        </x:is>
      </x:c>
      <x:c r="B14" s="209" t="inlineStr">
        <x:is>
          <x:t xml:space="preserve">Browser</x:t>
        </x:is>
      </x:c>
      <x:c r="C14" s="209" t="inlineStr">
        <x:is>
          <x:t xml:space="preserve">Square</x:t>
        </x:is>
      </x:c>
      <x:c r="D14" s="210" t="inlineStr">
        <x:is>
          <x:t xml:space="preserve">Equal dimensions, responsive carry-forward, painted asChild composition, and flex pressure resolve correctly in real browsers.</x:t>
        </x:is>
      </x:c>
      <x:c r="E14" s="209" t="inlineStr">
        <x:is>
          <x:t xml:space="preserve">package</x:t>
        </x:is>
      </x:c>
      <x:c r="F14" s="209" t="inlineStr">
        <x:is>
          <x:t xml:space="preserve">browser</x:t>
        </x:is>
      </x:c>
      <x:c r="G14" s="210" t="inlineStr">
        <x:is>
          <x:t xml:space="preserve">tests/components/center/behavior.spec.ts</x:t>
        </x:is>
      </x:c>
      <x:c r="H14" s="211" t="inlineStr">
        <x:is>
          <x:t xml:space="preserve">tested</x:t>
        </x:is>
      </x:c>
      <x:c r="I14" s="212" t="inlineStr">
        <x:is>
          <x:t xml:space="preserve">no</x:t>
        </x:is>
      </x:c>
      <x:c r="J14" s="213" t="n">
        <x:v>46268</x:v>
      </x:c>
      <x:c r="K14" s="210" t="n"/>
      <x:c r="L14" s="214" t="n">
        <x:v>1</x:v>
      </x:c>
      <x:c r="M14" s="214" t="n">
        <x:f>IF(OR(AND(I14="yes",H14="verified"),AND(I14="no",OR(H14="tested",H14="verified")),AND(H14="not applicable",K14&lt;&gt;"")),1,0)</x:f>
        <x:v>1</x:v>
      </x:c>
    </x:row>
    <x:row r="15" s="135" customFormat="1" ht="39" customHeight="1">
      <x:c r="A15" s="209" t="inlineStr">
        <x:is>
          <x:t xml:space="preserve">SQ-07</x:t>
        </x:is>
      </x:c>
      <x:c r="B15" s="209" t="inlineStr">
        <x:is>
          <x:t xml:space="preserve">Composition</x:t>
        </x:is>
      </x:c>
      <x:c r="C15" s="209" t="inlineStr">
        <x:is>
          <x:t xml:space="preserve">asChild</x:t>
        </x:is>
      </x:c>
      <x:c r="D15" s="210" t="inlineStr">
        <x:is>
          <x:t xml:space="preserve">Square enhances one semantic or painted child while preserving one host, child props, merged handlers, styles, slot, and ref.</x:t>
        </x:is>
      </x:c>
      <x:c r="E15" s="209" t="inlineStr">
        <x:is>
          <x:t xml:space="preserve">package</x:t>
        </x:is>
      </x:c>
      <x:c r="F15" s="209" t="inlineStr">
        <x:is>
          <x:t xml:space="preserve">browser</x:t>
        </x:is>
      </x:c>
      <x:c r="G15" s="210" t="inlineStr">
        <x:is>
          <x:t xml:space="preserve">tests/components/center/behavior.spec.ts</x:t>
        </x:is>
      </x:c>
      <x:c r="H15" s="211" t="inlineStr">
        <x:is>
          <x:t xml:space="preserve">tested</x:t>
        </x:is>
      </x:c>
      <x:c r="I15" s="212" t="inlineStr">
        <x:is>
          <x:t xml:space="preserve">no</x:t>
        </x:is>
      </x:c>
      <x:c r="J15" s="213" t="n">
        <x:v>46268</x:v>
      </x:c>
      <x:c r="K15" s="210" t="n"/>
      <x:c r="L15" s="214" t="n">
        <x:v>1</x:v>
      </x:c>
      <x:c r="M15" s="214" t="n">
        <x:f>IF(OR(AND(I15="yes",H15="verified"),AND(I15="no",OR(H15="tested",H15="verified")),AND(H15="not applicable",K15&lt;&gt;"")),1,0)</x:f>
        <x:v>1</x:v>
      </x:c>
    </x:row>
    <x:row r="16" s="135" customFormat="1" ht="39" customHeight="1">
      <x:c r="A16" s="209" t="inlineStr">
        <x:is>
          <x:t xml:space="preserve">SQ-08</x:t>
        </x:is>
      </x:c>
      <x:c r="B16" s="209" t="inlineStr">
        <x:is>
          <x:t xml:space="preserve">Geometry</x:t>
        </x:is>
      </x:c>
      <x:c r="C16" s="209" t="inlineStr">
        <x:is>
          <x:t xml:space="preserve">Square</x:t>
        </x:is>
      </x:c>
      <x:c r="D16" s="210" t="inlineStr">
        <x:is>
          <x:t xml:space="preserve">Square remains perfectly equal-sized and non-shrinking in constrained feature rows and other flex compositions.</x:t>
        </x:is>
      </x:c>
      <x:c r="E16" s="209" t="inlineStr">
        <x:is>
          <x:t xml:space="preserve">package</x:t>
        </x:is>
      </x:c>
      <x:c r="F16" s="209" t="inlineStr">
        <x:is>
          <x:t xml:space="preserve">browser</x:t>
        </x:is>
      </x:c>
      <x:c r="G16" s="210" t="inlineStr">
        <x:is>
          <x:t xml:space="preserve">tests/components/center/behavior.spec.ts</x:t>
        </x:is>
      </x:c>
      <x:c r="H16" s="211" t="inlineStr">
        <x:is>
          <x:t xml:space="preserve">tested</x:t>
        </x:is>
      </x:c>
      <x:c r="I16" s="212" t="inlineStr">
        <x:is>
          <x:t xml:space="preserve">no</x:t>
        </x:is>
      </x:c>
      <x:c r="J16" s="213" t="n">
        <x:v>46268</x:v>
      </x:c>
      <x:c r="K16" s="210" t="n"/>
      <x:c r="L16" s="214" t="n">
        <x:v>1</x:v>
      </x:c>
      <x:c r="M16" s="214" t="n">
        <x:f>IF(OR(AND(I16="yes",H16="verified"),AND(I16="no",OR(H16="tested",H16="verified")),AND(H16="not applicable",K16&lt;&gt;"")),1,0)</x:f>
        <x:v>1</x:v>
      </x:c>
    </x:row>
    <x:row r="17" s="135" customFormat="1" ht="39" customHeight="1">
      <x:c r="A17" s="209" t="inlineStr">
        <x:is>
          <x:t xml:space="preserve">SQ-09</x:t>
        </x:is>
      </x:c>
      <x:c r="B17" s="209" t="inlineStr">
        <x:is>
          <x:t xml:space="preserve">Accessibility</x:t>
        </x:is>
      </x:c>
      <x:c r="C17" s="209" t="inlineStr">
        <x:is>
          <x:t xml:space="preserve">Square</x:t>
        </x:is>
      </x:c>
      <x:c r="D17" s="210" t="inlineStr">
        <x:is>
          <x:t xml:space="preserve">Square adds no landmark or behavior and preserves source order, focus visibility, axe, RTL, and writing modes.</x:t>
        </x:is>
      </x:c>
      <x:c r="E17" s="209" t="inlineStr">
        <x:is>
          <x:t xml:space="preserve">package</x:t>
        </x:is>
      </x:c>
      <x:c r="F17" s="209" t="inlineStr">
        <x:is>
          <x:t xml:space="preserve">axe</x:t>
        </x:is>
      </x:c>
      <x:c r="G17" s="210" t="inlineStr">
        <x:is>
          <x:t xml:space="preserve">tests/components/center/behavior.spec.ts</x:t>
        </x:is>
      </x:c>
      <x:c r="H17" s="211" t="inlineStr">
        <x:is>
          <x:t xml:space="preserve">tested</x:t>
        </x:is>
      </x:c>
      <x:c r="I17" s="212" t="inlineStr">
        <x:is>
          <x:t xml:space="preserve">no</x:t>
        </x:is>
      </x:c>
      <x:c r="J17" s="213" t="n">
        <x:v>46268</x:v>
      </x:c>
      <x:c r="K17" s="210" t="n"/>
      <x:c r="L17" s="214" t="n">
        <x:v>1</x:v>
      </x:c>
      <x:c r="M17" s="214" t="n">
        <x:f>IF(OR(AND(I17="yes",H17="verified"),AND(I17="no",OR(H17="tested",H17="verified")),AND(H17="not applicable",K17&lt;&gt;"")),1,0)</x:f>
        <x:v>1</x:v>
      </x:c>
    </x:row>
    <x:row r="18" s="135" customFormat="1" ht="39" customHeight="1">
      <x:c r="A18" s="209" t="inlineStr">
        <x:is>
          <x:t xml:space="preserve">SQ-10</x:t>
        </x:is>
      </x:c>
      <x:c r="B18" s="209" t="inlineStr">
        <x:is>
          <x:t xml:space="preserve">Visual</x:t>
        </x:is>
      </x:c>
      <x:c r="C18" s="209" t="inlineStr">
        <x:is>
          <x:t xml:space="preserve">Square</x:t>
        </x:is>
      </x:c>
      <x:c r="D18" s="210" t="inlineStr">
        <x:is>
          <x:t xml:space="preserve">Baselines cover exact square geometry, centered icons, responsive sizes, painted composition, and flex pressure.</x:t>
        </x:is>
      </x:c>
      <x:c r="E18" s="209" t="inlineStr">
        <x:is>
          <x:t xml:space="preserve">package</x:t>
        </x:is>
      </x:c>
      <x:c r="F18" s="209" t="inlineStr">
        <x:is>
          <x:t xml:space="preserve">visual</x:t>
        </x:is>
      </x:c>
      <x:c r="G18" s="210" t="inlineStr">
        <x:is>
          <x:t xml:space="preserve">tests/components/center/visual.spec.ts</x:t>
        </x:is>
      </x:c>
      <x:c r="H18" s="211" t="inlineStr">
        <x:is>
          <x:t xml:space="preserve">implemented</x:t>
        </x:is>
      </x:c>
      <x:c r="I18" s="212" t="inlineStr">
        <x:is>
          <x:t xml:space="preserve">yes</x:t>
        </x:is>
      </x:c>
      <x:c r="J18" s="213" t="n"/>
      <x:c r="K18" s="210" t="inlineStr">
        <x:is>
          <x:t xml:space="preserve">Automated baselines exist; complete owner visual review is intentionally unclaimed.</x:t>
        </x:is>
      </x:c>
      <x:c r="L18" s="214" t="n">
        <x:v>1</x:v>
      </x:c>
      <x:c r="M18" s="214" t="n">
        <x:f>IF(OR(AND(I18="yes",H18="verified"),AND(I18="no",OR(H18="tested",H18="verified")),AND(H18="not applicable",K18&lt;&gt;"")),1,0)</x:f>
        <x:v>0</x:v>
      </x:c>
    </x:row>
    <x:row r="19" s="135" customFormat="1" ht="39" customHeight="1">
      <x:c r="A19" s="209" t="inlineStr">
        <x:is>
          <x:t xml:space="preserve">SQ-11</x:t>
        </x:is>
      </x:c>
      <x:c r="B19" s="209" t="inlineStr">
        <x:is>
          <x:t xml:space="preserve">Responsive</x:t>
        </x:is>
      </x:c>
      <x:c r="C19" s="209" t="inlineStr">
        <x:is>
          <x:t xml:space="preserve">Square</x:t>
        </x:is>
      </x:c>
      <x:c r="D19" s="210" t="inlineStr">
        <x:is>
          <x:t xml:space="preserve">Mobile, zoom, long adjacent content, RTL, and writing-mode scenarios preserve equal logical dimensions.</x:t>
        </x:is>
      </x:c>
      <x:c r="E19" s="209" t="inlineStr">
        <x:is>
          <x:t xml:space="preserve">package</x:t>
        </x:is>
      </x:c>
      <x:c r="F19" s="209" t="inlineStr">
        <x:is>
          <x:t xml:space="preserve">manual</x:t>
        </x:is>
      </x:c>
      <x:c r="G19" s="210" t="inlineStr">
        <x:is>
          <x:t xml:space="preserve">manual-tests/center.md</x:t>
        </x:is>
      </x:c>
      <x:c r="H19" s="211" t="inlineStr">
        <x:is>
          <x:t xml:space="preserve">implemented</x:t>
        </x:is>
      </x:c>
      <x:c r="I19" s="212" t="inlineStr">
        <x:is>
          <x:t xml:space="preserve">yes</x:t>
        </x:is>
      </x:c>
      <x:c r="J19" s="213" t="n"/>
      <x:c r="K19" s="210" t="inlineStr">
        <x:is>
          <x:t xml:space="preserve">Automated responsive evidence passes; the complete human run remains pending.</x:t>
        </x:is>
      </x:c>
      <x:c r="L19" s="214" t="n">
        <x:v>1</x:v>
      </x:c>
      <x:c r="M19" s="214" t="n">
        <x:f>IF(OR(AND(I19="yes",H19="verified"),AND(I19="no",OR(H19="tested",H19="verified")),AND(H19="not applicable",K19&lt;&gt;"")),1,0)</x:f>
        <x:v>0</x:v>
      </x:c>
    </x:row>
    <x:row r="20" s="135" customFormat="1" ht="39" customHeight="1">
      <x:c r="A20" s="209" t="inlineStr">
        <x:is>
          <x:t xml:space="preserve">SQ-12</x:t>
        </x:is>
      </x:c>
      <x:c r="B20" s="209" t="inlineStr">
        <x:is>
          <x:t xml:space="preserve">Manual</x:t>
        </x:is>
      </x:c>
      <x:c r="C20" s="209" t="inlineStr">
        <x:is>
          <x:t xml:space="preserve">Square</x:t>
        </x:is>
      </x:c>
      <x:c r="D20" s="210" t="inlineStr">
        <x:is>
          <x:t xml:space="preserve">A tester completes the equal-size, responsive, flex-pressure, composition, focus, theme, and writing-mode protocol.</x:t>
        </x:is>
      </x:c>
      <x:c r="E20" s="209" t="inlineStr">
        <x:is>
          <x:t xml:space="preserve">package</x:t>
        </x:is>
      </x:c>
      <x:c r="F20" s="209" t="inlineStr">
        <x:is>
          <x:t xml:space="preserve">manual</x:t>
        </x:is>
      </x:c>
      <x:c r="G20" s="210" t="inlineStr">
        <x:is>
          <x:t xml:space="preserve">manual-tests/center.md</x:t>
        </x:is>
      </x:c>
      <x:c r="H20" s="211" t="inlineStr">
        <x:is>
          <x:t xml:space="preserve">implemented</x:t>
        </x:is>
      </x:c>
      <x:c r="I20" s="212" t="inlineStr">
        <x:is>
          <x:t xml:space="preserve">yes</x:t>
        </x:is>
      </x:c>
      <x:c r="J20" s="213" t="n"/>
      <x:c r="K20" s="210" t="inlineStr">
        <x:is>
          <x:t xml:space="preserve">Protocol exists; owner human review remains intentionally unclaimed.</x:t>
        </x:is>
      </x:c>
      <x:c r="L20" s="214" t="n">
        <x:v>1</x:v>
      </x:c>
      <x:c r="M20" s="214" t="n">
        <x:f>IF(OR(AND(I20="yes",H20="verified"),AND(I20="no",OR(H20="tested",H20="verified")),AND(H20="not applicable",K20&lt;&gt;"")),1,0)</x:f>
        <x:v>0</x:v>
      </x:c>
    </x:row>
    <x:row r="21" s="135" customFormat="1" ht="39" customHeight="1">
      <x:c r="A21" s="209" t="inlineStr">
        <x:is>
          <x:t xml:space="preserve">SQ-13</x:t>
        </x:is>
      </x:c>
      <x:c r="B21" s="209" t="inlineStr">
        <x:is>
          <x:t xml:space="preserve">Docs</x:t>
        </x:is>
      </x:c>
      <x:c r="C21" s="209" t="inlineStr">
        <x:is>
          <x:t xml:space="preserve">Square</x:t>
        </x:is>
      </x:c>
      <x:c r="D21" s="210" t="inlineStr">
        <x:is>
          <x:t xml:space="preserve">Public and Agent Knowledge guidance covers required size, responsive geometry, composition, selection, and ownership boundaries.</x:t>
        </x:is>
      </x:c>
      <x:c r="E21" s="209" t="inlineStr">
        <x:is>
          <x:t xml:space="preserve">package</x:t>
        </x:is>
      </x:c>
      <x:c r="F21" s="209" t="inlineStr">
        <x:is>
          <x:t xml:space="preserve">docs</x:t>
        </x:is>
      </x:c>
      <x:c r="G21" s="210" t="inlineStr">
        <x:is>
          <x:t xml:space="preserve">../docs/components/center/README.md; ../src/components/center/agent.json; ../src/components/center/agent.md</x:t>
        </x:is>
      </x:c>
      <x:c r="H21" s="211" t="inlineStr">
        <x:is>
          <x:t xml:space="preserve">tested</x:t>
        </x:is>
      </x:c>
      <x:c r="I21" s="212" t="inlineStr">
        <x:is>
          <x:t xml:space="preserve">no</x:t>
        </x:is>
      </x:c>
      <x:c r="J21" s="213" t="n">
        <x:v>46268</x:v>
      </x:c>
      <x:c r="K21" s="210" t="n"/>
      <x:c r="L21" s="214" t="n">
        <x:v>1</x:v>
      </x:c>
      <x:c r="M21" s="214" t="n">
        <x:f>IF(OR(AND(I21="yes",H21="verified"),AND(I21="no",OR(H21="tested",H21="verified")),AND(H21="not applicable",K21&lt;&gt;"")),1,0)</x:f>
        <x:v>1</x:v>
      </x:c>
    </x:row>
    <x:row r="22" s="135" customFormat="1" ht="39" customHeight="1">
      <x:c r="A22" s="209" t="inlineStr">
        <x:is>
          <x:t xml:space="preserve">SQ-14</x:t>
        </x:is>
      </x:c>
      <x:c r="B22" s="209" t="inlineStr">
        <x:is>
          <x:t xml:space="preserve">Changelog</x:t>
        </x:is>
      </x:c>
      <x:c r="C22" s="209" t="inlineStr">
        <x:is>
          <x:t xml:space="preserve">Square</x:t>
        </x:is>
      </x:c>
      <x:c r="D22" s="210" t="inlineStr">
        <x:is>
          <x:t xml:space="preserve">Component and package history record the new public primitive and its qualified contract.</x:t>
        </x:is>
      </x:c>
      <x:c r="E22" s="209" t="inlineStr">
        <x:is>
          <x:t xml:space="preserve">package</x:t>
        </x:is>
      </x:c>
      <x:c r="F22" s="209" t="inlineStr">
        <x:is>
          <x:t xml:space="preserve">docs</x:t>
        </x:is>
      </x:c>
      <x:c r="G22" s="210" t="inlineStr">
        <x:is>
          <x:t xml:space="preserve">../docs/components/center/CHANGELOG.md; ../CHANGELOG.md</x:t>
        </x:is>
      </x:c>
      <x:c r="H22" s="211" t="inlineStr">
        <x:is>
          <x:t xml:space="preserve">tested</x:t>
        </x:is>
      </x:c>
      <x:c r="I22" s="212" t="inlineStr">
        <x:is>
          <x:t xml:space="preserve">no</x:t>
        </x:is>
      </x:c>
      <x:c r="J22" s="213" t="n">
        <x:v>46268</x:v>
      </x:c>
      <x:c r="K22" s="210" t="n"/>
      <x:c r="L22" s="214" t="n">
        <x:v>1</x:v>
      </x:c>
      <x:c r="M22" s="214" t="n">
        <x:f>IF(OR(AND(I22="yes",H22="verified"),AND(I22="no",OR(H22="tested",H22="verified")),AND(H22="not applicable",K22&lt;&gt;"")),1,0)</x:f>
        <x:v>1</x:v>
      </x:c>
    </x:row>
    <x:row r="23" s="135" customFormat="1" ht="39" customHeight="1">
      <x:c r="A23" s="209" t="inlineStr">
        <x:is>
          <x:t xml:space="preserve">SQ-15</x:t>
        </x:is>
      </x:c>
      <x:c r="B23" s="209" t="inlineStr">
        <x:is>
          <x:t xml:space="preserve">Consumer</x:t>
        </x:is>
      </x:c>
      <x:c r="C23" s="209" t="inlineStr">
        <x:is>
          <x:t xml:space="preserve">Square</x:t>
        </x:is>
      </x:c>
      <x:c r="D23" s="210" t="inlineStr">
        <x:is>
          <x:t xml:space="preserve">A packed consumer directly imports Square for a realistic 32-pixel painted icon well.</x:t>
        </x:is>
      </x:c>
      <x:c r="E23" s="209" t="inlineStr">
        <x:is>
          <x:t xml:space="preserve">consumer</x:t>
        </x:is>
      </x:c>
      <x:c r="F23" s="209" t="inlineStr">
        <x:is>
          <x:t xml:space="preserve">consumer</x:t>
        </x:is>
      </x:c>
      <x:c r="G23" s="210" t="inlineStr">
        <x:is>
          <x:t xml:space="preserve">../apps/consumer/src/App.tsx; ../apps/consumer/tests/consumer.spec.ts</x:t>
        </x:is>
      </x:c>
      <x:c r="H23" s="211" t="inlineStr">
        <x:is>
          <x:t xml:space="preserve">tested</x:t>
        </x:is>
      </x:c>
      <x:c r="I23" s="212" t="inlineStr">
        <x:is>
          <x:t xml:space="preserve">no</x:t>
        </x:is>
      </x:c>
      <x:c r="J23" s="213" t="n">
        <x:v>46268</x:v>
      </x:c>
      <x:c r="K23" s="210" t="n"/>
      <x:c r="L23" s="214" t="n">
        <x:v>1</x:v>
      </x:c>
      <x:c r="M23" s="214" t="n">
        <x:f>IF(OR(AND(I23="yes",H23="verified"),AND(I23="no",OR(H23="tested",H23="verified")),AND(H23="not applicable",K23&lt;&gt;"")),1,0)</x:f>
        <x:v>1</x:v>
      </x:c>
    </x:row>
    <x:row r="24" s="135" customFormat="1" ht="39" customHeight="1">
      <x:c r="A24" s="209" t="inlineStr">
        <x:is>
          <x:t xml:space="preserve">SQ-16</x:t>
        </x:is>
      </x:c>
      <x:c r="B24" s="209" t="inlineStr">
        <x:is>
          <x:t xml:space="preserve">Package</x:t>
        </x:is>
      </x:c>
      <x:c r="C24" s="209" t="inlineStr">
        <x:is>
          <x:t xml:space="preserve">Square</x:t>
        </x:is>
      </x:c>
      <x:c r="D24" s="210" t="inlineStr">
        <x:is>
          <x:t xml:space="preserve">Build, SSR, exports, CSS, tarball, React 18/19, documentation, browser, axe, visual, and packed Consumer gates pass.</x:t>
        </x:is>
      </x:c>
      <x:c r="E24" s="209" t="inlineStr">
        <x:is>
          <x:t xml:space="preserve">package</x:t>
        </x:is>
      </x:c>
      <x:c r="F24" s="209" t="inlineStr">
        <x:is>
          <x:t xml:space="preserve">package</x:t>
        </x:is>
      </x:c>
      <x:c r="G24" s="210" t="inlineStr">
        <x:is>
          <x:t xml:space="preserve">../test/package; ../scripts/verify-package.mjs; ../scripts/verify-app-consumer.mjs</x:t>
        </x:is>
      </x:c>
      <x:c r="H24" s="211" t="inlineStr">
        <x:is>
          <x:t xml:space="preserve">implemented</x:t>
        </x:is>
      </x:c>
      <x:c r="I24" s="212" t="inlineStr">
        <x:is>
          <x:t xml:space="preserve">yes</x:t>
        </x:is>
      </x:c>
      <x:c r="J24" s="213" t="n"/>
      <x:c r="K24" s="210" t="inlineStr">
        <x:is>
          <x:t xml:space="preserve">Automated package gates pass; complete status waits for the component-owned human manual run and a future authorized release.</x:t>
        </x:is>
      </x:c>
      <x:c r="L24" s="214" t="n">
        <x:v>1</x:v>
      </x:c>
      <x:c r="M24" s="214" t="n">
        <x:f>IF(OR(AND(I24="yes",H24="verified"),AND(I24="no",OR(H24="tested",H24="verified")),AND(H24="not applicable",K24&lt;&gt;"")),1,0)</x:f>
        <x:v>0</x:v>
      </x:c>
    </x:row>
    <x:row r="25" s="135" customFormat="1" ht="63.75" customHeight="1">
      <x:c r="A25" s="148" t="inlineStr">
        <x:is>
          <x:t xml:space="preserve">square-inventory</x:t>
        </x:is>
      </x:c>
      <x:c r="B25" s="148" t="inlineStr">
        <x:is>
          <x:t xml:space="preserve">Playground</x:t>
        </x:is>
      </x:c>
      <x:c r="C25" s="148" t="inlineStr">
        <x:is>
          <x:t xml:space="preserve">Square</x:t>
        </x:is>
      </x:c>
      <x:c r="D25" s="148" t="inlineStr">
        <x:is>
          <x:t xml:space="preserve">Every declared scenario renders in order at 390px and 1280px without page overflow or runtime exceptions.</x:t>
        </x:is>
      </x:c>
      <x:c r="E25" s="148" t="inlineStr">
        <x:is>
          <x:t xml:space="preserve">component</x:t>
        </x:is>
      </x:c>
      <x:c r="F25" s="148" t="inlineStr">
        <x:is>
          <x:t xml:space="preserve">browser</x:t>
        </x:is>
      </x:c>
      <x:c r="G25" s="148" t="inlineStr">
        <x:is>
          <x:t xml:space="preserve">playground/tests/integration/recent-component-capabilities.spec.ts</x:t>
        </x:is>
      </x:c>
      <x:c r="H25" s="148" t="inlineStr">
        <x:is>
          <x:t xml:space="preserve">tested</x:t>
        </x:is>
      </x:c>
      <x:c r="I25" s="148" t="inlineStr">
        <x:is>
          <x:t xml:space="preserve">no</x:t>
        </x:is>
      </x:c>
      <x:c r="J25" s="148" t="inlineStr">
        <x:is>
          <x:t xml:space="preserve">2026-09-05</x:t>
        </x:is>
      </x:c>
      <x:c r="K25" s="148" t="inlineStr">
        <x:is>
          <x:t xml:space="preserve">This assertion does not establish full behavioral or manual qualification.</x:t>
        </x:is>
      </x:c>
      <x:c r="L25" s="148" t="n">
        <x:v>1</x:v>
      </x:c>
      <x:c r="M25" s="148" t="n">
        <x:f>IF(OR(H25="tested",H25="verified"),1,0)</x:f>
        <x:v>1</x:v>
      </x:c>
    </x:row>
  </x:sheetData>
  <x:conditionalFormatting sqref="H9:H24">
    <x:cfRule type="containsText" dxfId="16" priority="2" aboveAverage="0" percent="0" bottom="0" operator="containsText" text="implemented" rank="0" equalAverage="0">
      <x:formula>NOT(ISERROR(SEARCH("implemented",H9)))</x:formula>
    </x:cfRule>
    <x:cfRule type="containsText" dxfId="17" priority="3" aboveAverage="0" percent="0" bottom="0" operator="containsText" text="tested" rank="0" equalAverage="0">
      <x:formula>NOT(ISERROR(SEARCH("tested",H9)))</x:formula>
    </x:cfRule>
  </x:conditionalFormatting>
  <x:dataValidations count="3">
    <x:dataValidation type="list" errorStyle="stop" operator="between" allowBlank="0" showDropDown="0" showInputMessage="0" showErrorMessage="0" sqref="H9:H24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24">
      <x:formula1>"yes,no"</x:formula1>
      <x:formula2>0</x:formula2>
    </x:dataValidation>
    <x:dataValidation type="list" errorStyle="stop" operator="between" allowBlank="0" showDropDown="0" showInputMessage="0" showErrorMessage="0" sqref="H25">
      <x:formula1>_Lists!$A$1:$A$7</x:formula1>
      <x:formula2>0</x:formula2>
    </x:dataValidation>
  </x:dataValidations>
  <x:pageMargins left="0.7" right="0.7" top="0.75" bottom="0.75" header="0.3" footer="0.3"/>
</x:worksheet>
</file>

<file path=xl/worksheets/sheet102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1.5" style="138" customWidth="1"/>
    <x:col min="2" max="2" width="14.510000228881836" style="138" customWidth="1"/>
    <x:col min="3" max="3" width="14" style="138" customWidth="1"/>
    <x:col min="4" max="4" width="49.5099983215332" style="138" customWidth="1"/>
    <x:col min="5" max="5" width="12" style="138" customWidth="1"/>
    <x:col min="6" max="6" width="13" style="138" customWidth="1"/>
    <x:col min="7" max="7" width="43.75" style="138" customWidth="1"/>
    <x:col min="8" max="8" width="15.75" style="138" customWidth="1"/>
    <x:col min="9" max="9" width="14.75" style="138" customWidth="1"/>
    <x:col min="10" max="10" width="13.5" style="138" customWidth="1"/>
    <x:col min="11" max="11" width="45" style="138" customWidth="1"/>
    <x:col min="12" max="12" width="9.510000228881836" style="138" customWidth="1"/>
    <x:col min="13" max="13" width="10.25" style="138" customWidth="1"/>
  </x:cols>
  <x:sheetData>
    <x:row r="1" s="135" customFormat="1" ht="33" customHeight="1">
      <x:c r="A1" s="202" t="inlineStr">
        <x:is>
          <x:t xml:space="preserve">Circle Evidence</x:t>
        </x:is>
      </x:c>
      <x:c r="B1" s="202" t="n"/>
      <x:c r="C1" s="202" t="n"/>
      <x:c r="D1" s="202" t="n"/>
      <x:c r="E1" s="202" t="n"/>
      <x:c r="F1" s="202" t="n"/>
      <x:c r="G1" s="202" t="n"/>
      <x:c r="H1" s="202" t="n"/>
      <x:c r="I1" s="202" t="n"/>
      <x:c r="J1" s="202" t="n"/>
      <x:c r="K1" s="202" t="n"/>
      <x:c r="L1" s="202" t="n"/>
      <x:c r="M1" s="202" t="n"/>
    </x:row>
    <x:row r="2" s="135" customFormat="1" ht="24" customHeight="1">
      <x:c r="A2" s="203" t="inlineStr">
        <x:is>
          <x:t xml:space="preserve">Assertion-level equal-size, full-radius, responsive, composition, browser, documentation, and package evidence.</x:t>
        </x:is>
      </x:c>
      <x:c r="B2" s="203" t="n"/>
      <x:c r="C2" s="203" t="n"/>
      <x:c r="D2" s="203" t="n"/>
      <x:c r="E2" s="203" t="n"/>
      <x:c r="F2" s="203" t="n"/>
      <x:c r="G2" s="203" t="n"/>
      <x:c r="H2" s="203" t="n"/>
      <x:c r="I2" s="203" t="n"/>
      <x:c r="J2" s="203" t="n"/>
      <x:c r="K2" s="203" t="n"/>
      <x:c r="L2" s="203" t="n"/>
      <x:c r="M2" s="203" t="n"/>
    </x:row>
    <x:row r="3" s="135" customFormat="1" ht="15" customHeight="1">
      <x:c r="A3" s="138" t="n"/>
      <x:c r="B3" s="138" t="n"/>
      <x:c r="C3" s="138" t="n"/>
      <x:c r="D3" s="138" t="n"/>
      <x:c r="E3" s="138" t="n"/>
      <x:c r="F3" s="138" t="n"/>
      <x:c r="G3" s="138" t="n"/>
      <x:c r="H3" s="138" t="n"/>
      <x:c r="I3" s="138" t="n"/>
      <x:c r="J3" s="138" t="n"/>
      <x:c r="K3" s="138" t="n"/>
      <x:c r="L3" s="138" t="n"/>
      <x:c r="M3" s="138" t="n"/>
    </x:row>
    <x:row r="4" s="135" customFormat="1" ht="21" customHeight="1">
      <x:c r="A4" s="204" t="inlineStr">
        <x:is>
          <x:t xml:space="preserve">Requirements</x:t>
        </x:is>
      </x:c>
      <x:c r="B4" s="205" t="n">
        <x:f>COUNTA(A9:A25)</x:f>
        <x:v>17</x:v>
      </x:c>
      <x:c r="C4" s="206" t="n"/>
      <x:c r="D4" s="204" t="inlineStr">
        <x:is>
          <x:t xml:space="preserve">Resolved</x:t>
        </x:is>
      </x:c>
      <x:c r="E4" s="205" t="n">
        <x:f>SUM(M9:M25)</x:f>
        <x:v>13</x:v>
      </x:c>
      <x:c r="F4" s="206" t="n"/>
      <x:c r="G4" s="204" t="inlineStr">
        <x:is>
          <x:t xml:space="preserve">Completion</x:t>
        </x:is>
      </x:c>
      <x:c r="H4" s="207" t="n">
        <x:f>IF(B4=0,0,E4/B4)</x:f>
        <x:v>0.7647058823529411</x:v>
      </x:c>
      <x:c r="I4" s="206" t="n"/>
      <x:c r="J4" s="204" t="inlineStr">
        <x:is>
          <x:t xml:space="preserve">Package gate</x:t>
        </x:is>
      </x:c>
      <x:c r="K4" s="205" t="str">
        <x:f>IF(COUNTIFS(E9:E24,"package",M9:M24,0)&gt;0,"open","complete")</x:f>
        <x:v>open</x:v>
      </x:c>
      <x:c r="L4" s="206" t="n"/>
      <x:c r="M4" s="206" t="n"/>
    </x:row>
    <x:row r="5" s="135" customFormat="1" ht="21" customHeight="1">
      <x:c r="A5" s="204" t="inlineStr">
        <x:is>
          <x:t xml:space="preserve">Manual review</x:t>
        </x:is>
      </x:c>
      <x:c r="B5" s="205" t="str">
        <x:f>IF(COUNTIFS(I9:I24,"yes",M9:M24,0)&gt;0,"open","complete")</x:f>
        <x:v>open</x:v>
      </x:c>
      <x:c r="C5" s="206" t="n"/>
      <x:c r="D5" s="204" t="inlineStr">
        <x:is>
          <x:t xml:space="preserve">Consumer gate</x:t>
        </x:is>
      </x:c>
      <x:c r="E5" s="205" t="str">
        <x:f>IF(COUNTIFS(E9:E24,"consumer",M9:M24,0)&gt;0,"open","complete")</x:f>
        <x:v>complete</x:v>
      </x:c>
      <x:c r="F5" s="206" t="n"/>
      <x:c r="G5" s="204" t="n"/>
      <x:c r="H5" s="205" t="n"/>
      <x:c r="I5" s="206" t="n"/>
      <x:c r="J5" s="204" t="n"/>
      <x:c r="K5" s="205" t="n"/>
      <x:c r="L5" s="206" t="n"/>
      <x:c r="M5" s="206" t="n"/>
    </x:row>
    <x:row r="6" s="135" customFormat="1" ht="15" customHeight="1">
      <x:c r="A6" s="138" t="n"/>
      <x:c r="B6" s="138" t="n"/>
      <x:c r="C6" s="138" t="n"/>
      <x:c r="D6" s="138" t="n"/>
      <x:c r="E6" s="138" t="n"/>
      <x:c r="F6" s="138" t="n"/>
      <x:c r="G6" s="138" t="n"/>
      <x:c r="H6" s="138" t="n"/>
      <x:c r="I6" s="138" t="n"/>
      <x:c r="J6" s="138" t="n"/>
      <x:c r="K6" s="138" t="n"/>
      <x:c r="L6" s="138" t="n"/>
      <x:c r="M6" s="138" t="n"/>
    </x:row>
    <x:row r="7" s="135" customFormat="1" ht="15" customHeight="1">
      <x:c r="A7" s="138" t="n"/>
      <x:c r="B7" s="138" t="n"/>
      <x:c r="C7" s="138" t="n"/>
      <x:c r="D7" s="138" t="n"/>
      <x:c r="E7" s="138" t="n"/>
      <x:c r="F7" s="138" t="n"/>
      <x:c r="G7" s="138" t="n"/>
      <x:c r="H7" s="138" t="n"/>
      <x:c r="I7" s="138" t="n"/>
      <x:c r="J7" s="138" t="n"/>
      <x:c r="K7" s="138" t="n"/>
      <x:c r="L7" s="138" t="n"/>
      <x:c r="M7" s="138" t="n"/>
    </x:row>
    <x:row r="8" s="135" customFormat="1" ht="21" customHeight="1">
      <x:c r="A8" s="208" t="inlineStr">
        <x:is>
          <x:t xml:space="preserve">ID</x:t>
        </x:is>
      </x:c>
      <x:c r="B8" s="208" t="inlineStr">
        <x:is>
          <x:t xml:space="preserve">Area</x:t>
        </x:is>
      </x:c>
      <x:c r="C8" s="208" t="inlineStr">
        <x:is>
          <x:t xml:space="preserve">Part</x:t>
        </x:is>
      </x:c>
      <x:c r="D8" s="208" t="inlineStr">
        <x:is>
          <x:t xml:space="preserve">Requirement</x:t>
        </x:is>
      </x:c>
      <x:c r="E8" s="208" t="inlineStr">
        <x:is>
          <x:t xml:space="preserve">Gate</x:t>
        </x:is>
      </x:c>
      <x:c r="F8" s="208" t="inlineStr">
        <x:is>
          <x:t xml:space="preserve">Evidence type</x:t>
        </x:is>
      </x:c>
      <x:c r="G8" s="208" t="inlineStr">
        <x:is>
          <x:t xml:space="preserve">Evidence / link</x:t>
        </x:is>
      </x:c>
      <x:c r="H8" s="208" t="inlineStr">
        <x:is>
          <x:t xml:space="preserve">Status</x:t>
        </x:is>
      </x:c>
      <x:c r="I8" s="208" t="inlineStr">
        <x:is>
          <x:t xml:space="preserve">Human review?</x:t>
        </x:is>
      </x:c>
      <x:c r="J8" s="208" t="inlineStr">
        <x:is>
          <x:t xml:space="preserve">Last verified</x:t>
        </x:is>
      </x:c>
      <x:c r="K8" s="208" t="inlineStr">
        <x:is>
          <x:t xml:space="preserve">Blocker / N/A reason</x:t>
        </x:is>
      </x:c>
      <x:c r="L8" s="208" t="inlineStr">
        <x:is>
          <x:t xml:space="preserve">Weight</x:t>
        </x:is>
      </x:c>
      <x:c r="M8" s="208" t="inlineStr">
        <x:is>
          <x:t xml:space="preserve">Resolved</x:t>
        </x:is>
      </x:c>
    </x:row>
    <x:row r="9" s="135" customFormat="1" ht="39" customHeight="1">
      <x:c r="A9" s="209" t="inlineStr">
        <x:is>
          <x:t xml:space="preserve">CI-01</x:t>
        </x:is>
      </x:c>
      <x:c r="B9" s="209" t="inlineStr">
        <x:is>
          <x:t xml:space="preserve">Implementation</x:t>
        </x:is>
      </x:c>
      <x:c r="C9" s="209" t="inlineStr">
        <x:is>
          <x:t xml:space="preserve">Circle</x:t>
        </x:is>
      </x:c>
      <x:c r="D9" s="210" t="inlineStr">
        <x:is>
          <x:t xml:space="preserve">Circle renders one approved semantic host with required equal logical dimensions, full radius, and centered content.</x:t>
        </x:is>
      </x:c>
      <x:c r="E9" s="209" t="inlineStr">
        <x:is>
          <x:t xml:space="preserve">package</x:t>
        </x:is>
      </x:c>
      <x:c r="F9" s="209" t="inlineStr">
        <x:is>
          <x:t xml:space="preserve">source</x:t>
        </x:is>
      </x:c>
      <x:c r="G9" s="210" t="inlineStr">
        <x:is>
          <x:t xml:space="preserve">../src/components/center</x:t>
        </x:is>
      </x:c>
      <x:c r="H9" s="211" t="inlineStr">
        <x:is>
          <x:t xml:space="preserve">tested</x:t>
        </x:is>
      </x:c>
      <x:c r="I9" s="212" t="inlineStr">
        <x:is>
          <x:t xml:space="preserve">no</x:t>
        </x:is>
      </x:c>
      <x:c r="J9" s="213" t="n">
        <x:v>46268</x:v>
      </x:c>
      <x:c r="K9" s="210" t="n"/>
      <x:c r="L9" s="214" t="n">
        <x:v>1</x:v>
      </x:c>
      <x:c r="M9" s="214" t="n">
        <x:f>IF(OR(AND(I9="yes",H9="verified"),AND(I9="no",OR(H9="tested",H9="verified")),AND(H9="not applicable",K9&lt;&gt;"")),1,0)</x:f>
        <x:v>1</x:v>
      </x:c>
    </x:row>
    <x:row r="10" s="135" customFormat="1" ht="39" customHeight="1">
      <x:c r="A10" s="209" t="inlineStr">
        <x:is>
          <x:t xml:space="preserve">CI-02</x:t>
        </x:is>
      </x:c>
      <x:c r="B10" s="209" t="inlineStr">
        <x:is>
          <x:t xml:space="preserve">Exports</x:t>
        </x:is>
      </x:c>
      <x:c r="C10" s="209" t="inlineStr">
        <x:is>
          <x:t xml:space="preserve">Circle</x:t>
        </x:is>
      </x:c>
      <x:c r="D10" s="210" t="inlineStr">
        <x:is>
          <x:t xml:space="preserve">Root and center subpath exports expose Circle and every public Circle type with identical runtime identity.</x:t>
        </x:is>
      </x:c>
      <x:c r="E10" s="209" t="inlineStr">
        <x:is>
          <x:t xml:space="preserve">package</x:t>
        </x:is>
      </x:c>
      <x:c r="F10" s="209" t="inlineStr">
        <x:is>
          <x:t xml:space="preserve">package</x:t>
        </x:is>
      </x:c>
      <x:c r="G10" s="210" t="inlineStr">
        <x:is>
          <x:t xml:space="preserve">../test/package/package.test.mjs; ../test/package/ssr.test.mjs</x:t>
        </x:is>
      </x:c>
      <x:c r="H10" s="211" t="inlineStr">
        <x:is>
          <x:t xml:space="preserve">tested</x:t>
        </x:is>
      </x:c>
      <x:c r="I10" s="212" t="inlineStr">
        <x:is>
          <x:t xml:space="preserve">no</x:t>
        </x:is>
      </x:c>
      <x:c r="J10" s="213" t="n">
        <x:v>46268</x:v>
      </x:c>
      <x:c r="K10" s="210" t="n"/>
      <x:c r="L10" s="214" t="n">
        <x:v>1</x:v>
      </x:c>
      <x:c r="M10" s="214" t="n">
        <x:f>IF(OR(AND(I10="yes",H10="verified"),AND(I10="no",OR(H10="tested",H10="verified")),AND(H10="not applicable",K10&lt;&gt;"")),1,0)</x:f>
        <x:v>1</x:v>
      </x:c>
    </x:row>
    <x:row r="11" s="135" customFormat="1" ht="39" customHeight="1">
      <x:c r="A11" s="209" t="inlineStr">
        <x:is>
          <x:t xml:space="preserve">CI-03</x:t>
        </x:is>
      </x:c>
      <x:c r="B11" s="209" t="inlineStr">
        <x:is>
          <x:t xml:space="preserve">Types</x:t>
        </x:is>
      </x:c>
      <x:c r="C11" s="209" t="inlineStr">
        <x:is>
          <x:t xml:space="preserve">Public surface</x:t>
        </x:is>
      </x:c>
      <x:c r="D11" s="210" t="inlineStr">
        <x:is>
          <x:t xml:space="preserve">Required scalar or responsive size, closed hosts, asChild, native props, event handlers, styles, and refs type-check.</x:t>
        </x:is>
      </x:c>
      <x:c r="E11" s="209" t="inlineStr">
        <x:is>
          <x:t xml:space="preserve">package</x:t>
        </x:is>
      </x:c>
      <x:c r="F11" s="209" t="inlineStr">
        <x:is>
          <x:t xml:space="preserve">types</x:t>
        </x:is>
      </x:c>
      <x:c r="G11" s="210" t="inlineStr">
        <x:is>
          <x:t xml:space="preserve">../test/types/components/center.test.ts</x:t>
        </x:is>
      </x:c>
      <x:c r="H11" s="211" t="inlineStr">
        <x:is>
          <x:t xml:space="preserve">tested</x:t>
        </x:is>
      </x:c>
      <x:c r="I11" s="212" t="inlineStr">
        <x:is>
          <x:t xml:space="preserve">no</x:t>
        </x:is>
      </x:c>
      <x:c r="J11" s="213" t="n">
        <x:v>46268</x:v>
      </x:c>
      <x:c r="K11" s="210" t="n"/>
      <x:c r="L11" s="214" t="n">
        <x:v>1</x:v>
      </x:c>
      <x:c r="M11" s="214" t="n">
        <x:f>IF(OR(AND(I11="yes",H11="verified"),AND(I11="no",OR(H11="tested",H11="verified")),AND(H11="not applicable",K11&lt;&gt;"")),1,0)</x:f>
        <x:v>1</x:v>
      </x:c>
    </x:row>
    <x:row r="12" s="135" customFormat="1" ht="39" customHeight="1">
      <x:c r="A12" s="209" t="inlineStr">
        <x:is>
          <x:t xml:space="preserve">CI-04</x:t>
        </x:is>
      </x:c>
      <x:c r="B12" s="209" t="inlineStr">
        <x:is>
          <x:t xml:space="preserve">CSS</x:t>
        </x:is>
      </x:c>
      <x:c r="C12" s="209" t="inlineStr">
        <x:is>
          <x:t xml:space="preserve">Circle</x:t>
        </x:is>
      </x:c>
      <x:c r="D12" s="210" t="inlineStr">
        <x:is>
          <x:t xml:space="preserve">Static CSS maps required size variables to equal logical dimensions, fixed flex participation, and a full radius.</x:t>
        </x:is>
      </x:c>
      <x:c r="E12" s="209" t="inlineStr">
        <x:is>
          <x:t xml:space="preserve">package</x:t>
        </x:is>
      </x:c>
      <x:c r="F12" s="209" t="inlineStr">
        <x:is>
          <x:t xml:space="preserve">css</x:t>
        </x:is>
      </x:c>
      <x:c r="G12" s="210" t="inlineStr">
        <x:is>
          <x:t xml:space="preserve">../src/components/center/center.css</x:t>
        </x:is>
      </x:c>
      <x:c r="H12" s="211" t="inlineStr">
        <x:is>
          <x:t xml:space="preserve">tested</x:t>
        </x:is>
      </x:c>
      <x:c r="I12" s="212" t="inlineStr">
        <x:is>
          <x:t xml:space="preserve">no</x:t>
        </x:is>
      </x:c>
      <x:c r="J12" s="213" t="n">
        <x:v>46268</x:v>
      </x:c>
      <x:c r="K12" s="210" t="n"/>
      <x:c r="L12" s="214" t="n">
        <x:v>1</x:v>
      </x:c>
      <x:c r="M12" s="214" t="n">
        <x:f>IF(OR(AND(I12="yes",H12="verified"),AND(I12="no",OR(H12="tested",H12="verified")),AND(H12="not applicable",K12&lt;&gt;"")),1,0)</x:f>
        <x:v>1</x:v>
      </x:c>
    </x:row>
    <x:row r="13" s="135" customFormat="1" ht="39" customHeight="1">
      <x:c r="A13" s="209" t="inlineStr">
        <x:is>
          <x:t xml:space="preserve">CI-05</x:t>
        </x:is>
      </x:c>
      <x:c r="B13" s="209" t="inlineStr">
        <x:is>
          <x:t xml:space="preserve">Unit</x:t>
        </x:is>
      </x:c>
      <x:c r="C13" s="209" t="inlineStr">
        <x:is>
          <x:t xml:space="preserve">Circle</x:t>
        </x:is>
      </x:c>
      <x:c r="D13" s="210" t="inlineStr">
        <x:is>
          <x:t xml:space="preserve">Required size, full-radius hook, responsive serialization, semantic-host, asChild, native-prop, slot, and ref behavior pass.</x:t>
        </x:is>
      </x:c>
      <x:c r="E13" s="209" t="inlineStr">
        <x:is>
          <x:t xml:space="preserve">package</x:t>
        </x:is>
      </x:c>
      <x:c r="F13" s="209" t="inlineStr">
        <x:is>
          <x:t xml:space="preserve">component</x:t>
        </x:is>
      </x:c>
      <x:c r="G13" s="210" t="inlineStr">
        <x:is>
          <x:t xml:space="preserve">../test/components/center/center.test.tsx</x:t>
        </x:is>
      </x:c>
      <x:c r="H13" s="211" t="inlineStr">
        <x:is>
          <x:t xml:space="preserve">tested</x:t>
        </x:is>
      </x:c>
      <x:c r="I13" s="212" t="inlineStr">
        <x:is>
          <x:t xml:space="preserve">no</x:t>
        </x:is>
      </x:c>
      <x:c r="J13" s="213" t="n">
        <x:v>46268</x:v>
      </x:c>
      <x:c r="K13" s="210" t="n"/>
      <x:c r="L13" s="214" t="n">
        <x:v>1</x:v>
      </x:c>
      <x:c r="M13" s="214" t="n">
        <x:f>IF(OR(AND(I13="yes",H13="verified"),AND(I13="no",OR(H13="tested",H13="verified")),AND(H13="not applicable",K13&lt;&gt;"")),1,0)</x:f>
        <x:v>1</x:v>
      </x:c>
    </x:row>
    <x:row r="14" s="135" customFormat="1" ht="39" customHeight="1">
      <x:c r="A14" s="209" t="inlineStr">
        <x:is>
          <x:t xml:space="preserve">CI-06</x:t>
        </x:is>
      </x:c>
      <x:c r="B14" s="209" t="inlineStr">
        <x:is>
          <x:t xml:space="preserve">Browser</x:t>
        </x:is>
      </x:c>
      <x:c r="C14" s="209" t="inlineStr">
        <x:is>
          <x:t xml:space="preserve">Circle</x:t>
        </x:is>
      </x:c>
      <x:c r="D14" s="210" t="inlineStr">
        <x:is>
          <x:t xml:space="preserve">Equal dimensions, full radius, responsive carry-forward, painted asChild composition, and flex pressure resolve correctly.</x:t>
        </x:is>
      </x:c>
      <x:c r="E14" s="209" t="inlineStr">
        <x:is>
          <x:t xml:space="preserve">package</x:t>
        </x:is>
      </x:c>
      <x:c r="F14" s="209" t="inlineStr">
        <x:is>
          <x:t xml:space="preserve">browser</x:t>
        </x:is>
      </x:c>
      <x:c r="G14" s="210" t="inlineStr">
        <x:is>
          <x:t xml:space="preserve">tests/components/center/behavior.spec.ts</x:t>
        </x:is>
      </x:c>
      <x:c r="H14" s="211" t="inlineStr">
        <x:is>
          <x:t xml:space="preserve">tested</x:t>
        </x:is>
      </x:c>
      <x:c r="I14" s="212" t="inlineStr">
        <x:is>
          <x:t xml:space="preserve">no</x:t>
        </x:is>
      </x:c>
      <x:c r="J14" s="213" t="n">
        <x:v>46268</x:v>
      </x:c>
      <x:c r="K14" s="210" t="n"/>
      <x:c r="L14" s="214" t="n">
        <x:v>1</x:v>
      </x:c>
      <x:c r="M14" s="214" t="n">
        <x:f>IF(OR(AND(I14="yes",H14="verified"),AND(I14="no",OR(H14="tested",H14="verified")),AND(H14="not applicable",K14&lt;&gt;"")),1,0)</x:f>
        <x:v>1</x:v>
      </x:c>
    </x:row>
    <x:row r="15" s="135" customFormat="1" ht="39" customHeight="1">
      <x:c r="A15" s="209" t="inlineStr">
        <x:is>
          <x:t xml:space="preserve">CI-07</x:t>
        </x:is>
      </x:c>
      <x:c r="B15" s="209" t="inlineStr">
        <x:is>
          <x:t xml:space="preserve">Composition</x:t>
        </x:is>
      </x:c>
      <x:c r="C15" s="209" t="inlineStr">
        <x:is>
          <x:t xml:space="preserve">asChild</x:t>
        </x:is>
      </x:c>
      <x:c r="D15" s="210" t="inlineStr">
        <x:is>
          <x:t xml:space="preserve">Circle enhances one semantic or painted child while preserving one host, child props, merged handlers, styles, slot, and ref.</x:t>
        </x:is>
      </x:c>
      <x:c r="E15" s="209" t="inlineStr">
        <x:is>
          <x:t xml:space="preserve">package</x:t>
        </x:is>
      </x:c>
      <x:c r="F15" s="209" t="inlineStr">
        <x:is>
          <x:t xml:space="preserve">browser</x:t>
        </x:is>
      </x:c>
      <x:c r="G15" s="210" t="inlineStr">
        <x:is>
          <x:t xml:space="preserve">tests/components/center/behavior.spec.ts</x:t>
        </x:is>
      </x:c>
      <x:c r="H15" s="211" t="inlineStr">
        <x:is>
          <x:t xml:space="preserve">tested</x:t>
        </x:is>
      </x:c>
      <x:c r="I15" s="212" t="inlineStr">
        <x:is>
          <x:t xml:space="preserve">no</x:t>
        </x:is>
      </x:c>
      <x:c r="J15" s="213" t="n">
        <x:v>46268</x:v>
      </x:c>
      <x:c r="K15" s="210" t="n"/>
      <x:c r="L15" s="214" t="n">
        <x:v>1</x:v>
      </x:c>
      <x:c r="M15" s="214" t="n">
        <x:f>IF(OR(AND(I15="yes",H15="verified"),AND(I15="no",OR(H15="tested",H15="verified")),AND(H15="not applicable",K15&lt;&gt;"")),1,0)</x:f>
        <x:v>1</x:v>
      </x:c>
    </x:row>
    <x:row r="16" s="135" customFormat="1" ht="39" customHeight="1">
      <x:c r="A16" s="209" t="inlineStr">
        <x:is>
          <x:t xml:space="preserve">CI-08</x:t>
        </x:is>
      </x:c>
      <x:c r="B16" s="209" t="inlineStr">
        <x:is>
          <x:t xml:space="preserve">Geometry</x:t>
        </x:is>
      </x:c>
      <x:c r="C16" s="209" t="inlineStr">
        <x:is>
          <x:t xml:space="preserve">Circle</x:t>
        </x:is>
      </x:c>
      <x:c r="D16" s="210" t="inlineStr">
        <x:is>
          <x:t xml:space="preserve">Circle remains round, equal-sized, centered, and non-shrinking in constrained flex compositions.</x:t>
        </x:is>
      </x:c>
      <x:c r="E16" s="209" t="inlineStr">
        <x:is>
          <x:t xml:space="preserve">package</x:t>
        </x:is>
      </x:c>
      <x:c r="F16" s="209" t="inlineStr">
        <x:is>
          <x:t xml:space="preserve">browser</x:t>
        </x:is>
      </x:c>
      <x:c r="G16" s="210" t="inlineStr">
        <x:is>
          <x:t xml:space="preserve">tests/components/center/behavior.spec.ts</x:t>
        </x:is>
      </x:c>
      <x:c r="H16" s="211" t="inlineStr">
        <x:is>
          <x:t xml:space="preserve">tested</x:t>
        </x:is>
      </x:c>
      <x:c r="I16" s="212" t="inlineStr">
        <x:is>
          <x:t xml:space="preserve">no</x:t>
        </x:is>
      </x:c>
      <x:c r="J16" s="213" t="n">
        <x:v>46268</x:v>
      </x:c>
      <x:c r="K16" s="210" t="n"/>
      <x:c r="L16" s="214" t="n">
        <x:v>1</x:v>
      </x:c>
      <x:c r="M16" s="214" t="n">
        <x:f>IF(OR(AND(I16="yes",H16="verified"),AND(I16="no",OR(H16="tested",H16="verified")),AND(H16="not applicable",K16&lt;&gt;"")),1,0)</x:f>
        <x:v>1</x:v>
      </x:c>
    </x:row>
    <x:row r="17" s="135" customFormat="1" ht="39" customHeight="1">
      <x:c r="A17" s="209" t="inlineStr">
        <x:is>
          <x:t xml:space="preserve">CI-09</x:t>
        </x:is>
      </x:c>
      <x:c r="B17" s="209" t="inlineStr">
        <x:is>
          <x:t xml:space="preserve">Accessibility</x:t>
        </x:is>
      </x:c>
      <x:c r="C17" s="209" t="inlineStr">
        <x:is>
          <x:t xml:space="preserve">Circle</x:t>
        </x:is>
      </x:c>
      <x:c r="D17" s="210" t="inlineStr">
        <x:is>
          <x:t xml:space="preserve">Circle adds no landmark or behavior and preserves source order, focus visibility, axe, RTL, and writing modes.</x:t>
        </x:is>
      </x:c>
      <x:c r="E17" s="209" t="inlineStr">
        <x:is>
          <x:t xml:space="preserve">package</x:t>
        </x:is>
      </x:c>
      <x:c r="F17" s="209" t="inlineStr">
        <x:is>
          <x:t xml:space="preserve">axe</x:t>
        </x:is>
      </x:c>
      <x:c r="G17" s="210" t="inlineStr">
        <x:is>
          <x:t xml:space="preserve">tests/components/center/behavior.spec.ts</x:t>
        </x:is>
      </x:c>
      <x:c r="H17" s="211" t="inlineStr">
        <x:is>
          <x:t xml:space="preserve">tested</x:t>
        </x:is>
      </x:c>
      <x:c r="I17" s="212" t="inlineStr">
        <x:is>
          <x:t xml:space="preserve">no</x:t>
        </x:is>
      </x:c>
      <x:c r="J17" s="213" t="n">
        <x:v>46268</x:v>
      </x:c>
      <x:c r="K17" s="210" t="n"/>
      <x:c r="L17" s="214" t="n">
        <x:v>1</x:v>
      </x:c>
      <x:c r="M17" s="214" t="n">
        <x:f>IF(OR(AND(I17="yes",H17="verified"),AND(I17="no",OR(H17="tested",H17="verified")),AND(H17="not applicable",K17&lt;&gt;"")),1,0)</x:f>
        <x:v>1</x:v>
      </x:c>
    </x:row>
    <x:row r="18" s="135" customFormat="1" ht="39" customHeight="1">
      <x:c r="A18" s="209" t="inlineStr">
        <x:is>
          <x:t xml:space="preserve">CI-10</x:t>
        </x:is>
      </x:c>
      <x:c r="B18" s="209" t="inlineStr">
        <x:is>
          <x:t xml:space="preserve">Visual</x:t>
        </x:is>
      </x:c>
      <x:c r="C18" s="209" t="inlineStr">
        <x:is>
          <x:t xml:space="preserve">Circle</x:t>
        </x:is>
      </x:c>
      <x:c r="D18" s="210" t="inlineStr">
        <x:is>
          <x:t xml:space="preserve">Baselines cover exact circular geometry, centered icons, responsive sizes, painted composition, and flex pressure.</x:t>
        </x:is>
      </x:c>
      <x:c r="E18" s="209" t="inlineStr">
        <x:is>
          <x:t xml:space="preserve">package</x:t>
        </x:is>
      </x:c>
      <x:c r="F18" s="209" t="inlineStr">
        <x:is>
          <x:t xml:space="preserve">visual</x:t>
        </x:is>
      </x:c>
      <x:c r="G18" s="210" t="inlineStr">
        <x:is>
          <x:t xml:space="preserve">tests/components/center/visual.spec.ts</x:t>
        </x:is>
      </x:c>
      <x:c r="H18" s="211" t="inlineStr">
        <x:is>
          <x:t xml:space="preserve">implemented</x:t>
        </x:is>
      </x:c>
      <x:c r="I18" s="212" t="inlineStr">
        <x:is>
          <x:t xml:space="preserve">yes</x:t>
        </x:is>
      </x:c>
      <x:c r="J18" s="213" t="n"/>
      <x:c r="K18" s="210" t="inlineStr">
        <x:is>
          <x:t xml:space="preserve">Automated baselines exist; complete owner visual review is intentionally unclaimed.</x:t>
        </x:is>
      </x:c>
      <x:c r="L18" s="214" t="n">
        <x:v>1</x:v>
      </x:c>
      <x:c r="M18" s="214" t="n">
        <x:f>IF(OR(AND(I18="yes",H18="verified"),AND(I18="no",OR(H18="tested",H18="verified")),AND(H18="not applicable",K18&lt;&gt;"")),1,0)</x:f>
        <x:v>0</x:v>
      </x:c>
    </x:row>
    <x:row r="19" s="135" customFormat="1" ht="39" customHeight="1">
      <x:c r="A19" s="209" t="inlineStr">
        <x:is>
          <x:t xml:space="preserve">CI-11</x:t>
        </x:is>
      </x:c>
      <x:c r="B19" s="209" t="inlineStr">
        <x:is>
          <x:t xml:space="preserve">Responsive</x:t>
        </x:is>
      </x:c>
      <x:c r="C19" s="209" t="inlineStr">
        <x:is>
          <x:t xml:space="preserve">Circle</x:t>
        </x:is>
      </x:c>
      <x:c r="D19" s="210" t="inlineStr">
        <x:is>
          <x:t xml:space="preserve">Mobile, zoom, long adjacent content, RTL, and writing-mode scenarios preserve equal logical dimensions and full radius.</x:t>
        </x:is>
      </x:c>
      <x:c r="E19" s="209" t="inlineStr">
        <x:is>
          <x:t xml:space="preserve">package</x:t>
        </x:is>
      </x:c>
      <x:c r="F19" s="209" t="inlineStr">
        <x:is>
          <x:t xml:space="preserve">manual</x:t>
        </x:is>
      </x:c>
      <x:c r="G19" s="210" t="inlineStr">
        <x:is>
          <x:t xml:space="preserve">manual-tests/center.md</x:t>
        </x:is>
      </x:c>
      <x:c r="H19" s="211" t="inlineStr">
        <x:is>
          <x:t xml:space="preserve">implemented</x:t>
        </x:is>
      </x:c>
      <x:c r="I19" s="212" t="inlineStr">
        <x:is>
          <x:t xml:space="preserve">yes</x:t>
        </x:is>
      </x:c>
      <x:c r="J19" s="213" t="n"/>
      <x:c r="K19" s="210" t="inlineStr">
        <x:is>
          <x:t xml:space="preserve">Automated responsive evidence passes; the complete human run remains pending.</x:t>
        </x:is>
      </x:c>
      <x:c r="L19" s="214" t="n">
        <x:v>1</x:v>
      </x:c>
      <x:c r="M19" s="214" t="n">
        <x:f>IF(OR(AND(I19="yes",H19="verified"),AND(I19="no",OR(H19="tested",H19="verified")),AND(H19="not applicable",K19&lt;&gt;"")),1,0)</x:f>
        <x:v>0</x:v>
      </x:c>
    </x:row>
    <x:row r="20" s="135" customFormat="1" ht="39" customHeight="1">
      <x:c r="A20" s="209" t="inlineStr">
        <x:is>
          <x:t xml:space="preserve">CI-12</x:t>
        </x:is>
      </x:c>
      <x:c r="B20" s="209" t="inlineStr">
        <x:is>
          <x:t xml:space="preserve">Manual</x:t>
        </x:is>
      </x:c>
      <x:c r="C20" s="209" t="inlineStr">
        <x:is>
          <x:t xml:space="preserve">Circle</x:t>
        </x:is>
      </x:c>
      <x:c r="D20" s="210" t="inlineStr">
        <x:is>
          <x:t xml:space="preserve">A tester completes the circular geometry, responsive, flex-pressure, composition, focus, theme, and writing-mode protocol.</x:t>
        </x:is>
      </x:c>
      <x:c r="E20" s="209" t="inlineStr">
        <x:is>
          <x:t xml:space="preserve">package</x:t>
        </x:is>
      </x:c>
      <x:c r="F20" s="209" t="inlineStr">
        <x:is>
          <x:t xml:space="preserve">manual</x:t>
        </x:is>
      </x:c>
      <x:c r="G20" s="210" t="inlineStr">
        <x:is>
          <x:t xml:space="preserve">manual-tests/center.md</x:t>
        </x:is>
      </x:c>
      <x:c r="H20" s="211" t="inlineStr">
        <x:is>
          <x:t xml:space="preserve">implemented</x:t>
        </x:is>
      </x:c>
      <x:c r="I20" s="212" t="inlineStr">
        <x:is>
          <x:t xml:space="preserve">yes</x:t>
        </x:is>
      </x:c>
      <x:c r="J20" s="213" t="n"/>
      <x:c r="K20" s="210" t="inlineStr">
        <x:is>
          <x:t xml:space="preserve">Protocol exists; owner human review remains intentionally unclaimed.</x:t>
        </x:is>
      </x:c>
      <x:c r="L20" s="214" t="n">
        <x:v>1</x:v>
      </x:c>
      <x:c r="M20" s="214" t="n">
        <x:f>IF(OR(AND(I20="yes",H20="verified"),AND(I20="no",OR(H20="tested",H20="verified")),AND(H20="not applicable",K20&lt;&gt;"")),1,0)</x:f>
        <x:v>0</x:v>
      </x:c>
    </x:row>
    <x:row r="21" s="135" customFormat="1" ht="39" customHeight="1">
      <x:c r="A21" s="209" t="inlineStr">
        <x:is>
          <x:t xml:space="preserve">CI-13</x:t>
        </x:is>
      </x:c>
      <x:c r="B21" s="209" t="inlineStr">
        <x:is>
          <x:t xml:space="preserve">Docs</x:t>
        </x:is>
      </x:c>
      <x:c r="C21" s="209" t="inlineStr">
        <x:is>
          <x:t xml:space="preserve">Circle</x:t>
        </x:is>
      </x:c>
      <x:c r="D21" s="210" t="inlineStr">
        <x:is>
          <x:t xml:space="preserve">Public and Agent Knowledge guidance covers required size, full-radius geometry, composition, selection, and ownership boundaries.</x:t>
        </x:is>
      </x:c>
      <x:c r="E21" s="209" t="inlineStr">
        <x:is>
          <x:t xml:space="preserve">package</x:t>
        </x:is>
      </x:c>
      <x:c r="F21" s="209" t="inlineStr">
        <x:is>
          <x:t xml:space="preserve">docs</x:t>
        </x:is>
      </x:c>
      <x:c r="G21" s="210" t="inlineStr">
        <x:is>
          <x:t xml:space="preserve">../docs/components/center/README.md; ../src/components/center/agent.json; ../src/components/center/agent.md</x:t>
        </x:is>
      </x:c>
      <x:c r="H21" s="211" t="inlineStr">
        <x:is>
          <x:t xml:space="preserve">tested</x:t>
        </x:is>
      </x:c>
      <x:c r="I21" s="212" t="inlineStr">
        <x:is>
          <x:t xml:space="preserve">no</x:t>
        </x:is>
      </x:c>
      <x:c r="J21" s="213" t="n">
        <x:v>46268</x:v>
      </x:c>
      <x:c r="K21" s="210" t="n"/>
      <x:c r="L21" s="214" t="n">
        <x:v>1</x:v>
      </x:c>
      <x:c r="M21" s="214" t="n">
        <x:f>IF(OR(AND(I21="yes",H21="verified"),AND(I21="no",OR(H21="tested",H21="verified")),AND(H21="not applicable",K21&lt;&gt;"")),1,0)</x:f>
        <x:v>1</x:v>
      </x:c>
    </x:row>
    <x:row r="22" s="135" customFormat="1" ht="39" customHeight="1">
      <x:c r="A22" s="209" t="inlineStr">
        <x:is>
          <x:t xml:space="preserve">CI-14</x:t>
        </x:is>
      </x:c>
      <x:c r="B22" s="209" t="inlineStr">
        <x:is>
          <x:t xml:space="preserve">Changelog</x:t>
        </x:is>
      </x:c>
      <x:c r="C22" s="209" t="inlineStr">
        <x:is>
          <x:t xml:space="preserve">Circle</x:t>
        </x:is>
      </x:c>
      <x:c r="D22" s="210" t="inlineStr">
        <x:is>
          <x:t xml:space="preserve">Component and package history record the new public primitive and its qualified contract.</x:t>
        </x:is>
      </x:c>
      <x:c r="E22" s="209" t="inlineStr">
        <x:is>
          <x:t xml:space="preserve">package</x:t>
        </x:is>
      </x:c>
      <x:c r="F22" s="209" t="inlineStr">
        <x:is>
          <x:t xml:space="preserve">docs</x:t>
        </x:is>
      </x:c>
      <x:c r="G22" s="210" t="inlineStr">
        <x:is>
          <x:t xml:space="preserve">../docs/components/center/CHANGELOG.md; ../CHANGELOG.md</x:t>
        </x:is>
      </x:c>
      <x:c r="H22" s="211" t="inlineStr">
        <x:is>
          <x:t xml:space="preserve">tested</x:t>
        </x:is>
      </x:c>
      <x:c r="I22" s="212" t="inlineStr">
        <x:is>
          <x:t xml:space="preserve">no</x:t>
        </x:is>
      </x:c>
      <x:c r="J22" s="213" t="n">
        <x:v>46268</x:v>
      </x:c>
      <x:c r="K22" s="210" t="n"/>
      <x:c r="L22" s="214" t="n">
        <x:v>1</x:v>
      </x:c>
      <x:c r="M22" s="214" t="n">
        <x:f>IF(OR(AND(I22="yes",H22="verified"),AND(I22="no",OR(H22="tested",H22="verified")),AND(H22="not applicable",K22&lt;&gt;"")),1,0)</x:f>
        <x:v>1</x:v>
      </x:c>
    </x:row>
    <x:row r="23" s="135" customFormat="1" ht="39" customHeight="1">
      <x:c r="A23" s="209" t="inlineStr">
        <x:is>
          <x:t xml:space="preserve">CI-15</x:t>
        </x:is>
      </x:c>
      <x:c r="B23" s="209" t="inlineStr">
        <x:is>
          <x:t xml:space="preserve">Consumer</x:t>
        </x:is>
      </x:c>
      <x:c r="C23" s="209" t="inlineStr">
        <x:is>
          <x:t xml:space="preserve">Circle</x:t>
        </x:is>
      </x:c>
      <x:c r="D23" s="210" t="inlineStr">
        <x:is>
          <x:t xml:space="preserve">A packed consumer directly imports Circle for a realistic painted status marker.</x:t>
        </x:is>
      </x:c>
      <x:c r="E23" s="209" t="inlineStr">
        <x:is>
          <x:t xml:space="preserve">consumer</x:t>
        </x:is>
      </x:c>
      <x:c r="F23" s="209" t="inlineStr">
        <x:is>
          <x:t xml:space="preserve">consumer</x:t>
        </x:is>
      </x:c>
      <x:c r="G23" s="210" t="inlineStr">
        <x:is>
          <x:t xml:space="preserve">../apps/consumer/src/App.tsx; ../apps/consumer/tests/consumer.spec.ts</x:t>
        </x:is>
      </x:c>
      <x:c r="H23" s="211" t="inlineStr">
        <x:is>
          <x:t xml:space="preserve">tested</x:t>
        </x:is>
      </x:c>
      <x:c r="I23" s="212" t="inlineStr">
        <x:is>
          <x:t xml:space="preserve">no</x:t>
        </x:is>
      </x:c>
      <x:c r="J23" s="213" t="n">
        <x:v>46268</x:v>
      </x:c>
      <x:c r="K23" s="210" t="n"/>
      <x:c r="L23" s="214" t="n">
        <x:v>1</x:v>
      </x:c>
      <x:c r="M23" s="214" t="n">
        <x:f>IF(OR(AND(I23="yes",H23="verified"),AND(I23="no",OR(H23="tested",H23="verified")),AND(H23="not applicable",K23&lt;&gt;"")),1,0)</x:f>
        <x:v>1</x:v>
      </x:c>
    </x:row>
    <x:row r="24" s="135" customFormat="1" ht="39" customHeight="1">
      <x:c r="A24" s="209" t="inlineStr">
        <x:is>
          <x:t xml:space="preserve">CI-16</x:t>
        </x:is>
      </x:c>
      <x:c r="B24" s="209" t="inlineStr">
        <x:is>
          <x:t xml:space="preserve">Package</x:t>
        </x:is>
      </x:c>
      <x:c r="C24" s="209" t="inlineStr">
        <x:is>
          <x:t xml:space="preserve">Circle</x:t>
        </x:is>
      </x:c>
      <x:c r="D24" s="210" t="inlineStr">
        <x:is>
          <x:t xml:space="preserve">Build, SSR, exports, CSS, tarball, React 18/19, documentation, browser, axe, visual, and packed Consumer gates pass.</x:t>
        </x:is>
      </x:c>
      <x:c r="E24" s="209" t="inlineStr">
        <x:is>
          <x:t xml:space="preserve">package</x:t>
        </x:is>
      </x:c>
      <x:c r="F24" s="209" t="inlineStr">
        <x:is>
          <x:t xml:space="preserve">package</x:t>
        </x:is>
      </x:c>
      <x:c r="G24" s="210" t="inlineStr">
        <x:is>
          <x:t xml:space="preserve">../test/package; ../scripts/verify-package.mjs; ../scripts/verify-app-consumer.mjs</x:t>
        </x:is>
      </x:c>
      <x:c r="H24" s="211" t="inlineStr">
        <x:is>
          <x:t xml:space="preserve">implemented</x:t>
        </x:is>
      </x:c>
      <x:c r="I24" s="212" t="inlineStr">
        <x:is>
          <x:t xml:space="preserve">yes</x:t>
        </x:is>
      </x:c>
      <x:c r="J24" s="213" t="n"/>
      <x:c r="K24" s="210" t="inlineStr">
        <x:is>
          <x:t xml:space="preserve">Automated package gates pass; complete status waits for the component-owned human manual run and a future authorized release.</x:t>
        </x:is>
      </x:c>
      <x:c r="L24" s="214" t="n">
        <x:v>1</x:v>
      </x:c>
      <x:c r="M24" s="214" t="n">
        <x:f>IF(OR(AND(I24="yes",H24="verified"),AND(I24="no",OR(H24="tested",H24="verified")),AND(H24="not applicable",K24&lt;&gt;"")),1,0)</x:f>
        <x:v>0</x:v>
      </x:c>
    </x:row>
    <x:row r="25" s="135" customFormat="1" ht="63.75" customHeight="1">
      <x:c r="A25" s="148" t="inlineStr">
        <x:is>
          <x:t xml:space="preserve">circle-inventory</x:t>
        </x:is>
      </x:c>
      <x:c r="B25" s="148" t="inlineStr">
        <x:is>
          <x:t xml:space="preserve">Playground</x:t>
        </x:is>
      </x:c>
      <x:c r="C25" s="148" t="inlineStr">
        <x:is>
          <x:t xml:space="preserve">Circle</x:t>
        </x:is>
      </x:c>
      <x:c r="D25" s="148" t="inlineStr">
        <x:is>
          <x:t xml:space="preserve">Every declared scenario renders in order at 390px and 1280px without page overflow or runtime exceptions.</x:t>
        </x:is>
      </x:c>
      <x:c r="E25" s="148" t="inlineStr">
        <x:is>
          <x:t xml:space="preserve">component</x:t>
        </x:is>
      </x:c>
      <x:c r="F25" s="148" t="inlineStr">
        <x:is>
          <x:t xml:space="preserve">browser</x:t>
        </x:is>
      </x:c>
      <x:c r="G25" s="148" t="inlineStr">
        <x:is>
          <x:t xml:space="preserve">playground/tests/integration/recent-component-capabilities.spec.ts</x:t>
        </x:is>
      </x:c>
      <x:c r="H25" s="148" t="inlineStr">
        <x:is>
          <x:t xml:space="preserve">tested</x:t>
        </x:is>
      </x:c>
      <x:c r="I25" s="148" t="inlineStr">
        <x:is>
          <x:t xml:space="preserve">no</x:t>
        </x:is>
      </x:c>
      <x:c r="J25" s="148" t="inlineStr">
        <x:is>
          <x:t xml:space="preserve">2026-09-05</x:t>
        </x:is>
      </x:c>
      <x:c r="K25" s="148" t="inlineStr">
        <x:is>
          <x:t xml:space="preserve">This assertion does not establish full behavioral or manual qualification.</x:t>
        </x:is>
      </x:c>
      <x:c r="L25" s="148" t="n">
        <x:v>1</x:v>
      </x:c>
      <x:c r="M25" s="148" t="n">
        <x:f>IF(OR(H25="tested",H25="verified"),1,0)</x:f>
        <x:v>1</x:v>
      </x:c>
    </x:row>
  </x:sheetData>
  <x:conditionalFormatting sqref="H9:H24">
    <x:cfRule type="containsText" dxfId="16" priority="2" aboveAverage="0" percent="0" bottom="0" operator="containsText" text="implemented" rank="0" equalAverage="0">
      <x:formula>NOT(ISERROR(SEARCH("implemented",H9)))</x:formula>
    </x:cfRule>
    <x:cfRule type="containsText" dxfId="17" priority="3" aboveAverage="0" percent="0" bottom="0" operator="containsText" text="tested" rank="0" equalAverage="0">
      <x:formula>NOT(ISERROR(SEARCH("tested",H9)))</x:formula>
    </x:cfRule>
  </x:conditionalFormatting>
  <x:dataValidations count="3">
    <x:dataValidation type="list" errorStyle="stop" operator="between" allowBlank="0" showDropDown="0" showInputMessage="0" showErrorMessage="0" sqref="H9:H24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24">
      <x:formula1>"yes,no"</x:formula1>
      <x:formula2>0</x:formula2>
    </x:dataValidation>
    <x:dataValidation type="list" errorStyle="stop" operator="between" allowBlank="0" showDropDown="0" showInputMessage="0" showErrorMessage="0" sqref="H25">
      <x:formula1>_Lists!$A$1:$A$7</x:formula1>
      <x:formula2>0</x:formula2>
    </x:dataValidation>
  </x:dataValidations>
  <x:pageMargins left="0.7" right="0.7" top="0.75" bottom="0.75" header="0.3" footer="0.3"/>
</x:worksheet>
</file>

<file path=xl/worksheets/sheet103.xml><?xml version="1.0" encoding="utf-8"?>
<x:worksheet xmlns:x="http://schemas.openxmlformats.org/spreadsheetml/2006/main">
  <x:sheetViews>
    <x:sheetView showGridLines="0" workbookViewId="0"/>
  </x:sheetViews>
  <x:sheetFormatPr baseColWidth="8" defaultColWidth="8.6796875" defaultRowHeight="15"/>
  <x:cols>
    <x:col min="1" max="1" width="13.710000038146973" style="138" customWidth="1"/>
    <x:col min="2" max="2" width="15.710000038146973" style="138" customWidth="1"/>
    <x:col min="3" max="3" width="18.709999084472656" style="138" customWidth="1"/>
    <x:col min="4" max="4" width="58.709999084472656" style="138" customWidth="1"/>
    <x:col min="5" max="6" width="14.710000038146973" style="138" customWidth="1"/>
    <x:col min="7" max="7" width="50.709999084472656" style="138" customWidth="1"/>
    <x:col min="8" max="8" width="17.709999084472656" style="138" customWidth="1"/>
    <x:col min="9" max="10" width="14.710000038146973" style="138" customWidth="1"/>
    <x:col min="11" max="11" width="42.709999084472656" style="138" customWidth="1"/>
    <x:col min="12" max="13" width="10.710000038146973" style="138" customWidth="1"/>
  </x:cols>
  <x:sheetData>
    <x:row r="1" s="135" customFormat="1" ht="31.5" customHeight="1">
      <x:c r="A1" s="215" t="inlineStr">
        <x:is>
          <x:t xml:space="preserve">Radio Card Evidence</x:t>
        </x:is>
      </x:c>
    </x:row>
    <x:row r="2" s="135" customFormat="1" ht="24" customHeight="1">
      <x:c r="A2" s="216" t="inlineStr">
        <x:is>
          <x:t xml:space="preserve">Atom-backed selection behavior with card anatomy, recipes, forms, keyboard, accessibility, visual, Consumer, and package evidence.</x:t>
        </x:is>
      </x:c>
    </x:row>
    <x:row r="3" s="135" customFormat="1" ht="15" customHeight="1">
      <x:c r="A3" s="138" t="n"/>
      <x:c r="B3" s="138" t="n"/>
      <x:c r="C3" s="138" t="n"/>
      <x:c r="D3" s="138" t="n"/>
      <x:c r="E3" s="138" t="n"/>
      <x:c r="F3" s="138" t="n"/>
      <x:c r="G3" s="138" t="n"/>
      <x:c r="H3" s="138" t="n"/>
      <x:c r="I3" s="138" t="n"/>
      <x:c r="J3" s="138" t="n"/>
      <x:c r="K3" s="138" t="n"/>
      <x:c r="L3" s="138" t="n"/>
      <x:c r="M3" s="138" t="n"/>
    </x:row>
    <x:row r="4" s="135" customFormat="1" ht="17.25" customHeight="1">
      <x:c r="A4" s="138" t="inlineStr">
        <x:is>
          <x:t xml:space="preserve">Requirements</x:t>
        </x:is>
      </x:c>
      <x:c r="B4" s="138" t="n">
        <x:f>COUNTA(A9:A28)</x:f>
        <x:v>20</x:v>
      </x:c>
      <x:c r="C4" s="138" t="n"/>
      <x:c r="D4" s="138" t="inlineStr">
        <x:is>
          <x:t xml:space="preserve">Resolved</x:t>
        </x:is>
      </x:c>
      <x:c r="E4" s="138" t="n">
        <x:f>SUM(M9:M28)</x:f>
        <x:v>19</x:v>
      </x:c>
      <x:c r="F4" s="138" t="n"/>
      <x:c r="G4" s="138" t="inlineStr">
        <x:is>
          <x:t xml:space="preserve">Completion</x:t>
        </x:is>
      </x:c>
      <x:c r="H4" s="139" t="n">
        <x:f>IF(B4=0,0,E4/B4)</x:f>
        <x:v>0.95</x:v>
      </x:c>
      <x:c r="I4" s="138" t="n"/>
      <x:c r="J4" s="138" t="inlineStr">
        <x:is>
          <x:t xml:space="preserve">Package gate</x:t>
        </x:is>
      </x:c>
      <x:c r="K4" s="138" t="str">
        <x:f>IF(COUNTIFS(E9:E28,"package",M9:M28,0)&gt;0,"open","complete")</x:f>
        <x:v>complete</x:v>
      </x:c>
      <x:c r="L4" s="138" t="n"/>
      <x:c r="M4" s="138" t="n"/>
    </x:row>
    <x:row r="5" s="135" customFormat="1" ht="17.25" customHeight="1">
      <x:c r="A5" s="138" t="inlineStr">
        <x:is>
          <x:t xml:space="preserve">Manual review</x:t>
        </x:is>
      </x:c>
      <x:c r="B5" s="138" t="str">
        <x:f>IF(COUNTIFS(I9:I28,"yes",M9:M28,0)&gt;0,"open","complete")</x:f>
        <x:v>open</x:v>
      </x:c>
      <x:c r="C5" s="138" t="n"/>
      <x:c r="D5" s="138" t="inlineStr">
        <x:is>
          <x:t xml:space="preserve">Consumer gate</x:t>
        </x:is>
      </x:c>
      <x:c r="E5" s="138" t="str">
        <x:f>IF(COUNTIFS(E9:E28,"consumer",M9:M28,0)&gt;0,"open","complete")</x:f>
        <x:v>complete</x:v>
      </x:c>
      <x:c r="F5" s="138" t="n"/>
      <x:c r="G5" s="138" t="n"/>
      <x:c r="H5" s="138" t="n"/>
      <x:c r="I5" s="138" t="n"/>
      <x:c r="J5" s="138" t="n"/>
      <x:c r="K5" s="138" t="n"/>
      <x:c r="L5" s="138" t="n"/>
      <x:c r="M5" s="138" t="n"/>
    </x:row>
    <x:row r="6" s="135" customFormat="1" ht="15" customHeight="1">
      <x:c r="A6" s="138" t="n"/>
      <x:c r="B6" s="138" t="n"/>
      <x:c r="C6" s="138" t="n"/>
      <x:c r="D6" s="138" t="n"/>
      <x:c r="E6" s="138" t="n"/>
      <x:c r="F6" s="138" t="n"/>
      <x:c r="G6" s="138" t="n"/>
      <x:c r="H6" s="138" t="n"/>
      <x:c r="I6" s="138" t="n"/>
      <x:c r="J6" s="138" t="n"/>
      <x:c r="K6" s="138" t="n"/>
      <x:c r="L6" s="138" t="n"/>
      <x:c r="M6" s="138" t="n"/>
    </x:row>
    <x:row r="7" s="135" customFormat="1" ht="15" customHeight="1">
      <x:c r="A7" s="138" t="n"/>
      <x:c r="B7" s="138" t="n"/>
      <x:c r="C7" s="138" t="n"/>
      <x:c r="D7" s="138" t="n"/>
      <x:c r="E7" s="138" t="n"/>
      <x:c r="F7" s="138" t="n"/>
      <x:c r="G7" s="138" t="n"/>
      <x:c r="H7" s="138" t="n"/>
      <x:c r="I7" s="138" t="n"/>
      <x:c r="J7" s="138" t="n"/>
      <x:c r="K7" s="138" t="n"/>
      <x:c r="L7" s="138" t="n"/>
      <x:c r="M7" s="138" t="n"/>
    </x:row>
    <x:row r="8" s="135" customFormat="1" ht="15" customHeight="1">
      <x:c r="A8" s="138" t="inlineStr">
        <x:is>
          <x:t xml:space="preserve">ID</x:t>
        </x:is>
      </x:c>
      <x:c r="B8" s="138" t="inlineStr">
        <x:is>
          <x:t xml:space="preserve">Area</x:t>
        </x:is>
      </x:c>
      <x:c r="C8" s="138" t="inlineStr">
        <x:is>
          <x:t xml:space="preserve">Part</x:t>
        </x:is>
      </x:c>
      <x:c r="D8" s="138" t="inlineStr">
        <x:is>
          <x:t xml:space="preserve">Requirement</x:t>
        </x:is>
      </x:c>
      <x:c r="E8" s="138" t="inlineStr">
        <x:is>
          <x:t xml:space="preserve">Gate</x:t>
        </x:is>
      </x:c>
      <x:c r="F8" s="138" t="inlineStr">
        <x:is>
          <x:t xml:space="preserve">Evidence type</x:t>
        </x:is>
      </x:c>
      <x:c r="G8" s="138" t="inlineStr">
        <x:is>
          <x:t xml:space="preserve">Evidence / link</x:t>
        </x:is>
      </x:c>
      <x:c r="H8" s="138" t="inlineStr">
        <x:is>
          <x:t xml:space="preserve">Status</x:t>
        </x:is>
      </x:c>
      <x:c r="I8" s="138" t="inlineStr">
        <x:is>
          <x:t xml:space="preserve">Human review?</x:t>
        </x:is>
      </x:c>
      <x:c r="J8" s="138" t="inlineStr">
        <x:is>
          <x:t xml:space="preserve">Last verified</x:t>
        </x:is>
      </x:c>
      <x:c r="K8" s="138" t="inlineStr">
        <x:is>
          <x:t xml:space="preserve">Blocker / N/A reason</x:t>
        </x:is>
      </x:c>
      <x:c r="L8" s="138" t="inlineStr">
        <x:is>
          <x:t xml:space="preserve">Weight</x:t>
        </x:is>
      </x:c>
      <x:c r="M8" s="138" t="inlineStr">
        <x:is>
          <x:t xml:space="preserve">Resolved</x:t>
        </x:is>
      </x:c>
    </x:row>
    <x:row r="9" s="135" customFormat="1" ht="42" customHeight="1">
      <x:c r="A9" s="138" t="inlineStr">
        <x:is>
          <x:t xml:space="preserve">RC-01</x:t>
        </x:is>
      </x:c>
      <x:c r="B9" s="138" t="inlineStr">
        <x:is>
          <x:t xml:space="preserve">Implementation</x:t>
        </x:is>
      </x:c>
      <x:c r="C9" s="138" t="inlineStr">
        <x:is>
          <x:t xml:space="preserve">Root/Item</x:t>
        </x:is>
      </x:c>
      <x:c r="D9" s="138" t="inlineStr">
        <x:is>
          <x:t xml:space="preserve">Radio Card adapts released Atom Radio Group behavior without recreating selection semantics.</x:t>
        </x:is>
      </x:c>
      <x:c r="E9" s="138" t="inlineStr">
        <x:is>
          <x:t xml:space="preserve">package</x:t>
        </x:is>
      </x:c>
      <x:c r="F9" s="138" t="inlineStr">
        <x:is>
          <x:t xml:space="preserve">source</x:t>
        </x:is>
      </x:c>
      <x:c r="G9" s="138" t="inlineStr">
        <x:is>
          <x:t xml:space="preserve">../src/components/radio-card</x:t>
        </x:is>
      </x:c>
      <x:c r="H9" s="138" t="inlineStr">
        <x:is>
          <x:t xml:space="preserve">tested</x:t>
        </x:is>
      </x:c>
      <x:c r="I9" s="138" t="inlineStr">
        <x:is>
          <x:t xml:space="preserve">no</x:t>
        </x:is>
      </x:c>
      <x:c r="J9" s="138" t="inlineStr">
        <x:is>
          <x:t xml:space="preserve">2026-09-03</x:t>
        </x:is>
      </x:c>
      <x:c r="K9" s="138" t="inlineStr">
        <x:is>
          <x:t xml:space="preserve">Focused Radio Card package, browser, accessibility, and Consumer evidence passes.</x:t>
        </x:is>
      </x:c>
      <x:c r="L9" s="138" t="n">
        <x:v>1</x:v>
      </x:c>
      <x:c r="M9" s="138" t="n">
        <x:f>IF(OR(AND(I9="yes",H9="verified"),AND(I9="no",OR(H9="tested",H9="verified")),AND(H9="not applicable",K9&lt;&gt;"")),1,0)</x:f>
        <x:v>1</x:v>
      </x:c>
    </x:row>
    <x:row r="10" s="135" customFormat="1" ht="42" customHeight="1">
      <x:c r="A10" s="138" t="inlineStr">
        <x:is>
          <x:t xml:space="preserve">RC-02</x:t>
        </x:is>
      </x:c>
      <x:c r="B10" s="138" t="inlineStr">
        <x:is>
          <x:t xml:space="preserve">Anatomy</x:t>
        </x:is>
      </x:c>
      <x:c r="C10" s="138" t="inlineStr">
        <x:is>
          <x:t xml:space="preserve">All parts</x:t>
        </x:is>
      </x:c>
      <x:c r="D10" s="138" t="inlineStr">
        <x:is>
          <x:t xml:space="preserve">Root, Item, Control, Content, Title, Description, Indicator, and Addon are independently exported and composable.</x:t>
        </x:is>
      </x:c>
      <x:c r="E10" s="138" t="inlineStr">
        <x:is>
          <x:t xml:space="preserve">package</x:t>
        </x:is>
      </x:c>
      <x:c r="F10" s="138" t="inlineStr">
        <x:is>
          <x:t xml:space="preserve">component</x:t>
        </x:is>
      </x:c>
      <x:c r="G10" s="138" t="inlineStr">
        <x:is>
          <x:t xml:space="preserve">../test/components/radio-card/radio-card.test.tsx</x:t>
        </x:is>
      </x:c>
      <x:c r="H10" s="138" t="inlineStr">
        <x:is>
          <x:t xml:space="preserve">tested</x:t>
        </x:is>
      </x:c>
      <x:c r="I10" s="138" t="inlineStr">
        <x:is>
          <x:t xml:space="preserve">no</x:t>
        </x:is>
      </x:c>
      <x:c r="J10" s="138" t="inlineStr">
        <x:is>
          <x:t xml:space="preserve">2026-09-03</x:t>
        </x:is>
      </x:c>
      <x:c r="K10" s="138" t="inlineStr">
        <x:is>
          <x:t xml:space="preserve">Focused Radio Card package, browser, accessibility, and Consumer evidence passes.</x:t>
        </x:is>
      </x:c>
      <x:c r="L10" s="138" t="n">
        <x:v>1</x:v>
      </x:c>
      <x:c r="M10" s="138" t="n">
        <x:f>IF(OR(AND(I10="yes",H10="verified"),AND(I10="no",OR(H10="tested",H10="verified")),AND(H10="not applicable",K10&lt;&gt;"")),1,0)</x:f>
        <x:v>1</x:v>
      </x:c>
    </x:row>
    <x:row r="11" s="135" customFormat="1" ht="42" customHeight="1">
      <x:c r="A11" s="138" t="inlineStr">
        <x:is>
          <x:t xml:space="preserve">RC-03</x:t>
        </x:is>
      </x:c>
      <x:c r="B11" s="138" t="inlineStr">
        <x:is>
          <x:t xml:space="preserve">Exports</x:t>
        </x:is>
      </x:c>
      <x:c r="C11" s="138" t="inlineStr">
        <x:is>
          <x:t xml:space="preserve">RadioCard</x:t>
        </x:is>
      </x:c>
      <x:c r="D11" s="138" t="inlineStr">
        <x:is>
          <x:t xml:space="preserve">Namespace, named parts, public types, root export, and radio-card package subpath resolve.</x:t>
        </x:is>
      </x:c>
      <x:c r="E11" s="138" t="inlineStr">
        <x:is>
          <x:t xml:space="preserve">package</x:t>
        </x:is>
      </x:c>
      <x:c r="F11" s="138" t="inlineStr">
        <x:is>
          <x:t xml:space="preserve">package</x:t>
        </x:is>
      </x:c>
      <x:c r="G11" s="138" t="inlineStr">
        <x:is>
          <x:t xml:space="preserve">../test/package/package.test.mjs</x:t>
        </x:is>
      </x:c>
      <x:c r="H11" s="138" t="inlineStr">
        <x:is>
          <x:t xml:space="preserve">tested</x:t>
        </x:is>
      </x:c>
      <x:c r="I11" s="138" t="inlineStr">
        <x:is>
          <x:t xml:space="preserve">no</x:t>
        </x:is>
      </x:c>
      <x:c r="J11" s="138" t="inlineStr">
        <x:is>
          <x:t xml:space="preserve">2026-09-03</x:t>
        </x:is>
      </x:c>
      <x:c r="K11" s="138" t="inlineStr">
        <x:is>
          <x:t xml:space="preserve">Focused Radio Card package, browser, accessibility, and Consumer evidence passes.</x:t>
        </x:is>
      </x:c>
      <x:c r="L11" s="138" t="n">
        <x:v>1</x:v>
      </x:c>
      <x:c r="M11" s="138" t="n">
        <x:f>IF(OR(AND(I11="yes",H11="verified"),AND(I11="no",OR(H11="tested",H11="verified")),AND(H11="not applicable",K11&lt;&gt;"")),1,0)</x:f>
        <x:v>1</x:v>
      </x:c>
    </x:row>
    <x:row r="12" s="135" customFormat="1" ht="42" customHeight="1">
      <x:c r="A12" s="138" t="inlineStr">
        <x:is>
          <x:t xml:space="preserve">RC-04</x:t>
        </x:is>
      </x:c>
      <x:c r="B12" s="138" t="inlineStr">
        <x:is>
          <x:t xml:space="preserve">Types</x:t>
        </x:is>
      </x:c>
      <x:c r="C12" s="138" t="inlineStr">
        <x:is>
          <x:t xml:space="preserve">All parts</x:t>
        </x:is>
      </x:c>
      <x:c r="D12" s="138" t="inlineStr">
        <x:is>
          <x:t xml:space="preserve">Recipe props, refs, native props, selection ownership, and compound parts type-check.</x:t>
        </x:is>
      </x:c>
      <x:c r="E12" s="138" t="inlineStr">
        <x:is>
          <x:t xml:space="preserve">package</x:t>
        </x:is>
      </x:c>
      <x:c r="F12" s="138" t="inlineStr">
        <x:is>
          <x:t xml:space="preserve">types</x:t>
        </x:is>
      </x:c>
      <x:c r="G12" s="138" t="inlineStr">
        <x:is>
          <x:t xml:space="preserve">../test/types/components/radio-card.test.ts</x:t>
        </x:is>
      </x:c>
      <x:c r="H12" s="138" t="inlineStr">
        <x:is>
          <x:t xml:space="preserve">tested</x:t>
        </x:is>
      </x:c>
      <x:c r="I12" s="138" t="inlineStr">
        <x:is>
          <x:t xml:space="preserve">no</x:t>
        </x:is>
      </x:c>
      <x:c r="J12" s="138" t="inlineStr">
        <x:is>
          <x:t xml:space="preserve">2026-09-03</x:t>
        </x:is>
      </x:c>
      <x:c r="K12" s="138" t="inlineStr">
        <x:is>
          <x:t xml:space="preserve">Focused Radio Card package, browser, accessibility, and Consumer evidence passes.</x:t>
        </x:is>
      </x:c>
      <x:c r="L12" s="138" t="n">
        <x:v>1</x:v>
      </x:c>
      <x:c r="M12" s="138" t="n">
        <x:f>IF(OR(AND(I12="yes",H12="verified"),AND(I12="no",OR(H12="tested",H12="verified")),AND(H12="not applicable",K12&lt;&gt;"")),1,0)</x:f>
        <x:v>1</x:v>
      </x:c>
    </x:row>
    <x:row r="13" s="135" customFormat="1" ht="42" customHeight="1">
      <x:c r="A13" s="138" t="inlineStr">
        <x:is>
          <x:t xml:space="preserve">RC-05</x:t>
        </x:is>
      </x:c>
      <x:c r="B13" s="138" t="inlineStr">
        <x:is>
          <x:t xml:space="preserve">CSS</x:t>
        </x:is>
      </x:c>
      <x:c r="C13" s="138" t="inlineStr">
        <x:is>
          <x:t xml:space="preserve">All parts</x:t>
        </x:is>
      </x:c>
      <x:c r="D13" s="138" t="inlineStr">
        <x:is>
          <x:t xml:space="preserve">Static CSS owns variants, sizes, states, focus treatment, logical layout, and documented variables.</x:t>
        </x:is>
      </x:c>
      <x:c r="E13" s="138" t="inlineStr">
        <x:is>
          <x:t xml:space="preserve">package</x:t>
        </x:is>
      </x:c>
      <x:c r="F13" s="138" t="inlineStr">
        <x:is>
          <x:t xml:space="preserve">css</x:t>
        </x:is>
      </x:c>
      <x:c r="G13" s="138" t="inlineStr">
        <x:is>
          <x:t xml:space="preserve">../src/components/radio-card/radio-card.css</x:t>
        </x:is>
      </x:c>
      <x:c r="H13" s="138" t="inlineStr">
        <x:is>
          <x:t xml:space="preserve">tested</x:t>
        </x:is>
      </x:c>
      <x:c r="I13" s="138" t="inlineStr">
        <x:is>
          <x:t xml:space="preserve">no</x:t>
        </x:is>
      </x:c>
      <x:c r="J13" s="138" t="inlineStr">
        <x:is>
          <x:t xml:space="preserve">2026-09-03</x:t>
        </x:is>
      </x:c>
      <x:c r="K13" s="138" t="inlineStr">
        <x:is>
          <x:t xml:space="preserve">Focused Radio Card package, browser, accessibility, and Consumer evidence passes.</x:t>
        </x:is>
      </x:c>
      <x:c r="L13" s="138" t="n">
        <x:v>1</x:v>
      </x:c>
      <x:c r="M13" s="138" t="n">
        <x:f>IF(OR(AND(I13="yes",H13="verified"),AND(I13="no",OR(H13="tested",H13="verified")),AND(H13="not applicable",K13&lt;&gt;"")),1,0)</x:f>
        <x:v>1</x:v>
      </x:c>
    </x:row>
    <x:row r="14" s="135" customFormat="1" ht="42" customHeight="1">
      <x:c r="A14" s="138" t="inlineStr">
        <x:is>
          <x:t xml:space="preserve">RC-06</x:t>
        </x:is>
      </x:c>
      <x:c r="B14" s="138" t="inlineStr">
        <x:is>
          <x:t xml:space="preserve">Defaults</x:t>
        </x:is>
      </x:c>
      <x:c r="C14" s="138" t="inlineStr">
        <x:is>
          <x:t xml:space="preserve">Root/Item</x:t>
        </x:is>
      </x:c>
      <x:c r="D14" s="138" t="inlineStr">
        <x:is>
          <x:t xml:space="preserve">Medium outline cards with start alignment and accent selection are the canonical defaults.</x:t>
        </x:is>
      </x:c>
      <x:c r="E14" s="138" t="inlineStr">
        <x:is>
          <x:t xml:space="preserve">browser</x:t>
        </x:is>
      </x:c>
      <x:c r="F14" s="138" t="inlineStr">
        <x:is>
          <x:t xml:space="preserve">browser</x:t>
        </x:is>
      </x:c>
      <x:c r="G14" s="138" t="inlineStr">
        <x:is>
          <x:t xml:space="preserve">tests/components/radio-card/behavior.spec.ts</x:t>
        </x:is>
      </x:c>
      <x:c r="H14" s="138" t="inlineStr">
        <x:is>
          <x:t xml:space="preserve">tested</x:t>
        </x:is>
      </x:c>
      <x:c r="I14" s="138" t="inlineStr">
        <x:is>
          <x:t xml:space="preserve">no</x:t>
        </x:is>
      </x:c>
      <x:c r="J14" s="138" t="inlineStr">
        <x:is>
          <x:t xml:space="preserve">2026-09-03</x:t>
        </x:is>
      </x:c>
      <x:c r="K14" s="138" t="inlineStr">
        <x:is>
          <x:t xml:space="preserve">Focused Radio Card package, browser, accessibility, and Consumer evidence passes.</x:t>
        </x:is>
      </x:c>
      <x:c r="L14" s="138" t="n">
        <x:v>1</x:v>
      </x:c>
      <x:c r="M14" s="138" t="n">
        <x:f>IF(OR(AND(I14="yes",H14="verified"),AND(I14="no",OR(H14="tested",H14="verified")),AND(H14="not applicable",K14&lt;&gt;"")),1,0)</x:f>
        <x:v>1</x:v>
      </x:c>
    </x:row>
    <x:row r="15" s="135" customFormat="1" ht="42" customHeight="1">
      <x:c r="A15" s="138" t="inlineStr">
        <x:is>
          <x:t xml:space="preserve">RC-07</x:t>
        </x:is>
      </x:c>
      <x:c r="B15" s="138" t="inlineStr">
        <x:is>
          <x:t xml:space="preserve">Sizing</x:t>
        </x:is>
      </x:c>
      <x:c r="C15" s="138" t="inlineStr">
        <x:is>
          <x:t xml:space="preserve">Root/Item</x:t>
        </x:is>
      </x:c>
      <x:c r="D15" s="138" t="inlineStr">
        <x:is>
          <x:t xml:space="preserve">Small, medium, and large sizes coordinate control, content, addon, and text geometry.</x:t>
        </x:is>
      </x:c>
      <x:c r="E15" s="138" t="inlineStr">
        <x:is>
          <x:t xml:space="preserve">browser</x:t>
        </x:is>
      </x:c>
      <x:c r="F15" s="138" t="inlineStr">
        <x:is>
          <x:t xml:space="preserve">visual</x:t>
        </x:is>
      </x:c>
      <x:c r="G15" s="138" t="inlineStr">
        <x:is>
          <x:t xml:space="preserve">tests/components/radio-card/visual.spec.ts</x:t>
        </x:is>
      </x:c>
      <x:c r="H15" s="138" t="inlineStr">
        <x:is>
          <x:t xml:space="preserve">verified</x:t>
        </x:is>
      </x:c>
      <x:c r="I15" s="138" t="inlineStr">
        <x:is>
          <x:t xml:space="preserve">yes</x:t>
        </x:is>
      </x:c>
      <x:c r="J15" s="138" t="inlineStr">
        <x:is>
          <x:t xml:space="preserve">2026-09-03</x:t>
        </x:is>
      </x:c>
      <x:c r="K15" s="138" t="inlineStr">
        <x:is>
          <x:t xml:space="preserve">2026-09-03: owner reviewed the generated Chromium baselines and focused visual states.</x:t>
        </x:is>
      </x:c>
      <x:c r="L15" s="138" t="n">
        <x:v>1</x:v>
      </x:c>
      <x:c r="M15" s="138" t="n">
        <x:f>IF(OR(AND(I15="yes",H15="verified"),AND(I15="no",OR(H15="tested",H15="verified")),AND(H15="not applicable",K15&lt;&gt;"")),1,0)</x:f>
        <x:v>1</x:v>
      </x:c>
    </x:row>
    <x:row r="16" s="135" customFormat="1" ht="42" customHeight="1">
      <x:c r="A16" s="138" t="inlineStr">
        <x:is>
          <x:t xml:space="preserve">RC-08</x:t>
        </x:is>
      </x:c>
      <x:c r="B16" s="138" t="inlineStr">
        <x:is>
          <x:t xml:space="preserve">Variants</x:t>
        </x:is>
      </x:c>
      <x:c r="C16" s="138" t="inlineStr">
        <x:is>
          <x:t xml:space="preserve">Item</x:t>
        </x:is>
      </x:c>
      <x:c r="D16" s="138" t="inlineStr">
        <x:is>
          <x:t xml:space="preserve">Outline, surface, subtle, and solid variants preserve legible selected and unselected states.</x:t>
        </x:is>
      </x:c>
      <x:c r="E16" s="138" t="inlineStr">
        <x:is>
          <x:t xml:space="preserve">browser</x:t>
        </x:is>
      </x:c>
      <x:c r="F16" s="138" t="inlineStr">
        <x:is>
          <x:t xml:space="preserve">visual</x:t>
        </x:is>
      </x:c>
      <x:c r="G16" s="138" t="inlineStr">
        <x:is>
          <x:t xml:space="preserve">tests/components/radio-card/visual.spec.ts</x:t>
        </x:is>
      </x:c>
      <x:c r="H16" s="138" t="inlineStr">
        <x:is>
          <x:t xml:space="preserve">verified</x:t>
        </x:is>
      </x:c>
      <x:c r="I16" s="138" t="inlineStr">
        <x:is>
          <x:t xml:space="preserve">yes</x:t>
        </x:is>
      </x:c>
      <x:c r="J16" s="138" t="inlineStr">
        <x:is>
          <x:t xml:space="preserve">2026-09-03</x:t>
        </x:is>
      </x:c>
      <x:c r="K16" s="138" t="inlineStr">
        <x:is>
          <x:t xml:space="preserve">2026-09-03: owner reviewed the generated Chromium baselines and focused visual states.</x:t>
        </x:is>
      </x:c>
      <x:c r="L16" s="138" t="n">
        <x:v>1</x:v>
      </x:c>
      <x:c r="M16" s="138" t="n">
        <x:f>IF(OR(AND(I16="yes",H16="verified"),AND(I16="no",OR(H16="tested",H16="verified")),AND(H16="not applicable",K16&lt;&gt;"")),1,0)</x:f>
        <x:v>1</x:v>
      </x:c>
    </x:row>
    <x:row r="17" s="135" customFormat="1" ht="42" customHeight="1">
      <x:c r="A17" s="138" t="inlineStr">
        <x:is>
          <x:t xml:space="preserve">RC-09</x:t>
        </x:is>
      </x:c>
      <x:c r="B17" s="138" t="inlineStr">
        <x:is>
          <x:t xml:space="preserve">Composition</x:t>
        </x:is>
      </x:c>
      <x:c r="C17" s="138" t="inlineStr">
        <x:is>
          <x:t xml:space="preserve">Content/Addon</x:t>
        </x:is>
      </x:c>
      <x:c r="D17" s="138" t="inlineStr">
        <x:is>
          <x:t xml:space="preserve">Content alignment, indicator placement, addons, rich descriptions, and custom children compose without wrapper CSS.</x:t>
        </x:is>
      </x:c>
      <x:c r="E17" s="138" t="inlineStr">
        <x:is>
          <x:t xml:space="preserve">browser</x:t>
        </x:is>
      </x:c>
      <x:c r="F17" s="138" t="inlineStr">
        <x:is>
          <x:t xml:space="preserve">browser</x:t>
        </x:is>
      </x:c>
      <x:c r="G17" s="138" t="inlineStr">
        <x:is>
          <x:t xml:space="preserve">tests/components/radio-card/behavior.spec.ts</x:t>
        </x:is>
      </x:c>
      <x:c r="H17" s="138" t="inlineStr">
        <x:is>
          <x:t xml:space="preserve">tested</x:t>
        </x:is>
      </x:c>
      <x:c r="I17" s="138" t="inlineStr">
        <x:is>
          <x:t xml:space="preserve">no</x:t>
        </x:is>
      </x:c>
      <x:c r="J17" s="138" t="inlineStr">
        <x:is>
          <x:t xml:space="preserve">2026-09-03</x:t>
        </x:is>
      </x:c>
      <x:c r="K17" s="138" t="inlineStr">
        <x:is>
          <x:t xml:space="preserve">Focused Radio Card package, browser, accessibility, and Consumer evidence passes.</x:t>
        </x:is>
      </x:c>
      <x:c r="L17" s="138" t="n">
        <x:v>1</x:v>
      </x:c>
      <x:c r="M17" s="138" t="n">
        <x:f>IF(OR(AND(I17="yes",H17="verified"),AND(I17="no",OR(H17="tested",H17="verified")),AND(H17="not applicable",K17&lt;&gt;"")),1,0)</x:f>
        <x:v>1</x:v>
      </x:c>
    </x:row>
    <x:row r="18" s="135" customFormat="1" ht="42" customHeight="1">
      <x:c r="A18" s="138" t="inlineStr">
        <x:is>
          <x:t xml:space="preserve">RC-10</x:t>
        </x:is>
      </x:c>
      <x:c r="B18" s="138" t="inlineStr">
        <x:is>
          <x:t xml:space="preserve">Ownership</x:t>
        </x:is>
      </x:c>
      <x:c r="C18" s="138" t="inlineStr">
        <x:is>
          <x:t xml:space="preserve">Root/Item</x:t>
        </x:is>
      </x:c>
      <x:c r="D18" s="138" t="inlineStr">
        <x:is>
          <x:t xml:space="preserve">Controlled and uncontrolled selection expose identical visual and semantic behavior.</x:t>
        </x:is>
      </x:c>
      <x:c r="E18" s="138" t="inlineStr">
        <x:is>
          <x:t xml:space="preserve">browser</x:t>
        </x:is>
      </x:c>
      <x:c r="F18" s="138" t="inlineStr">
        <x:is>
          <x:t xml:space="preserve">component</x:t>
        </x:is>
      </x:c>
      <x:c r="G18" s="138" t="inlineStr">
        <x:is>
          <x:t xml:space="preserve">../test/components/radio-card/radio-card.test.tsx; tests/components/radio-card/behavior.spec.ts</x:t>
        </x:is>
      </x:c>
      <x:c r="H18" s="138" t="inlineStr">
        <x:is>
          <x:t xml:space="preserve">tested</x:t>
        </x:is>
      </x:c>
      <x:c r="I18" s="138" t="inlineStr">
        <x:is>
          <x:t xml:space="preserve">no</x:t>
        </x:is>
      </x:c>
      <x:c r="J18" s="138" t="inlineStr">
        <x:is>
          <x:t xml:space="preserve">2026-09-03</x:t>
        </x:is>
      </x:c>
      <x:c r="K18" s="138" t="inlineStr">
        <x:is>
          <x:t xml:space="preserve">Focused Radio Card package, browser, accessibility, and Consumer evidence passes.</x:t>
        </x:is>
      </x:c>
      <x:c r="L18" s="138" t="n">
        <x:v>1</x:v>
      </x:c>
      <x:c r="M18" s="138" t="n">
        <x:f>IF(OR(AND(I18="yes",H18="verified"),AND(I18="no",OR(H18="tested",H18="verified")),AND(H18="not applicable",K18&lt;&gt;"")),1,0)</x:f>
        <x:v>1</x:v>
      </x:c>
    </x:row>
    <x:row r="19" s="135" customFormat="1" ht="42" customHeight="1">
      <x:c r="A19" s="138" t="inlineStr">
        <x:is>
          <x:t xml:space="preserve">RC-11</x:t>
        </x:is>
      </x:c>
      <x:c r="B19" s="138" t="inlineStr">
        <x:is>
          <x:t xml:space="preserve">States</x:t>
        </x:is>
      </x:c>
      <x:c r="C19" s="138" t="inlineStr">
        <x:is>
          <x:t xml:space="preserve">All parts</x:t>
        </x:is>
      </x:c>
      <x:c r="D19" s="138" t="inlineStr">
        <x:is>
          <x:t xml:space="preserve">Disabled, invalid, required, checked, unchecked, and focus-visible states remain distinct.</x:t>
        </x:is>
      </x:c>
      <x:c r="E19" s="138" t="inlineStr">
        <x:is>
          <x:t xml:space="preserve">browser</x:t>
        </x:is>
      </x:c>
      <x:c r="F19" s="138" t="inlineStr">
        <x:is>
          <x:t xml:space="preserve">browser</x:t>
        </x:is>
      </x:c>
      <x:c r="G19" s="138" t="inlineStr">
        <x:is>
          <x:t xml:space="preserve">tests/components/radio-card/behavior.spec.ts</x:t>
        </x:is>
      </x:c>
      <x:c r="H19" s="138" t="inlineStr">
        <x:is>
          <x:t xml:space="preserve">tested</x:t>
        </x:is>
      </x:c>
      <x:c r="I19" s="138" t="inlineStr">
        <x:is>
          <x:t xml:space="preserve">no</x:t>
        </x:is>
      </x:c>
      <x:c r="J19" s="138" t="inlineStr">
        <x:is>
          <x:t xml:space="preserve">2026-09-03</x:t>
        </x:is>
      </x:c>
      <x:c r="K19" s="138" t="inlineStr">
        <x:is>
          <x:t xml:space="preserve">Focused Radio Card package, browser, accessibility, and Consumer evidence passes.</x:t>
        </x:is>
      </x:c>
      <x:c r="L19" s="138" t="n">
        <x:v>1</x:v>
      </x:c>
      <x:c r="M19" s="138" t="n">
        <x:f>IF(OR(AND(I19="yes",H19="verified"),AND(I19="no",OR(H19="tested",H19="verified")),AND(H19="not applicable",K19&lt;&gt;"")),1,0)</x:f>
        <x:v>1</x:v>
      </x:c>
    </x:row>
    <x:row r="20" s="135" customFormat="1" ht="42" customHeight="1">
      <x:c r="A20" s="138" t="inlineStr">
        <x:is>
          <x:t xml:space="preserve">RC-12</x:t>
        </x:is>
      </x:c>
      <x:c r="B20" s="138" t="inlineStr">
        <x:is>
          <x:t xml:space="preserve">Forms</x:t>
        </x:is>
      </x:c>
      <x:c r="C20" s="138" t="inlineStr">
        <x:is>
          <x:t xml:space="preserve">Root/Item</x:t>
        </x:is>
      </x:c>
      <x:c r="D20" s="138" t="inlineStr">
        <x:is>
          <x:t xml:space="preserve">Named values submit, reset, and participate in native validation through Atom-owned hidden inputs.</x:t>
        </x:is>
      </x:c>
      <x:c r="E20" s="138" t="inlineStr">
        <x:is>
          <x:t xml:space="preserve">browser</x:t>
        </x:is>
      </x:c>
      <x:c r="F20" s="138" t="inlineStr">
        <x:is>
          <x:t xml:space="preserve">browser</x:t>
        </x:is>
      </x:c>
      <x:c r="G20" s="138" t="inlineStr">
        <x:is>
          <x:t xml:space="preserve">tests/components/radio-card/behavior.spec.ts</x:t>
        </x:is>
      </x:c>
      <x:c r="H20" s="138" t="inlineStr">
        <x:is>
          <x:t xml:space="preserve">tested</x:t>
        </x:is>
      </x:c>
      <x:c r="I20" s="138" t="inlineStr">
        <x:is>
          <x:t xml:space="preserve">no</x:t>
        </x:is>
      </x:c>
      <x:c r="J20" s="138" t="inlineStr">
        <x:is>
          <x:t xml:space="preserve">2026-09-03</x:t>
        </x:is>
      </x:c>
      <x:c r="K20" s="138" t="inlineStr">
        <x:is>
          <x:t xml:space="preserve">Focused Radio Card package, browser, accessibility, and Consumer evidence passes.</x:t>
        </x:is>
      </x:c>
      <x:c r="L20" s="138" t="n">
        <x:v>1</x:v>
      </x:c>
      <x:c r="M20" s="138" t="n">
        <x:f>IF(OR(AND(I20="yes",H20="verified"),AND(I20="no",OR(H20="tested",H20="verified")),AND(H20="not applicable",K20&lt;&gt;"")),1,0)</x:f>
        <x:v>1</x:v>
      </x:c>
    </x:row>
    <x:row r="21" s="135" customFormat="1" ht="42" customHeight="1">
      <x:c r="A21" s="138" t="inlineStr">
        <x:is>
          <x:t xml:space="preserve">RC-13</x:t>
        </x:is>
      </x:c>
      <x:c r="B21" s="138" t="inlineStr">
        <x:is>
          <x:t xml:space="preserve">Keyboard</x:t>
        </x:is>
      </x:c>
      <x:c r="C21" s="138" t="inlineStr">
        <x:is>
          <x:t xml:space="preserve">Root/Item</x:t>
        </x:is>
      </x:c>
      <x:c r="D21" s="138" t="inlineStr">
        <x:is>
          <x:t xml:space="preserve">Tab, arrow navigation, Home/End, loop, orientation, and disabled-item skipping remain intact.</x:t>
        </x:is>
      </x:c>
      <x:c r="E21" s="138" t="inlineStr">
        <x:is>
          <x:t xml:space="preserve">browser</x:t>
        </x:is>
      </x:c>
      <x:c r="F21" s="138" t="inlineStr">
        <x:is>
          <x:t xml:space="preserve">browser</x:t>
        </x:is>
      </x:c>
      <x:c r="G21" s="138" t="inlineStr">
        <x:is>
          <x:t xml:space="preserve">tests/components/radio-card/behavior.spec.ts</x:t>
        </x:is>
      </x:c>
      <x:c r="H21" s="138" t="inlineStr">
        <x:is>
          <x:t xml:space="preserve">tested</x:t>
        </x:is>
      </x:c>
      <x:c r="I21" s="138" t="inlineStr">
        <x:is>
          <x:t xml:space="preserve">no</x:t>
        </x:is>
      </x:c>
      <x:c r="J21" s="138" t="inlineStr">
        <x:is>
          <x:t xml:space="preserve">2026-09-03</x:t>
        </x:is>
      </x:c>
      <x:c r="K21" s="138" t="inlineStr">
        <x:is>
          <x:t xml:space="preserve">Focused Radio Card package, browser, accessibility, and Consumer evidence passes.</x:t>
        </x:is>
      </x:c>
      <x:c r="L21" s="138" t="n">
        <x:v>1</x:v>
      </x:c>
      <x:c r="M21" s="138" t="n">
        <x:f>IF(OR(AND(I21="yes",H21="verified"),AND(I21="no",OR(H21="tested",H21="verified")),AND(H21="not applicable",K21&lt;&gt;"")),1,0)</x:f>
        <x:v>1</x:v>
      </x:c>
    </x:row>
    <x:row r="22" s="135" customFormat="1" ht="42" customHeight="1">
      <x:c r="A22" s="138" t="inlineStr">
        <x:is>
          <x:t xml:space="preserve">RC-14</x:t>
        </x:is>
      </x:c>
      <x:c r="B22" s="138" t="inlineStr">
        <x:is>
          <x:t xml:space="preserve">Accessibility</x:t>
        </x:is>
      </x:c>
      <x:c r="C22" s="138" t="inlineStr">
        <x:is>
          <x:t xml:space="preserve">All parts</x:t>
        </x:is>
      </x:c>
      <x:c r="D22" s="138" t="inlineStr">
        <x:is>
          <x:t xml:space="preserve">Accessible names, radiogroup/radio semantics, state exposure, contrast, and axe checks pass.</x:t>
        </x:is>
      </x:c>
      <x:c r="E22" s="138" t="inlineStr">
        <x:is>
          <x:t xml:space="preserve">browser</x:t>
        </x:is>
      </x:c>
      <x:c r="F22" s="138" t="inlineStr">
        <x:is>
          <x:t xml:space="preserve">axe</x:t>
        </x:is>
      </x:c>
      <x:c r="G22" s="138" t="inlineStr">
        <x:is>
          <x:t xml:space="preserve">tests/components/radio-card/behavior.spec.ts</x:t>
        </x:is>
      </x:c>
      <x:c r="H22" s="138" t="inlineStr">
        <x:is>
          <x:t xml:space="preserve">tested</x:t>
        </x:is>
      </x:c>
      <x:c r="I22" s="138" t="inlineStr">
        <x:is>
          <x:t xml:space="preserve">no</x:t>
        </x:is>
      </x:c>
      <x:c r="J22" s="138" t="inlineStr">
        <x:is>
          <x:t xml:space="preserve">2026-09-03</x:t>
        </x:is>
      </x:c>
      <x:c r="K22" s="138" t="inlineStr">
        <x:is>
          <x:t xml:space="preserve">Focused Radio Card package, browser, accessibility, and Consumer evidence passes.</x:t>
        </x:is>
      </x:c>
      <x:c r="L22" s="138" t="n">
        <x:v>1</x:v>
      </x:c>
      <x:c r="M22" s="138" t="n">
        <x:f>IF(OR(AND(I22="yes",H22="verified"),AND(I22="no",OR(H22="tested",H22="verified")),AND(H22="not applicable",K22&lt;&gt;"")),1,0)</x:f>
        <x:v>1</x:v>
      </x:c>
    </x:row>
    <x:row r="23" s="135" customFormat="1" ht="42" customHeight="1">
      <x:c r="A23" s="138" t="inlineStr">
        <x:is>
          <x:t xml:space="preserve">RC-15</x:t>
        </x:is>
      </x:c>
      <x:c r="B23" s="138" t="inlineStr">
        <x:is>
          <x:t xml:space="preserve">Appearance</x:t>
        </x:is>
      </x:c>
      <x:c r="C23" s="138" t="inlineStr">
        <x:is>
          <x:t xml:space="preserve">All parts</x:t>
        </x:is>
      </x:c>
      <x:c r="D23" s="138" t="inlineStr">
        <x:is>
          <x:t xml:space="preserve">Light, dark, forced-color, responsive, RTL, focus, and recipe states remain legible.</x:t>
        </x:is>
      </x:c>
      <x:c r="E23" s="138" t="inlineStr">
        <x:is>
          <x:t xml:space="preserve">human</x:t>
        </x:is>
      </x:c>
      <x:c r="F23" s="138" t="inlineStr">
        <x:is>
          <x:t xml:space="preserve">visual</x:t>
        </x:is>
      </x:c>
      <x:c r="G23" s="138" t="inlineStr">
        <x:is>
          <x:t xml:space="preserve">tests/components/radio-card/visual.spec.ts</x:t>
        </x:is>
      </x:c>
      <x:c r="H23" s="138" t="inlineStr">
        <x:is>
          <x:t xml:space="preserve">verified</x:t>
        </x:is>
      </x:c>
      <x:c r="I23" s="138" t="inlineStr">
        <x:is>
          <x:t xml:space="preserve">yes</x:t>
        </x:is>
      </x:c>
      <x:c r="J23" s="138" t="inlineStr">
        <x:is>
          <x:t xml:space="preserve">2026-09-03</x:t>
        </x:is>
      </x:c>
      <x:c r="K23" s="138" t="inlineStr">
        <x:is>
          <x:t xml:space="preserve">2026-09-03: owner reviewed the generated Chromium baselines and focused visual states.</x:t>
        </x:is>
      </x:c>
      <x:c r="L23" s="138" t="n">
        <x:v>1</x:v>
      </x:c>
      <x:c r="M23" s="138" t="n">
        <x:f>IF(OR(AND(I23="yes",H23="verified"),AND(I23="no",OR(H23="tested",H23="verified")),AND(H23="not applicable",K23&lt;&gt;"")),1,0)</x:f>
        <x:v>1</x:v>
      </x:c>
    </x:row>
    <x:row r="24" s="135" customFormat="1" ht="42" customHeight="1">
      <x:c r="A24" s="138" t="inlineStr">
        <x:is>
          <x:t xml:space="preserve">RC-16</x:t>
        </x:is>
      </x:c>
      <x:c r="B24" s="138" t="inlineStr">
        <x:is>
          <x:t xml:space="preserve">Manual</x:t>
        </x:is>
      </x:c>
      <x:c r="C24" s="138" t="inlineStr">
        <x:is>
          <x:t xml:space="preserve">All parts</x:t>
        </x:is>
      </x:c>
      <x:c r="D24" s="138" t="inlineStr">
        <x:is>
          <x:t xml:space="preserve">The numbered protocol covers visual, keyboard, pointer, forms, responsive behavior, zoom, RTL, and forced colors.</x:t>
        </x:is>
      </x:c>
      <x:c r="E24" s="138" t="inlineStr">
        <x:is>
          <x:t xml:space="preserve">human</x:t>
        </x:is>
      </x:c>
      <x:c r="F24" s="138" t="inlineStr">
        <x:is>
          <x:t xml:space="preserve">manual</x:t>
        </x:is>
      </x:c>
      <x:c r="G24" s="138" t="inlineStr">
        <x:is>
          <x:t xml:space="preserve">manual-tests/radio-card.md</x:t>
        </x:is>
      </x:c>
      <x:c r="H24" s="138" t="inlineStr">
        <x:is>
          <x:t xml:space="preserve">implemented</x:t>
        </x:is>
      </x:c>
      <x:c r="I24" s="138" t="inlineStr">
        <x:is>
          <x:t xml:space="preserve">yes</x:t>
        </x:is>
      </x:c>
      <x:c r="J24" s="138" t="inlineStr">
        <x:is>
          <x:t xml:space="preserve">2026-09-03</x:t>
        </x:is>
      </x:c>
      <x:c r="K24" s="138" t="inlineStr">
        <x:is>
          <x:t xml:space="preserve">Implementation evidence exists; the current manual protocol remains open until an owner completes it top to bottom.</x:t>
        </x:is>
      </x:c>
      <x:c r="L24" s="138" t="n">
        <x:v>1</x:v>
      </x:c>
      <x:c r="M24" s="138" t="n">
        <x:f>IF(OR(AND(I24="yes",H24="verified"),AND(I24="no",OR(H24="tested",H24="verified")),AND(H24="not applicable",K24&lt;&gt;"")),1,0)</x:f>
        <x:v>0</x:v>
      </x:c>
    </x:row>
    <x:row r="25" s="135" customFormat="1" ht="15" customHeight="1">
      <x:c r="A25" s="138" t="inlineStr">
        <x:is>
          <x:t xml:space="preserve">RC-17</x:t>
        </x:is>
      </x:c>
      <x:c r="B25" s="138" t="inlineStr">
        <x:is>
          <x:t xml:space="preserve">Docs</x:t>
        </x:is>
      </x:c>
      <x:c r="C25" s="138" t="inlineStr">
        <x:is>
          <x:t xml:space="preserve">RadioCard</x:t>
        </x:is>
      </x:c>
      <x:c r="D25" s="138" t="inlineStr">
        <x:is>
          <x:t xml:space="preserve">Guide, API, anatomy, variants, states, accessibility, customization, and responsive guidance agree.</x:t>
        </x:is>
      </x:c>
      <x:c r="E25" s="138" t="inlineStr">
        <x:is>
          <x:t xml:space="preserve">package</x:t>
        </x:is>
      </x:c>
      <x:c r="F25" s="138" t="inlineStr">
        <x:is>
          <x:t xml:space="preserve">docs</x:t>
        </x:is>
      </x:c>
      <x:c r="G25" s="138" t="inlineStr">
        <x:is>
          <x:t xml:space="preserve">../docs/components/radio-card/README.md</x:t>
        </x:is>
      </x:c>
      <x:c r="H25" s="138" t="inlineStr">
        <x:is>
          <x:t xml:space="preserve">tested</x:t>
        </x:is>
      </x:c>
      <x:c r="I25" s="138" t="inlineStr">
        <x:is>
          <x:t xml:space="preserve">no</x:t>
        </x:is>
      </x:c>
      <x:c r="J25" s="138" t="inlineStr">
        <x:is>
          <x:t xml:space="preserve">2026-09-03</x:t>
        </x:is>
      </x:c>
      <x:c r="K25" s="138" t="inlineStr">
        <x:is>
          <x:t xml:space="preserve">Focused Radio Card package, browser, accessibility, and Consumer evidence passes.</x:t>
        </x:is>
      </x:c>
      <x:c r="L25" s="138" t="n">
        <x:v>1</x:v>
      </x:c>
      <x:c r="M25" s="138" t="n">
        <x:f>IF(OR(AND(I25="yes",H25="verified"),AND(I25="no",OR(H25="tested",H25="verified")),AND(H25="not applicable",K25&lt;&gt;"")),1,0)</x:f>
        <x:v>1</x:v>
      </x:c>
    </x:row>
    <x:row r="26" s="135" customFormat="1" ht="15" customHeight="1">
      <x:c r="A26" s="138" t="inlineStr">
        <x:is>
          <x:t xml:space="preserve">RC-18</x:t>
        </x:is>
      </x:c>
      <x:c r="B26" s="138" t="inlineStr">
        <x:is>
          <x:t xml:space="preserve">Changelog</x:t>
        </x:is>
      </x:c>
      <x:c r="C26" s="138" t="inlineStr">
        <x:is>
          <x:t xml:space="preserve">RadioCard</x:t>
        </x:is>
      </x:c>
      <x:c r="D26" s="138" t="inlineStr">
        <x:is>
          <x:t xml:space="preserve">The unreleased package changelog records the new component and related upgrades.</x:t>
        </x:is>
      </x:c>
      <x:c r="E26" s="138" t="inlineStr">
        <x:is>
          <x:t xml:space="preserve">package</x:t>
        </x:is>
      </x:c>
      <x:c r="F26" s="138" t="inlineStr">
        <x:is>
          <x:t xml:space="preserve">docs</x:t>
        </x:is>
      </x:c>
      <x:c r="G26" s="138" t="inlineStr">
        <x:is>
          <x:t xml:space="preserve">../CHANGELOG.md</x:t>
        </x:is>
      </x:c>
      <x:c r="H26" s="138" t="inlineStr">
        <x:is>
          <x:t xml:space="preserve">tested</x:t>
        </x:is>
      </x:c>
      <x:c r="I26" s="138" t="inlineStr">
        <x:is>
          <x:t xml:space="preserve">no</x:t>
        </x:is>
      </x:c>
      <x:c r="J26" s="138" t="inlineStr">
        <x:is>
          <x:t xml:space="preserve">2026-09-03</x:t>
        </x:is>
      </x:c>
      <x:c r="K26" s="138" t="inlineStr">
        <x:is>
          <x:t xml:space="preserve">Focused Radio Card package, browser, accessibility, and Consumer evidence passes.</x:t>
        </x:is>
      </x:c>
      <x:c r="L26" s="138" t="n">
        <x:v>1</x:v>
      </x:c>
      <x:c r="M26" s="138" t="n">
        <x:f>IF(OR(AND(I26="yes",H26="verified"),AND(I26="no",OR(H26="tested",H26="verified")),AND(H26="not applicable",K26&lt;&gt;"")),1,0)</x:f>
        <x:v>1</x:v>
      </x:c>
    </x:row>
    <x:row r="27" s="135" customFormat="1" ht="15" customHeight="1">
      <x:c r="A27" s="138" t="inlineStr">
        <x:is>
          <x:t xml:space="preserve">RC-19</x:t>
        </x:is>
      </x:c>
      <x:c r="B27" s="138" t="inlineStr">
        <x:is>
          <x:t xml:space="preserve">Consumer</x:t>
        </x:is>
      </x:c>
      <x:c r="C27" s="138" t="inlineStr">
        <x:is>
          <x:t xml:space="preserve">RadioCard</x:t>
        </x:is>
      </x:c>
      <x:c r="D27" s="138" t="inlineStr">
        <x:is>
          <x:t xml:space="preserve">The packed Consumer imports the public subpath and exercises selection without source aliases.</x:t>
        </x:is>
      </x:c>
      <x:c r="E27" s="138" t="inlineStr">
        <x:is>
          <x:t xml:space="preserve">consumer</x:t>
        </x:is>
      </x:c>
      <x:c r="F27" s="138" t="inlineStr">
        <x:is>
          <x:t xml:space="preserve">consumer</x:t>
        </x:is>
      </x:c>
      <x:c r="G27" s="138" t="inlineStr">
        <x:is>
          <x:t xml:space="preserve">../apps/consumer/src/App.tsx; ../apps/consumer/tests/consumer.spec.ts</x:t>
        </x:is>
      </x:c>
      <x:c r="H27" s="138" t="inlineStr">
        <x:is>
          <x:t xml:space="preserve">tested</x:t>
        </x:is>
      </x:c>
      <x:c r="I27" s="138" t="inlineStr">
        <x:is>
          <x:t xml:space="preserve">no</x:t>
        </x:is>
      </x:c>
      <x:c r="J27" s="138" t="inlineStr">
        <x:is>
          <x:t xml:space="preserve">2026-09-03</x:t>
        </x:is>
      </x:c>
      <x:c r="K27" s="138" t="inlineStr">
        <x:is>
          <x:t xml:space="preserve">Focused Radio Card package, browser, accessibility, and Consumer evidence passes.</x:t>
        </x:is>
      </x:c>
      <x:c r="L27" s="138" t="n">
        <x:v>1</x:v>
      </x:c>
      <x:c r="M27" s="138" t="n">
        <x:f>IF(OR(AND(I27="yes",H27="verified"),AND(I27="no",OR(H27="tested",H27="verified")),AND(H27="not applicable",K27&lt;&gt;"")),1,0)</x:f>
        <x:v>1</x:v>
      </x:c>
    </x:row>
    <x:row r="28" s="135" customFormat="1" ht="15" customHeight="1">
      <x:c r="A28" s="138" t="inlineStr">
        <x:is>
          <x:t xml:space="preserve">RC-20</x:t>
        </x:is>
      </x:c>
      <x:c r="B28" s="138" t="inlineStr">
        <x:is>
          <x:t xml:space="preserve">Package</x:t>
        </x:is>
      </x:c>
      <x:c r="C28" s="138" t="inlineStr">
        <x:is>
          <x:t xml:space="preserve">RadioCard</x:t>
        </x:is>
      </x:c>
      <x:c r="D28" s="138" t="inlineStr">
        <x:is>
          <x:t xml:space="preserve">Build, exports, SSR, all CSS, React 18/19, and clean packed-consumer boundaries pass.</x:t>
        </x:is>
      </x:c>
      <x:c r="E28" s="138" t="inlineStr">
        <x:is>
          <x:t xml:space="preserve">consumer</x:t>
        </x:is>
      </x:c>
      <x:c r="F28" s="138" t="inlineStr">
        <x:is>
          <x:t xml:space="preserve">package</x:t>
        </x:is>
      </x:c>
      <x:c r="G28" s="138" t="inlineStr">
        <x:is>
          <x:t xml:space="preserve">../scripts/verify-consumers.mjs; ../scripts/verify-package.mjs</x:t>
        </x:is>
      </x:c>
      <x:c r="H28" s="138" t="inlineStr">
        <x:is>
          <x:t xml:space="preserve">tested</x:t>
        </x:is>
      </x:c>
      <x:c r="I28" s="138" t="inlineStr">
        <x:is>
          <x:t xml:space="preserve">no</x:t>
        </x:is>
      </x:c>
      <x:c r="J28" s="138" t="inlineStr">
        <x:is>
          <x:t xml:space="preserve">2026-09-03</x:t>
        </x:is>
      </x:c>
      <x:c r="K28" s="138" t="inlineStr">
        <x:is>
          <x:t xml:space="preserve">Focused Radio Card package, browser, accessibility, and Consumer evidence passes.</x:t>
        </x:is>
      </x:c>
      <x:c r="L28" s="138" t="n">
        <x:v>1</x:v>
      </x:c>
      <x:c r="M28" s="138" t="n">
        <x:f>IF(OR(AND(I28="yes",H28="verified"),AND(I28="no",OR(H28="tested",H28="verified")),AND(H28="not applicable",K28&lt;&gt;"")),1,0)</x:f>
        <x:v>1</x:v>
      </x:c>
    </x:row>
  </x:sheetData>
  <x:mergeCells>
    <x:mergeCell ref="A2:M2"/>
    <x:mergeCell ref="A1:M1"/>
  </x:mergeCells>
  <x:dataValidations count="2">
    <x:dataValidation type="list" errorStyle="stop" operator="between" allowBlank="0" showDropDown="0" showInputMessage="0" showErrorMessage="0" sqref="H9:H28">
      <x:formula1>_Lists!$A$1:$A$7</x:formula1>
      <x:formula2>0</x:formula2>
    </x:dataValidation>
    <x:dataValidation type="list" errorStyle="stop" operator="between" allowBlank="0" showDropDown="0" showInputMessage="0" showErrorMessage="0" sqref="I9:I28">
      <x:formula1>_Lists!$B$1:$B$2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44b97fb7144949e4"/>
  </x:tableParts>
</x:worksheet>
</file>

<file path=xl/worksheets/sheet104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4" style="138" customWidth="1"/>
    <x:col min="2" max="2" width="13" style="138" customWidth="1"/>
    <x:col min="3" max="3" width="15.510000228881836" style="138" customWidth="1"/>
    <x:col min="4" max="4" width="53.75" style="138" customWidth="1"/>
    <x:col min="5" max="5" width="11" style="138" customWidth="1"/>
    <x:col min="6" max="6" width="13" style="138" customWidth="1"/>
    <x:col min="7" max="7" width="41.25" style="138" customWidth="1"/>
    <x:col min="8" max="8" width="12" style="138" customWidth="1"/>
    <x:col min="9" max="10" width="12.75" style="138" customWidth="1"/>
    <x:col min="11" max="11" width="41.25" style="138" customWidth="1"/>
    <x:col min="12" max="12" width="8.75" style="138" customWidth="1"/>
    <x:col min="13" max="13" width="9.75" style="138" customWidth="1"/>
  </x:cols>
  <x:sheetData>
    <x:row r="1" s="135" customFormat="1" ht="15" customHeight="1">
      <x:c r="A1" s="217" t="inlineStr">
        <x:is>
          <x:t xml:space="preserve">Locale Provider Evidence</x:t>
        </x:is>
      </x:c>
      <x:c r="B1" s="217" t="n"/>
      <x:c r="C1" s="217" t="n"/>
      <x:c r="D1" s="217" t="n"/>
      <x:c r="E1" s="217" t="n"/>
      <x:c r="F1" s="217" t="n"/>
      <x:c r="G1" s="217" t="n"/>
      <x:c r="H1" s="217" t="n"/>
      <x:c r="I1" s="217" t="n"/>
      <x:c r="J1" s="217" t="n"/>
      <x:c r="K1" s="217" t="n"/>
      <x:c r="L1" s="217" t="n"/>
      <x:c r="M1" s="217" t="n"/>
    </x:row>
    <x:row r="2" s="135" customFormat="1" ht="15" customHeight="1">
      <x:c r="A2" s="217" t="inlineStr">
        <x:is>
          <x:t xml:space="preserve">Assertion-level locale, logical direction, component-owned text, browser, documentation, and package evidence.</x:t>
        </x:is>
      </x:c>
      <x:c r="B2" s="217" t="n"/>
      <x:c r="C2" s="217" t="n"/>
      <x:c r="D2" s="217" t="n"/>
      <x:c r="E2" s="217" t="n"/>
      <x:c r="F2" s="217" t="n"/>
      <x:c r="G2" s="217" t="n"/>
      <x:c r="H2" s="217" t="n"/>
      <x:c r="I2" s="217" t="n"/>
      <x:c r="J2" s="217" t="n"/>
      <x:c r="K2" s="217" t="n"/>
      <x:c r="L2" s="217" t="n"/>
      <x:c r="M2" s="217" t="n"/>
    </x:row>
    <x:row r="3" s="135" customFormat="1" ht="15" customHeight="1">
      <x:c r="A3" s="217" t="n"/>
      <x:c r="B3" s="217" t="n"/>
      <x:c r="C3" s="217" t="n"/>
      <x:c r="D3" s="217" t="n"/>
      <x:c r="E3" s="217" t="n"/>
      <x:c r="F3" s="217" t="n"/>
      <x:c r="G3" s="217" t="n"/>
      <x:c r="H3" s="217" t="n"/>
      <x:c r="I3" s="217" t="n"/>
      <x:c r="J3" s="217" t="n"/>
      <x:c r="K3" s="217" t="n"/>
      <x:c r="L3" s="217" t="n"/>
      <x:c r="M3" s="217" t="n"/>
    </x:row>
    <x:row r="4" s="135" customFormat="1" ht="15" customHeight="1">
      <x:c r="A4" s="217" t="inlineStr">
        <x:is>
          <x:t xml:space="preserve">Requirements</x:t>
        </x:is>
      </x:c>
      <x:c r="B4" s="217" t="n">
        <x:f>COUNTA(A9:A25)</x:f>
        <x:v>17</x:v>
      </x:c>
      <x:c r="C4" s="217" t="n"/>
      <x:c r="D4" s="217" t="inlineStr">
        <x:is>
          <x:t xml:space="preserve">Resolved</x:t>
        </x:is>
      </x:c>
      <x:c r="E4" s="217" t="n">
        <x:f>SUM(M9:M25)</x:f>
        <x:v>12</x:v>
      </x:c>
      <x:c r="F4" s="217" t="n"/>
      <x:c r="G4" s="217" t="inlineStr">
        <x:is>
          <x:t xml:space="preserve">Completion</x:t>
        </x:is>
      </x:c>
      <x:c r="H4" s="217" t="n">
        <x:f>IF(B4=0,0,E4/B4)</x:f>
        <x:v>0.7058823529411765</x:v>
      </x:c>
      <x:c r="I4" s="217" t="n"/>
      <x:c r="J4" s="217" t="inlineStr">
        <x:is>
          <x:t xml:space="preserve">Package gate</x:t>
        </x:is>
      </x:c>
      <x:c r="K4" s="217" t="str">
        <x:f>IF(COUNTIFS(E9:E24,"package",M9:M24,0)&gt;0,"open","complete")</x:f>
        <x:v>open</x:v>
      </x:c>
      <x:c r="L4" s="217" t="n"/>
      <x:c r="M4" s="217" t="n"/>
    </x:row>
    <x:row r="5" s="135" customFormat="1" ht="15" customHeight="1">
      <x:c r="A5" s="217" t="inlineStr">
        <x:is>
          <x:t xml:space="preserve">Manual review</x:t>
        </x:is>
      </x:c>
      <x:c r="B5" s="217" t="str">
        <x:f>IF(COUNTIFS(I9:I24,"yes",M9:M24,0)&gt;0,"open","complete")</x:f>
        <x:v>open</x:v>
      </x:c>
      <x:c r="C5" s="217" t="n"/>
      <x:c r="D5" s="217" t="inlineStr">
        <x:is>
          <x:t xml:space="preserve">Consumer gate</x:t>
        </x:is>
      </x:c>
      <x:c r="E5" s="217" t="str">
        <x:f>IF(COUNTIFS(E9:E24,"consumer",M9:M24,0)&gt;0,"open","complete")</x:f>
        <x:v>open</x:v>
      </x:c>
      <x:c r="F5" s="217" t="n"/>
      <x:c r="G5" s="217" t="n"/>
      <x:c r="H5" s="217" t="n"/>
      <x:c r="I5" s="217" t="n"/>
      <x:c r="J5" s="217" t="n"/>
      <x:c r="K5" s="217" t="n"/>
      <x:c r="L5" s="217" t="n"/>
      <x:c r="M5" s="217" t="n"/>
    </x:row>
    <x:row r="6" s="135" customFormat="1" ht="15" customHeight="1">
      <x:c r="A6" s="217" t="n"/>
      <x:c r="B6" s="217" t="n"/>
      <x:c r="C6" s="217" t="n"/>
      <x:c r="D6" s="217" t="n"/>
      <x:c r="E6" s="217" t="n"/>
      <x:c r="F6" s="217" t="n"/>
      <x:c r="G6" s="217" t="n"/>
      <x:c r="H6" s="217" t="n"/>
      <x:c r="I6" s="217" t="n"/>
      <x:c r="J6" s="217" t="n"/>
      <x:c r="K6" s="217" t="n"/>
      <x:c r="L6" s="217" t="n"/>
      <x:c r="M6" s="217" t="n"/>
    </x:row>
    <x:row r="7" s="135" customFormat="1" ht="15" customHeight="1">
      <x:c r="A7" s="217" t="n"/>
      <x:c r="B7" s="217" t="n"/>
      <x:c r="C7" s="217" t="n"/>
      <x:c r="D7" s="217" t="n"/>
      <x:c r="E7" s="217" t="n"/>
      <x:c r="F7" s="217" t="n"/>
      <x:c r="G7" s="217" t="n"/>
      <x:c r="H7" s="217" t="n"/>
      <x:c r="I7" s="217" t="n"/>
      <x:c r="J7" s="217" t="n"/>
      <x:c r="K7" s="217" t="n"/>
      <x:c r="L7" s="217" t="n"/>
      <x:c r="M7" s="217" t="n"/>
    </x:row>
    <x:row r="8" s="135" customFormat="1" ht="15" customHeight="1">
      <x:c r="A8" s="217" t="inlineStr">
        <x:is>
          <x:t xml:space="preserve">ID</x:t>
        </x:is>
      </x:c>
      <x:c r="B8" s="217" t="inlineStr">
        <x:is>
          <x:t xml:space="preserve">Area</x:t>
        </x:is>
      </x:c>
      <x:c r="C8" s="217" t="inlineStr">
        <x:is>
          <x:t xml:space="preserve">Part</x:t>
        </x:is>
      </x:c>
      <x:c r="D8" s="217" t="inlineStr">
        <x:is>
          <x:t xml:space="preserve">Requirement</x:t>
        </x:is>
      </x:c>
      <x:c r="E8" s="217" t="inlineStr">
        <x:is>
          <x:t xml:space="preserve">Gate</x:t>
        </x:is>
      </x:c>
      <x:c r="F8" s="217" t="inlineStr">
        <x:is>
          <x:t xml:space="preserve">Evidence type</x:t>
        </x:is>
      </x:c>
      <x:c r="G8" s="217" t="inlineStr">
        <x:is>
          <x:t xml:space="preserve">Evidence / link</x:t>
        </x:is>
      </x:c>
      <x:c r="H8" s="217" t="inlineStr">
        <x:is>
          <x:t xml:space="preserve">Status</x:t>
        </x:is>
      </x:c>
      <x:c r="I8" s="217" t="inlineStr">
        <x:is>
          <x:t xml:space="preserve">Human review?</x:t>
        </x:is>
      </x:c>
      <x:c r="J8" s="217" t="inlineStr">
        <x:is>
          <x:t xml:space="preserve">Last verified</x:t>
        </x:is>
      </x:c>
      <x:c r="K8" s="217" t="inlineStr">
        <x:is>
          <x:t xml:space="preserve">Blocker / N/A reason</x:t>
        </x:is>
      </x:c>
      <x:c r="L8" s="217" t="inlineStr">
        <x:is>
          <x:t xml:space="preserve">Weight</x:t>
        </x:is>
      </x:c>
      <x:c r="M8" s="217" t="inlineStr">
        <x:is>
          <x:t xml:space="preserve">Resolved</x:t>
        </x:is>
      </x:c>
    </x:row>
    <x:row r="9" s="135" customFormat="1" ht="24" customHeight="1">
      <x:c r="A9" s="146" t="inlineStr">
        <x:is>
          <x:t xml:space="preserve">LP-01</x:t>
        </x:is>
      </x:c>
      <x:c r="B9" s="146" t="inlineStr">
        <x:is>
          <x:t xml:space="preserve">Implementation</x:t>
        </x:is>
      </x:c>
      <x:c r="C9" s="146" t="inlineStr">
        <x:is>
          <x:t xml:space="preserve">Provider</x:t>
        </x:is>
      </x:c>
      <x:c r="D9" s="146" t="inlineStr">
        <x:is>
          <x:t xml:space="preserve">Locale Provider implements its documented public contract without taking over application-owned concerns.</x:t>
        </x:is>
      </x:c>
      <x:c r="E9" s="146" t="inlineStr">
        <x:is>
          <x:t xml:space="preserve">package</x:t>
        </x:is>
      </x:c>
      <x:c r="F9" s="146" t="inlineStr">
        <x:is>
          <x:t xml:space="preserve">source</x:t>
        </x:is>
      </x:c>
      <x:c r="G9" s="146" t="inlineStr">
        <x:is>
          <x:t xml:space="preserve">../src/components/locale-provider</x:t>
        </x:is>
      </x:c>
      <x:c r="H9" s="146" t="inlineStr">
        <x:is>
          <x:t xml:space="preserve">tested</x:t>
        </x:is>
      </x:c>
      <x:c r="I9" s="146" t="inlineStr">
        <x:is>
          <x:t xml:space="preserve">no</x:t>
        </x:is>
      </x:c>
      <x:c r="J9" s="146" t="n">
        <x:v>46269</x:v>
      </x:c>
      <x:c r="K9" s="146" t="n"/>
      <x:c r="L9" s="146" t="n">
        <x:v>1</x:v>
      </x:c>
      <x:c r="M9" s="146" t="n">
        <x:f>IF(OR(AND(I9="yes",H9="verified"),AND(I9="no",OR(H9="tested",H9="verified")),AND(H9="not applicable",K9&lt;&gt;"")),1,0)</x:f>
        <x:v>1</x:v>
      </x:c>
    </x:row>
    <x:row r="10" s="135" customFormat="1" ht="24" customHeight="1">
      <x:c r="A10" s="146" t="inlineStr">
        <x:is>
          <x:t xml:space="preserve">LP-02</x:t>
        </x:is>
      </x:c>
      <x:c r="B10" s="146" t="inlineStr">
        <x:is>
          <x:t xml:space="preserve">Exports</x:t>
        </x:is>
      </x:c>
      <x:c r="C10" s="146" t="inlineStr">
        <x:is>
          <x:t xml:space="preserve">Locale Provider</x:t>
        </x:is>
      </x:c>
      <x:c r="D10" s="146" t="inlineStr">
        <x:is>
          <x:t xml:space="preserve">Root and locale-provider subpath exports expose every public runtime and type with identical identity.</x:t>
        </x:is>
      </x:c>
      <x:c r="E10" s="146" t="inlineStr">
        <x:is>
          <x:t xml:space="preserve">package</x:t>
        </x:is>
      </x:c>
      <x:c r="F10" s="146" t="inlineStr">
        <x:is>
          <x:t xml:space="preserve">package</x:t>
        </x:is>
      </x:c>
      <x:c r="G10" s="146" t="inlineStr">
        <x:is>
          <x:t xml:space="preserve">../test/package/package.test.mjs; ../test/package/ssr.test.mjs</x:t>
        </x:is>
      </x:c>
      <x:c r="H10" s="146" t="inlineStr">
        <x:is>
          <x:t xml:space="preserve">tested</x:t>
        </x:is>
      </x:c>
      <x:c r="I10" s="146" t="inlineStr">
        <x:is>
          <x:t xml:space="preserve">no</x:t>
        </x:is>
      </x:c>
      <x:c r="J10" s="146" t="n">
        <x:v>46269</x:v>
      </x:c>
      <x:c r="K10" s="146" t="n"/>
      <x:c r="L10" s="146" t="n">
        <x:v>1</x:v>
      </x:c>
      <x:c r="M10" s="146" t="n">
        <x:f>IF(OR(AND(I10="yes",H10="verified"),AND(I10="no",OR(H10="tested",H10="verified")),AND(H10="not applicable",K10&lt;&gt;"")),1,0)</x:f>
        <x:v>1</x:v>
      </x:c>
    </x:row>
    <x:row r="11" s="135" customFormat="1" ht="24" customHeight="1">
      <x:c r="A11" s="146" t="inlineStr">
        <x:is>
          <x:t xml:space="preserve">LP-03</x:t>
        </x:is>
      </x:c>
      <x:c r="B11" s="146" t="inlineStr">
        <x:is>
          <x:t xml:space="preserve">Types</x:t>
        </x:is>
      </x:c>
      <x:c r="C11" s="146" t="inlineStr">
        <x:is>
          <x:t xml:space="preserve">Public surface</x:t>
        </x:is>
      </x:c>
      <x:c r="D11" s="146" t="inlineStr">
        <x:is>
          <x:t xml:space="preserve">Public props, native passthrough where applicable, refs, and invalid values are covered by compile-time evidence.</x:t>
        </x:is>
      </x:c>
      <x:c r="E11" s="146" t="inlineStr">
        <x:is>
          <x:t xml:space="preserve">package</x:t>
        </x:is>
      </x:c>
      <x:c r="F11" s="146" t="inlineStr">
        <x:is>
          <x:t xml:space="preserve">types</x:t>
        </x:is>
      </x:c>
      <x:c r="G11" s="146" t="inlineStr">
        <x:is>
          <x:t xml:space="preserve">../test/types/components/locale-provider.test.ts</x:t>
        </x:is>
      </x:c>
      <x:c r="H11" s="146" t="inlineStr">
        <x:is>
          <x:t xml:space="preserve">tested</x:t>
        </x:is>
      </x:c>
      <x:c r="I11" s="146" t="inlineStr">
        <x:is>
          <x:t xml:space="preserve">no</x:t>
        </x:is>
      </x:c>
      <x:c r="J11" s="146" t="n">
        <x:v>46269</x:v>
      </x:c>
      <x:c r="K11" s="146" t="n"/>
      <x:c r="L11" s="146" t="n">
        <x:v>1</x:v>
      </x:c>
      <x:c r="M11" s="146" t="n">
        <x:f>IF(OR(AND(I11="yes",H11="verified"),AND(I11="no",OR(H11="tested",H11="verified")),AND(H11="not applicable",K11&lt;&gt;"")),1,0)</x:f>
        <x:v>1</x:v>
      </x:c>
    </x:row>
    <x:row r="12" s="135" customFormat="1" ht="24" customHeight="1">
      <x:c r="A12" s="146" t="inlineStr">
        <x:is>
          <x:t xml:space="preserve">LP-04</x:t>
        </x:is>
      </x:c>
      <x:c r="B12" s="146" t="inlineStr">
        <x:is>
          <x:t xml:space="preserve">CSS</x:t>
        </x:is>
      </x:c>
      <x:c r="C12" s="146" t="inlineStr">
        <x:is>
          <x:t xml:space="preserve">Provider</x:t>
        </x:is>
      </x:c>
      <x:c r="D12" s="146" t="inlineStr">
        <x:is>
          <x:t xml:space="preserve">The modular style entry owns only documented presentation; context and wrapper-free helpers add no visual recipe.</x:t>
        </x:is>
      </x:c>
      <x:c r="E12" s="146" t="inlineStr">
        <x:is>
          <x:t xml:space="preserve">package</x:t>
        </x:is>
      </x:c>
      <x:c r="F12" s="146" t="inlineStr">
        <x:is>
          <x:t xml:space="preserve">css</x:t>
        </x:is>
      </x:c>
      <x:c r="G12" s="146" t="inlineStr">
        <x:is>
          <x:t xml:space="preserve">../src/components/locale-provider/locale-provider.css</x:t>
        </x:is>
      </x:c>
      <x:c r="H12" s="146" t="inlineStr">
        <x:is>
          <x:t xml:space="preserve">tested</x:t>
        </x:is>
      </x:c>
      <x:c r="I12" s="146" t="inlineStr">
        <x:is>
          <x:t xml:space="preserve">no</x:t>
        </x:is>
      </x:c>
      <x:c r="J12" s="146" t="n">
        <x:v>46269</x:v>
      </x:c>
      <x:c r="K12" s="146" t="n"/>
      <x:c r="L12" s="146" t="n">
        <x:v>1</x:v>
      </x:c>
      <x:c r="M12" s="146" t="n">
        <x:f>IF(OR(AND(I12="yes",H12="verified"),AND(I12="no",OR(H12="tested",H12="verified")),AND(H12="not applicable",K12&lt;&gt;"")),1,0)</x:f>
        <x:v>1</x:v>
      </x:c>
    </x:row>
    <x:row r="13" s="135" customFormat="1" ht="24" customHeight="1">
      <x:c r="A13" s="146" t="inlineStr">
        <x:is>
          <x:t xml:space="preserve">LP-05</x:t>
        </x:is>
      </x:c>
      <x:c r="B13" s="146" t="inlineStr">
        <x:is>
          <x:t xml:space="preserve">Unit</x:t>
        </x:is>
      </x:c>
      <x:c r="C13" s="146" t="inlineStr">
        <x:is>
          <x:t xml:space="preserve">Provider</x:t>
        </x:is>
      </x:c>
      <x:c r="D13" s="146" t="inlineStr">
        <x:is>
          <x:t xml:space="preserve">Focused component tests cover defaults, state or output, passthrough, refs where applicable, and edge cases.</x:t>
        </x:is>
      </x:c>
      <x:c r="E13" s="146" t="inlineStr">
        <x:is>
          <x:t xml:space="preserve">package</x:t>
        </x:is>
      </x:c>
      <x:c r="F13" s="146" t="inlineStr">
        <x:is>
          <x:t xml:space="preserve">component</x:t>
        </x:is>
      </x:c>
      <x:c r="G13" s="146" t="inlineStr">
        <x:is>
          <x:t xml:space="preserve">../test/components/locale-provider/locale-provider.test.tsx</x:t>
        </x:is>
      </x:c>
      <x:c r="H13" s="146" t="inlineStr">
        <x:is>
          <x:t xml:space="preserve">tested</x:t>
        </x:is>
      </x:c>
      <x:c r="I13" s="146" t="inlineStr">
        <x:is>
          <x:t xml:space="preserve">no</x:t>
        </x:is>
      </x:c>
      <x:c r="J13" s="146" t="n">
        <x:v>46269</x:v>
      </x:c>
      <x:c r="K13" s="146" t="n"/>
      <x:c r="L13" s="146" t="n">
        <x:v>1</x:v>
      </x:c>
      <x:c r="M13" s="146" t="n">
        <x:f>IF(OR(AND(I13="yes",H13="verified"),AND(I13="no",OR(H13="tested",H13="verified")),AND(H13="not applicable",K13&lt;&gt;"")),1,0)</x:f>
        <x:v>1</x:v>
      </x:c>
    </x:row>
    <x:row r="14" s="135" customFormat="1" ht="24" customHeight="1">
      <x:c r="A14" s="146" t="inlineStr">
        <x:is>
          <x:t xml:space="preserve">LP-06</x:t>
        </x:is>
      </x:c>
      <x:c r="B14" s="146" t="inlineStr">
        <x:is>
          <x:t xml:space="preserve">Browser</x:t>
        </x:is>
      </x:c>
      <x:c r="C14" s="146" t="inlineStr">
        <x:is>
          <x:t xml:space="preserve">Provider</x:t>
        </x:is>
      </x:c>
      <x:c r="D14" s="146" t="inlineStr">
        <x:is>
          <x:t xml:space="preserve">Real-browser evidence proves the public output, geometry or context behavior and includes an accessibility scan.</x:t>
        </x:is>
      </x:c>
      <x:c r="E14" s="146" t="inlineStr">
        <x:is>
          <x:t xml:space="preserve">package</x:t>
        </x:is>
      </x:c>
      <x:c r="F14" s="146" t="inlineStr">
        <x:is>
          <x:t xml:space="preserve">browser</x:t>
        </x:is>
      </x:c>
      <x:c r="G14" s="146" t="inlineStr">
        <x:is>
          <x:t xml:space="preserve">tests/components/locale-provider/behavior.spec.ts</x:t>
        </x:is>
      </x:c>
      <x:c r="H14" s="146" t="inlineStr">
        <x:is>
          <x:t xml:space="preserve">tested</x:t>
        </x:is>
      </x:c>
      <x:c r="I14" s="146" t="inlineStr">
        <x:is>
          <x:t xml:space="preserve">no</x:t>
        </x:is>
      </x:c>
      <x:c r="J14" s="146" t="n">
        <x:v>46269</x:v>
      </x:c>
      <x:c r="K14" s="146" t="n"/>
      <x:c r="L14" s="146" t="n">
        <x:v>1</x:v>
      </x:c>
      <x:c r="M14" s="146" t="n">
        <x:f>IF(OR(AND(I14="yes",H14="verified"),AND(I14="no",OR(H14="tested",H14="verified")),AND(H14="not applicable",K14&lt;&gt;"")),1,0)</x:f>
        <x:v>1</x:v>
      </x:c>
    </x:row>
    <x:row r="15" s="135" customFormat="1" ht="24" customHeight="1">
      <x:c r="A15" s="146" t="inlineStr">
        <x:is>
          <x:t xml:space="preserve">LP-07</x:t>
        </x:is>
      </x:c>
      <x:c r="B15" s="146" t="inlineStr">
        <x:is>
          <x:t xml:space="preserve">Composition</x:t>
        </x:is>
      </x:c>
      <x:c r="C15" s="146" t="inlineStr">
        <x:is>
          <x:t xml:space="preserve">Provider</x:t>
        </x:is>
      </x:c>
      <x:c r="D15" s="146" t="inlineStr">
        <x:is>
          <x:t xml:space="preserve">The helper composes with finished Brick owners without inserting accidental interaction, paint, or layout ownership.</x:t>
        </x:is>
      </x:c>
      <x:c r="E15" s="146" t="inlineStr">
        <x:is>
          <x:t xml:space="preserve">package</x:t>
        </x:is>
      </x:c>
      <x:c r="F15" s="146" t="inlineStr">
        <x:is>
          <x:t xml:space="preserve">browser</x:t>
        </x:is>
      </x:c>
      <x:c r="G15" s="146" t="inlineStr">
        <x:is>
          <x:t xml:space="preserve">tests/components/locale-provider/behavior.spec.ts</x:t>
        </x:is>
      </x:c>
      <x:c r="H15" s="146" t="inlineStr">
        <x:is>
          <x:t xml:space="preserve">tested</x:t>
        </x:is>
      </x:c>
      <x:c r="I15" s="146" t="inlineStr">
        <x:is>
          <x:t xml:space="preserve">no</x:t>
        </x:is>
      </x:c>
      <x:c r="J15" s="146" t="n">
        <x:v>46269</x:v>
      </x:c>
      <x:c r="K15" s="146" t="n"/>
      <x:c r="L15" s="146" t="n">
        <x:v>1</x:v>
      </x:c>
      <x:c r="M15" s="146" t="n">
        <x:f>IF(OR(AND(I15="yes",H15="verified"),AND(I15="no",OR(H15="tested",H15="verified")),AND(H15="not applicable",K15&lt;&gt;"")),1,0)</x:f>
        <x:v>1</x:v>
      </x:c>
    </x:row>
    <x:row r="16" s="135" customFormat="1" ht="24" customHeight="1">
      <x:c r="A16" s="146" t="inlineStr">
        <x:is>
          <x:t xml:space="preserve">LP-08</x:t>
        </x:is>
      </x:c>
      <x:c r="B16" s="146" t="inlineStr">
        <x:is>
          <x:t xml:space="preserve">Contract</x:t>
        </x:is>
      </x:c>
      <x:c r="C16" s="146" t="inlineStr">
        <x:is>
          <x:t xml:space="preserve">Provider</x:t>
        </x:is>
      </x:c>
      <x:c r="D16" s="146" t="inlineStr">
        <x:is>
          <x:t xml:space="preserve">Locale inheritance, nested overrides, locale-derived direction, and explicit component-label precedence remain deterministic.</x:t>
        </x:is>
      </x:c>
      <x:c r="E16" s="146" t="inlineStr">
        <x:is>
          <x:t xml:space="preserve">package</x:t>
        </x:is>
      </x:c>
      <x:c r="F16" s="146" t="inlineStr">
        <x:is>
          <x:t xml:space="preserve">component</x:t>
        </x:is>
      </x:c>
      <x:c r="G16" s="146" t="inlineStr">
        <x:is>
          <x:t xml:space="preserve">../test/components/locale-provider/locale-provider.test.tsx; tests/components/locale-provider/behavior.spec.ts</x:t>
        </x:is>
      </x:c>
      <x:c r="H16" s="146" t="inlineStr">
        <x:is>
          <x:t xml:space="preserve">tested</x:t>
        </x:is>
      </x:c>
      <x:c r="I16" s="146" t="inlineStr">
        <x:is>
          <x:t xml:space="preserve">no</x:t>
        </x:is>
      </x:c>
      <x:c r="J16" s="146" t="n">
        <x:v>46269</x:v>
      </x:c>
      <x:c r="K16" s="146" t="n"/>
      <x:c r="L16" s="146" t="n">
        <x:v>1</x:v>
      </x:c>
      <x:c r="M16" s="146" t="n">
        <x:f>IF(OR(AND(I16="yes",H16="verified"),AND(I16="no",OR(H16="tested",H16="verified")),AND(H16="not applicable",K16&lt;&gt;"")),1,0)</x:f>
        <x:v>1</x:v>
      </x:c>
    </x:row>
    <x:row r="17" s="135" customFormat="1" ht="24" customHeight="1">
      <x:c r="A17" s="146" t="inlineStr">
        <x:is>
          <x:t xml:space="preserve">LP-09</x:t>
        </x:is>
      </x:c>
      <x:c r="B17" s="146" t="inlineStr">
        <x:is>
          <x:t xml:space="preserve">Accessibility</x:t>
        </x:is>
      </x:c>
      <x:c r="C17" s="146" t="inlineStr">
        <x:is>
          <x:t xml:space="preserve">Provider</x:t>
        </x:is>
      </x:c>
      <x:c r="D17" s="146" t="inlineStr">
        <x:is>
          <x:t xml:space="preserve">Semantics remain with the correct owner, output is readable, passive visuals stay hidden, and axe reports no violations.</x:t>
        </x:is>
      </x:c>
      <x:c r="E17" s="146" t="inlineStr">
        <x:is>
          <x:t xml:space="preserve">package</x:t>
        </x:is>
      </x:c>
      <x:c r="F17" s="146" t="inlineStr">
        <x:is>
          <x:t xml:space="preserve">axe</x:t>
        </x:is>
      </x:c>
      <x:c r="G17" s="146" t="inlineStr">
        <x:is>
          <x:t xml:space="preserve">tests/components/locale-provider/behavior.spec.ts</x:t>
        </x:is>
      </x:c>
      <x:c r="H17" s="146" t="inlineStr">
        <x:is>
          <x:t xml:space="preserve">tested</x:t>
        </x:is>
      </x:c>
      <x:c r="I17" s="146" t="inlineStr">
        <x:is>
          <x:t xml:space="preserve">no</x:t>
        </x:is>
      </x:c>
      <x:c r="J17" s="146" t="n">
        <x:v>46269</x:v>
      </x:c>
      <x:c r="K17" s="146" t="n"/>
      <x:c r="L17" s="146" t="n">
        <x:v>1</x:v>
      </x:c>
      <x:c r="M17" s="146" t="n">
        <x:f>IF(OR(AND(I17="yes",H17="verified"),AND(I17="no",OR(H17="tested",H17="verified")),AND(H17="not applicable",K17&lt;&gt;"")),1,0)</x:f>
        <x:v>1</x:v>
      </x:c>
    </x:row>
    <x:row r="18" s="135" customFormat="1" ht="24" customHeight="1">
      <x:c r="A18" s="146" t="inlineStr">
        <x:is>
          <x:t xml:space="preserve">LP-10</x:t>
        </x:is>
      </x:c>
      <x:c r="B18" s="146" t="inlineStr">
        <x:is>
          <x:t xml:space="preserve">Visual</x:t>
        </x:is>
      </x:c>
      <x:c r="C18" s="146" t="inlineStr">
        <x:is>
          <x:t xml:space="preserve">Provider</x:t>
        </x:is>
      </x:c>
      <x:c r="D18" s="146" t="inlineStr">
        <x:is>
          <x:t xml:space="preserve">A deterministic baseline covers the component's reviewable output in the default appearance.</x:t>
        </x:is>
      </x:c>
      <x:c r="E18" s="146" t="inlineStr">
        <x:is>
          <x:t xml:space="preserve">package</x:t>
        </x:is>
      </x:c>
      <x:c r="F18" s="146" t="inlineStr">
        <x:is>
          <x:t xml:space="preserve">visual</x:t>
        </x:is>
      </x:c>
      <x:c r="G18" s="146" t="inlineStr">
        <x:is>
          <x:t xml:space="preserve">tests/components/locale-provider/visual.spec.ts</x:t>
        </x:is>
      </x:c>
      <x:c r="H18" s="146" t="inlineStr">
        <x:is>
          <x:t xml:space="preserve">implemented</x:t>
        </x:is>
      </x:c>
      <x:c r="I18" s="146" t="inlineStr">
        <x:is>
          <x:t xml:space="preserve">yes</x:t>
        </x:is>
      </x:c>
      <x:c r="J18" s="146" t="n"/>
      <x:c r="K18" s="146" t="inlineStr">
        <x:is>
          <x:t xml:space="preserve">Automated baseline exists; complete owner visual review is intentionally unclaimed.</x:t>
        </x:is>
      </x:c>
      <x:c r="L18" s="146" t="n">
        <x:v>1</x:v>
      </x:c>
      <x:c r="M18" s="146" t="n">
        <x:f>IF(OR(AND(I18="yes",H18="verified"),AND(I18="no",OR(H18="tested",H18="verified")),AND(H18="not applicable",K18&lt;&gt;"")),1,0)</x:f>
        <x:v>0</x:v>
      </x:c>
    </x:row>
    <x:row r="19" s="135" customFormat="1" ht="24" customHeight="1">
      <x:c r="A19" s="146" t="inlineStr">
        <x:is>
          <x:t xml:space="preserve">LP-11</x:t>
        </x:is>
      </x:c>
      <x:c r="B19" s="146" t="inlineStr">
        <x:is>
          <x:t xml:space="preserve">Responsive</x:t>
        </x:is>
      </x:c>
      <x:c r="C19" s="146" t="inlineStr">
        <x:is>
          <x:t xml:space="preserve">Provider</x:t>
        </x:is>
      </x:c>
      <x:c r="D19" s="146" t="inlineStr">
        <x:is>
          <x:t xml:space="preserve">Mobile, zoom, RTL, appearance, and forced-colors conditions preserve readable output and correct ownership.</x:t>
        </x:is>
      </x:c>
      <x:c r="E19" s="146" t="inlineStr">
        <x:is>
          <x:t xml:space="preserve">package</x:t>
        </x:is>
      </x:c>
      <x:c r="F19" s="146" t="inlineStr">
        <x:is>
          <x:t xml:space="preserve">manual</x:t>
        </x:is>
      </x:c>
      <x:c r="G19" s="146" t="inlineStr">
        <x:is>
          <x:t xml:space="preserve">manual-tests/locale-provider.md</x:t>
        </x:is>
      </x:c>
      <x:c r="H19" s="146" t="inlineStr">
        <x:is>
          <x:t xml:space="preserve">implemented</x:t>
        </x:is>
      </x:c>
      <x:c r="I19" s="146" t="inlineStr">
        <x:is>
          <x:t xml:space="preserve">yes</x:t>
        </x:is>
      </x:c>
      <x:c r="J19" s="146" t="n"/>
      <x:c r="K19" s="146" t="inlineStr">
        <x:is>
          <x:t xml:space="preserve">Automated evidence exists; the complete human stress run remains pending.</x:t>
        </x:is>
      </x:c>
      <x:c r="L19" s="146" t="n">
        <x:v>1</x:v>
      </x:c>
      <x:c r="M19" s="146" t="n">
        <x:f>IF(OR(AND(I19="yes",H19="verified"),AND(I19="no",OR(H19="tested",H19="verified")),AND(H19="not applicable",K19&lt;&gt;"")),1,0)</x:f>
        <x:v>0</x:v>
      </x:c>
    </x:row>
    <x:row r="20" s="135" customFormat="1" ht="24" customHeight="1">
      <x:c r="A20" s="146" t="inlineStr">
        <x:is>
          <x:t xml:space="preserve">LP-12</x:t>
        </x:is>
      </x:c>
      <x:c r="B20" s="146" t="inlineStr">
        <x:is>
          <x:t xml:space="preserve">Manual</x:t>
        </x:is>
      </x:c>
      <x:c r="C20" s="146" t="inlineStr">
        <x:is>
          <x:t xml:space="preserve">Locale Provider</x:t>
        </x:is>
      </x:c>
      <x:c r="D20" s="146" t="inlineStr">
        <x:is>
          <x:t xml:space="preserve">A tester completes the component-owned behavior, appearance, forced-colors, mobile, RTL, zoom, and accessibility protocol.</x:t>
        </x:is>
      </x:c>
      <x:c r="E20" s="146" t="inlineStr">
        <x:is>
          <x:t xml:space="preserve">package</x:t>
        </x:is>
      </x:c>
      <x:c r="F20" s="146" t="inlineStr">
        <x:is>
          <x:t xml:space="preserve">manual</x:t>
        </x:is>
      </x:c>
      <x:c r="G20" s="146" t="inlineStr">
        <x:is>
          <x:t xml:space="preserve">manual-tests/locale-provider.md</x:t>
        </x:is>
      </x:c>
      <x:c r="H20" s="146" t="inlineStr">
        <x:is>
          <x:t xml:space="preserve">implemented</x:t>
        </x:is>
      </x:c>
      <x:c r="I20" s="146" t="inlineStr">
        <x:is>
          <x:t xml:space="preserve">yes</x:t>
        </x:is>
      </x:c>
      <x:c r="J20" s="146" t="n"/>
      <x:c r="K20" s="146" t="inlineStr">
        <x:is>
          <x:t xml:space="preserve">Protocol exists; owner human review remains intentionally unclaimed.</x:t>
        </x:is>
      </x:c>
      <x:c r="L20" s="146" t="n">
        <x:v>1</x:v>
      </x:c>
      <x:c r="M20" s="146" t="n">
        <x:f>IF(OR(AND(I20="yes",H20="verified"),AND(I20="no",OR(H20="tested",H20="verified")),AND(H20="not applicable",K20&lt;&gt;"")),1,0)</x:f>
        <x:v>0</x:v>
      </x:c>
    </x:row>
    <x:row r="21" s="135" customFormat="1" ht="36" customHeight="1">
      <x:c r="A21" s="146" t="inlineStr">
        <x:is>
          <x:t xml:space="preserve">LP-13</x:t>
        </x:is>
      </x:c>
      <x:c r="B21" s="146" t="inlineStr">
        <x:is>
          <x:t xml:space="preserve">Docs</x:t>
        </x:is>
      </x:c>
      <x:c r="C21" s="146" t="inlineStr">
        <x:is>
          <x:t xml:space="preserve">Locale Provider</x:t>
        </x:is>
      </x:c>
      <x:c r="D21" s="146" t="inlineStr">
        <x:is>
          <x:t xml:space="preserve">Public and Agent Knowledge guidance covers selection, boundaries, API, composition, accessibility, and validation.</x:t>
        </x:is>
      </x:c>
      <x:c r="E21" s="146" t="inlineStr">
        <x:is>
          <x:t xml:space="preserve">package</x:t>
        </x:is>
      </x:c>
      <x:c r="F21" s="146" t="inlineStr">
        <x:is>
          <x:t xml:space="preserve">docs</x:t>
        </x:is>
      </x:c>
      <x:c r="G21" s="146" t="inlineStr">
        <x:is>
          <x:t xml:space="preserve">../docs/components/locale-provider/README.md; ../src/components/locale-provider/agent.json; ../src/components/locale-provider/agent.md</x:t>
        </x:is>
      </x:c>
      <x:c r="H21" s="146" t="inlineStr">
        <x:is>
          <x:t xml:space="preserve">tested</x:t>
        </x:is>
      </x:c>
      <x:c r="I21" s="146" t="inlineStr">
        <x:is>
          <x:t xml:space="preserve">no</x:t>
        </x:is>
      </x:c>
      <x:c r="J21" s="146" t="n">
        <x:v>46269</x:v>
      </x:c>
      <x:c r="K21" s="146" t="inlineStr">
        <x:is>
          <x:t xml:space="preserve">September 13: useFilter export, Atom delegation, inherited/explicit locale, nested scopes and modern docs.</x:t>
        </x:is>
      </x:c>
      <x:c r="L21" s="146" t="n">
        <x:v>1</x:v>
      </x:c>
      <x:c r="M21" s="146" t="n">
        <x:f>IF(OR(AND(I21="yes",H21="verified"),AND(I21="no",OR(H21="tested",H21="verified")),AND(H21="not applicable",K21&lt;&gt;"")),1,0)</x:f>
        <x:v>1</x:v>
      </x:c>
    </x:row>
    <x:row r="22" s="135" customFormat="1" ht="24" customHeight="1">
      <x:c r="A22" s="146" t="inlineStr">
        <x:is>
          <x:t xml:space="preserve">LP-14</x:t>
        </x:is>
      </x:c>
      <x:c r="B22" s="146" t="inlineStr">
        <x:is>
          <x:t xml:space="preserve">Changelog</x:t>
        </x:is>
      </x:c>
      <x:c r="C22" s="146" t="inlineStr">
        <x:is>
          <x:t xml:space="preserve">Locale Provider</x:t>
        </x:is>
      </x:c>
      <x:c r="D22" s="146" t="inlineStr">
        <x:is>
          <x:t xml:space="preserve">Component and package histories record the public addition and consumer-visible contract.</x:t>
        </x:is>
      </x:c>
      <x:c r="E22" s="146" t="inlineStr">
        <x:is>
          <x:t xml:space="preserve">package</x:t>
        </x:is>
      </x:c>
      <x:c r="F22" s="146" t="inlineStr">
        <x:is>
          <x:t xml:space="preserve">docs</x:t>
        </x:is>
      </x:c>
      <x:c r="G22" s="146" t="inlineStr">
        <x:is>
          <x:t xml:space="preserve">../docs/components/locale-provider/CHANGELOG.md; ../CHANGELOG.md</x:t>
        </x:is>
      </x:c>
      <x:c r="H22" s="146" t="inlineStr">
        <x:is>
          <x:t xml:space="preserve">tested</x:t>
        </x:is>
      </x:c>
      <x:c r="I22" s="146" t="inlineStr">
        <x:is>
          <x:t xml:space="preserve">no</x:t>
        </x:is>
      </x:c>
      <x:c r="J22" s="146" t="n">
        <x:v>46269</x:v>
      </x:c>
      <x:c r="K22" s="146" t="n"/>
      <x:c r="L22" s="146" t="n">
        <x:v>1</x:v>
      </x:c>
      <x:c r="M22" s="146" t="n">
        <x:f>IF(OR(AND(I22="yes",H22="verified"),AND(I22="no",OR(H22="tested",H22="verified")),AND(H22="not applicable",K22&lt;&gt;"")),1,0)</x:f>
        <x:v>1</x:v>
      </x:c>
    </x:row>
    <x:row r="23" s="135" customFormat="1" ht="24" customHeight="1">
      <x:c r="A23" s="146" t="inlineStr">
        <x:is>
          <x:t xml:space="preserve">LP-15</x:t>
        </x:is>
      </x:c>
      <x:c r="B23" s="146" t="inlineStr">
        <x:is>
          <x:t xml:space="preserve">Consumer</x:t>
        </x:is>
      </x:c>
      <x:c r="C23" s="146" t="inlineStr">
        <x:is>
          <x:t xml:space="preserve">Locale Provider</x:t>
        </x:is>
      </x:c>
      <x:c r="D23" s="146" t="inlineStr">
        <x:is>
          <x:t xml:space="preserve">A packed consumer directly imports and composes the public subpath in a realistic application boundary.</x:t>
        </x:is>
      </x:c>
      <x:c r="E23" s="146" t="inlineStr">
        <x:is>
          <x:t xml:space="preserve">consumer</x:t>
        </x:is>
      </x:c>
      <x:c r="F23" s="146" t="inlineStr">
        <x:is>
          <x:t xml:space="preserve">consumer</x:t>
        </x:is>
      </x:c>
      <x:c r="G23" s="146" t="inlineStr">
        <x:is>
          <x:t xml:space="preserve">../apps/consumer</x:t>
        </x:is>
      </x:c>
      <x:c r="H23" s="146" t="inlineStr">
        <x:is>
          <x:t xml:space="preserve">implemented</x:t>
        </x:is>
      </x:c>
      <x:c r="I23" s="146" t="inlineStr">
        <x:is>
          <x:t xml:space="preserve">yes</x:t>
        </x:is>
      </x:c>
      <x:c r="J23" s="146" t="n"/>
      <x:c r="K23" s="146" t="inlineStr">
        <x:is>
          <x:t xml:space="preserve">Consumer integration remains pending for this unreleased local package change.</x:t>
        </x:is>
      </x:c>
      <x:c r="L23" s="146" t="n">
        <x:v>1</x:v>
      </x:c>
      <x:c r="M23" s="146" t="n">
        <x:f>IF(OR(AND(I23="yes",H23="verified"),AND(I23="no",OR(H23="tested",H23="verified")),AND(H23="not applicable",K23&lt;&gt;"")),1,0)</x:f>
        <x:v>0</x:v>
      </x:c>
    </x:row>
    <x:row r="24" s="135" customFormat="1" ht="36" customHeight="1">
      <x:c r="A24" s="146" t="inlineStr">
        <x:is>
          <x:t xml:space="preserve">LP-16</x:t>
        </x:is>
      </x:c>
      <x:c r="B24" s="146" t="inlineStr">
        <x:is>
          <x:t xml:space="preserve">Package</x:t>
        </x:is>
      </x:c>
      <x:c r="C24" s="146" t="inlineStr">
        <x:is>
          <x:t xml:space="preserve">Locale Provider</x:t>
        </x:is>
      </x:c>
      <x:c r="D24" s="146" t="inlineStr">
        <x:is>
          <x:t xml:space="preserve">Build, SSR, exports, CSS, tarball, documentation, browser, axe, visual, and consumer gates pass.</x:t>
        </x:is>
      </x:c>
      <x:c r="E24" s="146" t="inlineStr">
        <x:is>
          <x:t xml:space="preserve">package</x:t>
        </x:is>
      </x:c>
      <x:c r="F24" s="146" t="inlineStr">
        <x:is>
          <x:t xml:space="preserve">package</x:t>
        </x:is>
      </x:c>
      <x:c r="G24" s="146" t="inlineStr">
        <x:is>
          <x:t xml:space="preserve">../test/package; ../scripts/verify-package.mjs; ../scripts/verify-app-consumer.mjs</x:t>
        </x:is>
      </x:c>
      <x:c r="H24" s="146" t="inlineStr">
        <x:is>
          <x:t xml:space="preserve">implemented</x:t>
        </x:is>
      </x:c>
      <x:c r="I24" s="146" t="inlineStr">
        <x:is>
          <x:t xml:space="preserve">yes</x:t>
        </x:is>
      </x:c>
      <x:c r="J24" s="146" t="n"/>
      <x:c r="K24" s="146" t="inlineStr">
        <x:is>
          <x:t xml:space="preserve">Automated package evidence is present; complete status waits for the manual run and an authorized release.</x:t>
        </x:is>
      </x:c>
      <x:c r="L24" s="146" t="n">
        <x:v>1</x:v>
      </x:c>
      <x:c r="M24" s="146" t="n">
        <x:f>IF(OR(AND(I24="yes",H24="verified"),AND(I24="no",OR(H24="tested",H24="verified")),AND(H24="not applicable",K24&lt;&gt;"")),1,0)</x:f>
        <x:v>0</x:v>
      </x:c>
    </x:row>
    <x:row r="25" s="135" customFormat="1" ht="63.75" customHeight="1">
      <x:c r="A25" s="148" t="inlineStr">
        <x:is>
          <x:t xml:space="preserve">localeprovider-inventory</x:t>
        </x:is>
      </x:c>
      <x:c r="B25" s="148" t="inlineStr">
        <x:is>
          <x:t xml:space="preserve">Playground</x:t>
        </x:is>
      </x:c>
      <x:c r="C25" s="148" t="inlineStr">
        <x:is>
          <x:t xml:space="preserve">Locale Provider</x:t>
        </x:is>
      </x:c>
      <x:c r="D25" s="148" t="inlineStr">
        <x:is>
          <x:t xml:space="preserve">Every declared scenario renders in order at 390px and 1280px without page overflow or runtime exceptions.</x:t>
        </x:is>
      </x:c>
      <x:c r="E25" s="148" t="inlineStr">
        <x:is>
          <x:t xml:space="preserve">component</x:t>
        </x:is>
      </x:c>
      <x:c r="F25" s="148" t="inlineStr">
        <x:is>
          <x:t xml:space="preserve">browser</x:t>
        </x:is>
      </x:c>
      <x:c r="G25" s="148" t="inlineStr">
        <x:is>
          <x:t xml:space="preserve">playground/tests/integration/recent-component-capabilities.spec.ts</x:t>
        </x:is>
      </x:c>
      <x:c r="H25" s="148" t="inlineStr">
        <x:is>
          <x:t xml:space="preserve">tested</x:t>
        </x:is>
      </x:c>
      <x:c r="I25" s="148" t="inlineStr">
        <x:is>
          <x:t xml:space="preserve">no</x:t>
        </x:is>
      </x:c>
      <x:c r="J25" s="148" t="inlineStr">
        <x:is>
          <x:t xml:space="preserve">2026-09-05</x:t>
        </x:is>
      </x:c>
      <x:c r="K25" s="148" t="inlineStr">
        <x:is>
          <x:t xml:space="preserve">This assertion does not establish full behavioral or manual qualification.</x:t>
        </x:is>
      </x:c>
      <x:c r="L25" s="148" t="n">
        <x:v>1</x:v>
      </x:c>
      <x:c r="M25" s="148" t="n">
        <x:f>IF(OR(H25="tested",H25="verified"),1,0)</x:f>
        <x:v>1</x:v>
      </x:c>
    </x:row>
    <x:row r="26" s="135" customFormat="1" ht="15" customHeight="1">
      <x:c r="A26" s="217" t="n"/>
      <x:c r="B26" s="217" t="n"/>
      <x:c r="C26" s="217" t="n"/>
      <x:c r="D26" s="217" t="n"/>
      <x:c r="E26" s="217" t="n"/>
      <x:c r="F26" s="217" t="n"/>
      <x:c r="G26" s="217" t="n"/>
      <x:c r="H26" s="217" t="n"/>
      <x:c r="I26" s="217" t="n"/>
      <x:c r="J26" s="217" t="n"/>
      <x:c r="K26" s="217" t="n"/>
      <x:c r="L26" s="217" t="n"/>
      <x:c r="M26" s="217" t="n"/>
    </x:row>
    <x:row r="27" s="135" customFormat="1" ht="15" customHeight="1">
      <x:c r="A27" s="217" t="n"/>
      <x:c r="B27" s="217" t="n"/>
      <x:c r="C27" s="217" t="n"/>
      <x:c r="D27" s="217" t="n"/>
      <x:c r="E27" s="217" t="n"/>
      <x:c r="F27" s="217" t="n"/>
      <x:c r="G27" s="217" t="n"/>
      <x:c r="H27" s="217" t="n"/>
      <x:c r="I27" s="217" t="n"/>
      <x:c r="J27" s="217" t="n"/>
      <x:c r="K27" s="217" t="n"/>
      <x:c r="L27" s="217" t="n"/>
      <x:c r="M27" s="217" t="n"/>
    </x:row>
    <x:row r="28" s="135" customFormat="1" ht="15" customHeight="1">
      <x:c r="A28" s="217" t="n"/>
      <x:c r="B28" s="217" t="n"/>
      <x:c r="C28" s="217" t="n"/>
      <x:c r="D28" s="217" t="n"/>
      <x:c r="E28" s="217" t="n"/>
      <x:c r="F28" s="217" t="n"/>
      <x:c r="G28" s="217" t="n"/>
      <x:c r="H28" s="217" t="n"/>
      <x:c r="I28" s="217" t="n"/>
      <x:c r="J28" s="217" t="n"/>
      <x:c r="K28" s="217" t="n"/>
      <x:c r="L28" s="217" t="n"/>
      <x:c r="M28" s="217" t="n"/>
    </x:row>
  </x:sheetData>
  <x:dataValidations count="1">
    <x:dataValidation type="list" errorStyle="stop" operator="between" allowBlank="0" showDropDown="0" showInputMessage="0" showErrorMessage="0" sqref="H25">
      <x:formula1>_Lists!$A$1:$A$7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0e146bca923241ea"/>
  </x:tableParts>
</x:worksheet>
</file>

<file path=xl/worksheets/sheet105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4" style="138" customWidth="1"/>
    <x:col min="2" max="2" width="13" style="138" customWidth="1"/>
    <x:col min="3" max="3" width="15.510000228881836" style="138" customWidth="1"/>
    <x:col min="4" max="4" width="53.75" style="138" customWidth="1"/>
    <x:col min="5" max="5" width="11" style="138" customWidth="1"/>
    <x:col min="6" max="6" width="13" style="138" customWidth="1"/>
    <x:col min="7" max="7" width="41.25" style="138" customWidth="1"/>
    <x:col min="8" max="8" width="12" style="138" customWidth="1"/>
    <x:col min="9" max="10" width="12.75" style="138" customWidth="1"/>
    <x:col min="11" max="11" width="41.25" style="138" customWidth="1"/>
    <x:col min="12" max="12" width="8.75" style="138" customWidth="1"/>
    <x:col min="13" max="13" width="9.75" style="138" customWidth="1"/>
  </x:cols>
  <x:sheetData>
    <x:row r="1" s="135" customFormat="1" ht="15" customHeight="1">
      <x:c r="A1" s="217" t="inlineStr">
        <x:is>
          <x:t xml:space="preserve">Format Number Evidence</x:t>
        </x:is>
      </x:c>
      <x:c r="B1" s="217" t="n"/>
      <x:c r="C1" s="217" t="n"/>
      <x:c r="D1" s="217" t="n"/>
      <x:c r="E1" s="217" t="n"/>
      <x:c r="F1" s="217" t="n"/>
      <x:c r="G1" s="217" t="n"/>
      <x:c r="H1" s="217" t="n"/>
      <x:c r="I1" s="217" t="n"/>
      <x:c r="J1" s="217" t="n"/>
      <x:c r="K1" s="217" t="n"/>
      <x:c r="L1" s="217" t="n"/>
      <x:c r="M1" s="217" t="n"/>
    </x:row>
    <x:row r="2" s="135" customFormat="1" ht="15" customHeight="1">
      <x:c r="A2" s="217" t="inlineStr">
        <x:is>
          <x:t xml:space="preserve">Assertion-level numeric formatting, locale inheritance, browser, documentation, and package evidence.</x:t>
        </x:is>
      </x:c>
      <x:c r="B2" s="217" t="n"/>
      <x:c r="C2" s="217" t="n"/>
      <x:c r="D2" s="217" t="n"/>
      <x:c r="E2" s="217" t="n"/>
      <x:c r="F2" s="217" t="n"/>
      <x:c r="G2" s="217" t="n"/>
      <x:c r="H2" s="217" t="n"/>
      <x:c r="I2" s="217" t="n"/>
      <x:c r="J2" s="217" t="n"/>
      <x:c r="K2" s="217" t="n"/>
      <x:c r="L2" s="217" t="n"/>
      <x:c r="M2" s="217" t="n"/>
    </x:row>
    <x:row r="3" s="135" customFormat="1" ht="15" customHeight="1">
      <x:c r="A3" s="217" t="n"/>
      <x:c r="B3" s="217" t="n"/>
      <x:c r="C3" s="217" t="n"/>
      <x:c r="D3" s="217" t="n"/>
      <x:c r="E3" s="217" t="n"/>
      <x:c r="F3" s="217" t="n"/>
      <x:c r="G3" s="217" t="n"/>
      <x:c r="H3" s="217" t="n"/>
      <x:c r="I3" s="217" t="n"/>
      <x:c r="J3" s="217" t="n"/>
      <x:c r="K3" s="217" t="n"/>
      <x:c r="L3" s="217" t="n"/>
      <x:c r="M3" s="217" t="n"/>
    </x:row>
    <x:row r="4" s="135" customFormat="1" ht="15" customHeight="1">
      <x:c r="A4" s="217" t="inlineStr">
        <x:is>
          <x:t xml:space="preserve">Requirements</x:t>
        </x:is>
      </x:c>
      <x:c r="B4" s="217" t="n">
        <x:f>COUNTA(A9:A25)</x:f>
        <x:v>17</x:v>
      </x:c>
      <x:c r="C4" s="217" t="n"/>
      <x:c r="D4" s="217" t="inlineStr">
        <x:is>
          <x:t xml:space="preserve">Resolved</x:t>
        </x:is>
      </x:c>
      <x:c r="E4" s="217" t="n">
        <x:f>SUM(M9:M25)</x:f>
        <x:v>12</x:v>
      </x:c>
      <x:c r="F4" s="217" t="n"/>
      <x:c r="G4" s="217" t="inlineStr">
        <x:is>
          <x:t xml:space="preserve">Completion</x:t>
        </x:is>
      </x:c>
      <x:c r="H4" s="217" t="n">
        <x:f>IF(B4=0,0,E4/B4)</x:f>
        <x:v>0.7058823529411765</x:v>
      </x:c>
      <x:c r="I4" s="217" t="n"/>
      <x:c r="J4" s="217" t="inlineStr">
        <x:is>
          <x:t xml:space="preserve">Package gate</x:t>
        </x:is>
      </x:c>
      <x:c r="K4" s="217" t="str">
        <x:f>IF(COUNTIFS(E9:E24,"package",M9:M24,0)&gt;0,"open","complete")</x:f>
        <x:v>open</x:v>
      </x:c>
      <x:c r="L4" s="217" t="n"/>
      <x:c r="M4" s="217" t="n"/>
    </x:row>
    <x:row r="5" s="135" customFormat="1" ht="15" customHeight="1">
      <x:c r="A5" s="217" t="inlineStr">
        <x:is>
          <x:t xml:space="preserve">Manual review</x:t>
        </x:is>
      </x:c>
      <x:c r="B5" s="217" t="str">
        <x:f>IF(COUNTIFS(I9:I24,"yes",M9:M24,0)&gt;0,"open","complete")</x:f>
        <x:v>open</x:v>
      </x:c>
      <x:c r="C5" s="217" t="n"/>
      <x:c r="D5" s="217" t="inlineStr">
        <x:is>
          <x:t xml:space="preserve">Consumer gate</x:t>
        </x:is>
      </x:c>
      <x:c r="E5" s="217" t="str">
        <x:f>IF(COUNTIFS(E9:E24,"consumer",M9:M24,0)&gt;0,"open","complete")</x:f>
        <x:v>open</x:v>
      </x:c>
      <x:c r="F5" s="217" t="n"/>
      <x:c r="G5" s="217" t="n"/>
      <x:c r="H5" s="217" t="n"/>
      <x:c r="I5" s="217" t="n"/>
      <x:c r="J5" s="217" t="n"/>
      <x:c r="K5" s="217" t="n"/>
      <x:c r="L5" s="217" t="n"/>
      <x:c r="M5" s="217" t="n"/>
    </x:row>
    <x:row r="6" s="135" customFormat="1" ht="15" customHeight="1">
      <x:c r="A6" s="217" t="n"/>
      <x:c r="B6" s="217" t="n"/>
      <x:c r="C6" s="217" t="n"/>
      <x:c r="D6" s="217" t="n"/>
      <x:c r="E6" s="217" t="n"/>
      <x:c r="F6" s="217" t="n"/>
      <x:c r="G6" s="217" t="n"/>
      <x:c r="H6" s="217" t="n"/>
      <x:c r="I6" s="217" t="n"/>
      <x:c r="J6" s="217" t="n"/>
      <x:c r="K6" s="217" t="n"/>
      <x:c r="L6" s="217" t="n"/>
      <x:c r="M6" s="217" t="n"/>
    </x:row>
    <x:row r="7" s="135" customFormat="1" ht="15" customHeight="1">
      <x:c r="A7" s="217" t="n"/>
      <x:c r="B7" s="217" t="n"/>
      <x:c r="C7" s="217" t="n"/>
      <x:c r="D7" s="217" t="n"/>
      <x:c r="E7" s="217" t="n"/>
      <x:c r="F7" s="217" t="n"/>
      <x:c r="G7" s="217" t="n"/>
      <x:c r="H7" s="217" t="n"/>
      <x:c r="I7" s="217" t="n"/>
      <x:c r="J7" s="217" t="n"/>
      <x:c r="K7" s="217" t="n"/>
      <x:c r="L7" s="217" t="n"/>
      <x:c r="M7" s="217" t="n"/>
    </x:row>
    <x:row r="8" s="135" customFormat="1" ht="15" customHeight="1">
      <x:c r="A8" s="217" t="inlineStr">
        <x:is>
          <x:t xml:space="preserve">ID</x:t>
        </x:is>
      </x:c>
      <x:c r="B8" s="217" t="inlineStr">
        <x:is>
          <x:t xml:space="preserve">Area</x:t>
        </x:is>
      </x:c>
      <x:c r="C8" s="217" t="inlineStr">
        <x:is>
          <x:t xml:space="preserve">Part</x:t>
        </x:is>
      </x:c>
      <x:c r="D8" s="217" t="inlineStr">
        <x:is>
          <x:t xml:space="preserve">Requirement</x:t>
        </x:is>
      </x:c>
      <x:c r="E8" s="217" t="inlineStr">
        <x:is>
          <x:t xml:space="preserve">Gate</x:t>
        </x:is>
      </x:c>
      <x:c r="F8" s="217" t="inlineStr">
        <x:is>
          <x:t xml:space="preserve">Evidence type</x:t>
        </x:is>
      </x:c>
      <x:c r="G8" s="217" t="inlineStr">
        <x:is>
          <x:t xml:space="preserve">Evidence / link</x:t>
        </x:is>
      </x:c>
      <x:c r="H8" s="217" t="inlineStr">
        <x:is>
          <x:t xml:space="preserve">Status</x:t>
        </x:is>
      </x:c>
      <x:c r="I8" s="217" t="inlineStr">
        <x:is>
          <x:t xml:space="preserve">Human review?</x:t>
        </x:is>
      </x:c>
      <x:c r="J8" s="217" t="inlineStr">
        <x:is>
          <x:t xml:space="preserve">Last verified</x:t>
        </x:is>
      </x:c>
      <x:c r="K8" s="217" t="inlineStr">
        <x:is>
          <x:t xml:space="preserve">Blocker / N/A reason</x:t>
        </x:is>
      </x:c>
      <x:c r="L8" s="217" t="inlineStr">
        <x:is>
          <x:t xml:space="preserve">Weight</x:t>
        </x:is>
      </x:c>
      <x:c r="M8" s="217" t="inlineStr">
        <x:is>
          <x:t xml:space="preserve">Resolved</x:t>
        </x:is>
      </x:c>
    </x:row>
    <x:row r="9" s="135" customFormat="1" ht="24" customHeight="1">
      <x:c r="A9" s="146" t="inlineStr">
        <x:is>
          <x:t xml:space="preserve">FN-01</x:t>
        </x:is>
      </x:c>
      <x:c r="B9" s="146" t="inlineStr">
        <x:is>
          <x:t xml:space="preserve">Implementation</x:t>
        </x:is>
      </x:c>
      <x:c r="C9" s="146" t="inlineStr">
        <x:is>
          <x:t xml:space="preserve">Formatter</x:t>
        </x:is>
      </x:c>
      <x:c r="D9" s="146" t="inlineStr">
        <x:is>
          <x:t xml:space="preserve">Format Number implements its documented public contract without taking over application-owned concerns.</x:t>
        </x:is>
      </x:c>
      <x:c r="E9" s="146" t="inlineStr">
        <x:is>
          <x:t xml:space="preserve">package</x:t>
        </x:is>
      </x:c>
      <x:c r="F9" s="146" t="inlineStr">
        <x:is>
          <x:t xml:space="preserve">source</x:t>
        </x:is>
      </x:c>
      <x:c r="G9" s="146" t="inlineStr">
        <x:is>
          <x:t xml:space="preserve">../src/components/format-number</x:t>
        </x:is>
      </x:c>
      <x:c r="H9" s="146" t="inlineStr">
        <x:is>
          <x:t xml:space="preserve">tested</x:t>
        </x:is>
      </x:c>
      <x:c r="I9" s="146" t="inlineStr">
        <x:is>
          <x:t xml:space="preserve">no</x:t>
        </x:is>
      </x:c>
      <x:c r="J9" s="146" t="n">
        <x:v>46269</x:v>
      </x:c>
      <x:c r="K9" s="146" t="n"/>
      <x:c r="L9" s="146" t="n">
        <x:v>1</x:v>
      </x:c>
      <x:c r="M9" s="146" t="n">
        <x:f>IF(OR(AND(I9="yes",H9="verified"),AND(I9="no",OR(H9="tested",H9="verified")),AND(H9="not applicable",K9&lt;&gt;"")),1,0)</x:f>
        <x:v>1</x:v>
      </x:c>
    </x:row>
    <x:row r="10" s="135" customFormat="1" ht="24" customHeight="1">
      <x:c r="A10" s="146" t="inlineStr">
        <x:is>
          <x:t xml:space="preserve">FN-02</x:t>
        </x:is>
      </x:c>
      <x:c r="B10" s="146" t="inlineStr">
        <x:is>
          <x:t xml:space="preserve">Exports</x:t>
        </x:is>
      </x:c>
      <x:c r="C10" s="146" t="inlineStr">
        <x:is>
          <x:t xml:space="preserve">Format Number</x:t>
        </x:is>
      </x:c>
      <x:c r="D10" s="146" t="inlineStr">
        <x:is>
          <x:t xml:space="preserve">Root and format-number subpath exports expose every public runtime and type with identical identity.</x:t>
        </x:is>
      </x:c>
      <x:c r="E10" s="146" t="inlineStr">
        <x:is>
          <x:t xml:space="preserve">package</x:t>
        </x:is>
      </x:c>
      <x:c r="F10" s="146" t="inlineStr">
        <x:is>
          <x:t xml:space="preserve">package</x:t>
        </x:is>
      </x:c>
      <x:c r="G10" s="146" t="inlineStr">
        <x:is>
          <x:t xml:space="preserve">../test/package/package.test.mjs; ../test/package/ssr.test.mjs</x:t>
        </x:is>
      </x:c>
      <x:c r="H10" s="146" t="inlineStr">
        <x:is>
          <x:t xml:space="preserve">tested</x:t>
        </x:is>
      </x:c>
      <x:c r="I10" s="146" t="inlineStr">
        <x:is>
          <x:t xml:space="preserve">no</x:t>
        </x:is>
      </x:c>
      <x:c r="J10" s="146" t="n">
        <x:v>46269</x:v>
      </x:c>
      <x:c r="K10" s="146" t="n"/>
      <x:c r="L10" s="146" t="n">
        <x:v>1</x:v>
      </x:c>
      <x:c r="M10" s="146" t="n">
        <x:f>IF(OR(AND(I10="yes",H10="verified"),AND(I10="no",OR(H10="tested",H10="verified")),AND(H10="not applicable",K10&lt;&gt;"")),1,0)</x:f>
        <x:v>1</x:v>
      </x:c>
    </x:row>
    <x:row r="11" s="135" customFormat="1" ht="24" customHeight="1">
      <x:c r="A11" s="146" t="inlineStr">
        <x:is>
          <x:t xml:space="preserve">FN-03</x:t>
        </x:is>
      </x:c>
      <x:c r="B11" s="146" t="inlineStr">
        <x:is>
          <x:t xml:space="preserve">Types</x:t>
        </x:is>
      </x:c>
      <x:c r="C11" s="146" t="inlineStr">
        <x:is>
          <x:t xml:space="preserve">Public surface</x:t>
        </x:is>
      </x:c>
      <x:c r="D11" s="146" t="inlineStr">
        <x:is>
          <x:t xml:space="preserve">Public props, native passthrough where applicable, refs, and invalid values are covered by compile-time evidence.</x:t>
        </x:is>
      </x:c>
      <x:c r="E11" s="146" t="inlineStr">
        <x:is>
          <x:t xml:space="preserve">package</x:t>
        </x:is>
      </x:c>
      <x:c r="F11" s="146" t="inlineStr">
        <x:is>
          <x:t xml:space="preserve">types</x:t>
        </x:is>
      </x:c>
      <x:c r="G11" s="146" t="inlineStr">
        <x:is>
          <x:t xml:space="preserve">../test/types/components/format-number.test.ts</x:t>
        </x:is>
      </x:c>
      <x:c r="H11" s="146" t="inlineStr">
        <x:is>
          <x:t xml:space="preserve">tested</x:t>
        </x:is>
      </x:c>
      <x:c r="I11" s="146" t="inlineStr">
        <x:is>
          <x:t xml:space="preserve">no</x:t>
        </x:is>
      </x:c>
      <x:c r="J11" s="146" t="n">
        <x:v>46269</x:v>
      </x:c>
      <x:c r="K11" s="146" t="n"/>
      <x:c r="L11" s="146" t="n">
        <x:v>1</x:v>
      </x:c>
      <x:c r="M11" s="146" t="n">
        <x:f>IF(OR(AND(I11="yes",H11="verified"),AND(I11="no",OR(H11="tested",H11="verified")),AND(H11="not applicable",K11&lt;&gt;"")),1,0)</x:f>
        <x:v>1</x:v>
      </x:c>
    </x:row>
    <x:row r="12" s="135" customFormat="1" ht="24" customHeight="1">
      <x:c r="A12" s="146" t="inlineStr">
        <x:is>
          <x:t xml:space="preserve">FN-04</x:t>
        </x:is>
      </x:c>
      <x:c r="B12" s="146" t="inlineStr">
        <x:is>
          <x:t xml:space="preserve">CSS</x:t>
        </x:is>
      </x:c>
      <x:c r="C12" s="146" t="inlineStr">
        <x:is>
          <x:t xml:space="preserve">Formatter</x:t>
        </x:is>
      </x:c>
      <x:c r="D12" s="146" t="inlineStr">
        <x:is>
          <x:t xml:space="preserve">The modular style entry owns only documented presentation; context and wrapper-free helpers add no visual recipe.</x:t>
        </x:is>
      </x:c>
      <x:c r="E12" s="146" t="inlineStr">
        <x:is>
          <x:t xml:space="preserve">package</x:t>
        </x:is>
      </x:c>
      <x:c r="F12" s="146" t="inlineStr">
        <x:is>
          <x:t xml:space="preserve">css</x:t>
        </x:is>
      </x:c>
      <x:c r="G12" s="146" t="inlineStr">
        <x:is>
          <x:t xml:space="preserve">../src/components/format-number/format-number.css</x:t>
        </x:is>
      </x:c>
      <x:c r="H12" s="146" t="inlineStr">
        <x:is>
          <x:t xml:space="preserve">tested</x:t>
        </x:is>
      </x:c>
      <x:c r="I12" s="146" t="inlineStr">
        <x:is>
          <x:t xml:space="preserve">no</x:t>
        </x:is>
      </x:c>
      <x:c r="J12" s="146" t="n">
        <x:v>46269</x:v>
      </x:c>
      <x:c r="K12" s="146" t="n"/>
      <x:c r="L12" s="146" t="n">
        <x:v>1</x:v>
      </x:c>
      <x:c r="M12" s="146" t="n">
        <x:f>IF(OR(AND(I12="yes",H12="verified"),AND(I12="no",OR(H12="tested",H12="verified")),AND(H12="not applicable",K12&lt;&gt;"")),1,0)</x:f>
        <x:v>1</x:v>
      </x:c>
    </x:row>
    <x:row r="13" s="135" customFormat="1" ht="24" customHeight="1">
      <x:c r="A13" s="146" t="inlineStr">
        <x:is>
          <x:t xml:space="preserve">FN-05</x:t>
        </x:is>
      </x:c>
      <x:c r="B13" s="146" t="inlineStr">
        <x:is>
          <x:t xml:space="preserve">Unit</x:t>
        </x:is>
      </x:c>
      <x:c r="C13" s="146" t="inlineStr">
        <x:is>
          <x:t xml:space="preserve">Formatter</x:t>
        </x:is>
      </x:c>
      <x:c r="D13" s="146" t="inlineStr">
        <x:is>
          <x:t xml:space="preserve">Focused component tests cover defaults, state or output, passthrough, refs where applicable, and edge cases.</x:t>
        </x:is>
      </x:c>
      <x:c r="E13" s="146" t="inlineStr">
        <x:is>
          <x:t xml:space="preserve">package</x:t>
        </x:is>
      </x:c>
      <x:c r="F13" s="146" t="inlineStr">
        <x:is>
          <x:t xml:space="preserve">component</x:t>
        </x:is>
      </x:c>
      <x:c r="G13" s="146" t="inlineStr">
        <x:is>
          <x:t xml:space="preserve">../test/components/format-number/format-number.test.tsx</x:t>
        </x:is>
      </x:c>
      <x:c r="H13" s="146" t="inlineStr">
        <x:is>
          <x:t xml:space="preserve">tested</x:t>
        </x:is>
      </x:c>
      <x:c r="I13" s="146" t="inlineStr">
        <x:is>
          <x:t xml:space="preserve">no</x:t>
        </x:is>
      </x:c>
      <x:c r="J13" s="146" t="n">
        <x:v>46269</x:v>
      </x:c>
      <x:c r="K13" s="146" t="n"/>
      <x:c r="L13" s="146" t="n">
        <x:v>1</x:v>
      </x:c>
      <x:c r="M13" s="146" t="n">
        <x:f>IF(OR(AND(I13="yes",H13="verified"),AND(I13="no",OR(H13="tested",H13="verified")),AND(H13="not applicable",K13&lt;&gt;"")),1,0)</x:f>
        <x:v>1</x:v>
      </x:c>
    </x:row>
    <x:row r="14" s="135" customFormat="1" ht="24" customHeight="1">
      <x:c r="A14" s="146" t="inlineStr">
        <x:is>
          <x:t xml:space="preserve">FN-06</x:t>
        </x:is>
      </x:c>
      <x:c r="B14" s="146" t="inlineStr">
        <x:is>
          <x:t xml:space="preserve">Browser</x:t>
        </x:is>
      </x:c>
      <x:c r="C14" s="146" t="inlineStr">
        <x:is>
          <x:t xml:space="preserve">Formatter</x:t>
        </x:is>
      </x:c>
      <x:c r="D14" s="146" t="inlineStr">
        <x:is>
          <x:t xml:space="preserve">Real-browser evidence proves the public output, geometry or context behavior and includes an accessibility scan.</x:t>
        </x:is>
      </x:c>
      <x:c r="E14" s="146" t="inlineStr">
        <x:is>
          <x:t xml:space="preserve">package</x:t>
        </x:is>
      </x:c>
      <x:c r="F14" s="146" t="inlineStr">
        <x:is>
          <x:t xml:space="preserve">browser</x:t>
        </x:is>
      </x:c>
      <x:c r="G14" s="146" t="inlineStr">
        <x:is>
          <x:t xml:space="preserve">tests/components/format-number/behavior.spec.ts</x:t>
        </x:is>
      </x:c>
      <x:c r="H14" s="146" t="inlineStr">
        <x:is>
          <x:t xml:space="preserve">tested</x:t>
        </x:is>
      </x:c>
      <x:c r="I14" s="146" t="inlineStr">
        <x:is>
          <x:t xml:space="preserve">no</x:t>
        </x:is>
      </x:c>
      <x:c r="J14" s="146" t="n">
        <x:v>46269</x:v>
      </x:c>
      <x:c r="K14" s="146" t="n"/>
      <x:c r="L14" s="146" t="n">
        <x:v>1</x:v>
      </x:c>
      <x:c r="M14" s="146" t="n">
        <x:f>IF(OR(AND(I14="yes",H14="verified"),AND(I14="no",OR(H14="tested",H14="verified")),AND(H14="not applicable",K14&lt;&gt;"")),1,0)</x:f>
        <x:v>1</x:v>
      </x:c>
    </x:row>
    <x:row r="15" s="135" customFormat="1" ht="24" customHeight="1">
      <x:c r="A15" s="146" t="inlineStr">
        <x:is>
          <x:t xml:space="preserve">FN-07</x:t>
        </x:is>
      </x:c>
      <x:c r="B15" s="146" t="inlineStr">
        <x:is>
          <x:t xml:space="preserve">Composition</x:t>
        </x:is>
      </x:c>
      <x:c r="C15" s="146" t="inlineStr">
        <x:is>
          <x:t xml:space="preserve">Formatter</x:t>
        </x:is>
      </x:c>
      <x:c r="D15" s="146" t="inlineStr">
        <x:is>
          <x:t xml:space="preserve">The helper composes with finished Brick owners without inserting accidental interaction, paint, or layout ownership.</x:t>
        </x:is>
      </x:c>
      <x:c r="E15" s="146" t="inlineStr">
        <x:is>
          <x:t xml:space="preserve">package</x:t>
        </x:is>
      </x:c>
      <x:c r="F15" s="146" t="inlineStr">
        <x:is>
          <x:t xml:space="preserve">browser</x:t>
        </x:is>
      </x:c>
      <x:c r="G15" s="146" t="inlineStr">
        <x:is>
          <x:t xml:space="preserve">tests/components/format-number/behavior.spec.ts</x:t>
        </x:is>
      </x:c>
      <x:c r="H15" s="146" t="inlineStr">
        <x:is>
          <x:t xml:space="preserve">tested</x:t>
        </x:is>
      </x:c>
      <x:c r="I15" s="146" t="inlineStr">
        <x:is>
          <x:t xml:space="preserve">no</x:t>
        </x:is>
      </x:c>
      <x:c r="J15" s="146" t="n">
        <x:v>46269</x:v>
      </x:c>
      <x:c r="K15" s="146" t="n"/>
      <x:c r="L15" s="146" t="n">
        <x:v>1</x:v>
      </x:c>
      <x:c r="M15" s="146" t="n">
        <x:f>IF(OR(AND(I15="yes",H15="verified"),AND(I15="no",OR(H15="tested",H15="verified")),AND(H15="not applicable",K15&lt;&gt;"")),1,0)</x:f>
        <x:v>1</x:v>
      </x:c>
    </x:row>
    <x:row r="16" s="135" customFormat="1" ht="24" customHeight="1">
      <x:c r="A16" s="146" t="inlineStr">
        <x:is>
          <x:t xml:space="preserve">FN-08</x:t>
        </x:is>
      </x:c>
      <x:c r="B16" s="146" t="inlineStr">
        <x:is>
          <x:t xml:space="preserve">Contract</x:t>
        </x:is>
      </x:c>
      <x:c r="C16" s="146" t="inlineStr">
        <x:is>
          <x:t xml:space="preserve">Formatter</x:t>
        </x:is>
      </x:c>
      <x:c r="D16" s="146" t="inlineStr">
        <x:is>
          <x:t xml:space="preserve">Currency, percentage, compact, unit, and explicit-locale options use the shared cached formatter path.</x:t>
        </x:is>
      </x:c>
      <x:c r="E16" s="146" t="inlineStr">
        <x:is>
          <x:t xml:space="preserve">package</x:t>
        </x:is>
      </x:c>
      <x:c r="F16" s="146" t="inlineStr">
        <x:is>
          <x:t xml:space="preserve">component</x:t>
        </x:is>
      </x:c>
      <x:c r="G16" s="146" t="inlineStr">
        <x:is>
          <x:t xml:space="preserve">../test/components/format-number/format-number.test.tsx; tests/components/format-number/behavior.spec.ts</x:t>
        </x:is>
      </x:c>
      <x:c r="H16" s="146" t="inlineStr">
        <x:is>
          <x:t xml:space="preserve">tested</x:t>
        </x:is>
      </x:c>
      <x:c r="I16" s="146" t="inlineStr">
        <x:is>
          <x:t xml:space="preserve">no</x:t>
        </x:is>
      </x:c>
      <x:c r="J16" s="146" t="n">
        <x:v>46269</x:v>
      </x:c>
      <x:c r="K16" s="146" t="n"/>
      <x:c r="L16" s="146" t="n">
        <x:v>1</x:v>
      </x:c>
      <x:c r="M16" s="146" t="n">
        <x:f>IF(OR(AND(I16="yes",H16="verified"),AND(I16="no",OR(H16="tested",H16="verified")),AND(H16="not applicable",K16&lt;&gt;"")),1,0)</x:f>
        <x:v>1</x:v>
      </x:c>
    </x:row>
    <x:row r="17" s="135" customFormat="1" ht="24" customHeight="1">
      <x:c r="A17" s="146" t="inlineStr">
        <x:is>
          <x:t xml:space="preserve">FN-09</x:t>
        </x:is>
      </x:c>
      <x:c r="B17" s="146" t="inlineStr">
        <x:is>
          <x:t xml:space="preserve">Accessibility</x:t>
        </x:is>
      </x:c>
      <x:c r="C17" s="146" t="inlineStr">
        <x:is>
          <x:t xml:space="preserve">Formatter</x:t>
        </x:is>
      </x:c>
      <x:c r="D17" s="146" t="inlineStr">
        <x:is>
          <x:t xml:space="preserve">Semantics remain with the correct owner, output is readable, passive visuals stay hidden, and axe reports no violations.</x:t>
        </x:is>
      </x:c>
      <x:c r="E17" s="146" t="inlineStr">
        <x:is>
          <x:t xml:space="preserve">package</x:t>
        </x:is>
      </x:c>
      <x:c r="F17" s="146" t="inlineStr">
        <x:is>
          <x:t xml:space="preserve">axe</x:t>
        </x:is>
      </x:c>
      <x:c r="G17" s="146" t="inlineStr">
        <x:is>
          <x:t xml:space="preserve">tests/components/format-number/behavior.spec.ts</x:t>
        </x:is>
      </x:c>
      <x:c r="H17" s="146" t="inlineStr">
        <x:is>
          <x:t xml:space="preserve">tested</x:t>
        </x:is>
      </x:c>
      <x:c r="I17" s="146" t="inlineStr">
        <x:is>
          <x:t xml:space="preserve">no</x:t>
        </x:is>
      </x:c>
      <x:c r="J17" s="146" t="n">
        <x:v>46269</x:v>
      </x:c>
      <x:c r="K17" s="146" t="n"/>
      <x:c r="L17" s="146" t="n">
        <x:v>1</x:v>
      </x:c>
      <x:c r="M17" s="146" t="n">
        <x:f>IF(OR(AND(I17="yes",H17="verified"),AND(I17="no",OR(H17="tested",H17="verified")),AND(H17="not applicable",K17&lt;&gt;"")),1,0)</x:f>
        <x:v>1</x:v>
      </x:c>
    </x:row>
    <x:row r="18" s="135" customFormat="1" ht="24" customHeight="1">
      <x:c r="A18" s="146" t="inlineStr">
        <x:is>
          <x:t xml:space="preserve">FN-10</x:t>
        </x:is>
      </x:c>
      <x:c r="B18" s="146" t="inlineStr">
        <x:is>
          <x:t xml:space="preserve">Visual</x:t>
        </x:is>
      </x:c>
      <x:c r="C18" s="146" t="inlineStr">
        <x:is>
          <x:t xml:space="preserve">Formatter</x:t>
        </x:is>
      </x:c>
      <x:c r="D18" s="146" t="inlineStr">
        <x:is>
          <x:t xml:space="preserve">A deterministic baseline covers the component's reviewable output in the default appearance.</x:t>
        </x:is>
      </x:c>
      <x:c r="E18" s="146" t="inlineStr">
        <x:is>
          <x:t xml:space="preserve">package</x:t>
        </x:is>
      </x:c>
      <x:c r="F18" s="146" t="inlineStr">
        <x:is>
          <x:t xml:space="preserve">visual</x:t>
        </x:is>
      </x:c>
      <x:c r="G18" s="146" t="inlineStr">
        <x:is>
          <x:t xml:space="preserve">tests/components/format-number/visual.spec.ts</x:t>
        </x:is>
      </x:c>
      <x:c r="H18" s="146" t="inlineStr">
        <x:is>
          <x:t xml:space="preserve">implemented</x:t>
        </x:is>
      </x:c>
      <x:c r="I18" s="146" t="inlineStr">
        <x:is>
          <x:t xml:space="preserve">yes</x:t>
        </x:is>
      </x:c>
      <x:c r="J18" s="146" t="n"/>
      <x:c r="K18" s="146" t="inlineStr">
        <x:is>
          <x:t xml:space="preserve">Automated baseline exists; complete owner visual review is intentionally unclaimed.</x:t>
        </x:is>
      </x:c>
      <x:c r="L18" s="146" t="n">
        <x:v>1</x:v>
      </x:c>
      <x:c r="M18" s="146" t="n">
        <x:f>IF(OR(AND(I18="yes",H18="verified"),AND(I18="no",OR(H18="tested",H18="verified")),AND(H18="not applicable",K18&lt;&gt;"")),1,0)</x:f>
        <x:v>0</x:v>
      </x:c>
    </x:row>
    <x:row r="19" s="135" customFormat="1" ht="24" customHeight="1">
      <x:c r="A19" s="146" t="inlineStr">
        <x:is>
          <x:t xml:space="preserve">FN-11</x:t>
        </x:is>
      </x:c>
      <x:c r="B19" s="146" t="inlineStr">
        <x:is>
          <x:t xml:space="preserve">Responsive</x:t>
        </x:is>
      </x:c>
      <x:c r="C19" s="146" t="inlineStr">
        <x:is>
          <x:t xml:space="preserve">Formatter</x:t>
        </x:is>
      </x:c>
      <x:c r="D19" s="146" t="inlineStr">
        <x:is>
          <x:t xml:space="preserve">Mobile, zoom, RTL, appearance, and forced-colors conditions preserve readable output and correct ownership.</x:t>
        </x:is>
      </x:c>
      <x:c r="E19" s="146" t="inlineStr">
        <x:is>
          <x:t xml:space="preserve">package</x:t>
        </x:is>
      </x:c>
      <x:c r="F19" s="146" t="inlineStr">
        <x:is>
          <x:t xml:space="preserve">manual</x:t>
        </x:is>
      </x:c>
      <x:c r="G19" s="146" t="inlineStr">
        <x:is>
          <x:t xml:space="preserve">manual-tests/format-number.md</x:t>
        </x:is>
      </x:c>
      <x:c r="H19" s="146" t="inlineStr">
        <x:is>
          <x:t xml:space="preserve">implemented</x:t>
        </x:is>
      </x:c>
      <x:c r="I19" s="146" t="inlineStr">
        <x:is>
          <x:t xml:space="preserve">yes</x:t>
        </x:is>
      </x:c>
      <x:c r="J19" s="146" t="n"/>
      <x:c r="K19" s="146" t="inlineStr">
        <x:is>
          <x:t xml:space="preserve">Automated evidence exists; the complete human stress run remains pending.</x:t>
        </x:is>
      </x:c>
      <x:c r="L19" s="146" t="n">
        <x:v>1</x:v>
      </x:c>
      <x:c r="M19" s="146" t="n">
        <x:f>IF(OR(AND(I19="yes",H19="verified"),AND(I19="no",OR(H19="tested",H19="verified")),AND(H19="not applicable",K19&lt;&gt;"")),1,0)</x:f>
        <x:v>0</x:v>
      </x:c>
    </x:row>
    <x:row r="20" s="135" customFormat="1" ht="24" customHeight="1">
      <x:c r="A20" s="146" t="inlineStr">
        <x:is>
          <x:t xml:space="preserve">FN-12</x:t>
        </x:is>
      </x:c>
      <x:c r="B20" s="146" t="inlineStr">
        <x:is>
          <x:t xml:space="preserve">Manual</x:t>
        </x:is>
      </x:c>
      <x:c r="C20" s="146" t="inlineStr">
        <x:is>
          <x:t xml:space="preserve">Format Number</x:t>
        </x:is>
      </x:c>
      <x:c r="D20" s="146" t="inlineStr">
        <x:is>
          <x:t xml:space="preserve">A tester completes the component-owned behavior, appearance, forced-colors, mobile, RTL, zoom, and accessibility protocol.</x:t>
        </x:is>
      </x:c>
      <x:c r="E20" s="146" t="inlineStr">
        <x:is>
          <x:t xml:space="preserve">package</x:t>
        </x:is>
      </x:c>
      <x:c r="F20" s="146" t="inlineStr">
        <x:is>
          <x:t xml:space="preserve">manual</x:t>
        </x:is>
      </x:c>
      <x:c r="G20" s="146" t="inlineStr">
        <x:is>
          <x:t xml:space="preserve">manual-tests/format-number.md</x:t>
        </x:is>
      </x:c>
      <x:c r="H20" s="146" t="inlineStr">
        <x:is>
          <x:t xml:space="preserve">implemented</x:t>
        </x:is>
      </x:c>
      <x:c r="I20" s="146" t="inlineStr">
        <x:is>
          <x:t xml:space="preserve">yes</x:t>
        </x:is>
      </x:c>
      <x:c r="J20" s="146" t="n"/>
      <x:c r="K20" s="146" t="inlineStr">
        <x:is>
          <x:t xml:space="preserve">Protocol exists; owner human review remains intentionally unclaimed.</x:t>
        </x:is>
      </x:c>
      <x:c r="L20" s="146" t="n">
        <x:v>1</x:v>
      </x:c>
      <x:c r="M20" s="146" t="n">
        <x:f>IF(OR(AND(I20="yes",H20="verified"),AND(I20="no",OR(H20="tested",H20="verified")),AND(H20="not applicable",K20&lt;&gt;"")),1,0)</x:f>
        <x:v>0</x:v>
      </x:c>
    </x:row>
    <x:row r="21" s="135" customFormat="1" ht="36" customHeight="1">
      <x:c r="A21" s="146" t="inlineStr">
        <x:is>
          <x:t xml:space="preserve">FN-13</x:t>
        </x:is>
      </x:c>
      <x:c r="B21" s="146" t="inlineStr">
        <x:is>
          <x:t xml:space="preserve">Docs</x:t>
        </x:is>
      </x:c>
      <x:c r="C21" s="146" t="inlineStr">
        <x:is>
          <x:t xml:space="preserve">Format Number</x:t>
        </x:is>
      </x:c>
      <x:c r="D21" s="146" t="inlineStr">
        <x:is>
          <x:t xml:space="preserve">Public and Agent Knowledge guidance covers selection, boundaries, API, composition, accessibility, and validation.</x:t>
        </x:is>
      </x:c>
      <x:c r="E21" s="146" t="inlineStr">
        <x:is>
          <x:t xml:space="preserve">package</x:t>
        </x:is>
      </x:c>
      <x:c r="F21" s="146" t="inlineStr">
        <x:is>
          <x:t xml:space="preserve">docs</x:t>
        </x:is>
      </x:c>
      <x:c r="G21" s="146" t="inlineStr">
        <x:is>
          <x:t xml:space="preserve">../docs/components/format-number/README.md; ../src/components/format-number/agent.json; ../src/components/format-number/agent.md</x:t>
        </x:is>
      </x:c>
      <x:c r="H21" s="146" t="inlineStr">
        <x:is>
          <x:t xml:space="preserve">tested</x:t>
        </x:is>
      </x:c>
      <x:c r="I21" s="146" t="inlineStr">
        <x:is>
          <x:t xml:space="preserve">no</x:t>
        </x:is>
      </x:c>
      <x:c r="J21" s="146" t="n">
        <x:v>46269</x:v>
      </x:c>
      <x:c r="K21" s="146" t="inlineStr">
        <x:is>
          <x:t xml:space="preserve">September 13: bounded shared Intl cache, native errors and modern formatting examples.</x:t>
        </x:is>
      </x:c>
      <x:c r="L21" s="146" t="n">
        <x:v>1</x:v>
      </x:c>
      <x:c r="M21" s="146" t="n">
        <x:f>IF(OR(AND(I21="yes",H21="verified"),AND(I21="no",OR(H21="tested",H21="verified")),AND(H21="not applicable",K21&lt;&gt;"")),1,0)</x:f>
        <x:v>1</x:v>
      </x:c>
    </x:row>
    <x:row r="22" s="135" customFormat="1" ht="24" customHeight="1">
      <x:c r="A22" s="146" t="inlineStr">
        <x:is>
          <x:t xml:space="preserve">FN-14</x:t>
        </x:is>
      </x:c>
      <x:c r="B22" s="146" t="inlineStr">
        <x:is>
          <x:t xml:space="preserve">Changelog</x:t>
        </x:is>
      </x:c>
      <x:c r="C22" s="146" t="inlineStr">
        <x:is>
          <x:t xml:space="preserve">Format Number</x:t>
        </x:is>
      </x:c>
      <x:c r="D22" s="146" t="inlineStr">
        <x:is>
          <x:t xml:space="preserve">Component and package histories record the public addition and consumer-visible contract.</x:t>
        </x:is>
      </x:c>
      <x:c r="E22" s="146" t="inlineStr">
        <x:is>
          <x:t xml:space="preserve">package</x:t>
        </x:is>
      </x:c>
      <x:c r="F22" s="146" t="inlineStr">
        <x:is>
          <x:t xml:space="preserve">docs</x:t>
        </x:is>
      </x:c>
      <x:c r="G22" s="146" t="inlineStr">
        <x:is>
          <x:t xml:space="preserve">../docs/components/format-number/CHANGELOG.md; ../CHANGELOG.md</x:t>
        </x:is>
      </x:c>
      <x:c r="H22" s="146" t="inlineStr">
        <x:is>
          <x:t xml:space="preserve">tested</x:t>
        </x:is>
      </x:c>
      <x:c r="I22" s="146" t="inlineStr">
        <x:is>
          <x:t xml:space="preserve">no</x:t>
        </x:is>
      </x:c>
      <x:c r="J22" s="146" t="n">
        <x:v>46269</x:v>
      </x:c>
      <x:c r="K22" s="146" t="n"/>
      <x:c r="L22" s="146" t="n">
        <x:v>1</x:v>
      </x:c>
      <x:c r="M22" s="146" t="n">
        <x:f>IF(OR(AND(I22="yes",H22="verified"),AND(I22="no",OR(H22="tested",H22="verified")),AND(H22="not applicable",K22&lt;&gt;"")),1,0)</x:f>
        <x:v>1</x:v>
      </x:c>
    </x:row>
    <x:row r="23" s="135" customFormat="1" ht="24" customHeight="1">
      <x:c r="A23" s="146" t="inlineStr">
        <x:is>
          <x:t xml:space="preserve">FN-15</x:t>
        </x:is>
      </x:c>
      <x:c r="B23" s="146" t="inlineStr">
        <x:is>
          <x:t xml:space="preserve">Consumer</x:t>
        </x:is>
      </x:c>
      <x:c r="C23" s="146" t="inlineStr">
        <x:is>
          <x:t xml:space="preserve">Format Number</x:t>
        </x:is>
      </x:c>
      <x:c r="D23" s="146" t="inlineStr">
        <x:is>
          <x:t xml:space="preserve">A packed consumer directly imports and composes the public subpath in a realistic application boundary.</x:t>
        </x:is>
      </x:c>
      <x:c r="E23" s="146" t="inlineStr">
        <x:is>
          <x:t xml:space="preserve">consumer</x:t>
        </x:is>
      </x:c>
      <x:c r="F23" s="146" t="inlineStr">
        <x:is>
          <x:t xml:space="preserve">consumer</x:t>
        </x:is>
      </x:c>
      <x:c r="G23" s="146" t="inlineStr">
        <x:is>
          <x:t xml:space="preserve">../apps/consumer</x:t>
        </x:is>
      </x:c>
      <x:c r="H23" s="146" t="inlineStr">
        <x:is>
          <x:t xml:space="preserve">implemented</x:t>
        </x:is>
      </x:c>
      <x:c r="I23" s="146" t="inlineStr">
        <x:is>
          <x:t xml:space="preserve">yes</x:t>
        </x:is>
      </x:c>
      <x:c r="J23" s="146" t="n"/>
      <x:c r="K23" s="146" t="inlineStr">
        <x:is>
          <x:t xml:space="preserve">Consumer integration remains pending for this unreleased local package change.</x:t>
        </x:is>
      </x:c>
      <x:c r="L23" s="146" t="n">
        <x:v>1</x:v>
      </x:c>
      <x:c r="M23" s="146" t="n">
        <x:f>IF(OR(AND(I23="yes",H23="verified"),AND(I23="no",OR(H23="tested",H23="verified")),AND(H23="not applicable",K23&lt;&gt;"")),1,0)</x:f>
        <x:v>0</x:v>
      </x:c>
    </x:row>
    <x:row r="24" s="135" customFormat="1" ht="36" customHeight="1">
      <x:c r="A24" s="146" t="inlineStr">
        <x:is>
          <x:t xml:space="preserve">FN-16</x:t>
        </x:is>
      </x:c>
      <x:c r="B24" s="146" t="inlineStr">
        <x:is>
          <x:t xml:space="preserve">Package</x:t>
        </x:is>
      </x:c>
      <x:c r="C24" s="146" t="inlineStr">
        <x:is>
          <x:t xml:space="preserve">Format Number</x:t>
        </x:is>
      </x:c>
      <x:c r="D24" s="146" t="inlineStr">
        <x:is>
          <x:t xml:space="preserve">Build, SSR, exports, CSS, tarball, documentation, browser, axe, visual, and consumer gates pass.</x:t>
        </x:is>
      </x:c>
      <x:c r="E24" s="146" t="inlineStr">
        <x:is>
          <x:t xml:space="preserve">package</x:t>
        </x:is>
      </x:c>
      <x:c r="F24" s="146" t="inlineStr">
        <x:is>
          <x:t xml:space="preserve">package</x:t>
        </x:is>
      </x:c>
      <x:c r="G24" s="146" t="inlineStr">
        <x:is>
          <x:t xml:space="preserve">../test/package; ../scripts/verify-package.mjs; ../scripts/verify-app-consumer.mjs</x:t>
        </x:is>
      </x:c>
      <x:c r="H24" s="146" t="inlineStr">
        <x:is>
          <x:t xml:space="preserve">implemented</x:t>
        </x:is>
      </x:c>
      <x:c r="I24" s="146" t="inlineStr">
        <x:is>
          <x:t xml:space="preserve">yes</x:t>
        </x:is>
      </x:c>
      <x:c r="J24" s="146" t="n"/>
      <x:c r="K24" s="146" t="inlineStr">
        <x:is>
          <x:t xml:space="preserve">Automated package evidence is present; complete status waits for the manual run and an authorized release.</x:t>
        </x:is>
      </x:c>
      <x:c r="L24" s="146" t="n">
        <x:v>1</x:v>
      </x:c>
      <x:c r="M24" s="146" t="n">
        <x:f>IF(OR(AND(I24="yes",H24="verified"),AND(I24="no",OR(H24="tested",H24="verified")),AND(H24="not applicable",K24&lt;&gt;"")),1,0)</x:f>
        <x:v>0</x:v>
      </x:c>
    </x:row>
    <x:row r="25" s="135" customFormat="1" ht="63.75" customHeight="1">
      <x:c r="A25" s="148" t="inlineStr">
        <x:is>
          <x:t xml:space="preserve">formatnumber-inventory</x:t>
        </x:is>
      </x:c>
      <x:c r="B25" s="148" t="inlineStr">
        <x:is>
          <x:t xml:space="preserve">Playground</x:t>
        </x:is>
      </x:c>
      <x:c r="C25" s="148" t="inlineStr">
        <x:is>
          <x:t xml:space="preserve">Format Number</x:t>
        </x:is>
      </x:c>
      <x:c r="D25" s="148" t="inlineStr">
        <x:is>
          <x:t xml:space="preserve">Every declared scenario renders in order at 390px and 1280px without page overflow or runtime exceptions.</x:t>
        </x:is>
      </x:c>
      <x:c r="E25" s="148" t="inlineStr">
        <x:is>
          <x:t xml:space="preserve">component</x:t>
        </x:is>
      </x:c>
      <x:c r="F25" s="148" t="inlineStr">
        <x:is>
          <x:t xml:space="preserve">browser</x:t>
        </x:is>
      </x:c>
      <x:c r="G25" s="148" t="inlineStr">
        <x:is>
          <x:t xml:space="preserve">playground/tests/integration/recent-component-capabilities.spec.ts</x:t>
        </x:is>
      </x:c>
      <x:c r="H25" s="148" t="inlineStr">
        <x:is>
          <x:t xml:space="preserve">tested</x:t>
        </x:is>
      </x:c>
      <x:c r="I25" s="148" t="inlineStr">
        <x:is>
          <x:t xml:space="preserve">no</x:t>
        </x:is>
      </x:c>
      <x:c r="J25" s="148" t="inlineStr">
        <x:is>
          <x:t xml:space="preserve">2026-09-05</x:t>
        </x:is>
      </x:c>
      <x:c r="K25" s="148" t="inlineStr">
        <x:is>
          <x:t xml:space="preserve">This assertion does not establish full behavioral or manual qualification.</x:t>
        </x:is>
      </x:c>
      <x:c r="L25" s="148" t="n">
        <x:v>1</x:v>
      </x:c>
      <x:c r="M25" s="148" t="n">
        <x:f>IF(OR(H25="tested",H25="verified"),1,0)</x:f>
        <x:v>1</x:v>
      </x:c>
    </x:row>
    <x:row r="26" s="135" customFormat="1" ht="15" customHeight="1">
      <x:c r="A26" s="217" t="n"/>
      <x:c r="B26" s="217" t="n"/>
      <x:c r="C26" s="217" t="n"/>
      <x:c r="D26" s="217" t="n"/>
      <x:c r="E26" s="217" t="n"/>
      <x:c r="F26" s="217" t="n"/>
      <x:c r="G26" s="217" t="n"/>
      <x:c r="H26" s="217" t="n"/>
      <x:c r="I26" s="217" t="n"/>
      <x:c r="J26" s="217" t="n"/>
      <x:c r="K26" s="217" t="n"/>
      <x:c r="L26" s="217" t="n"/>
      <x:c r="M26" s="217" t="n"/>
    </x:row>
    <x:row r="27" s="135" customFormat="1" ht="15" customHeight="1">
      <x:c r="A27" s="217" t="n"/>
      <x:c r="B27" s="217" t="n"/>
      <x:c r="C27" s="217" t="n"/>
      <x:c r="D27" s="217" t="n"/>
      <x:c r="E27" s="217" t="n"/>
      <x:c r="F27" s="217" t="n"/>
      <x:c r="G27" s="217" t="n"/>
      <x:c r="H27" s="217" t="n"/>
      <x:c r="I27" s="217" t="n"/>
      <x:c r="J27" s="217" t="n"/>
      <x:c r="K27" s="217" t="n"/>
      <x:c r="L27" s="217" t="n"/>
      <x:c r="M27" s="217" t="n"/>
    </x:row>
    <x:row r="28" s="135" customFormat="1" ht="15" customHeight="1">
      <x:c r="A28" s="217" t="n"/>
      <x:c r="B28" s="217" t="n"/>
      <x:c r="C28" s="217" t="n"/>
      <x:c r="D28" s="217" t="n"/>
      <x:c r="E28" s="217" t="n"/>
      <x:c r="F28" s="217" t="n"/>
      <x:c r="G28" s="217" t="n"/>
      <x:c r="H28" s="217" t="n"/>
      <x:c r="I28" s="217" t="n"/>
      <x:c r="J28" s="217" t="n"/>
      <x:c r="K28" s="217" t="n"/>
      <x:c r="L28" s="217" t="n"/>
      <x:c r="M28" s="217" t="n"/>
    </x:row>
  </x:sheetData>
  <x:dataValidations count="1">
    <x:dataValidation type="list" errorStyle="stop" operator="between" allowBlank="0" showDropDown="0" showInputMessage="0" showErrorMessage="0" sqref="H25">
      <x:formula1>_Lists!$A$1:$A$7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859dfb4b88d46eb"/>
  </x:tableParts>
</x:worksheet>
</file>

<file path=xl/worksheets/sheet106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4" style="138" customWidth="1"/>
    <x:col min="2" max="2" width="13" style="138" customWidth="1"/>
    <x:col min="3" max="3" width="15.510000228881836" style="138" customWidth="1"/>
    <x:col min="4" max="4" width="53.75" style="138" customWidth="1"/>
    <x:col min="5" max="5" width="11" style="138" customWidth="1"/>
    <x:col min="6" max="6" width="13" style="138" customWidth="1"/>
    <x:col min="7" max="7" width="41.25" style="138" customWidth="1"/>
    <x:col min="8" max="8" width="12" style="138" customWidth="1"/>
    <x:col min="9" max="10" width="12.75" style="138" customWidth="1"/>
    <x:col min="11" max="11" width="41.25" style="138" customWidth="1"/>
    <x:col min="12" max="12" width="8.75" style="138" customWidth="1"/>
    <x:col min="13" max="13" width="9.75" style="138" customWidth="1"/>
  </x:cols>
  <x:sheetData>
    <x:row r="1" s="135" customFormat="1" ht="15" customHeight="1">
      <x:c r="A1" s="217" t="inlineStr">
        <x:is>
          <x:t xml:space="preserve">Format Byte Evidence</x:t>
        </x:is>
      </x:c>
      <x:c r="B1" s="217" t="n"/>
      <x:c r="C1" s="217" t="n"/>
      <x:c r="D1" s="217" t="n"/>
      <x:c r="E1" s="217" t="n"/>
      <x:c r="F1" s="217" t="n"/>
      <x:c r="G1" s="217" t="n"/>
      <x:c r="H1" s="217" t="n"/>
      <x:c r="I1" s="217" t="n"/>
      <x:c r="J1" s="217" t="n"/>
      <x:c r="K1" s="217" t="n"/>
      <x:c r="L1" s="217" t="n"/>
      <x:c r="M1" s="217" t="n"/>
    </x:row>
    <x:row r="2" s="135" customFormat="1" ht="15" customHeight="1">
      <x:c r="A2" s="217" t="inlineStr">
        <x:is>
          <x:t xml:space="preserve">Assertion-level byte formatting, scaling, locale inheritance, browser, documentation, and package evidence.</x:t>
        </x:is>
      </x:c>
      <x:c r="B2" s="217" t="n"/>
      <x:c r="C2" s="217" t="n"/>
      <x:c r="D2" s="217" t="n"/>
      <x:c r="E2" s="217" t="n"/>
      <x:c r="F2" s="217" t="n"/>
      <x:c r="G2" s="217" t="n"/>
      <x:c r="H2" s="217" t="n"/>
      <x:c r="I2" s="217" t="n"/>
      <x:c r="J2" s="217" t="n"/>
      <x:c r="K2" s="217" t="n"/>
      <x:c r="L2" s="217" t="n"/>
      <x:c r="M2" s="217" t="n"/>
    </x:row>
    <x:row r="3" s="135" customFormat="1" ht="15" customHeight="1">
      <x:c r="A3" s="217" t="n"/>
      <x:c r="B3" s="217" t="n"/>
      <x:c r="C3" s="217" t="n"/>
      <x:c r="D3" s="217" t="n"/>
      <x:c r="E3" s="217" t="n"/>
      <x:c r="F3" s="217" t="n"/>
      <x:c r="G3" s="217" t="n"/>
      <x:c r="H3" s="217" t="n"/>
      <x:c r="I3" s="217" t="n"/>
      <x:c r="J3" s="217" t="n"/>
      <x:c r="K3" s="217" t="n"/>
      <x:c r="L3" s="217" t="n"/>
      <x:c r="M3" s="217" t="n"/>
    </x:row>
    <x:row r="4" s="135" customFormat="1" ht="15" customHeight="1">
      <x:c r="A4" s="217" t="inlineStr">
        <x:is>
          <x:t xml:space="preserve">Requirements</x:t>
        </x:is>
      </x:c>
      <x:c r="B4" s="217" t="n">
        <x:f>COUNTA(A9:A25)</x:f>
        <x:v>17</x:v>
      </x:c>
      <x:c r="C4" s="217" t="n"/>
      <x:c r="D4" s="217" t="inlineStr">
        <x:is>
          <x:t xml:space="preserve">Resolved</x:t>
        </x:is>
      </x:c>
      <x:c r="E4" s="217" t="n">
        <x:f>SUM(M9:M25)</x:f>
        <x:v>12</x:v>
      </x:c>
      <x:c r="F4" s="217" t="n"/>
      <x:c r="G4" s="217" t="inlineStr">
        <x:is>
          <x:t xml:space="preserve">Completion</x:t>
        </x:is>
      </x:c>
      <x:c r="H4" s="217" t="n">
        <x:f>IF(B4=0,0,E4/B4)</x:f>
        <x:v>0.7058823529411765</x:v>
      </x:c>
      <x:c r="I4" s="217" t="n"/>
      <x:c r="J4" s="217" t="inlineStr">
        <x:is>
          <x:t xml:space="preserve">Package gate</x:t>
        </x:is>
      </x:c>
      <x:c r="K4" s="217" t="str">
        <x:f>IF(COUNTIFS(E9:E24,"package",M9:M24,0)&gt;0,"open","complete")</x:f>
        <x:v>open</x:v>
      </x:c>
      <x:c r="L4" s="217" t="n"/>
      <x:c r="M4" s="217" t="n"/>
    </x:row>
    <x:row r="5" s="135" customFormat="1" ht="15" customHeight="1">
      <x:c r="A5" s="217" t="inlineStr">
        <x:is>
          <x:t xml:space="preserve">Manual review</x:t>
        </x:is>
      </x:c>
      <x:c r="B5" s="217" t="str">
        <x:f>IF(COUNTIFS(I9:I24,"yes",M9:M24,0)&gt;0,"open","complete")</x:f>
        <x:v>open</x:v>
      </x:c>
      <x:c r="C5" s="217" t="n"/>
      <x:c r="D5" s="217" t="inlineStr">
        <x:is>
          <x:t xml:space="preserve">Consumer gate</x:t>
        </x:is>
      </x:c>
      <x:c r="E5" s="217" t="str">
        <x:f>IF(COUNTIFS(E9:E24,"consumer",M9:M24,0)&gt;0,"open","complete")</x:f>
        <x:v>open</x:v>
      </x:c>
      <x:c r="F5" s="217" t="n"/>
      <x:c r="G5" s="217" t="n"/>
      <x:c r="H5" s="217" t="n"/>
      <x:c r="I5" s="217" t="n"/>
      <x:c r="J5" s="217" t="n"/>
      <x:c r="K5" s="217" t="n"/>
      <x:c r="L5" s="217" t="n"/>
      <x:c r="M5" s="217" t="n"/>
    </x:row>
    <x:row r="6" s="135" customFormat="1" ht="15" customHeight="1">
      <x:c r="A6" s="217" t="n"/>
      <x:c r="B6" s="217" t="n"/>
      <x:c r="C6" s="217" t="n"/>
      <x:c r="D6" s="217" t="n"/>
      <x:c r="E6" s="217" t="n"/>
      <x:c r="F6" s="217" t="n"/>
      <x:c r="G6" s="217" t="n"/>
      <x:c r="H6" s="217" t="n"/>
      <x:c r="I6" s="217" t="n"/>
      <x:c r="J6" s="217" t="n"/>
      <x:c r="K6" s="217" t="n"/>
      <x:c r="L6" s="217" t="n"/>
      <x:c r="M6" s="217" t="n"/>
    </x:row>
    <x:row r="7" s="135" customFormat="1" ht="15" customHeight="1">
      <x:c r="A7" s="217" t="n"/>
      <x:c r="B7" s="217" t="n"/>
      <x:c r="C7" s="217" t="n"/>
      <x:c r="D7" s="217" t="n"/>
      <x:c r="E7" s="217" t="n"/>
      <x:c r="F7" s="217" t="n"/>
      <x:c r="G7" s="217" t="n"/>
      <x:c r="H7" s="217" t="n"/>
      <x:c r="I7" s="217" t="n"/>
      <x:c r="J7" s="217" t="n"/>
      <x:c r="K7" s="217" t="n"/>
      <x:c r="L7" s="217" t="n"/>
      <x:c r="M7" s="217" t="n"/>
    </x:row>
    <x:row r="8" s="135" customFormat="1" ht="15" customHeight="1">
      <x:c r="A8" s="217" t="inlineStr">
        <x:is>
          <x:t xml:space="preserve">ID</x:t>
        </x:is>
      </x:c>
      <x:c r="B8" s="217" t="inlineStr">
        <x:is>
          <x:t xml:space="preserve">Area</x:t>
        </x:is>
      </x:c>
      <x:c r="C8" s="217" t="inlineStr">
        <x:is>
          <x:t xml:space="preserve">Part</x:t>
        </x:is>
      </x:c>
      <x:c r="D8" s="217" t="inlineStr">
        <x:is>
          <x:t xml:space="preserve">Requirement</x:t>
        </x:is>
      </x:c>
      <x:c r="E8" s="217" t="inlineStr">
        <x:is>
          <x:t xml:space="preserve">Gate</x:t>
        </x:is>
      </x:c>
      <x:c r="F8" s="217" t="inlineStr">
        <x:is>
          <x:t xml:space="preserve">Evidence type</x:t>
        </x:is>
      </x:c>
      <x:c r="G8" s="217" t="inlineStr">
        <x:is>
          <x:t xml:space="preserve">Evidence / link</x:t>
        </x:is>
      </x:c>
      <x:c r="H8" s="217" t="inlineStr">
        <x:is>
          <x:t xml:space="preserve">Status</x:t>
        </x:is>
      </x:c>
      <x:c r="I8" s="217" t="inlineStr">
        <x:is>
          <x:t xml:space="preserve">Human review?</x:t>
        </x:is>
      </x:c>
      <x:c r="J8" s="217" t="inlineStr">
        <x:is>
          <x:t xml:space="preserve">Last verified</x:t>
        </x:is>
      </x:c>
      <x:c r="K8" s="217" t="inlineStr">
        <x:is>
          <x:t xml:space="preserve">Blocker / N/A reason</x:t>
        </x:is>
      </x:c>
      <x:c r="L8" s="217" t="inlineStr">
        <x:is>
          <x:t xml:space="preserve">Weight</x:t>
        </x:is>
      </x:c>
      <x:c r="M8" s="217" t="inlineStr">
        <x:is>
          <x:t xml:space="preserve">Resolved</x:t>
        </x:is>
      </x:c>
    </x:row>
    <x:row r="9" s="135" customFormat="1" ht="24" customHeight="1">
      <x:c r="A9" s="146" t="inlineStr">
        <x:is>
          <x:t xml:space="preserve">FB-01</x:t>
        </x:is>
      </x:c>
      <x:c r="B9" s="146" t="inlineStr">
        <x:is>
          <x:t xml:space="preserve">Implementation</x:t>
        </x:is>
      </x:c>
      <x:c r="C9" s="146" t="inlineStr">
        <x:is>
          <x:t xml:space="preserve">Formatter</x:t>
        </x:is>
      </x:c>
      <x:c r="D9" s="146" t="inlineStr">
        <x:is>
          <x:t xml:space="preserve">Format Byte implements its documented public contract without taking over application-owned concerns.</x:t>
        </x:is>
      </x:c>
      <x:c r="E9" s="146" t="inlineStr">
        <x:is>
          <x:t xml:space="preserve">package</x:t>
        </x:is>
      </x:c>
      <x:c r="F9" s="146" t="inlineStr">
        <x:is>
          <x:t xml:space="preserve">source</x:t>
        </x:is>
      </x:c>
      <x:c r="G9" s="146" t="inlineStr">
        <x:is>
          <x:t xml:space="preserve">../src/components/format-byte</x:t>
        </x:is>
      </x:c>
      <x:c r="H9" s="146" t="inlineStr">
        <x:is>
          <x:t xml:space="preserve">tested</x:t>
        </x:is>
      </x:c>
      <x:c r="I9" s="146" t="inlineStr">
        <x:is>
          <x:t xml:space="preserve">no</x:t>
        </x:is>
      </x:c>
      <x:c r="J9" s="146" t="n">
        <x:v>46269</x:v>
      </x:c>
      <x:c r="K9" s="146" t="n"/>
      <x:c r="L9" s="146" t="n">
        <x:v>1</x:v>
      </x:c>
      <x:c r="M9" s="146" t="n">
        <x:f>IF(OR(AND(I9="yes",H9="verified"),AND(I9="no",OR(H9="tested",H9="verified")),AND(H9="not applicable",K9&lt;&gt;"")),1,0)</x:f>
        <x:v>1</x:v>
      </x:c>
    </x:row>
    <x:row r="10" s="135" customFormat="1" ht="24" customHeight="1">
      <x:c r="A10" s="146" t="inlineStr">
        <x:is>
          <x:t xml:space="preserve">FB-02</x:t>
        </x:is>
      </x:c>
      <x:c r="B10" s="146" t="inlineStr">
        <x:is>
          <x:t xml:space="preserve">Exports</x:t>
        </x:is>
      </x:c>
      <x:c r="C10" s="146" t="inlineStr">
        <x:is>
          <x:t xml:space="preserve">Format Byte</x:t>
        </x:is>
      </x:c>
      <x:c r="D10" s="146" t="inlineStr">
        <x:is>
          <x:t xml:space="preserve">Root and format-byte subpath exports expose every public runtime and type with identical identity.</x:t>
        </x:is>
      </x:c>
      <x:c r="E10" s="146" t="inlineStr">
        <x:is>
          <x:t xml:space="preserve">package</x:t>
        </x:is>
      </x:c>
      <x:c r="F10" s="146" t="inlineStr">
        <x:is>
          <x:t xml:space="preserve">package</x:t>
        </x:is>
      </x:c>
      <x:c r="G10" s="146" t="inlineStr">
        <x:is>
          <x:t xml:space="preserve">../test/package/package.test.mjs; ../test/package/ssr.test.mjs</x:t>
        </x:is>
      </x:c>
      <x:c r="H10" s="146" t="inlineStr">
        <x:is>
          <x:t xml:space="preserve">tested</x:t>
        </x:is>
      </x:c>
      <x:c r="I10" s="146" t="inlineStr">
        <x:is>
          <x:t xml:space="preserve">no</x:t>
        </x:is>
      </x:c>
      <x:c r="J10" s="146" t="n">
        <x:v>46269</x:v>
      </x:c>
      <x:c r="K10" s="146" t="n"/>
      <x:c r="L10" s="146" t="n">
        <x:v>1</x:v>
      </x:c>
      <x:c r="M10" s="146" t="n">
        <x:f>IF(OR(AND(I10="yes",H10="verified"),AND(I10="no",OR(H10="tested",H10="verified")),AND(H10="not applicable",K10&lt;&gt;"")),1,0)</x:f>
        <x:v>1</x:v>
      </x:c>
    </x:row>
    <x:row r="11" s="135" customFormat="1" ht="24" customHeight="1">
      <x:c r="A11" s="146" t="inlineStr">
        <x:is>
          <x:t xml:space="preserve">FB-03</x:t>
        </x:is>
      </x:c>
      <x:c r="B11" s="146" t="inlineStr">
        <x:is>
          <x:t xml:space="preserve">Types</x:t>
        </x:is>
      </x:c>
      <x:c r="C11" s="146" t="inlineStr">
        <x:is>
          <x:t xml:space="preserve">Public surface</x:t>
        </x:is>
      </x:c>
      <x:c r="D11" s="146" t="inlineStr">
        <x:is>
          <x:t xml:space="preserve">Public props, native passthrough where applicable, refs, and invalid values are covered by compile-time evidence.</x:t>
        </x:is>
      </x:c>
      <x:c r="E11" s="146" t="inlineStr">
        <x:is>
          <x:t xml:space="preserve">package</x:t>
        </x:is>
      </x:c>
      <x:c r="F11" s="146" t="inlineStr">
        <x:is>
          <x:t xml:space="preserve">types</x:t>
        </x:is>
      </x:c>
      <x:c r="G11" s="146" t="inlineStr">
        <x:is>
          <x:t xml:space="preserve">../test/types/components/format-byte.test.ts</x:t>
        </x:is>
      </x:c>
      <x:c r="H11" s="146" t="inlineStr">
        <x:is>
          <x:t xml:space="preserve">tested</x:t>
        </x:is>
      </x:c>
      <x:c r="I11" s="146" t="inlineStr">
        <x:is>
          <x:t xml:space="preserve">no</x:t>
        </x:is>
      </x:c>
      <x:c r="J11" s="146" t="n">
        <x:v>46269</x:v>
      </x:c>
      <x:c r="K11" s="146" t="n"/>
      <x:c r="L11" s="146" t="n">
        <x:v>1</x:v>
      </x:c>
      <x:c r="M11" s="146" t="n">
        <x:f>IF(OR(AND(I11="yes",H11="verified"),AND(I11="no",OR(H11="tested",H11="verified")),AND(H11="not applicable",K11&lt;&gt;"")),1,0)</x:f>
        <x:v>1</x:v>
      </x:c>
    </x:row>
    <x:row r="12" s="135" customFormat="1" ht="24" customHeight="1">
      <x:c r="A12" s="146" t="inlineStr">
        <x:is>
          <x:t xml:space="preserve">FB-04</x:t>
        </x:is>
      </x:c>
      <x:c r="B12" s="146" t="inlineStr">
        <x:is>
          <x:t xml:space="preserve">CSS</x:t>
        </x:is>
      </x:c>
      <x:c r="C12" s="146" t="inlineStr">
        <x:is>
          <x:t xml:space="preserve">Formatter</x:t>
        </x:is>
      </x:c>
      <x:c r="D12" s="146" t="inlineStr">
        <x:is>
          <x:t xml:space="preserve">The modular style entry owns only documented presentation; context and wrapper-free helpers add no visual recipe.</x:t>
        </x:is>
      </x:c>
      <x:c r="E12" s="146" t="inlineStr">
        <x:is>
          <x:t xml:space="preserve">package</x:t>
        </x:is>
      </x:c>
      <x:c r="F12" s="146" t="inlineStr">
        <x:is>
          <x:t xml:space="preserve">css</x:t>
        </x:is>
      </x:c>
      <x:c r="G12" s="146" t="inlineStr">
        <x:is>
          <x:t xml:space="preserve">../src/components/format-byte/format-byte.css</x:t>
        </x:is>
      </x:c>
      <x:c r="H12" s="146" t="inlineStr">
        <x:is>
          <x:t xml:space="preserve">tested</x:t>
        </x:is>
      </x:c>
      <x:c r="I12" s="146" t="inlineStr">
        <x:is>
          <x:t xml:space="preserve">no</x:t>
        </x:is>
      </x:c>
      <x:c r="J12" s="146" t="n">
        <x:v>46269</x:v>
      </x:c>
      <x:c r="K12" s="146" t="n"/>
      <x:c r="L12" s="146" t="n">
        <x:v>1</x:v>
      </x:c>
      <x:c r="M12" s="146" t="n">
        <x:f>IF(OR(AND(I12="yes",H12="verified"),AND(I12="no",OR(H12="tested",H12="verified")),AND(H12="not applicable",K12&lt;&gt;"")),1,0)</x:f>
        <x:v>1</x:v>
      </x:c>
    </x:row>
    <x:row r="13" s="135" customFormat="1" ht="24" customHeight="1">
      <x:c r="A13" s="146" t="inlineStr">
        <x:is>
          <x:t xml:space="preserve">FB-05</x:t>
        </x:is>
      </x:c>
      <x:c r="B13" s="146" t="inlineStr">
        <x:is>
          <x:t xml:space="preserve">Unit</x:t>
        </x:is>
      </x:c>
      <x:c r="C13" s="146" t="inlineStr">
        <x:is>
          <x:t xml:space="preserve">Formatter</x:t>
        </x:is>
      </x:c>
      <x:c r="D13" s="146" t="inlineStr">
        <x:is>
          <x:t xml:space="preserve">Focused component tests cover defaults, state or output, passthrough, refs where applicable, and edge cases.</x:t>
        </x:is>
      </x:c>
      <x:c r="E13" s="146" t="inlineStr">
        <x:is>
          <x:t xml:space="preserve">package</x:t>
        </x:is>
      </x:c>
      <x:c r="F13" s="146" t="inlineStr">
        <x:is>
          <x:t xml:space="preserve">component</x:t>
        </x:is>
      </x:c>
      <x:c r="G13" s="146" t="inlineStr">
        <x:is>
          <x:t xml:space="preserve">../test/components/format-byte/format-byte.test.tsx</x:t>
        </x:is>
      </x:c>
      <x:c r="H13" s="146" t="inlineStr">
        <x:is>
          <x:t xml:space="preserve">tested</x:t>
        </x:is>
      </x:c>
      <x:c r="I13" s="146" t="inlineStr">
        <x:is>
          <x:t xml:space="preserve">no</x:t>
        </x:is>
      </x:c>
      <x:c r="J13" s="146" t="n">
        <x:v>46269</x:v>
      </x:c>
      <x:c r="K13" s="146" t="n"/>
      <x:c r="L13" s="146" t="n">
        <x:v>1</x:v>
      </x:c>
      <x:c r="M13" s="146" t="n">
        <x:f>IF(OR(AND(I13="yes",H13="verified"),AND(I13="no",OR(H13="tested",H13="verified")),AND(H13="not applicable",K13&lt;&gt;"")),1,0)</x:f>
        <x:v>1</x:v>
      </x:c>
    </x:row>
    <x:row r="14" s="135" customFormat="1" ht="24" customHeight="1">
      <x:c r="A14" s="146" t="inlineStr">
        <x:is>
          <x:t xml:space="preserve">FB-06</x:t>
        </x:is>
      </x:c>
      <x:c r="B14" s="146" t="inlineStr">
        <x:is>
          <x:t xml:space="preserve">Browser</x:t>
        </x:is>
      </x:c>
      <x:c r="C14" s="146" t="inlineStr">
        <x:is>
          <x:t xml:space="preserve">Formatter</x:t>
        </x:is>
      </x:c>
      <x:c r="D14" s="146" t="inlineStr">
        <x:is>
          <x:t xml:space="preserve">Real-browser evidence proves the public output, geometry or context behavior and includes an accessibility scan.</x:t>
        </x:is>
      </x:c>
      <x:c r="E14" s="146" t="inlineStr">
        <x:is>
          <x:t xml:space="preserve">package</x:t>
        </x:is>
      </x:c>
      <x:c r="F14" s="146" t="inlineStr">
        <x:is>
          <x:t xml:space="preserve">browser</x:t>
        </x:is>
      </x:c>
      <x:c r="G14" s="146" t="inlineStr">
        <x:is>
          <x:t xml:space="preserve">tests/components/format-byte/behavior.spec.ts</x:t>
        </x:is>
      </x:c>
      <x:c r="H14" s="146" t="inlineStr">
        <x:is>
          <x:t xml:space="preserve">tested</x:t>
        </x:is>
      </x:c>
      <x:c r="I14" s="146" t="inlineStr">
        <x:is>
          <x:t xml:space="preserve">no</x:t>
        </x:is>
      </x:c>
      <x:c r="J14" s="146" t="n">
        <x:v>46269</x:v>
      </x:c>
      <x:c r="K14" s="146" t="n"/>
      <x:c r="L14" s="146" t="n">
        <x:v>1</x:v>
      </x:c>
      <x:c r="M14" s="146" t="n">
        <x:f>IF(OR(AND(I14="yes",H14="verified"),AND(I14="no",OR(H14="tested",H14="verified")),AND(H14="not applicable",K14&lt;&gt;"")),1,0)</x:f>
        <x:v>1</x:v>
      </x:c>
    </x:row>
    <x:row r="15" s="135" customFormat="1" ht="24" customHeight="1">
      <x:c r="A15" s="146" t="inlineStr">
        <x:is>
          <x:t xml:space="preserve">FB-07</x:t>
        </x:is>
      </x:c>
      <x:c r="B15" s="146" t="inlineStr">
        <x:is>
          <x:t xml:space="preserve">Composition</x:t>
        </x:is>
      </x:c>
      <x:c r="C15" s="146" t="inlineStr">
        <x:is>
          <x:t xml:space="preserve">Formatter</x:t>
        </x:is>
      </x:c>
      <x:c r="D15" s="146" t="inlineStr">
        <x:is>
          <x:t xml:space="preserve">The helper composes with finished Brick owners without inserting accidental interaction, paint, or layout ownership.</x:t>
        </x:is>
      </x:c>
      <x:c r="E15" s="146" t="inlineStr">
        <x:is>
          <x:t xml:space="preserve">package</x:t>
        </x:is>
      </x:c>
      <x:c r="F15" s="146" t="inlineStr">
        <x:is>
          <x:t xml:space="preserve">browser</x:t>
        </x:is>
      </x:c>
      <x:c r="G15" s="146" t="inlineStr">
        <x:is>
          <x:t xml:space="preserve">tests/components/format-byte/behavior.spec.ts</x:t>
        </x:is>
      </x:c>
      <x:c r="H15" s="146" t="inlineStr">
        <x:is>
          <x:t xml:space="preserve">tested</x:t>
        </x:is>
      </x:c>
      <x:c r="I15" s="146" t="inlineStr">
        <x:is>
          <x:t xml:space="preserve">no</x:t>
        </x:is>
      </x:c>
      <x:c r="J15" s="146" t="n">
        <x:v>46269</x:v>
      </x:c>
      <x:c r="K15" s="146" t="n"/>
      <x:c r="L15" s="146" t="n">
        <x:v>1</x:v>
      </x:c>
      <x:c r="M15" s="146" t="n">
        <x:f>IF(OR(AND(I15="yes",H15="verified"),AND(I15="no",OR(H15="tested",H15="verified")),AND(H15="not applicable",K15&lt;&gt;"")),1,0)</x:f>
        <x:v>1</x:v>
      </x:c>
    </x:row>
    <x:row r="16" s="135" customFormat="1" ht="24" customHeight="1">
      <x:c r="A16" s="146" t="inlineStr">
        <x:is>
          <x:t xml:space="preserve">FB-08</x:t>
        </x:is>
      </x:c>
      <x:c r="B16" s="146" t="inlineStr">
        <x:is>
          <x:t xml:space="preserve">Contract</x:t>
        </x:is>
      </x:c>
      <x:c r="C16" s="146" t="inlineStr">
        <x:is>
          <x:t xml:space="preserve">Formatter</x:t>
        </x:is>
      </x:c>
      <x:c r="D16" s="146" t="inlineStr">
        <x:is>
          <x:t xml:space="preserve">Bit and byte units, decimal and binary scaling, precision, and unit display remain locale aware.</x:t>
        </x:is>
      </x:c>
      <x:c r="E16" s="146" t="inlineStr">
        <x:is>
          <x:t xml:space="preserve">package</x:t>
        </x:is>
      </x:c>
      <x:c r="F16" s="146" t="inlineStr">
        <x:is>
          <x:t xml:space="preserve">component</x:t>
        </x:is>
      </x:c>
      <x:c r="G16" s="146" t="inlineStr">
        <x:is>
          <x:t xml:space="preserve">../test/components/format-byte/format-byte.test.tsx; tests/components/format-byte/behavior.spec.ts</x:t>
        </x:is>
      </x:c>
      <x:c r="H16" s="146" t="inlineStr">
        <x:is>
          <x:t xml:space="preserve">tested</x:t>
        </x:is>
      </x:c>
      <x:c r="I16" s="146" t="inlineStr">
        <x:is>
          <x:t xml:space="preserve">no</x:t>
        </x:is>
      </x:c>
      <x:c r="J16" s="146" t="n">
        <x:v>46269</x:v>
      </x:c>
      <x:c r="K16" s="146" t="n"/>
      <x:c r="L16" s="146" t="n">
        <x:v>1</x:v>
      </x:c>
      <x:c r="M16" s="146" t="n">
        <x:f>IF(OR(AND(I16="yes",H16="verified"),AND(I16="no",OR(H16="tested",H16="verified")),AND(H16="not applicable",K16&lt;&gt;"")),1,0)</x:f>
        <x:v>1</x:v>
      </x:c>
    </x:row>
    <x:row r="17" s="135" customFormat="1" ht="24" customHeight="1">
      <x:c r="A17" s="146" t="inlineStr">
        <x:is>
          <x:t xml:space="preserve">FB-09</x:t>
        </x:is>
      </x:c>
      <x:c r="B17" s="146" t="inlineStr">
        <x:is>
          <x:t xml:space="preserve">Accessibility</x:t>
        </x:is>
      </x:c>
      <x:c r="C17" s="146" t="inlineStr">
        <x:is>
          <x:t xml:space="preserve">Formatter</x:t>
        </x:is>
      </x:c>
      <x:c r="D17" s="146" t="inlineStr">
        <x:is>
          <x:t xml:space="preserve">Semantics remain with the correct owner, output is readable, passive visuals stay hidden, and axe reports no violations.</x:t>
        </x:is>
      </x:c>
      <x:c r="E17" s="146" t="inlineStr">
        <x:is>
          <x:t xml:space="preserve">package</x:t>
        </x:is>
      </x:c>
      <x:c r="F17" s="146" t="inlineStr">
        <x:is>
          <x:t xml:space="preserve">axe</x:t>
        </x:is>
      </x:c>
      <x:c r="G17" s="146" t="inlineStr">
        <x:is>
          <x:t xml:space="preserve">tests/components/format-byte/behavior.spec.ts</x:t>
        </x:is>
      </x:c>
      <x:c r="H17" s="146" t="inlineStr">
        <x:is>
          <x:t xml:space="preserve">tested</x:t>
        </x:is>
      </x:c>
      <x:c r="I17" s="146" t="inlineStr">
        <x:is>
          <x:t xml:space="preserve">no</x:t>
        </x:is>
      </x:c>
      <x:c r="J17" s="146" t="n">
        <x:v>46269</x:v>
      </x:c>
      <x:c r="K17" s="146" t="n"/>
      <x:c r="L17" s="146" t="n">
        <x:v>1</x:v>
      </x:c>
      <x:c r="M17" s="146" t="n">
        <x:f>IF(OR(AND(I17="yes",H17="verified"),AND(I17="no",OR(H17="tested",H17="verified")),AND(H17="not applicable",K17&lt;&gt;"")),1,0)</x:f>
        <x:v>1</x:v>
      </x:c>
    </x:row>
    <x:row r="18" s="135" customFormat="1" ht="24" customHeight="1">
      <x:c r="A18" s="146" t="inlineStr">
        <x:is>
          <x:t xml:space="preserve">FB-10</x:t>
        </x:is>
      </x:c>
      <x:c r="B18" s="146" t="inlineStr">
        <x:is>
          <x:t xml:space="preserve">Visual</x:t>
        </x:is>
      </x:c>
      <x:c r="C18" s="146" t="inlineStr">
        <x:is>
          <x:t xml:space="preserve">Formatter</x:t>
        </x:is>
      </x:c>
      <x:c r="D18" s="146" t="inlineStr">
        <x:is>
          <x:t xml:space="preserve">A deterministic baseline covers the component's reviewable output in the default appearance.</x:t>
        </x:is>
      </x:c>
      <x:c r="E18" s="146" t="inlineStr">
        <x:is>
          <x:t xml:space="preserve">package</x:t>
        </x:is>
      </x:c>
      <x:c r="F18" s="146" t="inlineStr">
        <x:is>
          <x:t xml:space="preserve">visual</x:t>
        </x:is>
      </x:c>
      <x:c r="G18" s="146" t="inlineStr">
        <x:is>
          <x:t xml:space="preserve">tests/components/format-byte/visual.spec.ts</x:t>
        </x:is>
      </x:c>
      <x:c r="H18" s="146" t="inlineStr">
        <x:is>
          <x:t xml:space="preserve">implemented</x:t>
        </x:is>
      </x:c>
      <x:c r="I18" s="146" t="inlineStr">
        <x:is>
          <x:t xml:space="preserve">yes</x:t>
        </x:is>
      </x:c>
      <x:c r="J18" s="146" t="n"/>
      <x:c r="K18" s="146" t="inlineStr">
        <x:is>
          <x:t xml:space="preserve">Automated baseline exists; complete owner visual review is intentionally unclaimed.</x:t>
        </x:is>
      </x:c>
      <x:c r="L18" s="146" t="n">
        <x:v>1</x:v>
      </x:c>
      <x:c r="M18" s="146" t="n">
        <x:f>IF(OR(AND(I18="yes",H18="verified"),AND(I18="no",OR(H18="tested",H18="verified")),AND(H18="not applicable",K18&lt;&gt;"")),1,0)</x:f>
        <x:v>0</x:v>
      </x:c>
    </x:row>
    <x:row r="19" s="135" customFormat="1" ht="24" customHeight="1">
      <x:c r="A19" s="146" t="inlineStr">
        <x:is>
          <x:t xml:space="preserve">FB-11</x:t>
        </x:is>
      </x:c>
      <x:c r="B19" s="146" t="inlineStr">
        <x:is>
          <x:t xml:space="preserve">Responsive</x:t>
        </x:is>
      </x:c>
      <x:c r="C19" s="146" t="inlineStr">
        <x:is>
          <x:t xml:space="preserve">Formatter</x:t>
        </x:is>
      </x:c>
      <x:c r="D19" s="146" t="inlineStr">
        <x:is>
          <x:t xml:space="preserve">Mobile, zoom, RTL, appearance, and forced-colors conditions preserve readable output and correct ownership.</x:t>
        </x:is>
      </x:c>
      <x:c r="E19" s="146" t="inlineStr">
        <x:is>
          <x:t xml:space="preserve">package</x:t>
        </x:is>
      </x:c>
      <x:c r="F19" s="146" t="inlineStr">
        <x:is>
          <x:t xml:space="preserve">manual</x:t>
        </x:is>
      </x:c>
      <x:c r="G19" s="146" t="inlineStr">
        <x:is>
          <x:t xml:space="preserve">manual-tests/format-byte.md</x:t>
        </x:is>
      </x:c>
      <x:c r="H19" s="146" t="inlineStr">
        <x:is>
          <x:t xml:space="preserve">implemented</x:t>
        </x:is>
      </x:c>
      <x:c r="I19" s="146" t="inlineStr">
        <x:is>
          <x:t xml:space="preserve">yes</x:t>
        </x:is>
      </x:c>
      <x:c r="J19" s="146" t="n"/>
      <x:c r="K19" s="146" t="inlineStr">
        <x:is>
          <x:t xml:space="preserve">Automated evidence exists; the complete human stress run remains pending.</x:t>
        </x:is>
      </x:c>
      <x:c r="L19" s="146" t="n">
        <x:v>1</x:v>
      </x:c>
      <x:c r="M19" s="146" t="n">
        <x:f>IF(OR(AND(I19="yes",H19="verified"),AND(I19="no",OR(H19="tested",H19="verified")),AND(H19="not applicable",K19&lt;&gt;"")),1,0)</x:f>
        <x:v>0</x:v>
      </x:c>
    </x:row>
    <x:row r="20" s="135" customFormat="1" ht="24" customHeight="1">
      <x:c r="A20" s="146" t="inlineStr">
        <x:is>
          <x:t xml:space="preserve">FB-12</x:t>
        </x:is>
      </x:c>
      <x:c r="B20" s="146" t="inlineStr">
        <x:is>
          <x:t xml:space="preserve">Manual</x:t>
        </x:is>
      </x:c>
      <x:c r="C20" s="146" t="inlineStr">
        <x:is>
          <x:t xml:space="preserve">Format Byte</x:t>
        </x:is>
      </x:c>
      <x:c r="D20" s="146" t="inlineStr">
        <x:is>
          <x:t xml:space="preserve">A tester completes the component-owned behavior, appearance, forced-colors, mobile, RTL, zoom, and accessibility protocol.</x:t>
        </x:is>
      </x:c>
      <x:c r="E20" s="146" t="inlineStr">
        <x:is>
          <x:t xml:space="preserve">package</x:t>
        </x:is>
      </x:c>
      <x:c r="F20" s="146" t="inlineStr">
        <x:is>
          <x:t xml:space="preserve">manual</x:t>
        </x:is>
      </x:c>
      <x:c r="G20" s="146" t="inlineStr">
        <x:is>
          <x:t xml:space="preserve">manual-tests/format-byte.md</x:t>
        </x:is>
      </x:c>
      <x:c r="H20" s="146" t="inlineStr">
        <x:is>
          <x:t xml:space="preserve">implemented</x:t>
        </x:is>
      </x:c>
      <x:c r="I20" s="146" t="inlineStr">
        <x:is>
          <x:t xml:space="preserve">yes</x:t>
        </x:is>
      </x:c>
      <x:c r="J20" s="146" t="n"/>
      <x:c r="K20" s="146" t="inlineStr">
        <x:is>
          <x:t xml:space="preserve">Protocol exists; owner human review remains intentionally unclaimed.</x:t>
        </x:is>
      </x:c>
      <x:c r="L20" s="146" t="n">
        <x:v>1</x:v>
      </x:c>
      <x:c r="M20" s="146" t="n">
        <x:f>IF(OR(AND(I20="yes",H20="verified"),AND(I20="no",OR(H20="tested",H20="verified")),AND(H20="not applicable",K20&lt;&gt;"")),1,0)</x:f>
        <x:v>0</x:v>
      </x:c>
    </x:row>
    <x:row r="21" s="135" customFormat="1" ht="36" customHeight="1">
      <x:c r="A21" s="146" t="inlineStr">
        <x:is>
          <x:t xml:space="preserve">FB-13</x:t>
        </x:is>
      </x:c>
      <x:c r="B21" s="146" t="inlineStr">
        <x:is>
          <x:t xml:space="preserve">Docs</x:t>
        </x:is>
      </x:c>
      <x:c r="C21" s="146" t="inlineStr">
        <x:is>
          <x:t xml:space="preserve">Format Byte</x:t>
        </x:is>
      </x:c>
      <x:c r="D21" s="146" t="inlineStr">
        <x:is>
          <x:t xml:space="preserve">Public and Agent Knowledge guidance covers selection, boundaries, API, composition, accessibility, and validation.</x:t>
        </x:is>
      </x:c>
      <x:c r="E21" s="146" t="inlineStr">
        <x:is>
          <x:t xml:space="preserve">package</x:t>
        </x:is>
      </x:c>
      <x:c r="F21" s="146" t="inlineStr">
        <x:is>
          <x:t xml:space="preserve">docs</x:t>
        </x:is>
      </x:c>
      <x:c r="G21" s="146" t="inlineStr">
        <x:is>
          <x:t xml:space="preserve">../docs/components/format-byte/README.md; ../src/components/format-byte/agent.json; ../src/components/format-byte/agent.md</x:t>
        </x:is>
      </x:c>
      <x:c r="H21" s="146" t="inlineStr">
        <x:is>
          <x:t xml:space="preserve">tested</x:t>
        </x:is>
      </x:c>
      <x:c r="I21" s="146" t="inlineStr">
        <x:is>
          <x:t xml:space="preserve">no</x:t>
        </x:is>
      </x:c>
      <x:c r="J21" s="146" t="n">
        <x:v>46269</x:v>
      </x:c>
      <x:c r="K21" s="146" t="inlineStr">
        <x:is>
          <x:t xml:space="preserve">September 13: precision integer 1–100, localized zero, SI/binary semantics and modern docs.</x:t>
        </x:is>
      </x:c>
      <x:c r="L21" s="146" t="n">
        <x:v>1</x:v>
      </x:c>
      <x:c r="M21" s="146" t="n">
        <x:f>IF(OR(AND(I21="yes",H21="verified"),AND(I21="no",OR(H21="tested",H21="verified")),AND(H21="not applicable",K21&lt;&gt;"")),1,0)</x:f>
        <x:v>1</x:v>
      </x:c>
    </x:row>
    <x:row r="22" s="135" customFormat="1" ht="24" customHeight="1">
      <x:c r="A22" s="146" t="inlineStr">
        <x:is>
          <x:t xml:space="preserve">FB-14</x:t>
        </x:is>
      </x:c>
      <x:c r="B22" s="146" t="inlineStr">
        <x:is>
          <x:t xml:space="preserve">Changelog</x:t>
        </x:is>
      </x:c>
      <x:c r="C22" s="146" t="inlineStr">
        <x:is>
          <x:t xml:space="preserve">Format Byte</x:t>
        </x:is>
      </x:c>
      <x:c r="D22" s="146" t="inlineStr">
        <x:is>
          <x:t xml:space="preserve">Component and package histories record the public addition and consumer-visible contract.</x:t>
        </x:is>
      </x:c>
      <x:c r="E22" s="146" t="inlineStr">
        <x:is>
          <x:t xml:space="preserve">package</x:t>
        </x:is>
      </x:c>
      <x:c r="F22" s="146" t="inlineStr">
        <x:is>
          <x:t xml:space="preserve">docs</x:t>
        </x:is>
      </x:c>
      <x:c r="G22" s="146" t="inlineStr">
        <x:is>
          <x:t xml:space="preserve">../docs/components/format-byte/CHANGELOG.md; ../CHANGELOG.md</x:t>
        </x:is>
      </x:c>
      <x:c r="H22" s="146" t="inlineStr">
        <x:is>
          <x:t xml:space="preserve">tested</x:t>
        </x:is>
      </x:c>
      <x:c r="I22" s="146" t="inlineStr">
        <x:is>
          <x:t xml:space="preserve">no</x:t>
        </x:is>
      </x:c>
      <x:c r="J22" s="146" t="n">
        <x:v>46269</x:v>
      </x:c>
      <x:c r="K22" s="146" t="n"/>
      <x:c r="L22" s="146" t="n">
        <x:v>1</x:v>
      </x:c>
      <x:c r="M22" s="146" t="n">
        <x:f>IF(OR(AND(I22="yes",H22="verified"),AND(I22="no",OR(H22="tested",H22="verified")),AND(H22="not applicable",K22&lt;&gt;"")),1,0)</x:f>
        <x:v>1</x:v>
      </x:c>
    </x:row>
    <x:row r="23" s="135" customFormat="1" ht="24" customHeight="1">
      <x:c r="A23" s="146" t="inlineStr">
        <x:is>
          <x:t xml:space="preserve">FB-15</x:t>
        </x:is>
      </x:c>
      <x:c r="B23" s="146" t="inlineStr">
        <x:is>
          <x:t xml:space="preserve">Consumer</x:t>
        </x:is>
      </x:c>
      <x:c r="C23" s="146" t="inlineStr">
        <x:is>
          <x:t xml:space="preserve">Format Byte</x:t>
        </x:is>
      </x:c>
      <x:c r="D23" s="146" t="inlineStr">
        <x:is>
          <x:t xml:space="preserve">A packed consumer directly imports and composes the public subpath in a realistic application boundary.</x:t>
        </x:is>
      </x:c>
      <x:c r="E23" s="146" t="inlineStr">
        <x:is>
          <x:t xml:space="preserve">consumer</x:t>
        </x:is>
      </x:c>
      <x:c r="F23" s="146" t="inlineStr">
        <x:is>
          <x:t xml:space="preserve">consumer</x:t>
        </x:is>
      </x:c>
      <x:c r="G23" s="146" t="inlineStr">
        <x:is>
          <x:t xml:space="preserve">../apps/consumer</x:t>
        </x:is>
      </x:c>
      <x:c r="H23" s="146" t="inlineStr">
        <x:is>
          <x:t xml:space="preserve">implemented</x:t>
        </x:is>
      </x:c>
      <x:c r="I23" s="146" t="inlineStr">
        <x:is>
          <x:t xml:space="preserve">yes</x:t>
        </x:is>
      </x:c>
      <x:c r="J23" s="146" t="n"/>
      <x:c r="K23" s="146" t="inlineStr">
        <x:is>
          <x:t xml:space="preserve">Consumer integration remains pending for this unreleased local package change.</x:t>
        </x:is>
      </x:c>
      <x:c r="L23" s="146" t="n">
        <x:v>1</x:v>
      </x:c>
      <x:c r="M23" s="146" t="n">
        <x:f>IF(OR(AND(I23="yes",H23="verified"),AND(I23="no",OR(H23="tested",H23="verified")),AND(H23="not applicable",K23&lt;&gt;"")),1,0)</x:f>
        <x:v>0</x:v>
      </x:c>
    </x:row>
    <x:row r="24" s="135" customFormat="1" ht="36" customHeight="1">
      <x:c r="A24" s="146" t="inlineStr">
        <x:is>
          <x:t xml:space="preserve">FB-16</x:t>
        </x:is>
      </x:c>
      <x:c r="B24" s="146" t="inlineStr">
        <x:is>
          <x:t xml:space="preserve">Package</x:t>
        </x:is>
      </x:c>
      <x:c r="C24" s="146" t="inlineStr">
        <x:is>
          <x:t xml:space="preserve">Format Byte</x:t>
        </x:is>
      </x:c>
      <x:c r="D24" s="146" t="inlineStr">
        <x:is>
          <x:t xml:space="preserve">Build, SSR, exports, CSS, tarball, documentation, browser, axe, visual, and consumer gates pass.</x:t>
        </x:is>
      </x:c>
      <x:c r="E24" s="146" t="inlineStr">
        <x:is>
          <x:t xml:space="preserve">package</x:t>
        </x:is>
      </x:c>
      <x:c r="F24" s="146" t="inlineStr">
        <x:is>
          <x:t xml:space="preserve">package</x:t>
        </x:is>
      </x:c>
      <x:c r="G24" s="146" t="inlineStr">
        <x:is>
          <x:t xml:space="preserve">../test/package; ../scripts/verify-package.mjs; ../scripts/verify-app-consumer.mjs</x:t>
        </x:is>
      </x:c>
      <x:c r="H24" s="146" t="inlineStr">
        <x:is>
          <x:t xml:space="preserve">implemented</x:t>
        </x:is>
      </x:c>
      <x:c r="I24" s="146" t="inlineStr">
        <x:is>
          <x:t xml:space="preserve">yes</x:t>
        </x:is>
      </x:c>
      <x:c r="J24" s="146" t="n"/>
      <x:c r="K24" s="146" t="inlineStr">
        <x:is>
          <x:t xml:space="preserve">Automated package evidence is present; complete status waits for the manual run and an authorized release.</x:t>
        </x:is>
      </x:c>
      <x:c r="L24" s="146" t="n">
        <x:v>1</x:v>
      </x:c>
      <x:c r="M24" s="146" t="n">
        <x:f>IF(OR(AND(I24="yes",H24="verified"),AND(I24="no",OR(H24="tested",H24="verified")),AND(H24="not applicable",K24&lt;&gt;"")),1,0)</x:f>
        <x:v>0</x:v>
      </x:c>
    </x:row>
    <x:row r="25" s="135" customFormat="1" ht="63.75" customHeight="1">
      <x:c r="A25" s="148" t="inlineStr">
        <x:is>
          <x:t xml:space="preserve">formatbyte-inventory</x:t>
        </x:is>
      </x:c>
      <x:c r="B25" s="148" t="inlineStr">
        <x:is>
          <x:t xml:space="preserve">Playground</x:t>
        </x:is>
      </x:c>
      <x:c r="C25" s="148" t="inlineStr">
        <x:is>
          <x:t xml:space="preserve">Format Byte</x:t>
        </x:is>
      </x:c>
      <x:c r="D25" s="148" t="inlineStr">
        <x:is>
          <x:t xml:space="preserve">Every declared scenario renders in order at 390px and 1280px without page overflow or runtime exceptions.</x:t>
        </x:is>
      </x:c>
      <x:c r="E25" s="148" t="inlineStr">
        <x:is>
          <x:t xml:space="preserve">component</x:t>
        </x:is>
      </x:c>
      <x:c r="F25" s="148" t="inlineStr">
        <x:is>
          <x:t xml:space="preserve">browser</x:t>
        </x:is>
      </x:c>
      <x:c r="G25" s="148" t="inlineStr">
        <x:is>
          <x:t xml:space="preserve">playground/tests/integration/recent-component-capabilities.spec.ts</x:t>
        </x:is>
      </x:c>
      <x:c r="H25" s="148" t="inlineStr">
        <x:is>
          <x:t xml:space="preserve">tested</x:t>
        </x:is>
      </x:c>
      <x:c r="I25" s="148" t="inlineStr">
        <x:is>
          <x:t xml:space="preserve">no</x:t>
        </x:is>
      </x:c>
      <x:c r="J25" s="148" t="inlineStr">
        <x:is>
          <x:t xml:space="preserve">2026-09-05</x:t>
        </x:is>
      </x:c>
      <x:c r="K25" s="148" t="inlineStr">
        <x:is>
          <x:t xml:space="preserve">This assertion does not establish full behavioral or manual qualification.</x:t>
        </x:is>
      </x:c>
      <x:c r="L25" s="148" t="n">
        <x:v>1</x:v>
      </x:c>
      <x:c r="M25" s="148" t="n">
        <x:f>IF(OR(H25="tested",H25="verified"),1,0)</x:f>
        <x:v>1</x:v>
      </x:c>
    </x:row>
    <x:row r="26" s="135" customFormat="1" ht="15" customHeight="1">
      <x:c r="A26" s="217" t="n"/>
      <x:c r="B26" s="217" t="n"/>
      <x:c r="C26" s="217" t="n"/>
      <x:c r="D26" s="217" t="n"/>
      <x:c r="E26" s="217" t="n"/>
      <x:c r="F26" s="217" t="n"/>
      <x:c r="G26" s="217" t="n"/>
      <x:c r="H26" s="217" t="n"/>
      <x:c r="I26" s="217" t="n"/>
      <x:c r="J26" s="217" t="n"/>
      <x:c r="K26" s="217" t="n"/>
      <x:c r="L26" s="217" t="n"/>
      <x:c r="M26" s="217" t="n"/>
    </x:row>
    <x:row r="27" s="135" customFormat="1" ht="15" customHeight="1">
      <x:c r="A27" s="217" t="n"/>
      <x:c r="B27" s="217" t="n"/>
      <x:c r="C27" s="217" t="n"/>
      <x:c r="D27" s="217" t="n"/>
      <x:c r="E27" s="217" t="n"/>
      <x:c r="F27" s="217" t="n"/>
      <x:c r="G27" s="217" t="n"/>
      <x:c r="H27" s="217" t="n"/>
      <x:c r="I27" s="217" t="n"/>
      <x:c r="J27" s="217" t="n"/>
      <x:c r="K27" s="217" t="n"/>
      <x:c r="L27" s="217" t="n"/>
      <x:c r="M27" s="217" t="n"/>
    </x:row>
    <x:row r="28" s="135" customFormat="1" ht="15" customHeight="1">
      <x:c r="A28" s="217" t="n"/>
      <x:c r="B28" s="217" t="n"/>
      <x:c r="C28" s="217" t="n"/>
      <x:c r="D28" s="217" t="n"/>
      <x:c r="E28" s="217" t="n"/>
      <x:c r="F28" s="217" t="n"/>
      <x:c r="G28" s="217" t="n"/>
      <x:c r="H28" s="217" t="n"/>
      <x:c r="I28" s="217" t="n"/>
      <x:c r="J28" s="217" t="n"/>
      <x:c r="K28" s="217" t="n"/>
      <x:c r="L28" s="217" t="n"/>
      <x:c r="M28" s="217" t="n"/>
    </x:row>
  </x:sheetData>
  <x:dataValidations count="1">
    <x:dataValidation type="list" errorStyle="stop" operator="between" allowBlank="0" showDropDown="0" showInputMessage="0" showErrorMessage="0" sqref="H25">
      <x:formula1>_Lists!$A$1:$A$7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3ef920158cb4658"/>
  </x:tableParts>
</x:worksheet>
</file>

<file path=xl/worksheets/sheet107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4" style="138" customWidth="1"/>
    <x:col min="2" max="2" width="13" style="138" customWidth="1"/>
    <x:col min="3" max="3" width="15.510000228881836" style="138" customWidth="1"/>
    <x:col min="4" max="4" width="53.75" style="138" customWidth="1"/>
    <x:col min="5" max="5" width="11" style="138" customWidth="1"/>
    <x:col min="6" max="6" width="13" style="138" customWidth="1"/>
    <x:col min="7" max="7" width="41.25" style="138" customWidth="1"/>
    <x:col min="8" max="8" width="12" style="138" customWidth="1"/>
    <x:col min="9" max="10" width="12.75" style="138" customWidth="1"/>
    <x:col min="11" max="11" width="41.25" style="138" customWidth="1"/>
    <x:col min="12" max="12" width="8.75" style="138" customWidth="1"/>
    <x:col min="13" max="13" width="9.75" style="138" customWidth="1"/>
  </x:cols>
  <x:sheetData>
    <x:row r="1" s="135" customFormat="1" ht="15" customHeight="1">
      <x:c r="A1" s="217" t="inlineStr">
        <x:is>
          <x:t xml:space="preserve">For Evidence</x:t>
        </x:is>
      </x:c>
      <x:c r="B1" s="217" t="n"/>
      <x:c r="C1" s="217" t="n"/>
      <x:c r="D1" s="217" t="n"/>
      <x:c r="E1" s="217" t="n"/>
      <x:c r="F1" s="217" t="n"/>
      <x:c r="G1" s="217" t="n"/>
      <x:c r="H1" s="217" t="n"/>
      <x:c r="I1" s="217" t="n"/>
      <x:c r="J1" s="217" t="n"/>
      <x:c r="K1" s="217" t="n"/>
      <x:c r="L1" s="217" t="n"/>
      <x:c r="M1" s="217" t="n"/>
    </x:row>
    <x:row r="2" s="135" customFormat="1" ht="15" customHeight="1">
      <x:c r="A2" s="217" t="inlineStr">
        <x:is>
          <x:t xml:space="preserve">Assertion-level wrapper-free collection, fallback, typing, browser, documentation, and package evidence.</x:t>
        </x:is>
      </x:c>
      <x:c r="B2" s="217" t="n"/>
      <x:c r="C2" s="217" t="n"/>
      <x:c r="D2" s="217" t="n"/>
      <x:c r="E2" s="217" t="n"/>
      <x:c r="F2" s="217" t="n"/>
      <x:c r="G2" s="217" t="n"/>
      <x:c r="H2" s="217" t="n"/>
      <x:c r="I2" s="217" t="n"/>
      <x:c r="J2" s="217" t="n"/>
      <x:c r="K2" s="217" t="n"/>
      <x:c r="L2" s="217" t="n"/>
      <x:c r="M2" s="217" t="n"/>
    </x:row>
    <x:row r="3" s="135" customFormat="1" ht="15" customHeight="1">
      <x:c r="A3" s="217" t="n"/>
      <x:c r="B3" s="217" t="n"/>
      <x:c r="C3" s="217" t="n"/>
      <x:c r="D3" s="217" t="n"/>
      <x:c r="E3" s="217" t="n"/>
      <x:c r="F3" s="217" t="n"/>
      <x:c r="G3" s="217" t="n"/>
      <x:c r="H3" s="217" t="n"/>
      <x:c r="I3" s="217" t="n"/>
      <x:c r="J3" s="217" t="n"/>
      <x:c r="K3" s="217" t="n"/>
      <x:c r="L3" s="217" t="n"/>
      <x:c r="M3" s="217" t="n"/>
    </x:row>
    <x:row r="4" s="135" customFormat="1" ht="15" customHeight="1">
      <x:c r="A4" s="217" t="inlineStr">
        <x:is>
          <x:t xml:space="preserve">Requirements</x:t>
        </x:is>
      </x:c>
      <x:c r="B4" s="217" t="n">
        <x:f>COUNTA(A9:A25)</x:f>
        <x:v>17</x:v>
      </x:c>
      <x:c r="C4" s="217" t="n"/>
      <x:c r="D4" s="217" t="inlineStr">
        <x:is>
          <x:t xml:space="preserve">Resolved</x:t>
        </x:is>
      </x:c>
      <x:c r="E4" s="217" t="n">
        <x:f>SUM(M9:M25)</x:f>
        <x:v>12</x:v>
      </x:c>
      <x:c r="F4" s="217" t="n"/>
      <x:c r="G4" s="217" t="inlineStr">
        <x:is>
          <x:t xml:space="preserve">Completion</x:t>
        </x:is>
      </x:c>
      <x:c r="H4" s="217" t="n">
        <x:f>IF(B4=0,0,E4/B4)</x:f>
        <x:v>0.7058823529411765</x:v>
      </x:c>
      <x:c r="I4" s="217" t="n"/>
      <x:c r="J4" s="217" t="inlineStr">
        <x:is>
          <x:t xml:space="preserve">Package gate</x:t>
        </x:is>
      </x:c>
      <x:c r="K4" s="217" t="str">
        <x:f>IF(COUNTIFS(E9:E24,"package",M9:M24,0)&gt;0,"open","complete")</x:f>
        <x:v>open</x:v>
      </x:c>
      <x:c r="L4" s="217" t="n"/>
      <x:c r="M4" s="217" t="n"/>
    </x:row>
    <x:row r="5" s="135" customFormat="1" ht="15" customHeight="1">
      <x:c r="A5" s="217" t="inlineStr">
        <x:is>
          <x:t xml:space="preserve">Manual review</x:t>
        </x:is>
      </x:c>
      <x:c r="B5" s="217" t="str">
        <x:f>IF(COUNTIFS(I9:I24,"yes",M9:M24,0)&gt;0,"open","complete")</x:f>
        <x:v>open</x:v>
      </x:c>
      <x:c r="C5" s="217" t="n"/>
      <x:c r="D5" s="217" t="inlineStr">
        <x:is>
          <x:t xml:space="preserve">Consumer gate</x:t>
        </x:is>
      </x:c>
      <x:c r="E5" s="217" t="str">
        <x:f>IF(COUNTIFS(E9:E24,"consumer",M9:M24,0)&gt;0,"open","complete")</x:f>
        <x:v>open</x:v>
      </x:c>
      <x:c r="F5" s="217" t="n"/>
      <x:c r="G5" s="217" t="n"/>
      <x:c r="H5" s="217" t="n"/>
      <x:c r="I5" s="217" t="n"/>
      <x:c r="J5" s="217" t="n"/>
      <x:c r="K5" s="217" t="n"/>
      <x:c r="L5" s="217" t="n"/>
      <x:c r="M5" s="217" t="n"/>
    </x:row>
    <x:row r="6" s="135" customFormat="1" ht="15" customHeight="1">
      <x:c r="A6" s="217" t="n"/>
      <x:c r="B6" s="217" t="n"/>
      <x:c r="C6" s="217" t="n"/>
      <x:c r="D6" s="217" t="n"/>
      <x:c r="E6" s="217" t="n"/>
      <x:c r="F6" s="217" t="n"/>
      <x:c r="G6" s="217" t="n"/>
      <x:c r="H6" s="217" t="n"/>
      <x:c r="I6" s="217" t="n"/>
      <x:c r="J6" s="217" t="n"/>
      <x:c r="K6" s="217" t="n"/>
      <x:c r="L6" s="217" t="n"/>
      <x:c r="M6" s="217" t="n"/>
    </x:row>
    <x:row r="7" s="135" customFormat="1" ht="15" customHeight="1">
      <x:c r="A7" s="217" t="n"/>
      <x:c r="B7" s="217" t="n"/>
      <x:c r="C7" s="217" t="n"/>
      <x:c r="D7" s="217" t="n"/>
      <x:c r="E7" s="217" t="n"/>
      <x:c r="F7" s="217" t="n"/>
      <x:c r="G7" s="217" t="n"/>
      <x:c r="H7" s="217" t="n"/>
      <x:c r="I7" s="217" t="n"/>
      <x:c r="J7" s="217" t="n"/>
      <x:c r="K7" s="217" t="n"/>
      <x:c r="L7" s="217" t="n"/>
      <x:c r="M7" s="217" t="n"/>
    </x:row>
    <x:row r="8" s="135" customFormat="1" ht="15" customHeight="1">
      <x:c r="A8" s="217" t="inlineStr">
        <x:is>
          <x:t xml:space="preserve">ID</x:t>
        </x:is>
      </x:c>
      <x:c r="B8" s="217" t="inlineStr">
        <x:is>
          <x:t xml:space="preserve">Area</x:t>
        </x:is>
      </x:c>
      <x:c r="C8" s="217" t="inlineStr">
        <x:is>
          <x:t xml:space="preserve">Part</x:t>
        </x:is>
      </x:c>
      <x:c r="D8" s="217" t="inlineStr">
        <x:is>
          <x:t xml:space="preserve">Requirement</x:t>
        </x:is>
      </x:c>
      <x:c r="E8" s="217" t="inlineStr">
        <x:is>
          <x:t xml:space="preserve">Gate</x:t>
        </x:is>
      </x:c>
      <x:c r="F8" s="217" t="inlineStr">
        <x:is>
          <x:t xml:space="preserve">Evidence type</x:t>
        </x:is>
      </x:c>
      <x:c r="G8" s="217" t="inlineStr">
        <x:is>
          <x:t xml:space="preserve">Evidence / link</x:t>
        </x:is>
      </x:c>
      <x:c r="H8" s="217" t="inlineStr">
        <x:is>
          <x:t xml:space="preserve">Status</x:t>
        </x:is>
      </x:c>
      <x:c r="I8" s="217" t="inlineStr">
        <x:is>
          <x:t xml:space="preserve">Human review?</x:t>
        </x:is>
      </x:c>
      <x:c r="J8" s="217" t="inlineStr">
        <x:is>
          <x:t xml:space="preserve">Last verified</x:t>
        </x:is>
      </x:c>
      <x:c r="K8" s="217" t="inlineStr">
        <x:is>
          <x:t xml:space="preserve">Blocker / N/A reason</x:t>
        </x:is>
      </x:c>
      <x:c r="L8" s="217" t="inlineStr">
        <x:is>
          <x:t xml:space="preserve">Weight</x:t>
        </x:is>
      </x:c>
      <x:c r="M8" s="217" t="inlineStr">
        <x:is>
          <x:t xml:space="preserve">Resolved</x:t>
        </x:is>
      </x:c>
    </x:row>
    <x:row r="9" s="135" customFormat="1" ht="24" customHeight="1">
      <x:c r="A9" s="146" t="inlineStr">
        <x:is>
          <x:t xml:space="preserve">FR-01</x:t>
        </x:is>
      </x:c>
      <x:c r="B9" s="146" t="inlineStr">
        <x:is>
          <x:t xml:space="preserve">Implementation</x:t>
        </x:is>
      </x:c>
      <x:c r="C9" s="146" t="inlineStr">
        <x:is>
          <x:t xml:space="preserve">Render loop</x:t>
        </x:is>
      </x:c>
      <x:c r="D9" s="146" t="inlineStr">
        <x:is>
          <x:t xml:space="preserve">For implements its documented public contract without taking over application-owned concerns.</x:t>
        </x:is>
      </x:c>
      <x:c r="E9" s="146" t="inlineStr">
        <x:is>
          <x:t xml:space="preserve">package</x:t>
        </x:is>
      </x:c>
      <x:c r="F9" s="146" t="inlineStr">
        <x:is>
          <x:t xml:space="preserve">source</x:t>
        </x:is>
      </x:c>
      <x:c r="G9" s="146" t="inlineStr">
        <x:is>
          <x:t xml:space="preserve">../src/components/for</x:t>
        </x:is>
      </x:c>
      <x:c r="H9" s="146" t="inlineStr">
        <x:is>
          <x:t xml:space="preserve">tested</x:t>
        </x:is>
      </x:c>
      <x:c r="I9" s="146" t="inlineStr">
        <x:is>
          <x:t xml:space="preserve">no</x:t>
        </x:is>
      </x:c>
      <x:c r="J9" s="146" t="n">
        <x:v>46269</x:v>
      </x:c>
      <x:c r="K9" s="146" t="n"/>
      <x:c r="L9" s="146" t="n">
        <x:v>1</x:v>
      </x:c>
      <x:c r="M9" s="146" t="n">
        <x:f>IF(OR(AND(I9="yes",H9="verified"),AND(I9="no",OR(H9="tested",H9="verified")),AND(H9="not applicable",K9&lt;&gt;"")),1,0)</x:f>
        <x:v>1</x:v>
      </x:c>
    </x:row>
    <x:row r="10" s="135" customFormat="1" ht="24" customHeight="1">
      <x:c r="A10" s="146" t="inlineStr">
        <x:is>
          <x:t xml:space="preserve">FR-02</x:t>
        </x:is>
      </x:c>
      <x:c r="B10" s="146" t="inlineStr">
        <x:is>
          <x:t xml:space="preserve">Exports</x:t>
        </x:is>
      </x:c>
      <x:c r="C10" s="146" t="inlineStr">
        <x:is>
          <x:t xml:space="preserve">For</x:t>
        </x:is>
      </x:c>
      <x:c r="D10" s="146" t="inlineStr">
        <x:is>
          <x:t xml:space="preserve">Root and for subpath exports expose every public runtime and type with identical identity.</x:t>
        </x:is>
      </x:c>
      <x:c r="E10" s="146" t="inlineStr">
        <x:is>
          <x:t xml:space="preserve">package</x:t>
        </x:is>
      </x:c>
      <x:c r="F10" s="146" t="inlineStr">
        <x:is>
          <x:t xml:space="preserve">package</x:t>
        </x:is>
      </x:c>
      <x:c r="G10" s="146" t="inlineStr">
        <x:is>
          <x:t xml:space="preserve">../test/package/package.test.mjs; ../test/package/ssr.test.mjs</x:t>
        </x:is>
      </x:c>
      <x:c r="H10" s="146" t="inlineStr">
        <x:is>
          <x:t xml:space="preserve">tested</x:t>
        </x:is>
      </x:c>
      <x:c r="I10" s="146" t="inlineStr">
        <x:is>
          <x:t xml:space="preserve">no</x:t>
        </x:is>
      </x:c>
      <x:c r="J10" s="146" t="n">
        <x:v>46269</x:v>
      </x:c>
      <x:c r="K10" s="146" t="n"/>
      <x:c r="L10" s="146" t="n">
        <x:v>1</x:v>
      </x:c>
      <x:c r="M10" s="146" t="n">
        <x:f>IF(OR(AND(I10="yes",H10="verified"),AND(I10="no",OR(H10="tested",H10="verified")),AND(H10="not applicable",K10&lt;&gt;"")),1,0)</x:f>
        <x:v>1</x:v>
      </x:c>
    </x:row>
    <x:row r="11" s="135" customFormat="1" ht="24" customHeight="1">
      <x:c r="A11" s="146" t="inlineStr">
        <x:is>
          <x:t xml:space="preserve">FR-03</x:t>
        </x:is>
      </x:c>
      <x:c r="B11" s="146" t="inlineStr">
        <x:is>
          <x:t xml:space="preserve">Types</x:t>
        </x:is>
      </x:c>
      <x:c r="C11" s="146" t="inlineStr">
        <x:is>
          <x:t xml:space="preserve">Public surface</x:t>
        </x:is>
      </x:c>
      <x:c r="D11" s="146" t="inlineStr">
        <x:is>
          <x:t xml:space="preserve">Public props, native passthrough where applicable, refs, and invalid values are covered by compile-time evidence.</x:t>
        </x:is>
      </x:c>
      <x:c r="E11" s="146" t="inlineStr">
        <x:is>
          <x:t xml:space="preserve">package</x:t>
        </x:is>
      </x:c>
      <x:c r="F11" s="146" t="inlineStr">
        <x:is>
          <x:t xml:space="preserve">types</x:t>
        </x:is>
      </x:c>
      <x:c r="G11" s="146" t="inlineStr">
        <x:is>
          <x:t xml:space="preserve">../test/types/components/for.test.ts</x:t>
        </x:is>
      </x:c>
      <x:c r="H11" s="146" t="inlineStr">
        <x:is>
          <x:t xml:space="preserve">tested</x:t>
        </x:is>
      </x:c>
      <x:c r="I11" s="146" t="inlineStr">
        <x:is>
          <x:t xml:space="preserve">no</x:t>
        </x:is>
      </x:c>
      <x:c r="J11" s="146" t="n">
        <x:v>46269</x:v>
      </x:c>
      <x:c r="K11" s="146" t="n"/>
      <x:c r="L11" s="146" t="n">
        <x:v>1</x:v>
      </x:c>
      <x:c r="M11" s="146" t="n">
        <x:f>IF(OR(AND(I11="yes",H11="verified"),AND(I11="no",OR(H11="tested",H11="verified")),AND(H11="not applicable",K11&lt;&gt;"")),1,0)</x:f>
        <x:v>1</x:v>
      </x:c>
    </x:row>
    <x:row r="12" s="135" customFormat="1" ht="24" customHeight="1">
      <x:c r="A12" s="146" t="inlineStr">
        <x:is>
          <x:t xml:space="preserve">FR-04</x:t>
        </x:is>
      </x:c>
      <x:c r="B12" s="146" t="inlineStr">
        <x:is>
          <x:t xml:space="preserve">CSS</x:t>
        </x:is>
      </x:c>
      <x:c r="C12" s="146" t="inlineStr">
        <x:is>
          <x:t xml:space="preserve">Render loop</x:t>
        </x:is>
      </x:c>
      <x:c r="D12" s="146" t="inlineStr">
        <x:is>
          <x:t xml:space="preserve">The modular style entry owns only documented presentation; context and wrapper-free helpers add no visual recipe.</x:t>
        </x:is>
      </x:c>
      <x:c r="E12" s="146" t="inlineStr">
        <x:is>
          <x:t xml:space="preserve">package</x:t>
        </x:is>
      </x:c>
      <x:c r="F12" s="146" t="inlineStr">
        <x:is>
          <x:t xml:space="preserve">css</x:t>
        </x:is>
      </x:c>
      <x:c r="G12" s="146" t="inlineStr">
        <x:is>
          <x:t xml:space="preserve">../src/components/for/for.css</x:t>
        </x:is>
      </x:c>
      <x:c r="H12" s="146" t="inlineStr">
        <x:is>
          <x:t xml:space="preserve">tested</x:t>
        </x:is>
      </x:c>
      <x:c r="I12" s="146" t="inlineStr">
        <x:is>
          <x:t xml:space="preserve">no</x:t>
        </x:is>
      </x:c>
      <x:c r="J12" s="146" t="n">
        <x:v>46269</x:v>
      </x:c>
      <x:c r="K12" s="146" t="n"/>
      <x:c r="L12" s="146" t="n">
        <x:v>1</x:v>
      </x:c>
      <x:c r="M12" s="146" t="n">
        <x:f>IF(OR(AND(I12="yes",H12="verified"),AND(I12="no",OR(H12="tested",H12="verified")),AND(H12="not applicable",K12&lt;&gt;"")),1,0)</x:f>
        <x:v>1</x:v>
      </x:c>
    </x:row>
    <x:row r="13" s="135" customFormat="1" ht="24" customHeight="1">
      <x:c r="A13" s="146" t="inlineStr">
        <x:is>
          <x:t xml:space="preserve">FR-05</x:t>
        </x:is>
      </x:c>
      <x:c r="B13" s="146" t="inlineStr">
        <x:is>
          <x:t xml:space="preserve">Unit</x:t>
        </x:is>
      </x:c>
      <x:c r="C13" s="146" t="inlineStr">
        <x:is>
          <x:t xml:space="preserve">Render loop</x:t>
        </x:is>
      </x:c>
      <x:c r="D13" s="146" t="inlineStr">
        <x:is>
          <x:t xml:space="preserve">Focused component tests cover defaults, state or output, passthrough, refs where applicable, and edge cases.</x:t>
        </x:is>
      </x:c>
      <x:c r="E13" s="146" t="inlineStr">
        <x:is>
          <x:t xml:space="preserve">package</x:t>
        </x:is>
      </x:c>
      <x:c r="F13" s="146" t="inlineStr">
        <x:is>
          <x:t xml:space="preserve">component</x:t>
        </x:is>
      </x:c>
      <x:c r="G13" s="146" t="inlineStr">
        <x:is>
          <x:t xml:space="preserve">../test/components/for/for.test.tsx</x:t>
        </x:is>
      </x:c>
      <x:c r="H13" s="146" t="inlineStr">
        <x:is>
          <x:t xml:space="preserve">tested</x:t>
        </x:is>
      </x:c>
      <x:c r="I13" s="146" t="inlineStr">
        <x:is>
          <x:t xml:space="preserve">no</x:t>
        </x:is>
      </x:c>
      <x:c r="J13" s="146" t="n">
        <x:v>46269</x:v>
      </x:c>
      <x:c r="K13" s="146" t="n"/>
      <x:c r="L13" s="146" t="n">
        <x:v>1</x:v>
      </x:c>
      <x:c r="M13" s="146" t="n">
        <x:f>IF(OR(AND(I13="yes",H13="verified"),AND(I13="no",OR(H13="tested",H13="verified")),AND(H13="not applicable",K13&lt;&gt;"")),1,0)</x:f>
        <x:v>1</x:v>
      </x:c>
    </x:row>
    <x:row r="14" s="135" customFormat="1" ht="24" customHeight="1">
      <x:c r="A14" s="146" t="inlineStr">
        <x:is>
          <x:t xml:space="preserve">FR-06</x:t>
        </x:is>
      </x:c>
      <x:c r="B14" s="146" t="inlineStr">
        <x:is>
          <x:t xml:space="preserve">Browser</x:t>
        </x:is>
      </x:c>
      <x:c r="C14" s="146" t="inlineStr">
        <x:is>
          <x:t xml:space="preserve">Render loop</x:t>
        </x:is>
      </x:c>
      <x:c r="D14" s="146" t="inlineStr">
        <x:is>
          <x:t xml:space="preserve">Real-browser evidence proves the public output, geometry or context behavior and includes an accessibility scan.</x:t>
        </x:is>
      </x:c>
      <x:c r="E14" s="146" t="inlineStr">
        <x:is>
          <x:t xml:space="preserve">package</x:t>
        </x:is>
      </x:c>
      <x:c r="F14" s="146" t="inlineStr">
        <x:is>
          <x:t xml:space="preserve">browser</x:t>
        </x:is>
      </x:c>
      <x:c r="G14" s="146" t="inlineStr">
        <x:is>
          <x:t xml:space="preserve">tests/components/for/behavior.spec.ts</x:t>
        </x:is>
      </x:c>
      <x:c r="H14" s="146" t="inlineStr">
        <x:is>
          <x:t xml:space="preserve">tested</x:t>
        </x:is>
      </x:c>
      <x:c r="I14" s="146" t="inlineStr">
        <x:is>
          <x:t xml:space="preserve">no</x:t>
        </x:is>
      </x:c>
      <x:c r="J14" s="146" t="n">
        <x:v>46269</x:v>
      </x:c>
      <x:c r="K14" s="146" t="n"/>
      <x:c r="L14" s="146" t="n">
        <x:v>1</x:v>
      </x:c>
      <x:c r="M14" s="146" t="n">
        <x:f>IF(OR(AND(I14="yes",H14="verified"),AND(I14="no",OR(H14="tested",H14="verified")),AND(H14="not applicable",K14&lt;&gt;"")),1,0)</x:f>
        <x:v>1</x:v>
      </x:c>
    </x:row>
    <x:row r="15" s="135" customFormat="1" ht="24" customHeight="1">
      <x:c r="A15" s="146" t="inlineStr">
        <x:is>
          <x:t xml:space="preserve">FR-07</x:t>
        </x:is>
      </x:c>
      <x:c r="B15" s="146" t="inlineStr">
        <x:is>
          <x:t xml:space="preserve">Composition</x:t>
        </x:is>
      </x:c>
      <x:c r="C15" s="146" t="inlineStr">
        <x:is>
          <x:t xml:space="preserve">Render loop</x:t>
        </x:is>
      </x:c>
      <x:c r="D15" s="146" t="inlineStr">
        <x:is>
          <x:t xml:space="preserve">The helper composes with finished Brick owners without inserting accidental interaction, paint, or layout ownership.</x:t>
        </x:is>
      </x:c>
      <x:c r="E15" s="146" t="inlineStr">
        <x:is>
          <x:t xml:space="preserve">package</x:t>
        </x:is>
      </x:c>
      <x:c r="F15" s="146" t="inlineStr">
        <x:is>
          <x:t xml:space="preserve">browser</x:t>
        </x:is>
      </x:c>
      <x:c r="G15" s="146" t="inlineStr">
        <x:is>
          <x:t xml:space="preserve">tests/components/for/behavior.spec.ts</x:t>
        </x:is>
      </x:c>
      <x:c r="H15" s="146" t="inlineStr">
        <x:is>
          <x:t xml:space="preserve">tested</x:t>
        </x:is>
      </x:c>
      <x:c r="I15" s="146" t="inlineStr">
        <x:is>
          <x:t xml:space="preserve">no</x:t>
        </x:is>
      </x:c>
      <x:c r="J15" s="146" t="n">
        <x:v>46269</x:v>
      </x:c>
      <x:c r="K15" s="146" t="n"/>
      <x:c r="L15" s="146" t="n">
        <x:v>1</x:v>
      </x:c>
      <x:c r="M15" s="146" t="n">
        <x:f>IF(OR(AND(I15="yes",H15="verified"),AND(I15="no",OR(H15="tested",H15="verified")),AND(H15="not applicable",K15&lt;&gt;"")),1,0)</x:f>
        <x:v>1</x:v>
      </x:c>
    </x:row>
    <x:row r="16" s="135" customFormat="1" ht="24" customHeight="1">
      <x:c r="A16" s="146" t="inlineStr">
        <x:is>
          <x:t xml:space="preserve">FR-08</x:t>
        </x:is>
      </x:c>
      <x:c r="B16" s="146" t="inlineStr">
        <x:is>
          <x:t xml:space="preserve">Contract</x:t>
        </x:is>
      </x:c>
      <x:c r="C16" s="146" t="inlineStr">
        <x:is>
          <x:t xml:space="preserve">Render loop</x:t>
        </x:is>
      </x:c>
      <x:c r="D16" s="146" t="inlineStr">
        <x:is>
          <x:t xml:space="preserve">Typed item rendering, stable consumer-owned keys, source order, and empty or undefined fallback add no host element.</x:t>
        </x:is>
      </x:c>
      <x:c r="E16" s="146" t="inlineStr">
        <x:is>
          <x:t xml:space="preserve">package</x:t>
        </x:is>
      </x:c>
      <x:c r="F16" s="146" t="inlineStr">
        <x:is>
          <x:t xml:space="preserve">component</x:t>
        </x:is>
      </x:c>
      <x:c r="G16" s="146" t="inlineStr">
        <x:is>
          <x:t xml:space="preserve">../test/components/for/for.test.tsx; tests/components/for/behavior.spec.ts</x:t>
        </x:is>
      </x:c>
      <x:c r="H16" s="146" t="inlineStr">
        <x:is>
          <x:t xml:space="preserve">tested</x:t>
        </x:is>
      </x:c>
      <x:c r="I16" s="146" t="inlineStr">
        <x:is>
          <x:t xml:space="preserve">no</x:t>
        </x:is>
      </x:c>
      <x:c r="J16" s="146" t="n">
        <x:v>46269</x:v>
      </x:c>
      <x:c r="K16" s="146" t="n"/>
      <x:c r="L16" s="146" t="n">
        <x:v>1</x:v>
      </x:c>
      <x:c r="M16" s="146" t="n">
        <x:f>IF(OR(AND(I16="yes",H16="verified"),AND(I16="no",OR(H16="tested",H16="verified")),AND(H16="not applicable",K16&lt;&gt;"")),1,0)</x:f>
        <x:v>1</x:v>
      </x:c>
    </x:row>
    <x:row r="17" s="135" customFormat="1" ht="24" customHeight="1">
      <x:c r="A17" s="146" t="inlineStr">
        <x:is>
          <x:t xml:space="preserve">FR-09</x:t>
        </x:is>
      </x:c>
      <x:c r="B17" s="146" t="inlineStr">
        <x:is>
          <x:t xml:space="preserve">Accessibility</x:t>
        </x:is>
      </x:c>
      <x:c r="C17" s="146" t="inlineStr">
        <x:is>
          <x:t xml:space="preserve">Render loop</x:t>
        </x:is>
      </x:c>
      <x:c r="D17" s="146" t="inlineStr">
        <x:is>
          <x:t xml:space="preserve">Semantics remain with the correct owner, output is readable, passive visuals stay hidden, and axe reports no violations.</x:t>
        </x:is>
      </x:c>
      <x:c r="E17" s="146" t="inlineStr">
        <x:is>
          <x:t xml:space="preserve">package</x:t>
        </x:is>
      </x:c>
      <x:c r="F17" s="146" t="inlineStr">
        <x:is>
          <x:t xml:space="preserve">axe</x:t>
        </x:is>
      </x:c>
      <x:c r="G17" s="146" t="inlineStr">
        <x:is>
          <x:t xml:space="preserve">tests/components/for/behavior.spec.ts</x:t>
        </x:is>
      </x:c>
      <x:c r="H17" s="146" t="inlineStr">
        <x:is>
          <x:t xml:space="preserve">tested</x:t>
        </x:is>
      </x:c>
      <x:c r="I17" s="146" t="inlineStr">
        <x:is>
          <x:t xml:space="preserve">no</x:t>
        </x:is>
      </x:c>
      <x:c r="J17" s="146" t="n">
        <x:v>46269</x:v>
      </x:c>
      <x:c r="K17" s="146" t="n"/>
      <x:c r="L17" s="146" t="n">
        <x:v>1</x:v>
      </x:c>
      <x:c r="M17" s="146" t="n">
        <x:f>IF(OR(AND(I17="yes",H17="verified"),AND(I17="no",OR(H17="tested",H17="verified")),AND(H17="not applicable",K17&lt;&gt;"")),1,0)</x:f>
        <x:v>1</x:v>
      </x:c>
    </x:row>
    <x:row r="18" s="135" customFormat="1" ht="24" customHeight="1">
      <x:c r="A18" s="146" t="inlineStr">
        <x:is>
          <x:t xml:space="preserve">FR-10</x:t>
        </x:is>
      </x:c>
      <x:c r="B18" s="146" t="inlineStr">
        <x:is>
          <x:t xml:space="preserve">Visual</x:t>
        </x:is>
      </x:c>
      <x:c r="C18" s="146" t="inlineStr">
        <x:is>
          <x:t xml:space="preserve">Render loop</x:t>
        </x:is>
      </x:c>
      <x:c r="D18" s="146" t="inlineStr">
        <x:is>
          <x:t xml:space="preserve">A deterministic baseline covers the component's reviewable output in the default appearance.</x:t>
        </x:is>
      </x:c>
      <x:c r="E18" s="146" t="inlineStr">
        <x:is>
          <x:t xml:space="preserve">package</x:t>
        </x:is>
      </x:c>
      <x:c r="F18" s="146" t="inlineStr">
        <x:is>
          <x:t xml:space="preserve">visual</x:t>
        </x:is>
      </x:c>
      <x:c r="G18" s="146" t="inlineStr">
        <x:is>
          <x:t xml:space="preserve">tests/components/for/visual.spec.ts</x:t>
        </x:is>
      </x:c>
      <x:c r="H18" s="146" t="inlineStr">
        <x:is>
          <x:t xml:space="preserve">implemented</x:t>
        </x:is>
      </x:c>
      <x:c r="I18" s="146" t="inlineStr">
        <x:is>
          <x:t xml:space="preserve">yes</x:t>
        </x:is>
      </x:c>
      <x:c r="J18" s="146" t="n"/>
      <x:c r="K18" s="146" t="inlineStr">
        <x:is>
          <x:t xml:space="preserve">Automated baseline exists; complete owner visual review is intentionally unclaimed.</x:t>
        </x:is>
      </x:c>
      <x:c r="L18" s="146" t="n">
        <x:v>1</x:v>
      </x:c>
      <x:c r="M18" s="146" t="n">
        <x:f>IF(OR(AND(I18="yes",H18="verified"),AND(I18="no",OR(H18="tested",H18="verified")),AND(H18="not applicable",K18&lt;&gt;"")),1,0)</x:f>
        <x:v>0</x:v>
      </x:c>
    </x:row>
    <x:row r="19" s="135" customFormat="1" ht="24" customHeight="1">
      <x:c r="A19" s="146" t="inlineStr">
        <x:is>
          <x:t xml:space="preserve">FR-11</x:t>
        </x:is>
      </x:c>
      <x:c r="B19" s="146" t="inlineStr">
        <x:is>
          <x:t xml:space="preserve">Responsive</x:t>
        </x:is>
      </x:c>
      <x:c r="C19" s="146" t="inlineStr">
        <x:is>
          <x:t xml:space="preserve">Render loop</x:t>
        </x:is>
      </x:c>
      <x:c r="D19" s="146" t="inlineStr">
        <x:is>
          <x:t xml:space="preserve">Mobile, zoom, RTL, appearance, and forced-colors conditions preserve readable output and correct ownership.</x:t>
        </x:is>
      </x:c>
      <x:c r="E19" s="146" t="inlineStr">
        <x:is>
          <x:t xml:space="preserve">package</x:t>
        </x:is>
      </x:c>
      <x:c r="F19" s="146" t="inlineStr">
        <x:is>
          <x:t xml:space="preserve">manual</x:t>
        </x:is>
      </x:c>
      <x:c r="G19" s="146" t="inlineStr">
        <x:is>
          <x:t xml:space="preserve">manual-tests/for.md</x:t>
        </x:is>
      </x:c>
      <x:c r="H19" s="146" t="inlineStr">
        <x:is>
          <x:t xml:space="preserve">implemented</x:t>
        </x:is>
      </x:c>
      <x:c r="I19" s="146" t="inlineStr">
        <x:is>
          <x:t xml:space="preserve">yes</x:t>
        </x:is>
      </x:c>
      <x:c r="J19" s="146" t="n"/>
      <x:c r="K19" s="146" t="inlineStr">
        <x:is>
          <x:t xml:space="preserve">Automated evidence exists; the complete human stress run remains pending.</x:t>
        </x:is>
      </x:c>
      <x:c r="L19" s="146" t="n">
        <x:v>1</x:v>
      </x:c>
      <x:c r="M19" s="146" t="n">
        <x:f>IF(OR(AND(I19="yes",H19="verified"),AND(I19="no",OR(H19="tested",H19="verified")),AND(H19="not applicable",K19&lt;&gt;"")),1,0)</x:f>
        <x:v>0</x:v>
      </x:c>
    </x:row>
    <x:row r="20" s="135" customFormat="1" ht="24" customHeight="1">
      <x:c r="A20" s="146" t="inlineStr">
        <x:is>
          <x:t xml:space="preserve">FR-12</x:t>
        </x:is>
      </x:c>
      <x:c r="B20" s="146" t="inlineStr">
        <x:is>
          <x:t xml:space="preserve">Manual</x:t>
        </x:is>
      </x:c>
      <x:c r="C20" s="146" t="inlineStr">
        <x:is>
          <x:t xml:space="preserve">For</x:t>
        </x:is>
      </x:c>
      <x:c r="D20" s="146" t="inlineStr">
        <x:is>
          <x:t xml:space="preserve">A tester completes the component-owned behavior, appearance, forced-colors, mobile, RTL, zoom, and accessibility protocol.</x:t>
        </x:is>
      </x:c>
      <x:c r="E20" s="146" t="inlineStr">
        <x:is>
          <x:t xml:space="preserve">package</x:t>
        </x:is>
      </x:c>
      <x:c r="F20" s="146" t="inlineStr">
        <x:is>
          <x:t xml:space="preserve">manual</x:t>
        </x:is>
      </x:c>
      <x:c r="G20" s="146" t="inlineStr">
        <x:is>
          <x:t xml:space="preserve">manual-tests/for.md</x:t>
        </x:is>
      </x:c>
      <x:c r="H20" s="146" t="inlineStr">
        <x:is>
          <x:t xml:space="preserve">implemented</x:t>
        </x:is>
      </x:c>
      <x:c r="I20" s="146" t="inlineStr">
        <x:is>
          <x:t xml:space="preserve">yes</x:t>
        </x:is>
      </x:c>
      <x:c r="J20" s="146" t="n"/>
      <x:c r="K20" s="146" t="inlineStr">
        <x:is>
          <x:t xml:space="preserve">Protocol exists; owner human review remains intentionally unclaimed.</x:t>
        </x:is>
      </x:c>
      <x:c r="L20" s="146" t="n">
        <x:v>1</x:v>
      </x:c>
      <x:c r="M20" s="146" t="n">
        <x:f>IF(OR(AND(I20="yes",H20="verified"),AND(I20="no",OR(H20="tested",H20="verified")),AND(H20="not applicable",K20&lt;&gt;"")),1,0)</x:f>
        <x:v>0</x:v>
      </x:c>
    </x:row>
    <x:row r="21" s="135" customFormat="1" ht="36" customHeight="1">
      <x:c r="A21" s="146" t="inlineStr">
        <x:is>
          <x:t xml:space="preserve">FR-13</x:t>
        </x:is>
      </x:c>
      <x:c r="B21" s="146" t="inlineStr">
        <x:is>
          <x:t xml:space="preserve">Docs</x:t>
        </x:is>
      </x:c>
      <x:c r="C21" s="146" t="inlineStr">
        <x:is>
          <x:t xml:space="preserve">For</x:t>
        </x:is>
      </x:c>
      <x:c r="D21" s="146" t="inlineStr">
        <x:is>
          <x:t xml:space="preserve">Public and Agent Knowledge guidance covers selection, boundaries, API, composition, accessibility, and validation.</x:t>
        </x:is>
      </x:c>
      <x:c r="E21" s="146" t="inlineStr">
        <x:is>
          <x:t xml:space="preserve">package</x:t>
        </x:is>
      </x:c>
      <x:c r="F21" s="146" t="inlineStr">
        <x:is>
          <x:t xml:space="preserve">docs</x:t>
        </x:is>
      </x:c>
      <x:c r="G21" s="146" t="inlineStr">
        <x:is>
          <x:t xml:space="preserve">../docs/components/for/README.md; ../src/components/for/agent.json; ../src/components/for/agent.md</x:t>
        </x:is>
      </x:c>
      <x:c r="H21" s="146" t="inlineStr">
        <x:is>
          <x:t xml:space="preserve">tested</x:t>
        </x:is>
      </x:c>
      <x:c r="I21" s="146" t="inlineStr">
        <x:is>
          <x:t xml:space="preserve">no</x:t>
        </x:is>
      </x:c>
      <x:c r="J21" s="146" t="n">
        <x:v>46269</x:v>
      </x:c>
      <x:c r="K21" s="146" t="n"/>
      <x:c r="L21" s="146" t="n">
        <x:v>1</x:v>
      </x:c>
      <x:c r="M21" s="146" t="n">
        <x:f>IF(OR(AND(I21="yes",H21="verified"),AND(I21="no",OR(H21="tested",H21="verified")),AND(H21="not applicable",K21&lt;&gt;"")),1,0)</x:f>
        <x:v>1</x:v>
      </x:c>
    </x:row>
    <x:row r="22" s="135" customFormat="1" ht="24" customHeight="1">
      <x:c r="A22" s="146" t="inlineStr">
        <x:is>
          <x:t xml:space="preserve">FR-14</x:t>
        </x:is>
      </x:c>
      <x:c r="B22" s="146" t="inlineStr">
        <x:is>
          <x:t xml:space="preserve">Changelog</x:t>
        </x:is>
      </x:c>
      <x:c r="C22" s="146" t="inlineStr">
        <x:is>
          <x:t xml:space="preserve">For</x:t>
        </x:is>
      </x:c>
      <x:c r="D22" s="146" t="inlineStr">
        <x:is>
          <x:t xml:space="preserve">Component and package histories record the public addition and consumer-visible contract.</x:t>
        </x:is>
      </x:c>
      <x:c r="E22" s="146" t="inlineStr">
        <x:is>
          <x:t xml:space="preserve">package</x:t>
        </x:is>
      </x:c>
      <x:c r="F22" s="146" t="inlineStr">
        <x:is>
          <x:t xml:space="preserve">docs</x:t>
        </x:is>
      </x:c>
      <x:c r="G22" s="146" t="inlineStr">
        <x:is>
          <x:t xml:space="preserve">../docs/components/for/CHANGELOG.md; ../CHANGELOG.md</x:t>
        </x:is>
      </x:c>
      <x:c r="H22" s="146" t="inlineStr">
        <x:is>
          <x:t xml:space="preserve">tested</x:t>
        </x:is>
      </x:c>
      <x:c r="I22" s="146" t="inlineStr">
        <x:is>
          <x:t xml:space="preserve">no</x:t>
        </x:is>
      </x:c>
      <x:c r="J22" s="146" t="n">
        <x:v>46269</x:v>
      </x:c>
      <x:c r="K22" s="146" t="n"/>
      <x:c r="L22" s="146" t="n">
        <x:v>1</x:v>
      </x:c>
      <x:c r="M22" s="146" t="n">
        <x:f>IF(OR(AND(I22="yes",H22="verified"),AND(I22="no",OR(H22="tested",H22="verified")),AND(H22="not applicable",K22&lt;&gt;"")),1,0)</x:f>
        <x:v>1</x:v>
      </x:c>
    </x:row>
    <x:row r="23" s="135" customFormat="1" ht="24" customHeight="1">
      <x:c r="A23" s="146" t="inlineStr">
        <x:is>
          <x:t xml:space="preserve">FR-15</x:t>
        </x:is>
      </x:c>
      <x:c r="B23" s="146" t="inlineStr">
        <x:is>
          <x:t xml:space="preserve">Consumer</x:t>
        </x:is>
      </x:c>
      <x:c r="C23" s="146" t="inlineStr">
        <x:is>
          <x:t xml:space="preserve">For</x:t>
        </x:is>
      </x:c>
      <x:c r="D23" s="146" t="inlineStr">
        <x:is>
          <x:t xml:space="preserve">A packed consumer directly imports and composes the public subpath in a realistic application boundary.</x:t>
        </x:is>
      </x:c>
      <x:c r="E23" s="146" t="inlineStr">
        <x:is>
          <x:t xml:space="preserve">consumer</x:t>
        </x:is>
      </x:c>
      <x:c r="F23" s="146" t="inlineStr">
        <x:is>
          <x:t xml:space="preserve">consumer</x:t>
        </x:is>
      </x:c>
      <x:c r="G23" s="146" t="inlineStr">
        <x:is>
          <x:t xml:space="preserve">../apps/consumer</x:t>
        </x:is>
      </x:c>
      <x:c r="H23" s="146" t="inlineStr">
        <x:is>
          <x:t xml:space="preserve">implemented</x:t>
        </x:is>
      </x:c>
      <x:c r="I23" s="146" t="inlineStr">
        <x:is>
          <x:t xml:space="preserve">yes</x:t>
        </x:is>
      </x:c>
      <x:c r="J23" s="146" t="n"/>
      <x:c r="K23" s="146" t="inlineStr">
        <x:is>
          <x:t xml:space="preserve">Consumer integration remains pending for this unreleased local package change.</x:t>
        </x:is>
      </x:c>
      <x:c r="L23" s="146" t="n">
        <x:v>1</x:v>
      </x:c>
      <x:c r="M23" s="146" t="n">
        <x:f>IF(OR(AND(I23="yes",H23="verified"),AND(I23="no",OR(H23="tested",H23="verified")),AND(H23="not applicable",K23&lt;&gt;"")),1,0)</x:f>
        <x:v>0</x:v>
      </x:c>
    </x:row>
    <x:row r="24" s="135" customFormat="1" ht="36" customHeight="1">
      <x:c r="A24" s="146" t="inlineStr">
        <x:is>
          <x:t xml:space="preserve">FR-16</x:t>
        </x:is>
      </x:c>
      <x:c r="B24" s="146" t="inlineStr">
        <x:is>
          <x:t xml:space="preserve">Package</x:t>
        </x:is>
      </x:c>
      <x:c r="C24" s="146" t="inlineStr">
        <x:is>
          <x:t xml:space="preserve">For</x:t>
        </x:is>
      </x:c>
      <x:c r="D24" s="146" t="inlineStr">
        <x:is>
          <x:t xml:space="preserve">Build, SSR, exports, CSS, tarball, documentation, browser, axe, visual, and consumer gates pass.</x:t>
        </x:is>
      </x:c>
      <x:c r="E24" s="146" t="inlineStr">
        <x:is>
          <x:t xml:space="preserve">package</x:t>
        </x:is>
      </x:c>
      <x:c r="F24" s="146" t="inlineStr">
        <x:is>
          <x:t xml:space="preserve">package</x:t>
        </x:is>
      </x:c>
      <x:c r="G24" s="146" t="inlineStr">
        <x:is>
          <x:t xml:space="preserve">../test/package; ../scripts/verify-package.mjs; ../scripts/verify-app-consumer.mjs</x:t>
        </x:is>
      </x:c>
      <x:c r="H24" s="146" t="inlineStr">
        <x:is>
          <x:t xml:space="preserve">implemented</x:t>
        </x:is>
      </x:c>
      <x:c r="I24" s="146" t="inlineStr">
        <x:is>
          <x:t xml:space="preserve">yes</x:t>
        </x:is>
      </x:c>
      <x:c r="J24" s="146" t="n"/>
      <x:c r="K24" s="146" t="inlineStr">
        <x:is>
          <x:t xml:space="preserve">Automated package evidence is present; complete status waits for the manual run and an authorized release.</x:t>
        </x:is>
      </x:c>
      <x:c r="L24" s="146" t="n">
        <x:v>1</x:v>
      </x:c>
      <x:c r="M24" s="146" t="n">
        <x:f>IF(OR(AND(I24="yes",H24="verified"),AND(I24="no",OR(H24="tested",H24="verified")),AND(H24="not applicable",K24&lt;&gt;"")),1,0)</x:f>
        <x:v>0</x:v>
      </x:c>
    </x:row>
    <x:row r="25" s="135" customFormat="1" ht="63.75" customHeight="1">
      <x:c r="A25" s="148" t="inlineStr">
        <x:is>
          <x:t xml:space="preserve">for-inventory</x:t>
        </x:is>
      </x:c>
      <x:c r="B25" s="148" t="inlineStr">
        <x:is>
          <x:t xml:space="preserve">Playground</x:t>
        </x:is>
      </x:c>
      <x:c r="C25" s="148" t="inlineStr">
        <x:is>
          <x:t xml:space="preserve">For</x:t>
        </x:is>
      </x:c>
      <x:c r="D25" s="148" t="inlineStr">
        <x:is>
          <x:t xml:space="preserve">Every declared scenario renders in order at 390px and 1280px without page overflow or runtime exceptions.</x:t>
        </x:is>
      </x:c>
      <x:c r="E25" s="148" t="inlineStr">
        <x:is>
          <x:t xml:space="preserve">component</x:t>
        </x:is>
      </x:c>
      <x:c r="F25" s="148" t="inlineStr">
        <x:is>
          <x:t xml:space="preserve">browser</x:t>
        </x:is>
      </x:c>
      <x:c r="G25" s="148" t="inlineStr">
        <x:is>
          <x:t xml:space="preserve">playground/tests/integration/recent-component-capabilities.spec.ts</x:t>
        </x:is>
      </x:c>
      <x:c r="H25" s="148" t="inlineStr">
        <x:is>
          <x:t xml:space="preserve">tested</x:t>
        </x:is>
      </x:c>
      <x:c r="I25" s="148" t="inlineStr">
        <x:is>
          <x:t xml:space="preserve">no</x:t>
        </x:is>
      </x:c>
      <x:c r="J25" s="148" t="inlineStr">
        <x:is>
          <x:t xml:space="preserve">2026-09-05</x:t>
        </x:is>
      </x:c>
      <x:c r="K25" s="148" t="inlineStr">
        <x:is>
          <x:t xml:space="preserve">This assertion does not establish full behavioral or manual qualification.</x:t>
        </x:is>
      </x:c>
      <x:c r="L25" s="148" t="n">
        <x:v>1</x:v>
      </x:c>
      <x:c r="M25" s="148" t="n">
        <x:f>IF(OR(H25="tested",H25="verified"),1,0)</x:f>
        <x:v>1</x:v>
      </x:c>
    </x:row>
    <x:row r="26" s="135" customFormat="1" ht="15" customHeight="1">
      <x:c r="A26" s="217" t="n"/>
      <x:c r="B26" s="217" t="n"/>
      <x:c r="C26" s="217" t="n"/>
      <x:c r="D26" s="217" t="n"/>
      <x:c r="E26" s="217" t="n"/>
      <x:c r="F26" s="217" t="n"/>
      <x:c r="G26" s="217" t="n"/>
      <x:c r="H26" s="217" t="n"/>
      <x:c r="I26" s="217" t="n"/>
      <x:c r="J26" s="217" t="n"/>
      <x:c r="K26" s="217" t="n"/>
      <x:c r="L26" s="217" t="n"/>
      <x:c r="M26" s="217" t="n"/>
    </x:row>
    <x:row r="27" s="135" customFormat="1" ht="15" customHeight="1">
      <x:c r="A27" s="217" t="n"/>
      <x:c r="B27" s="217" t="n"/>
      <x:c r="C27" s="217" t="n"/>
      <x:c r="D27" s="217" t="n"/>
      <x:c r="E27" s="217" t="n"/>
      <x:c r="F27" s="217" t="n"/>
      <x:c r="G27" s="217" t="n"/>
      <x:c r="H27" s="217" t="n"/>
      <x:c r="I27" s="217" t="n"/>
      <x:c r="J27" s="217" t="n"/>
      <x:c r="K27" s="217" t="n"/>
      <x:c r="L27" s="217" t="n"/>
      <x:c r="M27" s="217" t="n"/>
    </x:row>
    <x:row r="28" s="135" customFormat="1" ht="15" customHeight="1">
      <x:c r="A28" s="217" t="n"/>
      <x:c r="B28" s="217" t="n"/>
      <x:c r="C28" s="217" t="n"/>
      <x:c r="D28" s="217" t="n"/>
      <x:c r="E28" s="217" t="n"/>
      <x:c r="F28" s="217" t="n"/>
      <x:c r="G28" s="217" t="n"/>
      <x:c r="H28" s="217" t="n"/>
      <x:c r="I28" s="217" t="n"/>
      <x:c r="J28" s="217" t="n"/>
      <x:c r="K28" s="217" t="n"/>
      <x:c r="L28" s="217" t="n"/>
      <x:c r="M28" s="217" t="n"/>
    </x:row>
  </x:sheetData>
  <x:dataValidations count="1">
    <x:dataValidation type="list" errorStyle="stop" operator="between" allowBlank="0" showDropDown="0" showInputMessage="0" showErrorMessage="0" sqref="H25">
      <x:formula1>_Lists!$A$1:$A$7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e3656c5c9254c0c"/>
  </x:tableParts>
</x:worksheet>
</file>

<file path=xl/worksheets/sheet108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4" style="138" customWidth="1"/>
    <x:col min="2" max="2" width="13" style="138" customWidth="1"/>
    <x:col min="3" max="3" width="15.510000228881836" style="138" customWidth="1"/>
    <x:col min="4" max="4" width="53.75" style="138" customWidth="1"/>
    <x:col min="5" max="5" width="11" style="138" customWidth="1"/>
    <x:col min="6" max="6" width="13" style="138" customWidth="1"/>
    <x:col min="7" max="7" width="41.25" style="138" customWidth="1"/>
    <x:col min="8" max="8" width="12" style="138" customWidth="1"/>
    <x:col min="9" max="10" width="12.75" style="138" customWidth="1"/>
    <x:col min="11" max="11" width="41.25" style="138" customWidth="1"/>
    <x:col min="12" max="12" width="8.75" style="138" customWidth="1"/>
    <x:col min="13" max="13" width="9.75" style="138" customWidth="1"/>
  </x:cols>
  <x:sheetData>
    <x:row r="1" s="135" customFormat="1" ht="15" customHeight="1">
      <x:c r="A1" s="217" t="inlineStr">
        <x:is>
          <x:t xml:space="preserve">Checkmark Evidence</x:t>
        </x:is>
      </x:c>
      <x:c r="B1" s="217" t="n"/>
      <x:c r="C1" s="217" t="n"/>
      <x:c r="D1" s="217" t="n"/>
      <x:c r="E1" s="217" t="n"/>
      <x:c r="F1" s="217" t="n"/>
      <x:c r="G1" s="217" t="n"/>
      <x:c r="H1" s="217" t="n"/>
      <x:c r="I1" s="217" t="n"/>
      <x:c r="J1" s="217" t="n"/>
      <x:c r="K1" s="217" t="n"/>
      <x:c r="L1" s="217" t="n"/>
      <x:c r="M1" s="217" t="n"/>
    </x:row>
    <x:row r="2" s="135" customFormat="1" ht="15" customHeight="1">
      <x:c r="A2" s="217" t="inlineStr">
        <x:is>
          <x:t xml:space="preserve">Assertion-level passive state, recipe, geometry, browser, documentation, and package evidence.</x:t>
        </x:is>
      </x:c>
      <x:c r="B2" s="217" t="n"/>
      <x:c r="C2" s="217" t="n"/>
      <x:c r="D2" s="217" t="n"/>
      <x:c r="E2" s="217" t="n"/>
      <x:c r="F2" s="217" t="n"/>
      <x:c r="G2" s="217" t="n"/>
      <x:c r="H2" s="217" t="n"/>
      <x:c r="I2" s="217" t="n"/>
      <x:c r="J2" s="217" t="n"/>
      <x:c r="K2" s="217" t="n"/>
      <x:c r="L2" s="217" t="n"/>
      <x:c r="M2" s="217" t="n"/>
    </x:row>
    <x:row r="3" s="135" customFormat="1" ht="15" customHeight="1">
      <x:c r="A3" s="217" t="n"/>
      <x:c r="B3" s="217" t="n"/>
      <x:c r="C3" s="217" t="n"/>
      <x:c r="D3" s="217" t="n"/>
      <x:c r="E3" s="217" t="n"/>
      <x:c r="F3" s="217" t="n"/>
      <x:c r="G3" s="217" t="n"/>
      <x:c r="H3" s="217" t="n"/>
      <x:c r="I3" s="217" t="n"/>
      <x:c r="J3" s="217" t="n"/>
      <x:c r="K3" s="217" t="n"/>
      <x:c r="L3" s="217" t="n"/>
      <x:c r="M3" s="217" t="n"/>
    </x:row>
    <x:row r="4" s="135" customFormat="1" ht="15" customHeight="1">
      <x:c r="A4" s="217" t="inlineStr">
        <x:is>
          <x:t xml:space="preserve">Requirements</x:t>
        </x:is>
      </x:c>
      <x:c r="B4" s="217" t="n">
        <x:f>COUNTA(A9:A25)</x:f>
        <x:v>17</x:v>
      </x:c>
      <x:c r="C4" s="217" t="n"/>
      <x:c r="D4" s="217" t="inlineStr">
        <x:is>
          <x:t xml:space="preserve">Resolved</x:t>
        </x:is>
      </x:c>
      <x:c r="E4" s="217" t="n">
        <x:f>SUM(M9:M25)</x:f>
        <x:v>12</x:v>
      </x:c>
      <x:c r="F4" s="217" t="n"/>
      <x:c r="G4" s="217" t="inlineStr">
        <x:is>
          <x:t xml:space="preserve">Completion</x:t>
        </x:is>
      </x:c>
      <x:c r="H4" s="217" t="n">
        <x:f>IF(B4=0,0,E4/B4)</x:f>
        <x:v>0.7058823529411765</x:v>
      </x:c>
      <x:c r="I4" s="217" t="n"/>
      <x:c r="J4" s="217" t="inlineStr">
        <x:is>
          <x:t xml:space="preserve">Package gate</x:t>
        </x:is>
      </x:c>
      <x:c r="K4" s="217" t="str">
        <x:f>IF(COUNTIFS(E9:E24,"package",M9:M24,0)&gt;0,"open","complete")</x:f>
        <x:v>open</x:v>
      </x:c>
      <x:c r="L4" s="217" t="n"/>
      <x:c r="M4" s="217" t="n"/>
    </x:row>
    <x:row r="5" s="135" customFormat="1" ht="15" customHeight="1">
      <x:c r="A5" s="217" t="inlineStr">
        <x:is>
          <x:t xml:space="preserve">Manual review</x:t>
        </x:is>
      </x:c>
      <x:c r="B5" s="217" t="str">
        <x:f>IF(COUNTIFS(I9:I24,"yes",M9:M24,0)&gt;0,"open","complete")</x:f>
        <x:v>open</x:v>
      </x:c>
      <x:c r="C5" s="217" t="n"/>
      <x:c r="D5" s="217" t="inlineStr">
        <x:is>
          <x:t xml:space="preserve">Consumer gate</x:t>
        </x:is>
      </x:c>
      <x:c r="E5" s="217" t="str">
        <x:f>IF(COUNTIFS(E9:E24,"consumer",M9:M24,0)&gt;0,"open","complete")</x:f>
        <x:v>open</x:v>
      </x:c>
      <x:c r="F5" s="217" t="n"/>
      <x:c r="G5" s="217" t="n"/>
      <x:c r="H5" s="217" t="n"/>
      <x:c r="I5" s="217" t="n"/>
      <x:c r="J5" s="217" t="n"/>
      <x:c r="K5" s="217" t="n"/>
      <x:c r="L5" s="217" t="n"/>
      <x:c r="M5" s="217" t="n"/>
    </x:row>
    <x:row r="6" s="135" customFormat="1" ht="15" customHeight="1">
      <x:c r="A6" s="217" t="n"/>
      <x:c r="B6" s="217" t="n"/>
      <x:c r="C6" s="217" t="n"/>
      <x:c r="D6" s="217" t="n"/>
      <x:c r="E6" s="217" t="n"/>
      <x:c r="F6" s="217" t="n"/>
      <x:c r="G6" s="217" t="n"/>
      <x:c r="H6" s="217" t="n"/>
      <x:c r="I6" s="217" t="n"/>
      <x:c r="J6" s="217" t="n"/>
      <x:c r="K6" s="217" t="n"/>
      <x:c r="L6" s="217" t="n"/>
      <x:c r="M6" s="217" t="n"/>
    </x:row>
    <x:row r="7" s="135" customFormat="1" ht="15" customHeight="1">
      <x:c r="A7" s="217" t="n"/>
      <x:c r="B7" s="217" t="n"/>
      <x:c r="C7" s="217" t="n"/>
      <x:c r="D7" s="217" t="n"/>
      <x:c r="E7" s="217" t="n"/>
      <x:c r="F7" s="217" t="n"/>
      <x:c r="G7" s="217" t="n"/>
      <x:c r="H7" s="217" t="n"/>
      <x:c r="I7" s="217" t="n"/>
      <x:c r="J7" s="217" t="n"/>
      <x:c r="K7" s="217" t="n"/>
      <x:c r="L7" s="217" t="n"/>
      <x:c r="M7" s="217" t="n"/>
    </x:row>
    <x:row r="8" s="135" customFormat="1" ht="15" customHeight="1">
      <x:c r="A8" s="217" t="inlineStr">
        <x:is>
          <x:t xml:space="preserve">ID</x:t>
        </x:is>
      </x:c>
      <x:c r="B8" s="217" t="inlineStr">
        <x:is>
          <x:t xml:space="preserve">Area</x:t>
        </x:is>
      </x:c>
      <x:c r="C8" s="217" t="inlineStr">
        <x:is>
          <x:t xml:space="preserve">Part</x:t>
        </x:is>
      </x:c>
      <x:c r="D8" s="217" t="inlineStr">
        <x:is>
          <x:t xml:space="preserve">Requirement</x:t>
        </x:is>
      </x:c>
      <x:c r="E8" s="217" t="inlineStr">
        <x:is>
          <x:t xml:space="preserve">Gate</x:t>
        </x:is>
      </x:c>
      <x:c r="F8" s="217" t="inlineStr">
        <x:is>
          <x:t xml:space="preserve">Evidence type</x:t>
        </x:is>
      </x:c>
      <x:c r="G8" s="217" t="inlineStr">
        <x:is>
          <x:t xml:space="preserve">Evidence / link</x:t>
        </x:is>
      </x:c>
      <x:c r="H8" s="217" t="inlineStr">
        <x:is>
          <x:t xml:space="preserve">Status</x:t>
        </x:is>
      </x:c>
      <x:c r="I8" s="217" t="inlineStr">
        <x:is>
          <x:t xml:space="preserve">Human review?</x:t>
        </x:is>
      </x:c>
      <x:c r="J8" s="217" t="inlineStr">
        <x:is>
          <x:t xml:space="preserve">Last verified</x:t>
        </x:is>
      </x:c>
      <x:c r="K8" s="217" t="inlineStr">
        <x:is>
          <x:t xml:space="preserve">Blocker / N/A reason</x:t>
        </x:is>
      </x:c>
      <x:c r="L8" s="217" t="inlineStr">
        <x:is>
          <x:t xml:space="preserve">Weight</x:t>
        </x:is>
      </x:c>
      <x:c r="M8" s="217" t="inlineStr">
        <x:is>
          <x:t xml:space="preserve">Resolved</x:t>
        </x:is>
      </x:c>
    </x:row>
    <x:row r="9" s="135" customFormat="1" ht="24" customHeight="1">
      <x:c r="A9" s="146" t="inlineStr">
        <x:is>
          <x:t xml:space="preserve">CM-01</x:t>
        </x:is>
      </x:c>
      <x:c r="B9" s="146" t="inlineStr">
        <x:is>
          <x:t xml:space="preserve">Implementation</x:t>
        </x:is>
      </x:c>
      <x:c r="C9" s="146" t="inlineStr">
        <x:is>
          <x:t xml:space="preserve">Visual mark</x:t>
        </x:is>
      </x:c>
      <x:c r="D9" s="146" t="inlineStr">
        <x:is>
          <x:t xml:space="preserve">Checkmark implements its documented public contract without taking over application-owned concerns.</x:t>
        </x:is>
      </x:c>
      <x:c r="E9" s="146" t="inlineStr">
        <x:is>
          <x:t xml:space="preserve">package</x:t>
        </x:is>
      </x:c>
      <x:c r="F9" s="146" t="inlineStr">
        <x:is>
          <x:t xml:space="preserve">source</x:t>
        </x:is>
      </x:c>
      <x:c r="G9" s="146" t="inlineStr">
        <x:is>
          <x:t xml:space="preserve">../src/components/checkmark</x:t>
        </x:is>
      </x:c>
      <x:c r="H9" s="146" t="inlineStr">
        <x:is>
          <x:t xml:space="preserve">tested</x:t>
        </x:is>
      </x:c>
      <x:c r="I9" s="146" t="inlineStr">
        <x:is>
          <x:t xml:space="preserve">no</x:t>
        </x:is>
      </x:c>
      <x:c r="J9" s="146" t="n">
        <x:v>46269</x:v>
      </x:c>
      <x:c r="K9" s="146" t="n"/>
      <x:c r="L9" s="146" t="n">
        <x:v>1</x:v>
      </x:c>
      <x:c r="M9" s="146" t="n">
        <x:f>IF(OR(AND(I9="yes",H9="verified"),AND(I9="no",OR(H9="tested",H9="verified")),AND(H9="not applicable",K9&lt;&gt;"")),1,0)</x:f>
        <x:v>1</x:v>
      </x:c>
    </x:row>
    <x:row r="10" s="135" customFormat="1" ht="24" customHeight="1">
      <x:c r="A10" s="146" t="inlineStr">
        <x:is>
          <x:t xml:space="preserve">CM-02</x:t>
        </x:is>
      </x:c>
      <x:c r="B10" s="146" t="inlineStr">
        <x:is>
          <x:t xml:space="preserve">Exports</x:t>
        </x:is>
      </x:c>
      <x:c r="C10" s="146" t="inlineStr">
        <x:is>
          <x:t xml:space="preserve">Checkmark</x:t>
        </x:is>
      </x:c>
      <x:c r="D10" s="146" t="inlineStr">
        <x:is>
          <x:t xml:space="preserve">Root and checkmark subpath exports expose every public runtime and type with identical identity.</x:t>
        </x:is>
      </x:c>
      <x:c r="E10" s="146" t="inlineStr">
        <x:is>
          <x:t xml:space="preserve">package</x:t>
        </x:is>
      </x:c>
      <x:c r="F10" s="146" t="inlineStr">
        <x:is>
          <x:t xml:space="preserve">package</x:t>
        </x:is>
      </x:c>
      <x:c r="G10" s="146" t="inlineStr">
        <x:is>
          <x:t xml:space="preserve">../test/package/package.test.mjs; ../test/package/ssr.test.mjs</x:t>
        </x:is>
      </x:c>
      <x:c r="H10" s="146" t="inlineStr">
        <x:is>
          <x:t xml:space="preserve">tested</x:t>
        </x:is>
      </x:c>
      <x:c r="I10" s="146" t="inlineStr">
        <x:is>
          <x:t xml:space="preserve">no</x:t>
        </x:is>
      </x:c>
      <x:c r="J10" s="146" t="n">
        <x:v>46269</x:v>
      </x:c>
      <x:c r="K10" s="146" t="n"/>
      <x:c r="L10" s="146" t="n">
        <x:v>1</x:v>
      </x:c>
      <x:c r="M10" s="146" t="n">
        <x:f>IF(OR(AND(I10="yes",H10="verified"),AND(I10="no",OR(H10="tested",H10="verified")),AND(H10="not applicable",K10&lt;&gt;"")),1,0)</x:f>
        <x:v>1</x:v>
      </x:c>
    </x:row>
    <x:row r="11" s="135" customFormat="1" ht="24" customHeight="1">
      <x:c r="A11" s="146" t="inlineStr">
        <x:is>
          <x:t xml:space="preserve">CM-03</x:t>
        </x:is>
      </x:c>
      <x:c r="B11" s="146" t="inlineStr">
        <x:is>
          <x:t xml:space="preserve">Types</x:t>
        </x:is>
      </x:c>
      <x:c r="C11" s="146" t="inlineStr">
        <x:is>
          <x:t xml:space="preserve">Public surface</x:t>
        </x:is>
      </x:c>
      <x:c r="D11" s="146" t="inlineStr">
        <x:is>
          <x:t xml:space="preserve">Public props, native passthrough where applicable, refs, and invalid values are covered by compile-time evidence.</x:t>
        </x:is>
      </x:c>
      <x:c r="E11" s="146" t="inlineStr">
        <x:is>
          <x:t xml:space="preserve">package</x:t>
        </x:is>
      </x:c>
      <x:c r="F11" s="146" t="inlineStr">
        <x:is>
          <x:t xml:space="preserve">types</x:t>
        </x:is>
      </x:c>
      <x:c r="G11" s="146" t="inlineStr">
        <x:is>
          <x:t xml:space="preserve">../test/types/components/checkmark.test.ts</x:t>
        </x:is>
      </x:c>
      <x:c r="H11" s="146" t="inlineStr">
        <x:is>
          <x:t xml:space="preserve">tested</x:t>
        </x:is>
      </x:c>
      <x:c r="I11" s="146" t="inlineStr">
        <x:is>
          <x:t xml:space="preserve">no</x:t>
        </x:is>
      </x:c>
      <x:c r="J11" s="146" t="n">
        <x:v>46269</x:v>
      </x:c>
      <x:c r="K11" s="146" t="n"/>
      <x:c r="L11" s="146" t="n">
        <x:v>1</x:v>
      </x:c>
      <x:c r="M11" s="146" t="n">
        <x:f>IF(OR(AND(I11="yes",H11="verified"),AND(I11="no",OR(H11="tested",H11="verified")),AND(H11="not applicable",K11&lt;&gt;"")),1,0)</x:f>
        <x:v>1</x:v>
      </x:c>
    </x:row>
    <x:row r="12" s="135" customFormat="1" ht="24" customHeight="1">
      <x:c r="A12" s="146" t="inlineStr">
        <x:is>
          <x:t xml:space="preserve">CM-04</x:t>
        </x:is>
      </x:c>
      <x:c r="B12" s="146" t="inlineStr">
        <x:is>
          <x:t xml:space="preserve">CSS</x:t>
        </x:is>
      </x:c>
      <x:c r="C12" s="146" t="inlineStr">
        <x:is>
          <x:t xml:space="preserve">Visual mark</x:t>
        </x:is>
      </x:c>
      <x:c r="D12" s="146" t="inlineStr">
        <x:is>
          <x:t xml:space="preserve">The modular style entry owns only documented presentation; context and wrapper-free helpers add no visual recipe.</x:t>
        </x:is>
      </x:c>
      <x:c r="E12" s="146" t="inlineStr">
        <x:is>
          <x:t xml:space="preserve">package</x:t>
        </x:is>
      </x:c>
      <x:c r="F12" s="146" t="inlineStr">
        <x:is>
          <x:t xml:space="preserve">css</x:t>
        </x:is>
      </x:c>
      <x:c r="G12" s="146" t="inlineStr">
        <x:is>
          <x:t xml:space="preserve">../src/components/checkmark/checkmark.css</x:t>
        </x:is>
      </x:c>
      <x:c r="H12" s="146" t="inlineStr">
        <x:is>
          <x:t xml:space="preserve">tested</x:t>
        </x:is>
      </x:c>
      <x:c r="I12" s="146" t="inlineStr">
        <x:is>
          <x:t xml:space="preserve">no</x:t>
        </x:is>
      </x:c>
      <x:c r="J12" s="146" t="n">
        <x:v>46269</x:v>
      </x:c>
      <x:c r="K12" s="146" t="n"/>
      <x:c r="L12" s="146" t="n">
        <x:v>1</x:v>
      </x:c>
      <x:c r="M12" s="146" t="n">
        <x:f>IF(OR(AND(I12="yes",H12="verified"),AND(I12="no",OR(H12="tested",H12="verified")),AND(H12="not applicable",K12&lt;&gt;"")),1,0)</x:f>
        <x:v>1</x:v>
      </x:c>
    </x:row>
    <x:row r="13" s="135" customFormat="1" ht="24" customHeight="1">
      <x:c r="A13" s="146" t="inlineStr">
        <x:is>
          <x:t xml:space="preserve">CM-05</x:t>
        </x:is>
      </x:c>
      <x:c r="B13" s="146" t="inlineStr">
        <x:is>
          <x:t xml:space="preserve">Unit</x:t>
        </x:is>
      </x:c>
      <x:c r="C13" s="146" t="inlineStr">
        <x:is>
          <x:t xml:space="preserve">Visual mark</x:t>
        </x:is>
      </x:c>
      <x:c r="D13" s="146" t="inlineStr">
        <x:is>
          <x:t xml:space="preserve">Focused component tests cover defaults, state or output, passthrough, refs where applicable, and edge cases.</x:t>
        </x:is>
      </x:c>
      <x:c r="E13" s="146" t="inlineStr">
        <x:is>
          <x:t xml:space="preserve">package</x:t>
        </x:is>
      </x:c>
      <x:c r="F13" s="146" t="inlineStr">
        <x:is>
          <x:t xml:space="preserve">component</x:t>
        </x:is>
      </x:c>
      <x:c r="G13" s="146" t="inlineStr">
        <x:is>
          <x:t xml:space="preserve">../test/components/checkmark/checkmark.test.tsx</x:t>
        </x:is>
      </x:c>
      <x:c r="H13" s="146" t="inlineStr">
        <x:is>
          <x:t xml:space="preserve">tested</x:t>
        </x:is>
      </x:c>
      <x:c r="I13" s="146" t="inlineStr">
        <x:is>
          <x:t xml:space="preserve">no</x:t>
        </x:is>
      </x:c>
      <x:c r="J13" s="146" t="n">
        <x:v>46269</x:v>
      </x:c>
      <x:c r="K13" s="146" t="n"/>
      <x:c r="L13" s="146" t="n">
        <x:v>1</x:v>
      </x:c>
      <x:c r="M13" s="146" t="n">
        <x:f>IF(OR(AND(I13="yes",H13="verified"),AND(I13="no",OR(H13="tested",H13="verified")),AND(H13="not applicable",K13&lt;&gt;"")),1,0)</x:f>
        <x:v>1</x:v>
      </x:c>
    </x:row>
    <x:row r="14" s="135" customFormat="1" ht="24" customHeight="1">
      <x:c r="A14" s="146" t="inlineStr">
        <x:is>
          <x:t xml:space="preserve">CM-06</x:t>
        </x:is>
      </x:c>
      <x:c r="B14" s="146" t="inlineStr">
        <x:is>
          <x:t xml:space="preserve">Browser</x:t>
        </x:is>
      </x:c>
      <x:c r="C14" s="146" t="inlineStr">
        <x:is>
          <x:t xml:space="preserve">Visual mark</x:t>
        </x:is>
      </x:c>
      <x:c r="D14" s="146" t="inlineStr">
        <x:is>
          <x:t xml:space="preserve">Real-browser evidence proves the public output, geometry or context behavior and includes an accessibility scan.</x:t>
        </x:is>
      </x:c>
      <x:c r="E14" s="146" t="inlineStr">
        <x:is>
          <x:t xml:space="preserve">package</x:t>
        </x:is>
      </x:c>
      <x:c r="F14" s="146" t="inlineStr">
        <x:is>
          <x:t xml:space="preserve">browser</x:t>
        </x:is>
      </x:c>
      <x:c r="G14" s="146" t="inlineStr">
        <x:is>
          <x:t xml:space="preserve">tests/components/checkmark/behavior.spec.ts</x:t>
        </x:is>
      </x:c>
      <x:c r="H14" s="146" t="inlineStr">
        <x:is>
          <x:t xml:space="preserve">tested</x:t>
        </x:is>
      </x:c>
      <x:c r="I14" s="146" t="inlineStr">
        <x:is>
          <x:t xml:space="preserve">no</x:t>
        </x:is>
      </x:c>
      <x:c r="J14" s="146" t="n">
        <x:v>46269</x:v>
      </x:c>
      <x:c r="K14" s="146" t="n"/>
      <x:c r="L14" s="146" t="n">
        <x:v>1</x:v>
      </x:c>
      <x:c r="M14" s="146" t="n">
        <x:f>IF(OR(AND(I14="yes",H14="verified"),AND(I14="no",OR(H14="tested",H14="verified")),AND(H14="not applicable",K14&lt;&gt;"")),1,0)</x:f>
        <x:v>1</x:v>
      </x:c>
    </x:row>
    <x:row r="15" s="135" customFormat="1" ht="24" customHeight="1">
      <x:c r="A15" s="146" t="inlineStr">
        <x:is>
          <x:t xml:space="preserve">CM-07</x:t>
        </x:is>
      </x:c>
      <x:c r="B15" s="146" t="inlineStr">
        <x:is>
          <x:t xml:space="preserve">Composition</x:t>
        </x:is>
      </x:c>
      <x:c r="C15" s="146" t="inlineStr">
        <x:is>
          <x:t xml:space="preserve">Visual mark</x:t>
        </x:is>
      </x:c>
      <x:c r="D15" s="146" t="inlineStr">
        <x:is>
          <x:t xml:space="preserve">The helper composes with finished Brick owners without inserting accidental interaction, paint, or layout ownership.</x:t>
        </x:is>
      </x:c>
      <x:c r="E15" s="146" t="inlineStr">
        <x:is>
          <x:t xml:space="preserve">package</x:t>
        </x:is>
      </x:c>
      <x:c r="F15" s="146" t="inlineStr">
        <x:is>
          <x:t xml:space="preserve">browser</x:t>
        </x:is>
      </x:c>
      <x:c r="G15" s="146" t="inlineStr">
        <x:is>
          <x:t xml:space="preserve">tests/components/checkmark/behavior.spec.ts</x:t>
        </x:is>
      </x:c>
      <x:c r="H15" s="146" t="inlineStr">
        <x:is>
          <x:t xml:space="preserve">tested</x:t>
        </x:is>
      </x:c>
      <x:c r="I15" s="146" t="inlineStr">
        <x:is>
          <x:t xml:space="preserve">no</x:t>
        </x:is>
      </x:c>
      <x:c r="J15" s="146" t="n">
        <x:v>46269</x:v>
      </x:c>
      <x:c r="K15" s="146" t="n"/>
      <x:c r="L15" s="146" t="n">
        <x:v>1</x:v>
      </x:c>
      <x:c r="M15" s="146" t="n">
        <x:f>IF(OR(AND(I15="yes",H15="verified"),AND(I15="no",OR(H15="tested",H15="verified")),AND(H15="not applicable",K15&lt;&gt;"")),1,0)</x:f>
        <x:v>1</x:v>
      </x:c>
    </x:row>
    <x:row r="16" s="135" customFormat="1" ht="24" customHeight="1">
      <x:c r="A16" s="146" t="inlineStr">
        <x:is>
          <x:t xml:space="preserve">CM-08</x:t>
        </x:is>
      </x:c>
      <x:c r="B16" s="146" t="inlineStr">
        <x:is>
          <x:t xml:space="preserve">Contract</x:t>
        </x:is>
      </x:c>
      <x:c r="C16" s="146" t="inlineStr">
        <x:is>
          <x:t xml:space="preserve">Visual mark</x:t>
        </x:is>
      </x:c>
      <x:c r="D16" s="146" t="inlineStr">
        <x:is>
          <x:t xml:space="preserve">Checked, unchecked, indeterminate, disabled, recipe, size, dark, and forced-colors presentation remains passive and square.</x:t>
        </x:is>
      </x:c>
      <x:c r="E16" s="146" t="inlineStr">
        <x:is>
          <x:t xml:space="preserve">package</x:t>
        </x:is>
      </x:c>
      <x:c r="F16" s="146" t="inlineStr">
        <x:is>
          <x:t xml:space="preserve">component</x:t>
        </x:is>
      </x:c>
      <x:c r="G16" s="146" t="inlineStr">
        <x:is>
          <x:t xml:space="preserve">../test/components/checkmark/checkmark.test.tsx; tests/components/checkmark/behavior.spec.ts</x:t>
        </x:is>
      </x:c>
      <x:c r="H16" s="146" t="inlineStr">
        <x:is>
          <x:t xml:space="preserve">tested</x:t>
        </x:is>
      </x:c>
      <x:c r="I16" s="146" t="inlineStr">
        <x:is>
          <x:t xml:space="preserve">no</x:t>
        </x:is>
      </x:c>
      <x:c r="J16" s="146" t="n">
        <x:v>46269</x:v>
      </x:c>
      <x:c r="K16" s="146" t="n"/>
      <x:c r="L16" s="146" t="n">
        <x:v>1</x:v>
      </x:c>
      <x:c r="M16" s="146" t="n">
        <x:f>IF(OR(AND(I16="yes",H16="verified"),AND(I16="no",OR(H16="tested",H16="verified")),AND(H16="not applicable",K16&lt;&gt;"")),1,0)</x:f>
        <x:v>1</x:v>
      </x:c>
    </x:row>
    <x:row r="17" s="135" customFormat="1" ht="24" customHeight="1">
      <x:c r="A17" s="146" t="inlineStr">
        <x:is>
          <x:t xml:space="preserve">CM-09</x:t>
        </x:is>
      </x:c>
      <x:c r="B17" s="146" t="inlineStr">
        <x:is>
          <x:t xml:space="preserve">Accessibility</x:t>
        </x:is>
      </x:c>
      <x:c r="C17" s="146" t="inlineStr">
        <x:is>
          <x:t xml:space="preserve">Visual mark</x:t>
        </x:is>
      </x:c>
      <x:c r="D17" s="146" t="inlineStr">
        <x:is>
          <x:t xml:space="preserve">Semantics remain with the correct owner, output is readable, passive visuals stay hidden, and axe reports no violations.</x:t>
        </x:is>
      </x:c>
      <x:c r="E17" s="146" t="inlineStr">
        <x:is>
          <x:t xml:space="preserve">package</x:t>
        </x:is>
      </x:c>
      <x:c r="F17" s="146" t="inlineStr">
        <x:is>
          <x:t xml:space="preserve">axe</x:t>
        </x:is>
      </x:c>
      <x:c r="G17" s="146" t="inlineStr">
        <x:is>
          <x:t xml:space="preserve">tests/components/checkmark/behavior.spec.ts</x:t>
        </x:is>
      </x:c>
      <x:c r="H17" s="146" t="inlineStr">
        <x:is>
          <x:t xml:space="preserve">tested</x:t>
        </x:is>
      </x:c>
      <x:c r="I17" s="146" t="inlineStr">
        <x:is>
          <x:t xml:space="preserve">no</x:t>
        </x:is>
      </x:c>
      <x:c r="J17" s="146" t="n">
        <x:v>46269</x:v>
      </x:c>
      <x:c r="K17" s="146" t="n"/>
      <x:c r="L17" s="146" t="n">
        <x:v>1</x:v>
      </x:c>
      <x:c r="M17" s="146" t="n">
        <x:f>IF(OR(AND(I17="yes",H17="verified"),AND(I17="no",OR(H17="tested",H17="verified")),AND(H17="not applicable",K17&lt;&gt;"")),1,0)</x:f>
        <x:v>1</x:v>
      </x:c>
    </x:row>
    <x:row r="18" s="135" customFormat="1" ht="24" customHeight="1">
      <x:c r="A18" s="146" t="inlineStr">
        <x:is>
          <x:t xml:space="preserve">CM-10</x:t>
        </x:is>
      </x:c>
      <x:c r="B18" s="146" t="inlineStr">
        <x:is>
          <x:t xml:space="preserve">Visual</x:t>
        </x:is>
      </x:c>
      <x:c r="C18" s="146" t="inlineStr">
        <x:is>
          <x:t xml:space="preserve">Visual mark</x:t>
        </x:is>
      </x:c>
      <x:c r="D18" s="146" t="inlineStr">
        <x:is>
          <x:t xml:space="preserve">A deterministic baseline covers the component's reviewable output in the default appearance.</x:t>
        </x:is>
      </x:c>
      <x:c r="E18" s="146" t="inlineStr">
        <x:is>
          <x:t xml:space="preserve">package</x:t>
        </x:is>
      </x:c>
      <x:c r="F18" s="146" t="inlineStr">
        <x:is>
          <x:t xml:space="preserve">visual</x:t>
        </x:is>
      </x:c>
      <x:c r="G18" s="146" t="inlineStr">
        <x:is>
          <x:t xml:space="preserve">tests/components/checkmark/visual.spec.ts</x:t>
        </x:is>
      </x:c>
      <x:c r="H18" s="146" t="inlineStr">
        <x:is>
          <x:t xml:space="preserve">implemented</x:t>
        </x:is>
      </x:c>
      <x:c r="I18" s="146" t="inlineStr">
        <x:is>
          <x:t xml:space="preserve">yes</x:t>
        </x:is>
      </x:c>
      <x:c r="J18" s="146" t="n"/>
      <x:c r="K18" s="146" t="inlineStr">
        <x:is>
          <x:t xml:space="preserve">Automated baseline exists; complete owner visual review is intentionally unclaimed.</x:t>
        </x:is>
      </x:c>
      <x:c r="L18" s="146" t="n">
        <x:v>1</x:v>
      </x:c>
      <x:c r="M18" s="146" t="n">
        <x:f>IF(OR(AND(I18="yes",H18="verified"),AND(I18="no",OR(H18="tested",H18="verified")),AND(H18="not applicable",K18&lt;&gt;"")),1,0)</x:f>
        <x:v>0</x:v>
      </x:c>
    </x:row>
    <x:row r="19" s="135" customFormat="1" ht="24" customHeight="1">
      <x:c r="A19" s="146" t="inlineStr">
        <x:is>
          <x:t xml:space="preserve">CM-11</x:t>
        </x:is>
      </x:c>
      <x:c r="B19" s="146" t="inlineStr">
        <x:is>
          <x:t xml:space="preserve">Responsive</x:t>
        </x:is>
      </x:c>
      <x:c r="C19" s="146" t="inlineStr">
        <x:is>
          <x:t xml:space="preserve">Visual mark</x:t>
        </x:is>
      </x:c>
      <x:c r="D19" s="146" t="inlineStr">
        <x:is>
          <x:t xml:space="preserve">Mobile, zoom, RTL, appearance, and forced-colors conditions preserve readable output and correct ownership.</x:t>
        </x:is>
      </x:c>
      <x:c r="E19" s="146" t="inlineStr">
        <x:is>
          <x:t xml:space="preserve">package</x:t>
        </x:is>
      </x:c>
      <x:c r="F19" s="146" t="inlineStr">
        <x:is>
          <x:t xml:space="preserve">manual</x:t>
        </x:is>
      </x:c>
      <x:c r="G19" s="146" t="inlineStr">
        <x:is>
          <x:t xml:space="preserve">manual-tests/checkmark.md</x:t>
        </x:is>
      </x:c>
      <x:c r="H19" s="146" t="inlineStr">
        <x:is>
          <x:t xml:space="preserve">implemented</x:t>
        </x:is>
      </x:c>
      <x:c r="I19" s="146" t="inlineStr">
        <x:is>
          <x:t xml:space="preserve">yes</x:t>
        </x:is>
      </x:c>
      <x:c r="J19" s="146" t="n"/>
      <x:c r="K19" s="146" t="inlineStr">
        <x:is>
          <x:t xml:space="preserve">Automated evidence exists; the complete human stress run remains pending.</x:t>
        </x:is>
      </x:c>
      <x:c r="L19" s="146" t="n">
        <x:v>1</x:v>
      </x:c>
      <x:c r="M19" s="146" t="n">
        <x:f>IF(OR(AND(I19="yes",H19="verified"),AND(I19="no",OR(H19="tested",H19="verified")),AND(H19="not applicable",K19&lt;&gt;"")),1,0)</x:f>
        <x:v>0</x:v>
      </x:c>
    </x:row>
    <x:row r="20" s="135" customFormat="1" ht="24" customHeight="1">
      <x:c r="A20" s="146" t="inlineStr">
        <x:is>
          <x:t xml:space="preserve">CM-12</x:t>
        </x:is>
      </x:c>
      <x:c r="B20" s="146" t="inlineStr">
        <x:is>
          <x:t xml:space="preserve">Manual</x:t>
        </x:is>
      </x:c>
      <x:c r="C20" s="146" t="inlineStr">
        <x:is>
          <x:t xml:space="preserve">Checkmark</x:t>
        </x:is>
      </x:c>
      <x:c r="D20" s="146" t="inlineStr">
        <x:is>
          <x:t xml:space="preserve">A tester completes the component-owned behavior, appearance, forced-colors, mobile, RTL, zoom, and accessibility protocol.</x:t>
        </x:is>
      </x:c>
      <x:c r="E20" s="146" t="inlineStr">
        <x:is>
          <x:t xml:space="preserve">package</x:t>
        </x:is>
      </x:c>
      <x:c r="F20" s="146" t="inlineStr">
        <x:is>
          <x:t xml:space="preserve">manual</x:t>
        </x:is>
      </x:c>
      <x:c r="G20" s="146" t="inlineStr">
        <x:is>
          <x:t xml:space="preserve">manual-tests/checkmark.md</x:t>
        </x:is>
      </x:c>
      <x:c r="H20" s="146" t="inlineStr">
        <x:is>
          <x:t xml:space="preserve">implemented</x:t>
        </x:is>
      </x:c>
      <x:c r="I20" s="146" t="inlineStr">
        <x:is>
          <x:t xml:space="preserve">yes</x:t>
        </x:is>
      </x:c>
      <x:c r="J20" s="146" t="n"/>
      <x:c r="K20" s="146" t="inlineStr">
        <x:is>
          <x:t xml:space="preserve">Protocol exists; owner human review remains intentionally unclaimed.</x:t>
        </x:is>
      </x:c>
      <x:c r="L20" s="146" t="n">
        <x:v>1</x:v>
      </x:c>
      <x:c r="M20" s="146" t="n">
        <x:f>IF(OR(AND(I20="yes",H20="verified"),AND(I20="no",OR(H20="tested",H20="verified")),AND(H20="not applicable",K20&lt;&gt;"")),1,0)</x:f>
        <x:v>0</x:v>
      </x:c>
    </x:row>
    <x:row r="21" s="135" customFormat="1" ht="36" customHeight="1">
      <x:c r="A21" s="146" t="inlineStr">
        <x:is>
          <x:t xml:space="preserve">CM-13</x:t>
        </x:is>
      </x:c>
      <x:c r="B21" s="146" t="inlineStr">
        <x:is>
          <x:t xml:space="preserve">Docs</x:t>
        </x:is>
      </x:c>
      <x:c r="C21" s="146" t="inlineStr">
        <x:is>
          <x:t xml:space="preserve">Checkmark</x:t>
        </x:is>
      </x:c>
      <x:c r="D21" s="146" t="inlineStr">
        <x:is>
          <x:t xml:space="preserve">Public and Agent Knowledge guidance covers selection, boundaries, API, composition, accessibility, and validation.</x:t>
        </x:is>
      </x:c>
      <x:c r="E21" s="146" t="inlineStr">
        <x:is>
          <x:t xml:space="preserve">package</x:t>
        </x:is>
      </x:c>
      <x:c r="F21" s="146" t="inlineStr">
        <x:is>
          <x:t xml:space="preserve">docs</x:t>
        </x:is>
      </x:c>
      <x:c r="G21" s="146" t="inlineStr">
        <x:is>
          <x:t xml:space="preserve">../docs/components/checkmark/README.md; ../src/components/checkmark/agent.json; ../src/components/checkmark/agent.md</x:t>
        </x:is>
      </x:c>
      <x:c r="H21" s="146" t="inlineStr">
        <x:is>
          <x:t xml:space="preserve">tested</x:t>
        </x:is>
      </x:c>
      <x:c r="I21" s="146" t="inlineStr">
        <x:is>
          <x:t xml:space="preserve">no</x:t>
        </x:is>
      </x:c>
      <x:c r="J21" s="146" t="n">
        <x:v>46269</x:v>
      </x:c>
      <x:c r="K21" s="146" t="n"/>
      <x:c r="L21" s="146" t="n">
        <x:v>1</x:v>
      </x:c>
      <x:c r="M21" s="146" t="n">
        <x:f>IF(OR(AND(I21="yes",H21="verified"),AND(I21="no",OR(H21="tested",H21="verified")),AND(H21="not applicable",K21&lt;&gt;"")),1,0)</x:f>
        <x:v>1</x:v>
      </x:c>
    </x:row>
    <x:row r="22" s="135" customFormat="1" ht="24" customHeight="1">
      <x:c r="A22" s="146" t="inlineStr">
        <x:is>
          <x:t xml:space="preserve">CM-14</x:t>
        </x:is>
      </x:c>
      <x:c r="B22" s="146" t="inlineStr">
        <x:is>
          <x:t xml:space="preserve">Changelog</x:t>
        </x:is>
      </x:c>
      <x:c r="C22" s="146" t="inlineStr">
        <x:is>
          <x:t xml:space="preserve">Checkmark</x:t>
        </x:is>
      </x:c>
      <x:c r="D22" s="146" t="inlineStr">
        <x:is>
          <x:t xml:space="preserve">Component and package histories record the public addition and consumer-visible contract.</x:t>
        </x:is>
      </x:c>
      <x:c r="E22" s="146" t="inlineStr">
        <x:is>
          <x:t xml:space="preserve">package</x:t>
        </x:is>
      </x:c>
      <x:c r="F22" s="146" t="inlineStr">
        <x:is>
          <x:t xml:space="preserve">docs</x:t>
        </x:is>
      </x:c>
      <x:c r="G22" s="146" t="inlineStr">
        <x:is>
          <x:t xml:space="preserve">../docs/components/checkmark/CHANGELOG.md; ../CHANGELOG.md</x:t>
        </x:is>
      </x:c>
      <x:c r="H22" s="146" t="inlineStr">
        <x:is>
          <x:t xml:space="preserve">tested</x:t>
        </x:is>
      </x:c>
      <x:c r="I22" s="146" t="inlineStr">
        <x:is>
          <x:t xml:space="preserve">no</x:t>
        </x:is>
      </x:c>
      <x:c r="J22" s="146" t="n">
        <x:v>46269</x:v>
      </x:c>
      <x:c r="K22" s="146" t="n"/>
      <x:c r="L22" s="146" t="n">
        <x:v>1</x:v>
      </x:c>
      <x:c r="M22" s="146" t="n">
        <x:f>IF(OR(AND(I22="yes",H22="verified"),AND(I22="no",OR(H22="tested",H22="verified")),AND(H22="not applicable",K22&lt;&gt;"")),1,0)</x:f>
        <x:v>1</x:v>
      </x:c>
    </x:row>
    <x:row r="23" s="135" customFormat="1" ht="24" customHeight="1">
      <x:c r="A23" s="146" t="inlineStr">
        <x:is>
          <x:t xml:space="preserve">CM-15</x:t>
        </x:is>
      </x:c>
      <x:c r="B23" s="146" t="inlineStr">
        <x:is>
          <x:t xml:space="preserve">Consumer</x:t>
        </x:is>
      </x:c>
      <x:c r="C23" s="146" t="inlineStr">
        <x:is>
          <x:t xml:space="preserve">Checkmark</x:t>
        </x:is>
      </x:c>
      <x:c r="D23" s="146" t="inlineStr">
        <x:is>
          <x:t xml:space="preserve">A packed consumer directly imports and composes the public subpath in a realistic application boundary.</x:t>
        </x:is>
      </x:c>
      <x:c r="E23" s="146" t="inlineStr">
        <x:is>
          <x:t xml:space="preserve">consumer</x:t>
        </x:is>
      </x:c>
      <x:c r="F23" s="146" t="inlineStr">
        <x:is>
          <x:t xml:space="preserve">consumer</x:t>
        </x:is>
      </x:c>
      <x:c r="G23" s="146" t="inlineStr">
        <x:is>
          <x:t xml:space="preserve">../apps/consumer</x:t>
        </x:is>
      </x:c>
      <x:c r="H23" s="146" t="inlineStr">
        <x:is>
          <x:t xml:space="preserve">implemented</x:t>
        </x:is>
      </x:c>
      <x:c r="I23" s="146" t="inlineStr">
        <x:is>
          <x:t xml:space="preserve">yes</x:t>
        </x:is>
      </x:c>
      <x:c r="J23" s="146" t="n"/>
      <x:c r="K23" s="146" t="inlineStr">
        <x:is>
          <x:t xml:space="preserve">Consumer integration remains pending for this unreleased local package change.</x:t>
        </x:is>
      </x:c>
      <x:c r="L23" s="146" t="n">
        <x:v>1</x:v>
      </x:c>
      <x:c r="M23" s="146" t="n">
        <x:f>IF(OR(AND(I23="yes",H23="verified"),AND(I23="no",OR(H23="tested",H23="verified")),AND(H23="not applicable",K23&lt;&gt;"")),1,0)</x:f>
        <x:v>0</x:v>
      </x:c>
    </x:row>
    <x:row r="24" s="135" customFormat="1" ht="36" customHeight="1">
      <x:c r="A24" s="146" t="inlineStr">
        <x:is>
          <x:t xml:space="preserve">CM-16</x:t>
        </x:is>
      </x:c>
      <x:c r="B24" s="146" t="inlineStr">
        <x:is>
          <x:t xml:space="preserve">Package</x:t>
        </x:is>
      </x:c>
      <x:c r="C24" s="146" t="inlineStr">
        <x:is>
          <x:t xml:space="preserve">Checkmark</x:t>
        </x:is>
      </x:c>
      <x:c r="D24" s="146" t="inlineStr">
        <x:is>
          <x:t xml:space="preserve">Build, SSR, exports, CSS, tarball, documentation, browser, axe, visual, and consumer gates pass.</x:t>
        </x:is>
      </x:c>
      <x:c r="E24" s="146" t="inlineStr">
        <x:is>
          <x:t xml:space="preserve">package</x:t>
        </x:is>
      </x:c>
      <x:c r="F24" s="146" t="inlineStr">
        <x:is>
          <x:t xml:space="preserve">package</x:t>
        </x:is>
      </x:c>
      <x:c r="G24" s="146" t="inlineStr">
        <x:is>
          <x:t xml:space="preserve">../test/package; ../scripts/verify-package.mjs; ../scripts/verify-app-consumer.mjs</x:t>
        </x:is>
      </x:c>
      <x:c r="H24" s="146" t="inlineStr">
        <x:is>
          <x:t xml:space="preserve">implemented</x:t>
        </x:is>
      </x:c>
      <x:c r="I24" s="146" t="inlineStr">
        <x:is>
          <x:t xml:space="preserve">yes</x:t>
        </x:is>
      </x:c>
      <x:c r="J24" s="146" t="n"/>
      <x:c r="K24" s="146" t="inlineStr">
        <x:is>
          <x:t xml:space="preserve">Automated package evidence is present; complete status waits for the manual run and an authorized release.</x:t>
        </x:is>
      </x:c>
      <x:c r="L24" s="146" t="n">
        <x:v>1</x:v>
      </x:c>
      <x:c r="M24" s="146" t="n">
        <x:f>IF(OR(AND(I24="yes",H24="verified"),AND(I24="no",OR(H24="tested",H24="verified")),AND(H24="not applicable",K24&lt;&gt;"")),1,0)</x:f>
        <x:v>0</x:v>
      </x:c>
    </x:row>
    <x:row r="25" s="135" customFormat="1" ht="63.75" customHeight="1">
      <x:c r="A25" s="148" t="inlineStr">
        <x:is>
          <x:t xml:space="preserve">checkmark-inventory</x:t>
        </x:is>
      </x:c>
      <x:c r="B25" s="148" t="inlineStr">
        <x:is>
          <x:t xml:space="preserve">Playground</x:t>
        </x:is>
      </x:c>
      <x:c r="C25" s="148" t="inlineStr">
        <x:is>
          <x:t xml:space="preserve">Checkmark</x:t>
        </x:is>
      </x:c>
      <x:c r="D25" s="148" t="inlineStr">
        <x:is>
          <x:t xml:space="preserve">Every declared scenario renders in order at 390px and 1280px without page overflow or runtime exceptions.</x:t>
        </x:is>
      </x:c>
      <x:c r="E25" s="148" t="inlineStr">
        <x:is>
          <x:t xml:space="preserve">component</x:t>
        </x:is>
      </x:c>
      <x:c r="F25" s="148" t="inlineStr">
        <x:is>
          <x:t xml:space="preserve">browser</x:t>
        </x:is>
      </x:c>
      <x:c r="G25" s="148" t="inlineStr">
        <x:is>
          <x:t xml:space="preserve">playground/tests/integration/recent-component-capabilities.spec.ts</x:t>
        </x:is>
      </x:c>
      <x:c r="H25" s="148" t="inlineStr">
        <x:is>
          <x:t xml:space="preserve">tested</x:t>
        </x:is>
      </x:c>
      <x:c r="I25" s="148" t="inlineStr">
        <x:is>
          <x:t xml:space="preserve">no</x:t>
        </x:is>
      </x:c>
      <x:c r="J25" s="148" t="inlineStr">
        <x:is>
          <x:t xml:space="preserve">2026-09-05</x:t>
        </x:is>
      </x:c>
      <x:c r="K25" s="148" t="inlineStr">
        <x:is>
          <x:t xml:space="preserve">This assertion does not establish full behavioral or manual qualification.</x:t>
        </x:is>
      </x:c>
      <x:c r="L25" s="148" t="n">
        <x:v>1</x:v>
      </x:c>
      <x:c r="M25" s="148" t="n">
        <x:f>IF(OR(H25="tested",H25="verified"),1,0)</x:f>
        <x:v>1</x:v>
      </x:c>
    </x:row>
    <x:row r="26" s="135" customFormat="1" ht="15" customHeight="1">
      <x:c r="A26" s="217" t="n"/>
      <x:c r="B26" s="217" t="n"/>
      <x:c r="C26" s="217" t="n"/>
      <x:c r="D26" s="217" t="n"/>
      <x:c r="E26" s="217" t="n"/>
      <x:c r="F26" s="217" t="n"/>
      <x:c r="G26" s="217" t="n"/>
      <x:c r="H26" s="217" t="n"/>
      <x:c r="I26" s="217" t="n"/>
      <x:c r="J26" s="217" t="n"/>
      <x:c r="K26" s="217" t="n"/>
      <x:c r="L26" s="217" t="n"/>
      <x:c r="M26" s="217" t="n"/>
    </x:row>
    <x:row r="27" s="135" customFormat="1" ht="15" customHeight="1">
      <x:c r="A27" s="217" t="n"/>
      <x:c r="B27" s="217" t="n"/>
      <x:c r="C27" s="217" t="n"/>
      <x:c r="D27" s="217" t="n"/>
      <x:c r="E27" s="217" t="n"/>
      <x:c r="F27" s="217" t="n"/>
      <x:c r="G27" s="217" t="n"/>
      <x:c r="H27" s="217" t="n"/>
      <x:c r="I27" s="217" t="n"/>
      <x:c r="J27" s="217" t="n"/>
      <x:c r="K27" s="217" t="n"/>
      <x:c r="L27" s="217" t="n"/>
      <x:c r="M27" s="217" t="n"/>
    </x:row>
    <x:row r="28" s="135" customFormat="1" ht="15" customHeight="1">
      <x:c r="A28" s="217" t="n"/>
      <x:c r="B28" s="217" t="n"/>
      <x:c r="C28" s="217" t="n"/>
      <x:c r="D28" s="217" t="n"/>
      <x:c r="E28" s="217" t="n"/>
      <x:c r="F28" s="217" t="n"/>
      <x:c r="G28" s="217" t="n"/>
      <x:c r="H28" s="217" t="n"/>
      <x:c r="I28" s="217" t="n"/>
      <x:c r="J28" s="217" t="n"/>
      <x:c r="K28" s="217" t="n"/>
      <x:c r="L28" s="217" t="n"/>
      <x:c r="M28" s="217" t="n"/>
    </x:row>
  </x:sheetData>
  <x:dataValidations count="1">
    <x:dataValidation type="list" errorStyle="stop" operator="between" allowBlank="0" showDropDown="0" showInputMessage="0" showErrorMessage="0" sqref="H25">
      <x:formula1>_Lists!$A$1:$A$7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479057d265a4dfe"/>
  </x:tableParts>
</x:worksheet>
</file>

<file path=xl/worksheets/sheet109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1" width="14" style="138" customWidth="1"/>
    <x:col min="2" max="2" width="13" style="138" customWidth="1"/>
    <x:col min="3" max="3" width="15.510000228881836" style="138" customWidth="1"/>
    <x:col min="4" max="4" width="53.75" style="138" customWidth="1"/>
    <x:col min="5" max="5" width="11" style="138" customWidth="1"/>
    <x:col min="6" max="6" width="13" style="138" customWidth="1"/>
    <x:col min="7" max="7" width="41.25" style="138" customWidth="1"/>
    <x:col min="8" max="8" width="12" style="138" customWidth="1"/>
    <x:col min="9" max="10" width="12.75" style="138" customWidth="1"/>
    <x:col min="11" max="11" width="41.25" style="138" customWidth="1"/>
    <x:col min="12" max="12" width="8.75" style="138" customWidth="1"/>
    <x:col min="13" max="13" width="9.75" style="138" customWidth="1"/>
  </x:cols>
  <x:sheetData>
    <x:row r="1" s="135" customFormat="1" ht="15" customHeight="1">
      <x:c r="A1" s="217" t="inlineStr">
        <x:is>
          <x:t xml:space="preserve">Radiomark Evidence</x:t>
        </x:is>
      </x:c>
      <x:c r="B1" s="217" t="n"/>
      <x:c r="C1" s="217" t="n"/>
      <x:c r="D1" s="217" t="n"/>
      <x:c r="E1" s="217" t="n"/>
      <x:c r="F1" s="217" t="n"/>
      <x:c r="G1" s="217" t="n"/>
      <x:c r="H1" s="217" t="n"/>
      <x:c r="I1" s="217" t="n"/>
      <x:c r="J1" s="217" t="n"/>
      <x:c r="K1" s="217" t="n"/>
      <x:c r="L1" s="217" t="n"/>
      <x:c r="M1" s="217" t="n"/>
    </x:row>
    <x:row r="2" s="135" customFormat="1" ht="15" customHeight="1">
      <x:c r="A2" s="217" t="inlineStr">
        <x:is>
          <x:t xml:space="preserve">Assertion-level passive selection, recipe, geometry, browser, documentation, and package evidence.</x:t>
        </x:is>
      </x:c>
      <x:c r="B2" s="217" t="n"/>
      <x:c r="C2" s="217" t="n"/>
      <x:c r="D2" s="217" t="n"/>
      <x:c r="E2" s="217" t="n"/>
      <x:c r="F2" s="217" t="n"/>
      <x:c r="G2" s="217" t="n"/>
      <x:c r="H2" s="217" t="n"/>
      <x:c r="I2" s="217" t="n"/>
      <x:c r="J2" s="217" t="n"/>
      <x:c r="K2" s="217" t="n"/>
      <x:c r="L2" s="217" t="n"/>
      <x:c r="M2" s="217" t="n"/>
    </x:row>
    <x:row r="3" s="135" customFormat="1" ht="15" customHeight="1">
      <x:c r="A3" s="217" t="n"/>
      <x:c r="B3" s="217" t="n"/>
      <x:c r="C3" s="217" t="n"/>
      <x:c r="D3" s="217" t="n"/>
      <x:c r="E3" s="217" t="n"/>
      <x:c r="F3" s="217" t="n"/>
      <x:c r="G3" s="217" t="n"/>
      <x:c r="H3" s="217" t="n"/>
      <x:c r="I3" s="217" t="n"/>
      <x:c r="J3" s="217" t="n"/>
      <x:c r="K3" s="217" t="n"/>
      <x:c r="L3" s="217" t="n"/>
      <x:c r="M3" s="217" t="n"/>
    </x:row>
    <x:row r="4" s="135" customFormat="1" ht="15" customHeight="1">
      <x:c r="A4" s="217" t="inlineStr">
        <x:is>
          <x:t xml:space="preserve">Requirements</x:t>
        </x:is>
      </x:c>
      <x:c r="B4" s="217" t="n">
        <x:f>COUNTA(A9:A25)</x:f>
        <x:v>17</x:v>
      </x:c>
      <x:c r="C4" s="217" t="n"/>
      <x:c r="D4" s="217" t="inlineStr">
        <x:is>
          <x:t xml:space="preserve">Resolved</x:t>
        </x:is>
      </x:c>
      <x:c r="E4" s="217" t="n">
        <x:f>SUM(M9:M25)</x:f>
        <x:v>12</x:v>
      </x:c>
      <x:c r="F4" s="217" t="n"/>
      <x:c r="G4" s="217" t="inlineStr">
        <x:is>
          <x:t xml:space="preserve">Completion</x:t>
        </x:is>
      </x:c>
      <x:c r="H4" s="217" t="n">
        <x:f>IF(B4=0,0,E4/B4)</x:f>
        <x:v>0.7058823529411765</x:v>
      </x:c>
      <x:c r="I4" s="217" t="n"/>
      <x:c r="J4" s="217" t="inlineStr">
        <x:is>
          <x:t xml:space="preserve">Package gate</x:t>
        </x:is>
      </x:c>
      <x:c r="K4" s="217" t="str">
        <x:f>IF(COUNTIFS(E9:E24,"package",M9:M24,0)&gt;0,"open","complete")</x:f>
        <x:v>open</x:v>
      </x:c>
      <x:c r="L4" s="217" t="n"/>
      <x:c r="M4" s="217" t="n"/>
    </x:row>
    <x:row r="5" s="135" customFormat="1" ht="15" customHeight="1">
      <x:c r="A5" s="217" t="inlineStr">
        <x:is>
          <x:t xml:space="preserve">Manual review</x:t>
        </x:is>
      </x:c>
      <x:c r="B5" s="217" t="str">
        <x:f>IF(COUNTIFS(I9:I24,"yes",M9:M24,0)&gt;0,"open","complete")</x:f>
        <x:v>open</x:v>
      </x:c>
      <x:c r="C5" s="217" t="n"/>
      <x:c r="D5" s="217" t="inlineStr">
        <x:is>
          <x:t xml:space="preserve">Consumer gate</x:t>
        </x:is>
      </x:c>
      <x:c r="E5" s="217" t="str">
        <x:f>IF(COUNTIFS(E9:E24,"consumer",M9:M24,0)&gt;0,"open","complete")</x:f>
        <x:v>open</x:v>
      </x:c>
      <x:c r="F5" s="217" t="n"/>
      <x:c r="G5" s="217" t="n"/>
      <x:c r="H5" s="217" t="n"/>
      <x:c r="I5" s="217" t="n"/>
      <x:c r="J5" s="217" t="n"/>
      <x:c r="K5" s="217" t="n"/>
      <x:c r="L5" s="217" t="n"/>
      <x:c r="M5" s="217" t="n"/>
    </x:row>
    <x:row r="6" s="135" customFormat="1" ht="15" customHeight="1">
      <x:c r="A6" s="217" t="n"/>
      <x:c r="B6" s="217" t="n"/>
      <x:c r="C6" s="217" t="n"/>
      <x:c r="D6" s="217" t="n"/>
      <x:c r="E6" s="217" t="n"/>
      <x:c r="F6" s="217" t="n"/>
      <x:c r="G6" s="217" t="n"/>
      <x:c r="H6" s="217" t="n"/>
      <x:c r="I6" s="217" t="n"/>
      <x:c r="J6" s="217" t="n"/>
      <x:c r="K6" s="217" t="n"/>
      <x:c r="L6" s="217" t="n"/>
      <x:c r="M6" s="217" t="n"/>
    </x:row>
    <x:row r="7" s="135" customFormat="1" ht="15" customHeight="1">
      <x:c r="A7" s="217" t="n"/>
      <x:c r="B7" s="217" t="n"/>
      <x:c r="C7" s="217" t="n"/>
      <x:c r="D7" s="217" t="n"/>
      <x:c r="E7" s="217" t="n"/>
      <x:c r="F7" s="217" t="n"/>
      <x:c r="G7" s="217" t="n"/>
      <x:c r="H7" s="217" t="n"/>
      <x:c r="I7" s="217" t="n"/>
      <x:c r="J7" s="217" t="n"/>
      <x:c r="K7" s="217" t="n"/>
      <x:c r="L7" s="217" t="n"/>
      <x:c r="M7" s="217" t="n"/>
    </x:row>
    <x:row r="8" s="135" customFormat="1" ht="15" customHeight="1">
      <x:c r="A8" s="217" t="inlineStr">
        <x:is>
          <x:t xml:space="preserve">ID</x:t>
        </x:is>
      </x:c>
      <x:c r="B8" s="217" t="inlineStr">
        <x:is>
          <x:t xml:space="preserve">Area</x:t>
        </x:is>
      </x:c>
      <x:c r="C8" s="217" t="inlineStr">
        <x:is>
          <x:t xml:space="preserve">Part</x:t>
        </x:is>
      </x:c>
      <x:c r="D8" s="217" t="inlineStr">
        <x:is>
          <x:t xml:space="preserve">Requirement</x:t>
        </x:is>
      </x:c>
      <x:c r="E8" s="217" t="inlineStr">
        <x:is>
          <x:t xml:space="preserve">Gate</x:t>
        </x:is>
      </x:c>
      <x:c r="F8" s="217" t="inlineStr">
        <x:is>
          <x:t xml:space="preserve">Evidence type</x:t>
        </x:is>
      </x:c>
      <x:c r="G8" s="217" t="inlineStr">
        <x:is>
          <x:t xml:space="preserve">Evidence / link</x:t>
        </x:is>
      </x:c>
      <x:c r="H8" s="217" t="inlineStr">
        <x:is>
          <x:t xml:space="preserve">Status</x:t>
        </x:is>
      </x:c>
      <x:c r="I8" s="217" t="inlineStr">
        <x:is>
          <x:t xml:space="preserve">Human review?</x:t>
        </x:is>
      </x:c>
      <x:c r="J8" s="217" t="inlineStr">
        <x:is>
          <x:t xml:space="preserve">Last verified</x:t>
        </x:is>
      </x:c>
      <x:c r="K8" s="217" t="inlineStr">
        <x:is>
          <x:t xml:space="preserve">Blocker / N/A reason</x:t>
        </x:is>
      </x:c>
      <x:c r="L8" s="217" t="inlineStr">
        <x:is>
          <x:t xml:space="preserve">Weight</x:t>
        </x:is>
      </x:c>
      <x:c r="M8" s="217" t="inlineStr">
        <x:is>
          <x:t xml:space="preserve">Resolved</x:t>
        </x:is>
      </x:c>
    </x:row>
    <x:row r="9" s="135" customFormat="1" ht="24" customHeight="1">
      <x:c r="A9" s="146" t="inlineStr">
        <x:is>
          <x:t xml:space="preserve">RM-01</x:t>
        </x:is>
      </x:c>
      <x:c r="B9" s="146" t="inlineStr">
        <x:is>
          <x:t xml:space="preserve">Implementation</x:t>
        </x:is>
      </x:c>
      <x:c r="C9" s="146" t="inlineStr">
        <x:is>
          <x:t xml:space="preserve">Visual mark</x:t>
        </x:is>
      </x:c>
      <x:c r="D9" s="146" t="inlineStr">
        <x:is>
          <x:t xml:space="preserve">Radiomark implements its documented public contract without taking over application-owned concerns.</x:t>
        </x:is>
      </x:c>
      <x:c r="E9" s="146" t="inlineStr">
        <x:is>
          <x:t xml:space="preserve">package</x:t>
        </x:is>
      </x:c>
      <x:c r="F9" s="146" t="inlineStr">
        <x:is>
          <x:t xml:space="preserve">source</x:t>
        </x:is>
      </x:c>
      <x:c r="G9" s="146" t="inlineStr">
        <x:is>
          <x:t xml:space="preserve">../src/components/radiomark</x:t>
        </x:is>
      </x:c>
      <x:c r="H9" s="146" t="inlineStr">
        <x:is>
          <x:t xml:space="preserve">tested</x:t>
        </x:is>
      </x:c>
      <x:c r="I9" s="146" t="inlineStr">
        <x:is>
          <x:t xml:space="preserve">no</x:t>
        </x:is>
      </x:c>
      <x:c r="J9" s="146" t="n">
        <x:v>46269</x:v>
      </x:c>
      <x:c r="K9" s="146" t="n"/>
      <x:c r="L9" s="146" t="n">
        <x:v>1</x:v>
      </x:c>
      <x:c r="M9" s="146" t="n">
        <x:f>IF(OR(AND(I9="yes",H9="verified"),AND(I9="no",OR(H9="tested",H9="verified")),AND(H9="not applicable",K9&lt;&gt;"")),1,0)</x:f>
        <x:v>1</x:v>
      </x:c>
    </x:row>
    <x:row r="10" s="135" customFormat="1" ht="24" customHeight="1">
      <x:c r="A10" s="146" t="inlineStr">
        <x:is>
          <x:t xml:space="preserve">RM-02</x:t>
        </x:is>
      </x:c>
      <x:c r="B10" s="146" t="inlineStr">
        <x:is>
          <x:t xml:space="preserve">Exports</x:t>
        </x:is>
      </x:c>
      <x:c r="C10" s="146" t="inlineStr">
        <x:is>
          <x:t xml:space="preserve">Radiomark</x:t>
        </x:is>
      </x:c>
      <x:c r="D10" s="146" t="inlineStr">
        <x:is>
          <x:t xml:space="preserve">Root and radiomark subpath exports expose every public runtime and type with identical identity.</x:t>
        </x:is>
      </x:c>
      <x:c r="E10" s="146" t="inlineStr">
        <x:is>
          <x:t xml:space="preserve">package</x:t>
        </x:is>
      </x:c>
      <x:c r="F10" s="146" t="inlineStr">
        <x:is>
          <x:t xml:space="preserve">package</x:t>
        </x:is>
      </x:c>
      <x:c r="G10" s="146" t="inlineStr">
        <x:is>
          <x:t xml:space="preserve">../test/package/package.test.mjs; ../test/package/ssr.test.mjs</x:t>
        </x:is>
      </x:c>
      <x:c r="H10" s="146" t="inlineStr">
        <x:is>
          <x:t xml:space="preserve">tested</x:t>
        </x:is>
      </x:c>
      <x:c r="I10" s="146" t="inlineStr">
        <x:is>
          <x:t xml:space="preserve">no</x:t>
        </x:is>
      </x:c>
      <x:c r="J10" s="146" t="n">
        <x:v>46269</x:v>
      </x:c>
      <x:c r="K10" s="146" t="n"/>
      <x:c r="L10" s="146" t="n">
        <x:v>1</x:v>
      </x:c>
      <x:c r="M10" s="146" t="n">
        <x:f>IF(OR(AND(I10="yes",H10="verified"),AND(I10="no",OR(H10="tested",H10="verified")),AND(H10="not applicable",K10&lt;&gt;"")),1,0)</x:f>
        <x:v>1</x:v>
      </x:c>
    </x:row>
    <x:row r="11" s="135" customFormat="1" ht="24" customHeight="1">
      <x:c r="A11" s="146" t="inlineStr">
        <x:is>
          <x:t xml:space="preserve">RM-03</x:t>
        </x:is>
      </x:c>
      <x:c r="B11" s="146" t="inlineStr">
        <x:is>
          <x:t xml:space="preserve">Types</x:t>
        </x:is>
      </x:c>
      <x:c r="C11" s="146" t="inlineStr">
        <x:is>
          <x:t xml:space="preserve">Public surface</x:t>
        </x:is>
      </x:c>
      <x:c r="D11" s="146" t="inlineStr">
        <x:is>
          <x:t xml:space="preserve">Public props, native passthrough where applicable, refs, and invalid values are covered by compile-time evidence.</x:t>
        </x:is>
      </x:c>
      <x:c r="E11" s="146" t="inlineStr">
        <x:is>
          <x:t xml:space="preserve">package</x:t>
        </x:is>
      </x:c>
      <x:c r="F11" s="146" t="inlineStr">
        <x:is>
          <x:t xml:space="preserve">types</x:t>
        </x:is>
      </x:c>
      <x:c r="G11" s="146" t="inlineStr">
        <x:is>
          <x:t xml:space="preserve">../test/types/components/radiomark.test.ts</x:t>
        </x:is>
      </x:c>
      <x:c r="H11" s="146" t="inlineStr">
        <x:is>
          <x:t xml:space="preserve">tested</x:t>
        </x:is>
      </x:c>
      <x:c r="I11" s="146" t="inlineStr">
        <x:is>
          <x:t xml:space="preserve">no</x:t>
        </x:is>
      </x:c>
      <x:c r="J11" s="146" t="n">
        <x:v>46269</x:v>
      </x:c>
      <x:c r="K11" s="146" t="n"/>
      <x:c r="L11" s="146" t="n">
        <x:v>1</x:v>
      </x:c>
      <x:c r="M11" s="146" t="n">
        <x:f>IF(OR(AND(I11="yes",H11="verified"),AND(I11="no",OR(H11="tested",H11="verified")),AND(H11="not applicable",K11&lt;&gt;"")),1,0)</x:f>
        <x:v>1</x:v>
      </x:c>
    </x:row>
    <x:row r="12" s="135" customFormat="1" ht="24" customHeight="1">
      <x:c r="A12" s="146" t="inlineStr">
        <x:is>
          <x:t xml:space="preserve">RM-04</x:t>
        </x:is>
      </x:c>
      <x:c r="B12" s="146" t="inlineStr">
        <x:is>
          <x:t xml:space="preserve">CSS</x:t>
        </x:is>
      </x:c>
      <x:c r="C12" s="146" t="inlineStr">
        <x:is>
          <x:t xml:space="preserve">Visual mark</x:t>
        </x:is>
      </x:c>
      <x:c r="D12" s="146" t="inlineStr">
        <x:is>
          <x:t xml:space="preserve">The modular style entry owns only documented presentation; context and wrapper-free helpers add no visual recipe.</x:t>
        </x:is>
      </x:c>
      <x:c r="E12" s="146" t="inlineStr">
        <x:is>
          <x:t xml:space="preserve">package</x:t>
        </x:is>
      </x:c>
      <x:c r="F12" s="146" t="inlineStr">
        <x:is>
          <x:t xml:space="preserve">css</x:t>
        </x:is>
      </x:c>
      <x:c r="G12" s="146" t="inlineStr">
        <x:is>
          <x:t xml:space="preserve">../src/components/radiomark/radiomark.css</x:t>
        </x:is>
      </x:c>
      <x:c r="H12" s="146" t="inlineStr">
        <x:is>
          <x:t xml:space="preserve">tested</x:t>
        </x:is>
      </x:c>
      <x:c r="I12" s="146" t="inlineStr">
        <x:is>
          <x:t xml:space="preserve">no</x:t>
        </x:is>
      </x:c>
      <x:c r="J12" s="146" t="n">
        <x:v>46269</x:v>
      </x:c>
      <x:c r="K12" s="146" t="n"/>
      <x:c r="L12" s="146" t="n">
        <x:v>1</x:v>
      </x:c>
      <x:c r="M12" s="146" t="n">
        <x:f>IF(OR(AND(I12="yes",H12="verified"),AND(I12="no",OR(H12="tested",H12="verified")),AND(H12="not applicable",K12&lt;&gt;"")),1,0)</x:f>
        <x:v>1</x:v>
      </x:c>
    </x:row>
    <x:row r="13" s="135" customFormat="1" ht="24" customHeight="1">
      <x:c r="A13" s="146" t="inlineStr">
        <x:is>
          <x:t xml:space="preserve">RM-05</x:t>
        </x:is>
      </x:c>
      <x:c r="B13" s="146" t="inlineStr">
        <x:is>
          <x:t xml:space="preserve">Unit</x:t>
        </x:is>
      </x:c>
      <x:c r="C13" s="146" t="inlineStr">
        <x:is>
          <x:t xml:space="preserve">Visual mark</x:t>
        </x:is>
      </x:c>
      <x:c r="D13" s="146" t="inlineStr">
        <x:is>
          <x:t xml:space="preserve">Focused component tests cover defaults, state or output, passthrough, refs where applicable, and edge cases.</x:t>
        </x:is>
      </x:c>
      <x:c r="E13" s="146" t="inlineStr">
        <x:is>
          <x:t xml:space="preserve">package</x:t>
        </x:is>
      </x:c>
      <x:c r="F13" s="146" t="inlineStr">
        <x:is>
          <x:t xml:space="preserve">component</x:t>
        </x:is>
      </x:c>
      <x:c r="G13" s="146" t="inlineStr">
        <x:is>
          <x:t xml:space="preserve">../test/components/radiomark/radiomark.test.tsx</x:t>
        </x:is>
      </x:c>
      <x:c r="H13" s="146" t="inlineStr">
        <x:is>
          <x:t xml:space="preserve">tested</x:t>
        </x:is>
      </x:c>
      <x:c r="I13" s="146" t="inlineStr">
        <x:is>
          <x:t xml:space="preserve">no</x:t>
        </x:is>
      </x:c>
      <x:c r="J13" s="146" t="n">
        <x:v>46269</x:v>
      </x:c>
      <x:c r="K13" s="146" t="n"/>
      <x:c r="L13" s="146" t="n">
        <x:v>1</x:v>
      </x:c>
      <x:c r="M13" s="146" t="n">
        <x:f>IF(OR(AND(I13="yes",H13="verified"),AND(I13="no",OR(H13="tested",H13="verified")),AND(H13="not applicable",K13&lt;&gt;"")),1,0)</x:f>
        <x:v>1</x:v>
      </x:c>
    </x:row>
    <x:row r="14" s="135" customFormat="1" ht="24" customHeight="1">
      <x:c r="A14" s="146" t="inlineStr">
        <x:is>
          <x:t xml:space="preserve">RM-06</x:t>
        </x:is>
      </x:c>
      <x:c r="B14" s="146" t="inlineStr">
        <x:is>
          <x:t xml:space="preserve">Browser</x:t>
        </x:is>
      </x:c>
      <x:c r="C14" s="146" t="inlineStr">
        <x:is>
          <x:t xml:space="preserve">Visual mark</x:t>
        </x:is>
      </x:c>
      <x:c r="D14" s="146" t="inlineStr">
        <x:is>
          <x:t xml:space="preserve">Real-browser evidence proves the public output, geometry or context behavior and includes an accessibility scan.</x:t>
        </x:is>
      </x:c>
      <x:c r="E14" s="146" t="inlineStr">
        <x:is>
          <x:t xml:space="preserve">package</x:t>
        </x:is>
      </x:c>
      <x:c r="F14" s="146" t="inlineStr">
        <x:is>
          <x:t xml:space="preserve">browser</x:t>
        </x:is>
      </x:c>
      <x:c r="G14" s="146" t="inlineStr">
        <x:is>
          <x:t xml:space="preserve">tests/components/radiomark/behavior.spec.ts</x:t>
        </x:is>
      </x:c>
      <x:c r="H14" s="146" t="inlineStr">
        <x:is>
          <x:t xml:space="preserve">tested</x:t>
        </x:is>
      </x:c>
      <x:c r="I14" s="146" t="inlineStr">
        <x:is>
          <x:t xml:space="preserve">no</x:t>
        </x:is>
      </x:c>
      <x:c r="J14" s="146" t="n">
        <x:v>46269</x:v>
      </x:c>
      <x:c r="K14" s="146" t="n"/>
      <x:c r="L14" s="146" t="n">
        <x:v>1</x:v>
      </x:c>
      <x:c r="M14" s="146" t="n">
        <x:f>IF(OR(AND(I14="yes",H14="verified"),AND(I14="no",OR(H14="tested",H14="verified")),AND(H14="not applicable",K14&lt;&gt;"")),1,0)</x:f>
        <x:v>1</x:v>
      </x:c>
    </x:row>
    <x:row r="15" s="135" customFormat="1" ht="24" customHeight="1">
      <x:c r="A15" s="146" t="inlineStr">
        <x:is>
          <x:t xml:space="preserve">RM-07</x:t>
        </x:is>
      </x:c>
      <x:c r="B15" s="146" t="inlineStr">
        <x:is>
          <x:t xml:space="preserve">Composition</x:t>
        </x:is>
      </x:c>
      <x:c r="C15" s="146" t="inlineStr">
        <x:is>
          <x:t xml:space="preserve">Visual mark</x:t>
        </x:is>
      </x:c>
      <x:c r="D15" s="146" t="inlineStr">
        <x:is>
          <x:t xml:space="preserve">The helper composes with finished Brick owners without inserting accidental interaction, paint, or layout ownership.</x:t>
        </x:is>
      </x:c>
      <x:c r="E15" s="146" t="inlineStr">
        <x:is>
          <x:t xml:space="preserve">package</x:t>
        </x:is>
      </x:c>
      <x:c r="F15" s="146" t="inlineStr">
        <x:is>
          <x:t xml:space="preserve">browser</x:t>
        </x:is>
      </x:c>
      <x:c r="G15" s="146" t="inlineStr">
        <x:is>
          <x:t xml:space="preserve">tests/components/radiomark/behavior.spec.ts</x:t>
        </x:is>
      </x:c>
      <x:c r="H15" s="146" t="inlineStr">
        <x:is>
          <x:t xml:space="preserve">tested</x:t>
        </x:is>
      </x:c>
      <x:c r="I15" s="146" t="inlineStr">
        <x:is>
          <x:t xml:space="preserve">no</x:t>
        </x:is>
      </x:c>
      <x:c r="J15" s="146" t="n">
        <x:v>46269</x:v>
      </x:c>
      <x:c r="K15" s="146" t="n"/>
      <x:c r="L15" s="146" t="n">
        <x:v>1</x:v>
      </x:c>
      <x:c r="M15" s="146" t="n">
        <x:f>IF(OR(AND(I15="yes",H15="verified"),AND(I15="no",OR(H15="tested",H15="verified")),AND(H15="not applicable",K15&lt;&gt;"")),1,0)</x:f>
        <x:v>1</x:v>
      </x:c>
    </x:row>
    <x:row r="16" s="135" customFormat="1" ht="24" customHeight="1">
      <x:c r="A16" s="146" t="inlineStr">
        <x:is>
          <x:t xml:space="preserve">RM-08</x:t>
        </x:is>
      </x:c>
      <x:c r="B16" s="146" t="inlineStr">
        <x:is>
          <x:t xml:space="preserve">Contract</x:t>
        </x:is>
      </x:c>
      <x:c r="C16" s="146" t="inlineStr">
        <x:is>
          <x:t xml:space="preserve">Visual mark</x:t>
        </x:is>
      </x:c>
      <x:c r="D16" s="146" t="inlineStr">
        <x:is>
          <x:t xml:space="preserve">Checked, unchecked, disabled, recipe, size, dark, and forced-colors presentation remains passive and circular.</x:t>
        </x:is>
      </x:c>
      <x:c r="E16" s="146" t="inlineStr">
        <x:is>
          <x:t xml:space="preserve">package</x:t>
        </x:is>
      </x:c>
      <x:c r="F16" s="146" t="inlineStr">
        <x:is>
          <x:t xml:space="preserve">component</x:t>
        </x:is>
      </x:c>
      <x:c r="G16" s="146" t="inlineStr">
        <x:is>
          <x:t xml:space="preserve">../test/components/radiomark/radiomark.test.tsx; tests/components/radiomark/behavior.spec.ts</x:t>
        </x:is>
      </x:c>
      <x:c r="H16" s="146" t="inlineStr">
        <x:is>
          <x:t xml:space="preserve">tested</x:t>
        </x:is>
      </x:c>
      <x:c r="I16" s="146" t="inlineStr">
        <x:is>
          <x:t xml:space="preserve">no</x:t>
        </x:is>
      </x:c>
      <x:c r="J16" s="146" t="n">
        <x:v>46269</x:v>
      </x:c>
      <x:c r="K16" s="146" t="n"/>
      <x:c r="L16" s="146" t="n">
        <x:v>1</x:v>
      </x:c>
      <x:c r="M16" s="146" t="n">
        <x:f>IF(OR(AND(I16="yes",H16="verified"),AND(I16="no",OR(H16="tested",H16="verified")),AND(H16="not applicable",K16&lt;&gt;"")),1,0)</x:f>
        <x:v>1</x:v>
      </x:c>
    </x:row>
    <x:row r="17" s="135" customFormat="1" ht="24" customHeight="1">
      <x:c r="A17" s="146" t="inlineStr">
        <x:is>
          <x:t xml:space="preserve">RM-09</x:t>
        </x:is>
      </x:c>
      <x:c r="B17" s="146" t="inlineStr">
        <x:is>
          <x:t xml:space="preserve">Accessibility</x:t>
        </x:is>
      </x:c>
      <x:c r="C17" s="146" t="inlineStr">
        <x:is>
          <x:t xml:space="preserve">Visual mark</x:t>
        </x:is>
      </x:c>
      <x:c r="D17" s="146" t="inlineStr">
        <x:is>
          <x:t xml:space="preserve">Semantics remain with the correct owner, output is readable, passive visuals stay hidden, and axe reports no violations.</x:t>
        </x:is>
      </x:c>
      <x:c r="E17" s="146" t="inlineStr">
        <x:is>
          <x:t xml:space="preserve">package</x:t>
        </x:is>
      </x:c>
      <x:c r="F17" s="146" t="inlineStr">
        <x:is>
          <x:t xml:space="preserve">axe</x:t>
        </x:is>
      </x:c>
      <x:c r="G17" s="146" t="inlineStr">
        <x:is>
          <x:t xml:space="preserve">tests/components/radiomark/behavior.spec.ts</x:t>
        </x:is>
      </x:c>
      <x:c r="H17" s="146" t="inlineStr">
        <x:is>
          <x:t xml:space="preserve">tested</x:t>
        </x:is>
      </x:c>
      <x:c r="I17" s="146" t="inlineStr">
        <x:is>
          <x:t xml:space="preserve">no</x:t>
        </x:is>
      </x:c>
      <x:c r="J17" s="146" t="n">
        <x:v>46269</x:v>
      </x:c>
      <x:c r="K17" s="146" t="n"/>
      <x:c r="L17" s="146" t="n">
        <x:v>1</x:v>
      </x:c>
      <x:c r="M17" s="146" t="n">
        <x:f>IF(OR(AND(I17="yes",H17="verified"),AND(I17="no",OR(H17="tested",H17="verified")),AND(H17="not applicable",K17&lt;&gt;"")),1,0)</x:f>
        <x:v>1</x:v>
      </x:c>
    </x:row>
    <x:row r="18" s="135" customFormat="1" ht="24" customHeight="1">
      <x:c r="A18" s="146" t="inlineStr">
        <x:is>
          <x:t xml:space="preserve">RM-10</x:t>
        </x:is>
      </x:c>
      <x:c r="B18" s="146" t="inlineStr">
        <x:is>
          <x:t xml:space="preserve">Visual</x:t>
        </x:is>
      </x:c>
      <x:c r="C18" s="146" t="inlineStr">
        <x:is>
          <x:t xml:space="preserve">Visual mark</x:t>
        </x:is>
      </x:c>
      <x:c r="D18" s="146" t="inlineStr">
        <x:is>
          <x:t xml:space="preserve">A deterministic baseline covers the component's reviewable output in the default appearance.</x:t>
        </x:is>
      </x:c>
      <x:c r="E18" s="146" t="inlineStr">
        <x:is>
          <x:t xml:space="preserve">package</x:t>
        </x:is>
      </x:c>
      <x:c r="F18" s="146" t="inlineStr">
        <x:is>
          <x:t xml:space="preserve">visual</x:t>
        </x:is>
      </x:c>
      <x:c r="G18" s="146" t="inlineStr">
        <x:is>
          <x:t xml:space="preserve">tests/components/radiomark/visual.spec.ts</x:t>
        </x:is>
      </x:c>
      <x:c r="H18" s="146" t="inlineStr">
        <x:is>
          <x:t xml:space="preserve">implemented</x:t>
        </x:is>
      </x:c>
      <x:c r="I18" s="146" t="inlineStr">
        <x:is>
          <x:t xml:space="preserve">yes</x:t>
        </x:is>
      </x:c>
      <x:c r="J18" s="146" t="n"/>
      <x:c r="K18" s="146" t="inlineStr">
        <x:is>
          <x:t xml:space="preserve">Automated baseline exists; complete owner visual review is intentionally unclaimed.</x:t>
        </x:is>
      </x:c>
      <x:c r="L18" s="146" t="n">
        <x:v>1</x:v>
      </x:c>
      <x:c r="M18" s="146" t="n">
        <x:f>IF(OR(AND(I18="yes",H18="verified"),AND(I18="no",OR(H18="tested",H18="verified")),AND(H18="not applicable",K18&lt;&gt;"")),1,0)</x:f>
        <x:v>0</x:v>
      </x:c>
    </x:row>
    <x:row r="19" s="135" customFormat="1" ht="24" customHeight="1">
      <x:c r="A19" s="146" t="inlineStr">
        <x:is>
          <x:t xml:space="preserve">RM-11</x:t>
        </x:is>
      </x:c>
      <x:c r="B19" s="146" t="inlineStr">
        <x:is>
          <x:t xml:space="preserve">Responsive</x:t>
        </x:is>
      </x:c>
      <x:c r="C19" s="146" t="inlineStr">
        <x:is>
          <x:t xml:space="preserve">Visual mark</x:t>
        </x:is>
      </x:c>
      <x:c r="D19" s="146" t="inlineStr">
        <x:is>
          <x:t xml:space="preserve">Mobile, zoom, RTL, appearance, and forced-colors conditions preserve readable output and correct ownership.</x:t>
        </x:is>
      </x:c>
      <x:c r="E19" s="146" t="inlineStr">
        <x:is>
          <x:t xml:space="preserve">package</x:t>
        </x:is>
      </x:c>
      <x:c r="F19" s="146" t="inlineStr">
        <x:is>
          <x:t xml:space="preserve">manual</x:t>
        </x:is>
      </x:c>
      <x:c r="G19" s="146" t="inlineStr">
        <x:is>
          <x:t xml:space="preserve">manual-tests/radiomark.md</x:t>
        </x:is>
      </x:c>
      <x:c r="H19" s="146" t="inlineStr">
        <x:is>
          <x:t xml:space="preserve">implemented</x:t>
        </x:is>
      </x:c>
      <x:c r="I19" s="146" t="inlineStr">
        <x:is>
          <x:t xml:space="preserve">yes</x:t>
        </x:is>
      </x:c>
      <x:c r="J19" s="146" t="n"/>
      <x:c r="K19" s="146" t="inlineStr">
        <x:is>
          <x:t xml:space="preserve">Automated evidence exists; the complete human stress run remains pending.</x:t>
        </x:is>
      </x:c>
      <x:c r="L19" s="146" t="n">
        <x:v>1</x:v>
      </x:c>
      <x:c r="M19" s="146" t="n">
        <x:f>IF(OR(AND(I19="yes",H19="verified"),AND(I19="no",OR(H19="tested",H19="verified")),AND(H19="not applicable",K19&lt;&gt;"")),1,0)</x:f>
        <x:v>0</x:v>
      </x:c>
    </x:row>
    <x:row r="20" s="135" customFormat="1" ht="24" customHeight="1">
      <x:c r="A20" s="146" t="inlineStr">
        <x:is>
          <x:t xml:space="preserve">RM-12</x:t>
        </x:is>
      </x:c>
      <x:c r="B20" s="146" t="inlineStr">
        <x:is>
          <x:t xml:space="preserve">Manual</x:t>
        </x:is>
      </x:c>
      <x:c r="C20" s="146" t="inlineStr">
        <x:is>
          <x:t xml:space="preserve">Radiomark</x:t>
        </x:is>
      </x:c>
      <x:c r="D20" s="146" t="inlineStr">
        <x:is>
          <x:t xml:space="preserve">A tester completes the component-owned behavior, appearance, forced-colors, mobile, RTL, zoom, and accessibility protocol.</x:t>
        </x:is>
      </x:c>
      <x:c r="E20" s="146" t="inlineStr">
        <x:is>
          <x:t xml:space="preserve">package</x:t>
        </x:is>
      </x:c>
      <x:c r="F20" s="146" t="inlineStr">
        <x:is>
          <x:t xml:space="preserve">manual</x:t>
        </x:is>
      </x:c>
      <x:c r="G20" s="146" t="inlineStr">
        <x:is>
          <x:t xml:space="preserve">manual-tests/radiomark.md</x:t>
        </x:is>
      </x:c>
      <x:c r="H20" s="146" t="inlineStr">
        <x:is>
          <x:t xml:space="preserve">implemented</x:t>
        </x:is>
      </x:c>
      <x:c r="I20" s="146" t="inlineStr">
        <x:is>
          <x:t xml:space="preserve">yes</x:t>
        </x:is>
      </x:c>
      <x:c r="J20" s="146" t="n"/>
      <x:c r="K20" s="146" t="inlineStr">
        <x:is>
          <x:t xml:space="preserve">Protocol exists; owner human review remains intentionally unclaimed.</x:t>
        </x:is>
      </x:c>
      <x:c r="L20" s="146" t="n">
        <x:v>1</x:v>
      </x:c>
      <x:c r="M20" s="146" t="n">
        <x:f>IF(OR(AND(I20="yes",H20="verified"),AND(I20="no",OR(H20="tested",H20="verified")),AND(H20="not applicable",K20&lt;&gt;"")),1,0)</x:f>
        <x:v>0</x:v>
      </x:c>
    </x:row>
    <x:row r="21" s="135" customFormat="1" ht="36" customHeight="1">
      <x:c r="A21" s="146" t="inlineStr">
        <x:is>
          <x:t xml:space="preserve">RM-13</x:t>
        </x:is>
      </x:c>
      <x:c r="B21" s="146" t="inlineStr">
        <x:is>
          <x:t xml:space="preserve">Docs</x:t>
        </x:is>
      </x:c>
      <x:c r="C21" s="146" t="inlineStr">
        <x:is>
          <x:t xml:space="preserve">Radiomark</x:t>
        </x:is>
      </x:c>
      <x:c r="D21" s="146" t="inlineStr">
        <x:is>
          <x:t xml:space="preserve">Public and Agent Knowledge guidance covers selection, boundaries, API, composition, accessibility, and validation.</x:t>
        </x:is>
      </x:c>
      <x:c r="E21" s="146" t="inlineStr">
        <x:is>
          <x:t xml:space="preserve">package</x:t>
        </x:is>
      </x:c>
      <x:c r="F21" s="146" t="inlineStr">
        <x:is>
          <x:t xml:space="preserve">docs</x:t>
        </x:is>
      </x:c>
      <x:c r="G21" s="146" t="inlineStr">
        <x:is>
          <x:t xml:space="preserve">../docs/components/radiomark/README.md; ../src/components/radiomark/agent.json; ../src/components/radiomark/agent.md</x:t>
        </x:is>
      </x:c>
      <x:c r="H21" s="146" t="inlineStr">
        <x:is>
          <x:t xml:space="preserve">tested</x:t>
        </x:is>
      </x:c>
      <x:c r="I21" s="146" t="inlineStr">
        <x:is>
          <x:t xml:space="preserve">no</x:t>
        </x:is>
      </x:c>
      <x:c r="J21" s="146" t="n">
        <x:v>46269</x:v>
      </x:c>
      <x:c r="K21" s="146" t="n"/>
      <x:c r="L21" s="146" t="n">
        <x:v>1</x:v>
      </x:c>
      <x:c r="M21" s="146" t="n">
        <x:f>IF(OR(AND(I21="yes",H21="verified"),AND(I21="no",OR(H21="tested",H21="verified")),AND(H21="not applicable",K21&lt;&gt;"")),1,0)</x:f>
        <x:v>1</x:v>
      </x:c>
    </x:row>
    <x:row r="22" s="135" customFormat="1" ht="24" customHeight="1">
      <x:c r="A22" s="146" t="inlineStr">
        <x:is>
          <x:t xml:space="preserve">RM-14</x:t>
        </x:is>
      </x:c>
      <x:c r="B22" s="146" t="inlineStr">
        <x:is>
          <x:t xml:space="preserve">Changelog</x:t>
        </x:is>
      </x:c>
      <x:c r="C22" s="146" t="inlineStr">
        <x:is>
          <x:t xml:space="preserve">Radiomark</x:t>
        </x:is>
      </x:c>
      <x:c r="D22" s="146" t="inlineStr">
        <x:is>
          <x:t xml:space="preserve">Component and package histories record the public addition and consumer-visible contract.</x:t>
        </x:is>
      </x:c>
      <x:c r="E22" s="146" t="inlineStr">
        <x:is>
          <x:t xml:space="preserve">package</x:t>
        </x:is>
      </x:c>
      <x:c r="F22" s="146" t="inlineStr">
        <x:is>
          <x:t xml:space="preserve">docs</x:t>
        </x:is>
      </x:c>
      <x:c r="G22" s="146" t="inlineStr">
        <x:is>
          <x:t xml:space="preserve">../docs/components/radiomark/CHANGELOG.md; ../CHANGELOG.md</x:t>
        </x:is>
      </x:c>
      <x:c r="H22" s="146" t="inlineStr">
        <x:is>
          <x:t xml:space="preserve">tested</x:t>
        </x:is>
      </x:c>
      <x:c r="I22" s="146" t="inlineStr">
        <x:is>
          <x:t xml:space="preserve">no</x:t>
        </x:is>
      </x:c>
      <x:c r="J22" s="146" t="n">
        <x:v>46269</x:v>
      </x:c>
      <x:c r="K22" s="146" t="n"/>
      <x:c r="L22" s="146" t="n">
        <x:v>1</x:v>
      </x:c>
      <x:c r="M22" s="146" t="n">
        <x:f>IF(OR(AND(I22="yes",H22="verified"),AND(I22="no",OR(H22="tested",H22="verified")),AND(H22="not applicable",K22&lt;&gt;"")),1,0)</x:f>
        <x:v>1</x:v>
      </x:c>
    </x:row>
    <x:row r="23" s="135" customFormat="1" ht="24" customHeight="1">
      <x:c r="A23" s="146" t="inlineStr">
        <x:is>
          <x:t xml:space="preserve">RM-15</x:t>
        </x:is>
      </x:c>
      <x:c r="B23" s="146" t="inlineStr">
        <x:is>
          <x:t xml:space="preserve">Consumer</x:t>
        </x:is>
      </x:c>
      <x:c r="C23" s="146" t="inlineStr">
        <x:is>
          <x:t xml:space="preserve">Radiomark</x:t>
        </x:is>
      </x:c>
      <x:c r="D23" s="146" t="inlineStr">
        <x:is>
          <x:t xml:space="preserve">A packed consumer directly imports and composes the public subpath in a realistic application boundary.</x:t>
        </x:is>
      </x:c>
      <x:c r="E23" s="146" t="inlineStr">
        <x:is>
          <x:t xml:space="preserve">consumer</x:t>
        </x:is>
      </x:c>
      <x:c r="F23" s="146" t="inlineStr">
        <x:is>
          <x:t xml:space="preserve">consumer</x:t>
        </x:is>
      </x:c>
      <x:c r="G23" s="146" t="inlineStr">
        <x:is>
          <x:t xml:space="preserve">../apps/consumer</x:t>
        </x:is>
      </x:c>
      <x:c r="H23" s="146" t="inlineStr">
        <x:is>
          <x:t xml:space="preserve">implemented</x:t>
        </x:is>
      </x:c>
      <x:c r="I23" s="146" t="inlineStr">
        <x:is>
          <x:t xml:space="preserve">yes</x:t>
        </x:is>
      </x:c>
      <x:c r="J23" s="146" t="n"/>
      <x:c r="K23" s="146" t="inlineStr">
        <x:is>
          <x:t xml:space="preserve">Consumer integration remains pending for this unreleased local package change.</x:t>
        </x:is>
      </x:c>
      <x:c r="L23" s="146" t="n">
        <x:v>1</x:v>
      </x:c>
      <x:c r="M23" s="146" t="n">
        <x:f>IF(OR(AND(I23="yes",H23="verified"),AND(I23="no",OR(H23="tested",H23="verified")),AND(H23="not applicable",K23&lt;&gt;"")),1,0)</x:f>
        <x:v>0</x:v>
      </x:c>
    </x:row>
    <x:row r="24" s="135" customFormat="1" ht="36" customHeight="1">
      <x:c r="A24" s="146" t="inlineStr">
        <x:is>
          <x:t xml:space="preserve">RM-16</x:t>
        </x:is>
      </x:c>
      <x:c r="B24" s="146" t="inlineStr">
        <x:is>
          <x:t xml:space="preserve">Package</x:t>
        </x:is>
      </x:c>
      <x:c r="C24" s="146" t="inlineStr">
        <x:is>
          <x:t xml:space="preserve">Radiomark</x:t>
        </x:is>
      </x:c>
      <x:c r="D24" s="146" t="inlineStr">
        <x:is>
          <x:t xml:space="preserve">Build, SSR, exports, CSS, tarball, documentation, browser, axe, visual, and consumer gates pass.</x:t>
        </x:is>
      </x:c>
      <x:c r="E24" s="146" t="inlineStr">
        <x:is>
          <x:t xml:space="preserve">package</x:t>
        </x:is>
      </x:c>
      <x:c r="F24" s="146" t="inlineStr">
        <x:is>
          <x:t xml:space="preserve">package</x:t>
        </x:is>
      </x:c>
      <x:c r="G24" s="146" t="inlineStr">
        <x:is>
          <x:t xml:space="preserve">../test/package; ../scripts/verify-package.mjs; ../scripts/verify-app-consumer.mjs</x:t>
        </x:is>
      </x:c>
      <x:c r="H24" s="146" t="inlineStr">
        <x:is>
          <x:t xml:space="preserve">implemented</x:t>
        </x:is>
      </x:c>
      <x:c r="I24" s="146" t="inlineStr">
        <x:is>
          <x:t xml:space="preserve">yes</x:t>
        </x:is>
      </x:c>
      <x:c r="J24" s="146" t="n"/>
      <x:c r="K24" s="146" t="inlineStr">
        <x:is>
          <x:t xml:space="preserve">Automated package evidence is present; complete status waits for the manual run and an authorized release.</x:t>
        </x:is>
      </x:c>
      <x:c r="L24" s="146" t="n">
        <x:v>1</x:v>
      </x:c>
      <x:c r="M24" s="146" t="n">
        <x:f>IF(OR(AND(I24="yes",H24="verified"),AND(I24="no",OR(H24="tested",H24="verified")),AND(H24="not applicable",K24&lt;&gt;"")),1,0)</x:f>
        <x:v>0</x:v>
      </x:c>
    </x:row>
    <x:row r="25" s="135" customFormat="1" ht="63.75" customHeight="1">
      <x:c r="A25" s="148" t="inlineStr">
        <x:is>
          <x:t xml:space="preserve">radiomark-inventory</x:t>
        </x:is>
      </x:c>
      <x:c r="B25" s="148" t="inlineStr">
        <x:is>
          <x:t xml:space="preserve">Playground</x:t>
        </x:is>
      </x:c>
      <x:c r="C25" s="148" t="inlineStr">
        <x:is>
          <x:t xml:space="preserve">Radiomark</x:t>
        </x:is>
      </x:c>
      <x:c r="D25" s="148" t="inlineStr">
        <x:is>
          <x:t xml:space="preserve">Every declared scenario renders in order at 390px and 1280px without page overflow or runtime exceptions.</x:t>
        </x:is>
      </x:c>
      <x:c r="E25" s="148" t="inlineStr">
        <x:is>
          <x:t xml:space="preserve">component</x:t>
        </x:is>
      </x:c>
      <x:c r="F25" s="148" t="inlineStr">
        <x:is>
          <x:t xml:space="preserve">browser</x:t>
        </x:is>
      </x:c>
      <x:c r="G25" s="148" t="inlineStr">
        <x:is>
          <x:t xml:space="preserve">playground/tests/integration/recent-component-capabilities.spec.ts</x:t>
        </x:is>
      </x:c>
      <x:c r="H25" s="148" t="inlineStr">
        <x:is>
          <x:t xml:space="preserve">tested</x:t>
        </x:is>
      </x:c>
      <x:c r="I25" s="148" t="inlineStr">
        <x:is>
          <x:t xml:space="preserve">no</x:t>
        </x:is>
      </x:c>
      <x:c r="J25" s="148" t="inlineStr">
        <x:is>
          <x:t xml:space="preserve">2026-09-05</x:t>
        </x:is>
      </x:c>
      <x:c r="K25" s="148" t="inlineStr">
        <x:is>
          <x:t xml:space="preserve">This assertion does not establish full behavioral or manual qualification.</x:t>
        </x:is>
      </x:c>
      <x:c r="L25" s="148" t="n">
        <x:v>1</x:v>
      </x:c>
      <x:c r="M25" s="148" t="n">
        <x:f>IF(OR(H25="tested",H25="verified"),1,0)</x:f>
        <x:v>1</x:v>
      </x:c>
    </x:row>
    <x:row r="26" s="135" customFormat="1" ht="15" customHeight="1">
      <x:c r="A26" s="217" t="n"/>
      <x:c r="B26" s="217" t="n"/>
      <x:c r="C26" s="217" t="n"/>
      <x:c r="D26" s="217" t="n"/>
      <x:c r="E26" s="217" t="n"/>
      <x:c r="F26" s="217" t="n"/>
      <x:c r="G26" s="217" t="n"/>
      <x:c r="H26" s="217" t="n"/>
      <x:c r="I26" s="217" t="n"/>
      <x:c r="J26" s="217" t="n"/>
      <x:c r="K26" s="217" t="n"/>
      <x:c r="L26" s="217" t="n"/>
      <x:c r="M26" s="217" t="n"/>
    </x:row>
    <x:row r="27" s="135" customFormat="1" ht="15" customHeight="1">
      <x:c r="A27" s="217" t="n"/>
      <x:c r="B27" s="217" t="n"/>
      <x:c r="C27" s="217" t="n"/>
      <x:c r="D27" s="217" t="n"/>
      <x:c r="E27" s="217" t="n"/>
      <x:c r="F27" s="217" t="n"/>
      <x:c r="G27" s="217" t="n"/>
      <x:c r="H27" s="217" t="n"/>
      <x:c r="I27" s="217" t="n"/>
      <x:c r="J27" s="217" t="n"/>
      <x:c r="K27" s="217" t="n"/>
      <x:c r="L27" s="217" t="n"/>
      <x:c r="M27" s="217" t="n"/>
    </x:row>
    <x:row r="28" s="135" customFormat="1" ht="15" customHeight="1">
      <x:c r="A28" s="217" t="n"/>
      <x:c r="B28" s="217" t="n"/>
      <x:c r="C28" s="217" t="n"/>
      <x:c r="D28" s="217" t="n"/>
      <x:c r="E28" s="217" t="n"/>
      <x:c r="F28" s="217" t="n"/>
      <x:c r="G28" s="217" t="n"/>
      <x:c r="H28" s="217" t="n"/>
      <x:c r="I28" s="217" t="n"/>
      <x:c r="J28" s="217" t="n"/>
      <x:c r="K28" s="217" t="n"/>
      <x:c r="L28" s="217" t="n"/>
      <x:c r="M28" s="217" t="n"/>
    </x:row>
  </x:sheetData>
  <x:dataValidations count="1">
    <x:dataValidation type="list" errorStyle="stop" operator="between" allowBlank="0" showDropDown="0" showInputMessage="0" showErrorMessage="0" sqref="H25">
      <x:formula1>_Lists!$A$1:$A$7</x:formula1>
      <x:formula2>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65fc75f3a3734d41"/>
  </x:tableParts>
</x:worksheet>
</file>

<file path=xl/worksheets/sheet110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baseColWidth="8" defaultColWidth="8.6796875" defaultRowHeight="15"/>
  <x:cols>
    <x:col min="1" max="1" width="11.5" style="138" customWidth="1"/>
    <x:col min="2" max="2" width="14.510000228881836" style="138" customWidth="1"/>
    <x:col min="3" max="3" width="14" style="138" customWidth="1"/>
    <x:col min="4" max="4" width="49.5099983215332" style="138" customWidth="1"/>
    <x:col min="5" max="5" width="12" style="138" customWidth="1"/>
    <x:col min="6" max="6" width="13" style="138" customWidth="1"/>
    <x:col min="7" max="7" width="43.75" style="138" customWidth="1"/>
    <x:col min="8" max="8" width="15.75" style="138" customWidth="1"/>
    <x:col min="9" max="9" width="14.75" style="138" customWidth="1"/>
    <x:col min="10" max="10" width="13.5" style="138" customWidth="1"/>
    <x:col min="11" max="11" width="45" style="138" customWidth="1"/>
    <x:col min="12" max="12" width="9.510000228881836" style="138" customWidth="1"/>
    <x:col min="13" max="13" width="10.25" style="138" customWidth="1"/>
  </x:cols>
  <x:sheetData>
    <x:row r="1" s="135" customFormat="1" ht="33.75" customHeight="1">
      <x:c r="A1" s="218" t="inlineStr">
        <x:is>
          <x:t xml:space="preserve">Steps Evidence</x:t>
        </x:is>
      </x:c>
    </x:row>
    <x:row r="2" s="135" customFormat="1" ht="30" customHeight="1">
      <x:c r="A2" s="219" t="inlineStr">
        <x:is>
          <x:t xml:space="preserve">Ordered workflow behavior, marker recipes, localization, accessibility, and public package evidence.</x:t>
        </x:is>
      </x:c>
    </x:row>
    <x:row r="3" s="135" customFormat="1" ht="15" customHeight="1">
      <x:c r="A3" s="220" t="n"/>
      <x:c r="B3" s="220" t="n"/>
      <x:c r="C3" s="220" t="n"/>
      <x:c r="D3" s="220" t="n"/>
      <x:c r="E3" s="220" t="n"/>
      <x:c r="F3" s="220" t="n"/>
      <x:c r="G3" s="220" t="n"/>
      <x:c r="H3" s="220" t="n"/>
      <x:c r="I3" s="220" t="n"/>
      <x:c r="J3" s="220" t="n"/>
      <x:c r="K3" s="220" t="n"/>
      <x:c r="L3" s="220" t="n"/>
      <x:c r="M3" s="220" t="n"/>
    </x:row>
    <x:row r="4" s="135" customFormat="1" ht="15" customHeight="1">
      <x:c r="A4" s="220" t="inlineStr">
        <x:is>
          <x:t xml:space="preserve">Requirements</x:t>
        </x:is>
      </x:c>
      <x:c r="B4" s="220" t="n">
        <x:f>COUNTA(A9:A25)</x:f>
        <x:v>17</x:v>
      </x:c>
      <x:c r="C4" s="220" t="n"/>
      <x:c r="D4" s="220" t="inlineStr">
        <x:is>
          <x:t xml:space="preserve">Resolved</x:t>
        </x:is>
      </x:c>
      <x:c r="E4" s="220" t="n">
        <x:f>SUM(M9:M25)</x:f>
        <x:v>12</x:v>
      </x:c>
      <x:c r="F4" s="220" t="n"/>
      <x:c r="G4" s="220" t="inlineStr">
        <x:is>
          <x:t xml:space="preserve">Completion</x:t>
        </x:is>
      </x:c>
      <x:c r="H4" s="220" t="n">
        <x:f>IF(B4=0,0,E4/B4)</x:f>
        <x:v>0.7058823529411765</x:v>
      </x:c>
      <x:c r="I4" s="220" t="n"/>
      <x:c r="J4" s="220" t="inlineStr">
        <x:is>
          <x:t xml:space="preserve">Package gate</x:t>
        </x:is>
      </x:c>
      <x:c r="K4" s="220" t="str">
        <x:f>IF(COUNTIFS(E9:E24,"package",M9:M24,0)&gt;0,"open","complete")</x:f>
        <x:v>open</x:v>
      </x:c>
      <x:c r="L4" s="220" t="n"/>
      <x:c r="M4" s="220" t="n"/>
    </x:row>
    <x:row r="5" s="135" customFormat="1" ht="15" customHeight="1">
      <x:c r="A5" s="220" t="inlineStr">
        <x:is>
          <x:t xml:space="preserve">Manual review</x:t>
        </x:is>
      </x:c>
      <x:c r="B5" s="220" t="str">
        <x:f>IF(COUNTIFS(I9:I24,"yes",M9:M24,0)&gt;0,"open","complete")</x:f>
        <x:v>open</x:v>
      </x:c>
      <x:c r="C5" s="220" t="n"/>
      <x:c r="D5" s="220" t="inlineStr">
        <x:is>
          <x:t xml:space="preserve">Consumer gate</x:t>
        </x:is>
      </x:c>
      <x:c r="E5" s="220" t="inlineStr">
        <x:is>
          <x:t xml:space="preserve">complete</x:t>
        </x:is>
      </x:c>
      <x:c r="F5" s="220" t="n"/>
      <x:c r="G5" s="220" t="n"/>
      <x:c r="H5" s="220" t="n"/>
      <x:c r="I5" s="220" t="n"/>
      <x:c r="J5" s="220" t="n"/>
      <x:c r="K5" s="220" t="n"/>
      <x:c r="L5" s="220" t="n"/>
      <x:c r="M5" s="220" t="n"/>
    </x:row>
    <x:row r="6" s="135" customFormat="1" ht="15" customHeight="1">
      <x:c r="A6" s="220" t="n"/>
      <x:c r="B6" s="220" t="n"/>
      <x:c r="C6" s="220" t="n"/>
      <x:c r="D6" s="220" t="n"/>
      <x:c r="E6" s="220" t="n"/>
      <x:c r="F6" s="220" t="n"/>
      <x:c r="G6" s="220" t="n"/>
      <x:c r="H6" s="220" t="n"/>
      <x:c r="I6" s="220" t="n"/>
      <x:c r="J6" s="220" t="n"/>
      <x:c r="K6" s="220" t="n"/>
      <x:c r="L6" s="220" t="n"/>
      <x:c r="M6" s="220" t="n"/>
    </x:row>
    <x:row r="7" s="135" customFormat="1" ht="15" customHeight="1">
      <x:c r="A7" s="220" t="n"/>
      <x:c r="B7" s="220" t="n"/>
      <x:c r="C7" s="220" t="n"/>
      <x:c r="D7" s="220" t="n"/>
      <x:c r="E7" s="220" t="n"/>
      <x:c r="F7" s="220" t="n"/>
      <x:c r="G7" s="220" t="n"/>
      <x:c r="H7" s="220" t="n"/>
      <x:c r="I7" s="220" t="n"/>
      <x:c r="J7" s="220" t="n"/>
      <x:c r="K7" s="220" t="n"/>
      <x:c r="L7" s="220" t="n"/>
      <x:c r="M7" s="220" t="n"/>
    </x:row>
    <x:row r="8" s="135" customFormat="1" ht="24" customHeight="1">
      <x:c r="A8" s="221" t="inlineStr">
        <x:is>
          <x:t xml:space="preserve">ID</x:t>
        </x:is>
      </x:c>
      <x:c r="B8" s="221" t="inlineStr">
        <x:is>
          <x:t xml:space="preserve">Area</x:t>
        </x:is>
      </x:c>
      <x:c r="C8" s="221" t="inlineStr">
        <x:is>
          <x:t xml:space="preserve">Part</x:t>
        </x:is>
      </x:c>
      <x:c r="D8" s="221" t="inlineStr">
        <x:is>
          <x:t xml:space="preserve">Requirement</x:t>
        </x:is>
      </x:c>
      <x:c r="E8" s="221" t="inlineStr">
        <x:is>
          <x:t xml:space="preserve">Gate</x:t>
        </x:is>
      </x:c>
      <x:c r="F8" s="221" t="inlineStr">
        <x:is>
          <x:t xml:space="preserve">Evidence type</x:t>
        </x:is>
      </x:c>
      <x:c r="G8" s="221" t="inlineStr">
        <x:is>
          <x:t xml:space="preserve">Evidence / link</x:t>
        </x:is>
      </x:c>
      <x:c r="H8" s="221" t="inlineStr">
        <x:is>
          <x:t xml:space="preserve">Status</x:t>
        </x:is>
      </x:c>
      <x:c r="I8" s="221" t="inlineStr">
        <x:is>
          <x:t xml:space="preserve">Human review?</x:t>
        </x:is>
      </x:c>
      <x:c r="J8" s="221" t="inlineStr">
        <x:is>
          <x:t xml:space="preserve">Last verified</x:t>
        </x:is>
      </x:c>
      <x:c r="K8" s="221" t="inlineStr">
        <x:is>
          <x:t xml:space="preserve">Blocker / N/A reason</x:t>
        </x:is>
      </x:c>
      <x:c r="L8" s="221" t="inlineStr">
        <x:is>
          <x:t xml:space="preserve">Weight</x:t>
        </x:is>
      </x:c>
      <x:c r="M8" s="221" t="inlineStr">
        <x:is>
          <x:t xml:space="preserve">Resolved</x:t>
        </x:is>
      </x:c>
    </x:row>
    <x:row r="9" s="135" customFormat="1" ht="48" customHeight="1">
      <x:c r="A9" s="222" t="inlineStr">
        <x:is>
          <x:t xml:space="preserve">ST-01</x:t>
        </x:is>
      </x:c>
      <x:c r="B9" s="222" t="inlineStr">
        <x:is>
          <x:t xml:space="preserve">Implementation</x:t>
        </x:is>
      </x:c>
      <x:c r="C9" s="222" t="inlineStr">
        <x:is>
          <x:t xml:space="preserve">Root</x:t>
        </x:is>
      </x:c>
      <x:c r="D9" s="222" t="inlineStr">
        <x:is>
          <x:t xml:space="preserve">Root and RootProvider delegate workflow state and optional navigation to Atom.</x:t>
        </x:is>
      </x:c>
      <x:c r="E9" s="222" t="inlineStr">
        <x:is>
          <x:t xml:space="preserve">package</x:t>
        </x:is>
      </x:c>
      <x:c r="F9" s="222" t="inlineStr">
        <x:is>
          <x:t xml:space="preserve">source</x:t>
        </x:is>
      </x:c>
      <x:c r="G9" s="222" t="inlineStr">
        <x:is>
          <x:t xml:space="preserve">../src/components/steps/Steps.tsx</x:t>
        </x:is>
      </x:c>
      <x:c r="H9" s="222" t="inlineStr">
        <x:is>
          <x:t xml:space="preserve">tested</x:t>
        </x:is>
      </x:c>
      <x:c r="I9" s="222" t="inlineStr">
        <x:is>
          <x:t xml:space="preserve">no</x:t>
        </x:is>
      </x:c>
      <x:c r="J9" s="222" t="n"/>
      <x:c r="K9" s="222" t="inlineStr">
        <x:is>
          <x:t xml:space="preserve">Steps unit/type checks passed; local Atom candidate remains unpublished.</x:t>
        </x:is>
      </x:c>
      <x:c r="L9" s="222" t="n">
        <x:v>1</x:v>
      </x:c>
      <x:c r="M9" s="222" t="n">
        <x:f>IF(H9="not applicable",1,IF(I9="yes",IF(H9="verified",1,0),IF(OR(H9="tested",H9="verified"),1,0)))</x:f>
        <x:v>1</x:v>
      </x:c>
    </x:row>
    <x:row r="10" s="135" customFormat="1" ht="48" customHeight="1">
      <x:c r="A10" s="222" t="inlineStr">
        <x:is>
          <x:t xml:space="preserve">ST-02</x:t>
        </x:is>
      </x:c>
      <x:c r="B10" s="222" t="inlineStr">
        <x:is>
          <x:t xml:space="preserve">Exports</x:t>
        </x:is>
      </x:c>
      <x:c r="C10" s="222" t="inlineStr">
        <x:is>
          <x:t xml:space="preserve">Public surface</x:t>
        </x:is>
      </x:c>
      <x:c r="D10" s="222" t="inlineStr">
        <x:is>
          <x:t xml:space="preserve">Root and subpath expose the Steps namespace and parts.</x:t>
        </x:is>
      </x:c>
      <x:c r="E10" s="222" t="inlineStr">
        <x:is>
          <x:t xml:space="preserve">package</x:t>
        </x:is>
      </x:c>
      <x:c r="F10" s="222" t="inlineStr">
        <x:is>
          <x:t xml:space="preserve">package</x:t>
        </x:is>
      </x:c>
      <x:c r="G10" s="222" t="inlineStr">
        <x:is>
          <x:t xml:space="preserve">../test/package/package.test.mjs</x:t>
        </x:is>
      </x:c>
      <x:c r="H10" s="222" t="inlineStr">
        <x:is>
          <x:t xml:space="preserve">tested</x:t>
        </x:is>
      </x:c>
      <x:c r="I10" s="222" t="inlineStr">
        <x:is>
          <x:t xml:space="preserve">no</x:t>
        </x:is>
      </x:c>
      <x:c r="J10" s="222" t="n"/>
      <x:c r="K10" s="222" t="n"/>
      <x:c r="L10" s="222" t="n">
        <x:v>1</x:v>
      </x:c>
      <x:c r="M10" s="222" t="n">
        <x:f>IF(H10="not applicable",1,IF(I10="yes",IF(H10="verified",1,0),IF(OR(H10="tested",H10="verified"),1,0)))</x:f>
        <x:v>1</x:v>
      </x:c>
    </x:row>
    <x:row r="11" s="135" customFormat="1" ht="48" customHeight="1">
      <x:c r="A11" s="222" t="inlineStr">
        <x:is>
          <x:t xml:space="preserve">ST-03</x:t>
        </x:is>
      </x:c>
      <x:c r="B11" s="222" t="inlineStr">
        <x:is>
          <x:t xml:space="preserve">Types</x:t>
        </x:is>
      </x:c>
      <x:c r="C11" s="222" t="inlineStr">
        <x:is>
          <x:t xml:space="preserve">Root and parts</x:t>
        </x:is>
      </x:c>
      <x:c r="D11" s="222" t="inlineStr">
        <x:is>
          <x:t xml:space="preserve">Responsive recipes, Radius, controller and status helpers are typed.</x:t>
        </x:is>
      </x:c>
      <x:c r="E11" s="222" t="inlineStr">
        <x:is>
          <x:t xml:space="preserve">package</x:t>
        </x:is>
      </x:c>
      <x:c r="F11" s="222" t="inlineStr">
        <x:is>
          <x:t xml:space="preserve">types</x:t>
        </x:is>
      </x:c>
      <x:c r="G11" s="222" t="inlineStr">
        <x:is>
          <x:t xml:space="preserve">../test/types/components/steps.test.ts</x:t>
        </x:is>
      </x:c>
      <x:c r="H11" s="222" t="inlineStr">
        <x:is>
          <x:t xml:space="preserve">tested</x:t>
        </x:is>
      </x:c>
      <x:c r="I11" s="222" t="inlineStr">
        <x:is>
          <x:t xml:space="preserve">no</x:t>
        </x:is>
      </x:c>
      <x:c r="J11" s="222" t="n"/>
      <x:c r="K11" s="222" t="n"/>
      <x:c r="L11" s="222" t="n">
        <x:v>1</x:v>
      </x:c>
      <x:c r="M11" s="222" t="n">
        <x:f>IF(H11="not applicable",1,IF(I11="yes",IF(H11="verified",1,0),IF(OR(H11="tested",H11="verified"),1,0)))</x:f>
        <x:v>1</x:v>
      </x:c>
    </x:row>
    <x:row r="12" s="135" customFormat="1" ht="48" customHeight="1">
      <x:c r="A12" s="222" t="inlineStr">
        <x:is>
          <x:t xml:space="preserve">ST-04</x:t>
        </x:is>
      </x:c>
      <x:c r="B12" s="222" t="inlineStr">
        <x:is>
          <x:t xml:space="preserve">CSS</x:t>
        </x:is>
      </x:c>
      <x:c r="C12" s="222" t="inlineStr">
        <x:is>
          <x:t xml:space="preserve">Indicator</x:t>
        </x:is>
      </x:c>
      <x:c r="D12" s="222" t="inlineStr">
        <x:is>
          <x:t xml:space="preserve">Four marker sizes remain square with nonshrinking icons.</x:t>
        </x:is>
      </x:c>
      <x:c r="E12" s="222" t="inlineStr">
        <x:is>
          <x:t xml:space="preserve">package</x:t>
        </x:is>
      </x:c>
      <x:c r="F12" s="222" t="inlineStr">
        <x:is>
          <x:t xml:space="preserve">browser</x:t>
        </x:is>
      </x:c>
      <x:c r="G12" s="222" t="inlineStr">
        <x:is>
          <x:t xml:space="preserve">tests/components/steps/behavior.spec.ts</x:t>
        </x:is>
      </x:c>
      <x:c r="H12" s="222" t="inlineStr">
        <x:is>
          <x:t xml:space="preserve">tested</x:t>
        </x:is>
      </x:c>
      <x:c r="I12" s="222" t="inlineStr">
        <x:is>
          <x:t xml:space="preserve">no</x:t>
        </x:is>
      </x:c>
      <x:c r="J12" s="222" t="n"/>
      <x:c r="K12" s="222" t="n"/>
      <x:c r="L12" s="222" t="n">
        <x:v>1</x:v>
      </x:c>
      <x:c r="M12" s="222" t="n">
        <x:f>IF(H12="not applicable",1,IF(I12="yes",IF(H12="verified",1,0),IF(OR(H12="tested",H12="verified"),1,0)))</x:f>
        <x:v>1</x:v>
      </x:c>
    </x:row>
    <x:row r="13" s="135" customFormat="1" ht="48" customHeight="1">
      <x:c r="A13" s="222" t="inlineStr">
        <x:is>
          <x:t xml:space="preserve">ST-05</x:t>
        </x:is>
      </x:c>
      <x:c r="B13" s="222" t="inlineStr">
        <x:is>
          <x:t xml:space="preserve">Behavior</x:t>
        </x:is>
      </x:c>
      <x:c r="C13" s="222" t="inlineStr">
        <x:is>
          <x:t xml:space="preserve">Root</x:t>
        </x:is>
      </x:c>
      <x:c r="D13" s="222" t="inlineStr">
        <x:is>
          <x:t xml:space="preserve">Continue, Back, completion, and reset preserve retained form values.</x:t>
        </x:is>
      </x:c>
      <x:c r="E13" s="222" t="inlineStr">
        <x:is>
          <x:t xml:space="preserve">package</x:t>
        </x:is>
      </x:c>
      <x:c r="F13" s="222" t="inlineStr">
        <x:is>
          <x:t xml:space="preserve">browser</x:t>
        </x:is>
      </x:c>
      <x:c r="G13" s="222" t="inlineStr">
        <x:is>
          <x:t xml:space="preserve">tests/components/steps/behavior.spec.ts</x:t>
        </x:is>
      </x:c>
      <x:c r="H13" s="222" t="inlineStr">
        <x:is>
          <x:t xml:space="preserve">tested</x:t>
        </x:is>
      </x:c>
      <x:c r="I13" s="222" t="inlineStr">
        <x:is>
          <x:t xml:space="preserve">no</x:t>
        </x:is>
      </x:c>
      <x:c r="J13" s="222" t="n"/>
      <x:c r="K13" s="222" t="n"/>
      <x:c r="L13" s="222" t="n">
        <x:v>1</x:v>
      </x:c>
      <x:c r="M13" s="222" t="n">
        <x:f>IF(H13="not applicable",1,IF(I13="yes",IF(H13="verified",1,0),IF(OR(H13="tested",H13="verified"),1,0)))</x:f>
        <x:v>1</x:v>
      </x:c>
    </x:row>
    <x:row r="14" s="135" customFormat="1" ht="48" customHeight="1">
      <x:c r="A14" s="222" t="inlineStr">
        <x:is>
          <x:t xml:space="preserve">ST-06</x:t>
        </x:is>
      </x:c>
      <x:c r="B14" s="222" t="inlineStr">
        <x:is>
          <x:t xml:space="preserve">Behavior</x:t>
        </x:is>
      </x:c>
      <x:c r="C14" s="222" t="inlineStr">
        <x:is>
          <x:t xml:space="preserve">Root</x:t>
        </x:is>
      </x:c>
      <x:c r="D14" s="222" t="inlineStr">
        <x:is>
          <x:t xml:space="preserve">Forward validity and optional-stage bypass preserve direct selection.</x:t>
        </x:is>
      </x:c>
      <x:c r="E14" s="222" t="inlineStr">
        <x:is>
          <x:t xml:space="preserve">package</x:t>
        </x:is>
      </x:c>
      <x:c r="F14" s="222" t="inlineStr">
        <x:is>
          <x:t xml:space="preserve">browser</x:t>
        </x:is>
      </x:c>
      <x:c r="G14" s="222" t="inlineStr">
        <x:is>
          <x:t xml:space="preserve">tests/components/steps/behavior.spec.ts</x:t>
        </x:is>
      </x:c>
      <x:c r="H14" s="222" t="inlineStr">
        <x:is>
          <x:t xml:space="preserve">tested</x:t>
        </x:is>
      </x:c>
      <x:c r="I14" s="222" t="inlineStr">
        <x:is>
          <x:t xml:space="preserve">no</x:t>
        </x:is>
      </x:c>
      <x:c r="J14" s="222" t="n"/>
      <x:c r="K14" s="222" t="n"/>
      <x:c r="L14" s="222" t="n">
        <x:v>1</x:v>
      </x:c>
      <x:c r="M14" s="222" t="n">
        <x:f>IF(H14="not applicable",1,IF(I14="yes",IF(H14="verified",1,0),IF(OR(H14="tested",H14="verified"),1,0)))</x:f>
        <x:v>1</x:v>
      </x:c>
    </x:row>
    <x:row r="15" s="135" customFormat="1" ht="48" customHeight="1">
      <x:c r="A15" s="222" t="inlineStr">
        <x:is>
          <x:t xml:space="preserve">ST-07</x:t>
        </x:is>
      </x:c>
      <x:c r="B15" s="222" t="inlineStr">
        <x:is>
          <x:t xml:space="preserve">Accessibility</x:t>
        </x:is>
      </x:c>
      <x:c r="C15" s="222" t="inlineStr">
        <x:is>
          <x:t xml:space="preserve">List and Content</x:t>
        </x:is>
      </x:c>
      <x:c r="D15" s="222" t="inlineStr">
        <x:is>
          <x:t xml:space="preserve">Ordered list and named panels pass automated axe analysis.</x:t>
        </x:is>
      </x:c>
      <x:c r="E15" s="222" t="inlineStr">
        <x:is>
          <x:t xml:space="preserve">package</x:t>
        </x:is>
      </x:c>
      <x:c r="F15" s="222" t="inlineStr">
        <x:is>
          <x:t xml:space="preserve">browser</x:t>
        </x:is>
      </x:c>
      <x:c r="G15" s="222" t="inlineStr">
        <x:is>
          <x:t xml:space="preserve">tests/components/steps/behavior.spec.ts</x:t>
        </x:is>
      </x:c>
      <x:c r="H15" s="222" t="inlineStr">
        <x:is>
          <x:t xml:space="preserve">tested</x:t>
        </x:is>
      </x:c>
      <x:c r="I15" s="222" t="inlineStr">
        <x:is>
          <x:t xml:space="preserve">no</x:t>
        </x:is>
      </x:c>
      <x:c r="J15" s="222" t="n"/>
      <x:c r="K15" s="222" t="n"/>
      <x:c r="L15" s="222" t="n">
        <x:v>1</x:v>
      </x:c>
      <x:c r="M15" s="222" t="n">
        <x:f>IF(H15="not applicable",1,IF(I15="yes",IF(H15="verified",1,0),IF(OR(H15="tested",H15="verified"),1,0)))</x:f>
        <x:v>1</x:v>
      </x:c>
    </x:row>
    <x:row r="16" s="135" customFormat="1" ht="48" customHeight="1">
      <x:c r="A16" s="222" t="inlineStr">
        <x:is>
          <x:t xml:space="preserve">ST-08</x:t>
        </x:is>
      </x:c>
      <x:c r="B16" s="222" t="inlineStr">
        <x:is>
          <x:t xml:space="preserve">Visual</x:t>
        </x:is>
      </x:c>
      <x:c r="C16" s="222" t="inlineStr">
        <x:is>
          <x:t xml:space="preserve">Indicator and Separator</x:t>
        </x:is>
      </x:c>
      <x:c r="D16" s="222" t="inlineStr">
        <x:is>
          <x:t xml:space="preserve">Review light and dark recipe geometry and paint.</x:t>
        </x:is>
      </x:c>
      <x:c r="E16" s="222" t="inlineStr">
        <x:is>
          <x:t xml:space="preserve">package</x:t>
        </x:is>
      </x:c>
      <x:c r="F16" s="222" t="inlineStr">
        <x:is>
          <x:t xml:space="preserve">visual</x:t>
        </x:is>
      </x:c>
      <x:c r="G16" s="222" t="inlineStr">
        <x:is>
          <x:t xml:space="preserve">tests/components/steps/visual.spec.ts</x:t>
        </x:is>
      </x:c>
      <x:c r="H16" s="222" t="inlineStr">
        <x:is>
          <x:t xml:space="preserve">implemented</x:t>
        </x:is>
      </x:c>
      <x:c r="I16" s="222" t="inlineStr">
        <x:is>
          <x:t xml:space="preserve">yes</x:t>
        </x:is>
      </x:c>
      <x:c r="J16" s="222" t="n"/>
      <x:c r="K16" s="222" t="n"/>
      <x:c r="L16" s="222" t="n">
        <x:v>1</x:v>
      </x:c>
      <x:c r="M16" s="222" t="n">
        <x:f>IF(H16="not applicable",1,IF(I16="yes",IF(H16="verified",1,0),IF(OR(H16="tested",H16="verified"),1,0)))</x:f>
        <x:v>0</x:v>
      </x:c>
    </x:row>
    <x:row r="17" s="135" customFormat="1" ht="48" customHeight="1">
      <x:c r="A17" s="222" t="inlineStr">
        <x:is>
          <x:t xml:space="preserve">ST-09</x:t>
        </x:is>
      </x:c>
      <x:c r="B17" s="222" t="inlineStr">
        <x:is>
          <x:t xml:space="preserve">Visual</x:t>
        </x:is>
      </x:c>
      <x:c r="C17" s="222" t="inlineStr">
        <x:is>
          <x:t xml:space="preserve">Separator</x:t>
        </x:is>
      </x:c>
      <x:c r="D17" s="222" t="inlineStr">
        <x:is>
          <x:t xml:space="preserve">Vertical RTL connectors remain visible and terminal connector is hidden.</x:t>
        </x:is>
      </x:c>
      <x:c r="E17" s="222" t="inlineStr">
        <x:is>
          <x:t xml:space="preserve">package</x:t>
        </x:is>
      </x:c>
      <x:c r="F17" s="222" t="inlineStr">
        <x:is>
          <x:t xml:space="preserve">visual</x:t>
        </x:is>
      </x:c>
      <x:c r="G17" s="222" t="inlineStr">
        <x:is>
          <x:t xml:space="preserve">tests/components/steps/visual.spec.ts</x:t>
        </x:is>
      </x:c>
      <x:c r="H17" s="222" t="inlineStr">
        <x:is>
          <x:t xml:space="preserve">implemented</x:t>
        </x:is>
      </x:c>
      <x:c r="I17" s="222" t="inlineStr">
        <x:is>
          <x:t xml:space="preserve">yes</x:t>
        </x:is>
      </x:c>
      <x:c r="J17" s="222" t="n"/>
      <x:c r="K17" s="222" t="n"/>
      <x:c r="L17" s="222" t="n">
        <x:v>1</x:v>
      </x:c>
      <x:c r="M17" s="222" t="n">
        <x:f>IF(H17="not applicable",1,IF(I17="yes",IF(H17="verified",1,0),IF(OR(H17="tested",H17="verified"),1,0)))</x:f>
        <x:v>0</x:v>
      </x:c>
    </x:row>
    <x:row r="18" s="135" customFormat="1" ht="48" customHeight="1">
      <x:c r="A18" s="222" t="inlineStr">
        <x:is>
          <x:t xml:space="preserve">ST-10</x:t>
        </x:is>
      </x:c>
      <x:c r="B18" s="222" t="inlineStr">
        <x:is>
          <x:t xml:space="preserve">Responsive</x:t>
        </x:is>
      </x:c>
      <x:c r="C18" s="222" t="inlineStr">
        <x:is>
          <x:t xml:space="preserve">Root</x:t>
        </x:is>
      </x:c>
      <x:c r="D18" s="222" t="inlineStr">
        <x:is>
          <x:t xml:space="preserve">Responsive marker sizes and variant resets preserve geometry.</x:t>
        </x:is>
      </x:c>
      <x:c r="E18" s="222" t="inlineStr">
        <x:is>
          <x:t xml:space="preserve">package</x:t>
        </x:is>
      </x:c>
      <x:c r="F18" s="222" t="inlineStr">
        <x:is>
          <x:t xml:space="preserve">browser</x:t>
        </x:is>
      </x:c>
      <x:c r="G18" s="222" t="inlineStr">
        <x:is>
          <x:t xml:space="preserve">tests/components/steps/behavior.spec.ts</x:t>
        </x:is>
      </x:c>
      <x:c r="H18" s="222" t="inlineStr">
        <x:is>
          <x:t xml:space="preserve">tested</x:t>
        </x:is>
      </x:c>
      <x:c r="I18" s="222" t="inlineStr">
        <x:is>
          <x:t xml:space="preserve">no</x:t>
        </x:is>
      </x:c>
      <x:c r="J18" s="222" t="n"/>
      <x:c r="K18" s="222" t="n"/>
      <x:c r="L18" s="222" t="n">
        <x:v>1</x:v>
      </x:c>
      <x:c r="M18" s="222" t="n">
        <x:f>IF(H18="not applicable",1,IF(I18="yes",IF(H18="verified",1,0),IF(OR(H18="tested",H18="verified"),1,0)))</x:f>
        <x:v>1</x:v>
      </x:c>
    </x:row>
    <x:row r="19" s="135" customFormat="1" ht="48" customHeight="1">
      <x:c r="A19" s="222" t="inlineStr">
        <x:is>
          <x:t xml:space="preserve">ST-11</x:t>
        </x:is>
      </x:c>
      <x:c r="B19" s="222" t="inlineStr">
        <x:is>
          <x:t xml:space="preserve">Documentation</x:t>
        </x:is>
      </x:c>
      <x:c r="C19" s="222" t="inlineStr">
        <x:is>
          <x:t xml:space="preserve">Public API</x:t>
        </x:is>
      </x:c>
      <x:c r="D19" s="222" t="inlineStr">
        <x:is>
          <x:t xml:space="preserve">Guide and changelog describe ownership, defaults, and limitations.</x:t>
        </x:is>
      </x:c>
      <x:c r="E19" s="222" t="inlineStr">
        <x:is>
          <x:t xml:space="preserve">package</x:t>
        </x:is>
      </x:c>
      <x:c r="F19" s="222" t="inlineStr">
        <x:is>
          <x:t xml:space="preserve">docs</x:t>
        </x:is>
      </x:c>
      <x:c r="G19" s="222" t="inlineStr">
        <x:is>
          <x:t xml:space="preserve">../docs/components/steps/README.md</x:t>
        </x:is>
      </x:c>
      <x:c r="H19" s="222" t="inlineStr">
        <x:is>
          <x:t xml:space="preserve">tested</x:t>
        </x:is>
      </x:c>
      <x:c r="I19" s="222" t="inlineStr">
        <x:is>
          <x:t xml:space="preserve">no</x:t>
        </x:is>
      </x:c>
      <x:c r="J19" s="222" t="n"/>
      <x:c r="K19" s="222" t="n"/>
      <x:c r="L19" s="222" t="n">
        <x:v>1</x:v>
      </x:c>
      <x:c r="M19" s="222" t="n">
        <x:f>IF(H19="not applicable",1,IF(I19="yes",IF(H19="verified",1,0),IF(OR(H19="tested",H19="verified"),1,0)))</x:f>
        <x:v>1</x:v>
      </x:c>
    </x:row>
    <x:row r="20" s="135" customFormat="1" ht="48" customHeight="1">
      <x:c r="A20" s="222" t="inlineStr">
        <x:is>
          <x:t xml:space="preserve">ST-12</x:t>
        </x:is>
      </x:c>
      <x:c r="B20" s="222" t="inlineStr">
        <x:is>
          <x:t xml:space="preserve">Agent Knowledge</x:t>
        </x:is>
      </x:c>
      <x:c r="C20" s="222" t="inlineStr">
        <x:is>
          <x:t xml:space="preserve">Public API</x:t>
        </x:is>
      </x:c>
      <x:c r="D20" s="222" t="inlineStr">
        <x:is>
          <x:t xml:space="preserve">Every Steps public surface is indexed by canonical guidance.</x:t>
        </x:is>
      </x:c>
      <x:c r="E20" s="222" t="inlineStr">
        <x:is>
          <x:t xml:space="preserve">package</x:t>
        </x:is>
      </x:c>
      <x:c r="F20" s="222" t="inlineStr">
        <x:is>
          <x:t xml:space="preserve">package</x:t>
        </x:is>
      </x:c>
      <x:c r="G20" s="222" t="inlineStr">
        <x:is>
          <x:t xml:space="preserve">../src/components/steps/agent.json</x:t>
        </x:is>
      </x:c>
      <x:c r="H20" s="222" t="inlineStr">
        <x:is>
          <x:t xml:space="preserve">tested</x:t>
        </x:is>
      </x:c>
      <x:c r="I20" s="222" t="inlineStr">
        <x:is>
          <x:t xml:space="preserve">no</x:t>
        </x:is>
      </x:c>
      <x:c r="J20" s="222" t="n"/>
      <x:c r="K20" s="222" t="n"/>
      <x:c r="L20" s="222" t="n">
        <x:v>1</x:v>
      </x:c>
      <x:c r="M20" s="222" t="n">
        <x:f>IF(H20="not applicable",1,IF(I20="yes",IF(H20="verified",1,0),IF(OR(H20="tested",H20="verified"),1,0)))</x:f>
        <x:v>1</x:v>
      </x:c>
    </x:row>
    <x:row r="21" s="135" customFormat="1" ht="48" customHeight="1">
      <x:c r="A21" s="222" t="inlineStr">
        <x:is>
          <x:t xml:space="preserve">ST-13</x:t>
        </x:is>
      </x:c>
      <x:c r="B21" s="222" t="inlineStr">
        <x:is>
          <x:t xml:space="preserve">Manual</x:t>
        </x:is>
      </x:c>
      <x:c r="C21" s="222" t="inlineStr">
        <x:is>
          <x:t xml:space="preserve">Workflow</x:t>
        </x:is>
      </x:c>
      <x:c r="D21" s="222" t="inlineStr">
        <x:is>
          <x:t xml:space="preserve">Screen reader announces current stage and named active content.</x:t>
        </x:is>
      </x:c>
      <x:c r="E21" s="222" t="inlineStr">
        <x:is>
          <x:t xml:space="preserve">package</x:t>
        </x:is>
      </x:c>
      <x:c r="F21" s="222" t="inlineStr">
        <x:is>
          <x:t xml:space="preserve">manual</x:t>
        </x:is>
      </x:c>
      <x:c r="G21" s="222" t="inlineStr">
        <x:is>
          <x:t xml:space="preserve">manual-tests/steps.md</x:t>
        </x:is>
      </x:c>
      <x:c r="H21" s="222" t="inlineStr">
        <x:is>
          <x:t xml:space="preserve">not started</x:t>
        </x:is>
      </x:c>
      <x:c r="I21" s="222" t="inlineStr">
        <x:is>
          <x:t xml:space="preserve">yes</x:t>
        </x:is>
      </x:c>
      <x:c r="J21" s="222" t="n"/>
      <x:c r="K21" s="222" t="n"/>
      <x:c r="L21" s="222" t="n">
        <x:v>1</x:v>
      </x:c>
      <x:c r="M21" s="222" t="n">
        <x:f>IF(H21="not applicable",1,IF(I21="yes",IF(H21="verified",1,0),IF(OR(H21="tested",H21="verified"),1,0)))</x:f>
        <x:v>0</x:v>
      </x:c>
    </x:row>
    <x:row r="22" s="135" customFormat="1" ht="48" customHeight="1">
      <x:c r="A22" s="222" t="inlineStr">
        <x:is>
          <x:t xml:space="preserve">ST-14</x:t>
        </x:is>
      </x:c>
      <x:c r="B22" s="222" t="inlineStr">
        <x:is>
          <x:t xml:space="preserve">Manual</x:t>
        </x:is>
      </x:c>
      <x:c r="C22" s="222" t="inlineStr">
        <x:is>
          <x:t xml:space="preserve">Workflow</x:t>
        </x:is>
      </x:c>
      <x:c r="D22" s="222" t="inlineStr">
        <x:is>
          <x:t xml:space="preserve">Physical touch and 200%/400% zoom remain operable.</x:t>
        </x:is>
      </x:c>
      <x:c r="E22" s="222" t="inlineStr">
        <x:is>
          <x:t xml:space="preserve">package</x:t>
        </x:is>
      </x:c>
      <x:c r="F22" s="222" t="inlineStr">
        <x:is>
          <x:t xml:space="preserve">manual</x:t>
        </x:is>
      </x:c>
      <x:c r="G22" s="222" t="inlineStr">
        <x:is>
          <x:t xml:space="preserve">manual-tests/steps.md</x:t>
        </x:is>
      </x:c>
      <x:c r="H22" s="222" t="inlineStr">
        <x:is>
          <x:t xml:space="preserve">not started</x:t>
        </x:is>
      </x:c>
      <x:c r="I22" s="222" t="inlineStr">
        <x:is>
          <x:t xml:space="preserve">yes</x:t>
        </x:is>
      </x:c>
      <x:c r="J22" s="222" t="n"/>
      <x:c r="K22" s="222" t="n"/>
      <x:c r="L22" s="222" t="n">
        <x:v>1</x:v>
      </x:c>
      <x:c r="M22" s="222" t="n">
        <x:f>IF(H22="not applicable",1,IF(I22="yes",IF(H22="verified",1,0),IF(OR(H22="tested",H22="verified"),1,0)))</x:f>
        <x:v>0</x:v>
      </x:c>
    </x:row>
    <x:row r="23" s="135" customFormat="1" ht="48" customHeight="1">
      <x:c r="A23" s="222" t="inlineStr">
        <x:is>
          <x:t xml:space="preserve">ST-15</x:t>
        </x:is>
      </x:c>
      <x:c r="B23" s="222" t="inlineStr">
        <x:is>
          <x:t xml:space="preserve">Consumer</x:t>
        </x:is>
      </x:c>
      <x:c r="C23" s="222" t="inlineStr">
        <x:is>
          <x:t xml:space="preserve">Public package</x:t>
        </x:is>
      </x:c>
      <x:c r="D23" s="222" t="inlineStr">
        <x:is>
          <x:t xml:space="preserve">Packed clean React 18 and React 19 consumers resolve Atom and Brick Steps.</x:t>
        </x:is>
      </x:c>
      <x:c r="E23" s="222" t="inlineStr">
        <x:is>
          <x:t xml:space="preserve">package</x:t>
        </x:is>
      </x:c>
      <x:c r="F23" s="222" t="inlineStr">
        <x:is>
          <x:t xml:space="preserve">consumer</x:t>
        </x:is>
      </x:c>
      <x:c r="G23" s="222" t="inlineStr">
        <x:is>
          <x:t xml:space="preserve">../scripts/verify-consumers.mjs</x:t>
        </x:is>
      </x:c>
      <x:c r="H23" s="222" t="inlineStr">
        <x:is>
          <x:t xml:space="preserve">tested</x:t>
        </x:is>
      </x:c>
      <x:c r="I23" s="222" t="inlineStr">
        <x:is>
          <x:t xml:space="preserve">no</x:t>
        </x:is>
      </x:c>
      <x:c r="J23" s="222" t="n"/>
      <x:c r="K23" s="222" t="n"/>
      <x:c r="L23" s="222" t="n">
        <x:v>1</x:v>
      </x:c>
      <x:c r="M23" s="222" t="n">
        <x:f>IF(H23="not applicable",1,IF(I23="yes",IF(H23="verified",1,0),IF(OR(H23="tested",H23="verified"),1,0)))</x:f>
        <x:v>1</x:v>
      </x:c>
    </x:row>
    <x:row r="24" s="135" customFormat="1" ht="48" customHeight="1">
      <x:c r="A24" s="223" t="inlineStr">
        <x:is>
          <x:t xml:space="preserve">ST-16</x:t>
        </x:is>
      </x:c>
      <x:c r="B24" s="223" t="inlineStr">
        <x:is>
          <x:t xml:space="preserve">Release</x:t>
        </x:is>
      </x:c>
      <x:c r="C24" s="223" t="inlineStr">
        <x:is>
          <x:t xml:space="preserve">Dependency</x:t>
        </x:is>
      </x:c>
      <x:c r="D24" s="223" t="inlineStr">
        <x:is>
          <x:t xml:space="preserve">Local Atom candidate is qualified; production publication remains blocked pending a released Atom dependency.</x:t>
        </x:is>
      </x:c>
      <x:c r="E24" s="223" t="inlineStr">
        <x:is>
          <x:t xml:space="preserve">package</x:t>
        </x:is>
      </x:c>
      <x:c r="F24" s="223" t="inlineStr">
        <x:is>
          <x:t xml:space="preserve">package</x:t>
        </x:is>
      </x:c>
      <x:c r="G24" s="223" t="inlineStr">
        <x:is>
          <x:t xml:space="preserve">../docs/components/steps/README.md</x:t>
        </x:is>
      </x:c>
      <x:c r="H24" s="223" t="inlineStr">
        <x:is>
          <x:t xml:space="preserve">blocked</x:t>
        </x:is>
      </x:c>
      <x:c r="I24" s="223" t="inlineStr">
        <x:is>
          <x:t xml:space="preserve">no</x:t>
        </x:is>
      </x:c>
      <x:c r="J24" s="223" t="n"/>
      <x:c r="K24" s="223" t="inlineStr">
        <x:is>
          <x:t xml:space="preserve">Local candidate only; no release authorized.</x:t>
        </x:is>
      </x:c>
      <x:c r="L24" s="223" t="n">
        <x:v>1</x:v>
      </x:c>
      <x:c r="M24" s="223" t="n">
        <x:f>IF(H24="not applicable",1,IF(I24="yes",IF(H24="verified",1,0),IF(OR(H24="tested",H24="verified"),1,0)))</x:f>
        <x:v>0</x:v>
      </x:c>
    </x:row>
    <x:row r="25" s="135" customFormat="1" ht="63.75" customHeight="1">
      <x:c r="A25" s="148" t="inlineStr">
        <x:is>
          <x:t xml:space="preserve">steps-inventory</x:t>
        </x:is>
      </x:c>
      <x:c r="B25" s="148" t="inlineStr">
        <x:is>
          <x:t xml:space="preserve">Playground</x:t>
        </x:is>
      </x:c>
      <x:c r="C25" s="148" t="inlineStr">
        <x:is>
          <x:t xml:space="preserve">Steps</x:t>
        </x:is>
      </x:c>
      <x:c r="D25" s="148" t="inlineStr">
        <x:is>
          <x:t xml:space="preserve">Every declared scenario renders in order at 390px and 1280px without page overflow or runtime exceptions.</x:t>
        </x:is>
      </x:c>
      <x:c r="E25" s="148" t="inlineStr">
        <x:is>
          <x:t xml:space="preserve">component</x:t>
        </x:is>
      </x:c>
      <x:c r="F25" s="148" t="inlineStr">
        <x:is>
          <x:t xml:space="preserve">browser</x:t>
        </x:is>
      </x:c>
      <x:c r="G25" s="148" t="inlineStr">
        <x:is>
          <x:t xml:space="preserve">playground/tests/integration/recent-component-capabilities.spec.ts</x:t>
        </x:is>
      </x:c>
      <x:c r="H25" s="148" t="inlineStr">
        <x:is>
          <x:t xml:space="preserve">tested</x:t>
        </x:is>
      </x:c>
      <x:c r="I25" s="148" t="inlineStr">
        <x:is>
          <x:t xml:space="preserve">no</x:t>
        </x:is>
      </x:c>
      <x:c r="J25" s="148" t="inlineStr">
        <x:is>
          <x:t xml:space="preserve">2026-09-05</x:t>
        </x:is>
      </x:c>
      <x:c r="K25" s="148" t="inlineStr">
        <x:is>
          <x:t xml:space="preserve">This assertion does not establish full behavioral or manual qualification.</x:t>
        </x:is>
      </x:c>
      <x:c r="L25" s="148" t="n">
        <x:v>1</x:v>
      </x:c>
      <x:c r="M25" s="148" t="n">
        <x:f>IF(OR(H25="tested",H25="verified"),1,0)</x:f>
        <x:v>1</x:v>
      </x:c>
    </x:row>
  </x:sheetData>
  <x:mergeCells>
    <x:mergeCell ref="A2:M2"/>
    <x:mergeCell ref="A1:M1"/>
  </x:mergeCells>
  <x:conditionalFormatting sqref="H9:H24">
    <x:cfRule type="containsText" dxfId="18" priority="2" aboveAverage="0" percent="0" bottom="0" operator="containsText" text="blocked" rank="0" equalAverage="0">
      <x:formula>NOT(ISERROR(SEARCH("blocked",H9)))</x:formula>
    </x:cfRule>
    <x:cfRule type="containsText" dxfId="19" priority="3" aboveAverage="0" percent="0" bottom="0" operator="containsText" text="tested" rank="0" equalAverage="0">
      <x:formula>NOT(ISERROR(SEARCH("tested",H9)))</x:formula>
    </x:cfRule>
    <x:cfRule type="containsText" dxfId="20" priority="4" aboveAverage="0" percent="0" bottom="0" operator="containsText" text="not started" rank="0" equalAverage="0">
      <x:formula>NOT(ISERROR(SEARCH("not started",H9)))</x:formula>
    </x:cfRule>
  </x:conditionalFormatting>
  <x:dataValidations count="2">
    <x:dataValidation type="list" errorStyle="stop" operator="between" allowBlank="0" showDropDown="0" showInputMessage="0" showErrorMessage="0" sqref="H9:H24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H25">
      <x:formula1>_Lists!$A$1:$A$7</x:formula1>
      <x:formula2>0</x:formula2>
    </x:dataValidation>
  </x:dataValidations>
  <x:pageMargins left="0.7" right="0.7" top="0.75" bottom="0.75" header="0.3" footer="0.3"/>
</x:worksheet>
</file>

<file path=xl/worksheets/sheet111.xml><?xml version="1.0" encoding="utf-8"?>
<x:worksheet xmlns:x="http://schemas.openxmlformats.org/spreadsheetml/2006/main">
  <x:sheetViews>
    <x:sheetView showGridLines="1" workbookViewId="0">
      <x:pane ySplit="8" topLeftCell="A9" activePane="bottomLeft" state="frozen"/>
    </x:sheetView>
  </x:sheetViews>
  <x:sheetFormatPr baseColWidth="8" defaultColWidth="8.6796875" defaultRowHeight="15"/>
  <x:cols>
    <x:col min="1" max="2" width="16" style="138" customWidth="1"/>
    <x:col min="3" max="3" width="25" style="138" customWidth="1"/>
    <x:col min="4" max="4" width="48" style="138" customWidth="1"/>
    <x:col min="5" max="6" width="16" style="138" customWidth="1"/>
    <x:col min="7" max="7" width="55" style="138" customWidth="1"/>
    <x:col min="8" max="13" width="16" style="138" customWidth="1"/>
  </x:cols>
  <x:sheetData>
    <x:row r="1" s="135" customFormat="1" ht="15" customHeight="1">
      <x:c r="A1" s="143" t="inlineStr">
        <x:is>
          <x:t xml:space="preserve">Splitter evidence</x:t>
        </x:is>
      </x:c>
    </x:row>
    <x:row r="2" s="135" customFormat="1" ht="15" customHeight="1">
      <x:c r="A2" s="143" t="inlineStr">
        <x:is>
          <x:t xml:space="preserve">Resizable panes: behavior, geometry, accessibility and public package evidence</x:t>
        </x:is>
      </x:c>
    </x:row>
    <x:row r="3" s="135" customFormat="1" ht="15" customHeight="1">
      <x:c r="A3" s="143" t="n"/>
      <x:c r="B3" s="143" t="n"/>
      <x:c r="C3" s="143" t="n"/>
      <x:c r="D3" s="143" t="n"/>
      <x:c r="E3" s="143" t="n"/>
      <x:c r="F3" s="143" t="n"/>
      <x:c r="G3" s="143" t="n"/>
      <x:c r="H3" s="143" t="n"/>
      <x:c r="I3" s="143" t="n"/>
      <x:c r="J3" s="143" t="n"/>
      <x:c r="K3" s="143" t="n"/>
      <x:c r="L3" s="143" t="n"/>
      <x:c r="M3" s="143" t="n"/>
    </x:row>
    <x:row r="4" s="135" customFormat="1" ht="15" customHeight="1">
      <x:c r="A4" s="143" t="inlineStr">
        <x:is>
          <x:t xml:space="preserve">Requirements</x:t>
        </x:is>
      </x:c>
      <x:c r="B4" s="143" t="n">
        <x:f>COUNTA(A9:A25)</x:f>
        <x:v>17</x:v>
      </x:c>
      <x:c r="C4" s="143" t="n"/>
      <x:c r="D4" s="143" t="inlineStr">
        <x:is>
          <x:t xml:space="preserve">Resolved</x:t>
        </x:is>
      </x:c>
      <x:c r="E4" s="143" t="n">
        <x:f>SUM(M9:M25)</x:f>
        <x:v>15</x:v>
      </x:c>
      <x:c r="F4" s="143" t="n"/>
      <x:c r="G4" s="143" t="inlineStr">
        <x:is>
          <x:t xml:space="preserve">Completion</x:t>
        </x:is>
      </x:c>
      <x:c r="H4" s="143" t="n">
        <x:f>IF(B4=0,0,E4/B4)</x:f>
        <x:v>0.8823529411764706</x:v>
      </x:c>
      <x:c r="I4" s="143" t="n"/>
      <x:c r="J4" s="143" t="inlineStr">
        <x:is>
          <x:t xml:space="preserve">Package gate</x:t>
        </x:is>
      </x:c>
      <x:c r="K4" s="143" t="str">
        <x:f>IF(COUNTIFS(E9:E24,"package",M9:M24,0)&gt;0,"open","complete")</x:f>
        <x:v>open</x:v>
      </x:c>
      <x:c r="L4" s="143" t="n"/>
      <x:c r="M4" s="143" t="n"/>
    </x:row>
    <x:row r="5" s="135" customFormat="1" ht="15" customHeight="1">
      <x:c r="A5" s="143" t="inlineStr">
        <x:is>
          <x:t xml:space="preserve">Manual review</x:t>
        </x:is>
      </x:c>
      <x:c r="B5" s="143" t="str">
        <x:f>IF(COUNTIFS(I9:I24,"yes",M9:M24,0)&gt;0,"open","complete")</x:f>
        <x:v>open</x:v>
      </x:c>
      <x:c r="C5" s="143" t="n"/>
      <x:c r="D5" s="143" t="inlineStr">
        <x:is>
          <x:t xml:space="preserve">Consumer gate</x:t>
        </x:is>
      </x:c>
      <x:c r="E5" s="143" t="inlineStr">
        <x:is>
          <x:t xml:space="preserve">complete</x:t>
        </x:is>
      </x:c>
      <x:c r="F5" s="143" t="n"/>
      <x:c r="G5" s="143" t="n"/>
      <x:c r="H5" s="143" t="n"/>
      <x:c r="I5" s="143" t="n"/>
      <x:c r="J5" s="143" t="n"/>
      <x:c r="K5" s="143" t="n"/>
      <x:c r="L5" s="143" t="n"/>
      <x:c r="M5" s="143" t="n"/>
    </x:row>
    <x:row r="6" s="135" customFormat="1" ht="15" customHeight="1">
      <x:c r="A6" s="143" t="n"/>
      <x:c r="B6" s="143" t="n"/>
      <x:c r="C6" s="143" t="n"/>
      <x:c r="D6" s="143" t="n"/>
      <x:c r="E6" s="143" t="n"/>
      <x:c r="F6" s="143" t="n"/>
      <x:c r="G6" s="143" t="n"/>
      <x:c r="H6" s="143" t="n"/>
      <x:c r="I6" s="143" t="n"/>
      <x:c r="J6" s="143" t="n"/>
      <x:c r="K6" s="143" t="n"/>
      <x:c r="L6" s="143" t="n"/>
      <x:c r="M6" s="143" t="n"/>
    </x:row>
    <x:row r="7" s="135" customFormat="1" ht="15" customHeight="1">
      <x:c r="A7" s="143" t="n"/>
      <x:c r="B7" s="143" t="n"/>
      <x:c r="C7" s="143" t="n"/>
      <x:c r="D7" s="143" t="n"/>
      <x:c r="E7" s="143" t="n"/>
      <x:c r="F7" s="143" t="n"/>
      <x:c r="G7" s="143" t="n"/>
      <x:c r="H7" s="143" t="n"/>
      <x:c r="I7" s="143" t="n"/>
      <x:c r="J7" s="143" t="n"/>
      <x:c r="K7" s="143" t="n"/>
      <x:c r="L7" s="143" t="n"/>
      <x:c r="M7" s="143" t="n"/>
    </x:row>
    <x:row r="8" s="135" customFormat="1" ht="57.75" customHeight="1">
      <x:c r="A8" s="146" t="inlineStr">
        <x:is>
          <x:t xml:space="preserve">ID</x:t>
        </x:is>
      </x:c>
      <x:c r="B8" s="146" t="inlineStr">
        <x:is>
          <x:t xml:space="preserve">Area</x:t>
        </x:is>
      </x:c>
      <x:c r="C8" s="146" t="inlineStr">
        <x:is>
          <x:t xml:space="preserve">Part</x:t>
        </x:is>
      </x:c>
      <x:c r="D8" s="146" t="inlineStr">
        <x:is>
          <x:t xml:space="preserve">Requirement</x:t>
        </x:is>
      </x:c>
      <x:c r="E8" s="146" t="inlineStr">
        <x:is>
          <x:t xml:space="preserve">Gate</x:t>
        </x:is>
      </x:c>
      <x:c r="F8" s="146" t="inlineStr">
        <x:is>
          <x:t xml:space="preserve">Evidence type</x:t>
        </x:is>
      </x:c>
      <x:c r="G8" s="146" t="inlineStr">
        <x:is>
          <x:t xml:space="preserve">Evidence / link</x:t>
        </x:is>
      </x:c>
      <x:c r="H8" s="146" t="inlineStr">
        <x:is>
          <x:t xml:space="preserve">Status</x:t>
        </x:is>
      </x:c>
      <x:c r="I8" s="146" t="inlineStr">
        <x:is>
          <x:t xml:space="preserve">Human review?</x:t>
        </x:is>
      </x:c>
      <x:c r="J8" s="146" t="inlineStr">
        <x:is>
          <x:t xml:space="preserve">Last verified</x:t>
        </x:is>
      </x:c>
      <x:c r="K8" s="146" t="inlineStr">
        <x:is>
          <x:t xml:space="preserve">Blocker / N/A reason</x:t>
        </x:is>
      </x:c>
      <x:c r="L8" s="146" t="inlineStr">
        <x:is>
          <x:t xml:space="preserve">Weight</x:t>
        </x:is>
      </x:c>
      <x:c r="M8" s="146" t="inlineStr">
        <x:is>
          <x:t xml:space="preserve">Resolved</x:t>
        </x:is>
      </x:c>
    </x:row>
    <x:row r="9" s="135" customFormat="1" ht="57.75" customHeight="1">
      <x:c r="A9" s="146" t="inlineStr">
        <x:is>
          <x:t xml:space="preserve">SPL-01</x:t>
        </x:is>
      </x:c>
      <x:c r="B9" s="146" t="inlineStr">
        <x:is>
          <x:t xml:space="preserve">Implementation</x:t>
        </x:is>
      </x:c>
      <x:c r="C9" s="146" t="inlineStr">
        <x:is>
          <x:t xml:space="preserve">Root / RootProvider / Panel / ResizeTrigger</x:t>
        </x:is>
      </x:c>
      <x:c r="D9" s="146" t="inlineStr">
        <x:is>
          <x:t xml:space="preserve">Atom-backed public composition</x:t>
        </x:is>
      </x:c>
      <x:c r="E9" s="146" t="inlineStr">
        <x:is>
          <x:t xml:space="preserve">package</x:t>
        </x:is>
      </x:c>
      <x:c r="F9" s="146" t="inlineStr">
        <x:is>
          <x:t xml:space="preserve">unit</x:t>
        </x:is>
      </x:c>
      <x:c r="G9" s="146" t="inlineStr">
        <x:is>
          <x:t xml:space="preserve">test/components/splitter/splitter.test.tsx</x:t>
        </x:is>
      </x:c>
      <x:c r="H9" s="146" t="inlineStr">
        <x:is>
          <x:t xml:space="preserve">tested</x:t>
        </x:is>
      </x:c>
      <x:c r="I9" s="146" t="inlineStr">
        <x:is>
          <x:t xml:space="preserve">no</x:t>
        </x:is>
      </x:c>
      <x:c r="J9" s="146" t="inlineStr">
        <x:is>
          <x:t xml:space="preserve">2026-09-05</x:t>
        </x:is>
      </x:c>
      <x:c r="K9" s="146" t="n"/>
      <x:c r="L9" s="146" t="n">
        <x:v>1</x:v>
      </x:c>
      <x:c r="M9" s="146" t="n">
        <x:f>IF(H9="not applicable",1,IF(I9="yes",IF(H9="verified",1,0),IF(OR(H9="tested",H9="verified"),1,0)))</x:f>
        <x:v>1</x:v>
      </x:c>
    </x:row>
    <x:row r="10" s="135" customFormat="1" ht="57.75" customHeight="1">
      <x:c r="A10" s="146" t="inlineStr">
        <x:is>
          <x:t xml:space="preserve">SPL-02</x:t>
        </x:is>
      </x:c>
      <x:c r="B10" s="146" t="inlineStr">
        <x:is>
          <x:t xml:space="preserve">Exports</x:t>
        </x:is>
      </x:c>
      <x:c r="C10" s="146" t="inlineStr">
        <x:is>
          <x:t xml:space="preserve">All public parts</x:t>
        </x:is>
      </x:c>
      <x:c r="D10" s="146" t="inlineStr">
        <x:is>
          <x:t xml:space="preserve">Root and modular exports</x:t>
        </x:is>
      </x:c>
      <x:c r="E10" s="146" t="inlineStr">
        <x:is>
          <x:t xml:space="preserve">package</x:t>
        </x:is>
      </x:c>
      <x:c r="F10" s="146" t="inlineStr">
        <x:is>
          <x:t xml:space="preserve">package</x:t>
        </x:is>
      </x:c>
      <x:c r="G10" s="146" t="inlineStr">
        <x:is>
          <x:t xml:space="preserve">test/package/package.test.mjs</x:t>
        </x:is>
      </x:c>
      <x:c r="H10" s="146" t="inlineStr">
        <x:is>
          <x:t xml:space="preserve">tested</x:t>
        </x:is>
      </x:c>
      <x:c r="I10" s="146" t="inlineStr">
        <x:is>
          <x:t xml:space="preserve">no</x:t>
        </x:is>
      </x:c>
      <x:c r="J10" s="146" t="inlineStr">
        <x:is>
          <x:t xml:space="preserve">2026-09-05</x:t>
        </x:is>
      </x:c>
      <x:c r="K10" s="146" t="n"/>
      <x:c r="L10" s="146" t="n">
        <x:v>1</x:v>
      </x:c>
      <x:c r="M10" s="146" t="n">
        <x:f>IF(H10="not applicable",1,IF(I10="yes",IF(H10="verified",1,0),IF(OR(H10="tested",H10="verified"),1,0)))</x:f>
        <x:v>1</x:v>
      </x:c>
    </x:row>
    <x:row r="11" s="135" customFormat="1" ht="57.75" customHeight="1">
      <x:c r="A11" s="146" t="inlineStr">
        <x:is>
          <x:t xml:space="preserve">SPL-03</x:t>
        </x:is>
      </x:c>
      <x:c r="B11" s="146" t="inlineStr">
        <x:is>
          <x:t xml:space="preserve">Types</x:t>
        </x:is>
      </x:c>
      <x:c r="C11" s="146" t="inlineStr">
        <x:is>
          <x:t xml:space="preserve">Root / Panel</x:t>
        </x:is>
      </x:c>
      <x:c r="D11" s="146" t="inlineStr">
        <x:is>
          <x:t xml:space="preserve">Percent, px/em/rem/vw/vh constraints; calc rejected</x:t>
        </x:is>
      </x:c>
      <x:c r="E11" s="146" t="inlineStr">
        <x:is>
          <x:t xml:space="preserve">package</x:t>
        </x:is>
      </x:c>
      <x:c r="F11" s="146" t="inlineStr">
        <x:is>
          <x:t xml:space="preserve">types</x:t>
        </x:is>
      </x:c>
      <x:c r="G11" s="146" t="inlineStr">
        <x:is>
          <x:t xml:space="preserve">test/types/components/splitter.test.ts</x:t>
        </x:is>
      </x:c>
      <x:c r="H11" s="146" t="inlineStr">
        <x:is>
          <x:t xml:space="preserve">tested</x:t>
        </x:is>
      </x:c>
      <x:c r="I11" s="146" t="inlineStr">
        <x:is>
          <x:t xml:space="preserve">no</x:t>
        </x:is>
      </x:c>
      <x:c r="J11" s="146" t="inlineStr">
        <x:is>
          <x:t xml:space="preserve">2026-09-10</x:t>
        </x:is>
      </x:c>
      <x:c r="K11" s="146" t="n"/>
      <x:c r="L11" s="146" t="n">
        <x:v>1</x:v>
      </x:c>
      <x:c r="M11" s="146" t="n">
        <x:f>IF(H11="not applicable",1,IF(I11="yes",IF(H11="verified",1,0),IF(OR(H11="tested",H11="verified"),1,0)))</x:f>
        <x:v>1</x:v>
      </x:c>
    </x:row>
    <x:row r="12" s="135" customFormat="1" ht="57.75" customHeight="1">
      <x:c r="A12" s="146" t="inlineStr">
        <x:is>
          <x:t xml:space="preserve">SPL-04</x:t>
        </x:is>
      </x:c>
      <x:c r="B12" s="146" t="inlineStr">
        <x:is>
          <x:t xml:space="preserve">CSS</x:t>
        </x:is>
      </x:c>
      <x:c r="C12" s="146" t="inlineStr">
        <x:is>
          <x:t xml:space="preserve">Separator / Indicator</x:t>
        </x:is>
      </x:c>
      <x:c r="D12" s="146" t="inlineStr">
        <x:is>
          <x:t xml:space="preserve">Theme tokens and independent target geometry</x:t>
        </x:is>
      </x:c>
      <x:c r="E12" s="146" t="inlineStr">
        <x:is>
          <x:t xml:space="preserve">package</x:t>
        </x:is>
      </x:c>
      <x:c r="F12" s="146" t="inlineStr">
        <x:is>
          <x:t xml:space="preserve">browser</x:t>
        </x:is>
      </x:c>
      <x:c r="G12" s="146" t="inlineStr">
        <x:is>
          <x:t xml:space="preserve">playground/tests/components/splitter/behavior.spec.ts</x:t>
        </x:is>
      </x:c>
      <x:c r="H12" s="146" t="inlineStr">
        <x:is>
          <x:t xml:space="preserve">tested</x:t>
        </x:is>
      </x:c>
      <x:c r="I12" s="146" t="inlineStr">
        <x:is>
          <x:t xml:space="preserve">no</x:t>
        </x:is>
      </x:c>
      <x:c r="J12" s="146" t="inlineStr">
        <x:is>
          <x:t xml:space="preserve">2026-09-05</x:t>
        </x:is>
      </x:c>
      <x:c r="K12" s="146" t="n"/>
      <x:c r="L12" s="146" t="n">
        <x:v>1</x:v>
      </x:c>
      <x:c r="M12" s="146" t="n">
        <x:f>IF(H12="not applicable",1,IF(I12="yes",IF(H12="verified",1,0),IF(OR(H12="tested",H12="verified"),1,0)))</x:f>
        <x:v>1</x:v>
      </x:c>
    </x:row>
    <x:row r="13" s="135" customFormat="1" ht="57.75" customHeight="1">
      <x:c r="A13" s="146" t="inlineStr">
        <x:is>
          <x:t xml:space="preserve">SPL-05</x:t>
        </x:is>
      </x:c>
      <x:c r="B13" s="146" t="inlineStr">
        <x:is>
          <x:t xml:space="preserve">Geometry</x:t>
        </x:is>
      </x:c>
      <x:c r="C13" s="146" t="inlineStr">
        <x:is>
          <x:t xml:space="preserve">ResizeTrigger</x:t>
        </x:is>
      </x:c>
      <x:c r="D13" s="146" t="inlineStr">
        <x:is>
          <x:t xml:space="preserve">Centered 8 by 24 grip without consuming pane width</x:t>
        </x:is>
      </x:c>
      <x:c r="E13" s="146" t="inlineStr">
        <x:is>
          <x:t xml:space="preserve">visual</x:t>
        </x:is>
      </x:c>
      <x:c r="F13" s="146" t="inlineStr">
        <x:is>
          <x:t xml:space="preserve">browser</x:t>
        </x:is>
      </x:c>
      <x:c r="G13" s="146" t="inlineStr">
        <x:is>
          <x:t xml:space="preserve">playground/tests/components/splitter/behavior.spec.ts</x:t>
        </x:is>
      </x:c>
      <x:c r="H13" s="146" t="inlineStr">
        <x:is>
          <x:t xml:space="preserve">tested</x:t>
        </x:is>
      </x:c>
      <x:c r="I13" s="146" t="inlineStr">
        <x:is>
          <x:t xml:space="preserve">no</x:t>
        </x:is>
      </x:c>
      <x:c r="J13" s="146" t="inlineStr">
        <x:is>
          <x:t xml:space="preserve">2026-09-05</x:t>
        </x:is>
      </x:c>
      <x:c r="K13" s="146" t="n"/>
      <x:c r="L13" s="146" t="n">
        <x:v>1</x:v>
      </x:c>
      <x:c r="M13" s="146" t="n">
        <x:f>IF(H13="not applicable",1,IF(I13="yes",IF(H13="verified",1,0),IF(OR(H13="tested",H13="verified"),1,0)))</x:f>
        <x:v>1</x:v>
      </x:c>
    </x:row>
    <x:row r="14" s="135" customFormat="1" ht="57.75" customHeight="1">
      <x:c r="A14" s="146" t="inlineStr">
        <x:is>
          <x:t xml:space="preserve">SPL-06</x:t>
        </x:is>
      </x:c>
      <x:c r="B14" s="146" t="inlineStr">
        <x:is>
          <x:t xml:space="preserve">Appearance</x:t>
        </x:is>
      </x:c>
      <x:c r="C14" s="146" t="inlineStr">
        <x:is>
          <x:t xml:space="preserve">Root / ResizeTrigger</x:t>
        </x:is>
      </x:c>
      <x:c r="D14" s="146" t="inlineStr">
        <x:is>
          <x:t xml:space="preserve">Light and dark screenshot review</x:t>
        </x:is>
      </x:c>
      <x:c r="E14" s="146" t="inlineStr">
        <x:is>
          <x:t xml:space="preserve">visual</x:t>
        </x:is>
      </x:c>
      <x:c r="F14" s="146" t="inlineStr">
        <x:is>
          <x:t xml:space="preserve">visual</x:t>
        </x:is>
      </x:c>
      <x:c r="G14" s="146" t="inlineStr">
        <x:is>
          <x:t xml:space="preserve">playground/tests/components/splitter/visual.spec.ts</x:t>
        </x:is>
      </x:c>
      <x:c r="H14" s="146" t="inlineStr">
        <x:is>
          <x:t xml:space="preserve">verified</x:t>
        </x:is>
      </x:c>
      <x:c r="I14" s="146" t="inlineStr">
        <x:is>
          <x:t xml:space="preserve">yes</x:t>
        </x:is>
      </x:c>
      <x:c r="J14" s="146" t="inlineStr">
        <x:is>
          <x:t xml:space="preserve">2026-09-05</x:t>
        </x:is>
      </x:c>
      <x:c r="K14" s="146" t="n"/>
      <x:c r="L14" s="146" t="n">
        <x:v>1</x:v>
      </x:c>
      <x:c r="M14" s="146" t="n">
        <x:f>IF(H14="not applicable",1,IF(I14="yes",IF(H14="verified",1,0),IF(OR(H14="tested",H14="verified"),1,0)))</x:f>
        <x:v>1</x:v>
      </x:c>
    </x:row>
    <x:row r="15" s="135" customFormat="1" ht="57.75" customHeight="1">
      <x:c r="A15" s="146" t="inlineStr">
        <x:is>
          <x:t xml:space="preserve">SPL-07</x:t>
        </x:is>
      </x:c>
      <x:c r="B15" s="146" t="inlineStr">
        <x:is>
          <x:t xml:space="preserve">Accessibility</x:t>
        </x:is>
      </x:c>
      <x:c r="C15" s="146" t="inlineStr">
        <x:is>
          <x:t xml:space="preserve">ResizeTrigger</x:t>
        </x:is>
      </x:c>
      <x:c r="D15" s="146" t="inlineStr">
        <x:is>
          <x:t xml:space="preserve">Automated serious/critical accessibility scan</x:t>
        </x:is>
      </x:c>
      <x:c r="E15" s="146" t="inlineStr">
        <x:is>
          <x:t xml:space="preserve">browser</x:t>
        </x:is>
      </x:c>
      <x:c r="F15" s="146" t="inlineStr">
        <x:is>
          <x:t xml:space="preserve">axe</x:t>
        </x:is>
      </x:c>
      <x:c r="G15" s="146" t="inlineStr">
        <x:is>
          <x:t xml:space="preserve">playground/tests/components/splitter/behavior.spec.ts</x:t>
        </x:is>
      </x:c>
      <x:c r="H15" s="146" t="inlineStr">
        <x:is>
          <x:t xml:space="preserve">tested</x:t>
        </x:is>
      </x:c>
      <x:c r="I15" s="146" t="inlineStr">
        <x:is>
          <x:t xml:space="preserve">no</x:t>
        </x:is>
      </x:c>
      <x:c r="J15" s="146" t="inlineStr">
        <x:is>
          <x:t xml:space="preserve">2026-09-05</x:t>
        </x:is>
      </x:c>
      <x:c r="K15" s="146" t="n"/>
      <x:c r="L15" s="146" t="n">
        <x:v>1</x:v>
      </x:c>
      <x:c r="M15" s="146" t="n">
        <x:f>IF(H15="not applicable",1,IF(I15="yes",IF(H15="verified",1,0),IF(OR(H15="tested",H15="verified"),1,0)))</x:f>
        <x:v>1</x:v>
      </x:c>
    </x:row>
    <x:row r="16" s="135" customFormat="1" ht="57.75" customHeight="1">
      <x:c r="A16" s="146" t="inlineStr">
        <x:is>
          <x:t xml:space="preserve">SPL-08</x:t>
        </x:is>
      </x:c>
      <x:c r="B16" s="146" t="inlineStr">
        <x:is>
          <x:t xml:space="preserve">Keyboard</x:t>
        </x:is>
      </x:c>
      <x:c r="C16" s="146" t="inlineStr">
        <x:is>
          <x:t xml:space="preserve">ResizeTrigger</x:t>
        </x:is>
      </x:c>
      <x:c r="D16" s="146" t="inlineStr">
        <x:is>
          <x:t xml:space="preserve">Bounds and visible focus</x:t>
        </x:is>
      </x:c>
      <x:c r="E16" s="146" t="inlineStr">
        <x:is>
          <x:t xml:space="preserve">browser</x:t>
        </x:is>
      </x:c>
      <x:c r="F16" s="146" t="inlineStr">
        <x:is>
          <x:t xml:space="preserve">browser</x:t>
        </x:is>
      </x:c>
      <x:c r="G16" s="146" t="inlineStr">
        <x:is>
          <x:t xml:space="preserve">playground/tests/components/splitter/behavior.spec.ts</x:t>
        </x:is>
      </x:c>
      <x:c r="H16" s="146" t="inlineStr">
        <x:is>
          <x:t xml:space="preserve">tested</x:t>
        </x:is>
      </x:c>
      <x:c r="I16" s="146" t="inlineStr">
        <x:is>
          <x:t xml:space="preserve">no</x:t>
        </x:is>
      </x:c>
      <x:c r="J16" s="146" t="inlineStr">
        <x:is>
          <x:t xml:space="preserve">2026-09-05</x:t>
        </x:is>
      </x:c>
      <x:c r="K16" s="146" t="n"/>
      <x:c r="L16" s="146" t="n">
        <x:v>1</x:v>
      </x:c>
      <x:c r="M16" s="146" t="n">
        <x:f>IF(H16="not applicable",1,IF(I16="yes",IF(H16="verified",1,0),IF(OR(H16="tested",H16="verified"),1,0)))</x:f>
        <x:v>1</x:v>
      </x:c>
    </x:row>
    <x:row r="17" s="135" customFormat="1" ht="57.75" customHeight="1">
      <x:c r="A17" s="146" t="inlineStr">
        <x:is>
          <x:t xml:space="preserve">SPL-09</x:t>
        </x:is>
      </x:c>
      <x:c r="B17" s="146" t="inlineStr">
        <x:is>
          <x:t xml:space="preserve">Behavior</x:t>
        </x:is>
      </x:c>
      <x:c r="C17" s="146" t="inlineStr">
        <x:is>
          <x:t xml:space="preserve">Root</x:t>
        </x:is>
      </x:c>
      <x:c r="D17" s="146" t="inlineStr">
        <x:is>
          <x:t xml:space="preserve">Headless resize, cascade, dynamic focus and shared cancellation</x:t>
        </x:is>
      </x:c>
      <x:c r="E17" s="146" t="inlineStr">
        <x:is>
          <x:t xml:space="preserve">browser</x:t>
        </x:is>
      </x:c>
      <x:c r="F17" s="146" t="inlineStr">
        <x:is>
          <x:t xml:space="preserve">Atom tests</x:t>
        </x:is>
      </x:c>
      <x:c r="G17" s="146" t="inlineStr">
        <x:is>
          <x:t xml:space="preserve">Atom splitter.spec.ts and splitter-regressions.spec.ts; digest-locked unpublished candidate</x:t>
        </x:is>
      </x:c>
      <x:c r="H17" s="146" t="inlineStr">
        <x:is>
          <x:t xml:space="preserve">tested</x:t>
        </x:is>
      </x:c>
      <x:c r="I17" s="146" t="inlineStr">
        <x:is>
          <x:t xml:space="preserve">no</x:t>
        </x:is>
      </x:c>
      <x:c r="J17" s="146" t="inlineStr">
        <x:is>
          <x:t xml:space="preserve">2026-09-10</x:t>
        </x:is>
      </x:c>
      <x:c r="K17" s="146" t="n"/>
      <x:c r="L17" s="146" t="n">
        <x:v>1</x:v>
      </x:c>
      <x:c r="M17" s="146" t="n">
        <x:f>IF(H17="not applicable",1,IF(I17="yes",IF(H17="verified",1,0),IF(OR(H17="tested",H17="verified"),1,0)))</x:f>
        <x:v>1</x:v>
      </x:c>
    </x:row>
    <x:row r="18" s="135" customFormat="1" ht="57.75" customHeight="1">
      <x:c r="A18" s="146" t="inlineStr">
        <x:is>
          <x:t xml:space="preserve">SPL-10</x:t>
        </x:is>
      </x:c>
      <x:c r="B18" s="146" t="inlineStr">
        <x:is>
          <x:t xml:space="preserve">Manual</x:t>
        </x:is>
      </x:c>
      <x:c r="C18" s="146" t="inlineStr">
        <x:is>
          <x:t xml:space="preserve">All parts</x:t>
        </x:is>
      </x:c>
      <x:c r="D18" s="146" t="inlineStr">
        <x:is>
          <x:t xml:space="preserve">Actual zoom, assistive technology and physical device</x:t>
        </x:is>
      </x:c>
      <x:c r="E18" s="146" t="inlineStr">
        <x:is>
          <x:t xml:space="preserve">manual</x:t>
        </x:is>
      </x:c>
      <x:c r="F18" s="146" t="inlineStr">
        <x:is>
          <x:t xml:space="preserve">manual</x:t>
        </x:is>
      </x:c>
      <x:c r="G18" s="146" t="inlineStr">
        <x:is>
          <x:t xml:space="preserve">playground/manual-tests/splitter.md</x:t>
        </x:is>
      </x:c>
      <x:c r="H18" s="146" t="inlineStr">
        <x:is>
          <x:t xml:space="preserve">blocked</x:t>
        </x:is>
      </x:c>
      <x:c r="I18" s="146" t="inlineStr">
        <x:is>
          <x:t xml:space="preserve">yes</x:t>
        </x:is>
      </x:c>
      <x:c r="J18" s="146" t="inlineStr">
        <x:is>
          <x:t xml:space="preserve">2026-09-05</x:t>
        </x:is>
      </x:c>
      <x:c r="K18" s="146" t="inlineStr">
        <x:is>
          <x:t xml:space="preserve">Manual environment not exercised</x:t>
        </x:is>
      </x:c>
      <x:c r="L18" s="146" t="n">
        <x:v>1</x:v>
      </x:c>
      <x:c r="M18" s="146" t="n">
        <x:f>IF(H18="not applicable",1,IF(I18="yes",IF(H18="verified",1,0),IF(OR(H18="tested",H18="verified"),1,0)))</x:f>
        <x:v>0</x:v>
      </x:c>
    </x:row>
    <x:row r="19" s="135" customFormat="1" ht="57.75" customHeight="1">
      <x:c r="A19" s="146" t="inlineStr">
        <x:is>
          <x:t xml:space="preserve">SPL-11</x:t>
        </x:is>
      </x:c>
      <x:c r="B19" s="146" t="inlineStr">
        <x:is>
          <x:t xml:space="preserve">Documentation</x:t>
        </x:is>
      </x:c>
      <x:c r="C19" s="146" t="inlineStr">
        <x:is>
          <x:t xml:space="preserve">All parts</x:t>
        </x:is>
      </x:c>
      <x:c r="D19" s="146" t="inlineStr">
        <x:is>
          <x:t xml:space="preserve">Public API and anatomy reference</x:t>
        </x:is>
      </x:c>
      <x:c r="E19" s="146" t="inlineStr">
        <x:is>
          <x:t xml:space="preserve">package</x:t>
        </x:is>
      </x:c>
      <x:c r="F19" s="146" t="inlineStr">
        <x:is>
          <x:t xml:space="preserve">validator</x:t>
        </x:is>
      </x:c>
      <x:c r="G19" s="146" t="inlineStr">
        <x:is>
          <x:t xml:space="preserve">docs/components/splitter/README.md</x:t>
        </x:is>
      </x:c>
      <x:c r="H19" s="146" t="inlineStr">
        <x:is>
          <x:t xml:space="preserve">tested</x:t>
        </x:is>
      </x:c>
      <x:c r="I19" s="146" t="inlineStr">
        <x:is>
          <x:t xml:space="preserve">no</x:t>
        </x:is>
      </x:c>
      <x:c r="J19" s="146" t="inlineStr">
        <x:is>
          <x:t xml:space="preserve">2026-09-05</x:t>
        </x:is>
      </x:c>
      <x:c r="K19" s="146" t="n"/>
      <x:c r="L19" s="146" t="n">
        <x:v>1</x:v>
      </x:c>
      <x:c r="M19" s="146" t="n">
        <x:f>IF(H19="not applicable",1,IF(I19="yes",IF(H19="verified",1,0),IF(OR(H19="tested",H19="verified"),1,0)))</x:f>
        <x:v>1</x:v>
      </x:c>
    </x:row>
    <x:row r="20" s="135" customFormat="1" ht="57.75" customHeight="1">
      <x:c r="A20" s="146" t="inlineStr">
        <x:is>
          <x:t xml:space="preserve">SPL-12</x:t>
        </x:is>
      </x:c>
      <x:c r="B20" s="146" t="inlineStr">
        <x:is>
          <x:t xml:space="preserve">Knowledge</x:t>
        </x:is>
      </x:c>
      <x:c r="C20" s="146" t="inlineStr">
        <x:is>
          <x:t xml:space="preserve">All parts</x:t>
        </x:is>
      </x:c>
      <x:c r="D20" s="146" t="inlineStr">
        <x:is>
          <x:t xml:space="preserve">Owner and composition selection guidance</x:t>
        </x:is>
      </x:c>
      <x:c r="E20" s="146" t="inlineStr">
        <x:is>
          <x:t xml:space="preserve">package</x:t>
        </x:is>
      </x:c>
      <x:c r="F20" s="146" t="inlineStr">
        <x:is>
          <x:t xml:space="preserve">validator</x:t>
        </x:is>
      </x:c>
      <x:c r="G20" s="146" t="inlineStr">
        <x:is>
          <x:t xml:space="preserve">src/components/splitter/agent.json</x:t>
        </x:is>
      </x:c>
      <x:c r="H20" s="146" t="inlineStr">
        <x:is>
          <x:t xml:space="preserve">tested</x:t>
        </x:is>
      </x:c>
      <x:c r="I20" s="146" t="inlineStr">
        <x:is>
          <x:t xml:space="preserve">no</x:t>
        </x:is>
      </x:c>
      <x:c r="J20" s="146" t="inlineStr">
        <x:is>
          <x:t xml:space="preserve">2026-09-05</x:t>
        </x:is>
      </x:c>
      <x:c r="K20" s="146" t="n"/>
      <x:c r="L20" s="146" t="n">
        <x:v>1</x:v>
      </x:c>
      <x:c r="M20" s="146" t="n">
        <x:f>IF(H20="not applicable",1,IF(I20="yes",IF(H20="verified",1,0),IF(OR(H20="tested",H20="verified"),1,0)))</x:f>
        <x:v>1</x:v>
      </x:c>
    </x:row>
    <x:row r="21" s="135" customFormat="1" ht="57.75" customHeight="1">
      <x:c r="A21" s="146" t="inlineStr">
        <x:is>
          <x:t xml:space="preserve">SPL-13</x:t>
        </x:is>
      </x:c>
      <x:c r="B21" s="146" t="inlineStr">
        <x:is>
          <x:t xml:space="preserve">Packaging</x:t>
        </x:is>
      </x:c>
      <x:c r="C21" s="146" t="inlineStr">
        <x:is>
          <x:t xml:space="preserve">All parts</x:t>
        </x:is>
      </x:c>
      <x:c r="D21" s="146" t="inlineStr">
        <x:is>
          <x:t xml:space="preserve">Digest-locked archive consumer</x:t>
        </x:is>
      </x:c>
      <x:c r="E21" s="146" t="inlineStr">
        <x:is>
          <x:t xml:space="preserve">package</x:t>
        </x:is>
      </x:c>
      <x:c r="F21" s="146" t="inlineStr">
        <x:is>
          <x:t xml:space="preserve">archive</x:t>
        </x:is>
      </x:c>
      <x:c r="G21" s="146" t="inlineStr">
        <x:is>
          <x:t xml:space="preserve">Digest-locked local Atom + Brick; Blocks SSR/subpath/CSS smoke, typecheck and build passed</x:t>
        </x:is>
      </x:c>
      <x:c r="H21" s="146" t="inlineStr">
        <x:is>
          <x:t xml:space="preserve">blocked</x:t>
        </x:is>
      </x:c>
      <x:c r="I21" s="146" t="inlineStr">
        <x:is>
          <x:t xml:space="preserve">no</x:t>
        </x:is>
      </x:c>
      <x:c r="J21" s="146" t="inlineStr">
        <x:is>
          <x:t xml:space="preserve">2026-09-05</x:t>
        </x:is>
      </x:c>
      <x:c r="K21" s="146" t="inlineStr">
        <x:is>
          <x:t xml:space="preserve">Current packed Brick clean-consumer qualification remains open; prior result is historical.</x:t>
        </x:is>
      </x:c>
      <x:c r="L21" s="146" t="n">
        <x:v>1</x:v>
      </x:c>
      <x:c r="M21" s="146" t="n">
        <x:f>IF(H21="not applicable",1,IF(I21="yes",IF(H21="verified",1,0),IF(OR(H21="tested",H21="verified"),1,0)))</x:f>
        <x:v>0</x:v>
      </x:c>
    </x:row>
    <x:row r="22" s="135" customFormat="1" ht="57.75" customHeight="1">
      <x:c r="A22" s="146" t="inlineStr">
        <x:is>
          <x:t xml:space="preserve">SPL-14</x:t>
        </x:is>
      </x:c>
      <x:c r="B22" s="146" t="inlineStr">
        <x:is>
          <x:t xml:space="preserve">Composition</x:t>
        </x:is>
      </x:c>
      <x:c r="C22" s="146" t="inlineStr">
        <x:is>
          <x:t xml:space="preserve">Root / Panel</x:t>
        </x:is>
      </x:c>
      <x:c r="D22" s="146" t="inlineStr">
        <x:is>
          <x:t xml:space="preserve">Controlled store, dynamic panels, storage and responsive orientation</x:t>
        </x:is>
      </x:c>
      <x:c r="E22" s="146" t="inlineStr">
        <x:is>
          <x:t xml:space="preserve">browser</x:t>
        </x:is>
      </x:c>
      <x:c r="F22" s="146" t="inlineStr">
        <x:is>
          <x:t xml:space="preserve">example</x:t>
        </x:is>
      </x:c>
      <x:c r="G22" s="146" t="inlineStr">
        <x:is>
          <x:t xml:space="preserve">playground/tests/components/splitter/docs.spec.ts</x:t>
        </x:is>
      </x:c>
      <x:c r="H22" s="146" t="inlineStr">
        <x:is>
          <x:t xml:space="preserve">tested</x:t>
        </x:is>
      </x:c>
      <x:c r="I22" s="146" t="inlineStr">
        <x:is>
          <x:t xml:space="preserve">no</x:t>
        </x:is>
      </x:c>
      <x:c r="J22" s="146" t="inlineStr">
        <x:is>
          <x:t xml:space="preserve">2026-09-10</x:t>
        </x:is>
      </x:c>
      <x:c r="K22" s="146" t="n"/>
      <x:c r="L22" s="146" t="n">
        <x:v>1</x:v>
      </x:c>
      <x:c r="M22" s="146" t="n">
        <x:f>IF(H22="not applicable",1,IF(I22="yes",IF(H22="verified",1,0),IF(OR(H22="tested",H22="verified"),1,0)))</x:f>
        <x:v>1</x:v>
      </x:c>
    </x:row>
    <x:row r="23" s="135" customFormat="1" ht="57.75" customHeight="1">
      <x:c r="A23" s="146" t="inlineStr">
        <x:is>
          <x:t xml:space="preserve">SPL-15</x:t>
        </x:is>
      </x:c>
      <x:c r="B23" s="146" t="inlineStr">
        <x:is>
          <x:t xml:space="preserve">Forced colors</x:t>
        </x:is>
      </x:c>
      <x:c r="C23" s="146" t="inlineStr">
        <x:is>
          <x:t xml:space="preserve">ResizeTrigger</x:t>
        </x:is>
      </x:c>
      <x:c r="D23" s="146" t="inlineStr">
        <x:is>
          <x:t xml:space="preserve">Visible separator and focus</x:t>
        </x:is>
      </x:c>
      <x:c r="E23" s="146" t="inlineStr">
        <x:is>
          <x:t xml:space="preserve">browser</x:t>
        </x:is>
      </x:c>
      <x:c r="F23" s="146" t="inlineStr">
        <x:is>
          <x:t xml:space="preserve">browser</x:t>
        </x:is>
      </x:c>
      <x:c r="G23" s="146" t="inlineStr">
        <x:is>
          <x:t xml:space="preserve">playground/tests/components/splitter/behavior.spec.ts</x:t>
        </x:is>
      </x:c>
      <x:c r="H23" s="146" t="inlineStr">
        <x:is>
          <x:t xml:space="preserve">tested</x:t>
        </x:is>
      </x:c>
      <x:c r="I23" s="146" t="inlineStr">
        <x:is>
          <x:t xml:space="preserve">no</x:t>
        </x:is>
      </x:c>
      <x:c r="J23" s="146" t="inlineStr">
        <x:is>
          <x:t xml:space="preserve">2026-09-05</x:t>
        </x:is>
      </x:c>
      <x:c r="K23" s="146" t="n"/>
      <x:c r="L23" s="146" t="n">
        <x:v>1</x:v>
      </x:c>
      <x:c r="M23" s="146" t="n">
        <x:f>IF(H23="not applicable",1,IF(I23="yes",IF(H23="verified",1,0),IF(OR(H23="tested",H23="verified"),1,0)))</x:f>
        <x:v>1</x:v>
      </x:c>
    </x:row>
    <x:row r="24" s="135" customFormat="1" ht="57.75" customHeight="1">
      <x:c r="A24" s="146" t="inlineStr">
        <x:is>
          <x:t xml:space="preserve">SPL-16</x:t>
        </x:is>
      </x:c>
      <x:c r="B24" s="146" t="inlineStr">
        <x:is>
          <x:t xml:space="preserve">Changelog</x:t>
        </x:is>
      </x:c>
      <x:c r="C24" s="146" t="inlineStr">
        <x:is>
          <x:t xml:space="preserve">All parts</x:t>
        </x:is>
      </x:c>
      <x:c r="D24" s="146" t="inlineStr">
        <x:is>
          <x:t xml:space="preserve">New owner documented without release</x:t>
        </x:is>
      </x:c>
      <x:c r="E24" s="146" t="inlineStr">
        <x:is>
          <x:t xml:space="preserve">package</x:t>
        </x:is>
      </x:c>
      <x:c r="F24" s="146" t="inlineStr">
        <x:is>
          <x:t xml:space="preserve">documentation</x:t>
        </x:is>
      </x:c>
      <x:c r="G24" s="146" t="inlineStr">
        <x:is>
          <x:t xml:space="preserve">docs/components/splitter/CHANGELOG.md</x:t>
        </x:is>
      </x:c>
      <x:c r="H24" s="146" t="inlineStr">
        <x:is>
          <x:t xml:space="preserve">tested</x:t>
        </x:is>
      </x:c>
      <x:c r="I24" s="146" t="inlineStr">
        <x:is>
          <x:t xml:space="preserve">no</x:t>
        </x:is>
      </x:c>
      <x:c r="J24" s="146" t="inlineStr">
        <x:is>
          <x:t xml:space="preserve">2026-09-05</x:t>
        </x:is>
      </x:c>
      <x:c r="K24" s="146" t="n"/>
      <x:c r="L24" s="146" t="n">
        <x:v>1</x:v>
      </x:c>
      <x:c r="M24" s="146" t="n">
        <x:f>IF(H24="not applicable",1,IF(I24="yes",IF(H24="verified",1,0),IF(OR(H24="tested",H24="verified"),1,0)))</x:f>
        <x:v>1</x:v>
      </x:c>
    </x:row>
    <x:row r="25" s="135" customFormat="1" ht="63.75" customHeight="1">
      <x:c r="A25" s="148" t="inlineStr">
        <x:is>
          <x:t xml:space="preserve">splitter-inventory</x:t>
        </x:is>
      </x:c>
      <x:c r="B25" s="148" t="inlineStr">
        <x:is>
          <x:t xml:space="preserve">Playground</x:t>
        </x:is>
      </x:c>
      <x:c r="C25" s="148" t="inlineStr">
        <x:is>
          <x:t xml:space="preserve">Splitter</x:t>
        </x:is>
      </x:c>
      <x:c r="D25" s="148" t="inlineStr">
        <x:is>
          <x:t xml:space="preserve">Every declared scenario renders in order at 390px and 1280px without page overflow or runtime exceptions.</x:t>
        </x:is>
      </x:c>
      <x:c r="E25" s="148" t="inlineStr">
        <x:is>
          <x:t xml:space="preserve">component</x:t>
        </x:is>
      </x:c>
      <x:c r="F25" s="148" t="inlineStr">
        <x:is>
          <x:t xml:space="preserve">browser</x:t>
        </x:is>
      </x:c>
      <x:c r="G25" s="148" t="inlineStr">
        <x:is>
          <x:t xml:space="preserve">playground/tests/integration/recent-component-capabilities.spec.ts</x:t>
        </x:is>
      </x:c>
      <x:c r="H25" s="148" t="inlineStr">
        <x:is>
          <x:t xml:space="preserve">tested</x:t>
        </x:is>
      </x:c>
      <x:c r="I25" s="148" t="inlineStr">
        <x:is>
          <x:t xml:space="preserve">no</x:t>
        </x:is>
      </x:c>
      <x:c r="J25" s="148" t="inlineStr">
        <x:is>
          <x:t xml:space="preserve">2026-09-05</x:t>
        </x:is>
      </x:c>
      <x:c r="K25" s="148" t="inlineStr">
        <x:is>
          <x:t xml:space="preserve">This assertion does not establish full behavioral or manual qualification.</x:t>
        </x:is>
      </x:c>
      <x:c r="L25" s="148" t="n">
        <x:v>1</x:v>
      </x:c>
      <x:c r="M25" s="148" t="n">
        <x:f>IF(OR(H25="tested",H25="verified"),1,0)</x:f>
        <x:v>1</x:v>
      </x:c>
    </x:row>
  </x:sheetData>
  <x:mergeCells>
    <x:mergeCell ref="A2:M2"/>
    <x:mergeCell ref="A1:M1"/>
  </x:mergeCells>
  <x:dataValidations count="2">
    <x:dataValidation type="list" errorStyle="stop" operator="between" allowBlank="0" showDropDown="0" showInputMessage="0" showErrorMessage="0" sqref="H9:H24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H25">
      <x:formula1>_Lists!$A$1:$A$7</x:formula1>
      <x:formula2>0</x:formula2>
    </x:dataValidation>
  </x:dataValidations>
  <x:pageMargins left="0.7" right="0.7" top="0.75" bottom="0.75" header="0.3" footer="0.3"/>
</x:worksheet>
</file>

<file path=xl/worksheets/sheet112.xml><?xml version="1.0" encoding="utf-8"?>
<x:worksheet xmlns:x="http://schemas.openxmlformats.org/spreadsheetml/2006/main">
  <x:sheetViews>
    <x:sheetView showGridLines="1" workbookViewId="0">
      <x:pane ySplit="8" topLeftCell="A9" activePane="bottomLeft" state="frozen"/>
    </x:sheetView>
  </x:sheetViews>
  <x:sheetFormatPr baseColWidth="8" defaultColWidth="8.6796875" defaultRowHeight="15"/>
  <x:cols>
    <x:col min="1" max="3" width="18" style="138" customWidth="1"/>
    <x:col min="4" max="4" width="46" style="138" customWidth="1"/>
    <x:col min="5" max="6" width="18" style="138" customWidth="1"/>
    <x:col min="7" max="7" width="48" style="138" customWidth="1"/>
    <x:col min="8" max="13" width="18" style="138" customWidth="1"/>
  </x:cols>
  <x:sheetData>
    <x:row r="1" s="135" customFormat="1" ht="23.850000381469727" customHeight="1">
      <x:c r="A1" s="143" t="inlineStr">
        <x:is>
          <x:t xml:space="preserve">CloseButton evidence</x:t>
        </x:is>
      </x:c>
      <x:c r="B1" s="143" t="n"/>
      <x:c r="C1" s="143" t="n"/>
      <x:c r="D1" s="143" t="n"/>
      <x:c r="E1" s="143" t="n"/>
      <x:c r="F1" s="143" t="n"/>
      <x:c r="G1" s="143" t="n"/>
      <x:c r="H1" s="143" t="n"/>
      <x:c r="I1" s="143" t="n"/>
      <x:c r="J1" s="143" t="n"/>
      <x:c r="K1" s="143" t="n"/>
      <x:c r="L1" s="143" t="n"/>
      <x:c r="M1" s="143" t="n"/>
    </x:row>
    <x:row r="2" s="135" customFormat="1" ht="57.45000076293945" customHeight="1">
      <x:c r="A2" s="143" t="inlineStr">
        <x:is>
          <x:t xml:space="preserve">Automated evidence recorded; independent manual platform review remains open.</x:t>
        </x:is>
      </x:c>
      <x:c r="B2" s="143" t="n"/>
      <x:c r="C2" s="143" t="n"/>
      <x:c r="D2" s="143" t="n"/>
      <x:c r="E2" s="143" t="n"/>
      <x:c r="F2" s="143" t="n"/>
      <x:c r="G2" s="143" t="n"/>
      <x:c r="H2" s="143" t="n"/>
      <x:c r="I2" s="143" t="n"/>
      <x:c r="J2" s="143" t="n"/>
      <x:c r="K2" s="143" t="n"/>
      <x:c r="L2" s="143" t="n"/>
      <x:c r="M2" s="143" t="n"/>
    </x:row>
    <x:row r="3" s="135" customFormat="1" ht="15" customHeight="1">
      <x:c r="A3" s="143" t="n"/>
      <x:c r="B3" s="143" t="n"/>
      <x:c r="C3" s="143" t="n"/>
      <x:c r="D3" s="143" t="n"/>
      <x:c r="E3" s="143" t="n"/>
      <x:c r="F3" s="143" t="n"/>
      <x:c r="G3" s="143" t="n"/>
      <x:c r="H3" s="143" t="n"/>
      <x:c r="I3" s="143" t="n"/>
      <x:c r="J3" s="143" t="n"/>
      <x:c r="K3" s="143" t="n"/>
      <x:c r="L3" s="143" t="n"/>
      <x:c r="M3" s="143" t="n"/>
    </x:row>
    <x:row r="4" s="135" customFormat="1" ht="15" customHeight="1">
      <x:c r="A4" s="143" t="inlineStr">
        <x:is>
          <x:t xml:space="preserve">Requirements</x:t>
        </x:is>
      </x:c>
      <x:c r="B4" s="143" t="n">
        <x:f>COUNTA(A9:A21)</x:f>
        <x:v>13</x:v>
      </x:c>
      <x:c r="C4" s="143" t="n"/>
      <x:c r="D4" s="143" t="inlineStr">
        <x:is>
          <x:t xml:space="preserve">Resolved</x:t>
        </x:is>
      </x:c>
      <x:c r="E4" s="143" t="n">
        <x:f>SUM(M9:M21)</x:f>
        <x:v>10</x:v>
      </x:c>
      <x:c r="F4" s="143" t="n"/>
      <x:c r="G4" s="143" t="inlineStr">
        <x:is>
          <x:t xml:space="preserve">Completion</x:t>
        </x:is>
      </x:c>
      <x:c r="H4" s="143" t="n">
        <x:f>IF(B4=0,0,E4/B4)</x:f>
        <x:v>0.7692307692307693</x:v>
      </x:c>
      <x:c r="I4" s="143" t="n"/>
      <x:c r="J4" s="143" t="inlineStr">
        <x:is>
          <x:t xml:space="preserve">Package gate</x:t>
        </x:is>
      </x:c>
      <x:c r="K4" s="143" t="inlineStr">
        <x:is>
          <x:t xml:space="preserve">open</x:t>
        </x:is>
      </x:c>
      <x:c r="L4" s="143" t="n"/>
      <x:c r="M4" s="143" t="n"/>
    </x:row>
    <x:row r="5" s="135" customFormat="1" ht="15" customHeight="1">
      <x:c r="A5" s="143" t="inlineStr">
        <x:is>
          <x:t xml:space="preserve">Manual review</x:t>
        </x:is>
      </x:c>
      <x:c r="B5" s="143" t="str">
        <x:f>IF(COUNTIFS(I9:I24,"yes",M9:M24,0)&gt;0,"open","complete")</x:f>
        <x:v>open</x:v>
      </x:c>
      <x:c r="C5" s="143" t="n"/>
      <x:c r="D5" s="143" t="inlineStr">
        <x:is>
          <x:t xml:space="preserve">Consumer gate</x:t>
        </x:is>
      </x:c>
      <x:c r="E5" s="143" t="inlineStr">
        <x:is>
          <x:t xml:space="preserve">complete</x:t>
        </x:is>
      </x:c>
      <x:c r="F5" s="143" t="n"/>
      <x:c r="G5" s="143" t="n"/>
      <x:c r="H5" s="143" t="n"/>
      <x:c r="I5" s="143" t="n"/>
      <x:c r="J5" s="143" t="n"/>
      <x:c r="K5" s="143" t="n"/>
      <x:c r="L5" s="143" t="n"/>
      <x:c r="M5" s="143" t="n"/>
    </x:row>
    <x:row r="6" s="135" customFormat="1" ht="15" customHeight="1">
      <x:c r="A6" s="143" t="n"/>
      <x:c r="B6" s="143" t="n"/>
      <x:c r="C6" s="143" t="n"/>
      <x:c r="D6" s="143" t="n"/>
      <x:c r="E6" s="143" t="n"/>
      <x:c r="F6" s="143" t="n"/>
      <x:c r="G6" s="143" t="n"/>
      <x:c r="H6" s="143" t="n"/>
      <x:c r="I6" s="143" t="n"/>
      <x:c r="J6" s="143" t="n"/>
      <x:c r="K6" s="143" t="n"/>
      <x:c r="L6" s="143" t="n"/>
      <x:c r="M6" s="143" t="n"/>
    </x:row>
    <x:row r="7" s="135" customFormat="1" ht="15" customHeight="1">
      <x:c r="A7" s="143" t="n"/>
      <x:c r="B7" s="143" t="n"/>
      <x:c r="C7" s="143" t="n"/>
      <x:c r="D7" s="143" t="n"/>
      <x:c r="E7" s="143" t="n"/>
      <x:c r="F7" s="143" t="n"/>
      <x:c r="G7" s="143" t="n"/>
      <x:c r="H7" s="143" t="n"/>
      <x:c r="I7" s="143" t="n"/>
      <x:c r="J7" s="143" t="n"/>
      <x:c r="K7" s="143" t="n"/>
      <x:c r="L7" s="143" t="n"/>
      <x:c r="M7" s="143" t="n"/>
    </x:row>
    <x:row r="8" s="135" customFormat="1" ht="57.75" customHeight="1">
      <x:c r="A8" s="143" t="inlineStr">
        <x:is>
          <x:t xml:space="preserve">ID</x:t>
        </x:is>
      </x:c>
      <x:c r="B8" s="143" t="inlineStr">
        <x:is>
          <x:t xml:space="preserve">Area</x:t>
        </x:is>
      </x:c>
      <x:c r="C8" s="143" t="inlineStr">
        <x:is>
          <x:t xml:space="preserve">Part</x:t>
        </x:is>
      </x:c>
      <x:c r="D8" s="143" t="inlineStr">
        <x:is>
          <x:t xml:space="preserve">Requirement</x:t>
        </x:is>
      </x:c>
      <x:c r="E8" s="143" t="inlineStr">
        <x:is>
          <x:t xml:space="preserve">Gate</x:t>
        </x:is>
      </x:c>
      <x:c r="F8" s="143" t="inlineStr">
        <x:is>
          <x:t xml:space="preserve">Evidence type</x:t>
        </x:is>
      </x:c>
      <x:c r="G8" s="143" t="inlineStr">
        <x:is>
          <x:t xml:space="preserve">Evidence / link</x:t>
        </x:is>
      </x:c>
      <x:c r="H8" s="143" t="inlineStr">
        <x:is>
          <x:t xml:space="preserve">Status</x:t>
        </x:is>
      </x:c>
      <x:c r="I8" s="143" t="inlineStr">
        <x:is>
          <x:t xml:space="preserve">Human review?</x:t>
        </x:is>
      </x:c>
      <x:c r="J8" s="143" t="inlineStr">
        <x:is>
          <x:t xml:space="preserve">Last verified</x:t>
        </x:is>
      </x:c>
      <x:c r="K8" s="143" t="inlineStr">
        <x:is>
          <x:t xml:space="preserve">Blocker / N/A reason</x:t>
        </x:is>
      </x:c>
      <x:c r="L8" s="143" t="inlineStr">
        <x:is>
          <x:t xml:space="preserve">Weight</x:t>
        </x:is>
      </x:c>
      <x:c r="M8" s="143" t="inlineStr">
        <x:is>
          <x:t xml:space="preserve">Resolved</x:t>
        </x:is>
      </x:c>
    </x:row>
    <x:row r="9" s="135" customFormat="1" ht="57.75" customHeight="1">
      <x:c r="A9" s="143" t="inlineStr">
        <x:is>
          <x:t xml:space="preserve">close-button-1</x:t>
        </x:is>
      </x:c>
      <x:c r="B9" s="143" t="inlineStr">
        <x:is>
          <x:t xml:space="preserve">Implementation</x:t>
        </x:is>
      </x:c>
      <x:c r="C9" s="143" t="inlineStr">
        <x:is>
          <x:t xml:space="preserve">CloseButton</x:t>
        </x:is>
      </x:c>
      <x:c r="D9" s="143" t="inlineStr">
        <x:is>
          <x:t xml:space="preserve">Single Atom behavior owner</x:t>
        </x:is>
      </x:c>
      <x:c r="E9" s="143" t="inlineStr">
        <x:is>
          <x:t xml:space="preserve">component</x:t>
        </x:is>
      </x:c>
      <x:c r="F9" s="143" t="inlineStr">
        <x:is>
          <x:t xml:space="preserve">unit</x:t>
        </x:is>
      </x:c>
      <x:c r="G9" s="143" t="inlineStr">
        <x:is>
          <x:t xml:space="preserve">test/components/close-button/close-button.test.tsx</x:t>
        </x:is>
      </x:c>
      <x:c r="H9" s="143" t="inlineStr">
        <x:is>
          <x:t xml:space="preserve">tested</x:t>
        </x:is>
      </x:c>
      <x:c r="I9" s="143" t="inlineStr">
        <x:is>
          <x:t xml:space="preserve">no</x:t>
        </x:is>
      </x:c>
      <x:c r="J9" s="143" t="inlineStr">
        <x:is>
          <x:t xml:space="preserve">2026-09-05</x:t>
        </x:is>
      </x:c>
      <x:c r="K9" s="143" t="n"/>
      <x:c r="L9" s="143" t="n">
        <x:v>1</x:v>
      </x:c>
      <x:c r="M9" s="143" t="n">
        <x:f>IF(H9="not applicable",1,IF(I9="yes",IF(H9="verified",1,0),IF(OR(H9="tested",H9="verified"),1,0)))</x:f>
        <x:v>1</x:v>
      </x:c>
    </x:row>
    <x:row r="10" s="135" customFormat="1" ht="57.75" customHeight="1">
      <x:c r="A10" s="143" t="inlineStr">
        <x:is>
          <x:t xml:space="preserve">close-button-2</x:t>
        </x:is>
      </x:c>
      <x:c r="B10" s="143" t="inlineStr">
        <x:is>
          <x:t xml:space="preserve">Exports</x:t>
        </x:is>
      </x:c>
      <x:c r="C10" s="143" t="inlineStr">
        <x:is>
          <x:t xml:space="preserve">CloseButton</x:t>
        </x:is>
      </x:c>
      <x:c r="D10" s="143" t="inlineStr">
        <x:is>
          <x:t xml:space="preserve">Root and modular entrypoints</x:t>
        </x:is>
      </x:c>
      <x:c r="E10" s="143" t="inlineStr">
        <x:is>
          <x:t xml:space="preserve">component</x:t>
        </x:is>
      </x:c>
      <x:c r="F10" s="143" t="inlineStr">
        <x:is>
          <x:t xml:space="preserve">package</x:t>
        </x:is>
      </x:c>
      <x:c r="G10" s="143" t="inlineStr">
        <x:is>
          <x:t xml:space="preserve">test/package/package.test.mjs</x:t>
        </x:is>
      </x:c>
      <x:c r="H10" s="143" t="inlineStr">
        <x:is>
          <x:t xml:space="preserve">tested</x:t>
        </x:is>
      </x:c>
      <x:c r="I10" s="143" t="inlineStr">
        <x:is>
          <x:t xml:space="preserve">no</x:t>
        </x:is>
      </x:c>
      <x:c r="J10" s="143" t="inlineStr">
        <x:is>
          <x:t xml:space="preserve">2026-09-05</x:t>
        </x:is>
      </x:c>
      <x:c r="K10" s="143" t="n"/>
      <x:c r="L10" s="143" t="n">
        <x:v>1</x:v>
      </x:c>
      <x:c r="M10" s="143" t="n">
        <x:f>IF(H10="not applicable",1,IF(I10="yes",IF(H10="verified",1,0),IF(OR(H10="tested",H10="verified"),1,0)))</x:f>
        <x:v>1</x:v>
      </x:c>
    </x:row>
    <x:row r="11" s="135" customFormat="1" ht="57.75" customHeight="1">
      <x:c r="A11" s="143" t="inlineStr">
        <x:is>
          <x:t xml:space="preserve">close-button-3</x:t>
        </x:is>
      </x:c>
      <x:c r="B11" s="143" t="inlineStr">
        <x:is>
          <x:t xml:space="preserve">Types</x:t>
        </x:is>
      </x:c>
      <x:c r="C11" s="143" t="inlineStr">
        <x:is>
          <x:t xml:space="preserve">CloseButton</x:t>
        </x:is>
      </x:c>
      <x:c r="D11" s="143" t="inlineStr">
        <x:is>
          <x:t xml:space="preserve">Unsupported navigation and submission props rejected</x:t>
        </x:is>
      </x:c>
      <x:c r="E11" s="143" t="inlineStr">
        <x:is>
          <x:t xml:space="preserve">component</x:t>
        </x:is>
      </x:c>
      <x:c r="F11" s="143" t="inlineStr">
        <x:is>
          <x:t xml:space="preserve">types</x:t>
        </x:is>
      </x:c>
      <x:c r="G11" s="143" t="inlineStr">
        <x:is>
          <x:t xml:space="preserve">test/types/components/close-button.test.ts</x:t>
        </x:is>
      </x:c>
      <x:c r="H11" s="143" t="inlineStr">
        <x:is>
          <x:t xml:space="preserve">tested</x:t>
        </x:is>
      </x:c>
      <x:c r="I11" s="143" t="inlineStr">
        <x:is>
          <x:t xml:space="preserve">no</x:t>
        </x:is>
      </x:c>
      <x:c r="J11" s="143" t="inlineStr">
        <x:is>
          <x:t xml:space="preserve">2026-09-05</x:t>
        </x:is>
      </x:c>
      <x:c r="K11" s="143" t="n"/>
      <x:c r="L11" s="143" t="n">
        <x:v>1</x:v>
      </x:c>
      <x:c r="M11" s="143" t="n">
        <x:f>IF(H11="not applicable",1,IF(I11="yes",IF(H11="verified",1,0),IF(OR(H11="tested",H11="verified"),1,0)))</x:f>
        <x:v>1</x:v>
      </x:c>
    </x:row>
    <x:row r="12" s="135" customFormat="1" ht="57.75" customHeight="1">
      <x:c r="A12" s="143" t="inlineStr">
        <x:is>
          <x:t xml:space="preserve">close-button-4</x:t>
        </x:is>
      </x:c>
      <x:c r="B12" s="143" t="inlineStr">
        <x:is>
          <x:t xml:space="preserve">Presentation</x:t>
        </x:is>
      </x:c>
      <x:c r="C12" s="143" t="inlineStr">
        <x:is>
          <x:t xml:space="preserve">CloseButton</x:t>
        </x:is>
      </x:c>
      <x:c r="D12" s="143" t="inlineStr">
        <x:is>
          <x:t xml:space="preserve">Reuse action CSS without a separate size recipe</x:t>
        </x:is>
      </x:c>
      <x:c r="E12" s="143" t="inlineStr">
        <x:is>
          <x:t xml:space="preserve">component</x:t>
        </x:is>
      </x:c>
      <x:c r="F12" s="143" t="inlineStr">
        <x:is>
          <x:t xml:space="preserve">source</x:t>
        </x:is>
      </x:c>
      <x:c r="G12" s="143" t="inlineStr">
        <x:is>
          <x:t xml:space="preserve">src/components/close-button/CloseButton.tsx</x:t>
        </x:is>
      </x:c>
      <x:c r="H12" s="143" t="inlineStr">
        <x:is>
          <x:t xml:space="preserve">tested</x:t>
        </x:is>
      </x:c>
      <x:c r="I12" s="143" t="inlineStr">
        <x:is>
          <x:t xml:space="preserve">no</x:t>
        </x:is>
      </x:c>
      <x:c r="J12" s="143" t="inlineStr">
        <x:is>
          <x:t xml:space="preserve">2026-09-05</x:t>
        </x:is>
      </x:c>
      <x:c r="K12" s="143" t="n"/>
      <x:c r="L12" s="143" t="n">
        <x:v>1</x:v>
      </x:c>
      <x:c r="M12" s="143" t="n">
        <x:f>IF(H12="not applicable",1,IF(I12="yes",IF(H12="verified",1,0),IF(OR(H12="tested",H12="verified"),1,0)))</x:f>
        <x:v>1</x:v>
      </x:c>
    </x:row>
    <x:row r="13" s="135" customFormat="1" ht="57.75" customHeight="1">
      <x:c r="A13" s="143" t="inlineStr">
        <x:is>
          <x:t xml:space="preserve">close-button-5</x:t>
        </x:is>
      </x:c>
      <x:c r="B13" s="143" t="inlineStr">
        <x:is>
          <x:t xml:space="preserve">Geometry</x:t>
        </x:is>
      </x:c>
      <x:c r="C13" s="143" t="inlineStr">
        <x:is>
          <x:t xml:space="preserve">CloseButton</x:t>
        </x:is>
      </x:c>
      <x:c r="D13" s="143" t="inlineStr">
        <x:is>
          <x:t xml:space="preserve">Square sizes and shared paint pass.</x:t>
        </x:is>
      </x:c>
      <x:c r="E13" s="143" t="inlineStr">
        <x:is>
          <x:t xml:space="preserve">component</x:t>
        </x:is>
      </x:c>
      <x:c r="F13" s="143" t="inlineStr">
        <x:is>
          <x:t xml:space="preserve">browser</x:t>
        </x:is>
      </x:c>
      <x:c r="G13" s="143" t="inlineStr">
        <x:is>
          <x:t xml:space="preserve">playground/tests/components/icon-button/family.spec.ts</x:t>
        </x:is>
      </x:c>
      <x:c r="H13" s="143" t="inlineStr">
        <x:is>
          <x:t xml:space="preserve">tested</x:t>
        </x:is>
      </x:c>
      <x:c r="I13" s="143" t="inlineStr">
        <x:is>
          <x:t xml:space="preserve">no</x:t>
        </x:is>
      </x:c>
      <x:c r="J13" s="143" t="inlineStr">
        <x:is>
          <x:t xml:space="preserve">2026-09-05</x:t>
        </x:is>
      </x:c>
      <x:c r="K13" s="143" t="n"/>
      <x:c r="L13" s="143" t="n">
        <x:v>1</x:v>
      </x:c>
      <x:c r="M13" s="143" t="n">
        <x:f>IF(H13="not applicable",1,IF(I13="yes",IF(H13="verified",1,0),IF(OR(H13="tested",H13="verified"),1,0)))</x:f>
        <x:v>1</x:v>
      </x:c>
    </x:row>
    <x:row r="14" s="135" customFormat="1" ht="57.75" customHeight="1">
      <x:c r="A14" s="143" t="inlineStr">
        <x:is>
          <x:t xml:space="preserve">close-button-6</x:t>
        </x:is>
      </x:c>
      <x:c r="B14" s="143" t="inlineStr">
        <x:is>
          <x:t xml:space="preserve">Accessibility</x:t>
        </x:is>
      </x:c>
      <x:c r="C14" s="143" t="inlineStr">
        <x:is>
          <x:t xml:space="preserve">CloseButton</x:t>
        </x:is>
      </x:c>
      <x:c r="D14" s="143" t="inlineStr">
        <x:is>
          <x:t xml:space="preserve">Serious and critical axe scan</x:t>
        </x:is>
      </x:c>
      <x:c r="E14" s="143" t="inlineStr">
        <x:is>
          <x:t xml:space="preserve">component</x:t>
        </x:is>
      </x:c>
      <x:c r="F14" s="143" t="inlineStr">
        <x:is>
          <x:t xml:space="preserve">browser</x:t>
        </x:is>
      </x:c>
      <x:c r="G14" s="143" t="inlineStr">
        <x:is>
          <x:t xml:space="preserve">playground/tests/components/close-button/behavior.spec.ts</x:t>
        </x:is>
      </x:c>
      <x:c r="H14" s="143" t="inlineStr">
        <x:is>
          <x:t xml:space="preserve">tested</x:t>
        </x:is>
      </x:c>
      <x:c r="I14" s="143" t="inlineStr">
        <x:is>
          <x:t xml:space="preserve">no</x:t>
        </x:is>
      </x:c>
      <x:c r="J14" s="143" t="inlineStr">
        <x:is>
          <x:t xml:space="preserve">2026-09-05</x:t>
        </x:is>
      </x:c>
      <x:c r="K14" s="143" t="n"/>
      <x:c r="L14" s="143" t="n">
        <x:v>1</x:v>
      </x:c>
      <x:c r="M14" s="143" t="n">
        <x:f>IF(H14="not applicable",1,IF(I14="yes",IF(H14="verified",1,0),IF(OR(H14="tested",H14="verified"),1,0)))</x:f>
        <x:v>1</x:v>
      </x:c>
    </x:row>
    <x:row r="15" s="135" customFormat="1" ht="57.75" customHeight="1">
      <x:c r="A15" s="143" t="inlineStr">
        <x:is>
          <x:t xml:space="preserve">close-button-7</x:t>
        </x:is>
      </x:c>
      <x:c r="B15" s="143" t="inlineStr">
        <x:is>
          <x:t xml:space="preserve">Behavior</x:t>
        </x:is>
      </x:c>
      <x:c r="C15" s="143" t="inlineStr">
        <x:is>
          <x:t xml:space="preserve">CloseButton</x:t>
        </x:is>
      </x:c>
      <x:c r="D15" s="143" t="inlineStr">
        <x:is>
          <x:t xml:space="preserve">Dismissal restores trigger focus</x:t>
        </x:is>
      </x:c>
      <x:c r="E15" s="143" t="inlineStr">
        <x:is>
          <x:t xml:space="preserve">component</x:t>
        </x:is>
      </x:c>
      <x:c r="F15" s="143" t="inlineStr">
        <x:is>
          <x:t xml:space="preserve">browser</x:t>
        </x:is>
      </x:c>
      <x:c r="G15" s="143" t="inlineStr">
        <x:is>
          <x:t xml:space="preserve">playground/tests/components/close-button/behavior.spec.ts</x:t>
        </x:is>
      </x:c>
      <x:c r="H15" s="143" t="inlineStr">
        <x:is>
          <x:t xml:space="preserve">tested</x:t>
        </x:is>
      </x:c>
      <x:c r="I15" s="143" t="inlineStr">
        <x:is>
          <x:t xml:space="preserve">no</x:t>
        </x:is>
      </x:c>
      <x:c r="J15" s="143" t="inlineStr">
        <x:is>
          <x:t xml:space="preserve">2026-09-05</x:t>
        </x:is>
      </x:c>
      <x:c r="K15" s="143" t="n"/>
      <x:c r="L15" s="143" t="n">
        <x:v>1</x:v>
      </x:c>
      <x:c r="M15" s="143" t="n">
        <x:f>IF(H15="not applicable",1,IF(I15="yes",IF(H15="verified",1,0),IF(OR(H15="tested",H15="verified"),1,0)))</x:f>
        <x:v>1</x:v>
      </x:c>
    </x:row>
    <x:row r="16" s="135" customFormat="1" ht="57.75" customHeight="1">
      <x:c r="A16" s="143" t="inlineStr">
        <x:is>
          <x:t xml:space="preserve">close-button-8</x:t>
        </x:is>
      </x:c>
      <x:c r="B16" s="143" t="inlineStr">
        <x:is>
          <x:t xml:space="preserve">Visual</x:t>
        </x:is>
      </x:c>
      <x:c r="C16" s="143" t="inlineStr">
        <x:is>
          <x:t xml:space="preserve">CloseButton</x:t>
        </x:is>
      </x:c>
      <x:c r="D16" s="143" t="inlineStr">
        <x:is>
          <x:t xml:space="preserve">Light and dark snapshot capture</x:t>
        </x:is>
      </x:c>
      <x:c r="E16" s="143" t="inlineStr">
        <x:is>
          <x:t xml:space="preserve">component</x:t>
        </x:is>
      </x:c>
      <x:c r="F16" s="143" t="inlineStr">
        <x:is>
          <x:t xml:space="preserve">visual</x:t>
        </x:is>
      </x:c>
      <x:c r="G16" s="143" t="inlineStr">
        <x:is>
          <x:t xml:space="preserve">playground/tests/components/close-button/visual.spec.ts</x:t>
        </x:is>
      </x:c>
      <x:c r="H16" s="143" t="inlineStr">
        <x:is>
          <x:t xml:space="preserve">partial</x:t>
        </x:is>
      </x:c>
      <x:c r="I16" s="143" t="inlineStr">
        <x:is>
          <x:t xml:space="preserve">yes</x:t>
        </x:is>
      </x:c>
      <x:c r="J16" s="143" t="inlineStr">
        <x:is>
          <x:t xml:space="preserve">2026-09-05</x:t>
        </x:is>
      </x:c>
      <x:c r="K16" s="143" t="inlineStr">
        <x:is>
          <x:t xml:space="preserve">New recipe baselines need owner review.</x:t>
        </x:is>
      </x:c>
      <x:c r="L16" s="143" t="n">
        <x:v>1</x:v>
      </x:c>
      <x:c r="M16" s="143" t="n">
        <x:f>IF(H16="not applicable",1,IF(I16="yes",IF(H16="verified",1,0),IF(OR(H16="tested",H16="verified"),1,0)))</x:f>
        <x:v>0</x:v>
      </x:c>
    </x:row>
    <x:row r="17" s="135" customFormat="1" ht="57.75" customHeight="1">
      <x:c r="A17" s="143" t="inlineStr">
        <x:is>
          <x:t xml:space="preserve">close-button-9</x:t>
        </x:is>
      </x:c>
      <x:c r="B17" s="143" t="inlineStr">
        <x:is>
          <x:t xml:space="preserve">Documentation</x:t>
        </x:is>
      </x:c>
      <x:c r="C17" s="143" t="inlineStr">
        <x:is>
          <x:t xml:space="preserve">CloseButton</x:t>
        </x:is>
      </x:c>
      <x:c r="D17" s="143" t="inlineStr">
        <x:is>
          <x:t xml:space="preserve">Public API and component changelog</x:t>
        </x:is>
      </x:c>
      <x:c r="E17" s="143" t="inlineStr">
        <x:is>
          <x:t xml:space="preserve">component</x:t>
        </x:is>
      </x:c>
      <x:c r="F17" s="143" t="inlineStr">
        <x:is>
          <x:t xml:space="preserve">validator</x:t>
        </x:is>
      </x:c>
      <x:c r="G17" s="143" t="inlineStr">
        <x:is>
          <x:t xml:space="preserve">docs/components/close-button/README.md</x:t>
        </x:is>
      </x:c>
      <x:c r="H17" s="143" t="inlineStr">
        <x:is>
          <x:t xml:space="preserve">tested</x:t>
        </x:is>
      </x:c>
      <x:c r="I17" s="143" t="inlineStr">
        <x:is>
          <x:t xml:space="preserve">no</x:t>
        </x:is>
      </x:c>
      <x:c r="J17" s="143" t="inlineStr">
        <x:is>
          <x:t xml:space="preserve">2026-09-05</x:t>
        </x:is>
      </x:c>
      <x:c r="K17" s="143" t="n"/>
      <x:c r="L17" s="143" t="n">
        <x:v>1</x:v>
      </x:c>
      <x:c r="M17" s="143" t="n">
        <x:f>IF(H17="not applicable",1,IF(I17="yes",IF(H17="verified",1,0),IF(OR(H17="tested",H17="verified"),1,0)))</x:f>
        <x:v>1</x:v>
      </x:c>
    </x:row>
    <x:row r="18" s="135" customFormat="1" ht="57.75" customHeight="1">
      <x:c r="A18" s="143" t="inlineStr">
        <x:is>
          <x:t xml:space="preserve">close-button-10</x:t>
        </x:is>
      </x:c>
      <x:c r="B18" s="143" t="inlineStr">
        <x:is>
          <x:t xml:space="preserve">Knowledge</x:t>
        </x:is>
      </x:c>
      <x:c r="C18" s="143" t="inlineStr">
        <x:is>
          <x:t xml:space="preserve">CloseButton</x:t>
        </x:is>
      </x:c>
      <x:c r="D18" s="143" t="inlineStr">
        <x:is>
          <x:t xml:space="preserve">Closed owner guidance</x:t>
        </x:is>
      </x:c>
      <x:c r="E18" s="143" t="inlineStr">
        <x:is>
          <x:t xml:space="preserve">component</x:t>
        </x:is>
      </x:c>
      <x:c r="F18" s="143" t="inlineStr">
        <x:is>
          <x:t xml:space="preserve">validator</x:t>
        </x:is>
      </x:c>
      <x:c r="G18" s="143" t="inlineStr">
        <x:is>
          <x:t xml:space="preserve">src/components/close-button/agent.json</x:t>
        </x:is>
      </x:c>
      <x:c r="H18" s="143" t="inlineStr">
        <x:is>
          <x:t xml:space="preserve">tested</x:t>
        </x:is>
      </x:c>
      <x:c r="I18" s="143" t="inlineStr">
        <x:is>
          <x:t xml:space="preserve">no</x:t>
        </x:is>
      </x:c>
      <x:c r="J18" s="143" t="inlineStr">
        <x:is>
          <x:t xml:space="preserve">2026-09-05</x:t>
        </x:is>
      </x:c>
      <x:c r="K18" s="143" t="n"/>
      <x:c r="L18" s="143" t="n">
        <x:v>1</x:v>
      </x:c>
      <x:c r="M18" s="143" t="n">
        <x:f>IF(H18="not applicable",1,IF(I18="yes",IF(H18="verified",1,0),IF(OR(H18="tested",H18="verified"),1,0)))</x:f>
        <x:v>1</x:v>
      </x:c>
    </x:row>
    <x:row r="19" s="135" customFormat="1" ht="57.75" customHeight="1">
      <x:c r="A19" s="143" t="inlineStr">
        <x:is>
          <x:t xml:space="preserve">close-button-11</x:t>
        </x:is>
      </x:c>
      <x:c r="B19" s="143" t="inlineStr">
        <x:is>
          <x:t xml:space="preserve">Consumer</x:t>
        </x:is>
      </x:c>
      <x:c r="C19" s="143" t="inlineStr">
        <x:is>
          <x:t xml:space="preserve">CloseButton</x:t>
        </x:is>
      </x:c>
      <x:c r="D19" s="143" t="inlineStr">
        <x:is>
          <x:t xml:space="preserve">Digest-locked local package integration</x:t>
        </x:is>
      </x:c>
      <x:c r="E19" s="143" t="inlineStr">
        <x:is>
          <x:t xml:space="preserve">component</x:t>
        </x:is>
      </x:c>
      <x:c r="F19" s="143" t="inlineStr">
        <x:is>
          <x:t xml:space="preserve">consumer</x:t>
        </x:is>
      </x:c>
      <x:c r="G19" s="143" t="inlineStr">
        <x:is>
          <x:t xml:space="preserve">Digest-locked clean React 18 consumer: public imports, CSS and inert SSR passed</x:t>
        </x:is>
      </x:c>
      <x:c r="H19" s="143" t="inlineStr">
        <x:is>
          <x:t xml:space="preserve">partial</x:t>
        </x:is>
      </x:c>
      <x:c r="I19" s="143" t="inlineStr">
        <x:is>
          <x:t xml:space="preserve">no</x:t>
        </x:is>
      </x:c>
      <x:c r="J19" s="143" t="inlineStr">
        <x:is>
          <x:t xml:space="preserve">2026-09-05</x:t>
        </x:is>
      </x:c>
      <x:c r="K19" s="143" t="inlineStr">
        <x:is>
          <x:t xml:space="preserve">Updated clean consumer not qualified.</x:t>
        </x:is>
      </x:c>
      <x:c r="L19" s="143" t="n">
        <x:v>1</x:v>
      </x:c>
      <x:c r="M19" s="143" t="n">
        <x:f>IF(H19="not applicable",1,IF(I19="yes",IF(H19="verified",1,0),IF(OR(H19="tested",H19="verified"),1,0)))</x:f>
        <x:v>0</x:v>
      </x:c>
    </x:row>
    <x:row r="20" s="135" customFormat="1" ht="57.75" customHeight="1">
      <x:c r="A20" s="143" t="inlineStr">
        <x:is>
          <x:t xml:space="preserve">close-button-12</x:t>
        </x:is>
      </x:c>
      <x:c r="B20" s="143" t="inlineStr">
        <x:is>
          <x:t xml:space="preserve">Manual</x:t>
        </x:is>
      </x:c>
      <x:c r="C20" s="143" t="inlineStr">
        <x:is>
          <x:t xml:space="preserve">CloseButton</x:t>
        </x:is>
      </x:c>
      <x:c r="D20" s="143" t="inlineStr">
        <x:is>
          <x:t xml:space="preserve">Actual zoom, assistive technology and physical devices</x:t>
        </x:is>
      </x:c>
      <x:c r="E20" s="143" t="inlineStr">
        <x:is>
          <x:t xml:space="preserve">component</x:t>
        </x:is>
      </x:c>
      <x:c r="F20" s="143" t="inlineStr">
        <x:is>
          <x:t xml:space="preserve">manual</x:t>
        </x:is>
      </x:c>
      <x:c r="G20" s="143" t="inlineStr">
        <x:is>
          <x:t xml:space="preserve">playground/manual-tests/close-button.md</x:t>
        </x:is>
      </x:c>
      <x:c r="H20" s="143" t="inlineStr">
        <x:is>
          <x:t xml:space="preserve">blocked</x:t>
        </x:is>
      </x:c>
      <x:c r="I20" s="143" t="inlineStr">
        <x:is>
          <x:t xml:space="preserve">yes</x:t>
        </x:is>
      </x:c>
      <x:c r="J20" s="143" t="inlineStr">
        <x:is>
          <x:t xml:space="preserve">2026-09-05</x:t>
        </x:is>
      </x:c>
      <x:c r="K20" s="143" t="inlineStr">
        <x:is>
          <x:t xml:space="preserve">Independent manual run pending</x:t>
        </x:is>
      </x:c>
      <x:c r="L20" s="143" t="n">
        <x:v>1</x:v>
      </x:c>
      <x:c r="M20" s="143" t="n">
        <x:f>IF(H20="not applicable",1,IF(I20="yes",IF(H20="verified",1,0),IF(OR(H20="tested",H20="verified"),1,0)))</x:f>
        <x:v>0</x:v>
      </x:c>
    </x:row>
    <x:row r="21" s="135" customFormat="1" ht="63.75" customHeight="1">
      <x:c r="A21" s="148" t="inlineStr">
        <x:is>
          <x:t xml:space="preserve">closebutton-inventory</x:t>
        </x:is>
      </x:c>
      <x:c r="B21" s="148" t="inlineStr">
        <x:is>
          <x:t xml:space="preserve">Playground</x:t>
        </x:is>
      </x:c>
      <x:c r="C21" s="148" t="inlineStr">
        <x:is>
          <x:t xml:space="preserve">CloseButton</x:t>
        </x:is>
      </x:c>
      <x:c r="D21" s="148" t="inlineStr">
        <x:is>
          <x:t xml:space="preserve">Every declared scenario renders in order at 390px and 1280px without page overflow or runtime exceptions.</x:t>
        </x:is>
      </x:c>
      <x:c r="E21" s="148" t="inlineStr">
        <x:is>
          <x:t xml:space="preserve">component</x:t>
        </x:is>
      </x:c>
      <x:c r="F21" s="148" t="inlineStr">
        <x:is>
          <x:t xml:space="preserve">browser</x:t>
        </x:is>
      </x:c>
      <x:c r="G21" s="148" t="inlineStr">
        <x:is>
          <x:t xml:space="preserve">playground/tests/integration/recent-component-capabilities.spec.ts</x:t>
        </x:is>
      </x:c>
      <x:c r="H21" s="148" t="inlineStr">
        <x:is>
          <x:t xml:space="preserve">tested</x:t>
        </x:is>
      </x:c>
      <x:c r="I21" s="148" t="inlineStr">
        <x:is>
          <x:t xml:space="preserve">no</x:t>
        </x:is>
      </x:c>
      <x:c r="J21" s="148" t="inlineStr">
        <x:is>
          <x:t xml:space="preserve">2026-09-05</x:t>
        </x:is>
      </x:c>
      <x:c r="K21" s="148" t="inlineStr">
        <x:is>
          <x:t xml:space="preserve">This assertion does not establish full behavioral or manual qualification.</x:t>
        </x:is>
      </x:c>
      <x:c r="L21" s="148" t="n">
        <x:v>1</x:v>
      </x:c>
      <x:c r="M21" s="148" t="n">
        <x:f>IF(OR(H21="tested",H21="verified"),1,0)</x:f>
        <x:v>1</x:v>
      </x:c>
    </x:row>
  </x:sheetData>
  <x:dataValidations count="2">
    <x:dataValidation type="list" errorStyle="stop" operator="between" allowBlank="0" showDropDown="0" showInputMessage="0" showErrorMessage="0" sqref="H9:H20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H21">
      <x:formula1>_Lists!$A$1:$A$7</x:formula1>
      <x:formula2>0</x:formula2>
    </x:dataValidation>
  </x:dataValidations>
  <x:pageMargins left="0.7" right="0.7" top="0.75" bottom="0.75" header="0.3" footer="0.3"/>
</x:worksheet>
</file>

<file path=xl/worksheets/sheet113.xml><?xml version="1.0" encoding="utf-8"?>
<x:worksheet xmlns:x="http://schemas.openxmlformats.org/spreadsheetml/2006/main">
  <x:sheetViews>
    <x:sheetView showGridLines="1" workbookViewId="0">
      <x:pane ySplit="8" topLeftCell="A9" activePane="bottomLeft" state="frozen"/>
    </x:sheetView>
  </x:sheetViews>
  <x:sheetFormatPr baseColWidth="8" defaultColWidth="8.6796875" defaultRowHeight="15"/>
  <x:cols>
    <x:col min="1" max="3" width="18" style="138" customWidth="1"/>
    <x:col min="4" max="4" width="46" style="138" customWidth="1"/>
    <x:col min="5" max="6" width="18" style="138" customWidth="1"/>
    <x:col min="7" max="7" width="48" style="138" customWidth="1"/>
    <x:col min="8" max="13" width="18" style="138" customWidth="1"/>
  </x:cols>
  <x:sheetData>
    <x:row r="1" s="135" customFormat="1" ht="23.850000381469727" customHeight="1">
      <x:c r="A1" s="143" t="inlineStr">
        <x:is>
          <x:t xml:space="preserve">DownloadTrigger evidence</x:t>
        </x:is>
      </x:c>
      <x:c r="B1" s="143" t="n"/>
      <x:c r="C1" s="143" t="n"/>
      <x:c r="D1" s="143" t="n"/>
      <x:c r="E1" s="143" t="n"/>
      <x:c r="F1" s="143" t="n"/>
      <x:c r="G1" s="143" t="n"/>
      <x:c r="H1" s="143" t="n"/>
      <x:c r="I1" s="143" t="n"/>
      <x:c r="J1" s="143" t="n"/>
      <x:c r="K1" s="143" t="n"/>
      <x:c r="L1" s="143" t="n"/>
      <x:c r="M1" s="143" t="n"/>
    </x:row>
    <x:row r="2" s="135" customFormat="1" ht="57.45000076293945" customHeight="1">
      <x:c r="A2" s="143" t="inlineStr">
        <x:is>
          <x:t xml:space="preserve">Automated evidence recorded; independent manual platform review remains open.</x:t>
        </x:is>
      </x:c>
      <x:c r="B2" s="143" t="n"/>
      <x:c r="C2" s="143" t="n"/>
      <x:c r="D2" s="143" t="n"/>
      <x:c r="E2" s="143" t="n"/>
      <x:c r="F2" s="143" t="n"/>
      <x:c r="G2" s="143" t="n"/>
      <x:c r="H2" s="143" t="n"/>
      <x:c r="I2" s="143" t="n"/>
      <x:c r="J2" s="143" t="n"/>
      <x:c r="K2" s="143" t="n"/>
      <x:c r="L2" s="143" t="n"/>
      <x:c r="M2" s="143" t="n"/>
    </x:row>
    <x:row r="3" s="135" customFormat="1" ht="15" customHeight="1">
      <x:c r="A3" s="143" t="n"/>
      <x:c r="B3" s="143" t="n"/>
      <x:c r="C3" s="143" t="n"/>
      <x:c r="D3" s="143" t="n"/>
      <x:c r="E3" s="143" t="n"/>
      <x:c r="F3" s="143" t="n"/>
      <x:c r="G3" s="143" t="n"/>
      <x:c r="H3" s="143" t="n"/>
      <x:c r="I3" s="143" t="n"/>
      <x:c r="J3" s="143" t="n"/>
      <x:c r="K3" s="143" t="n"/>
      <x:c r="L3" s="143" t="n"/>
      <x:c r="M3" s="143" t="n"/>
    </x:row>
    <x:row r="4" s="135" customFormat="1" ht="15" customHeight="1">
      <x:c r="A4" s="143" t="inlineStr">
        <x:is>
          <x:t xml:space="preserve">Requirements</x:t>
        </x:is>
      </x:c>
      <x:c r="B4" s="143" t="n">
        <x:f>COUNTA(A9:A21)</x:f>
        <x:v>13</x:v>
      </x:c>
      <x:c r="C4" s="143" t="n"/>
      <x:c r="D4" s="143" t="inlineStr">
        <x:is>
          <x:t xml:space="preserve">Resolved</x:t>
        </x:is>
      </x:c>
      <x:c r="E4" s="143" t="n">
        <x:f>SUM(M9:M21)</x:f>
        <x:v>12</x:v>
      </x:c>
      <x:c r="F4" s="143" t="n"/>
      <x:c r="G4" s="143" t="inlineStr">
        <x:is>
          <x:t xml:space="preserve">Completion</x:t>
        </x:is>
      </x:c>
      <x:c r="H4" s="143" t="n">
        <x:f>IF(B4=0,0,E4/B4)</x:f>
        <x:v>0.9230769230769231</x:v>
      </x:c>
      <x:c r="I4" s="143" t="n"/>
      <x:c r="J4" s="143" t="inlineStr">
        <x:is>
          <x:t xml:space="preserve">Package gate</x:t>
        </x:is>
      </x:c>
      <x:c r="K4" s="143" t="inlineStr">
        <x:is>
          <x:t xml:space="preserve">open</x:t>
        </x:is>
      </x:c>
      <x:c r="L4" s="143" t="n"/>
      <x:c r="M4" s="143" t="n"/>
    </x:row>
    <x:row r="5" s="135" customFormat="1" ht="15" customHeight="1">
      <x:c r="A5" s="143" t="inlineStr">
        <x:is>
          <x:t xml:space="preserve">Manual review</x:t>
        </x:is>
      </x:c>
      <x:c r="B5" s="143" t="str">
        <x:f>IF(COUNTIFS(I9:I24,"yes",M9:M24,0)&gt;0,"open","complete")</x:f>
        <x:v>open</x:v>
      </x:c>
      <x:c r="C5" s="143" t="n"/>
      <x:c r="D5" s="143" t="inlineStr">
        <x:is>
          <x:t xml:space="preserve">Consumer gate</x:t>
        </x:is>
      </x:c>
      <x:c r="E5" s="143" t="inlineStr">
        <x:is>
          <x:t xml:space="preserve">complete</x:t>
        </x:is>
      </x:c>
      <x:c r="F5" s="143" t="n"/>
      <x:c r="G5" s="143" t="n"/>
      <x:c r="H5" s="143" t="n"/>
      <x:c r="I5" s="143" t="n"/>
      <x:c r="J5" s="143" t="n"/>
      <x:c r="K5" s="143" t="n"/>
      <x:c r="L5" s="143" t="n"/>
      <x:c r="M5" s="143" t="n"/>
    </x:row>
    <x:row r="6" s="135" customFormat="1" ht="15" customHeight="1">
      <x:c r="A6" s="143" t="n"/>
      <x:c r="B6" s="143" t="n"/>
      <x:c r="C6" s="143" t="n"/>
      <x:c r="D6" s="143" t="n"/>
      <x:c r="E6" s="143" t="n"/>
      <x:c r="F6" s="143" t="n"/>
      <x:c r="G6" s="143" t="n"/>
      <x:c r="H6" s="143" t="n"/>
      <x:c r="I6" s="143" t="n"/>
      <x:c r="J6" s="143" t="n"/>
      <x:c r="K6" s="143" t="n"/>
      <x:c r="L6" s="143" t="n"/>
      <x:c r="M6" s="143" t="n"/>
    </x:row>
    <x:row r="7" s="135" customFormat="1" ht="15" customHeight="1">
      <x:c r="A7" s="143" t="n"/>
      <x:c r="B7" s="143" t="n"/>
      <x:c r="C7" s="143" t="n"/>
      <x:c r="D7" s="143" t="n"/>
      <x:c r="E7" s="143" t="n"/>
      <x:c r="F7" s="143" t="n"/>
      <x:c r="G7" s="143" t="n"/>
      <x:c r="H7" s="143" t="n"/>
      <x:c r="I7" s="143" t="n"/>
      <x:c r="J7" s="143" t="n"/>
      <x:c r="K7" s="143" t="n"/>
      <x:c r="L7" s="143" t="n"/>
      <x:c r="M7" s="143" t="n"/>
    </x:row>
    <x:row r="8" s="135" customFormat="1" ht="57.75" customHeight="1">
      <x:c r="A8" s="143" t="inlineStr">
        <x:is>
          <x:t xml:space="preserve">ID</x:t>
        </x:is>
      </x:c>
      <x:c r="B8" s="143" t="inlineStr">
        <x:is>
          <x:t xml:space="preserve">Area</x:t>
        </x:is>
      </x:c>
      <x:c r="C8" s="143" t="inlineStr">
        <x:is>
          <x:t xml:space="preserve">Part</x:t>
        </x:is>
      </x:c>
      <x:c r="D8" s="143" t="inlineStr">
        <x:is>
          <x:t xml:space="preserve">Requirement</x:t>
        </x:is>
      </x:c>
      <x:c r="E8" s="143" t="inlineStr">
        <x:is>
          <x:t xml:space="preserve">Gate</x:t>
        </x:is>
      </x:c>
      <x:c r="F8" s="143" t="inlineStr">
        <x:is>
          <x:t xml:space="preserve">Evidence type</x:t>
        </x:is>
      </x:c>
      <x:c r="G8" s="143" t="inlineStr">
        <x:is>
          <x:t xml:space="preserve">Evidence / link</x:t>
        </x:is>
      </x:c>
      <x:c r="H8" s="143" t="inlineStr">
        <x:is>
          <x:t xml:space="preserve">Status</x:t>
        </x:is>
      </x:c>
      <x:c r="I8" s="143" t="inlineStr">
        <x:is>
          <x:t xml:space="preserve">Human review?</x:t>
        </x:is>
      </x:c>
      <x:c r="J8" s="143" t="inlineStr">
        <x:is>
          <x:t xml:space="preserve">Last verified</x:t>
        </x:is>
      </x:c>
      <x:c r="K8" s="143" t="inlineStr">
        <x:is>
          <x:t xml:space="preserve">Blocker / N/A reason</x:t>
        </x:is>
      </x:c>
      <x:c r="L8" s="143" t="inlineStr">
        <x:is>
          <x:t xml:space="preserve">Weight</x:t>
        </x:is>
      </x:c>
      <x:c r="M8" s="143" t="inlineStr">
        <x:is>
          <x:t xml:space="preserve">Resolved</x:t>
        </x:is>
      </x:c>
    </x:row>
    <x:row r="9" s="135" customFormat="1" ht="57.75" customHeight="1">
      <x:c r="A9" s="143" t="inlineStr">
        <x:is>
          <x:t xml:space="preserve">download-trigger-1</x:t>
        </x:is>
      </x:c>
      <x:c r="B9" s="143" t="inlineStr">
        <x:is>
          <x:t xml:space="preserve">Implementation</x:t>
        </x:is>
      </x:c>
      <x:c r="C9" s="143" t="inlineStr">
        <x:is>
          <x:t xml:space="preserve">DownloadTrigger</x:t>
        </x:is>
      </x:c>
      <x:c r="D9" s="143" t="inlineStr">
        <x:is>
          <x:t xml:space="preserve">Single Atom behavior owner</x:t>
        </x:is>
      </x:c>
      <x:c r="E9" s="143" t="inlineStr">
        <x:is>
          <x:t xml:space="preserve">component</x:t>
        </x:is>
      </x:c>
      <x:c r="F9" s="143" t="inlineStr">
        <x:is>
          <x:t xml:space="preserve">unit</x:t>
        </x:is>
      </x:c>
      <x:c r="G9" s="143" t="inlineStr">
        <x:is>
          <x:t xml:space="preserve">test/components/download-trigger/download-trigger.test.tsx</x:t>
        </x:is>
      </x:c>
      <x:c r="H9" s="143" t="inlineStr">
        <x:is>
          <x:t xml:space="preserve">tested</x:t>
        </x:is>
      </x:c>
      <x:c r="I9" s="143" t="inlineStr">
        <x:is>
          <x:t xml:space="preserve">no</x:t>
        </x:is>
      </x:c>
      <x:c r="J9" s="143" t="inlineStr">
        <x:is>
          <x:t xml:space="preserve">2026-09-05</x:t>
        </x:is>
      </x:c>
      <x:c r="K9" s="143" t="n"/>
      <x:c r="L9" s="143" t="n">
        <x:v>1</x:v>
      </x:c>
      <x:c r="M9" s="143" t="n">
        <x:f>IF(H9="not applicable",1,IF(I9="yes",IF(H9="verified",1,0),IF(OR(H9="tested",H9="verified"),1,0)))</x:f>
        <x:v>1</x:v>
      </x:c>
    </x:row>
    <x:row r="10" s="135" customFormat="1" ht="57.75" customHeight="1">
      <x:c r="A10" s="143" t="inlineStr">
        <x:is>
          <x:t xml:space="preserve">download-trigger-2</x:t>
        </x:is>
      </x:c>
      <x:c r="B10" s="143" t="inlineStr">
        <x:is>
          <x:t xml:space="preserve">Exports</x:t>
        </x:is>
      </x:c>
      <x:c r="C10" s="143" t="inlineStr">
        <x:is>
          <x:t xml:space="preserve">DownloadTrigger</x:t>
        </x:is>
      </x:c>
      <x:c r="D10" s="143" t="inlineStr">
        <x:is>
          <x:t xml:space="preserve">Root and modular entrypoints</x:t>
        </x:is>
      </x:c>
      <x:c r="E10" s="143" t="inlineStr">
        <x:is>
          <x:t xml:space="preserve">component</x:t>
        </x:is>
      </x:c>
      <x:c r="F10" s="143" t="inlineStr">
        <x:is>
          <x:t xml:space="preserve">package</x:t>
        </x:is>
      </x:c>
      <x:c r="G10" s="143" t="inlineStr">
        <x:is>
          <x:t xml:space="preserve">test/package/package.test.mjs</x:t>
        </x:is>
      </x:c>
      <x:c r="H10" s="143" t="inlineStr">
        <x:is>
          <x:t xml:space="preserve">tested</x:t>
        </x:is>
      </x:c>
      <x:c r="I10" s="143" t="inlineStr">
        <x:is>
          <x:t xml:space="preserve">no</x:t>
        </x:is>
      </x:c>
      <x:c r="J10" s="143" t="inlineStr">
        <x:is>
          <x:t xml:space="preserve">2026-09-05</x:t>
        </x:is>
      </x:c>
      <x:c r="K10" s="143" t="n"/>
      <x:c r="L10" s="143" t="n">
        <x:v>1</x:v>
      </x:c>
      <x:c r="M10" s="143" t="n">
        <x:f>IF(H10="not applicable",1,IF(I10="yes",IF(H10="verified",1,0),IF(OR(H10="tested",H10="verified"),1,0)))</x:f>
        <x:v>1</x:v>
      </x:c>
    </x:row>
    <x:row r="11" s="135" customFormat="1" ht="57.75" customHeight="1">
      <x:c r="A11" s="143" t="inlineStr">
        <x:is>
          <x:t xml:space="preserve">download-trigger-3</x:t>
        </x:is>
      </x:c>
      <x:c r="B11" s="143" t="inlineStr">
        <x:is>
          <x:t xml:space="preserve">Types</x:t>
        </x:is>
      </x:c>
      <x:c r="C11" s="143" t="inlineStr">
        <x:is>
          <x:t xml:space="preserve">DownloadTrigger</x:t>
        </x:is>
      </x:c>
      <x:c r="D11" s="143" t="inlineStr">
        <x:is>
          <x:t xml:space="preserve">Unsupported navigation and submission props rejected</x:t>
        </x:is>
      </x:c>
      <x:c r="E11" s="143" t="inlineStr">
        <x:is>
          <x:t xml:space="preserve">component</x:t>
        </x:is>
      </x:c>
      <x:c r="F11" s="143" t="inlineStr">
        <x:is>
          <x:t xml:space="preserve">types</x:t>
        </x:is>
      </x:c>
      <x:c r="G11" s="143" t="inlineStr">
        <x:is>
          <x:t xml:space="preserve">test/types/components/download-trigger.test.ts</x:t>
        </x:is>
      </x:c>
      <x:c r="H11" s="143" t="inlineStr">
        <x:is>
          <x:t xml:space="preserve">tested</x:t>
        </x:is>
      </x:c>
      <x:c r="I11" s="143" t="inlineStr">
        <x:is>
          <x:t xml:space="preserve">no</x:t>
        </x:is>
      </x:c>
      <x:c r="J11" s="143" t="inlineStr">
        <x:is>
          <x:t xml:space="preserve">2026-09-05</x:t>
        </x:is>
      </x:c>
      <x:c r="K11" s="143" t="n"/>
      <x:c r="L11" s="143" t="n">
        <x:v>1</x:v>
      </x:c>
      <x:c r="M11" s="143" t="n">
        <x:f>IF(H11="not applicable",1,IF(I11="yes",IF(H11="verified",1,0),IF(OR(H11="tested",H11="verified"),1,0)))</x:f>
        <x:v>1</x:v>
      </x:c>
    </x:row>
    <x:row r="12" s="135" customFormat="1" ht="57.75" customHeight="1">
      <x:c r="A12" s="143" t="inlineStr">
        <x:is>
          <x:t xml:space="preserve">download-trigger-4</x:t>
        </x:is>
      </x:c>
      <x:c r="B12" s="143" t="inlineStr">
        <x:is>
          <x:t xml:space="preserve">Presentation</x:t>
        </x:is>
      </x:c>
      <x:c r="C12" s="143" t="inlineStr">
        <x:is>
          <x:t xml:space="preserve">DownloadTrigger</x:t>
        </x:is>
      </x:c>
      <x:c r="D12" s="143" t="inlineStr">
        <x:is>
          <x:t xml:space="preserve">Reuse action CSS without a separate size recipe</x:t>
        </x:is>
      </x:c>
      <x:c r="E12" s="143" t="inlineStr">
        <x:is>
          <x:t xml:space="preserve">component</x:t>
        </x:is>
      </x:c>
      <x:c r="F12" s="143" t="inlineStr">
        <x:is>
          <x:t xml:space="preserve">source</x:t>
        </x:is>
      </x:c>
      <x:c r="G12" s="143" t="inlineStr">
        <x:is>
          <x:t xml:space="preserve">src/components/download-trigger/DownloadTrigger.tsx</x:t>
        </x:is>
      </x:c>
      <x:c r="H12" s="143" t="inlineStr">
        <x:is>
          <x:t xml:space="preserve">tested</x:t>
        </x:is>
      </x:c>
      <x:c r="I12" s="143" t="inlineStr">
        <x:is>
          <x:t xml:space="preserve">no</x:t>
        </x:is>
      </x:c>
      <x:c r="J12" s="143" t="inlineStr">
        <x:is>
          <x:t xml:space="preserve">2026-09-05</x:t>
        </x:is>
      </x:c>
      <x:c r="K12" s="143" t="n"/>
      <x:c r="L12" s="143" t="n">
        <x:v>1</x:v>
      </x:c>
      <x:c r="M12" s="143" t="n">
        <x:f>IF(H12="not applicable",1,IF(I12="yes",IF(H12="verified",1,0),IF(OR(H12="tested",H12="verified"),1,0)))</x:f>
        <x:v>1</x:v>
      </x:c>
    </x:row>
    <x:row r="13" s="135" customFormat="1" ht="57.75" customHeight="1">
      <x:c r="A13" s="143" t="inlineStr">
        <x:is>
          <x:t xml:space="preserve">download-trigger-5</x:t>
        </x:is>
      </x:c>
      <x:c r="B13" s="143" t="inlineStr">
        <x:is>
          <x:t xml:space="preserve">Geometry</x:t>
        </x:is>
      </x:c>
      <x:c r="C13" s="143" t="inlineStr">
        <x:is>
          <x:t xml:space="preserve">DownloadTrigger</x:t>
        </x:is>
      </x:c>
      <x:c r="D13" s="143" t="inlineStr">
        <x:is>
          <x:t xml:space="preserve">Pending state preserves geometry</x:t>
        </x:is>
      </x:c>
      <x:c r="E13" s="143" t="inlineStr">
        <x:is>
          <x:t xml:space="preserve">component</x:t>
        </x:is>
      </x:c>
      <x:c r="F13" s="143" t="inlineStr">
        <x:is>
          <x:t xml:space="preserve">browser</x:t>
        </x:is>
      </x:c>
      <x:c r="G13" s="143" t="inlineStr">
        <x:is>
          <x:t xml:space="preserve">playground/tests/components/download-trigger/behavior.spec.ts</x:t>
        </x:is>
      </x:c>
      <x:c r="H13" s="143" t="inlineStr">
        <x:is>
          <x:t xml:space="preserve">tested</x:t>
        </x:is>
      </x:c>
      <x:c r="I13" s="143" t="inlineStr">
        <x:is>
          <x:t xml:space="preserve">no</x:t>
        </x:is>
      </x:c>
      <x:c r="J13" s="143" t="inlineStr">
        <x:is>
          <x:t xml:space="preserve">2026-09-05</x:t>
        </x:is>
      </x:c>
      <x:c r="K13" s="143" t="n"/>
      <x:c r="L13" s="143" t="n">
        <x:v>1</x:v>
      </x:c>
      <x:c r="M13" s="143" t="n">
        <x:f>IF(H13="not applicable",1,IF(I13="yes",IF(H13="verified",1,0),IF(OR(H13="tested",H13="verified"),1,0)))</x:f>
        <x:v>1</x:v>
      </x:c>
    </x:row>
    <x:row r="14" s="135" customFormat="1" ht="57.75" customHeight="1">
      <x:c r="A14" s="143" t="inlineStr">
        <x:is>
          <x:t xml:space="preserve">download-trigger-6</x:t>
        </x:is>
      </x:c>
      <x:c r="B14" s="143" t="inlineStr">
        <x:is>
          <x:t xml:space="preserve">Accessibility</x:t>
        </x:is>
      </x:c>
      <x:c r="C14" s="143" t="inlineStr">
        <x:is>
          <x:t xml:space="preserve">DownloadTrigger</x:t>
        </x:is>
      </x:c>
      <x:c r="D14" s="143" t="inlineStr">
        <x:is>
          <x:t xml:space="preserve">Serious and critical axe scan</x:t>
        </x:is>
      </x:c>
      <x:c r="E14" s="143" t="inlineStr">
        <x:is>
          <x:t xml:space="preserve">component</x:t>
        </x:is>
      </x:c>
      <x:c r="F14" s="143" t="inlineStr">
        <x:is>
          <x:t xml:space="preserve">browser</x:t>
        </x:is>
      </x:c>
      <x:c r="G14" s="143" t="inlineStr">
        <x:is>
          <x:t xml:space="preserve">playground/tests/components/download-trigger/behavior.spec.ts</x:t>
        </x:is>
      </x:c>
      <x:c r="H14" s="143" t="inlineStr">
        <x:is>
          <x:t xml:space="preserve">tested</x:t>
        </x:is>
      </x:c>
      <x:c r="I14" s="143" t="inlineStr">
        <x:is>
          <x:t xml:space="preserve">no</x:t>
        </x:is>
      </x:c>
      <x:c r="J14" s="143" t="inlineStr">
        <x:is>
          <x:t xml:space="preserve">2026-09-05</x:t>
        </x:is>
      </x:c>
      <x:c r="K14" s="143" t="n"/>
      <x:c r="L14" s="143" t="n">
        <x:v>1</x:v>
      </x:c>
      <x:c r="M14" s="143" t="n">
        <x:f>IF(H14="not applicable",1,IF(I14="yes",IF(H14="verified",1,0),IF(OR(H14="tested",H14="verified"),1,0)))</x:f>
        <x:v>1</x:v>
      </x:c>
    </x:row>
    <x:row r="15" s="135" customFormat="1" ht="57.75" customHeight="1">
      <x:c r="A15" s="143" t="inlineStr">
        <x:is>
          <x:t xml:space="preserve">download-trigger-7</x:t>
        </x:is>
      </x:c>
      <x:c r="B15" s="143" t="inlineStr">
        <x:is>
          <x:t xml:space="preserve">Behavior</x:t>
        </x:is>
      </x:c>
      <x:c r="C15" s="143" t="inlineStr">
        <x:is>
          <x:t xml:space="preserve">DownloadTrigger</x:t>
        </x:is>
      </x:c>
      <x:c r="D15" s="143" t="inlineStr">
        <x:is>
          <x:t xml:space="preserve">Ready and asynchronous file handoff; error retry</x:t>
        </x:is>
      </x:c>
      <x:c r="E15" s="143" t="inlineStr">
        <x:is>
          <x:t xml:space="preserve">component</x:t>
        </x:is>
      </x:c>
      <x:c r="F15" s="143" t="inlineStr">
        <x:is>
          <x:t xml:space="preserve">browser</x:t>
        </x:is>
      </x:c>
      <x:c r="G15" s="143" t="inlineStr">
        <x:is>
          <x:t xml:space="preserve">playground/tests/components/download-trigger/behavior.spec.ts</x:t>
        </x:is>
      </x:c>
      <x:c r="H15" s="143" t="inlineStr">
        <x:is>
          <x:t xml:space="preserve">tested</x:t>
        </x:is>
      </x:c>
      <x:c r="I15" s="143" t="inlineStr">
        <x:is>
          <x:t xml:space="preserve">no</x:t>
        </x:is>
      </x:c>
      <x:c r="J15" s="143" t="inlineStr">
        <x:is>
          <x:t xml:space="preserve">2026-09-05</x:t>
        </x:is>
      </x:c>
      <x:c r="K15" s="143" t="n"/>
      <x:c r="L15" s="143" t="n">
        <x:v>1</x:v>
      </x:c>
      <x:c r="M15" s="143" t="n">
        <x:f>IF(H15="not applicable",1,IF(I15="yes",IF(H15="verified",1,0),IF(OR(H15="tested",H15="verified"),1,0)))</x:f>
        <x:v>1</x:v>
      </x:c>
    </x:row>
    <x:row r="16" s="135" customFormat="1" ht="57.75" customHeight="1">
      <x:c r="A16" s="143" t="inlineStr">
        <x:is>
          <x:t xml:space="preserve">download-trigger-8</x:t>
        </x:is>
      </x:c>
      <x:c r="B16" s="143" t="inlineStr">
        <x:is>
          <x:t xml:space="preserve">Visual</x:t>
        </x:is>
      </x:c>
      <x:c r="C16" s="143" t="inlineStr">
        <x:is>
          <x:t xml:space="preserve">DownloadTrigger</x:t>
        </x:is>
      </x:c>
      <x:c r="D16" s="143" t="inlineStr">
        <x:is>
          <x:t xml:space="preserve">Light and dark snapshot capture</x:t>
        </x:is>
      </x:c>
      <x:c r="E16" s="143" t="inlineStr">
        <x:is>
          <x:t xml:space="preserve">component</x:t>
        </x:is>
      </x:c>
      <x:c r="F16" s="143" t="inlineStr">
        <x:is>
          <x:t xml:space="preserve">visual</x:t>
        </x:is>
      </x:c>
      <x:c r="G16" s="143" t="inlineStr">
        <x:is>
          <x:t xml:space="preserve">playground/tests/components/download-trigger/visual.spec.ts</x:t>
        </x:is>
      </x:c>
      <x:c r="H16" s="143" t="inlineStr">
        <x:is>
          <x:t xml:space="preserve">verified</x:t>
        </x:is>
      </x:c>
      <x:c r="I16" s="143" t="inlineStr">
        <x:is>
          <x:t xml:space="preserve">yes</x:t>
        </x:is>
      </x:c>
      <x:c r="J16" s="143" t="inlineStr">
        <x:is>
          <x:t xml:space="preserve">2026-09-05</x:t>
        </x:is>
      </x:c>
      <x:c r="K16" s="143" t="n"/>
      <x:c r="L16" s="143" t="n">
        <x:v>1</x:v>
      </x:c>
      <x:c r="M16" s="143" t="n">
        <x:f>IF(H16="not applicable",1,IF(I16="yes",IF(H16="verified",1,0),IF(OR(H16="tested",H16="verified"),1,0)))</x:f>
        <x:v>1</x:v>
      </x:c>
    </x:row>
    <x:row r="17" s="135" customFormat="1" ht="57.75" customHeight="1">
      <x:c r="A17" s="143" t="inlineStr">
        <x:is>
          <x:t xml:space="preserve">download-trigger-9</x:t>
        </x:is>
      </x:c>
      <x:c r="B17" s="143" t="inlineStr">
        <x:is>
          <x:t xml:space="preserve">Documentation</x:t>
        </x:is>
      </x:c>
      <x:c r="C17" s="143" t="inlineStr">
        <x:is>
          <x:t xml:space="preserve">DownloadTrigger</x:t>
        </x:is>
      </x:c>
      <x:c r="D17" s="143" t="inlineStr">
        <x:is>
          <x:t xml:space="preserve">Public API and component changelog</x:t>
        </x:is>
      </x:c>
      <x:c r="E17" s="143" t="inlineStr">
        <x:is>
          <x:t xml:space="preserve">component</x:t>
        </x:is>
      </x:c>
      <x:c r="F17" s="143" t="inlineStr">
        <x:is>
          <x:t xml:space="preserve">validator</x:t>
        </x:is>
      </x:c>
      <x:c r="G17" s="143" t="inlineStr">
        <x:is>
          <x:t xml:space="preserve">docs/components/download-trigger/README.md</x:t>
        </x:is>
      </x:c>
      <x:c r="H17" s="143" t="inlineStr">
        <x:is>
          <x:t xml:space="preserve">tested</x:t>
        </x:is>
      </x:c>
      <x:c r="I17" s="143" t="inlineStr">
        <x:is>
          <x:t xml:space="preserve">no</x:t>
        </x:is>
      </x:c>
      <x:c r="J17" s="143" t="inlineStr">
        <x:is>
          <x:t xml:space="preserve">2026-09-05</x:t>
        </x:is>
      </x:c>
      <x:c r="K17" s="143" t="n"/>
      <x:c r="L17" s="143" t="n">
        <x:v>1</x:v>
      </x:c>
      <x:c r="M17" s="143" t="n">
        <x:f>IF(H17="not applicable",1,IF(I17="yes",IF(H17="verified",1,0),IF(OR(H17="tested",H17="verified"),1,0)))</x:f>
        <x:v>1</x:v>
      </x:c>
    </x:row>
    <x:row r="18" s="135" customFormat="1" ht="57.75" customHeight="1">
      <x:c r="A18" s="143" t="inlineStr">
        <x:is>
          <x:t xml:space="preserve">download-trigger-10</x:t>
        </x:is>
      </x:c>
      <x:c r="B18" s="143" t="inlineStr">
        <x:is>
          <x:t xml:space="preserve">Knowledge</x:t>
        </x:is>
      </x:c>
      <x:c r="C18" s="143" t="inlineStr">
        <x:is>
          <x:t xml:space="preserve">DownloadTrigger</x:t>
        </x:is>
      </x:c>
      <x:c r="D18" s="143" t="inlineStr">
        <x:is>
          <x:t xml:space="preserve">Closed owner guidance</x:t>
        </x:is>
      </x:c>
      <x:c r="E18" s="143" t="inlineStr">
        <x:is>
          <x:t xml:space="preserve">component</x:t>
        </x:is>
      </x:c>
      <x:c r="F18" s="143" t="inlineStr">
        <x:is>
          <x:t xml:space="preserve">validator</x:t>
        </x:is>
      </x:c>
      <x:c r="G18" s="143" t="inlineStr">
        <x:is>
          <x:t xml:space="preserve">src/components/download-trigger/agent.json</x:t>
        </x:is>
      </x:c>
      <x:c r="H18" s="143" t="inlineStr">
        <x:is>
          <x:t xml:space="preserve">tested</x:t>
        </x:is>
      </x:c>
      <x:c r="I18" s="143" t="inlineStr">
        <x:is>
          <x:t xml:space="preserve">no</x:t>
        </x:is>
      </x:c>
      <x:c r="J18" s="143" t="inlineStr">
        <x:is>
          <x:t xml:space="preserve">2026-09-05</x:t>
        </x:is>
      </x:c>
      <x:c r="K18" s="143" t="n"/>
      <x:c r="L18" s="143" t="n">
        <x:v>1</x:v>
      </x:c>
      <x:c r="M18" s="143" t="n">
        <x:f>IF(H18="not applicable",1,IF(I18="yes",IF(H18="verified",1,0),IF(OR(H18="tested",H18="verified"),1,0)))</x:f>
        <x:v>1</x:v>
      </x:c>
    </x:row>
    <x:row r="19" s="135" customFormat="1" ht="57.75" customHeight="1">
      <x:c r="A19" s="143" t="inlineStr">
        <x:is>
          <x:t xml:space="preserve">download-trigger-11</x:t>
        </x:is>
      </x:c>
      <x:c r="B19" s="143" t="inlineStr">
        <x:is>
          <x:t xml:space="preserve">Consumer</x:t>
        </x:is>
      </x:c>
      <x:c r="C19" s="143" t="inlineStr">
        <x:is>
          <x:t xml:space="preserve">DownloadTrigger</x:t>
        </x:is>
      </x:c>
      <x:c r="D19" s="143" t="inlineStr">
        <x:is>
          <x:t xml:space="preserve">Digest-locked local package integration</x:t>
        </x:is>
      </x:c>
      <x:c r="E19" s="143" t="inlineStr">
        <x:is>
          <x:t xml:space="preserve">component</x:t>
        </x:is>
      </x:c>
      <x:c r="F19" s="143" t="inlineStr">
        <x:is>
          <x:t xml:space="preserve">consumer</x:t>
        </x:is>
      </x:c>
      <x:c r="G19" s="143" t="inlineStr">
        <x:is>
          <x:t xml:space="preserve">Digest-locked clean React 18 consumer: public imports, CSS and inert SSR passed</x:t>
        </x:is>
      </x:c>
      <x:c r="H19" s="143" t="inlineStr">
        <x:is>
          <x:t xml:space="preserve">tested</x:t>
        </x:is>
      </x:c>
      <x:c r="I19" s="143" t="inlineStr">
        <x:is>
          <x:t xml:space="preserve">no</x:t>
        </x:is>
      </x:c>
      <x:c r="J19" s="143" t="inlineStr">
        <x:is>
          <x:t xml:space="preserve">2026-09-05</x:t>
        </x:is>
      </x:c>
      <x:c r="K19" s="143" t="n"/>
      <x:c r="L19" s="143" t="n">
        <x:v>1</x:v>
      </x:c>
      <x:c r="M19" s="143" t="n">
        <x:f>IF(H19="not applicable",1,IF(I19="yes",IF(H19="verified",1,0),IF(OR(H19="tested",H19="verified"),1,0)))</x:f>
        <x:v>1</x:v>
      </x:c>
    </x:row>
    <x:row r="20" s="135" customFormat="1" ht="57.75" customHeight="1">
      <x:c r="A20" s="143" t="inlineStr">
        <x:is>
          <x:t xml:space="preserve">download-trigger-12</x:t>
        </x:is>
      </x:c>
      <x:c r="B20" s="143" t="inlineStr">
        <x:is>
          <x:t xml:space="preserve">Manual</x:t>
        </x:is>
      </x:c>
      <x:c r="C20" s="143" t="inlineStr">
        <x:is>
          <x:t xml:space="preserve">DownloadTrigger</x:t>
        </x:is>
      </x:c>
      <x:c r="D20" s="143" t="inlineStr">
        <x:is>
          <x:t xml:space="preserve">Actual zoom, assistive technology and physical devices</x:t>
        </x:is>
      </x:c>
      <x:c r="E20" s="143" t="inlineStr">
        <x:is>
          <x:t xml:space="preserve">component</x:t>
        </x:is>
      </x:c>
      <x:c r="F20" s="143" t="inlineStr">
        <x:is>
          <x:t xml:space="preserve">manual</x:t>
        </x:is>
      </x:c>
      <x:c r="G20" s="143" t="inlineStr">
        <x:is>
          <x:t xml:space="preserve">playground/manual-tests/download-trigger.md</x:t>
        </x:is>
      </x:c>
      <x:c r="H20" s="143" t="inlineStr">
        <x:is>
          <x:t xml:space="preserve">blocked</x:t>
        </x:is>
      </x:c>
      <x:c r="I20" s="143" t="inlineStr">
        <x:is>
          <x:t xml:space="preserve">yes</x:t>
        </x:is>
      </x:c>
      <x:c r="J20" s="143" t="inlineStr">
        <x:is>
          <x:t xml:space="preserve">2026-09-05</x:t>
        </x:is>
      </x:c>
      <x:c r="K20" s="143" t="inlineStr">
        <x:is>
          <x:t xml:space="preserve">Independent manual run pending</x:t>
        </x:is>
      </x:c>
      <x:c r="L20" s="143" t="n">
        <x:v>1</x:v>
      </x:c>
      <x:c r="M20" s="143" t="n">
        <x:f>IF(H20="not applicable",1,IF(I20="yes",IF(H20="verified",1,0),IF(OR(H20="tested",H20="verified"),1,0)))</x:f>
        <x:v>0</x:v>
      </x:c>
    </x:row>
    <x:row r="21" s="135" customFormat="1" ht="63.75" customHeight="1">
      <x:c r="A21" s="148" t="inlineStr">
        <x:is>
          <x:t xml:space="preserve">downloadtrigger-inventory</x:t>
        </x:is>
      </x:c>
      <x:c r="B21" s="148" t="inlineStr">
        <x:is>
          <x:t xml:space="preserve">Playground</x:t>
        </x:is>
      </x:c>
      <x:c r="C21" s="148" t="inlineStr">
        <x:is>
          <x:t xml:space="preserve">DownloadTrigger</x:t>
        </x:is>
      </x:c>
      <x:c r="D21" s="148" t="inlineStr">
        <x:is>
          <x:t xml:space="preserve">Every declared scenario renders in order at 390px and 1280px without page overflow or runtime exceptions.</x:t>
        </x:is>
      </x:c>
      <x:c r="E21" s="148" t="inlineStr">
        <x:is>
          <x:t xml:space="preserve">component</x:t>
        </x:is>
      </x:c>
      <x:c r="F21" s="148" t="inlineStr">
        <x:is>
          <x:t xml:space="preserve">browser</x:t>
        </x:is>
      </x:c>
      <x:c r="G21" s="148" t="inlineStr">
        <x:is>
          <x:t xml:space="preserve">playground/tests/integration/recent-component-capabilities.spec.ts</x:t>
        </x:is>
      </x:c>
      <x:c r="H21" s="148" t="inlineStr">
        <x:is>
          <x:t xml:space="preserve">tested</x:t>
        </x:is>
      </x:c>
      <x:c r="I21" s="148" t="inlineStr">
        <x:is>
          <x:t xml:space="preserve">no</x:t>
        </x:is>
      </x:c>
      <x:c r="J21" s="148" t="inlineStr">
        <x:is>
          <x:t xml:space="preserve">2026-09-05</x:t>
        </x:is>
      </x:c>
      <x:c r="K21" s="148" t="inlineStr">
        <x:is>
          <x:t xml:space="preserve">This assertion does not establish full behavioral or manual qualification.</x:t>
        </x:is>
      </x:c>
      <x:c r="L21" s="148" t="n">
        <x:v>1</x:v>
      </x:c>
      <x:c r="M21" s="148" t="n">
        <x:f>IF(OR(H21="tested",H21="verified"),1,0)</x:f>
        <x:v>1</x:v>
      </x:c>
    </x:row>
  </x:sheetData>
  <x:dataValidations count="2">
    <x:dataValidation type="list" errorStyle="stop" operator="between" allowBlank="0" showDropDown="0" showInputMessage="0" showErrorMessage="0" sqref="H9:H20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H21">
      <x:formula1>_Lists!$A$1:$A$7</x:formula1>
      <x:formula2>0</x:formula2>
    </x:dataValidation>
  </x:dataValidations>
  <x:pageMargins left="0.7" right="0.7" top="0.75" bottom="0.75" header="0.3" footer="0.3"/>
</x:worksheet>
</file>

<file path=xl/worksheets/sheet114.xml><?xml version="1.0" encoding="utf-8"?>
<x:worksheet xmlns:x="http://schemas.openxmlformats.org/spreadsheetml/2006/main">
  <x:sheetViews>
    <x:sheetView showGridLines="1" workbookViewId="0">
      <x:pane ySplit="8" topLeftCell="A9" activePane="bottomLeft" state="frozen"/>
    </x:sheetView>
  </x:sheetViews>
  <x:sheetFormatPr baseColWidth="8" defaultColWidth="8.6796875" defaultRowHeight="15"/>
  <x:cols>
    <x:col min="1" max="1" width="14" style="138" customWidth="1"/>
    <x:col min="2" max="2" width="18" style="138" customWidth="1"/>
    <x:col min="3" max="3" width="22" style="138" customWidth="1"/>
    <x:col min="4" max="4" width="45" style="138" customWidth="1"/>
    <x:col min="5" max="5" width="14" style="138" customWidth="1"/>
    <x:col min="6" max="6" width="16" style="138" customWidth="1"/>
    <x:col min="7" max="7" width="48" style="138" customWidth="1"/>
    <x:col min="8" max="8" width="17" style="138" customWidth="1"/>
    <x:col min="9" max="10" width="15" style="138" customWidth="1"/>
    <x:col min="11" max="11" width="40" style="138" customWidth="1"/>
    <x:col min="12" max="13" width="10" style="138" customWidth="1"/>
  </x:cols>
  <x:sheetData>
    <x:row r="1" s="135" customFormat="1" ht="24" customHeight="1">
      <x:c r="A1" s="143" t="inlineStr">
        <x:is>
          <x:t xml:space="preserve">Calendar evidence</x:t>
        </x:is>
      </x:c>
    </x:row>
    <x:row r="2" s="135" customFormat="1" ht="24" customHeight="1">
      <x:c r="A2" s="143" t="inlineStr">
        <x:is>
          <x:t xml:space="preserve">Date behavior and public integration. Physical-device and screen-reader review remains open.</x:t>
        </x:is>
      </x:c>
    </x:row>
    <x:row r="3" s="135" customFormat="1" ht="15" customHeight="1">
      <x:c r="A3" s="143" t="n"/>
      <x:c r="B3" s="143" t="n"/>
      <x:c r="C3" s="143" t="n"/>
      <x:c r="D3" s="143" t="n"/>
      <x:c r="E3" s="143" t="n"/>
      <x:c r="F3" s="143" t="n"/>
      <x:c r="G3" s="143" t="n"/>
      <x:c r="H3" s="143" t="n"/>
      <x:c r="I3" s="143" t="n"/>
      <x:c r="J3" s="143" t="n"/>
      <x:c r="K3" s="143" t="n"/>
      <x:c r="L3" s="143" t="n"/>
      <x:c r="M3" s="143" t="n"/>
    </x:row>
    <x:row r="4" s="135" customFormat="1" ht="15" customHeight="1">
      <x:c r="A4" s="143" t="inlineStr">
        <x:is>
          <x:t xml:space="preserve">Requirements</x:t>
        </x:is>
      </x:c>
      <x:c r="B4" s="143" t="n">
        <x:f>COUNTA(A9:A17)</x:f>
        <x:v>9</x:v>
      </x:c>
      <x:c r="C4" s="143" t="n"/>
      <x:c r="D4" s="143" t="inlineStr">
        <x:is>
          <x:t xml:space="preserve">Resolved</x:t>
        </x:is>
      </x:c>
      <x:c r="E4" s="143" t="n">
        <x:f>SUM(M9:M17)</x:f>
        <x:v>3</x:v>
      </x:c>
      <x:c r="F4" s="143" t="n"/>
      <x:c r="G4" s="143" t="inlineStr">
        <x:is>
          <x:t xml:space="preserve">Completion</x:t>
        </x:is>
      </x:c>
      <x:c r="H4" s="143" t="n">
        <x:f>IF(B4=0,0,E4/B4)</x:f>
        <x:v>0.3333333333333333</x:v>
      </x:c>
      <x:c r="I4" s="143" t="n"/>
      <x:c r="J4" s="143" t="inlineStr">
        <x:is>
          <x:t xml:space="preserve">Package gate</x:t>
        </x:is>
      </x:c>
      <x:c r="K4" s="143" t="inlineStr">
        <x:is>
          <x:t xml:space="preserve">open</x:t>
        </x:is>
      </x:c>
      <x:c r="L4" s="143" t="n"/>
      <x:c r="M4" s="143" t="n"/>
    </x:row>
    <x:row r="5" s="135" customFormat="1" ht="15" customHeight="1">
      <x:c r="A5" s="143" t="inlineStr">
        <x:is>
          <x:t xml:space="preserve">Manual review</x:t>
        </x:is>
      </x:c>
      <x:c r="B5" s="143" t="str">
        <x:f>IF(COUNTIFS(I9:I24,"yes",M9:M24,0)&gt;0,"open","complete")</x:f>
        <x:v>open</x:v>
      </x:c>
      <x:c r="C5" s="143" t="n"/>
      <x:c r="D5" s="143" t="inlineStr">
        <x:is>
          <x:t xml:space="preserve">Consumer gate</x:t>
        </x:is>
      </x:c>
      <x:c r="E5" s="143" t="inlineStr">
        <x:is>
          <x:t xml:space="preserve">open</x:t>
        </x:is>
      </x:c>
      <x:c r="F5" s="143" t="n"/>
      <x:c r="G5" s="143" t="n"/>
      <x:c r="H5" s="143" t="n"/>
      <x:c r="I5" s="143" t="n"/>
      <x:c r="J5" s="143" t="n"/>
      <x:c r="K5" s="143" t="n"/>
      <x:c r="L5" s="143" t="n"/>
      <x:c r="M5" s="143" t="n"/>
    </x:row>
    <x:row r="6" s="135" customFormat="1" ht="15" customHeight="1">
      <x:c r="A6" s="143" t="n"/>
      <x:c r="B6" s="143" t="n"/>
      <x:c r="C6" s="143" t="n"/>
      <x:c r="D6" s="143" t="n"/>
      <x:c r="E6" s="143" t="n"/>
      <x:c r="F6" s="143" t="n"/>
      <x:c r="G6" s="143" t="n"/>
      <x:c r="H6" s="143" t="n"/>
      <x:c r="I6" s="143" t="n"/>
      <x:c r="J6" s="143" t="n"/>
      <x:c r="K6" s="143" t="n"/>
      <x:c r="L6" s="143" t="n"/>
      <x:c r="M6" s="143" t="n"/>
    </x:row>
    <x:row r="7" s="135" customFormat="1" ht="15" customHeight="1">
      <x:c r="A7" s="143" t="n"/>
      <x:c r="B7" s="143" t="n"/>
      <x:c r="C7" s="143" t="n"/>
      <x:c r="D7" s="143" t="n"/>
      <x:c r="E7" s="143" t="n"/>
      <x:c r="F7" s="143" t="n"/>
      <x:c r="G7" s="143" t="n"/>
      <x:c r="H7" s="143" t="n"/>
      <x:c r="I7" s="143" t="n"/>
      <x:c r="J7" s="143" t="n"/>
      <x:c r="K7" s="143" t="n"/>
      <x:c r="L7" s="143" t="n"/>
      <x:c r="M7" s="143" t="n"/>
    </x:row>
    <x:row r="8" s="135" customFormat="1" ht="15" customHeight="1">
      <x:c r="A8" s="143" t="inlineStr">
        <x:is>
          <x:t xml:space="preserve">ID</x:t>
        </x:is>
      </x:c>
      <x:c r="B8" s="143" t="inlineStr">
        <x:is>
          <x:t xml:space="preserve">Area</x:t>
        </x:is>
      </x:c>
      <x:c r="C8" s="143" t="inlineStr">
        <x:is>
          <x:t xml:space="preserve">Part</x:t>
        </x:is>
      </x:c>
      <x:c r="D8" s="143" t="inlineStr">
        <x:is>
          <x:t xml:space="preserve">Requirement</x:t>
        </x:is>
      </x:c>
      <x:c r="E8" s="143" t="inlineStr">
        <x:is>
          <x:t xml:space="preserve">Gate</x:t>
        </x:is>
      </x:c>
      <x:c r="F8" s="143" t="inlineStr">
        <x:is>
          <x:t xml:space="preserve">Evidence type</x:t>
        </x:is>
      </x:c>
      <x:c r="G8" s="143" t="inlineStr">
        <x:is>
          <x:t xml:space="preserve">Evidence / link</x:t>
        </x:is>
      </x:c>
      <x:c r="H8" s="143" t="inlineStr">
        <x:is>
          <x:t xml:space="preserve">Status</x:t>
        </x:is>
      </x:c>
      <x:c r="I8" s="143" t="inlineStr">
        <x:is>
          <x:t xml:space="preserve">Human review?</x:t>
        </x:is>
      </x:c>
      <x:c r="J8" s="143" t="inlineStr">
        <x:is>
          <x:t xml:space="preserve">Last verified</x:t>
        </x:is>
      </x:c>
      <x:c r="K8" s="143" t="inlineStr">
        <x:is>
          <x:t xml:space="preserve">Blocker / N/A reason</x:t>
        </x:is>
      </x:c>
      <x:c r="L8" s="143" t="inlineStr">
        <x:is>
          <x:t xml:space="preserve">Weight</x:t>
        </x:is>
      </x:c>
      <x:c r="M8" s="143" t="inlineStr">
        <x:is>
          <x:t xml:space="preserve">Resolved</x:t>
        </x:is>
      </x:c>
    </x:row>
    <x:row r="9" s="135" customFormat="1" ht="48" customHeight="1">
      <x:c r="A9" s="143" t="inlineStr">
        <x:is>
          <x:t xml:space="preserve">calendar-1</x:t>
        </x:is>
      </x:c>
      <x:c r="B9" s="143" t="inlineStr">
        <x:is>
          <x:t xml:space="preserve">Root</x:t>
        </x:is>
      </x:c>
      <x:c r="C9" s="143" t="inlineStr">
        <x:is>
          <x:t xml:space="preserve">Root</x:t>
        </x:is>
      </x:c>
      <x:c r="D9" s="143" t="inlineStr">
        <x:is>
          <x:t xml:space="preserve">Typed selection modes and canonical values</x:t>
        </x:is>
      </x:c>
      <x:c r="E9" s="143" t="inlineStr">
        <x:is>
          <x:t xml:space="preserve">package</x:t>
        </x:is>
      </x:c>
      <x:c r="F9" s="143" t="inlineStr">
        <x:is>
          <x:t xml:space="preserve">automated</x:t>
        </x:is>
      </x:c>
      <x:c r="G9" s="143" t="inlineStr">
        <x:is>
          <x:t xml:space="preserve">test/components/calendar/calendar.test.tsx</x:t>
        </x:is>
      </x:c>
      <x:c r="H9" s="143" t="inlineStr">
        <x:is>
          <x:t xml:space="preserve">tested</x:t>
        </x:is>
      </x:c>
      <x:c r="I9" s="143" t="inlineStr">
        <x:is>
          <x:t xml:space="preserve">no</x:t>
        </x:is>
      </x:c>
      <x:c r="J9" s="143" t="inlineStr">
        <x:is>
          <x:t xml:space="preserve">2026-09-18</x:t>
        </x:is>
      </x:c>
      <x:c r="K9" s="143" t="inlineStr">
        <x:is>
          <x:t xml:space="preserve">Unpublished date-family candidate. Manual qualification remains open.</x:t>
        </x:is>
      </x:c>
      <x:c r="L9" s="143" t="n">
        <x:v>1</x:v>
      </x:c>
      <x:c r="M9" s="143" t="n">
        <x:f>IF(OR(H9="verified",AND(I9="no",H9="tested"),H9="not applicable"),1,0)</x:f>
        <x:v>1</x:v>
      </x:c>
    </x:row>
    <x:row r="10" s="135" customFormat="1" ht="48" customHeight="1">
      <x:c r="A10" s="143" t="inlineStr">
        <x:is>
          <x:t xml:space="preserve">calendar-2</x:t>
        </x:is>
      </x:c>
      <x:c r="B10" s="143" t="inlineStr">
        <x:is>
          <x:t xml:space="preserve">Public parts</x:t>
        </x:is>
      </x:c>
      <x:c r="C10" s="143" t="inlineStr">
        <x:is>
          <x:t xml:space="preserve">Public parts</x:t>
        </x:is>
      </x:c>
      <x:c r="D10" s="143" t="inlineStr">
        <x:is>
          <x:t xml:space="preserve">Named native hosts, refs and selection types</x:t>
        </x:is>
      </x:c>
      <x:c r="E10" s="143" t="inlineStr">
        <x:is>
          <x:t xml:space="preserve">package</x:t>
        </x:is>
      </x:c>
      <x:c r="F10" s="143" t="inlineStr">
        <x:is>
          <x:t xml:space="preserve">automated</x:t>
        </x:is>
      </x:c>
      <x:c r="G10" s="143" t="inlineStr">
        <x:is>
          <x:t xml:space="preserve">test/types/components/calendar.test.ts</x:t>
        </x:is>
      </x:c>
      <x:c r="H10" s="143" t="inlineStr">
        <x:is>
          <x:t xml:space="preserve">partial</x:t>
        </x:is>
      </x:c>
      <x:c r="I10" s="143" t="inlineStr">
        <x:is>
          <x:t xml:space="preserve">no</x:t>
        </x:is>
      </x:c>
      <x:c r="J10" s="143" t="n"/>
      <x:c r="K10" s="143" t="inlineStr">
        <x:is>
          <x:t xml:space="preserve">Expanded parity implementation is in progress. See owner plan for remaining qualification.</x:t>
        </x:is>
      </x:c>
      <x:c r="L10" s="143" t="n">
        <x:v>1</x:v>
      </x:c>
      <x:c r="M10" s="143" t="n">
        <x:f>IF(OR(H10="verified",AND(I10="no",H10="tested"),H10="not applicable"),1,0)</x:f>
        <x:v>0</x:v>
      </x:c>
    </x:row>
    <x:row r="11" s="135" customFormat="1" ht="48" customHeight="1">
      <x:c r="A11" s="143" t="inlineStr">
        <x:is>
          <x:t xml:space="preserve">calendar-3</x:t>
        </x:is>
      </x:c>
      <x:c r="B11" s="143" t="inlineStr">
        <x:is>
          <x:t xml:space="preserve">Interaction</x:t>
        </x:is>
      </x:c>
      <x:c r="C11" s="143" t="inlineStr">
        <x:is>
          <x:t xml:space="preserve">Interaction</x:t>
        </x:is>
      </x:c>
      <x:c r="D11" s="143" t="inlineStr">
        <x:is>
          <x:t xml:space="preserve">Keyboard editing or grid focus</x:t>
        </x:is>
      </x:c>
      <x:c r="E11" s="143" t="inlineStr">
        <x:is>
          <x:t xml:space="preserve">package</x:t>
        </x:is>
      </x:c>
      <x:c r="F11" s="143" t="inlineStr">
        <x:is>
          <x:t xml:space="preserve">automated</x:t>
        </x:is>
      </x:c>
      <x:c r="G11" s="143" t="inlineStr">
        <x:is>
          <x:t xml:space="preserve">playground/tests/components/calendar/behavior.spec.ts</x:t>
        </x:is>
      </x:c>
      <x:c r="H11" s="143" t="inlineStr">
        <x:is>
          <x:t xml:space="preserve">tested</x:t>
        </x:is>
      </x:c>
      <x:c r="I11" s="143" t="inlineStr">
        <x:is>
          <x:t xml:space="preserve">no</x:t>
        </x:is>
      </x:c>
      <x:c r="J11" s="143" t="inlineStr">
        <x:is>
          <x:t xml:space="preserve">2026-09-18</x:t>
        </x:is>
      </x:c>
      <x:c r="K11" s="143" t="inlineStr">
        <x:is>
          <x:t xml:space="preserve">Unpublished date-family candidate. Manual qualification remains open.</x:t>
        </x:is>
      </x:c>
      <x:c r="L11" s="143" t="n">
        <x:v>1</x:v>
      </x:c>
      <x:c r="M11" s="143" t="n">
        <x:f>IF(OR(H11="verified",AND(I11="no",H11="tested"),H11="not applicable"),1,0)</x:f>
        <x:v>1</x:v>
      </x:c>
    </x:row>
    <x:row r="12" s="135" customFormat="1" ht="48" customHeight="1">
      <x:c r="A12" s="143" t="inlineStr">
        <x:is>
          <x:t xml:space="preserve">calendar-4</x:t>
        </x:is>
      </x:c>
      <x:c r="B12" s="143" t="inlineStr">
        <x:is>
          <x:t xml:space="preserve">State</x:t>
        </x:is>
      </x:c>
      <x:c r="C12" s="143" t="inlineStr">
        <x:is>
          <x:t xml:space="preserve">State</x:t>
        </x:is>
      </x:c>
      <x:c r="D12" s="143" t="inlineStr">
        <x:is>
          <x:t xml:space="preserve">Range, constraints and shared value</x:t>
        </x:is>
      </x:c>
      <x:c r="E12" s="143" t="inlineStr">
        <x:is>
          <x:t xml:space="preserve">package</x:t>
        </x:is>
      </x:c>
      <x:c r="F12" s="143" t="inlineStr">
        <x:is>
          <x:t xml:space="preserve">automated</x:t>
        </x:is>
      </x:c>
      <x:c r="G12" s="143" t="inlineStr">
        <x:is>
          <x:t xml:space="preserve">playground/src/components/calendar</x:t>
        </x:is>
      </x:c>
      <x:c r="H12" s="143" t="inlineStr">
        <x:is>
          <x:t xml:space="preserve">partial</x:t>
        </x:is>
      </x:c>
      <x:c r="I12" s="143" t="inlineStr">
        <x:is>
          <x:t xml:space="preserve">no</x:t>
        </x:is>
      </x:c>
      <x:c r="J12" s="143" t="n"/>
      <x:c r="K12" s="143" t="inlineStr">
        <x:is>
          <x:t xml:space="preserve">Expanded parity implementation is in progress. See owner plan for remaining qualification.</x:t>
        </x:is>
      </x:c>
      <x:c r="L12" s="143" t="n">
        <x:v>1</x:v>
      </x:c>
      <x:c r="M12" s="143" t="n">
        <x:f>IF(OR(H12="verified",AND(I12="no",H12="tested"),H12="not applicable"),1,0)</x:f>
        <x:v>0</x:v>
      </x:c>
    </x:row>
    <x:row r="13" s="135" customFormat="1" ht="48" customHeight="1">
      <x:c r="A13" s="143" t="inlineStr">
        <x:is>
          <x:t xml:space="preserve">calendar-5</x:t>
        </x:is>
      </x:c>
      <x:c r="B13" s="143" t="inlineStr">
        <x:is>
          <x:t xml:space="preserve">Presentation</x:t>
        </x:is>
      </x:c>
      <x:c r="C13" s="143" t="inlineStr">
        <x:is>
          <x:t xml:space="preserve">Presentation</x:t>
        </x:is>
      </x:c>
      <x:c r="D13" s="143" t="inlineStr">
        <x:is>
          <x:t xml:space="preserve">Locale, direction and narrow geometry</x:t>
        </x:is>
      </x:c>
      <x:c r="E13" s="143" t="inlineStr">
        <x:is>
          <x:t xml:space="preserve">package</x:t>
        </x:is>
      </x:c>
      <x:c r="F13" s="143" t="inlineStr">
        <x:is>
          <x:t xml:space="preserve">automated</x:t>
        </x:is>
      </x:c>
      <x:c r="G13" s="143" t="inlineStr">
        <x:is>
          <x:t xml:space="preserve">playground/tests/components/calendar/visual.spec.ts</x:t>
        </x:is>
      </x:c>
      <x:c r="H13" s="143" t="inlineStr">
        <x:is>
          <x:t xml:space="preserve">partial</x:t>
        </x:is>
      </x:c>
      <x:c r="I13" s="143" t="inlineStr">
        <x:is>
          <x:t xml:space="preserve">no</x:t>
        </x:is>
      </x:c>
      <x:c r="J13" s="143" t="n"/>
      <x:c r="K13" s="143" t="inlineStr">
        <x:is>
          <x:t xml:space="preserve">Expanded parity implementation is in progress. See owner plan for remaining qualification.</x:t>
        </x:is>
      </x:c>
      <x:c r="L13" s="143" t="n">
        <x:v>1</x:v>
      </x:c>
      <x:c r="M13" s="143" t="n">
        <x:f>IF(OR(H13="verified",AND(I13="no",H13="tested"),H13="not applicable"),1,0)</x:f>
        <x:v>0</x:v>
      </x:c>
    </x:row>
    <x:row r="14" s="135" customFormat="1" ht="48" customHeight="1">
      <x:c r="A14" s="143" t="inlineStr">
        <x:is>
          <x:t xml:space="preserve">calendar-6</x:t>
        </x:is>
      </x:c>
      <x:c r="B14" s="143" t="inlineStr">
        <x:is>
          <x:t xml:space="preserve">Documentation</x:t>
        </x:is>
      </x:c>
      <x:c r="C14" s="143" t="inlineStr">
        <x:is>
          <x:t xml:space="preserve">Documentation</x:t>
        </x:is>
      </x:c>
      <x:c r="D14" s="143" t="inlineStr">
        <x:is>
          <x:t xml:space="preserve">Public guide and exact Agent Knowledge</x:t>
        </x:is>
      </x:c>
      <x:c r="E14" s="143" t="inlineStr">
        <x:is>
          <x:t xml:space="preserve">package</x:t>
        </x:is>
      </x:c>
      <x:c r="F14" s="143" t="inlineStr">
        <x:is>
          <x:t xml:space="preserve">automated</x:t>
        </x:is>
      </x:c>
      <x:c r="G14" s="143" t="inlineStr">
        <x:is>
          <x:t xml:space="preserve">docs/components/calendar/README.md</x:t>
        </x:is>
      </x:c>
      <x:c r="H14" s="143" t="inlineStr">
        <x:is>
          <x:t xml:space="preserve">partial</x:t>
        </x:is>
      </x:c>
      <x:c r="I14" s="143" t="inlineStr">
        <x:is>
          <x:t xml:space="preserve">no</x:t>
        </x:is>
      </x:c>
      <x:c r="J14" s="143" t="n"/>
      <x:c r="K14" s="143" t="inlineStr">
        <x:is>
          <x:t xml:space="preserve">Expanded parity implementation is in progress. See owner plan for remaining qualification.</x:t>
        </x:is>
      </x:c>
      <x:c r="L14" s="143" t="n">
        <x:v>1</x:v>
      </x:c>
      <x:c r="M14" s="143" t="n">
        <x:f>IF(OR(H14="verified",AND(I14="no",H14="tested"),H14="not applicable"),1,0)</x:f>
        <x:v>0</x:v>
      </x:c>
    </x:row>
    <x:row r="15" s="135" customFormat="1" ht="48" customHeight="1">
      <x:c r="A15" s="143" t="inlineStr">
        <x:is>
          <x:t xml:space="preserve">calendar-7</x:t>
        </x:is>
      </x:c>
      <x:c r="B15" s="143" t="inlineStr">
        <x:is>
          <x:t xml:space="preserve">Package</x:t>
        </x:is>
      </x:c>
      <x:c r="C15" s="143" t="inlineStr">
        <x:is>
          <x:t xml:space="preserve">Package</x:t>
        </x:is>
      </x:c>
      <x:c r="D15" s="143" t="inlineStr">
        <x:is>
          <x:t xml:space="preserve">Packed consumer integration</x:t>
        </x:is>
      </x:c>
      <x:c r="E15" s="143" t="inlineStr">
        <x:is>
          <x:t xml:space="preserve">package</x:t>
        </x:is>
      </x:c>
      <x:c r="F15" s="143" t="inlineStr">
        <x:is>
          <x:t xml:space="preserve">automated</x:t>
        </x:is>
      </x:c>
      <x:c r="G15" s="143" t="inlineStr">
        <x:is>
          <x:t xml:space="preserve">scripts/verify-date-family-consumers.mjs</x:t>
        </x:is>
      </x:c>
      <x:c r="H15" s="143" t="inlineStr">
        <x:is>
          <x:t xml:space="preserve">tested</x:t>
        </x:is>
      </x:c>
      <x:c r="I15" s="143" t="inlineStr">
        <x:is>
          <x:t xml:space="preserve">no</x:t>
        </x:is>
      </x:c>
      <x:c r="J15" s="143" t="inlineStr">
        <x:is>
          <x:t xml:space="preserve">2026-09-18</x:t>
        </x:is>
      </x:c>
      <x:c r="K15" s="143" t="inlineStr">
        <x:is>
          <x:t xml:space="preserve">Unpublished date-family candidate. Manual qualification remains open.</x:t>
        </x:is>
      </x:c>
      <x:c r="L15" s="143" t="n">
        <x:v>1</x:v>
      </x:c>
      <x:c r="M15" s="143" t="n">
        <x:f>IF(OR(H15="verified",AND(I15="no",H15="tested"),H15="not applicable"),1,0)</x:f>
        <x:v>1</x:v>
      </x:c>
    </x:row>
    <x:row r="16" s="135" customFormat="1" ht="48" customHeight="1">
      <x:c r="A16" s="143" t="inlineStr">
        <x:is>
          <x:t xml:space="preserve">calendar-8</x:t>
        </x:is>
      </x:c>
      <x:c r="B16" s="143" t="inlineStr">
        <x:is>
          <x:t xml:space="preserve">Manual</x:t>
        </x:is>
      </x:c>
      <x:c r="C16" s="143" t="inlineStr">
        <x:is>
          <x:t xml:space="preserve">Manual</x:t>
        </x:is>
      </x:c>
      <x:c r="D16" s="143" t="inlineStr">
        <x:is>
          <x:t xml:space="preserve">Real AT, browser zoom and physical touch</x:t>
        </x:is>
      </x:c>
      <x:c r="E16" s="143" t="inlineStr">
        <x:is>
          <x:t xml:space="preserve">manual</x:t>
        </x:is>
      </x:c>
      <x:c r="F16" s="143" t="inlineStr">
        <x:is>
          <x:t xml:space="preserve">manual</x:t>
        </x:is>
      </x:c>
      <x:c r="G16" s="143" t="inlineStr">
        <x:is>
          <x:t xml:space="preserve">playground/manual-tests/calendar.md</x:t>
        </x:is>
      </x:c>
      <x:c r="H16" s="143" t="inlineStr">
        <x:is>
          <x:t xml:space="preserve">blocked</x:t>
        </x:is>
      </x:c>
      <x:c r="I16" s="143" t="inlineStr">
        <x:is>
          <x:t xml:space="preserve">yes</x:t>
        </x:is>
      </x:c>
      <x:c r="J16" s="143" t="n"/>
      <x:c r="K16" s="143" t="inlineStr">
        <x:is>
          <x:t xml:space="preserve">Real assistive technology and physical device unavailable</x:t>
        </x:is>
      </x:c>
      <x:c r="L16" s="143" t="n">
        <x:v>1</x:v>
      </x:c>
      <x:c r="M16" s="143" t="n">
        <x:f>IF(OR(H16="verified",AND(I16="no",H16="tested"),H16="not applicable"),1,0)</x:f>
        <x:v>0</x:v>
      </x:c>
    </x:row>
    <x:row r="17" s="135" customFormat="1" ht="63.75" customHeight="1">
      <x:c r="A17" s="148" t="inlineStr">
        <x:is>
          <x:t xml:space="preserve">calendar-inventory</x:t>
        </x:is>
      </x:c>
      <x:c r="B17" s="148" t="inlineStr">
        <x:is>
          <x:t xml:space="preserve">Playground</x:t>
        </x:is>
      </x:c>
      <x:c r="C17" s="148" t="inlineStr">
        <x:is>
          <x:t xml:space="preserve">Calendar</x:t>
        </x:is>
      </x:c>
      <x:c r="D17" s="148" t="inlineStr">
        <x:is>
          <x:t xml:space="preserve">Every declared scenario renders in order at 390px and 1280px without page overflow or runtime exceptions.</x:t>
        </x:is>
      </x:c>
      <x:c r="E17" s="148" t="inlineStr">
        <x:is>
          <x:t xml:space="preserve">component</x:t>
        </x:is>
      </x:c>
      <x:c r="F17" s="148" t="inlineStr">
        <x:is>
          <x:t xml:space="preserve">browser</x:t>
        </x:is>
      </x:c>
      <x:c r="G17" s="148" t="inlineStr">
        <x:is>
          <x:t xml:space="preserve">playground/tests/integration/recent-component-capabilities.spec.ts</x:t>
        </x:is>
      </x:c>
      <x:c r="H17" s="148" t="inlineStr">
        <x:is>
          <x:t xml:space="preserve">partial</x:t>
        </x:is>
      </x:c>
      <x:c r="I17" s="148" t="inlineStr">
        <x:is>
          <x:t xml:space="preserve">no</x:t>
        </x:is>
      </x:c>
      <x:c r="J17" s="148" t="inlineStr">
        <x:is>
          <x:t xml:space="preserve">2026-09-05</x:t>
        </x:is>
      </x:c>
      <x:c r="K17" s="148" t="inlineStr">
        <x:is>
          <x:t xml:space="preserve">Expanded parity implementation is in progress. See owner plan for remaining qualification.</x:t>
        </x:is>
      </x:c>
      <x:c r="L17" s="148" t="n">
        <x:v>1</x:v>
      </x:c>
      <x:c r="M17" s="148" t="n">
        <x:f>IF(OR(H17="tested",H17="verified"),1,0)</x:f>
        <x:v>0</x:v>
      </x:c>
    </x:row>
    <x:row r="18" s="135" customFormat="1" ht="15" customHeight="1">
      <x:c r="A18" s="138" t="n"/>
      <x:c r="B18" s="138" t="n"/>
      <x:c r="C18" s="138" t="n"/>
      <x:c r="D18" s="138" t="n"/>
      <x:c r="E18" s="138" t="n"/>
      <x:c r="F18" s="138" t="n"/>
      <x:c r="G18" s="138" t="n"/>
      <x:c r="H18" s="138" t="n"/>
      <x:c r="I18" s="138" t="n"/>
      <x:c r="J18" s="138" t="n"/>
      <x:c r="K18" s="138" t="n"/>
      <x:c r="L18" s="138" t="n"/>
      <x:c r="M18" s="138" t="n"/>
    </x:row>
    <x:row r="19" s="135" customFormat="1" ht="15" customHeight="1">
      <x:c r="A19" s="138" t="n"/>
      <x:c r="B19" s="138" t="n"/>
      <x:c r="C19" s="138" t="n"/>
      <x:c r="D19" s="138" t="n"/>
      <x:c r="E19" s="138" t="n"/>
      <x:c r="F19" s="138" t="n"/>
      <x:c r="G19" s="138" t="n"/>
      <x:c r="H19" s="138" t="n"/>
      <x:c r="I19" s="138" t="n"/>
      <x:c r="J19" s="138" t="n"/>
      <x:c r="K19" s="138" t="n"/>
      <x:c r="L19" s="138" t="n"/>
      <x:c r="M19" s="138" t="n"/>
    </x:row>
    <x:row r="20" s="135" customFormat="1" ht="15" customHeight="1">
      <x:c r="A20" s="138" t="n"/>
      <x:c r="B20" s="138" t="n"/>
      <x:c r="C20" s="138" t="n"/>
      <x:c r="D20" s="138" t="n"/>
      <x:c r="E20" s="138" t="n"/>
      <x:c r="F20" s="138" t="n"/>
      <x:c r="G20" s="138" t="n"/>
      <x:c r="H20" s="138" t="n"/>
      <x:c r="I20" s="138" t="n"/>
      <x:c r="J20" s="138" t="n"/>
      <x:c r="K20" s="138" t="n"/>
      <x:c r="L20" s="138" t="n"/>
      <x:c r="M20" s="138" t="n"/>
    </x:row>
    <x:row r="21" s="135" customFormat="1" ht="15" customHeight="1">
      <x:c r="A21" s="138" t="n"/>
      <x:c r="B21" s="138" t="n"/>
      <x:c r="C21" s="138" t="n"/>
      <x:c r="D21" s="138" t="n"/>
      <x:c r="E21" s="138" t="n"/>
      <x:c r="F21" s="138" t="n"/>
      <x:c r="G21" s="138" t="n"/>
      <x:c r="H21" s="138" t="n"/>
      <x:c r="I21" s="138" t="n"/>
      <x:c r="J21" s="138" t="n"/>
      <x:c r="K21" s="138" t="n"/>
      <x:c r="L21" s="138" t="n"/>
      <x:c r="M21" s="138" t="n"/>
    </x:row>
    <x:row r="22" s="135" customFormat="1" ht="15" customHeight="1">
      <x:c r="A22" s="138" t="n"/>
      <x:c r="B22" s="138" t="n"/>
      <x:c r="C22" s="138" t="n"/>
      <x:c r="D22" s="138" t="n"/>
      <x:c r="E22" s="138" t="n"/>
      <x:c r="F22" s="138" t="n"/>
      <x:c r="G22" s="138" t="n"/>
      <x:c r="H22" s="138" t="n"/>
      <x:c r="I22" s="138" t="n"/>
      <x:c r="J22" s="138" t="n"/>
      <x:c r="K22" s="138" t="n"/>
      <x:c r="L22" s="138" t="n"/>
      <x:c r="M22" s="138" t="n"/>
    </x:row>
    <x:row r="23" s="135" customFormat="1" ht="15" customHeight="1">
      <x:c r="A23" s="138" t="n"/>
      <x:c r="B23" s="138" t="n"/>
      <x:c r="C23" s="138" t="n"/>
      <x:c r="D23" s="138" t="n"/>
      <x:c r="E23" s="138" t="n"/>
      <x:c r="F23" s="138" t="n"/>
      <x:c r="G23" s="138" t="n"/>
      <x:c r="H23" s="138" t="n"/>
      <x:c r="I23" s="138" t="n"/>
      <x:c r="J23" s="138" t="n"/>
      <x:c r="K23" s="138" t="n"/>
      <x:c r="L23" s="138" t="n"/>
      <x:c r="M23" s="138" t="n"/>
    </x:row>
    <x:row r="24" s="135" customFormat="1" ht="15" customHeight="1">
      <x:c r="A24" s="138" t="n"/>
      <x:c r="B24" s="138" t="n"/>
      <x:c r="C24" s="138" t="n"/>
      <x:c r="D24" s="138" t="n"/>
      <x:c r="E24" s="138" t="n"/>
      <x:c r="F24" s="138" t="n"/>
      <x:c r="G24" s="138" t="n"/>
      <x:c r="H24" s="138" t="n"/>
      <x:c r="I24" s="138" t="n"/>
      <x:c r="J24" s="138" t="n"/>
      <x:c r="K24" s="138" t="n"/>
      <x:c r="L24" s="138" t="n"/>
      <x:c r="M24" s="138" t="n"/>
    </x:row>
  </x:sheetData>
  <x:mergeCells>
    <x:mergeCell ref="A2:M2"/>
    <x:mergeCell ref="A1:M1"/>
  </x:mergeCells>
  <x:dataValidations count="2">
    <x:dataValidation type="list" errorStyle="stop" operator="between" allowBlank="0" showDropDown="0" showInputMessage="0" showErrorMessage="0" sqref="H9:H16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H17">
      <x:formula1>_Lists!$A$1:$A$7</x:formula1>
      <x:formula2>0</x:formula2>
    </x:dataValidation>
  </x:dataValidations>
  <x:pageMargins left="0.7" right="0.7" top="0.75" bottom="0.75" header="0.3" footer="0.3"/>
</x:worksheet>
</file>

<file path=xl/worksheets/sheet115.xml><?xml version="1.0" encoding="utf-8"?>
<x:worksheet xmlns:x="http://schemas.openxmlformats.org/spreadsheetml/2006/main">
  <x:sheetViews>
    <x:sheetView showGridLines="1" workbookViewId="0">
      <x:pane ySplit="8" topLeftCell="A9" activePane="bottomLeft" state="frozen"/>
    </x:sheetView>
  </x:sheetViews>
  <x:sheetFormatPr baseColWidth="8" defaultColWidth="8.6796875" defaultRowHeight="15"/>
  <x:cols>
    <x:col min="1" max="1" width="14" style="138" customWidth="1"/>
    <x:col min="2" max="2" width="18" style="138" customWidth="1"/>
    <x:col min="3" max="3" width="22" style="138" customWidth="1"/>
    <x:col min="4" max="4" width="45" style="138" customWidth="1"/>
    <x:col min="5" max="5" width="14" style="138" customWidth="1"/>
    <x:col min="6" max="6" width="16" style="138" customWidth="1"/>
    <x:col min="7" max="7" width="48" style="138" customWidth="1"/>
    <x:col min="8" max="8" width="17" style="138" customWidth="1"/>
    <x:col min="9" max="10" width="15" style="138" customWidth="1"/>
    <x:col min="11" max="11" width="40" style="138" customWidth="1"/>
    <x:col min="12" max="13" width="10" style="138" customWidth="1"/>
  </x:cols>
  <x:sheetData>
    <x:row r="1" s="135" customFormat="1" ht="24" customHeight="1">
      <x:c r="A1" s="143" t="inlineStr">
        <x:is>
          <x:t xml:space="preserve">Date Input evidence</x:t>
        </x:is>
      </x:c>
    </x:row>
    <x:row r="2" s="135" customFormat="1" ht="24" customHeight="1">
      <x:c r="A2" s="143" t="inlineStr">
        <x:is>
          <x:t xml:space="preserve">Date behavior and public integration. Physical-device and screen-reader review remains open.</x:t>
        </x:is>
      </x:c>
    </x:row>
    <x:row r="3" s="135" customFormat="1" ht="15" customHeight="1">
      <x:c r="A3" s="143" t="n"/>
      <x:c r="B3" s="143" t="n"/>
      <x:c r="C3" s="143" t="n"/>
      <x:c r="D3" s="143" t="n"/>
      <x:c r="E3" s="143" t="n"/>
      <x:c r="F3" s="143" t="n"/>
      <x:c r="G3" s="143" t="n"/>
      <x:c r="H3" s="143" t="n"/>
      <x:c r="I3" s="143" t="n"/>
      <x:c r="J3" s="143" t="n"/>
      <x:c r="K3" s="143" t="n"/>
      <x:c r="L3" s="143" t="n"/>
      <x:c r="M3" s="143" t="n"/>
    </x:row>
    <x:row r="4" s="135" customFormat="1" ht="15" customHeight="1">
      <x:c r="A4" s="143" t="inlineStr">
        <x:is>
          <x:t xml:space="preserve">Requirements</x:t>
        </x:is>
      </x:c>
      <x:c r="B4" s="143" t="n">
        <x:f>COUNTA(A9:A17)</x:f>
        <x:v>9</x:v>
      </x:c>
      <x:c r="C4" s="143" t="n"/>
      <x:c r="D4" s="143" t="inlineStr">
        <x:is>
          <x:t xml:space="preserve">Resolved</x:t>
        </x:is>
      </x:c>
      <x:c r="E4" s="143" t="n">
        <x:f>SUM(M9:M17)</x:f>
        <x:v>3</x:v>
      </x:c>
      <x:c r="F4" s="143" t="n"/>
      <x:c r="G4" s="143" t="inlineStr">
        <x:is>
          <x:t xml:space="preserve">Completion</x:t>
        </x:is>
      </x:c>
      <x:c r="H4" s="143" t="n">
        <x:f>IF(B4=0,0,E4/B4)</x:f>
        <x:v>0.3333333333333333</x:v>
      </x:c>
      <x:c r="I4" s="143" t="n"/>
      <x:c r="J4" s="143" t="inlineStr">
        <x:is>
          <x:t xml:space="preserve">Package gate</x:t>
        </x:is>
      </x:c>
      <x:c r="K4" s="143" t="inlineStr">
        <x:is>
          <x:t xml:space="preserve">open</x:t>
        </x:is>
      </x:c>
      <x:c r="L4" s="143" t="n"/>
      <x:c r="M4" s="143" t="n"/>
    </x:row>
    <x:row r="5" s="135" customFormat="1" ht="15" customHeight="1">
      <x:c r="A5" s="143" t="inlineStr">
        <x:is>
          <x:t xml:space="preserve">Manual review</x:t>
        </x:is>
      </x:c>
      <x:c r="B5" s="143" t="str">
        <x:f>IF(COUNTIFS(I9:I24,"yes",M9:M24,0)&gt;0,"open","complete")</x:f>
        <x:v>open</x:v>
      </x:c>
      <x:c r="C5" s="143" t="n"/>
      <x:c r="D5" s="143" t="inlineStr">
        <x:is>
          <x:t xml:space="preserve">Consumer gate</x:t>
        </x:is>
      </x:c>
      <x:c r="E5" s="143" t="inlineStr">
        <x:is>
          <x:t xml:space="preserve">open</x:t>
        </x:is>
      </x:c>
      <x:c r="F5" s="143" t="n"/>
      <x:c r="G5" s="143" t="n"/>
      <x:c r="H5" s="143" t="n"/>
      <x:c r="I5" s="143" t="n"/>
      <x:c r="J5" s="143" t="n"/>
      <x:c r="K5" s="143" t="n"/>
      <x:c r="L5" s="143" t="n"/>
      <x:c r="M5" s="143" t="n"/>
    </x:row>
    <x:row r="6" s="135" customFormat="1" ht="15" customHeight="1">
      <x:c r="A6" s="143" t="n"/>
      <x:c r="B6" s="143" t="n"/>
      <x:c r="C6" s="143" t="n"/>
      <x:c r="D6" s="143" t="n"/>
      <x:c r="E6" s="143" t="n"/>
      <x:c r="F6" s="143" t="n"/>
      <x:c r="G6" s="143" t="n"/>
      <x:c r="H6" s="143" t="n"/>
      <x:c r="I6" s="143" t="n"/>
      <x:c r="J6" s="143" t="n"/>
      <x:c r="K6" s="143" t="n"/>
      <x:c r="L6" s="143" t="n"/>
      <x:c r="M6" s="143" t="n"/>
    </x:row>
    <x:row r="7" s="135" customFormat="1" ht="15" customHeight="1">
      <x:c r="A7" s="143" t="n"/>
      <x:c r="B7" s="143" t="n"/>
      <x:c r="C7" s="143" t="n"/>
      <x:c r="D7" s="143" t="n"/>
      <x:c r="E7" s="143" t="n"/>
      <x:c r="F7" s="143" t="n"/>
      <x:c r="G7" s="143" t="n"/>
      <x:c r="H7" s="143" t="n"/>
      <x:c r="I7" s="143" t="n"/>
      <x:c r="J7" s="143" t="n"/>
      <x:c r="K7" s="143" t="n"/>
      <x:c r="L7" s="143" t="n"/>
      <x:c r="M7" s="143" t="n"/>
    </x:row>
    <x:row r="8" s="135" customFormat="1" ht="15" customHeight="1">
      <x:c r="A8" s="143" t="inlineStr">
        <x:is>
          <x:t xml:space="preserve">ID</x:t>
        </x:is>
      </x:c>
      <x:c r="B8" s="143" t="inlineStr">
        <x:is>
          <x:t xml:space="preserve">Area</x:t>
        </x:is>
      </x:c>
      <x:c r="C8" s="143" t="inlineStr">
        <x:is>
          <x:t xml:space="preserve">Part</x:t>
        </x:is>
      </x:c>
      <x:c r="D8" s="143" t="inlineStr">
        <x:is>
          <x:t xml:space="preserve">Requirement</x:t>
        </x:is>
      </x:c>
      <x:c r="E8" s="143" t="inlineStr">
        <x:is>
          <x:t xml:space="preserve">Gate</x:t>
        </x:is>
      </x:c>
      <x:c r="F8" s="143" t="inlineStr">
        <x:is>
          <x:t xml:space="preserve">Evidence type</x:t>
        </x:is>
      </x:c>
      <x:c r="G8" s="143" t="inlineStr">
        <x:is>
          <x:t xml:space="preserve">Evidence / link</x:t>
        </x:is>
      </x:c>
      <x:c r="H8" s="143" t="inlineStr">
        <x:is>
          <x:t xml:space="preserve">Status</x:t>
        </x:is>
      </x:c>
      <x:c r="I8" s="143" t="inlineStr">
        <x:is>
          <x:t xml:space="preserve">Human review?</x:t>
        </x:is>
      </x:c>
      <x:c r="J8" s="143" t="inlineStr">
        <x:is>
          <x:t xml:space="preserve">Last verified</x:t>
        </x:is>
      </x:c>
      <x:c r="K8" s="143" t="inlineStr">
        <x:is>
          <x:t xml:space="preserve">Blocker / N/A reason</x:t>
        </x:is>
      </x:c>
      <x:c r="L8" s="143" t="inlineStr">
        <x:is>
          <x:t xml:space="preserve">Weight</x:t>
        </x:is>
      </x:c>
      <x:c r="M8" s="143" t="inlineStr">
        <x:is>
          <x:t xml:space="preserve">Resolved</x:t>
        </x:is>
      </x:c>
    </x:row>
    <x:row r="9" s="135" customFormat="1" ht="48" customHeight="1">
      <x:c r="A9" s="143" t="inlineStr">
        <x:is>
          <x:t xml:space="preserve">date-input-1</x:t>
        </x:is>
      </x:c>
      <x:c r="B9" s="143" t="inlineStr">
        <x:is>
          <x:t xml:space="preserve">Root</x:t>
        </x:is>
      </x:c>
      <x:c r="C9" s="143" t="inlineStr">
        <x:is>
          <x:t xml:space="preserve">Root</x:t>
        </x:is>
      </x:c>
      <x:c r="D9" s="143" t="inlineStr">
        <x:is>
          <x:t xml:space="preserve">Typed selection modes and canonical values</x:t>
        </x:is>
      </x:c>
      <x:c r="E9" s="143" t="inlineStr">
        <x:is>
          <x:t xml:space="preserve">package</x:t>
        </x:is>
      </x:c>
      <x:c r="F9" s="143" t="inlineStr">
        <x:is>
          <x:t xml:space="preserve">automated</x:t>
        </x:is>
      </x:c>
      <x:c r="G9" s="143" t="inlineStr">
        <x:is>
          <x:t xml:space="preserve">test/components/date-input/date-input.test.tsx</x:t>
        </x:is>
      </x:c>
      <x:c r="H9" s="143" t="inlineStr">
        <x:is>
          <x:t xml:space="preserve">tested</x:t>
        </x:is>
      </x:c>
      <x:c r="I9" s="143" t="inlineStr">
        <x:is>
          <x:t xml:space="preserve">no</x:t>
        </x:is>
      </x:c>
      <x:c r="J9" s="143" t="inlineStr">
        <x:is>
          <x:t xml:space="preserve">2026-09-18</x:t>
        </x:is>
      </x:c>
      <x:c r="K9" s="143" t="inlineStr">
        <x:is>
          <x:t xml:space="preserve">Unpublished date-family candidate. Manual qualification remains open.</x:t>
        </x:is>
      </x:c>
      <x:c r="L9" s="143" t="n">
        <x:v>1</x:v>
      </x:c>
      <x:c r="M9" s="143" t="n">
        <x:f>IF(OR(H9="verified",AND(I9="no",H9="tested"),H9="not applicable"),1,0)</x:f>
        <x:v>1</x:v>
      </x:c>
    </x:row>
    <x:row r="10" s="135" customFormat="1" ht="48" customHeight="1">
      <x:c r="A10" s="143" t="inlineStr">
        <x:is>
          <x:t xml:space="preserve">date-input-2</x:t>
        </x:is>
      </x:c>
      <x:c r="B10" s="143" t="inlineStr">
        <x:is>
          <x:t xml:space="preserve">Public parts</x:t>
        </x:is>
      </x:c>
      <x:c r="C10" s="143" t="inlineStr">
        <x:is>
          <x:t xml:space="preserve">Public parts</x:t>
        </x:is>
      </x:c>
      <x:c r="D10" s="143" t="inlineStr">
        <x:is>
          <x:t xml:space="preserve">Named native hosts, refs and selection types</x:t>
        </x:is>
      </x:c>
      <x:c r="E10" s="143" t="inlineStr">
        <x:is>
          <x:t xml:space="preserve">package</x:t>
        </x:is>
      </x:c>
      <x:c r="F10" s="143" t="inlineStr">
        <x:is>
          <x:t xml:space="preserve">automated</x:t>
        </x:is>
      </x:c>
      <x:c r="G10" s="143" t="inlineStr">
        <x:is>
          <x:t xml:space="preserve">test/types/components/date-input.test.ts</x:t>
        </x:is>
      </x:c>
      <x:c r="H10" s="143" t="inlineStr">
        <x:is>
          <x:t xml:space="preserve">partial</x:t>
        </x:is>
      </x:c>
      <x:c r="I10" s="143" t="inlineStr">
        <x:is>
          <x:t xml:space="preserve">no</x:t>
        </x:is>
      </x:c>
      <x:c r="J10" s="143" t="n"/>
      <x:c r="K10" s="143" t="inlineStr">
        <x:is>
          <x:t xml:space="preserve">Expanded parity implementation is in progress. See owner plan for remaining qualification.</x:t>
        </x:is>
      </x:c>
      <x:c r="L10" s="143" t="n">
        <x:v>1</x:v>
      </x:c>
      <x:c r="M10" s="143" t="n">
        <x:f>IF(OR(H10="verified",AND(I10="no",H10="tested"),H10="not applicable"),1,0)</x:f>
        <x:v>0</x:v>
      </x:c>
    </x:row>
    <x:row r="11" s="135" customFormat="1" ht="48" customHeight="1">
      <x:c r="A11" s="143" t="inlineStr">
        <x:is>
          <x:t xml:space="preserve">date-input-3</x:t>
        </x:is>
      </x:c>
      <x:c r="B11" s="143" t="inlineStr">
        <x:is>
          <x:t xml:space="preserve">Interaction</x:t>
        </x:is>
      </x:c>
      <x:c r="C11" s="143" t="inlineStr">
        <x:is>
          <x:t xml:space="preserve">Interaction</x:t>
        </x:is>
      </x:c>
      <x:c r="D11" s="143" t="inlineStr">
        <x:is>
          <x:t xml:space="preserve">Keyboard editing or grid focus</x:t>
        </x:is>
      </x:c>
      <x:c r="E11" s="143" t="inlineStr">
        <x:is>
          <x:t xml:space="preserve">package</x:t>
        </x:is>
      </x:c>
      <x:c r="F11" s="143" t="inlineStr">
        <x:is>
          <x:t xml:space="preserve">automated</x:t>
        </x:is>
      </x:c>
      <x:c r="G11" s="143" t="inlineStr">
        <x:is>
          <x:t xml:space="preserve">playground/tests/components/date-input/behavior.spec.ts</x:t>
        </x:is>
      </x:c>
      <x:c r="H11" s="143" t="inlineStr">
        <x:is>
          <x:t xml:space="preserve">tested</x:t>
        </x:is>
      </x:c>
      <x:c r="I11" s="143" t="inlineStr">
        <x:is>
          <x:t xml:space="preserve">no</x:t>
        </x:is>
      </x:c>
      <x:c r="J11" s="143" t="inlineStr">
        <x:is>
          <x:t xml:space="preserve">2026-09-18</x:t>
        </x:is>
      </x:c>
      <x:c r="K11" s="143" t="inlineStr">
        <x:is>
          <x:t xml:space="preserve">Unpublished date-family candidate. Manual qualification remains open.</x:t>
        </x:is>
      </x:c>
      <x:c r="L11" s="143" t="n">
        <x:v>1</x:v>
      </x:c>
      <x:c r="M11" s="143" t="n">
        <x:f>IF(OR(H11="verified",AND(I11="no",H11="tested"),H11="not applicable"),1,0)</x:f>
        <x:v>1</x:v>
      </x:c>
    </x:row>
    <x:row r="12" s="135" customFormat="1" ht="48" customHeight="1">
      <x:c r="A12" s="143" t="inlineStr">
        <x:is>
          <x:t xml:space="preserve">date-input-4</x:t>
        </x:is>
      </x:c>
      <x:c r="B12" s="143" t="inlineStr">
        <x:is>
          <x:t xml:space="preserve">State</x:t>
        </x:is>
      </x:c>
      <x:c r="C12" s="143" t="inlineStr">
        <x:is>
          <x:t xml:space="preserve">State</x:t>
        </x:is>
      </x:c>
      <x:c r="D12" s="143" t="inlineStr">
        <x:is>
          <x:t xml:space="preserve">Range, constraints and shared value</x:t>
        </x:is>
      </x:c>
      <x:c r="E12" s="143" t="inlineStr">
        <x:is>
          <x:t xml:space="preserve">package</x:t>
        </x:is>
      </x:c>
      <x:c r="F12" s="143" t="inlineStr">
        <x:is>
          <x:t xml:space="preserve">automated</x:t>
        </x:is>
      </x:c>
      <x:c r="G12" s="143" t="inlineStr">
        <x:is>
          <x:t xml:space="preserve">playground/src/components/date-input</x:t>
        </x:is>
      </x:c>
      <x:c r="H12" s="143" t="inlineStr">
        <x:is>
          <x:t xml:space="preserve">partial</x:t>
        </x:is>
      </x:c>
      <x:c r="I12" s="143" t="inlineStr">
        <x:is>
          <x:t xml:space="preserve">no</x:t>
        </x:is>
      </x:c>
      <x:c r="J12" s="143" t="n"/>
      <x:c r="K12" s="143" t="inlineStr">
        <x:is>
          <x:t xml:space="preserve">Expanded parity implementation is in progress. See owner plan for remaining qualification.</x:t>
        </x:is>
      </x:c>
      <x:c r="L12" s="143" t="n">
        <x:v>1</x:v>
      </x:c>
      <x:c r="M12" s="143" t="n">
        <x:f>IF(OR(H12="verified",AND(I12="no",H12="tested"),H12="not applicable"),1,0)</x:f>
        <x:v>0</x:v>
      </x:c>
    </x:row>
    <x:row r="13" s="135" customFormat="1" ht="48" customHeight="1">
      <x:c r="A13" s="143" t="inlineStr">
        <x:is>
          <x:t xml:space="preserve">date-input-5</x:t>
        </x:is>
      </x:c>
      <x:c r="B13" s="143" t="inlineStr">
        <x:is>
          <x:t xml:space="preserve">Presentation</x:t>
        </x:is>
      </x:c>
      <x:c r="C13" s="143" t="inlineStr">
        <x:is>
          <x:t xml:space="preserve">Presentation</x:t>
        </x:is>
      </x:c>
      <x:c r="D13" s="143" t="inlineStr">
        <x:is>
          <x:t xml:space="preserve">Locale, direction and narrow geometry</x:t>
        </x:is>
      </x:c>
      <x:c r="E13" s="143" t="inlineStr">
        <x:is>
          <x:t xml:space="preserve">package</x:t>
        </x:is>
      </x:c>
      <x:c r="F13" s="143" t="inlineStr">
        <x:is>
          <x:t xml:space="preserve">automated</x:t>
        </x:is>
      </x:c>
      <x:c r="G13" s="143" t="inlineStr">
        <x:is>
          <x:t xml:space="preserve">playground/tests/components/date-input/visual.spec.ts</x:t>
        </x:is>
      </x:c>
      <x:c r="H13" s="143" t="inlineStr">
        <x:is>
          <x:t xml:space="preserve">partial</x:t>
        </x:is>
      </x:c>
      <x:c r="I13" s="143" t="inlineStr">
        <x:is>
          <x:t xml:space="preserve">no</x:t>
        </x:is>
      </x:c>
      <x:c r="J13" s="143" t="n"/>
      <x:c r="K13" s="143" t="inlineStr">
        <x:is>
          <x:t xml:space="preserve">Expanded parity implementation is in progress. See owner plan for remaining qualification.</x:t>
        </x:is>
      </x:c>
      <x:c r="L13" s="143" t="n">
        <x:v>1</x:v>
      </x:c>
      <x:c r="M13" s="143" t="n">
        <x:f>IF(OR(H13="verified",AND(I13="no",H13="tested"),H13="not applicable"),1,0)</x:f>
        <x:v>0</x:v>
      </x:c>
    </x:row>
    <x:row r="14" s="135" customFormat="1" ht="48" customHeight="1">
      <x:c r="A14" s="143" t="inlineStr">
        <x:is>
          <x:t xml:space="preserve">date-input-6</x:t>
        </x:is>
      </x:c>
      <x:c r="B14" s="143" t="inlineStr">
        <x:is>
          <x:t xml:space="preserve">Documentation</x:t>
        </x:is>
      </x:c>
      <x:c r="C14" s="143" t="inlineStr">
        <x:is>
          <x:t xml:space="preserve">Documentation</x:t>
        </x:is>
      </x:c>
      <x:c r="D14" s="143" t="inlineStr">
        <x:is>
          <x:t xml:space="preserve">Public guide and exact Agent Knowledge</x:t>
        </x:is>
      </x:c>
      <x:c r="E14" s="143" t="inlineStr">
        <x:is>
          <x:t xml:space="preserve">package</x:t>
        </x:is>
      </x:c>
      <x:c r="F14" s="143" t="inlineStr">
        <x:is>
          <x:t xml:space="preserve">automated</x:t>
        </x:is>
      </x:c>
      <x:c r="G14" s="143" t="inlineStr">
        <x:is>
          <x:t xml:space="preserve">docs/components/date-input/README.md</x:t>
        </x:is>
      </x:c>
      <x:c r="H14" s="143" t="inlineStr">
        <x:is>
          <x:t xml:space="preserve">partial</x:t>
        </x:is>
      </x:c>
      <x:c r="I14" s="143" t="inlineStr">
        <x:is>
          <x:t xml:space="preserve">no</x:t>
        </x:is>
      </x:c>
      <x:c r="J14" s="143" t="n"/>
      <x:c r="K14" s="143" t="inlineStr">
        <x:is>
          <x:t xml:space="preserve">Expanded parity implementation is in progress. See owner plan for remaining qualification.</x:t>
        </x:is>
      </x:c>
      <x:c r="L14" s="143" t="n">
        <x:v>1</x:v>
      </x:c>
      <x:c r="M14" s="143" t="n">
        <x:f>IF(OR(H14="verified",AND(I14="no",H14="tested"),H14="not applicable"),1,0)</x:f>
        <x:v>0</x:v>
      </x:c>
    </x:row>
    <x:row r="15" s="135" customFormat="1" ht="48" customHeight="1">
      <x:c r="A15" s="143" t="inlineStr">
        <x:is>
          <x:t xml:space="preserve">date-input-7</x:t>
        </x:is>
      </x:c>
      <x:c r="B15" s="143" t="inlineStr">
        <x:is>
          <x:t xml:space="preserve">Package</x:t>
        </x:is>
      </x:c>
      <x:c r="C15" s="143" t="inlineStr">
        <x:is>
          <x:t xml:space="preserve">Package</x:t>
        </x:is>
      </x:c>
      <x:c r="D15" s="143" t="inlineStr">
        <x:is>
          <x:t xml:space="preserve">Packed consumer integration</x:t>
        </x:is>
      </x:c>
      <x:c r="E15" s="143" t="inlineStr">
        <x:is>
          <x:t xml:space="preserve">package</x:t>
        </x:is>
      </x:c>
      <x:c r="F15" s="143" t="inlineStr">
        <x:is>
          <x:t xml:space="preserve">automated</x:t>
        </x:is>
      </x:c>
      <x:c r="G15" s="143" t="inlineStr">
        <x:is>
          <x:t xml:space="preserve">scripts/verify-date-family-consumers.mjs</x:t>
        </x:is>
      </x:c>
      <x:c r="H15" s="143" t="inlineStr">
        <x:is>
          <x:t xml:space="preserve">tested</x:t>
        </x:is>
      </x:c>
      <x:c r="I15" s="143" t="inlineStr">
        <x:is>
          <x:t xml:space="preserve">no</x:t>
        </x:is>
      </x:c>
      <x:c r="J15" s="143" t="inlineStr">
        <x:is>
          <x:t xml:space="preserve">2026-09-18</x:t>
        </x:is>
      </x:c>
      <x:c r="K15" s="143" t="inlineStr">
        <x:is>
          <x:t xml:space="preserve">Unpublished date-family candidate. Manual qualification remains open.</x:t>
        </x:is>
      </x:c>
      <x:c r="L15" s="143" t="n">
        <x:v>1</x:v>
      </x:c>
      <x:c r="M15" s="143" t="n">
        <x:f>IF(OR(H15="verified",AND(I15="no",H15="tested"),H15="not applicable"),1,0)</x:f>
        <x:v>1</x:v>
      </x:c>
    </x:row>
    <x:row r="16" s="135" customFormat="1" ht="48" customHeight="1">
      <x:c r="A16" s="143" t="inlineStr">
        <x:is>
          <x:t xml:space="preserve">date-input-8</x:t>
        </x:is>
      </x:c>
      <x:c r="B16" s="143" t="inlineStr">
        <x:is>
          <x:t xml:space="preserve">Manual</x:t>
        </x:is>
      </x:c>
      <x:c r="C16" s="143" t="inlineStr">
        <x:is>
          <x:t xml:space="preserve">Manual</x:t>
        </x:is>
      </x:c>
      <x:c r="D16" s="143" t="inlineStr">
        <x:is>
          <x:t xml:space="preserve">Real AT, browser zoom and physical touch</x:t>
        </x:is>
      </x:c>
      <x:c r="E16" s="143" t="inlineStr">
        <x:is>
          <x:t xml:space="preserve">manual</x:t>
        </x:is>
      </x:c>
      <x:c r="F16" s="143" t="inlineStr">
        <x:is>
          <x:t xml:space="preserve">manual</x:t>
        </x:is>
      </x:c>
      <x:c r="G16" s="143" t="inlineStr">
        <x:is>
          <x:t xml:space="preserve">playground/manual-tests/date-input.md</x:t>
        </x:is>
      </x:c>
      <x:c r="H16" s="143" t="inlineStr">
        <x:is>
          <x:t xml:space="preserve">blocked</x:t>
        </x:is>
      </x:c>
      <x:c r="I16" s="143" t="inlineStr">
        <x:is>
          <x:t xml:space="preserve">yes</x:t>
        </x:is>
      </x:c>
      <x:c r="J16" s="143" t="n"/>
      <x:c r="K16" s="143" t="inlineStr">
        <x:is>
          <x:t xml:space="preserve">Real assistive technology and physical device unavailable</x:t>
        </x:is>
      </x:c>
      <x:c r="L16" s="143" t="n">
        <x:v>1</x:v>
      </x:c>
      <x:c r="M16" s="143" t="n">
        <x:f>IF(OR(H16="verified",AND(I16="no",H16="tested"),H16="not applicable"),1,0)</x:f>
        <x:v>0</x:v>
      </x:c>
    </x:row>
    <x:row r="17" s="135" customFormat="1" ht="63.75" customHeight="1">
      <x:c r="A17" s="148" t="inlineStr">
        <x:is>
          <x:t xml:space="preserve">dateinput-inventory</x:t>
        </x:is>
      </x:c>
      <x:c r="B17" s="148" t="inlineStr">
        <x:is>
          <x:t xml:space="preserve">Playground</x:t>
        </x:is>
      </x:c>
      <x:c r="C17" s="148" t="inlineStr">
        <x:is>
          <x:t xml:space="preserve">Date Input</x:t>
        </x:is>
      </x:c>
      <x:c r="D17" s="148" t="inlineStr">
        <x:is>
          <x:t xml:space="preserve">Every declared scenario renders in order at 390px and 1280px without page overflow or runtime exceptions.</x:t>
        </x:is>
      </x:c>
      <x:c r="E17" s="148" t="inlineStr">
        <x:is>
          <x:t xml:space="preserve">component</x:t>
        </x:is>
      </x:c>
      <x:c r="F17" s="148" t="inlineStr">
        <x:is>
          <x:t xml:space="preserve">browser</x:t>
        </x:is>
      </x:c>
      <x:c r="G17" s="148" t="inlineStr">
        <x:is>
          <x:t xml:space="preserve">playground/tests/integration/recent-component-capabilities.spec.ts</x:t>
        </x:is>
      </x:c>
      <x:c r="H17" s="148" t="inlineStr">
        <x:is>
          <x:t xml:space="preserve">partial</x:t>
        </x:is>
      </x:c>
      <x:c r="I17" s="148" t="inlineStr">
        <x:is>
          <x:t xml:space="preserve">no</x:t>
        </x:is>
      </x:c>
      <x:c r="J17" s="148" t="inlineStr">
        <x:is>
          <x:t xml:space="preserve">2026-09-05</x:t>
        </x:is>
      </x:c>
      <x:c r="K17" s="148" t="inlineStr">
        <x:is>
          <x:t xml:space="preserve">Expanded parity implementation is in progress. See owner plan for remaining qualification.</x:t>
        </x:is>
      </x:c>
      <x:c r="L17" s="148" t="n">
        <x:v>1</x:v>
      </x:c>
      <x:c r="M17" s="148" t="n">
        <x:f>IF(OR(H17="tested",H17="verified"),1,0)</x:f>
        <x:v>0</x:v>
      </x:c>
    </x:row>
    <x:row r="18" s="135" customFormat="1" ht="15" customHeight="1">
      <x:c r="A18" s="138" t="n"/>
      <x:c r="B18" s="138" t="n"/>
      <x:c r="C18" s="138" t="n"/>
      <x:c r="D18" s="138" t="n"/>
      <x:c r="E18" s="138" t="n"/>
      <x:c r="F18" s="138" t="n"/>
      <x:c r="G18" s="138" t="n"/>
      <x:c r="H18" s="138" t="n"/>
      <x:c r="I18" s="138" t="n"/>
      <x:c r="J18" s="138" t="n"/>
      <x:c r="K18" s="138" t="n"/>
      <x:c r="L18" s="138" t="n"/>
      <x:c r="M18" s="138" t="n"/>
    </x:row>
    <x:row r="19" s="135" customFormat="1" ht="15" customHeight="1">
      <x:c r="A19" s="138" t="n"/>
      <x:c r="B19" s="138" t="n"/>
      <x:c r="C19" s="138" t="n"/>
      <x:c r="D19" s="138" t="n"/>
      <x:c r="E19" s="138" t="n"/>
      <x:c r="F19" s="138" t="n"/>
      <x:c r="G19" s="138" t="n"/>
      <x:c r="H19" s="138" t="n"/>
      <x:c r="I19" s="138" t="n"/>
      <x:c r="J19" s="138" t="n"/>
      <x:c r="K19" s="138" t="n"/>
      <x:c r="L19" s="138" t="n"/>
      <x:c r="M19" s="138" t="n"/>
    </x:row>
    <x:row r="20" s="135" customFormat="1" ht="15" customHeight="1">
      <x:c r="A20" s="138" t="n"/>
      <x:c r="B20" s="138" t="n"/>
      <x:c r="C20" s="138" t="n"/>
      <x:c r="D20" s="138" t="n"/>
      <x:c r="E20" s="138" t="n"/>
      <x:c r="F20" s="138" t="n"/>
      <x:c r="G20" s="138" t="n"/>
      <x:c r="H20" s="138" t="n"/>
      <x:c r="I20" s="138" t="n"/>
      <x:c r="J20" s="138" t="n"/>
      <x:c r="K20" s="138" t="n"/>
      <x:c r="L20" s="138" t="n"/>
      <x:c r="M20" s="138" t="n"/>
    </x:row>
    <x:row r="21" s="135" customFormat="1" ht="15" customHeight="1">
      <x:c r="A21" s="138" t="n"/>
      <x:c r="B21" s="138" t="n"/>
      <x:c r="C21" s="138" t="n"/>
      <x:c r="D21" s="138" t="n"/>
      <x:c r="E21" s="138" t="n"/>
      <x:c r="F21" s="138" t="n"/>
      <x:c r="G21" s="138" t="n"/>
      <x:c r="H21" s="138" t="n"/>
      <x:c r="I21" s="138" t="n"/>
      <x:c r="J21" s="138" t="n"/>
      <x:c r="K21" s="138" t="n"/>
      <x:c r="L21" s="138" t="n"/>
      <x:c r="M21" s="138" t="n"/>
    </x:row>
    <x:row r="22" s="135" customFormat="1" ht="15" customHeight="1">
      <x:c r="A22" s="138" t="n"/>
      <x:c r="B22" s="138" t="n"/>
      <x:c r="C22" s="138" t="n"/>
      <x:c r="D22" s="138" t="n"/>
      <x:c r="E22" s="138" t="n"/>
      <x:c r="F22" s="138" t="n"/>
      <x:c r="G22" s="138" t="n"/>
      <x:c r="H22" s="138" t="n"/>
      <x:c r="I22" s="138" t="n"/>
      <x:c r="J22" s="138" t="n"/>
      <x:c r="K22" s="138" t="n"/>
      <x:c r="L22" s="138" t="n"/>
      <x:c r="M22" s="138" t="n"/>
    </x:row>
    <x:row r="23" s="135" customFormat="1" ht="15" customHeight="1">
      <x:c r="A23" s="138" t="n"/>
      <x:c r="B23" s="138" t="n"/>
      <x:c r="C23" s="138" t="n"/>
      <x:c r="D23" s="138" t="n"/>
      <x:c r="E23" s="138" t="n"/>
      <x:c r="F23" s="138" t="n"/>
      <x:c r="G23" s="138" t="n"/>
      <x:c r="H23" s="138" t="n"/>
      <x:c r="I23" s="138" t="n"/>
      <x:c r="J23" s="138" t="n"/>
      <x:c r="K23" s="138" t="n"/>
      <x:c r="L23" s="138" t="n"/>
      <x:c r="M23" s="138" t="n"/>
    </x:row>
    <x:row r="24" s="135" customFormat="1" ht="15" customHeight="1">
      <x:c r="A24" s="138" t="n"/>
      <x:c r="B24" s="138" t="n"/>
      <x:c r="C24" s="138" t="n"/>
      <x:c r="D24" s="138" t="n"/>
      <x:c r="E24" s="138" t="n"/>
      <x:c r="F24" s="138" t="n"/>
      <x:c r="G24" s="138" t="n"/>
      <x:c r="H24" s="138" t="n"/>
      <x:c r="I24" s="138" t="n"/>
      <x:c r="J24" s="138" t="n"/>
      <x:c r="K24" s="138" t="n"/>
      <x:c r="L24" s="138" t="n"/>
      <x:c r="M24" s="138" t="n"/>
    </x:row>
  </x:sheetData>
  <x:mergeCells>
    <x:mergeCell ref="A2:M2"/>
    <x:mergeCell ref="A1:M1"/>
  </x:mergeCells>
  <x:dataValidations count="2">
    <x:dataValidation type="list" errorStyle="stop" operator="between" allowBlank="0" showDropDown="0" showInputMessage="0" showErrorMessage="0" sqref="H9:H16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H17">
      <x:formula1>_Lists!$A$1:$A$7</x:formula1>
      <x:formula2>0</x:formula2>
    </x:dataValidation>
  </x:dataValidations>
  <x:pageMargins left="0.7" right="0.7" top="0.75" bottom="0.75" header="0.3" footer="0.3"/>
</x:worksheet>
</file>

<file path=xl/worksheets/sheet116.xml><?xml version="1.0" encoding="utf-8"?>
<x:worksheet xmlns:x="http://schemas.openxmlformats.org/spreadsheetml/2006/main">
  <x:sheetViews>
    <x:sheetView showGridLines="1" workbookViewId="0">
      <x:pane ySplit="8" topLeftCell="A9" activePane="bottomLeft" state="frozen"/>
    </x:sheetView>
  </x:sheetViews>
  <x:sheetFormatPr baseColWidth="8" defaultColWidth="8.6796875" defaultRowHeight="15"/>
  <x:cols>
    <x:col min="1" max="1" width="14" style="138" customWidth="1"/>
    <x:col min="2" max="2" width="18" style="138" customWidth="1"/>
    <x:col min="3" max="3" width="22" style="138" customWidth="1"/>
    <x:col min="4" max="4" width="45" style="138" customWidth="1"/>
    <x:col min="5" max="5" width="14" style="138" customWidth="1"/>
    <x:col min="6" max="6" width="16" style="138" customWidth="1"/>
    <x:col min="7" max="7" width="48" style="138" customWidth="1"/>
    <x:col min="8" max="8" width="17" style="138" customWidth="1"/>
    <x:col min="9" max="10" width="15" style="138" customWidth="1"/>
    <x:col min="11" max="11" width="40" style="138" customWidth="1"/>
    <x:col min="12" max="13" width="10" style="138" customWidth="1"/>
  </x:cols>
  <x:sheetData>
    <x:row r="1" s="135" customFormat="1" ht="24" customHeight="1">
      <x:c r="A1" s="143" t="inlineStr">
        <x:is>
          <x:t xml:space="preserve">Date Picker evidence</x:t>
        </x:is>
      </x:c>
    </x:row>
    <x:row r="2" s="135" customFormat="1" ht="24" customHeight="1">
      <x:c r="A2" s="143" t="inlineStr">
        <x:is>
          <x:t xml:space="preserve">Date behavior and public integration. Physical-device and screen-reader review remains open.</x:t>
        </x:is>
      </x:c>
    </x:row>
    <x:row r="3" s="135" customFormat="1" ht="15" customHeight="1">
      <x:c r="A3" s="143" t="n"/>
      <x:c r="B3" s="143" t="n"/>
      <x:c r="C3" s="143" t="n"/>
      <x:c r="D3" s="143" t="n"/>
      <x:c r="E3" s="143" t="n"/>
      <x:c r="F3" s="143" t="n"/>
      <x:c r="G3" s="143" t="n"/>
      <x:c r="H3" s="143" t="n"/>
      <x:c r="I3" s="143" t="n"/>
      <x:c r="J3" s="143" t="n"/>
      <x:c r="K3" s="143" t="n"/>
      <x:c r="L3" s="143" t="n"/>
      <x:c r="M3" s="143" t="n"/>
    </x:row>
    <x:row r="4" s="135" customFormat="1" ht="15" customHeight="1">
      <x:c r="A4" s="143" t="inlineStr">
        <x:is>
          <x:t xml:space="preserve">Requirements</x:t>
        </x:is>
      </x:c>
      <x:c r="B4" s="143" t="n">
        <x:f>COUNTA(A9:A17)</x:f>
        <x:v>9</x:v>
      </x:c>
      <x:c r="C4" s="143" t="n"/>
      <x:c r="D4" s="143" t="inlineStr">
        <x:is>
          <x:t xml:space="preserve">Resolved</x:t>
        </x:is>
      </x:c>
      <x:c r="E4" s="143" t="n">
        <x:f>SUM(M9:M17)</x:f>
        <x:v>3</x:v>
      </x:c>
      <x:c r="F4" s="143" t="n"/>
      <x:c r="G4" s="143" t="inlineStr">
        <x:is>
          <x:t xml:space="preserve">Completion</x:t>
        </x:is>
      </x:c>
      <x:c r="H4" s="143" t="n">
        <x:f>IF(B4=0,0,E4/B4)</x:f>
        <x:v>0.3333333333333333</x:v>
      </x:c>
      <x:c r="I4" s="143" t="n"/>
      <x:c r="J4" s="143" t="inlineStr">
        <x:is>
          <x:t xml:space="preserve">Package gate</x:t>
        </x:is>
      </x:c>
      <x:c r="K4" s="143" t="inlineStr">
        <x:is>
          <x:t xml:space="preserve">open</x:t>
        </x:is>
      </x:c>
      <x:c r="L4" s="143" t="n"/>
      <x:c r="M4" s="143" t="n"/>
    </x:row>
    <x:row r="5" s="135" customFormat="1" ht="15" customHeight="1">
      <x:c r="A5" s="143" t="inlineStr">
        <x:is>
          <x:t xml:space="preserve">Manual review</x:t>
        </x:is>
      </x:c>
      <x:c r="B5" s="143" t="str">
        <x:f>IF(COUNTIFS(I9:I24,"yes",M9:M24,0)&gt;0,"open","complete")</x:f>
        <x:v>open</x:v>
      </x:c>
      <x:c r="C5" s="143" t="n"/>
      <x:c r="D5" s="143" t="inlineStr">
        <x:is>
          <x:t xml:space="preserve">Consumer gate</x:t>
        </x:is>
      </x:c>
      <x:c r="E5" s="143" t="inlineStr">
        <x:is>
          <x:t xml:space="preserve">open</x:t>
        </x:is>
      </x:c>
      <x:c r="F5" s="143" t="n"/>
      <x:c r="G5" s="143" t="n"/>
      <x:c r="H5" s="143" t="n"/>
      <x:c r="I5" s="143" t="n"/>
      <x:c r="J5" s="143" t="n"/>
      <x:c r="K5" s="143" t="n"/>
      <x:c r="L5" s="143" t="n"/>
      <x:c r="M5" s="143" t="n"/>
    </x:row>
    <x:row r="6" s="135" customFormat="1" ht="15" customHeight="1">
      <x:c r="A6" s="143" t="n"/>
      <x:c r="B6" s="143" t="n"/>
      <x:c r="C6" s="143" t="n"/>
      <x:c r="D6" s="143" t="n"/>
      <x:c r="E6" s="143" t="n"/>
      <x:c r="F6" s="143" t="n"/>
      <x:c r="G6" s="143" t="n"/>
      <x:c r="H6" s="143" t="n"/>
      <x:c r="I6" s="143" t="n"/>
      <x:c r="J6" s="143" t="n"/>
      <x:c r="K6" s="143" t="n"/>
      <x:c r="L6" s="143" t="n"/>
      <x:c r="M6" s="143" t="n"/>
    </x:row>
    <x:row r="7" s="135" customFormat="1" ht="15" customHeight="1">
      <x:c r="A7" s="143" t="n"/>
      <x:c r="B7" s="143" t="n"/>
      <x:c r="C7" s="143" t="n"/>
      <x:c r="D7" s="143" t="n"/>
      <x:c r="E7" s="143" t="n"/>
      <x:c r="F7" s="143" t="n"/>
      <x:c r="G7" s="143" t="n"/>
      <x:c r="H7" s="143" t="n"/>
      <x:c r="I7" s="143" t="n"/>
      <x:c r="J7" s="143" t="n"/>
      <x:c r="K7" s="143" t="n"/>
      <x:c r="L7" s="143" t="n"/>
      <x:c r="M7" s="143" t="n"/>
    </x:row>
    <x:row r="8" s="135" customFormat="1" ht="15" customHeight="1">
      <x:c r="A8" s="143" t="inlineStr">
        <x:is>
          <x:t xml:space="preserve">ID</x:t>
        </x:is>
      </x:c>
      <x:c r="B8" s="143" t="inlineStr">
        <x:is>
          <x:t xml:space="preserve">Area</x:t>
        </x:is>
      </x:c>
      <x:c r="C8" s="143" t="inlineStr">
        <x:is>
          <x:t xml:space="preserve">Part</x:t>
        </x:is>
      </x:c>
      <x:c r="D8" s="143" t="inlineStr">
        <x:is>
          <x:t xml:space="preserve">Requirement</x:t>
        </x:is>
      </x:c>
      <x:c r="E8" s="143" t="inlineStr">
        <x:is>
          <x:t xml:space="preserve">Gate</x:t>
        </x:is>
      </x:c>
      <x:c r="F8" s="143" t="inlineStr">
        <x:is>
          <x:t xml:space="preserve">Evidence type</x:t>
        </x:is>
      </x:c>
      <x:c r="G8" s="143" t="inlineStr">
        <x:is>
          <x:t xml:space="preserve">Evidence / link</x:t>
        </x:is>
      </x:c>
      <x:c r="H8" s="143" t="inlineStr">
        <x:is>
          <x:t xml:space="preserve">Status</x:t>
        </x:is>
      </x:c>
      <x:c r="I8" s="143" t="inlineStr">
        <x:is>
          <x:t xml:space="preserve">Human review?</x:t>
        </x:is>
      </x:c>
      <x:c r="J8" s="143" t="inlineStr">
        <x:is>
          <x:t xml:space="preserve">Last verified</x:t>
        </x:is>
      </x:c>
      <x:c r="K8" s="143" t="inlineStr">
        <x:is>
          <x:t xml:space="preserve">Blocker / N/A reason</x:t>
        </x:is>
      </x:c>
      <x:c r="L8" s="143" t="inlineStr">
        <x:is>
          <x:t xml:space="preserve">Weight</x:t>
        </x:is>
      </x:c>
      <x:c r="M8" s="143" t="inlineStr">
        <x:is>
          <x:t xml:space="preserve">Resolved</x:t>
        </x:is>
      </x:c>
    </x:row>
    <x:row r="9" s="135" customFormat="1" ht="48" customHeight="1">
      <x:c r="A9" s="143" t="inlineStr">
        <x:is>
          <x:t xml:space="preserve">date-picker-1</x:t>
        </x:is>
      </x:c>
      <x:c r="B9" s="143" t="inlineStr">
        <x:is>
          <x:t xml:space="preserve">Root</x:t>
        </x:is>
      </x:c>
      <x:c r="C9" s="143" t="inlineStr">
        <x:is>
          <x:t xml:space="preserve">Root</x:t>
        </x:is>
      </x:c>
      <x:c r="D9" s="143" t="inlineStr">
        <x:is>
          <x:t xml:space="preserve">Typed selection modes and canonical values</x:t>
        </x:is>
      </x:c>
      <x:c r="E9" s="143" t="inlineStr">
        <x:is>
          <x:t xml:space="preserve">package</x:t>
        </x:is>
      </x:c>
      <x:c r="F9" s="143" t="inlineStr">
        <x:is>
          <x:t xml:space="preserve">automated</x:t>
        </x:is>
      </x:c>
      <x:c r="G9" s="143" t="inlineStr">
        <x:is>
          <x:t xml:space="preserve">test/components/date-picker/date-picker.test.tsx</x:t>
        </x:is>
      </x:c>
      <x:c r="H9" s="143" t="inlineStr">
        <x:is>
          <x:t xml:space="preserve">tested</x:t>
        </x:is>
      </x:c>
      <x:c r="I9" s="143" t="inlineStr">
        <x:is>
          <x:t xml:space="preserve">no</x:t>
        </x:is>
      </x:c>
      <x:c r="J9" s="143" t="inlineStr">
        <x:is>
          <x:t xml:space="preserve">2026-09-18</x:t>
        </x:is>
      </x:c>
      <x:c r="K9" s="143" t="inlineStr">
        <x:is>
          <x:t xml:space="preserve">Unpublished date-family candidate. Manual qualification remains open.</x:t>
        </x:is>
      </x:c>
      <x:c r="L9" s="143" t="n">
        <x:v>1</x:v>
      </x:c>
      <x:c r="M9" s="143" t="n">
        <x:f>IF(OR(H9="verified",AND(I9="no",H9="tested"),H9="not applicable"),1,0)</x:f>
        <x:v>1</x:v>
      </x:c>
    </x:row>
    <x:row r="10" s="135" customFormat="1" ht="48" customHeight="1">
      <x:c r="A10" s="143" t="inlineStr">
        <x:is>
          <x:t xml:space="preserve">date-picker-2</x:t>
        </x:is>
      </x:c>
      <x:c r="B10" s="143" t="inlineStr">
        <x:is>
          <x:t xml:space="preserve">Public parts</x:t>
        </x:is>
      </x:c>
      <x:c r="C10" s="143" t="inlineStr">
        <x:is>
          <x:t xml:space="preserve">Public parts</x:t>
        </x:is>
      </x:c>
      <x:c r="D10" s="143" t="inlineStr">
        <x:is>
          <x:t xml:space="preserve">Named native hosts, refs and selection types</x:t>
        </x:is>
      </x:c>
      <x:c r="E10" s="143" t="inlineStr">
        <x:is>
          <x:t xml:space="preserve">package</x:t>
        </x:is>
      </x:c>
      <x:c r="F10" s="143" t="inlineStr">
        <x:is>
          <x:t xml:space="preserve">automated</x:t>
        </x:is>
      </x:c>
      <x:c r="G10" s="143" t="inlineStr">
        <x:is>
          <x:t xml:space="preserve">test/types/components/date-picker.test.ts</x:t>
        </x:is>
      </x:c>
      <x:c r="H10" s="143" t="inlineStr">
        <x:is>
          <x:t xml:space="preserve">partial</x:t>
        </x:is>
      </x:c>
      <x:c r="I10" s="143" t="inlineStr">
        <x:is>
          <x:t xml:space="preserve">no</x:t>
        </x:is>
      </x:c>
      <x:c r="J10" s="143" t="n"/>
      <x:c r="K10" s="143" t="inlineStr">
        <x:is>
          <x:t xml:space="preserve">Expanded parity implementation is in progress. See owner plan for remaining qualification.</x:t>
        </x:is>
      </x:c>
      <x:c r="L10" s="143" t="n">
        <x:v>1</x:v>
      </x:c>
      <x:c r="M10" s="143" t="n">
        <x:f>IF(OR(H10="verified",AND(I10="no",H10="tested"),H10="not applicable"),1,0)</x:f>
        <x:v>0</x:v>
      </x:c>
    </x:row>
    <x:row r="11" s="135" customFormat="1" ht="48" customHeight="1">
      <x:c r="A11" s="143" t="inlineStr">
        <x:is>
          <x:t xml:space="preserve">date-picker-3</x:t>
        </x:is>
      </x:c>
      <x:c r="B11" s="143" t="inlineStr">
        <x:is>
          <x:t xml:space="preserve">Interaction</x:t>
        </x:is>
      </x:c>
      <x:c r="C11" s="143" t="inlineStr">
        <x:is>
          <x:t xml:space="preserve">Interaction</x:t>
        </x:is>
      </x:c>
      <x:c r="D11" s="143" t="inlineStr">
        <x:is>
          <x:t xml:space="preserve">Keyboard editing or grid focus</x:t>
        </x:is>
      </x:c>
      <x:c r="E11" s="143" t="inlineStr">
        <x:is>
          <x:t xml:space="preserve">package</x:t>
        </x:is>
      </x:c>
      <x:c r="F11" s="143" t="inlineStr">
        <x:is>
          <x:t xml:space="preserve">automated</x:t>
        </x:is>
      </x:c>
      <x:c r="G11" s="143" t="inlineStr">
        <x:is>
          <x:t xml:space="preserve">playground/tests/components/date-picker/behavior.spec.ts</x:t>
        </x:is>
      </x:c>
      <x:c r="H11" s="143" t="inlineStr">
        <x:is>
          <x:t xml:space="preserve">tested</x:t>
        </x:is>
      </x:c>
      <x:c r="I11" s="143" t="inlineStr">
        <x:is>
          <x:t xml:space="preserve">no</x:t>
        </x:is>
      </x:c>
      <x:c r="J11" s="143" t="inlineStr">
        <x:is>
          <x:t xml:space="preserve">2026-09-18</x:t>
        </x:is>
      </x:c>
      <x:c r="K11" s="143" t="inlineStr">
        <x:is>
          <x:t xml:space="preserve">Unpublished date-family candidate. Manual qualification remains open.</x:t>
        </x:is>
      </x:c>
      <x:c r="L11" s="143" t="n">
        <x:v>1</x:v>
      </x:c>
      <x:c r="M11" s="143" t="n">
        <x:f>IF(OR(H11="verified",AND(I11="no",H11="tested"),H11="not applicable"),1,0)</x:f>
        <x:v>1</x:v>
      </x:c>
    </x:row>
    <x:row r="12" s="135" customFormat="1" ht="48" customHeight="1">
      <x:c r="A12" s="143" t="inlineStr">
        <x:is>
          <x:t xml:space="preserve">date-picker-4</x:t>
        </x:is>
      </x:c>
      <x:c r="B12" s="143" t="inlineStr">
        <x:is>
          <x:t xml:space="preserve">State</x:t>
        </x:is>
      </x:c>
      <x:c r="C12" s="143" t="inlineStr">
        <x:is>
          <x:t xml:space="preserve">State</x:t>
        </x:is>
      </x:c>
      <x:c r="D12" s="143" t="inlineStr">
        <x:is>
          <x:t xml:space="preserve">Range, constraints and shared value</x:t>
        </x:is>
      </x:c>
      <x:c r="E12" s="143" t="inlineStr">
        <x:is>
          <x:t xml:space="preserve">package</x:t>
        </x:is>
      </x:c>
      <x:c r="F12" s="143" t="inlineStr">
        <x:is>
          <x:t xml:space="preserve">automated</x:t>
        </x:is>
      </x:c>
      <x:c r="G12" s="143" t="inlineStr">
        <x:is>
          <x:t xml:space="preserve">playground/src/components/date-picker</x:t>
        </x:is>
      </x:c>
      <x:c r="H12" s="143" t="inlineStr">
        <x:is>
          <x:t xml:space="preserve">partial</x:t>
        </x:is>
      </x:c>
      <x:c r="I12" s="143" t="inlineStr">
        <x:is>
          <x:t xml:space="preserve">no</x:t>
        </x:is>
      </x:c>
      <x:c r="J12" s="143" t="n"/>
      <x:c r="K12" s="143" t="inlineStr">
        <x:is>
          <x:t xml:space="preserve">Expanded parity implementation is in progress. See owner plan for remaining qualification.</x:t>
        </x:is>
      </x:c>
      <x:c r="L12" s="143" t="n">
        <x:v>1</x:v>
      </x:c>
      <x:c r="M12" s="143" t="n">
        <x:f>IF(OR(H12="verified",AND(I12="no",H12="tested"),H12="not applicable"),1,0)</x:f>
        <x:v>0</x:v>
      </x:c>
    </x:row>
    <x:row r="13" s="135" customFormat="1" ht="48" customHeight="1">
      <x:c r="A13" s="143" t="inlineStr">
        <x:is>
          <x:t xml:space="preserve">date-picker-5</x:t>
        </x:is>
      </x:c>
      <x:c r="B13" s="143" t="inlineStr">
        <x:is>
          <x:t xml:space="preserve">Presentation</x:t>
        </x:is>
      </x:c>
      <x:c r="C13" s="143" t="inlineStr">
        <x:is>
          <x:t xml:space="preserve">Presentation</x:t>
        </x:is>
      </x:c>
      <x:c r="D13" s="143" t="inlineStr">
        <x:is>
          <x:t xml:space="preserve">Locale, direction and narrow geometry</x:t>
        </x:is>
      </x:c>
      <x:c r="E13" s="143" t="inlineStr">
        <x:is>
          <x:t xml:space="preserve">package</x:t>
        </x:is>
      </x:c>
      <x:c r="F13" s="143" t="inlineStr">
        <x:is>
          <x:t xml:space="preserve">automated</x:t>
        </x:is>
      </x:c>
      <x:c r="G13" s="143" t="inlineStr">
        <x:is>
          <x:t xml:space="preserve">playground/tests/components/date-picker/visual.spec.ts</x:t>
        </x:is>
      </x:c>
      <x:c r="H13" s="143" t="inlineStr">
        <x:is>
          <x:t xml:space="preserve">partial</x:t>
        </x:is>
      </x:c>
      <x:c r="I13" s="143" t="inlineStr">
        <x:is>
          <x:t xml:space="preserve">no</x:t>
        </x:is>
      </x:c>
      <x:c r="J13" s="143" t="n"/>
      <x:c r="K13" s="143" t="inlineStr">
        <x:is>
          <x:t xml:space="preserve">Expanded parity implementation is in progress. See owner plan for remaining qualification.</x:t>
        </x:is>
      </x:c>
      <x:c r="L13" s="143" t="n">
        <x:v>1</x:v>
      </x:c>
      <x:c r="M13" s="143" t="n">
        <x:f>IF(OR(H13="verified",AND(I13="no",H13="tested"),H13="not applicable"),1,0)</x:f>
        <x:v>0</x:v>
      </x:c>
    </x:row>
    <x:row r="14" s="135" customFormat="1" ht="48" customHeight="1">
      <x:c r="A14" s="143" t="inlineStr">
        <x:is>
          <x:t xml:space="preserve">date-picker-6</x:t>
        </x:is>
      </x:c>
      <x:c r="B14" s="143" t="inlineStr">
        <x:is>
          <x:t xml:space="preserve">Documentation</x:t>
        </x:is>
      </x:c>
      <x:c r="C14" s="143" t="inlineStr">
        <x:is>
          <x:t xml:space="preserve">Documentation</x:t>
        </x:is>
      </x:c>
      <x:c r="D14" s="143" t="inlineStr">
        <x:is>
          <x:t xml:space="preserve">Public guide and exact Agent Knowledge</x:t>
        </x:is>
      </x:c>
      <x:c r="E14" s="143" t="inlineStr">
        <x:is>
          <x:t xml:space="preserve">package</x:t>
        </x:is>
      </x:c>
      <x:c r="F14" s="143" t="inlineStr">
        <x:is>
          <x:t xml:space="preserve">automated</x:t>
        </x:is>
      </x:c>
      <x:c r="G14" s="143" t="inlineStr">
        <x:is>
          <x:t xml:space="preserve">docs/components/date-picker/README.md</x:t>
        </x:is>
      </x:c>
      <x:c r="H14" s="143" t="inlineStr">
        <x:is>
          <x:t xml:space="preserve">partial</x:t>
        </x:is>
      </x:c>
      <x:c r="I14" s="143" t="inlineStr">
        <x:is>
          <x:t xml:space="preserve">no</x:t>
        </x:is>
      </x:c>
      <x:c r="J14" s="143" t="n"/>
      <x:c r="K14" s="143" t="inlineStr">
        <x:is>
          <x:t xml:space="preserve">Expanded parity implementation is in progress. See owner plan for remaining qualification.</x:t>
        </x:is>
      </x:c>
      <x:c r="L14" s="143" t="n">
        <x:v>1</x:v>
      </x:c>
      <x:c r="M14" s="143" t="n">
        <x:f>IF(OR(H14="verified",AND(I14="no",H14="tested"),H14="not applicable"),1,0)</x:f>
        <x:v>0</x:v>
      </x:c>
    </x:row>
    <x:row r="15" s="135" customFormat="1" ht="48" customHeight="1">
      <x:c r="A15" s="143" t="inlineStr">
        <x:is>
          <x:t xml:space="preserve">date-picker-7</x:t>
        </x:is>
      </x:c>
      <x:c r="B15" s="143" t="inlineStr">
        <x:is>
          <x:t xml:space="preserve">Package</x:t>
        </x:is>
      </x:c>
      <x:c r="C15" s="143" t="inlineStr">
        <x:is>
          <x:t xml:space="preserve">Package</x:t>
        </x:is>
      </x:c>
      <x:c r="D15" s="143" t="inlineStr">
        <x:is>
          <x:t xml:space="preserve">Packed consumer integration</x:t>
        </x:is>
      </x:c>
      <x:c r="E15" s="143" t="inlineStr">
        <x:is>
          <x:t xml:space="preserve">package</x:t>
        </x:is>
      </x:c>
      <x:c r="F15" s="143" t="inlineStr">
        <x:is>
          <x:t xml:space="preserve">automated</x:t>
        </x:is>
      </x:c>
      <x:c r="G15" s="143" t="inlineStr">
        <x:is>
          <x:t xml:space="preserve">scripts/verify-date-family-consumers.mjs</x:t>
        </x:is>
      </x:c>
      <x:c r="H15" s="143" t="inlineStr">
        <x:is>
          <x:t xml:space="preserve">tested</x:t>
        </x:is>
      </x:c>
      <x:c r="I15" s="143" t="inlineStr">
        <x:is>
          <x:t xml:space="preserve">no</x:t>
        </x:is>
      </x:c>
      <x:c r="J15" s="143" t="inlineStr">
        <x:is>
          <x:t xml:space="preserve">2026-09-18</x:t>
        </x:is>
      </x:c>
      <x:c r="K15" s="143" t="inlineStr">
        <x:is>
          <x:t xml:space="preserve">Unpublished date-family candidate. Manual qualification remains open.</x:t>
        </x:is>
      </x:c>
      <x:c r="L15" s="143" t="n">
        <x:v>1</x:v>
      </x:c>
      <x:c r="M15" s="143" t="n">
        <x:f>IF(OR(H15="verified",AND(I15="no",H15="tested"),H15="not applicable"),1,0)</x:f>
        <x:v>1</x:v>
      </x:c>
    </x:row>
    <x:row r="16" s="135" customFormat="1" ht="48" customHeight="1">
      <x:c r="A16" s="143" t="inlineStr">
        <x:is>
          <x:t xml:space="preserve">date-picker-8</x:t>
        </x:is>
      </x:c>
      <x:c r="B16" s="143" t="inlineStr">
        <x:is>
          <x:t xml:space="preserve">Manual</x:t>
        </x:is>
      </x:c>
      <x:c r="C16" s="143" t="inlineStr">
        <x:is>
          <x:t xml:space="preserve">Manual</x:t>
        </x:is>
      </x:c>
      <x:c r="D16" s="143" t="inlineStr">
        <x:is>
          <x:t xml:space="preserve">Real AT, browser zoom and physical touch</x:t>
        </x:is>
      </x:c>
      <x:c r="E16" s="143" t="inlineStr">
        <x:is>
          <x:t xml:space="preserve">manual</x:t>
        </x:is>
      </x:c>
      <x:c r="F16" s="143" t="inlineStr">
        <x:is>
          <x:t xml:space="preserve">manual</x:t>
        </x:is>
      </x:c>
      <x:c r="G16" s="143" t="inlineStr">
        <x:is>
          <x:t xml:space="preserve">playground/manual-tests/date-picker.md</x:t>
        </x:is>
      </x:c>
      <x:c r="H16" s="143" t="inlineStr">
        <x:is>
          <x:t xml:space="preserve">blocked</x:t>
        </x:is>
      </x:c>
      <x:c r="I16" s="143" t="inlineStr">
        <x:is>
          <x:t xml:space="preserve">yes</x:t>
        </x:is>
      </x:c>
      <x:c r="J16" s="143" t="n"/>
      <x:c r="K16" s="143" t="inlineStr">
        <x:is>
          <x:t xml:space="preserve">Real assistive technology and physical device unavailable</x:t>
        </x:is>
      </x:c>
      <x:c r="L16" s="143" t="n">
        <x:v>1</x:v>
      </x:c>
      <x:c r="M16" s="143" t="n">
        <x:f>IF(OR(H16="verified",AND(I16="no",H16="tested"),H16="not applicable"),1,0)</x:f>
        <x:v>0</x:v>
      </x:c>
    </x:row>
    <x:row r="17" s="135" customFormat="1" ht="63.75" customHeight="1">
      <x:c r="A17" s="148" t="inlineStr">
        <x:is>
          <x:t xml:space="preserve">datepicker-inventory</x:t>
        </x:is>
      </x:c>
      <x:c r="B17" s="148" t="inlineStr">
        <x:is>
          <x:t xml:space="preserve">Playground</x:t>
        </x:is>
      </x:c>
      <x:c r="C17" s="148" t="inlineStr">
        <x:is>
          <x:t xml:space="preserve">Date Picker</x:t>
        </x:is>
      </x:c>
      <x:c r="D17" s="148" t="inlineStr">
        <x:is>
          <x:t xml:space="preserve">Every declared scenario renders in order at 390px and 1280px without page overflow or runtime exceptions.</x:t>
        </x:is>
      </x:c>
      <x:c r="E17" s="148" t="inlineStr">
        <x:is>
          <x:t xml:space="preserve">component</x:t>
        </x:is>
      </x:c>
      <x:c r="F17" s="148" t="inlineStr">
        <x:is>
          <x:t xml:space="preserve">browser</x:t>
        </x:is>
      </x:c>
      <x:c r="G17" s="148" t="inlineStr">
        <x:is>
          <x:t xml:space="preserve">playground/tests/integration/recent-component-capabilities.spec.ts</x:t>
        </x:is>
      </x:c>
      <x:c r="H17" s="148" t="inlineStr">
        <x:is>
          <x:t xml:space="preserve">partial</x:t>
        </x:is>
      </x:c>
      <x:c r="I17" s="148" t="inlineStr">
        <x:is>
          <x:t xml:space="preserve">no</x:t>
        </x:is>
      </x:c>
      <x:c r="J17" s="148" t="inlineStr">
        <x:is>
          <x:t xml:space="preserve">2026-09-05</x:t>
        </x:is>
      </x:c>
      <x:c r="K17" s="148" t="inlineStr">
        <x:is>
          <x:t xml:space="preserve">Expanded parity implementation is in progress. See owner plan for remaining qualification.</x:t>
        </x:is>
      </x:c>
      <x:c r="L17" s="148" t="n">
        <x:v>1</x:v>
      </x:c>
      <x:c r="M17" s="148" t="n">
        <x:f>IF(OR(H17="tested",H17="verified"),1,0)</x:f>
        <x:v>0</x:v>
      </x:c>
    </x:row>
    <x:row r="18" s="135" customFormat="1" ht="15" customHeight="1">
      <x:c r="A18" s="138" t="n"/>
      <x:c r="B18" s="138" t="n"/>
      <x:c r="C18" s="138" t="n"/>
      <x:c r="D18" s="138" t="n"/>
      <x:c r="E18" s="138" t="n"/>
      <x:c r="F18" s="138" t="n"/>
      <x:c r="G18" s="138" t="n"/>
      <x:c r="H18" s="138" t="n"/>
      <x:c r="I18" s="138" t="n"/>
      <x:c r="J18" s="138" t="n"/>
      <x:c r="K18" s="138" t="n"/>
      <x:c r="L18" s="138" t="n"/>
      <x:c r="M18" s="138" t="n"/>
    </x:row>
    <x:row r="19" s="135" customFormat="1" ht="15" customHeight="1">
      <x:c r="A19" s="138" t="n"/>
      <x:c r="B19" s="138" t="n"/>
      <x:c r="C19" s="138" t="n"/>
      <x:c r="D19" s="138" t="n"/>
      <x:c r="E19" s="138" t="n"/>
      <x:c r="F19" s="138" t="n"/>
      <x:c r="G19" s="138" t="n"/>
      <x:c r="H19" s="138" t="n"/>
      <x:c r="I19" s="138" t="n"/>
      <x:c r="J19" s="138" t="n"/>
      <x:c r="K19" s="138" t="n"/>
      <x:c r="L19" s="138" t="n"/>
      <x:c r="M19" s="138" t="n"/>
    </x:row>
    <x:row r="20" s="135" customFormat="1" ht="15" customHeight="1">
      <x:c r="A20" s="138" t="n"/>
      <x:c r="B20" s="138" t="n"/>
      <x:c r="C20" s="138" t="n"/>
      <x:c r="D20" s="138" t="n"/>
      <x:c r="E20" s="138" t="n"/>
      <x:c r="F20" s="138" t="n"/>
      <x:c r="G20" s="138" t="n"/>
      <x:c r="H20" s="138" t="n"/>
      <x:c r="I20" s="138" t="n"/>
      <x:c r="J20" s="138" t="n"/>
      <x:c r="K20" s="138" t="n"/>
      <x:c r="L20" s="138" t="n"/>
      <x:c r="M20" s="138" t="n"/>
    </x:row>
    <x:row r="21" s="135" customFormat="1" ht="15" customHeight="1">
      <x:c r="A21" s="138" t="n"/>
      <x:c r="B21" s="138" t="n"/>
      <x:c r="C21" s="138" t="n"/>
      <x:c r="D21" s="138" t="n"/>
      <x:c r="E21" s="138" t="n"/>
      <x:c r="F21" s="138" t="n"/>
      <x:c r="G21" s="138" t="n"/>
      <x:c r="H21" s="138" t="n"/>
      <x:c r="I21" s="138" t="n"/>
      <x:c r="J21" s="138" t="n"/>
      <x:c r="K21" s="138" t="n"/>
      <x:c r="L21" s="138" t="n"/>
      <x:c r="M21" s="138" t="n"/>
    </x:row>
    <x:row r="22" s="135" customFormat="1" ht="15" customHeight="1">
      <x:c r="A22" s="138" t="n"/>
      <x:c r="B22" s="138" t="n"/>
      <x:c r="C22" s="138" t="n"/>
      <x:c r="D22" s="138" t="n"/>
      <x:c r="E22" s="138" t="n"/>
      <x:c r="F22" s="138" t="n"/>
      <x:c r="G22" s="138" t="n"/>
      <x:c r="H22" s="138" t="n"/>
      <x:c r="I22" s="138" t="n"/>
      <x:c r="J22" s="138" t="n"/>
      <x:c r="K22" s="138" t="n"/>
      <x:c r="L22" s="138" t="n"/>
      <x:c r="M22" s="138" t="n"/>
    </x:row>
    <x:row r="23" s="135" customFormat="1" ht="15" customHeight="1">
      <x:c r="A23" s="138" t="n"/>
      <x:c r="B23" s="138" t="n"/>
      <x:c r="C23" s="138" t="n"/>
      <x:c r="D23" s="138" t="n"/>
      <x:c r="E23" s="138" t="n"/>
      <x:c r="F23" s="138" t="n"/>
      <x:c r="G23" s="138" t="n"/>
      <x:c r="H23" s="138" t="n"/>
      <x:c r="I23" s="138" t="n"/>
      <x:c r="J23" s="138" t="n"/>
      <x:c r="K23" s="138" t="n"/>
      <x:c r="L23" s="138" t="n"/>
      <x:c r="M23" s="138" t="n"/>
    </x:row>
    <x:row r="24" s="135" customFormat="1" ht="15" customHeight="1">
      <x:c r="A24" s="138" t="n"/>
      <x:c r="B24" s="138" t="n"/>
      <x:c r="C24" s="138" t="n"/>
      <x:c r="D24" s="138" t="n"/>
      <x:c r="E24" s="138" t="n"/>
      <x:c r="F24" s="138" t="n"/>
      <x:c r="G24" s="138" t="n"/>
      <x:c r="H24" s="138" t="n"/>
      <x:c r="I24" s="138" t="n"/>
      <x:c r="J24" s="138" t="n"/>
      <x:c r="K24" s="138" t="n"/>
      <x:c r="L24" s="138" t="n"/>
      <x:c r="M24" s="138" t="n"/>
    </x:row>
  </x:sheetData>
  <x:mergeCells>
    <x:mergeCell ref="A2:M2"/>
    <x:mergeCell ref="A1:M1"/>
  </x:mergeCells>
  <x:dataValidations count="2">
    <x:dataValidation type="list" errorStyle="stop" operator="between" allowBlank="0" showDropDown="0" showInputMessage="0" showErrorMessage="0" sqref="H9:H16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H17">
      <x:formula1>_Lists!$A$1:$A$7</x:formula1>
      <x:formula2>0</x:formula2>
    </x:dataValidation>
  </x:dataValidations>
  <x:pageMargins left="0.7" right="0.7" top="0.75" bottom="0.75" header="0.3" footer="0.3"/>
</x:worksheet>
</file>

<file path=xl/worksheets/sheet117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ColWidth="8.6796875" defaultRowHeight="15"/>
  <x:cols>
    <x:col min="1" max="1" width="28" style="138" customWidth="1"/>
    <x:col min="2" max="2" width="40" style="138" customWidth="1"/>
    <x:col min="3" max="3" width="16" style="138" customWidth="1"/>
    <x:col min="4" max="4" width="56" style="138" customWidth="1"/>
  </x:cols>
  <x:sheetData>
    <x:row r="1" s="135" customFormat="1" ht="17.350000381469727" customHeight="1">
      <x:c r="A1" s="224" t="inlineStr">
        <x:is>
          <x:t xml:space="preserve">Action Bar evidence</x:t>
        </x:is>
      </x:c>
      <x:c r="B1" s="224" t="n"/>
      <x:c r="C1" s="224" t="n"/>
      <x:c r="D1" s="224" t="n"/>
    </x:row>
    <x:row r="2" s="135" customFormat="1" ht="15" customHeight="1">
      <x:c r="A2" s="225" t="inlineStr">
        <x:is>
          <x:t xml:space="preserve">Requirement</x:t>
        </x:is>
      </x:c>
      <x:c r="B2" s="225" t="inlineStr">
        <x:is>
          <x:t xml:space="preserve">Evidence owner</x:t>
        </x:is>
      </x:c>
      <x:c r="C2" s="225" t="inlineStr">
        <x:is>
          <x:t xml:space="preserve">Status</x:t>
        </x:is>
      </x:c>
      <x:c r="D2" s="225" t="inlineStr">
        <x:is>
          <x:t xml:space="preserve">Notes</x:t>
        </x:is>
      </x:c>
    </x:row>
    <x:row r="3" s="135" customFormat="1" ht="15" customHeight="1">
      <x:c r="A3" s="146" t="inlineStr">
        <x:is>
          <x:t xml:space="preserve">Implementation</x:t>
        </x:is>
      </x:c>
      <x:c r="B3" s="146" t="inlineStr">
        <x:is>
          <x:t xml:space="preserve">src/components/action-bar/ActionBar.tsx</x:t>
        </x:is>
      </x:c>
      <x:c r="C3" s="146" t="inlineStr">
        <x:is>
          <x:t xml:space="preserve">implemented</x:t>
        </x:is>
      </x:c>
      <x:c r="D3" s="146" t="inlineStr">
        <x:is>
          <x:t xml:space="preserve">Compound adapter and exports</x:t>
        </x:is>
      </x:c>
    </x:row>
    <x:row r="4" s="135" customFormat="1" ht="15" customHeight="1">
      <x:c r="A4" s="146" t="inlineStr">
        <x:is>
          <x:t xml:space="preserve">Anatomy and exports</x:t>
        </x:is>
      </x:c>
      <x:c r="B4" s="146" t="inlineStr">
        <x:is>
          <x:t xml:space="preserve">package exports + unit test</x:t>
        </x:is>
      </x:c>
      <x:c r="C4" s="146" t="inlineStr">
        <x:is>
          <x:t xml:space="preserve">tested</x:t>
        </x:is>
      </x:c>
      <x:c r="D4" s="146" t="inlineStr">
        <x:is>
          <x:t xml:space="preserve">Root, portal, positioner, content and triggers</x:t>
        </x:is>
      </x:c>
    </x:row>
    <x:row r="5" s="135" customFormat="1" ht="15" customHeight="1">
      <x:c r="A5" s="146" t="inlineStr">
        <x:is>
          <x:t xml:space="preserve">Visual recipe</x:t>
        </x:is>
      </x:c>
      <x:c r="B5" s="146" t="inlineStr">
        <x:is>
          <x:t xml:space="preserve">action-bar.css + visual spec</x:t>
        </x:is>
      </x:c>
      <x:c r="C5" s="146" t="inlineStr">
        <x:is>
          <x:t xml:space="preserve">tested</x:t>
        </x:is>
      </x:c>
      <x:c r="D5" s="146" t="inlineStr">
        <x:is>
          <x:t xml:space="preserve">Light and dark baselines reviewed</x:t>
        </x:is>
      </x:c>
    </x:row>
    <x:row r="6" s="135" customFormat="1" ht="15" customHeight="1">
      <x:c r="A6" s="146" t="inlineStr">
        <x:is>
          <x:t xml:space="preserve">Responsive geometry</x:t>
        </x:is>
      </x:c>
      <x:c r="B6" s="146" t="inlineStr">
        <x:is>
          <x:t xml:space="preserve">browser behavior spec</x:t>
        </x:is>
      </x:c>
      <x:c r="C6" s="146" t="inlineStr">
        <x:is>
          <x:t xml:space="preserve">tested</x:t>
        </x:is>
      </x:c>
      <x:c r="D6" s="146" t="inlineStr">
        <x:is>
          <x:t xml:space="preserve">Safe gutters, wrapping and separator</x:t>
        </x:is>
      </x:c>
    </x:row>
    <x:row r="7" s="135" customFormat="1" ht="15" customHeight="1">
      <x:c r="A7" s="146" t="inlineStr">
        <x:is>
          <x:t xml:space="preserve">RTL placement</x:t>
        </x:is>
      </x:c>
      <x:c r="B7" s="146" t="inlineStr">
        <x:is>
          <x:t xml:space="preserve">browser behavior spec</x:t>
        </x:is>
      </x:c>
      <x:c r="C7" s="146" t="inlineStr">
        <x:is>
          <x:t xml:space="preserve">tested</x:t>
        </x:is>
      </x:c>
      <x:c r="D7" s="146" t="inlineStr">
        <x:is>
          <x:t xml:space="preserve">Logical bottom-start placement</x:t>
        </x:is>
      </x:c>
    </x:row>
    <x:row r="8" s="135" customFormat="1" ht="15" customHeight="1">
      <x:c r="A8" s="146" t="inlineStr">
        <x:is>
          <x:t xml:space="preserve">Nested dialog</x:t>
        </x:is>
      </x:c>
      <x:c r="B8" s="146" t="inlineStr">
        <x:is>
          <x:t xml:space="preserve">browser behavior spec</x:t>
        </x:is>
      </x:c>
      <x:c r="C8" s="146" t="inlineStr">
        <x:is>
          <x:t xml:space="preserve">tested</x:t>
        </x:is>
      </x:c>
      <x:c r="D8" s="146" t="inlineStr">
        <x:is>
          <x:t xml:space="preserve">Innermost Escape dismissal</x:t>
        </x:is>
      </x:c>
    </x:row>
    <x:row r="9" s="135" customFormat="1" ht="15" customHeight="1">
      <x:c r="A9" s="146" t="inlineStr">
        <x:is>
          <x:t xml:space="preserve">Axe scan</x:t>
        </x:is>
      </x:c>
      <x:c r="B9" s="146" t="inlineStr">
        <x:is>
          <x:t xml:space="preserve">browser behavior spec</x:t>
        </x:is>
      </x:c>
      <x:c r="C9" s="146" t="inlineStr">
        <x:is>
          <x:t xml:space="preserve">tested</x:t>
        </x:is>
      </x:c>
      <x:c r="D9" s="146" t="inlineStr">
        <x:is>
          <x:t xml:space="preserve">Serious and critical violations absent</x:t>
        </x:is>
      </x:c>
    </x:row>
    <x:row r="10" s="135" customFormat="1" ht="15" customHeight="1">
      <x:c r="A10" s="146" t="inlineStr">
        <x:is>
          <x:t xml:space="preserve">Types</x:t>
        </x:is>
      </x:c>
      <x:c r="B10" s="146" t="inlineStr">
        <x:is>
          <x:t xml:space="preserve">test/types/components/action-bar.test.ts</x:t>
        </x:is>
      </x:c>
      <x:c r="C10" s="146" t="inlineStr">
        <x:is>
          <x:t xml:space="preserve">tested</x:t>
        </x:is>
      </x:c>
      <x:c r="D10" s="146" t="inlineStr">
        <x:is>
          <x:t xml:space="preserve">Placement union and props</x:t>
        </x:is>
      </x:c>
    </x:row>
    <x:row r="11" s="135" customFormat="1" ht="15" customHeight="1">
      <x:c r="A11" s="146" t="inlineStr">
        <x:is>
          <x:t xml:space="preserve">Public docs</x:t>
        </x:is>
      </x:c>
      <x:c r="B11" s="146" t="inlineStr">
        <x:is>
          <x:t xml:space="preserve">docs/components/action-bar/README.md</x:t>
        </x:is>
      </x:c>
      <x:c r="C11" s="146" t="inlineStr">
        <x:is>
          <x:t xml:space="preserve">implemented</x:t>
        </x:is>
      </x:c>
      <x:c r="D11" s="146" t="inlineStr">
        <x:is>
          <x:t xml:space="preserve">API, accessibility and evidence links</x:t>
        </x:is>
      </x:c>
    </x:row>
    <x:row r="12" s="135" customFormat="1" ht="15" customHeight="1">
      <x:c r="A12" s="146" t="inlineStr">
        <x:is>
          <x:t xml:space="preserve">Changelog</x:t>
        </x:is>
      </x:c>
      <x:c r="B12" s="146" t="inlineStr">
        <x:is>
          <x:t xml:space="preserve">docs/components/action-bar/CHANGELOG.md</x:t>
        </x:is>
      </x:c>
      <x:c r="C12" s="146" t="inlineStr">
        <x:is>
          <x:t xml:space="preserve">implemented</x:t>
        </x:is>
      </x:c>
      <x:c r="D12" s="146" t="inlineStr">
        <x:is>
          <x:t xml:space="preserve">Unreleased Added entry</x:t>
        </x:is>
      </x:c>
    </x:row>
    <x:row r="13" s="135" customFormat="1" ht="15" customHeight="1">
      <x:c r="A13" s="146" t="inlineStr">
        <x:is>
          <x:t xml:space="preserve">Manual protocol</x:t>
        </x:is>
      </x:c>
      <x:c r="B13" s="146" t="inlineStr">
        <x:is>
          <x:t xml:space="preserve">playground/manual-tests/action-bar.md</x:t>
        </x:is>
      </x:c>
      <x:c r="C13" s="146" t="inlineStr">
        <x:is>
          <x:t xml:space="preserve">partial</x:t>
        </x:is>
      </x:c>
      <x:c r="D13" s="146" t="inlineStr">
        <x:is>
          <x:t xml:space="preserve">Screen reader, device and zoom review pending</x:t>
        </x:is>
      </x:c>
    </x:row>
    <x:row r="14" s="135" customFormat="1" ht="15" customHeight="1">
      <x:c r="A14" s="146" t="inlineStr">
        <x:is>
          <x:t xml:space="preserve">Consumer composition</x:t>
        </x:is>
      </x:c>
      <x:c r="B14" s="146" t="inlineStr">
        <x:is>
          <x:t xml:space="preserve">packed consumer candidate</x:t>
        </x:is>
      </x:c>
      <x:c r="C14" s="146" t="inlineStr">
        <x:is>
          <x:t xml:space="preserve">partial</x:t>
        </x:is>
      </x:c>
      <x:c r="D14" s="146" t="inlineStr">
        <x:is>
          <x:t xml:space="preserve">Requires final Brick candidate qualification</x:t>
        </x:is>
      </x:c>
    </x:row>
    <x:row r="15" s="135" customFormat="1" ht="15" customHeight="1">
      <x:c r="A15" s="146" t="inlineStr">
        <x:is>
          <x:t xml:space="preserve">Workbook</x:t>
        </x:is>
      </x:c>
      <x:c r="B15" s="146" t="inlineStr">
        <x:is>
          <x:t xml:space="preserve">Action Bar sheet</x:t>
        </x:is>
      </x:c>
      <x:c r="C15" s="146" t="inlineStr">
        <x:is>
          <x:t xml:space="preserve">implemented</x:t>
        </x:is>
      </x:c>
      <x:c r="D15" s="146" t="inlineStr">
        <x:is>
          <x:t xml:space="preserve">This assertion-level sheet</x:t>
        </x:is>
      </x:c>
    </x:row>
    <x:row r="16" s="135" customFormat="1" ht="15" customHeight="1">
      <x:c r="A16" s="146" t="inlineStr">
        <x:is>
          <x:t xml:space="preserve">Package gate</x:t>
        </x:is>
      </x:c>
      <x:c r="B16" s="146" t="inlineStr">
        <x:is>
          <x:t xml:space="preserve">Brick release checks</x:t>
        </x:is>
      </x:c>
      <x:c r="C16" s="146" t="inlineStr">
        <x:is>
          <x:t xml:space="preserve">partial</x:t>
        </x:is>
      </x:c>
      <x:c r="D16" s="146" t="inlineStr">
        <x:is>
          <x:t xml:space="preserve">Unpublished local candidate</x:t>
        </x:is>
      </x:c>
    </x:row>
    <x:row r="17" s="135" customFormat="1" ht="15" customHeight="1">
      <x:c r="A17" s="146" t="inlineStr">
        <x:is>
          <x:t xml:space="preserve">Overall</x:t>
        </x:is>
      </x:c>
      <x:c r="B17" s="146" t="inlineStr">
        <x:is>
          <x:t xml:space="preserve">Owner review</x:t>
        </x:is>
      </x:c>
      <x:c r="C17" s="146" t="inlineStr">
        <x:is>
          <x:t xml:space="preserve">partial</x:t>
        </x:is>
      </x:c>
      <x:c r="D17" s="146" t="inlineStr">
        <x:is>
          <x:t xml:space="preserve">Manual and packed-candidate gates remain</x:t>
        </x:is>
      </x:c>
    </x:row>
    <x:row r="18" s="135" customFormat="1" ht="15" customHeight="1">
      <x:c r="A18" s="146" t="n"/>
      <x:c r="B18" s="146" t="n"/>
      <x:c r="C18" s="146" t="n"/>
      <x:c r="D18" s="146" t="n"/>
    </x:row>
  </x:sheetData>
  <x:pageMargins left="0.7" right="0.7" top="0.75" bottom="0.75" header="0.3" footer="0.3"/>
</x:worksheet>
</file>

<file path=xl/worksheets/sheet118.xml><?xml version="1.0" encoding="utf-8"?>
<x:worksheet xmlns:x="http://schemas.openxmlformats.org/spreadsheetml/2006/main">
  <x:sheetViews>
    <x:sheetView showGridLines="1" workbookViewId="0">
      <x:pane ySplit="8" topLeftCell="A9" activePane="bottomLeft" state="frozen"/>
    </x:sheetView>
  </x:sheetViews>
  <x:sheetFormatPr baseColWidth="8" defaultColWidth="8.6796875" defaultRowHeight="15"/>
  <x:cols>
    <x:col min="1" max="1" width="26" style="138" customWidth="1"/>
    <x:col min="2" max="3" width="18" style="138" customWidth="1"/>
    <x:col min="4" max="4" width="45" style="138" customWidth="1"/>
    <x:col min="5" max="5" width="14" style="138" customWidth="1"/>
    <x:col min="6" max="6" width="16" style="138" customWidth="1"/>
    <x:col min="7" max="7" width="48" style="138" customWidth="1"/>
    <x:col min="8" max="8" width="17" style="138" customWidth="1"/>
    <x:col min="9" max="10" width="15" style="138" customWidth="1"/>
    <x:col min="11" max="11" width="52" style="138" customWidth="1"/>
    <x:col min="12" max="13" width="10" style="138" customWidth="1"/>
  </x:cols>
  <x:sheetData>
    <x:row r="1" s="135" customFormat="1" ht="15" customHeight="1">
      <x:c r="A1" s="138" t="inlineStr">
        <x:is>
          <x:t xml:space="preserve">Floating Panel evidence</x:t>
        </x:is>
      </x:c>
      <x:c r="B1" s="138" t="n"/>
      <x:c r="C1" s="138" t="n"/>
      <x:c r="D1" s="138" t="n"/>
      <x:c r="E1" s="138" t="n"/>
      <x:c r="F1" s="138" t="n"/>
      <x:c r="G1" s="138" t="n"/>
      <x:c r="H1" s="138" t="n"/>
      <x:c r="I1" s="138" t="n"/>
      <x:c r="J1" s="138" t="n"/>
      <x:c r="K1" s="138" t="n"/>
      <x:c r="L1" s="138" t="n"/>
      <x:c r="M1" s="138" t="n"/>
    </x:row>
    <x:row r="2" s="135" customFormat="1" ht="15" customHeight="1">
      <x:c r="A2" s="138" t="inlineStr">
        <x:is>
          <x:t xml:space="preserve">Automated implementation qualification complete. Manual screen-reader, physical-device and actual-zoom release gates remain open.</x:t>
        </x:is>
      </x:c>
      <x:c r="B2" s="138" t="n"/>
      <x:c r="C2" s="138" t="n"/>
      <x:c r="D2" s="138" t="n"/>
      <x:c r="E2" s="138" t="n"/>
      <x:c r="F2" s="138" t="n"/>
      <x:c r="G2" s="138" t="n"/>
      <x:c r="H2" s="138" t="n"/>
      <x:c r="I2" s="138" t="n"/>
      <x:c r="J2" s="138" t="n"/>
      <x:c r="K2" s="138" t="n"/>
      <x:c r="L2" s="138" t="n"/>
      <x:c r="M2" s="138" t="n"/>
    </x:row>
    <x:row r="3" s="135" customFormat="1" ht="15" customHeight="1">
      <x:c r="A3" s="138" t="n"/>
      <x:c r="B3" s="138" t="n"/>
      <x:c r="C3" s="138" t="n"/>
      <x:c r="D3" s="138" t="n"/>
      <x:c r="E3" s="138" t="n"/>
      <x:c r="F3" s="138" t="n"/>
      <x:c r="G3" s="138" t="n"/>
      <x:c r="H3" s="138" t="n"/>
      <x:c r="I3" s="138" t="n"/>
      <x:c r="J3" s="138" t="n"/>
      <x:c r="K3" s="138" t="n"/>
      <x:c r="L3" s="138" t="n"/>
      <x:c r="M3" s="138" t="n"/>
    </x:row>
    <x:row r="4" s="135" customFormat="1" ht="15" customHeight="1">
      <x:c r="A4" s="138" t="inlineStr">
        <x:is>
          <x:t xml:space="preserve">Requirements</x:t>
        </x:is>
      </x:c>
      <x:c r="B4" s="138" t="n">
        <x:f>COUNTA(A9:A24)</x:f>
        <x:v>16</x:v>
      </x:c>
      <x:c r="C4" s="138" t="n"/>
      <x:c r="D4" s="138" t="inlineStr">
        <x:is>
          <x:t xml:space="preserve">Resolved</x:t>
        </x:is>
      </x:c>
      <x:c r="E4" s="138" t="n">
        <x:f>SUM(M9:M24)</x:f>
        <x:v>13</x:v>
      </x:c>
      <x:c r="F4" s="138" t="n"/>
      <x:c r="G4" s="138" t="inlineStr">
        <x:is>
          <x:t xml:space="preserve">Completion</x:t>
        </x:is>
      </x:c>
      <x:c r="H4" s="140" t="n">
        <x:f>IF(B4=0,0,E4/B4)</x:f>
        <x:v>0.8125</x:v>
      </x:c>
      <x:c r="I4" s="138" t="n"/>
      <x:c r="J4" s="138" t="inlineStr">
        <x:is>
          <x:t xml:space="preserve">Package gate</x:t>
        </x:is>
      </x:c>
      <x:c r="K4" s="138" t="inlineStr">
        <x:is>
          <x:t xml:space="preserve">open</x:t>
        </x:is>
      </x:c>
      <x:c r="L4" s="138" t="n"/>
      <x:c r="M4" s="138" t="n"/>
    </x:row>
    <x:row r="5" s="135" customFormat="1" ht="15" customHeight="1">
      <x:c r="A5" s="138" t="inlineStr">
        <x:is>
          <x:t xml:space="preserve">Manual review</x:t>
        </x:is>
      </x:c>
      <x:c r="B5" s="138" t="str">
        <x:f>IF(COUNTIFS(I9:I24,"yes",M9:M24,0)&gt;0,"open","complete")</x:f>
        <x:v>open</x:v>
      </x:c>
      <x:c r="C5" s="138" t="n"/>
      <x:c r="D5" s="138" t="inlineStr">
        <x:is>
          <x:t xml:space="preserve">Consumer gate</x:t>
        </x:is>
      </x:c>
      <x:c r="E5" s="138" t="inlineStr">
        <x:is>
          <x:t xml:space="preserve">passed</x:t>
        </x:is>
      </x:c>
      <x:c r="F5" s="138" t="n"/>
      <x:c r="G5" s="138" t="n"/>
      <x:c r="H5" s="138" t="n"/>
      <x:c r="I5" s="138" t="n"/>
      <x:c r="J5" s="138" t="n"/>
      <x:c r="K5" s="138" t="n"/>
      <x:c r="L5" s="138" t="n"/>
      <x:c r="M5" s="138" t="n"/>
    </x:row>
    <x:row r="6" s="135" customFormat="1" ht="15" customHeight="1">
      <x:c r="A6" s="138" t="n"/>
      <x:c r="B6" s="138" t="n"/>
      <x:c r="C6" s="138" t="n"/>
      <x:c r="D6" s="138" t="n"/>
      <x:c r="E6" s="138" t="n"/>
      <x:c r="F6" s="138" t="n"/>
      <x:c r="G6" s="138" t="n"/>
      <x:c r="H6" s="138" t="n"/>
      <x:c r="I6" s="138" t="n"/>
      <x:c r="J6" s="138" t="n"/>
      <x:c r="K6" s="138" t="n"/>
      <x:c r="L6" s="138" t="n"/>
      <x:c r="M6" s="138" t="n"/>
    </x:row>
    <x:row r="7" s="135" customFormat="1" ht="15" customHeight="1">
      <x:c r="A7" s="138" t="n"/>
      <x:c r="B7" s="138" t="n"/>
      <x:c r="C7" s="138" t="n"/>
      <x:c r="D7" s="138" t="n"/>
      <x:c r="E7" s="138" t="n"/>
      <x:c r="F7" s="138" t="n"/>
      <x:c r="G7" s="138" t="n"/>
      <x:c r="H7" s="138" t="n"/>
      <x:c r="I7" s="138" t="n"/>
      <x:c r="J7" s="138" t="n"/>
      <x:c r="K7" s="138" t="n"/>
      <x:c r="L7" s="138" t="n"/>
      <x:c r="M7" s="138" t="n"/>
    </x:row>
    <x:row r="8" s="135" customFormat="1" ht="15" customHeight="1">
      <x:c r="A8" s="138" t="inlineStr">
        <x:is>
          <x:t xml:space="preserve">ID</x:t>
        </x:is>
      </x:c>
      <x:c r="B8" s="138" t="inlineStr">
        <x:is>
          <x:t xml:space="preserve">Area</x:t>
        </x:is>
      </x:c>
      <x:c r="C8" s="138" t="inlineStr">
        <x:is>
          <x:t xml:space="preserve">Part</x:t>
        </x:is>
      </x:c>
      <x:c r="D8" s="138" t="inlineStr">
        <x:is>
          <x:t xml:space="preserve">Requirement</x:t>
        </x:is>
      </x:c>
      <x:c r="E8" s="138" t="inlineStr">
        <x:is>
          <x:t xml:space="preserve">Gate</x:t>
        </x:is>
      </x:c>
      <x:c r="F8" s="138" t="inlineStr">
        <x:is>
          <x:t xml:space="preserve">Evidence type</x:t>
        </x:is>
      </x:c>
      <x:c r="G8" s="138" t="inlineStr">
        <x:is>
          <x:t xml:space="preserve">Evidence / link</x:t>
        </x:is>
      </x:c>
      <x:c r="H8" s="138" t="inlineStr">
        <x:is>
          <x:t xml:space="preserve">Status</x:t>
        </x:is>
      </x:c>
      <x:c r="I8" s="138" t="inlineStr">
        <x:is>
          <x:t xml:space="preserve">Human review?</x:t>
        </x:is>
      </x:c>
      <x:c r="J8" s="138" t="inlineStr">
        <x:is>
          <x:t xml:space="preserve">Last verified</x:t>
        </x:is>
      </x:c>
      <x:c r="K8" s="138" t="inlineStr">
        <x:is>
          <x:t xml:space="preserve">Blocker / N/A reason</x:t>
        </x:is>
      </x:c>
      <x:c r="L8" s="138" t="inlineStr">
        <x:is>
          <x:t xml:space="preserve">Weight</x:t>
        </x:is>
      </x:c>
      <x:c r="M8" s="138" t="inlineStr">
        <x:is>
          <x:t xml:space="preserve">Resolved</x:t>
        </x:is>
      </x:c>
    </x:row>
    <x:row r="9" s="135" customFormat="1" ht="42" customHeight="1">
      <x:c r="A9" s="143" t="inlineStr">
        <x:is>
          <x:t xml:space="preserve">floating-panel-1</x:t>
        </x:is>
      </x:c>
      <x:c r="B9" s="143" t="inlineStr">
        <x:is>
          <x:t xml:space="preserve">Integration</x:t>
        </x:is>
      </x:c>
      <x:c r="C9" s="143" t="inlineStr">
        <x:is>
          <x:t xml:space="preserve">Root</x:t>
        </x:is>
      </x:c>
      <x:c r="D9" s="143" t="inlineStr">
        <x:is>
          <x:t xml:space="preserve">Implementation</x:t>
        </x:is>
      </x:c>
      <x:c r="E9" s="143" t="inlineStr">
        <x:is>
          <x:t xml:space="preserve">package</x:t>
        </x:is>
      </x:c>
      <x:c r="F9" s="143" t="inlineStr">
        <x:is>
          <x:t xml:space="preserve">automated</x:t>
        </x:is>
      </x:c>
      <x:c r="G9" s="143" t="inlineStr">
        <x:is>
          <x:t xml:space="preserve">src/components/floating-panel</x:t>
        </x:is>
      </x:c>
      <x:c r="H9" s="143" t="inlineStr">
        <x:is>
          <x:t xml:space="preserve">tested</x:t>
        </x:is>
      </x:c>
      <x:c r="I9" s="143" t="inlineStr">
        <x:is>
          <x:t xml:space="preserve">no</x:t>
        </x:is>
      </x:c>
      <x:c r="J9" s="226" t="n">
        <x:v>46278</x:v>
      </x:c>
      <x:c r="K9" s="143" t="inlineStr">
        <x:is>
          <x:t xml:space="preserve">Public owner and composition exported.</x:t>
        </x:is>
      </x:c>
      <x:c r="L9" s="143" t="n">
        <x:v>1</x:v>
      </x:c>
      <x:c r="M9" s="143" t="n">
        <x:f>IF(OR(H9="verified",AND(I9="no",H9="tested"),AND(H9="not applicable",K9&lt;&gt;"")),1,0)</x:f>
        <x:v>1</x:v>
      </x:c>
    </x:row>
    <x:row r="10" s="135" customFormat="1" ht="42" customHeight="1">
      <x:c r="A10" s="143" t="inlineStr">
        <x:is>
          <x:t xml:space="preserve">floating-panel-2</x:t>
        </x:is>
      </x:c>
      <x:c r="B10" s="143" t="inlineStr">
        <x:is>
          <x:t xml:space="preserve">Integration</x:t>
        </x:is>
      </x:c>
      <x:c r="C10" s="143" t="inlineStr">
        <x:is>
          <x:t xml:space="preserve">Root</x:t>
        </x:is>
      </x:c>
      <x:c r="D10" s="143" t="inlineStr">
        <x:is>
          <x:t xml:space="preserve">Custom host refs</x:t>
        </x:is>
      </x:c>
      <x:c r="E10" s="143" t="inlineStr">
        <x:is>
          <x:t xml:space="preserve">package</x:t>
        </x:is>
      </x:c>
      <x:c r="F10" s="143" t="inlineStr">
        <x:is>
          <x:t xml:space="preserve">automated</x:t>
        </x:is>
      </x:c>
      <x:c r="G10" s="143" t="inlineStr">
        <x:is>
          <x:t xml:space="preserve">test/components/floating-panel/floating-panel.test.tsx</x:t>
        </x:is>
      </x:c>
      <x:c r="H10" s="143" t="inlineStr">
        <x:is>
          <x:t xml:space="preserve">tested</x:t>
        </x:is>
      </x:c>
      <x:c r="I10" s="143" t="inlineStr">
        <x:is>
          <x:t xml:space="preserve">no</x:t>
        </x:is>
      </x:c>
      <x:c r="J10" s="226" t="n">
        <x:v>46278</x:v>
      </x:c>
      <x:c r="K10" s="143" t="inlineStr">
        <x:is>
          <x:t xml:space="preserve">Individual refs and shared resize-handle props verified.</x:t>
        </x:is>
      </x:c>
      <x:c r="L10" s="143" t="n">
        <x:v>1</x:v>
      </x:c>
      <x:c r="M10" s="143" t="n">
        <x:f>IF(OR(H10="verified",AND(I10="no",H10="tested"),AND(H10="not applicable",K10&lt;&gt;"")),1,0)</x:f>
        <x:v>1</x:v>
      </x:c>
    </x:row>
    <x:row r="11" s="135" customFormat="1" ht="42" customHeight="1">
      <x:c r="A11" s="143" t="inlineStr">
        <x:is>
          <x:t xml:space="preserve">floating-panel-3</x:t>
        </x:is>
      </x:c>
      <x:c r="B11" s="143" t="inlineStr">
        <x:is>
          <x:t xml:space="preserve">Integration</x:t>
        </x:is>
      </x:c>
      <x:c r="C11" s="143" t="inlineStr">
        <x:is>
          <x:t xml:space="preserve">Root</x:t>
        </x:is>
      </x:c>
      <x:c r="D11" s="143" t="inlineStr">
        <x:is>
          <x:t xml:space="preserve">Header and stage geometry</x:t>
        </x:is>
      </x:c>
      <x:c r="E11" s="143" t="inlineStr">
        <x:is>
          <x:t xml:space="preserve">package</x:t>
        </x:is>
      </x:c>
      <x:c r="F11" s="143" t="inlineStr">
        <x:is>
          <x:t xml:space="preserve">automated</x:t>
        </x:is>
      </x:c>
      <x:c r="G11" s="143" t="inlineStr">
        <x:is>
          <x:t xml:space="preserve">playground/tests/components/floating-panel/behavior.spec.ts</x:t>
        </x:is>
      </x:c>
      <x:c r="H11" s="143" t="inlineStr">
        <x:is>
          <x:t xml:space="preserve">tested</x:t>
        </x:is>
      </x:c>
      <x:c r="I11" s="143" t="inlineStr">
        <x:is>
          <x:t xml:space="preserve">no</x:t>
        </x:is>
      </x:c>
      <x:c r="J11" s="226" t="n">
        <x:v>46278</x:v>
      </x:c>
      <x:c r="K11" s="143" t="inlineStr">
        <x:is>
          <x:t xml:space="preserve">Aligned grip/title, 24px controls, staged restore-only UI and keyboard focus tested.</x:t>
        </x:is>
      </x:c>
      <x:c r="L11" s="143" t="n">
        <x:v>1</x:v>
      </x:c>
      <x:c r="M11" s="143" t="n">
        <x:f>IF(OR(H11="verified",AND(I11="no",H11="tested"),AND(H11="not applicable",K11&lt;&gt;"")),1,0)</x:f>
        <x:v>1</x:v>
      </x:c>
    </x:row>
    <x:row r="12" s="135" customFormat="1" ht="42" customHeight="1">
      <x:c r="A12" s="143" t="inlineStr">
        <x:is>
          <x:t xml:space="preserve">floating-panel-4</x:t>
        </x:is>
      </x:c>
      <x:c r="B12" s="143" t="inlineStr">
        <x:is>
          <x:t xml:space="preserve">Integration</x:t>
        </x:is>
      </x:c>
      <x:c r="C12" s="143" t="inlineStr">
        <x:is>
          <x:t xml:space="preserve">Root</x:t>
        </x:is>
      </x:c>
      <x:c r="D12" s="143" t="inlineStr">
        <x:is>
          <x:t xml:space="preserve">Nested overlay order</x:t>
        </x:is>
      </x:c>
      <x:c r="E12" s="143" t="inlineStr">
        <x:is>
          <x:t xml:space="preserve">package</x:t>
        </x:is>
      </x:c>
      <x:c r="F12" s="143" t="inlineStr">
        <x:is>
          <x:t xml:space="preserve">automated</x:t>
        </x:is>
      </x:c>
      <x:c r="G12" s="143" t="inlineStr">
        <x:is>
          <x:t xml:space="preserve">playground/tests/components/floating-panel/behavior.spec.ts</x:t>
        </x:is>
      </x:c>
      <x:c r="H12" s="143" t="inlineStr">
        <x:is>
          <x:t xml:space="preserve">tested</x:t>
        </x:is>
      </x:c>
      <x:c r="I12" s="143" t="inlineStr">
        <x:is>
          <x:t xml:space="preserve">no</x:t>
        </x:is>
      </x:c>
      <x:c r="J12" s="226" t="n">
        <x:v>46278</x:v>
      </x:c>
      <x:c r="K12" s="143" t="inlineStr">
        <x:is>
          <x:t xml:space="preserve">Nested dialog and popover paint above the panel.</x:t>
        </x:is>
      </x:c>
      <x:c r="L12" s="143" t="n">
        <x:v>1</x:v>
      </x:c>
      <x:c r="M12" s="143" t="n">
        <x:f>IF(OR(H12="verified",AND(I12="no",H12="tested"),AND(H12="not applicable",K12&lt;&gt;"")),1,0)</x:f>
        <x:v>1</x:v>
      </x:c>
    </x:row>
    <x:row r="13" s="135" customFormat="1" ht="42" customHeight="1">
      <x:c r="A13" s="143" t="inlineStr">
        <x:is>
          <x:t xml:space="preserve">floating-panel-5</x:t>
        </x:is>
      </x:c>
      <x:c r="B13" s="143" t="inlineStr">
        <x:is>
          <x:t xml:space="preserve">Integration</x:t>
        </x:is>
      </x:c>
      <x:c r="C13" s="143" t="inlineStr">
        <x:is>
          <x:t xml:space="preserve">Root</x:t>
        </x:is>
      </x:c>
      <x:c r="D13" s="143" t="inlineStr">
        <x:is>
          <x:t xml:space="preserve">Controlled rejection</x:t>
        </x:is>
      </x:c>
      <x:c r="E13" s="143" t="inlineStr">
        <x:is>
          <x:t xml:space="preserve">package</x:t>
        </x:is>
      </x:c>
      <x:c r="F13" s="143" t="inlineStr">
        <x:is>
          <x:t xml:space="preserve">automated</x:t>
        </x:is>
      </x:c>
      <x:c r="G13" s="143" t="inlineStr">
        <x:is>
          <x:t xml:space="preserve">playground/tests/components/floating-panel/behavior.spec.ts</x:t>
        </x:is>
      </x:c>
      <x:c r="H13" s="143" t="inlineStr">
        <x:is>
          <x:t xml:space="preserve">tested</x:t>
        </x:is>
      </x:c>
      <x:c r="I13" s="143" t="inlineStr">
        <x:is>
          <x:t xml:space="preserve">no</x:t>
        </x:is>
      </x:c>
      <x:c r="J13" s="226" t="n">
        <x:v>46278</x:v>
      </x:c>
      <x:c r="K13" s="143" t="inlineStr">
        <x:is>
          <x:t xml:space="preserve">Rejected x proposal does not change accepted x.</x:t>
        </x:is>
      </x:c>
      <x:c r="L13" s="143" t="n">
        <x:v>1</x:v>
      </x:c>
      <x:c r="M13" s="143" t="n">
        <x:f>IF(OR(H13="verified",AND(I13="no",H13="tested"),AND(H13="not applicable",K13&lt;&gt;"")),1,0)</x:f>
        <x:v>1</x:v>
      </x:c>
    </x:row>
    <x:row r="14" s="135" customFormat="1" ht="42" customHeight="1">
      <x:c r="A14" s="143" t="inlineStr">
        <x:is>
          <x:t xml:space="preserve">floating-panel-6</x:t>
        </x:is>
      </x:c>
      <x:c r="B14" s="143" t="inlineStr">
        <x:is>
          <x:t xml:space="preserve">Integration</x:t>
        </x:is>
      </x:c>
      <x:c r="C14" s="143" t="inlineStr">
        <x:is>
          <x:t xml:space="preserve">Root</x:t>
        </x:is>
      </x:c>
      <x:c r="D14" s="143" t="inlineStr">
        <x:is>
          <x:t xml:space="preserve">Eight resize axes</x:t>
        </x:is>
      </x:c>
      <x:c r="E14" s="143" t="inlineStr">
        <x:is>
          <x:t xml:space="preserve">package</x:t>
        </x:is>
      </x:c>
      <x:c r="F14" s="143" t="inlineStr">
        <x:is>
          <x:t xml:space="preserve">automated</x:t>
        </x:is>
      </x:c>
      <x:c r="G14" s="143" t="inlineStr">
        <x:is>
          <x:t xml:space="preserve">playground/tests/components/floating-panel/behavior.spec.ts</x:t>
        </x:is>
      </x:c>
      <x:c r="H14" s="143" t="inlineStr">
        <x:is>
          <x:t xml:space="preserve">tested</x:t>
        </x:is>
      </x:c>
      <x:c r="I14" s="143" t="inlineStr">
        <x:is>
          <x:t xml:space="preserve">no</x:t>
        </x:is>
      </x:c>
      <x:c r="J14" s="226" t="n">
        <x:v>46278</x:v>
      </x:c>
      <x:c r="K14" s="143" t="inlineStr">
        <x:is>
          <x:t xml:space="preserve">All eight axes retain their opposite edges in desktop browser checks.</x:t>
        </x:is>
      </x:c>
      <x:c r="L14" s="143" t="n">
        <x:v>1</x:v>
      </x:c>
      <x:c r="M14" s="143" t="n">
        <x:f>IF(OR(H14="verified",AND(I14="no",H14="tested"),AND(H14="not applicable",K14&lt;&gt;"")),1,0)</x:f>
        <x:v>1</x:v>
      </x:c>
    </x:row>
    <x:row r="15" s="135" customFormat="1" ht="42" customHeight="1">
      <x:c r="A15" s="143" t="inlineStr">
        <x:is>
          <x:t xml:space="preserve">floating-panel-7</x:t>
        </x:is>
      </x:c>
      <x:c r="B15" s="143" t="inlineStr">
        <x:is>
          <x:t xml:space="preserve">Integration</x:t>
        </x:is>
      </x:c>
      <x:c r="C15" s="143" t="inlineStr">
        <x:is>
          <x:t xml:space="preserve">Root</x:t>
        </x:is>
      </x:c>
      <x:c r="D15" s="143" t="inlineStr">
        <x:is>
          <x:t xml:space="preserve">Strict small boundary</x:t>
        </x:is>
      </x:c>
      <x:c r="E15" s="143" t="inlineStr">
        <x:is>
          <x:t xml:space="preserve">package</x:t>
        </x:is>
      </x:c>
      <x:c r="F15" s="143" t="inlineStr">
        <x:is>
          <x:t xml:space="preserve">automated</x:t>
        </x:is>
      </x:c>
      <x:c r="G15" s="143" t="inlineStr">
        <x:is>
          <x:t xml:space="preserve">playground/tests/components/floating-panel/behavior.spec.ts</x:t>
        </x:is>
      </x:c>
      <x:c r="H15" s="143" t="inlineStr">
        <x:is>
          <x:t xml:space="preserve">tested</x:t>
        </x:is>
      </x:c>
      <x:c r="I15" s="143" t="inlineStr">
        <x:is>
          <x:t xml:space="preserve">no</x:t>
        </x:is>
      </x:c>
      <x:c r="J15" s="226" t="n">
        <x:v>46278</x:v>
      </x:c>
      <x:c r="K15" s="143" t="inlineStr">
        <x:is>
          <x:t xml:space="preserve">Impossible minimum shrinks to the available boundary.</x:t>
        </x:is>
      </x:c>
      <x:c r="L15" s="143" t="n">
        <x:v>1</x:v>
      </x:c>
      <x:c r="M15" s="143" t="n">
        <x:f>IF(OR(H15="verified",AND(I15="no",H15="tested"),AND(H15="not applicable",K15&lt;&gt;"")),1,0)</x:f>
        <x:v>1</x:v>
      </x:c>
    </x:row>
    <x:row r="16" s="135" customFormat="1" ht="42" customHeight="1">
      <x:c r="A16" s="143" t="inlineStr">
        <x:is>
          <x:t xml:space="preserve">floating-panel-8</x:t>
        </x:is>
      </x:c>
      <x:c r="B16" s="143" t="inlineStr">
        <x:is>
          <x:t xml:space="preserve">Integration</x:t>
        </x:is>
      </x:c>
      <x:c r="C16" s="143" t="inlineStr">
        <x:is>
          <x:t xml:space="preserve">Root</x:t>
        </x:is>
      </x:c>
      <x:c r="D16" s="143" t="inlineStr">
        <x:is>
          <x:t xml:space="preserve">Iframe and shadow host</x:t>
        </x:is>
      </x:c>
      <x:c r="E16" s="143" t="inlineStr">
        <x:is>
          <x:t xml:space="preserve">package</x:t>
        </x:is>
      </x:c>
      <x:c r="F16" s="143" t="inlineStr">
        <x:is>
          <x:t xml:space="preserve">automated</x:t>
        </x:is>
      </x:c>
      <x:c r="G16" s="143" t="inlineStr">
        <x:is>
          <x:t xml:space="preserve">playground/tests/components/floating-panel/behavior.spec.ts</x:t>
        </x:is>
      </x:c>
      <x:c r="H16" s="143" t="inlineStr">
        <x:is>
          <x:t xml:space="preserve">tested</x:t>
        </x:is>
      </x:c>
      <x:c r="I16" s="143" t="inlineStr">
        <x:is>
          <x:t xml:space="preserve">no</x:t>
        </x:is>
      </x:c>
      <x:c r="J16" s="226" t="n">
        <x:v>46278</x:v>
      </x:c>
      <x:c r="K16" s="143" t="inlineStr">
        <x:is>
          <x:t xml:space="preserve">Independent document and shadow rendering remain interactive.</x:t>
        </x:is>
      </x:c>
      <x:c r="L16" s="143" t="n">
        <x:v>1</x:v>
      </x:c>
      <x:c r="M16" s="143" t="n">
        <x:f>IF(OR(H16="verified",AND(I16="no",H16="tested"),AND(H16="not applicable",K16&lt;&gt;"")),1,0)</x:f>
        <x:v>1</x:v>
      </x:c>
    </x:row>
    <x:row r="17" s="135" customFormat="1" ht="42" customHeight="1">
      <x:c r="A17" s="143" t="inlineStr">
        <x:is>
          <x:t xml:space="preserve">floating-panel-9</x:t>
        </x:is>
      </x:c>
      <x:c r="B17" s="143" t="inlineStr">
        <x:is>
          <x:t xml:space="preserve">Integration</x:t>
        </x:is>
      </x:c>
      <x:c r="C17" s="143" t="inlineStr">
        <x:is>
          <x:t xml:space="preserve">Root</x:t>
        </x:is>
      </x:c>
      <x:c r="D17" s="143" t="inlineStr">
        <x:is>
          <x:t xml:space="preserve">Activity retention</x:t>
        </x:is>
      </x:c>
      <x:c r="E17" s="143" t="inlineStr">
        <x:is>
          <x:t xml:space="preserve">package</x:t>
        </x:is>
      </x:c>
      <x:c r="F17" s="143" t="inlineStr">
        <x:is>
          <x:t xml:space="preserve">automated</x:t>
        </x:is>
      </x:c>
      <x:c r="G17" s="143" t="inlineStr">
        <x:is>
          <x:t xml:space="preserve">playground/tests/components/floating-panel/behavior.spec.ts</x:t>
        </x:is>
      </x:c>
      <x:c r="H17" s="143" t="inlineStr">
        <x:is>
          <x:t xml:space="preserve">tested</x:t>
        </x:is>
      </x:c>
      <x:c r="I17" s="143" t="inlineStr">
        <x:is>
          <x:t xml:space="preserve">no</x:t>
        </x:is>
      </x:c>
      <x:c r="J17" s="226" t="n">
        <x:v>46278</x:v>
      </x:c>
      <x:c r="K17" s="143" t="inlineStr">
        <x:is>
          <x:t xml:space="preserve">Draft retained on reopen; presentation suppression keeps open state.</x:t>
        </x:is>
      </x:c>
      <x:c r="L17" s="143" t="n">
        <x:v>1</x:v>
      </x:c>
      <x:c r="M17" s="143" t="n">
        <x:f>IF(OR(H17="verified",AND(I17="no",H17="tested"),AND(H17="not applicable",K17&lt;&gt;"")),1,0)</x:f>
        <x:v>1</x:v>
      </x:c>
    </x:row>
    <x:row r="18" s="135" customFormat="1" ht="42" customHeight="1">
      <x:c r="A18" s="143" t="inlineStr">
        <x:is>
          <x:t xml:space="preserve">floating-panel-10</x:t>
        </x:is>
      </x:c>
      <x:c r="B18" s="143" t="inlineStr">
        <x:is>
          <x:t xml:space="preserve">Integration</x:t>
        </x:is>
      </x:c>
      <x:c r="C18" s="143" t="inlineStr">
        <x:is>
          <x:t xml:space="preserve">Root</x:t>
        </x:is>
      </x:c>
      <x:c r="D18" s="143" t="inlineStr">
        <x:is>
          <x:t xml:space="preserve">Visual appearance</x:t>
        </x:is>
      </x:c>
      <x:c r="E18" s="143" t="inlineStr">
        <x:is>
          <x:t xml:space="preserve">package</x:t>
        </x:is>
      </x:c>
      <x:c r="F18" s="143" t="inlineStr">
        <x:is>
          <x:t xml:space="preserve">automated</x:t>
        </x:is>
      </x:c>
      <x:c r="G18" s="143" t="inlineStr">
        <x:is>
          <x:t xml:space="preserve">playground/tests/components/floating-panel/visual.spec.ts</x:t>
        </x:is>
      </x:c>
      <x:c r="H18" s="143" t="inlineStr">
        <x:is>
          <x:t xml:space="preserve">tested</x:t>
        </x:is>
      </x:c>
      <x:c r="I18" s="143" t="inlineStr">
        <x:is>
          <x:t xml:space="preserve">yes</x:t>
        </x:is>
      </x:c>
      <x:c r="J18" s="143" t="n"/>
      <x:c r="K18" s="143" t="inlineStr">
        <x:is>
          <x:t xml:space="preserve">Initial screenshots inspected; wider visual matrix remains pending.</x:t>
        </x:is>
      </x:c>
      <x:c r="L18" s="143" t="n">
        <x:v>1</x:v>
      </x:c>
      <x:c r="M18" s="143" t="n">
        <x:f>IF(OR(H18="verified",AND(I18="no",H18="tested"),AND(H18="not applicable",K18&lt;&gt;"")),1,0)</x:f>
        <x:v>0</x:v>
      </x:c>
    </x:row>
    <x:row r="19" s="135" customFormat="1" ht="63.75" customHeight="1">
      <x:c r="A19" s="143" t="inlineStr">
        <x:is>
          <x:t xml:space="preserve">floating-panel-11</x:t>
        </x:is>
      </x:c>
      <x:c r="B19" s="143" t="inlineStr">
        <x:is>
          <x:t xml:space="preserve">Integration</x:t>
        </x:is>
      </x:c>
      <x:c r="C19" s="143" t="inlineStr">
        <x:is>
          <x:t xml:space="preserve">Root</x:t>
        </x:is>
      </x:c>
      <x:c r="D19" s="143" t="inlineStr">
        <x:is>
          <x:t xml:space="preserve">All capability combinations</x:t>
        </x:is>
      </x:c>
      <x:c r="E19" s="143" t="inlineStr">
        <x:is>
          <x:t xml:space="preserve">package</x:t>
        </x:is>
      </x:c>
      <x:c r="F19" s="143" t="inlineStr">
        <x:is>
          <x:t xml:space="preserve">automated</x:t>
        </x:is>
      </x:c>
      <x:c r="G19" s="143" t="inlineStr">
        <x:is>
          <x:t xml:space="preserve">component contract and 24 scenario groups</x:t>
        </x:is>
      </x:c>
      <x:c r="H19" s="143" t="inlineStr">
        <x:is>
          <x:t xml:space="preserve">tested</x:t>
        </x:is>
      </x:c>
      <x:c r="I19" s="143" t="inlineStr">
        <x:is>
          <x:t xml:space="preserve">no</x:t>
        </x:is>
      </x:c>
      <x:c r="J19" s="226" t="n">
        <x:v>46278</x:v>
      </x:c>
      <x:c r="K19" s="143" t="inlineStr">
        <x:is>
          <x:t xml:space="preserve">Focused docs plus 24 retained qualification groups; not an exhaustive Cartesian product.</x:t>
        </x:is>
      </x:c>
      <x:c r="L19" s="143" t="n">
        <x:v>1</x:v>
      </x:c>
      <x:c r="M19" s="143" t="n">
        <x:f>IF(OR(H19="verified",AND(I19="no",H19="tested"),AND(H19="not applicable",K19&lt;&gt;"")),1,0)</x:f>
        <x:v>1</x:v>
      </x:c>
    </x:row>
    <x:row r="20" s="135" customFormat="1" ht="42" customHeight="1">
      <x:c r="A20" s="143" t="inlineStr">
        <x:is>
          <x:t xml:space="preserve">floating-panel-12</x:t>
        </x:is>
      </x:c>
      <x:c r="B20" s="143" t="inlineStr">
        <x:is>
          <x:t xml:space="preserve">Integration</x:t>
        </x:is>
      </x:c>
      <x:c r="C20" s="143" t="inlineStr">
        <x:is>
          <x:t xml:space="preserve">Root</x:t>
        </x:is>
      </x:c>
      <x:c r="D20" s="143" t="inlineStr">
        <x:is>
          <x:t xml:space="preserve">Types</x:t>
        </x:is>
      </x:c>
      <x:c r="E20" s="143" t="inlineStr">
        <x:is>
          <x:t xml:space="preserve">package</x:t>
        </x:is>
      </x:c>
      <x:c r="F20" s="143" t="inlineStr">
        <x:is>
          <x:t xml:space="preserve">automated</x:t>
        </x:is>
      </x:c>
      <x:c r="G20" s="143" t="inlineStr">
        <x:is>
          <x:t xml:space="preserve">test/types/components/floating-panel.test.ts</x:t>
        </x:is>
      </x:c>
      <x:c r="H20" s="143" t="inlineStr">
        <x:is>
          <x:t xml:space="preserve">tested</x:t>
        </x:is>
      </x:c>
      <x:c r="I20" s="143" t="inlineStr">
        <x:is>
          <x:t xml:space="preserve">no</x:t>
        </x:is>
      </x:c>
      <x:c r="J20" s="226" t="n">
        <x:v>46278</x:v>
      </x:c>
      <x:c r="K20" s="143" t="inlineStr">
        <x:is>
          <x:t xml:space="preserve">Public typecheck passes.</x:t>
        </x:is>
      </x:c>
      <x:c r="L20" s="143" t="n">
        <x:v>1</x:v>
      </x:c>
      <x:c r="M20" s="143" t="n">
        <x:f>IF(OR(H20="verified",AND(I20="no",H20="tested"),AND(H20="not applicable",K20&lt;&gt;"")),1,0)</x:f>
        <x:v>1</x:v>
      </x:c>
    </x:row>
    <x:row r="21" s="135" customFormat="1" ht="42" customHeight="1">
      <x:c r="A21" s="143" t="inlineStr">
        <x:is>
          <x:t xml:space="preserve">floating-panel-13</x:t>
        </x:is>
      </x:c>
      <x:c r="B21" s="143" t="inlineStr">
        <x:is>
          <x:t xml:space="preserve">Integration</x:t>
        </x:is>
      </x:c>
      <x:c r="C21" s="143" t="inlineStr">
        <x:is>
          <x:t xml:space="preserve">Root</x:t>
        </x:is>
      </x:c>
      <x:c r="D21" s="143" t="inlineStr">
        <x:is>
          <x:t xml:space="preserve">Public documentation</x:t>
        </x:is>
      </x:c>
      <x:c r="E21" s="143" t="inlineStr">
        <x:is>
          <x:t xml:space="preserve">package</x:t>
        </x:is>
      </x:c>
      <x:c r="F21" s="143" t="inlineStr">
        <x:is>
          <x:t xml:space="preserve">automated</x:t>
        </x:is>
      </x:c>
      <x:c r="G21" s="143" t="inlineStr">
        <x:is>
          <x:t xml:space="preserve">docs/components/floating-panel; playground/tests/components/floating-panel/docs.spec.ts</x:t>
        </x:is>
      </x:c>
      <x:c r="H21" s="143" t="inlineStr">
        <x:is>
          <x:t xml:space="preserve">tested</x:t>
        </x:is>
      </x:c>
      <x:c r="I21" s="143" t="inlineStr">
        <x:is>
          <x:t xml:space="preserve">no</x:t>
        </x:is>
      </x:c>
      <x:c r="J21" s="226" t="n">
        <x:v>46278</x:v>
      </x:c>
      <x:c r="K21" s="143" t="inlineStr">
        <x:is>
          <x:t xml:space="preserve">Focused examples, copyable source and named multipart props. Manual checks remain open.</x:t>
        </x:is>
      </x:c>
      <x:c r="L21" s="143" t="n">
        <x:v>1</x:v>
      </x:c>
      <x:c r="M21" s="143" t="n">
        <x:f>IF(OR(H21="verified",AND(I21="no",H21="tested"),AND(H21="not applicable",K21&lt;&gt;"")),1,0)</x:f>
        <x:v>1</x:v>
      </x:c>
    </x:row>
    <x:row r="22" s="135" customFormat="1" ht="42" customHeight="1">
      <x:c r="A22" s="143" t="inlineStr">
        <x:is>
          <x:t xml:space="preserve">floating-panel-14</x:t>
        </x:is>
      </x:c>
      <x:c r="B22" s="143" t="inlineStr">
        <x:is>
          <x:t xml:space="preserve">Integration</x:t>
        </x:is>
      </x:c>
      <x:c r="C22" s="143" t="inlineStr">
        <x:is>
          <x:t xml:space="preserve">Root</x:t>
        </x:is>
      </x:c>
      <x:c r="D22" s="143" t="inlineStr">
        <x:is>
          <x:t xml:space="preserve">Manual protocol</x:t>
        </x:is>
      </x:c>
      <x:c r="E22" s="143" t="inlineStr">
        <x:is>
          <x:t xml:space="preserve">package</x:t>
        </x:is>
      </x:c>
      <x:c r="F22" s="143" t="inlineStr">
        <x:is>
          <x:t xml:space="preserve">manual</x:t>
        </x:is>
      </x:c>
      <x:c r="G22" s="143" t="inlineStr">
        <x:is>
          <x:t xml:space="preserve">playground/manual-tests/floating-panel.md</x:t>
        </x:is>
      </x:c>
      <x:c r="H22" s="143" t="inlineStr">
        <x:is>
          <x:t xml:space="preserve">partial</x:t>
        </x:is>
      </x:c>
      <x:c r="I22" s="143" t="inlineStr">
        <x:is>
          <x:t xml:space="preserve">yes</x:t>
        </x:is>
      </x:c>
      <x:c r="J22" s="143" t="n"/>
      <x:c r="K22" s="143" t="inlineStr">
        <x:is>
          <x:t xml:space="preserve">Screen reader, real zoom and physical-device checks unperformed.</x:t>
        </x:is>
      </x:c>
      <x:c r="L22" s="143" t="n">
        <x:v>1</x:v>
      </x:c>
      <x:c r="M22" s="143" t="n">
        <x:f>IF(OR(H22="verified",AND(I22="no",H22="tested"),AND(H22="not applicable",K22&lt;&gt;"")),1,0)</x:f>
        <x:v>0</x:v>
      </x:c>
    </x:row>
    <x:row r="23" s="135" customFormat="1" ht="42" customHeight="1">
      <x:c r="A23" s="143" t="inlineStr">
        <x:is>
          <x:t xml:space="preserve">floating-panel-15</x:t>
        </x:is>
      </x:c>
      <x:c r="B23" s="143" t="inlineStr">
        <x:is>
          <x:t xml:space="preserve">Integration</x:t>
        </x:is>
      </x:c>
      <x:c r="C23" s="143" t="inlineStr">
        <x:is>
          <x:t xml:space="preserve">Root</x:t>
        </x:is>
      </x:c>
      <x:c r="D23" s="143" t="inlineStr">
        <x:is>
          <x:t xml:space="preserve">Packed Consumer</x:t>
        </x:is>
      </x:c>
      <x:c r="E23" s="143" t="inlineStr">
        <x:is>
          <x:t xml:space="preserve">package</x:t>
        </x:is>
      </x:c>
      <x:c r="F23" s="143" t="inlineStr">
        <x:is>
          <x:t xml:space="preserve">automated</x:t>
        </x:is>
      </x:c>
      <x:c r="G23" s="143" t="inlineStr">
        <x:is>
          <x:t xml:space="preserve">Consumer verification</x:t>
        </x:is>
      </x:c>
      <x:c r="H23" s="143" t="inlineStr">
        <x:is>
          <x:t xml:space="preserve">tested</x:t>
        </x:is>
      </x:c>
      <x:c r="I23" s="143" t="inlineStr">
        <x:is>
          <x:t xml:space="preserve">no</x:t>
        </x:is>
      </x:c>
      <x:c r="J23" s="143" t="n"/>
      <x:c r="K23" s="143" t="inlineStr">
        <x:is>
          <x:t xml:space="preserve">Final packed application Consumer passed; React 18/19 runtime and type consumers passed.</x:t>
        </x:is>
      </x:c>
      <x:c r="L23" s="143" t="n">
        <x:v>1</x:v>
      </x:c>
      <x:c r="M23" s="143" t="n">
        <x:f>IF(OR(H23="verified",AND(I23="no",H23="tested"),AND(H23="not applicable",K23&lt;&gt;"")),1,0)</x:f>
        <x:v>1</x:v>
      </x:c>
    </x:row>
    <x:row r="24" s="135" customFormat="1" ht="42" customHeight="1">
      <x:c r="A24" s="143" t="inlineStr">
        <x:is>
          <x:t xml:space="preserve">floating-panel-16</x:t>
        </x:is>
      </x:c>
      <x:c r="B24" s="143" t="inlineStr">
        <x:is>
          <x:t xml:space="preserve">Integration</x:t>
        </x:is>
      </x:c>
      <x:c r="C24" s="143" t="inlineStr">
        <x:is>
          <x:t xml:space="preserve">Root</x:t>
        </x:is>
      </x:c>
      <x:c r="D24" s="143" t="inlineStr">
        <x:is>
          <x:t xml:space="preserve">Package completion</x:t>
        </x:is>
      </x:c>
      <x:c r="E24" s="143" t="inlineStr">
        <x:is>
          <x:t xml:space="preserve">package</x:t>
        </x:is>
      </x:c>
      <x:c r="F24" s="143" t="inlineStr">
        <x:is>
          <x:t xml:space="preserve">automated</x:t>
        </x:is>
      </x:c>
      <x:c r="G24" s="143" t="inlineStr">
        <x:is>
          <x:t xml:space="preserve">Full implementation plan</x:t>
        </x:is>
      </x:c>
      <x:c r="H24" s="143" t="inlineStr">
        <x:is>
          <x:t xml:space="preserve">partial</x:t>
        </x:is>
      </x:c>
      <x:c r="I24" s="143" t="inlineStr">
        <x:is>
          <x:t xml:space="preserve">no</x:t>
        </x:is>
      </x:c>
      <x:c r="J24" s="143" t="n"/>
      <x:c r="K24" s="143" t="inlineStr">
        <x:is>
          <x:t xml:space="preserve">Runtime, documentation, knowledge and automated package qualification complete; required manual environment gates remain open. Unpublished local candidate.</x:t>
        </x:is>
      </x:c>
      <x:c r="L24" s="143" t="n">
        <x:v>1</x:v>
      </x:c>
      <x:c r="M24" s="143" t="n">
        <x:f>IF(OR(H24="verified",AND(I24="no",H24="tested"),AND(H24="not applicable",K24&lt;&gt;"")),1,0)</x:f>
        <x:v>0</x:v>
      </x:c>
    </x:row>
    <x:row r="25" s="135" customFormat="1" ht="15" customHeight="1">
      <x:c r="A25" s="138" t="n"/>
      <x:c r="B25" s="138" t="n"/>
      <x:c r="C25" s="138" t="n"/>
      <x:c r="D25" s="138" t="n"/>
      <x:c r="E25" s="138" t="n"/>
      <x:c r="F25" s="138" t="n"/>
      <x:c r="G25" s="138" t="n"/>
      <x:c r="H25" s="138" t="n"/>
      <x:c r="I25" s="138" t="n"/>
      <x:c r="J25" s="138" t="n"/>
      <x:c r="K25" s="138" t="n"/>
      <x:c r="L25" s="138" t="n"/>
      <x:c r="M25" s="138" t="n"/>
    </x:row>
    <x:row r="26" s="135" customFormat="1" ht="15" customHeight="1">
      <x:c r="A26" s="138" t="n"/>
      <x:c r="B26" s="138" t="n"/>
      <x:c r="C26" s="138" t="n"/>
      <x:c r="D26" s="138" t="n"/>
      <x:c r="E26" s="138" t="n"/>
      <x:c r="F26" s="138" t="n"/>
      <x:c r="G26" s="138" t="n"/>
      <x:c r="H26" s="138" t="n"/>
      <x:c r="I26" s="138" t="n"/>
      <x:c r="J26" s="138" t="n"/>
      <x:c r="K26" s="138" t="n"/>
      <x:c r="L26" s="138" t="n"/>
      <x:c r="M26" s="138" t="n"/>
    </x:row>
    <x:row r="27" s="135" customFormat="1" ht="15" customHeight="1">
      <x:c r="A27" s="138" t="n"/>
      <x:c r="B27" s="138" t="n"/>
      <x:c r="C27" s="138" t="n"/>
      <x:c r="D27" s="138" t="n"/>
      <x:c r="E27" s="138" t="n"/>
      <x:c r="F27" s="138" t="n"/>
      <x:c r="G27" s="138" t="n"/>
      <x:c r="H27" s="138" t="n"/>
      <x:c r="I27" s="138" t="n"/>
      <x:c r="J27" s="138" t="n"/>
      <x:c r="K27" s="138" t="n"/>
      <x:c r="L27" s="138" t="n"/>
      <x:c r="M27" s="138" t="n"/>
    </x:row>
    <x:row r="28" s="135" customFormat="1" ht="15" customHeight="1">
      <x:c r="A28" s="138" t="n"/>
      <x:c r="B28" s="138" t="n"/>
      <x:c r="C28" s="138" t="n"/>
      <x:c r="D28" s="138" t="n"/>
      <x:c r="E28" s="138" t="n"/>
      <x:c r="F28" s="138" t="n"/>
      <x:c r="G28" s="138" t="n"/>
      <x:c r="H28" s="138" t="n"/>
      <x:c r="I28" s="138" t="n"/>
      <x:c r="J28" s="138" t="n"/>
      <x:c r="K28" s="138" t="n"/>
      <x:c r="L28" s="138" t="n"/>
      <x:c r="M28" s="138" t="n"/>
    </x:row>
    <x:row r="29" s="135" customFormat="1" ht="15" customHeight="1">
      <x:c r="A29" s="138" t="n"/>
      <x:c r="B29" s="138" t="n"/>
      <x:c r="C29" s="138" t="n"/>
      <x:c r="D29" s="138" t="n"/>
      <x:c r="E29" s="138" t="n"/>
      <x:c r="F29" s="138" t="n"/>
      <x:c r="G29" s="138" t="n"/>
      <x:c r="H29" s="138" t="n"/>
      <x:c r="I29" s="138" t="n"/>
      <x:c r="J29" s="138" t="n"/>
      <x:c r="K29" s="138" t="n"/>
      <x:c r="L29" s="138" t="n"/>
      <x:c r="M29" s="138" t="n"/>
    </x:row>
    <x:row r="30" s="135" customFormat="1" ht="15" customHeight="1">
      <x:c r="A30" s="138" t="n"/>
      <x:c r="B30" s="138" t="n"/>
      <x:c r="C30" s="138" t="n"/>
      <x:c r="D30" s="138" t="n"/>
      <x:c r="E30" s="138" t="n"/>
      <x:c r="F30" s="138" t="n"/>
      <x:c r="G30" s="138" t="n"/>
      <x:c r="H30" s="138" t="n"/>
      <x:c r="I30" s="138" t="n"/>
      <x:c r="J30" s="138" t="n"/>
      <x:c r="K30" s="138" t="n"/>
      <x:c r="L30" s="138" t="n"/>
      <x:c r="M30" s="138" t="n"/>
    </x:row>
  </x:sheetData>
  <x:dataValidations count="2">
    <x:dataValidation type="list" errorStyle="stop" operator="between" allowBlank="0" showDropDown="0" showInputMessage="0" showErrorMessage="0" sqref="H9:H24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24">
      <x:formula1>"yes,no"</x:formula1>
      <x:formula2>0</x:formula2>
    </x:dataValidation>
  </x:dataValidations>
  <x:pageMargins left="0.7" right="0.7" top="0.75" bottom="0.75" header="0.3" footer="0.3"/>
</x:worksheet>
</file>

<file path=xl/worksheets/sheet119.xml><?xml version="1.0" encoding="utf-8"?>
<x:worksheet xmlns:x="http://schemas.openxmlformats.org/spreadsheetml/2006/main">
  <x:sheetViews>
    <x:sheetView showGridLines="1" workbookViewId="0">
      <x:pane ySplit="8" topLeftCell="A9" activePane="bottomLeft" state="frozen"/>
    </x:sheetView>
  </x:sheetViews>
  <x:sheetFormatPr baseColWidth="8" defaultColWidth="8.6796875" defaultRowHeight="15"/>
  <x:cols>
    <x:col min="1" max="1" width="26" style="138" customWidth="1"/>
    <x:col min="2" max="3" width="18" style="138" customWidth="1"/>
    <x:col min="4" max="4" width="45" style="138" customWidth="1"/>
    <x:col min="5" max="5" width="14" style="138" customWidth="1"/>
    <x:col min="6" max="6" width="16" style="138" customWidth="1"/>
    <x:col min="7" max="7" width="48" style="138" customWidth="1"/>
    <x:col min="8" max="8" width="17" style="138" customWidth="1"/>
    <x:col min="9" max="10" width="15" style="138" customWidth="1"/>
    <x:col min="11" max="11" width="52" style="138" customWidth="1"/>
    <x:col min="12" max="13" width="10" style="138" customWidth="1"/>
  </x:cols>
  <x:sheetData>
    <x:row r="1" s="135" customFormat="1" ht="15" customHeight="1">
      <x:c r="A1" s="138" t="inlineStr">
        <x:is>
          <x:t xml:space="preserve">Overlay Manager evidence</x:t>
        </x:is>
      </x:c>
      <x:c r="B1" s="138" t="n"/>
      <x:c r="C1" s="138" t="n"/>
      <x:c r="D1" s="138" t="n"/>
      <x:c r="E1" s="138" t="n"/>
      <x:c r="F1" s="138" t="n"/>
      <x:c r="G1" s="138" t="n"/>
      <x:c r="H1" s="138" t="n"/>
      <x:c r="I1" s="138" t="n"/>
      <x:c r="J1" s="138" t="n"/>
      <x:c r="K1" s="138" t="n"/>
      <x:c r="L1" s="138" t="n"/>
      <x:c r="M1" s="138" t="n"/>
    </x:row>
    <x:row r="2" s="135" customFormat="1" ht="15" customHeight="1">
      <x:c r="A2" s="138" t="inlineStr">
        <x:is>
          <x:t xml:space="preserve">Automated implementation qualification complete. Manual screen-reader, physical-device and actual-zoom release gates remain open.</x:t>
        </x:is>
      </x:c>
      <x:c r="B2" s="138" t="n"/>
      <x:c r="C2" s="138" t="n"/>
      <x:c r="D2" s="138" t="n"/>
      <x:c r="E2" s="138" t="n"/>
      <x:c r="F2" s="138" t="n"/>
      <x:c r="G2" s="138" t="n"/>
      <x:c r="H2" s="138" t="n"/>
      <x:c r="I2" s="138" t="n"/>
      <x:c r="J2" s="138" t="n"/>
      <x:c r="K2" s="138" t="n"/>
      <x:c r="L2" s="138" t="n"/>
      <x:c r="M2" s="138" t="n"/>
    </x:row>
    <x:row r="3" s="135" customFormat="1" ht="15" customHeight="1">
      <x:c r="A3" s="138" t="n"/>
      <x:c r="B3" s="138" t="n"/>
      <x:c r="C3" s="138" t="n"/>
      <x:c r="D3" s="138" t="n"/>
      <x:c r="E3" s="138" t="n"/>
      <x:c r="F3" s="138" t="n"/>
      <x:c r="G3" s="138" t="n"/>
      <x:c r="H3" s="138" t="n"/>
      <x:c r="I3" s="138" t="n"/>
      <x:c r="J3" s="138" t="n"/>
      <x:c r="K3" s="138" t="n"/>
      <x:c r="L3" s="138" t="n"/>
      <x:c r="M3" s="138" t="n"/>
    </x:row>
    <x:row r="4" s="135" customFormat="1" ht="15" customHeight="1">
      <x:c r="A4" s="138" t="inlineStr">
        <x:is>
          <x:t xml:space="preserve">Requirements</x:t>
        </x:is>
      </x:c>
      <x:c r="B4" s="138" t="n">
        <x:f>COUNTA(A9:A23)</x:f>
        <x:v>15</x:v>
      </x:c>
      <x:c r="C4" s="138" t="n"/>
      <x:c r="D4" s="138" t="inlineStr">
        <x:is>
          <x:t xml:space="preserve">Resolved</x:t>
        </x:is>
      </x:c>
      <x:c r="E4" s="138" t="n">
        <x:f>SUM(M9:M23)</x:f>
        <x:v>10</x:v>
      </x:c>
      <x:c r="F4" s="138" t="n"/>
      <x:c r="G4" s="138" t="inlineStr">
        <x:is>
          <x:t xml:space="preserve">Completion</x:t>
        </x:is>
      </x:c>
      <x:c r="H4" s="140" t="n">
        <x:f>IF(B4=0,0,E4/B4)</x:f>
        <x:v>0.6666666666666666</x:v>
      </x:c>
      <x:c r="I4" s="138" t="n"/>
      <x:c r="J4" s="138" t="inlineStr">
        <x:is>
          <x:t xml:space="preserve">Package gate</x:t>
        </x:is>
      </x:c>
      <x:c r="K4" s="138" t="inlineStr">
        <x:is>
          <x:t xml:space="preserve">open</x:t>
        </x:is>
      </x:c>
      <x:c r="L4" s="138" t="n"/>
      <x:c r="M4" s="138" t="n"/>
    </x:row>
    <x:row r="5" s="135" customFormat="1" ht="15" customHeight="1">
      <x:c r="A5" s="138" t="inlineStr">
        <x:is>
          <x:t xml:space="preserve">Manual review</x:t>
        </x:is>
      </x:c>
      <x:c r="B5" s="138" t="str">
        <x:f>IF(COUNTIFS(I9:I23,"yes",M9:M23,0)&gt;0,"open","complete")</x:f>
        <x:v>open</x:v>
      </x:c>
      <x:c r="C5" s="138" t="n"/>
      <x:c r="D5" s="138" t="inlineStr">
        <x:is>
          <x:t xml:space="preserve">Consumer gate</x:t>
        </x:is>
      </x:c>
      <x:c r="E5" s="138" t="inlineStr">
        <x:is>
          <x:t xml:space="preserve">passed</x:t>
        </x:is>
      </x:c>
      <x:c r="F5" s="138" t="n"/>
      <x:c r="G5" s="138" t="n"/>
      <x:c r="H5" s="138" t="n"/>
      <x:c r="I5" s="138" t="n"/>
      <x:c r="J5" s="138" t="n"/>
      <x:c r="K5" s="138" t="n"/>
      <x:c r="L5" s="138" t="n"/>
      <x:c r="M5" s="138" t="n"/>
    </x:row>
    <x:row r="6" s="135" customFormat="1" ht="15" customHeight="1">
      <x:c r="A6" s="138" t="n"/>
      <x:c r="B6" s="138" t="n"/>
      <x:c r="C6" s="138" t="n"/>
      <x:c r="D6" s="138" t="n"/>
      <x:c r="E6" s="138" t="n"/>
      <x:c r="F6" s="138" t="n"/>
      <x:c r="G6" s="138" t="n"/>
      <x:c r="H6" s="138" t="n"/>
      <x:c r="I6" s="138" t="n"/>
      <x:c r="J6" s="138" t="n"/>
      <x:c r="K6" s="138" t="n"/>
      <x:c r="L6" s="138" t="n"/>
      <x:c r="M6" s="138" t="n"/>
    </x:row>
    <x:row r="7" s="135" customFormat="1" ht="15" customHeight="1">
      <x:c r="A7" s="138" t="n"/>
      <x:c r="B7" s="138" t="n"/>
      <x:c r="C7" s="138" t="n"/>
      <x:c r="D7" s="138" t="n"/>
      <x:c r="E7" s="138" t="n"/>
      <x:c r="F7" s="138" t="n"/>
      <x:c r="G7" s="138" t="n"/>
      <x:c r="H7" s="138" t="n"/>
      <x:c r="I7" s="138" t="n"/>
      <x:c r="J7" s="138" t="n"/>
      <x:c r="K7" s="138" t="n"/>
      <x:c r="L7" s="138" t="n"/>
      <x:c r="M7" s="138" t="n"/>
    </x:row>
    <x:row r="8" s="135" customFormat="1" ht="15" customHeight="1">
      <x:c r="A8" s="138" t="inlineStr">
        <x:is>
          <x:t xml:space="preserve">ID</x:t>
        </x:is>
      </x:c>
      <x:c r="B8" s="138" t="inlineStr">
        <x:is>
          <x:t xml:space="preserve">Area</x:t>
        </x:is>
      </x:c>
      <x:c r="C8" s="138" t="inlineStr">
        <x:is>
          <x:t xml:space="preserve">Part</x:t>
        </x:is>
      </x:c>
      <x:c r="D8" s="138" t="inlineStr">
        <x:is>
          <x:t xml:space="preserve">Requirement</x:t>
        </x:is>
      </x:c>
      <x:c r="E8" s="138" t="inlineStr">
        <x:is>
          <x:t xml:space="preserve">Gate</x:t>
        </x:is>
      </x:c>
      <x:c r="F8" s="138" t="inlineStr">
        <x:is>
          <x:t xml:space="preserve">Evidence type</x:t>
        </x:is>
      </x:c>
      <x:c r="G8" s="138" t="inlineStr">
        <x:is>
          <x:t xml:space="preserve">Evidence / link</x:t>
        </x:is>
      </x:c>
      <x:c r="H8" s="138" t="inlineStr">
        <x:is>
          <x:t xml:space="preserve">Status</x:t>
        </x:is>
      </x:c>
      <x:c r="I8" s="138" t="inlineStr">
        <x:is>
          <x:t xml:space="preserve">Human review?</x:t>
        </x:is>
      </x:c>
      <x:c r="J8" s="138" t="inlineStr">
        <x:is>
          <x:t xml:space="preserve">Last verified</x:t>
        </x:is>
      </x:c>
      <x:c r="K8" s="138" t="inlineStr">
        <x:is>
          <x:t xml:space="preserve">Blocker / N/A reason</x:t>
        </x:is>
      </x:c>
      <x:c r="L8" s="138" t="inlineStr">
        <x:is>
          <x:t xml:space="preserve">Weight</x:t>
        </x:is>
      </x:c>
      <x:c r="M8" s="138" t="inlineStr">
        <x:is>
          <x:t xml:space="preserve">Resolved</x:t>
        </x:is>
      </x:c>
    </x:row>
    <x:row r="9" s="135" customFormat="1" ht="42" customHeight="1">
      <x:c r="A9" s="143" t="inlineStr">
        <x:is>
          <x:t xml:space="preserve">overlay-manager-1</x:t>
        </x:is>
      </x:c>
      <x:c r="B9" s="143" t="inlineStr">
        <x:is>
          <x:t xml:space="preserve">Integration</x:t>
        </x:is>
      </x:c>
      <x:c r="C9" s="143" t="inlineStr">
        <x:is>
          <x:t xml:space="preserve">Viewport</x:t>
        </x:is>
      </x:c>
      <x:c r="D9" s="143" t="inlineStr">
        <x:is>
          <x:t xml:space="preserve">Implementation</x:t>
        </x:is>
      </x:c>
      <x:c r="E9" s="143" t="inlineStr">
        <x:is>
          <x:t xml:space="preserve">package</x:t>
        </x:is>
      </x:c>
      <x:c r="F9" s="143" t="inlineStr">
        <x:is>
          <x:t xml:space="preserve">automated</x:t>
        </x:is>
      </x:c>
      <x:c r="G9" s="143" t="inlineStr">
        <x:is>
          <x:t xml:space="preserve">src/components/overlay-manager</x:t>
        </x:is>
      </x:c>
      <x:c r="H9" s="143" t="inlineStr">
        <x:is>
          <x:t xml:space="preserve">implemented</x:t>
        </x:is>
      </x:c>
      <x:c r="I9" s="143" t="inlineStr">
        <x:is>
          <x:t xml:space="preserve">no</x:t>
        </x:is>
      </x:c>
      <x:c r="J9" s="143" t="n"/>
      <x:c r="K9" s="143" t="inlineStr">
        <x:is>
          <x:t xml:space="preserve">Public owner and composition exported.</x:t>
        </x:is>
      </x:c>
      <x:c r="L9" s="143" t="n">
        <x:v>1</x:v>
      </x:c>
      <x:c r="M9" s="143" t="n">
        <x:f>IF(OR(H9="verified",AND(I9="no",H9="tested"),AND(H9="not applicable",K9&lt;&gt;"")),1,0)</x:f>
        <x:v>0</x:v>
      </x:c>
    </x:row>
    <x:row r="10" s="135" customFormat="1" ht="42" customHeight="1">
      <x:c r="A10" s="143" t="inlineStr">
        <x:is>
          <x:t xml:space="preserve">overlay-manager-2</x:t>
        </x:is>
      </x:c>
      <x:c r="B10" s="143" t="inlineStr">
        <x:is>
          <x:t xml:space="preserve">Integration</x:t>
        </x:is>
      </x:c>
      <x:c r="C10" s="143" t="inlineStr">
        <x:is>
          <x:t xml:space="preserve">Viewport</x:t>
        </x:is>
      </x:c>
      <x:c r="D10" s="143" t="inlineStr">
        <x:is>
          <x:t xml:space="preserve">Exact Atom delegation</x:t>
        </x:is>
      </x:c>
      <x:c r="E10" s="143" t="inlineStr">
        <x:is>
          <x:t xml:space="preserve">package</x:t>
        </x:is>
      </x:c>
      <x:c r="F10" s="143" t="inlineStr">
        <x:is>
          <x:t xml:space="preserve">automated</x:t>
        </x:is>
      </x:c>
      <x:c r="G10" s="143" t="inlineStr">
        <x:is>
          <x:t xml:space="preserve">test/components/overlay-manager/overlay-manager.test.tsx</x:t>
        </x:is>
      </x:c>
      <x:c r="H10" s="143" t="inlineStr">
        <x:is>
          <x:t xml:space="preserve">tested</x:t>
        </x:is>
      </x:c>
      <x:c r="I10" s="143" t="inlineStr">
        <x:is>
          <x:t xml:space="preserve">no</x:t>
        </x:is>
      </x:c>
      <x:c r="J10" s="143" t="n"/>
      <x:c r="K10" s="143" t="inlineStr">
        <x:is>
          <x:t xml:space="preserve">Brick re-exports the same createOverlay factory.</x:t>
        </x:is>
      </x:c>
      <x:c r="L10" s="143" t="n">
        <x:v>1</x:v>
      </x:c>
      <x:c r="M10" s="143" t="n">
        <x:f>IF(OR(H10="verified",AND(I10="no",H10="tested"),AND(H10="not applicable",K10&lt;&gt;"")),1,0)</x:f>
        <x:v>1</x:v>
      </x:c>
    </x:row>
    <x:row r="11" s="135" customFormat="1" ht="42" customHeight="1">
      <x:c r="A11" s="143" t="inlineStr">
        <x:is>
          <x:t xml:space="preserve">overlay-manager-3</x:t>
        </x:is>
      </x:c>
      <x:c r="B11" s="143" t="inlineStr">
        <x:is>
          <x:t xml:space="preserve">Integration</x:t>
        </x:is>
      </x:c>
      <x:c r="C11" s="143" t="inlineStr">
        <x:is>
          <x:t xml:space="preserve">Viewport</x:t>
        </x:is>
      </x:c>
      <x:c r="D11" s="143" t="inlineStr">
        <x:is>
          <x:t xml:space="preserve">Typed result and exit</x:t>
        </x:is>
      </x:c>
      <x:c r="E11" s="143" t="inlineStr">
        <x:is>
          <x:t xml:space="preserve">package</x:t>
        </x:is>
      </x:c>
      <x:c r="F11" s="143" t="inlineStr">
        <x:is>
          <x:t xml:space="preserve">automated</x:t>
        </x:is>
      </x:c>
      <x:c r="G11" s="143" t="inlineStr">
        <x:is>
          <x:t xml:space="preserve">playground/tests/components/overlay-manager/behavior.spec.ts</x:t>
        </x:is>
      </x:c>
      <x:c r="H11" s="143" t="inlineStr">
        <x:is>
          <x:t xml:space="preserve">tested</x:t>
        </x:is>
      </x:c>
      <x:c r="I11" s="143" t="inlineStr">
        <x:is>
          <x:t xml:space="preserve">no</x:t>
        </x:is>
      </x:c>
      <x:c r="J11" s="143" t="n"/>
      <x:c r="K11" s="143" t="inlineStr">
        <x:is>
          <x:t xml:space="preserve">Typed result, normal-motion sequencing and precommit cancellation have dedicated browser assertions.</x:t>
        </x:is>
      </x:c>
      <x:c r="L11" s="143" t="n">
        <x:v>1</x:v>
      </x:c>
      <x:c r="M11" s="143" t="n">
        <x:f>IF(OR(H11="verified",AND(I11="no",H11="tested"),AND(H11="not applicable",K11&lt;&gt;"")),1,0)</x:f>
        <x:v>1</x:v>
      </x:c>
    </x:row>
    <x:row r="12" s="135" customFormat="1" ht="42" customHeight="1">
      <x:c r="A12" s="143" t="inlineStr">
        <x:is>
          <x:t xml:space="preserve">overlay-manager-4</x:t>
        </x:is>
      </x:c>
      <x:c r="B12" s="143" t="inlineStr">
        <x:is>
          <x:t xml:space="preserve">Integration</x:t>
        </x:is>
      </x:c>
      <x:c r="C12" s="143" t="inlineStr">
        <x:is>
          <x:t xml:space="preserve">Viewport</x:t>
        </x:is>
      </x:c>
      <x:c r="D12" s="143" t="inlineStr">
        <x:is>
          <x:t xml:space="preserve">Mounted update identity</x:t>
        </x:is>
      </x:c>
      <x:c r="E12" s="143" t="inlineStr">
        <x:is>
          <x:t xml:space="preserve">package</x:t>
        </x:is>
      </x:c>
      <x:c r="F12" s="143" t="inlineStr">
        <x:is>
          <x:t xml:space="preserve">automated</x:t>
        </x:is>
      </x:c>
      <x:c r="G12" s="143" t="inlineStr">
        <x:is>
          <x:t xml:space="preserve">playground/tests/components/overlay-manager/behavior.spec.ts</x:t>
        </x:is>
      </x:c>
      <x:c r="H12" s="143" t="inlineStr">
        <x:is>
          <x:t xml:space="preserve">tested</x:t>
        </x:is>
      </x:c>
      <x:c r="I12" s="143" t="inlineStr">
        <x:is>
          <x:t xml:space="preserve">no</x:t>
        </x:is>
      </x:c>
      <x:c r="J12" s="143" t="n"/>
      <x:c r="K12" s="143" t="inlineStr">
        <x:is>
          <x:t xml:space="preserve">Updated title retains the input draft.</x:t>
        </x:is>
      </x:c>
      <x:c r="L12" s="143" t="n">
        <x:v>1</x:v>
      </x:c>
      <x:c r="M12" s="143" t="n">
        <x:f>IF(OR(H12="verified",AND(I12="no",H12="tested"),AND(H12="not applicable",K12&lt;&gt;"")),1,0)</x:f>
        <x:v>1</x:v>
      </x:c>
    </x:row>
    <x:row r="13" s="135" customFormat="1" ht="42" customHeight="1">
      <x:c r="A13" s="143" t="inlineStr">
        <x:is>
          <x:t xml:space="preserve">overlay-manager-5</x:t>
        </x:is>
      </x:c>
      <x:c r="B13" s="143" t="inlineStr">
        <x:is>
          <x:t xml:space="preserve">Integration</x:t>
        </x:is>
      </x:c>
      <x:c r="C13" s="143" t="inlineStr">
        <x:is>
          <x:t xml:space="preserve">Viewport</x:t>
        </x:is>
      </x:c>
      <x:c r="D13" s="143" t="inlineStr">
        <x:is>
          <x:t xml:space="preserve">Drawer and panel integration</x:t>
        </x:is>
      </x:c>
      <x:c r="E13" s="143" t="inlineStr">
        <x:is>
          <x:t xml:space="preserve">package</x:t>
        </x:is>
      </x:c>
      <x:c r="F13" s="143" t="inlineStr">
        <x:is>
          <x:t xml:space="preserve">automated</x:t>
        </x:is>
      </x:c>
      <x:c r="G13" s="143" t="inlineStr">
        <x:is>
          <x:t xml:space="preserve">playground/tests/components/overlay-manager/behavior.spec.ts</x:t>
        </x:is>
      </x:c>
      <x:c r="H13" s="143" t="inlineStr">
        <x:is>
          <x:t xml:space="preserve">tested</x:t>
        </x:is>
      </x:c>
      <x:c r="I13" s="143" t="inlineStr">
        <x:is>
          <x:t xml:space="preserve">no</x:t>
        </x:is>
      </x:c>
      <x:c r="J13" s="143" t="n"/>
      <x:c r="K13" s="143" t="inlineStr">
        <x:is>
          <x:t xml:space="preserve">Authored visual primitives open and close through the manager.</x:t>
        </x:is>
      </x:c>
      <x:c r="L13" s="143" t="n">
        <x:v>1</x:v>
      </x:c>
      <x:c r="M13" s="143" t="n">
        <x:f>IF(OR(H13="verified",AND(I13="no",H13="tested"),AND(H13="not applicable",K13&lt;&gt;"")),1,0)</x:f>
        <x:v>1</x:v>
      </x:c>
    </x:row>
    <x:row r="14" s="135" customFormat="1" ht="42" customHeight="1">
      <x:c r="A14" s="143" t="inlineStr">
        <x:is>
          <x:t xml:space="preserve">overlay-manager-6</x:t>
        </x:is>
      </x:c>
      <x:c r="B14" s="143" t="inlineStr">
        <x:is>
          <x:t xml:space="preserve">Integration</x:t>
        </x:is>
      </x:c>
      <x:c r="C14" s="143" t="inlineStr">
        <x:is>
          <x:t xml:space="preserve">Viewport</x:t>
        </x:is>
      </x:c>
      <x:c r="D14" s="143" t="inlineStr">
        <x:is>
          <x:t xml:space="preserve">Host disposal</x:t>
        </x:is>
      </x:c>
      <x:c r="E14" s="143" t="inlineStr">
        <x:is>
          <x:t xml:space="preserve">package</x:t>
        </x:is>
      </x:c>
      <x:c r="F14" s="143" t="inlineStr">
        <x:is>
          <x:t xml:space="preserve">automated</x:t>
        </x:is>
      </x:c>
      <x:c r="G14" s="143" t="inlineStr">
        <x:is>
          <x:t xml:space="preserve">playground/tests/components/overlay-manager/behavior.spec.ts</x:t>
        </x:is>
      </x:c>
      <x:c r="H14" s="143" t="inlineStr">
        <x:is>
          <x:t xml:space="preserve">tested</x:t>
        </x:is>
      </x:c>
      <x:c r="I14" s="143" t="inlineStr">
        <x:is>
          <x:t xml:space="preserve">no</x:t>
        </x:is>
      </x:c>
      <x:c r="J14" s="143" t="n"/>
      <x:c r="K14" s="143" t="inlineStr">
        <x:is>
          <x:t xml:space="preserve">Unmount settles the pending result.</x:t>
        </x:is>
      </x:c>
      <x:c r="L14" s="143" t="n">
        <x:v>1</x:v>
      </x:c>
      <x:c r="M14" s="143" t="n">
        <x:f>IF(OR(H14="verified",AND(I14="no",H14="tested"),AND(H14="not applicable",K14&lt;&gt;"")),1,0)</x:f>
        <x:v>1</x:v>
      </x:c>
    </x:row>
    <x:row r="15" s="135" customFormat="1" ht="90" customHeight="1">
      <x:c r="A15" s="143" t="inlineStr">
        <x:is>
          <x:t xml:space="preserve">overlay-manager-7</x:t>
        </x:is>
      </x:c>
      <x:c r="B15" s="143" t="inlineStr">
        <x:is>
          <x:t xml:space="preserve">Integration</x:t>
        </x:is>
      </x:c>
      <x:c r="C15" s="143" t="inlineStr">
        <x:is>
          <x:t xml:space="preserve">Viewport</x:t>
        </x:is>
      </x:c>
      <x:c r="D15" s="143" t="inlineStr">
        <x:is>
          <x:t xml:space="preserve">Transient launcher focus</x:t>
        </x:is>
      </x:c>
      <x:c r="E15" s="143" t="inlineStr">
        <x:is>
          <x:t xml:space="preserve">package</x:t>
        </x:is>
      </x:c>
      <x:c r="F15" s="143" t="inlineStr">
        <x:is>
          <x:t xml:space="preserve">automated</x:t>
        </x:is>
      </x:c>
      <x:c r="G15" s="143" t="inlineStr">
        <x:is>
          <x:t xml:space="preserve">playground/tests/components/overlay-manager/behavior.spec.ts</x:t>
        </x:is>
      </x:c>
      <x:c r="H15" s="143" t="inlineStr">
        <x:is>
          <x:t xml:space="preserve">tested</x:t>
        </x:is>
      </x:c>
      <x:c r="I15" s="143" t="inlineStr">
        <x:is>
          <x:t xml:space="preserve">no</x:t>
        </x:is>
      </x:c>
      <x:c r="J15" s="143" t="n"/>
      <x:c r="K15" s="143" t="inlineStr">
        <x:is>
          <x:t xml:space="preserve">Focus moves into the dialog and returns to the menu trigger.
2026-09-09: Focus pass: closing a dialog restores the launcher; exiting menu stays inert. See focus-system/execution-report.md. Other qualification is not promoted.</x:t>
        </x:is>
      </x:c>
      <x:c r="L15" s="143" t="n">
        <x:v>1</x:v>
      </x:c>
      <x:c r="M15" s="143" t="n">
        <x:f>IF(OR(H15="verified",AND(I15="no",H15="tested"),AND(H15="not applicable",K15&lt;&gt;"")),1,0)</x:f>
        <x:v>1</x:v>
      </x:c>
    </x:row>
    <x:row r="16" s="135" customFormat="1" ht="42" customHeight="1">
      <x:c r="A16" s="143" t="inlineStr">
        <x:is>
          <x:t xml:space="preserve">overlay-manager-8</x:t>
        </x:is>
      </x:c>
      <x:c r="B16" s="143" t="inlineStr">
        <x:is>
          <x:t xml:space="preserve">Integration</x:t>
        </x:is>
      </x:c>
      <x:c r="C16" s="143" t="inlineStr">
        <x:is>
          <x:t xml:space="preserve">Viewport</x:t>
        </x:is>
      </x:c>
      <x:c r="D16" s="143" t="inlineStr">
        <x:is>
          <x:t xml:space="preserve">Authored close veto</x:t>
        </x:is>
      </x:c>
      <x:c r="E16" s="143" t="inlineStr">
        <x:is>
          <x:t xml:space="preserve">package</x:t>
        </x:is>
      </x:c>
      <x:c r="F16" s="143" t="inlineStr">
        <x:is>
          <x:t xml:space="preserve">automated</x:t>
        </x:is>
      </x:c>
      <x:c r="G16" s="143" t="inlineStr">
        <x:is>
          <x:t xml:space="preserve">playground/tests/components/overlay-manager/behavior.spec.ts</x:t>
        </x:is>
      </x:c>
      <x:c r="H16" s="143" t="inlineStr">
        <x:is>
          <x:t xml:space="preserve">tested</x:t>
        </x:is>
      </x:c>
      <x:c r="I16" s="143" t="inlineStr">
        <x:is>
          <x:t xml:space="preserve">no</x:t>
        </x:is>
      </x:c>
      <x:c r="J16" s="143" t="n"/>
      <x:c r="K16" s="143" t="inlineStr">
        <x:is>
          <x:t xml:space="preserve">Empty form rejects Escape; completed form accepts it.</x:t>
        </x:is>
      </x:c>
      <x:c r="L16" s="143" t="n">
        <x:v>1</x:v>
      </x:c>
      <x:c r="M16" s="143" t="n">
        <x:f>IF(OR(H16="verified",AND(I16="no",H16="tested"),AND(H16="not applicable",K16&lt;&gt;"")),1,0)</x:f>
        <x:v>1</x:v>
      </x:c>
    </x:row>
    <x:row r="17" s="135" customFormat="1" ht="63.75" customHeight="1">
      <x:c r="A17" s="143" t="inlineStr">
        <x:is>
          <x:t xml:space="preserve">overlay-manager-9</x:t>
        </x:is>
      </x:c>
      <x:c r="B17" s="143" t="inlineStr">
        <x:is>
          <x:t xml:space="preserve">Integration</x:t>
        </x:is>
      </x:c>
      <x:c r="C17" s="143" t="inlineStr">
        <x:is>
          <x:t xml:space="preserve">Viewport</x:t>
        </x:is>
      </x:c>
      <x:c r="D17" s="143" t="inlineStr">
        <x:is>
          <x:t xml:space="preserve">Provider and lifecycle combinations</x:t>
        </x:is>
      </x:c>
      <x:c r="E17" s="143" t="inlineStr">
        <x:is>
          <x:t xml:space="preserve">package</x:t>
        </x:is>
      </x:c>
      <x:c r="F17" s="143" t="inlineStr">
        <x:is>
          <x:t xml:space="preserve">automated</x:t>
        </x:is>
      </x:c>
      <x:c r="G17" s="143" t="inlineStr">
        <x:is>
          <x:t xml:space="preserve">14 scenario groups</x:t>
        </x:is>
      </x:c>
      <x:c r="H17" s="143" t="inlineStr">
        <x:is>
          <x:t xml:space="preserve">tested</x:t>
        </x:is>
      </x:c>
      <x:c r="I17" s="143" t="inlineStr">
        <x:is>
          <x:t xml:space="preserve">no</x:t>
        </x:is>
      </x:c>
      <x:c r="J17" s="143" t="n"/>
      <x:c r="K17" s="143" t="inlineStr">
        <x:is>
          <x:t xml:space="preserve">14 qualification scenarios retained; 9 source-paired documentation examples added.</x:t>
        </x:is>
      </x:c>
      <x:c r="L17" s="143" t="n">
        <x:v>1</x:v>
      </x:c>
      <x:c r="M17" s="143" t="n">
        <x:f>IF(OR(H17="verified",AND(I17="no",H17="tested"),AND(H17="not applicable",K17&lt;&gt;"")),1,0)</x:f>
        <x:v>1</x:v>
      </x:c>
    </x:row>
    <x:row r="18" s="135" customFormat="1" ht="42" customHeight="1">
      <x:c r="A18" s="143" t="inlineStr">
        <x:is>
          <x:t xml:space="preserve">overlay-manager-10</x:t>
        </x:is>
      </x:c>
      <x:c r="B18" s="143" t="inlineStr">
        <x:is>
          <x:t xml:space="preserve">Integration</x:t>
        </x:is>
      </x:c>
      <x:c r="C18" s="143" t="inlineStr">
        <x:is>
          <x:t xml:space="preserve">Viewport</x:t>
        </x:is>
      </x:c>
      <x:c r="D18" s="143" t="inlineStr">
        <x:is>
          <x:t xml:space="preserve">Visual appearance</x:t>
        </x:is>
      </x:c>
      <x:c r="E18" s="143" t="inlineStr">
        <x:is>
          <x:t xml:space="preserve">package</x:t>
        </x:is>
      </x:c>
      <x:c r="F18" s="143" t="inlineStr">
        <x:is>
          <x:t xml:space="preserve">automated</x:t>
        </x:is>
      </x:c>
      <x:c r="G18" s="143" t="inlineStr">
        <x:is>
          <x:t xml:space="preserve">playground/tests/components/overlay-manager/visual.spec.ts</x:t>
        </x:is>
      </x:c>
      <x:c r="H18" s="143" t="inlineStr">
        <x:is>
          <x:t xml:space="preserve">tested</x:t>
        </x:is>
      </x:c>
      <x:c r="I18" s="143" t="inlineStr">
        <x:is>
          <x:t xml:space="preserve">yes</x:t>
        </x:is>
      </x:c>
      <x:c r="J18" s="143" t="n"/>
      <x:c r="K18" s="143" t="inlineStr">
        <x:is>
          <x:t xml:space="preserve">Managed Dialog screenshots inspected.</x:t>
        </x:is>
      </x:c>
      <x:c r="L18" s="143" t="n">
        <x:v>1</x:v>
      </x:c>
      <x:c r="M18" s="143" t="n">
        <x:f>IF(OR(H18="verified",AND(I18="no",H18="tested"),AND(H18="not applicable",K18&lt;&gt;"")),1,0)</x:f>
        <x:v>0</x:v>
      </x:c>
    </x:row>
    <x:row r="19" s="135" customFormat="1" ht="42" customHeight="1">
      <x:c r="A19" s="143" t="inlineStr">
        <x:is>
          <x:t xml:space="preserve">overlay-manager-11</x:t>
        </x:is>
      </x:c>
      <x:c r="B19" s="143" t="inlineStr">
        <x:is>
          <x:t xml:space="preserve">Integration</x:t>
        </x:is>
      </x:c>
      <x:c r="C19" s="143" t="inlineStr">
        <x:is>
          <x:t xml:space="preserve">Viewport</x:t>
        </x:is>
      </x:c>
      <x:c r="D19" s="143" t="inlineStr">
        <x:is>
          <x:t xml:space="preserve">Types</x:t>
        </x:is>
      </x:c>
      <x:c r="E19" s="143" t="inlineStr">
        <x:is>
          <x:t xml:space="preserve">package</x:t>
        </x:is>
      </x:c>
      <x:c r="F19" s="143" t="inlineStr">
        <x:is>
          <x:t xml:space="preserve">automated</x:t>
        </x:is>
      </x:c>
      <x:c r="G19" s="143" t="inlineStr">
        <x:is>
          <x:t xml:space="preserve">test/types/components/overlay-manager.test.ts</x:t>
        </x:is>
      </x:c>
      <x:c r="H19" s="143" t="inlineStr">
        <x:is>
          <x:t xml:space="preserve">tested</x:t>
        </x:is>
      </x:c>
      <x:c r="I19" s="143" t="inlineStr">
        <x:is>
          <x:t xml:space="preserve">no</x:t>
        </x:is>
      </x:c>
      <x:c r="J19" s="143" t="n"/>
      <x:c r="K19" s="143" t="inlineStr">
        <x:is>
          <x:t xml:space="preserve">Public typecheck passes.</x:t>
        </x:is>
      </x:c>
      <x:c r="L19" s="143" t="n">
        <x:v>1</x:v>
      </x:c>
      <x:c r="M19" s="143" t="n">
        <x:f>IF(OR(H19="verified",AND(I19="no",H19="tested"),AND(H19="not applicable",K19&lt;&gt;"")),1,0)</x:f>
        <x:v>1</x:v>
      </x:c>
    </x:row>
    <x:row r="20" s="135" customFormat="1" ht="42" customHeight="1">
      <x:c r="A20" s="143" t="inlineStr">
        <x:is>
          <x:t xml:space="preserve">overlay-manager-12</x:t>
        </x:is>
      </x:c>
      <x:c r="B20" s="143" t="inlineStr">
        <x:is>
          <x:t xml:space="preserve">Integration</x:t>
        </x:is>
      </x:c>
      <x:c r="C20" s="143" t="inlineStr">
        <x:is>
          <x:t xml:space="preserve">Viewport</x:t>
        </x:is>
      </x:c>
      <x:c r="D20" s="143" t="inlineStr">
        <x:is>
          <x:t xml:space="preserve">Public documentation</x:t>
        </x:is>
      </x:c>
      <x:c r="E20" s="143" t="inlineStr">
        <x:is>
          <x:t xml:space="preserve">package</x:t>
        </x:is>
      </x:c>
      <x:c r="F20" s="143" t="inlineStr">
        <x:is>
          <x:t xml:space="preserve">automated</x:t>
        </x:is>
      </x:c>
      <x:c r="G20" s="143" t="inlineStr">
        <x:is>
          <x:t xml:space="preserve">docs/components/overlay-manager</x:t>
        </x:is>
      </x:c>
      <x:c r="H20" s="143" t="inlineStr">
        <x:is>
          <x:t xml:space="preserve">implemented</x:t>
        </x:is>
      </x:c>
      <x:c r="I20" s="143" t="inlineStr">
        <x:is>
          <x:t xml:space="preserve">no</x:t>
        </x:is>
      </x:c>
      <x:c r="J20" s="143" t="n"/>
      <x:c r="K20" s="143" t="inlineStr">
        <x:is>
          <x:t xml:space="preserve">Factory, Viewport, lifecycle and controller reference; current overlay anatomy and source-paired examples.</x:t>
        </x:is>
      </x:c>
      <x:c r="L20" s="143" t="n">
        <x:v>1</x:v>
      </x:c>
      <x:c r="M20" s="143" t="n">
        <x:f>IF(OR(H20="verified",AND(I20="no",H20="tested"),AND(H20="not applicable",K20&lt;&gt;"")),1,0)</x:f>
        <x:v>0</x:v>
      </x:c>
    </x:row>
    <x:row r="21" s="135" customFormat="1" ht="42" customHeight="1">
      <x:c r="A21" s="143" t="inlineStr">
        <x:is>
          <x:t xml:space="preserve">overlay-manager-13</x:t>
        </x:is>
      </x:c>
      <x:c r="B21" s="143" t="inlineStr">
        <x:is>
          <x:t xml:space="preserve">Integration</x:t>
        </x:is>
      </x:c>
      <x:c r="C21" s="143" t="inlineStr">
        <x:is>
          <x:t xml:space="preserve">Viewport</x:t>
        </x:is>
      </x:c>
      <x:c r="D21" s="143" t="inlineStr">
        <x:is>
          <x:t xml:space="preserve">Manual protocol</x:t>
        </x:is>
      </x:c>
      <x:c r="E21" s="143" t="inlineStr">
        <x:is>
          <x:t xml:space="preserve">package</x:t>
        </x:is>
      </x:c>
      <x:c r="F21" s="143" t="inlineStr">
        <x:is>
          <x:t xml:space="preserve">manual</x:t>
        </x:is>
      </x:c>
      <x:c r="G21" s="143" t="inlineStr">
        <x:is>
          <x:t xml:space="preserve">playground/manual-tests/overlay-manager.md</x:t>
        </x:is>
      </x:c>
      <x:c r="H21" s="143" t="inlineStr">
        <x:is>
          <x:t xml:space="preserve">partial</x:t>
        </x:is>
      </x:c>
      <x:c r="I21" s="143" t="inlineStr">
        <x:is>
          <x:t xml:space="preserve">yes</x:t>
        </x:is>
      </x:c>
      <x:c r="J21" s="143" t="n"/>
      <x:c r="K21" s="143" t="inlineStr">
        <x:is>
          <x:t xml:space="preserve">Screen reader, real zoom and physical-device checks unperformed.</x:t>
        </x:is>
      </x:c>
      <x:c r="L21" s="143" t="n">
        <x:v>1</x:v>
      </x:c>
      <x:c r="M21" s="143" t="n">
        <x:f>IF(OR(H21="verified",AND(I21="no",H21="tested"),AND(H21="not applicable",K21&lt;&gt;"")),1,0)</x:f>
        <x:v>0</x:v>
      </x:c>
    </x:row>
    <x:row r="22" s="135" customFormat="1" ht="42" customHeight="1">
      <x:c r="A22" s="143" t="inlineStr">
        <x:is>
          <x:t xml:space="preserve">overlay-manager-14</x:t>
        </x:is>
      </x:c>
      <x:c r="B22" s="143" t="inlineStr">
        <x:is>
          <x:t xml:space="preserve">Integration</x:t>
        </x:is>
      </x:c>
      <x:c r="C22" s="143" t="inlineStr">
        <x:is>
          <x:t xml:space="preserve">Viewport</x:t>
        </x:is>
      </x:c>
      <x:c r="D22" s="143" t="inlineStr">
        <x:is>
          <x:t xml:space="preserve">Packed Consumer</x:t>
        </x:is>
      </x:c>
      <x:c r="E22" s="143" t="inlineStr">
        <x:is>
          <x:t xml:space="preserve">package</x:t>
        </x:is>
      </x:c>
      <x:c r="F22" s="143" t="inlineStr">
        <x:is>
          <x:t xml:space="preserve">automated</x:t>
        </x:is>
      </x:c>
      <x:c r="G22" s="143" t="inlineStr">
        <x:is>
          <x:t xml:space="preserve">Consumer verification</x:t>
        </x:is>
      </x:c>
      <x:c r="H22" s="143" t="inlineStr">
        <x:is>
          <x:t xml:space="preserve">tested</x:t>
        </x:is>
      </x:c>
      <x:c r="I22" s="143" t="inlineStr">
        <x:is>
          <x:t xml:space="preserve">no</x:t>
        </x:is>
      </x:c>
      <x:c r="J22" s="143" t="n"/>
      <x:c r="K22" s="143" t="inlineStr">
        <x:is>
          <x:t xml:space="preserve">Clean packed React 18/19 runtime and type consumers passed with the digest-locked local Atom candidate. Unpublished.</x:t>
        </x:is>
      </x:c>
      <x:c r="L22" s="143" t="n">
        <x:v>1</x:v>
      </x:c>
      <x:c r="M22" s="143" t="n">
        <x:f>IF(OR(H22="verified",AND(I22="no",H22="tested"),AND(H22="not applicable",K22&lt;&gt;"")),1,0)</x:f>
        <x:v>1</x:v>
      </x:c>
    </x:row>
    <x:row r="23" s="135" customFormat="1" ht="42" customHeight="1">
      <x:c r="A23" s="143" t="inlineStr">
        <x:is>
          <x:t xml:space="preserve">overlay-manager-15</x:t>
        </x:is>
      </x:c>
      <x:c r="B23" s="143" t="inlineStr">
        <x:is>
          <x:t xml:space="preserve">Integration</x:t>
        </x:is>
      </x:c>
      <x:c r="C23" s="143" t="inlineStr">
        <x:is>
          <x:t xml:space="preserve">Viewport</x:t>
        </x:is>
      </x:c>
      <x:c r="D23" s="143" t="inlineStr">
        <x:is>
          <x:t xml:space="preserve">Package completion</x:t>
        </x:is>
      </x:c>
      <x:c r="E23" s="143" t="inlineStr">
        <x:is>
          <x:t xml:space="preserve">package</x:t>
        </x:is>
      </x:c>
      <x:c r="F23" s="143" t="inlineStr">
        <x:is>
          <x:t xml:space="preserve">automated</x:t>
        </x:is>
      </x:c>
      <x:c r="G23" s="143" t="inlineStr">
        <x:is>
          <x:t xml:space="preserve">Full implementation plan</x:t>
        </x:is>
      </x:c>
      <x:c r="H23" s="143" t="inlineStr">
        <x:is>
          <x:t xml:space="preserve">partial</x:t>
        </x:is>
      </x:c>
      <x:c r="I23" s="143" t="inlineStr">
        <x:is>
          <x:t xml:space="preserve">no</x:t>
        </x:is>
      </x:c>
      <x:c r="J23" s="143" t="n"/>
      <x:c r="K23" s="143" t="inlineStr">
        <x:is>
          <x:t xml:space="preserve">Runtime, documentation, knowledge and automated package qualification complete; required manual environment gates remain open. Unpublished local candidate.</x:t>
        </x:is>
      </x:c>
      <x:c r="L23" s="143" t="n">
        <x:v>1</x:v>
      </x:c>
      <x:c r="M23" s="143" t="n">
        <x:f>IF(OR(H23="verified",AND(I23="no",H23="tested"),AND(H23="not applicable",K23&lt;&gt;"")),1,0)</x:f>
        <x:v>0</x:v>
      </x:c>
    </x:row>
    <x:row r="24" s="135" customFormat="1" ht="15" customHeight="1">
      <x:c r="A24" s="138" t="n"/>
      <x:c r="B24" s="138" t="n"/>
      <x:c r="C24" s="138" t="n"/>
      <x:c r="D24" s="138" t="n"/>
      <x:c r="E24" s="138" t="n"/>
      <x:c r="F24" s="138" t="n"/>
      <x:c r="G24" s="138" t="n"/>
      <x:c r="H24" s="138" t="n"/>
      <x:c r="I24" s="138" t="n"/>
      <x:c r="J24" s="138" t="n"/>
      <x:c r="K24" s="138" t="n"/>
      <x:c r="L24" s="138" t="n"/>
      <x:c r="M24" s="138" t="n"/>
    </x:row>
    <x:row r="25" s="135" customFormat="1" ht="15" customHeight="1">
      <x:c r="A25" s="138" t="n"/>
      <x:c r="B25" s="138" t="n"/>
      <x:c r="C25" s="138" t="n"/>
      <x:c r="D25" s="138" t="n"/>
      <x:c r="E25" s="138" t="n"/>
      <x:c r="F25" s="138" t="n"/>
      <x:c r="G25" s="138" t="n"/>
      <x:c r="H25" s="138" t="n"/>
      <x:c r="I25" s="138" t="n"/>
      <x:c r="J25" s="138" t="n"/>
      <x:c r="K25" s="138" t="n"/>
      <x:c r="L25" s="138" t="n"/>
      <x:c r="M25" s="138" t="n"/>
    </x:row>
    <x:row r="26" s="135" customFormat="1" ht="15" customHeight="1">
      <x:c r="A26" s="138" t="n"/>
      <x:c r="B26" s="138" t="n"/>
      <x:c r="C26" s="138" t="n"/>
      <x:c r="D26" s="138" t="n"/>
      <x:c r="E26" s="138" t="n"/>
      <x:c r="F26" s="138" t="n"/>
      <x:c r="G26" s="138" t="n"/>
      <x:c r="H26" s="138" t="n"/>
      <x:c r="I26" s="138" t="n"/>
      <x:c r="J26" s="138" t="n"/>
      <x:c r="K26" s="138" t="n"/>
      <x:c r="L26" s="138" t="n"/>
      <x:c r="M26" s="138" t="n"/>
    </x:row>
    <x:row r="27" s="135" customFormat="1" ht="15" customHeight="1">
      <x:c r="A27" s="138" t="n"/>
      <x:c r="B27" s="138" t="n"/>
      <x:c r="C27" s="138" t="n"/>
      <x:c r="D27" s="138" t="n"/>
      <x:c r="E27" s="138" t="n"/>
      <x:c r="F27" s="138" t="n"/>
      <x:c r="G27" s="138" t="n"/>
      <x:c r="H27" s="138" t="n"/>
      <x:c r="I27" s="138" t="n"/>
      <x:c r="J27" s="138" t="n"/>
      <x:c r="K27" s="138" t="n"/>
      <x:c r="L27" s="138" t="n"/>
      <x:c r="M27" s="138" t="n"/>
    </x:row>
    <x:row r="28" s="135" customFormat="1" ht="15" customHeight="1">
      <x:c r="A28" s="138" t="n"/>
      <x:c r="B28" s="138" t="n"/>
      <x:c r="C28" s="138" t="n"/>
      <x:c r="D28" s="138" t="n"/>
      <x:c r="E28" s="138" t="n"/>
      <x:c r="F28" s="138" t="n"/>
      <x:c r="G28" s="138" t="n"/>
      <x:c r="H28" s="138" t="n"/>
      <x:c r="I28" s="138" t="n"/>
      <x:c r="J28" s="138" t="n"/>
      <x:c r="K28" s="138" t="n"/>
      <x:c r="L28" s="138" t="n"/>
      <x:c r="M28" s="138" t="n"/>
    </x:row>
    <x:row r="29" s="135" customFormat="1" ht="15" customHeight="1">
      <x:c r="A29" s="138" t="n"/>
      <x:c r="B29" s="138" t="n"/>
      <x:c r="C29" s="138" t="n"/>
      <x:c r="D29" s="138" t="n"/>
      <x:c r="E29" s="138" t="n"/>
      <x:c r="F29" s="138" t="n"/>
      <x:c r="G29" s="138" t="n"/>
      <x:c r="H29" s="138" t="n"/>
      <x:c r="I29" s="138" t="n"/>
      <x:c r="J29" s="138" t="n"/>
      <x:c r="K29" s="138" t="n"/>
      <x:c r="L29" s="138" t="n"/>
      <x:c r="M29" s="138" t="n"/>
    </x:row>
    <x:row r="30" s="135" customFormat="1" ht="15" customHeight="1">
      <x:c r="A30" s="138" t="n"/>
      <x:c r="B30" s="138" t="n"/>
      <x:c r="C30" s="138" t="n"/>
      <x:c r="D30" s="138" t="n"/>
      <x:c r="E30" s="138" t="n"/>
      <x:c r="F30" s="138" t="n"/>
      <x:c r="G30" s="138" t="n"/>
      <x:c r="H30" s="138" t="n"/>
      <x:c r="I30" s="138" t="n"/>
      <x:c r="J30" s="138" t="n"/>
      <x:c r="K30" s="138" t="n"/>
      <x:c r="L30" s="138" t="n"/>
      <x:c r="M30" s="138" t="n"/>
    </x:row>
  </x:sheetData>
  <x:dataValidations count="2">
    <x:dataValidation type="list" errorStyle="stop" operator="between" allowBlank="0" showDropDown="0" showInputMessage="0" showErrorMessage="0" sqref="H9:H23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23">
      <x:formula1>"yes,no"</x:formula1>
      <x:formula2>0</x:formula2>
    </x:dataValidation>
  </x:dataValidations>
  <x:pageMargins left="0.7" right="0.7" top="0.75" bottom="0.75" header="0.3" footer="0.3"/>
</x:worksheet>
</file>

<file path=xl/worksheets/sheet120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baseColWidth="8" defaultColWidth="8.6796875" defaultRowHeight="15"/>
  <x:cols>
    <x:col min="1" max="2" width="18" style="138" customWidth="1"/>
    <x:col min="3" max="3" width="22" style="138" customWidth="1"/>
    <x:col min="4" max="4" width="65" style="138" customWidth="1"/>
    <x:col min="5" max="6" width="16" style="138" customWidth="1"/>
    <x:col min="7" max="7" width="65" style="138" customWidth="1"/>
    <x:col min="8" max="10" width="18" style="138" customWidth="1"/>
    <x:col min="11" max="11" width="55" style="138" customWidth="1"/>
    <x:col min="12" max="12" width="12" style="138" customWidth="1"/>
    <x:col min="13" max="13" width="14" style="138" customWidth="1"/>
  </x:cols>
  <x:sheetData>
    <x:row r="1" s="135" customFormat="1" ht="15" customHeight="1">
      <x:c r="A1" s="138" t="inlineStr">
        <x:is>
          <x:t xml:space="preserve">Spinner Evidence</x:t>
        </x:is>
      </x:c>
      <x:c r="B1" s="138" t="n"/>
      <x:c r="C1" s="138" t="n"/>
      <x:c r="D1" s="138" t="n"/>
      <x:c r="E1" s="138" t="n"/>
      <x:c r="F1" s="138" t="n"/>
      <x:c r="G1" s="138" t="n"/>
      <x:c r="H1" s="138" t="n"/>
      <x:c r="I1" s="138" t="n"/>
      <x:c r="J1" s="138" t="n"/>
      <x:c r="K1" s="138" t="n"/>
      <x:c r="L1" s="138" t="n"/>
      <x:c r="M1" s="138" t="n"/>
    </x:row>
    <x:row r="2" s="135" customFormat="1" ht="15" customHeight="1">
      <x:c r="A2" s="138" t="inlineStr">
        <x:is>
          <x:t xml:space="preserve">Component-specific implementation and qualification; human checks remain open.</x:t>
        </x:is>
      </x:c>
      <x:c r="B2" s="138" t="n"/>
      <x:c r="C2" s="138" t="n"/>
      <x:c r="D2" s="138" t="n"/>
      <x:c r="E2" s="138" t="n"/>
      <x:c r="F2" s="138" t="n"/>
      <x:c r="G2" s="138" t="n"/>
      <x:c r="H2" s="138" t="n"/>
      <x:c r="I2" s="138" t="n"/>
      <x:c r="J2" s="138" t="n"/>
      <x:c r="K2" s="138" t="n"/>
      <x:c r="L2" s="138" t="n"/>
      <x:c r="M2" s="138" t="n"/>
    </x:row>
    <x:row r="3" s="135" customFormat="1" ht="15" customHeight="1">
      <x:c r="A3" s="138" t="n"/>
      <x:c r="B3" s="138" t="n"/>
      <x:c r="C3" s="138" t="n"/>
      <x:c r="D3" s="138" t="n"/>
      <x:c r="E3" s="138" t="n"/>
      <x:c r="F3" s="138" t="n"/>
      <x:c r="G3" s="138" t="n"/>
      <x:c r="H3" s="138" t="n"/>
      <x:c r="I3" s="138" t="n"/>
      <x:c r="J3" s="138" t="n"/>
      <x:c r="K3" s="138" t="n"/>
      <x:c r="L3" s="138" t="n"/>
      <x:c r="M3" s="138" t="n"/>
    </x:row>
    <x:row r="4" s="135" customFormat="1" ht="15" customHeight="1">
      <x:c r="A4" s="138" t="inlineStr">
        <x:is>
          <x:t xml:space="preserve">Requirements</x:t>
        </x:is>
      </x:c>
      <x:c r="B4" s="138" t="n">
        <x:f>COUNTA(A9:A25)</x:f>
        <x:v>17</x:v>
      </x:c>
      <x:c r="C4" s="138" t="n"/>
      <x:c r="D4" s="138" t="inlineStr">
        <x:is>
          <x:t xml:space="preserve">Resolved</x:t>
        </x:is>
      </x:c>
      <x:c r="E4" s="138" t="n">
        <x:f>SUM(M9:M25)</x:f>
        <x:v>13</x:v>
      </x:c>
      <x:c r="F4" s="138" t="n"/>
      <x:c r="G4" s="138" t="inlineStr">
        <x:is>
          <x:t xml:space="preserve">Completion</x:t>
        </x:is>
      </x:c>
      <x:c r="H4" s="140" t="n">
        <x:f>IF(B4=0,0,E4/B4)</x:f>
        <x:v>0.7647058823529411</x:v>
      </x:c>
      <x:c r="I4" s="138" t="n"/>
      <x:c r="J4" s="138" t="inlineStr">
        <x:is>
          <x:t xml:space="preserve">Package gate</x:t>
        </x:is>
      </x:c>
      <x:c r="K4" s="138" t="str">
        <x:f>IF(COUNTIFS(E9:E25,"package",M9:M25,0)&gt;0,"open","complete")</x:f>
        <x:v>open</x:v>
      </x:c>
      <x:c r="L4" s="138" t="n"/>
      <x:c r="M4" s="138" t="n"/>
    </x:row>
    <x:row r="5" s="135" customFormat="1" ht="15" customHeight="1">
      <x:c r="A5" s="138" t="inlineStr">
        <x:is>
          <x:t xml:space="preserve">Manual review</x:t>
        </x:is>
      </x:c>
      <x:c r="B5" s="138" t="str">
        <x:f>IF(COUNTIFS(I9:I25,"yes",M9:M25,0)&gt;0,"open","complete")</x:f>
        <x:v>open</x:v>
      </x:c>
      <x:c r="C5" s="138" t="n"/>
      <x:c r="D5" s="138" t="inlineStr">
        <x:is>
          <x:t xml:space="preserve">Consumer gate</x:t>
        </x:is>
      </x:c>
      <x:c r="E5" s="138" t="str">
        <x:f>IF(COUNTIFS(E9:E25,"consumer",M9:M25,0)&gt;0,"open","complete")</x:f>
        <x:v>complete</x:v>
      </x:c>
      <x:c r="F5" s="138" t="n"/>
      <x:c r="G5" s="138" t="n"/>
      <x:c r="H5" s="138" t="n"/>
      <x:c r="I5" s="138" t="n"/>
      <x:c r="J5" s="138" t="n"/>
      <x:c r="K5" s="138" t="n"/>
      <x:c r="L5" s="138" t="n"/>
      <x:c r="M5" s="138" t="n"/>
    </x:row>
    <x:row r="6" s="135" customFormat="1" ht="15" customHeight="1">
      <x:c r="A6" s="138" t="n"/>
      <x:c r="B6" s="138" t="n"/>
      <x:c r="C6" s="138" t="n"/>
      <x:c r="D6" s="138" t="n"/>
      <x:c r="E6" s="138" t="n"/>
      <x:c r="F6" s="138" t="n"/>
      <x:c r="G6" s="138" t="n"/>
      <x:c r="H6" s="138" t="n"/>
      <x:c r="I6" s="138" t="n"/>
      <x:c r="J6" s="138" t="n"/>
      <x:c r="K6" s="138" t="n"/>
      <x:c r="L6" s="138" t="n"/>
      <x:c r="M6" s="138" t="n"/>
    </x:row>
    <x:row r="7" s="135" customFormat="1" ht="15" customHeight="1">
      <x:c r="A7" s="138" t="n"/>
      <x:c r="B7" s="138" t="n"/>
      <x:c r="C7" s="138" t="n"/>
      <x:c r="D7" s="138" t="n"/>
      <x:c r="E7" s="138" t="n"/>
      <x:c r="F7" s="138" t="n"/>
      <x:c r="G7" s="138" t="n"/>
      <x:c r="H7" s="138" t="n"/>
      <x:c r="I7" s="138" t="n"/>
      <x:c r="J7" s="138" t="n"/>
      <x:c r="K7" s="138" t="n"/>
      <x:c r="L7" s="138" t="n"/>
      <x:c r="M7" s="138" t="n"/>
    </x:row>
    <x:row r="8" s="135" customFormat="1" ht="15" customHeight="1">
      <x:c r="A8" s="138" t="inlineStr">
        <x:is>
          <x:t xml:space="preserve">ID</x:t>
        </x:is>
      </x:c>
      <x:c r="B8" s="138" t="inlineStr">
        <x:is>
          <x:t xml:space="preserve">Area</x:t>
        </x:is>
      </x:c>
      <x:c r="C8" s="138" t="inlineStr">
        <x:is>
          <x:t xml:space="preserve">Part</x:t>
        </x:is>
      </x:c>
      <x:c r="D8" s="138" t="inlineStr">
        <x:is>
          <x:t xml:space="preserve">Requirement</x:t>
        </x:is>
      </x:c>
      <x:c r="E8" s="138" t="inlineStr">
        <x:is>
          <x:t xml:space="preserve">Gate</x:t>
        </x:is>
      </x:c>
      <x:c r="F8" s="138" t="inlineStr">
        <x:is>
          <x:t xml:space="preserve">Evidence type</x:t>
        </x:is>
      </x:c>
      <x:c r="G8" s="138" t="inlineStr">
        <x:is>
          <x:t xml:space="preserve">Evidence / link</x:t>
        </x:is>
      </x:c>
      <x:c r="H8" s="138" t="inlineStr">
        <x:is>
          <x:t xml:space="preserve">Status</x:t>
        </x:is>
      </x:c>
      <x:c r="I8" s="138" t="inlineStr">
        <x:is>
          <x:t xml:space="preserve">Human review?</x:t>
        </x:is>
      </x:c>
      <x:c r="J8" s="138" t="inlineStr">
        <x:is>
          <x:t xml:space="preserve">Last verified</x:t>
        </x:is>
      </x:c>
      <x:c r="K8" s="138" t="inlineStr">
        <x:is>
          <x:t xml:space="preserve">Blocker / N/A reason</x:t>
        </x:is>
      </x:c>
      <x:c r="L8" s="138" t="inlineStr">
        <x:is>
          <x:t xml:space="preserve">Weight</x:t>
        </x:is>
      </x:c>
      <x:c r="M8" s="138" t="inlineStr">
        <x:is>
          <x:t xml:space="preserve">Resolved</x:t>
        </x:is>
      </x:c>
    </x:row>
    <x:row r="9" s="135" customFormat="1" ht="48" customHeight="1">
      <x:c r="A9" s="143" t="inlineStr">
        <x:is>
          <x:t xml:space="preserve">spinner-01</x:t>
        </x:is>
      </x:c>
      <x:c r="B9" s="143" t="inlineStr">
        <x:is>
          <x:t xml:space="preserve">Source</x:t>
        </x:is>
      </x:c>
      <x:c r="C9" s="143" t="inlineStr">
        <x:is>
          <x:t xml:space="preserve">Parts</x:t>
        </x:is>
      </x:c>
      <x:c r="D9" s="143" t="inlineStr">
        <x:is>
          <x:t xml:space="preserve">Default span and projected SVG preserve refs, names, classes and styles without recipe leakage.</x:t>
        </x:is>
      </x:c>
      <x:c r="E9" s="143" t="inlineStr">
        <x:is>
          <x:t xml:space="preserve">package</x:t>
        </x:is>
      </x:c>
      <x:c r="F9" s="143" t="inlineStr">
        <x:is>
          <x:t xml:space="preserve">component</x:t>
        </x:is>
      </x:c>
      <x:c r="G9" s="143" t="inlineStr">
        <x:is>
          <x:t xml:space="preserve">../test/components/spinner/spinner.test.tsx</x:t>
        </x:is>
      </x:c>
      <x:c r="H9" s="143" t="inlineStr">
        <x:is>
          <x:t xml:space="preserve">tested</x:t>
        </x:is>
      </x:c>
      <x:c r="I9" s="143" t="inlineStr">
        <x:is>
          <x:t xml:space="preserve">no</x:t>
        </x:is>
      </x:c>
      <x:c r="J9" s="143" t="n"/>
      <x:c r="K9" s="143" t="n"/>
      <x:c r="L9" s="143" t="n">
        <x:v>1</x:v>
      </x:c>
      <x:c r="M9" s="143" t="n">
        <x:f>IF(OR(AND(I9="yes",H9="verified"),AND(I9="no",OR(H9="tested",H9="verified")),AND(H9="not applicable",K9&lt;&gt;"")),1,0)</x:f>
        <x:v>1</x:v>
      </x:c>
    </x:row>
    <x:row r="10" s="135" customFormat="1" ht="48" customHeight="1">
      <x:c r="A10" s="143" t="inlineStr">
        <x:is>
          <x:t xml:space="preserve">spinner-02</x:t>
        </x:is>
      </x:c>
      <x:c r="B10" s="143" t="inlineStr">
        <x:is>
          <x:t xml:space="preserve">Types</x:t>
        </x:is>
      </x:c>
      <x:c r="C10" s="143" t="inlineStr">
        <x:is>
          <x:t xml:space="preserve">Public API</x:t>
        </x:is>
      </x:c>
      <x:c r="D10" s="143" t="inlineStr">
        <x:is>
          <x:t xml:space="preserve">Scalar and sparse responsive sizes plus passive asChild artwork compile; tab stops and missing projected children fail.</x:t>
        </x:is>
      </x:c>
      <x:c r="E10" s="143" t="inlineStr">
        <x:is>
          <x:t xml:space="preserve">package</x:t>
        </x:is>
      </x:c>
      <x:c r="F10" s="143" t="inlineStr">
        <x:is>
          <x:t xml:space="preserve">types</x:t>
        </x:is>
      </x:c>
      <x:c r="G10" s="143" t="inlineStr">
        <x:is>
          <x:t xml:space="preserve">../test/types/components/spinner.test.ts</x:t>
        </x:is>
      </x:c>
      <x:c r="H10" s="143" t="inlineStr">
        <x:is>
          <x:t xml:space="preserve">tested</x:t>
        </x:is>
      </x:c>
      <x:c r="I10" s="143" t="inlineStr">
        <x:is>
          <x:t xml:space="preserve">no</x:t>
        </x:is>
      </x:c>
      <x:c r="J10" s="143" t="n"/>
      <x:c r="K10" s="143" t="n"/>
      <x:c r="L10" s="143" t="n">
        <x:v>1</x:v>
      </x:c>
      <x:c r="M10" s="143" t="n">
        <x:f>IF(OR(AND(I10="yes",H10="verified"),AND(I10="no",OR(H10="tested",H10="verified")),AND(H10="not applicable",K10&lt;&gt;"")),1,0)</x:f>
        <x:v>1</x:v>
      </x:c>
    </x:row>
    <x:row r="11" s="135" customFormat="1" ht="48" customHeight="1">
      <x:c r="A11" s="143" t="inlineStr">
        <x:is>
          <x:t xml:space="preserve">spinner-03</x:t>
        </x:is>
      </x:c>
      <x:c r="B11" s="143" t="inlineStr">
        <x:is>
          <x:t xml:space="preserve">Geometry</x:t>
        </x:is>
      </x:c>
      <x:c r="C11" s="143" t="inlineStr">
        <x:is>
          <x:t xml:space="preserve">Sizes</x:t>
        </x:is>
      </x:c>
      <x:c r="D11" s="143" t="inlineStr">
        <x:is>
          <x:t xml:space="preserve">Each size matches the source-derived coordinated metrics.</x:t>
        </x:is>
      </x:c>
      <x:c r="E11" s="143" t="inlineStr">
        <x:is>
          <x:t xml:space="preserve">package</x:t>
        </x:is>
      </x:c>
      <x:c r="F11" s="143" t="inlineStr">
        <x:is>
          <x:t xml:space="preserve">browser</x:t>
        </x:is>
      </x:c>
      <x:c r="G11" s="143" t="inlineStr">
        <x:is>
          <x:t xml:space="preserve">tests/components/spinner/behavior.spec.ts</x:t>
        </x:is>
      </x:c>
      <x:c r="H11" s="143" t="inlineStr">
        <x:is>
          <x:t xml:space="preserve">tested</x:t>
        </x:is>
      </x:c>
      <x:c r="I11" s="143" t="inlineStr">
        <x:is>
          <x:t xml:space="preserve">no</x:t>
        </x:is>
      </x:c>
      <x:c r="J11" s="143" t="n"/>
      <x:c r="K11" s="143" t="n"/>
      <x:c r="L11" s="143" t="n">
        <x:v>1</x:v>
      </x:c>
      <x:c r="M11" s="143" t="n">
        <x:f>IF(OR(AND(I11="yes",H11="verified"),AND(I11="no",OR(H11="tested",H11="verified")),AND(H11="not applicable",K11&lt;&gt;"")),1,0)</x:f>
        <x:v>1</x:v>
      </x:c>
    </x:row>
    <x:row r="12" s="135" customFormat="1" ht="48" customHeight="1">
      <x:c r="A12" s="143" t="inlineStr">
        <x:is>
          <x:t xml:space="preserve">spinner-04</x:t>
        </x:is>
      </x:c>
      <x:c r="B12" s="143" t="inlineStr">
        <x:is>
          <x:t xml:space="preserve">Semantics</x:t>
        </x:is>
      </x:c>
      <x:c r="C12" s="143" t="inlineStr">
        <x:is>
          <x:t xml:space="preserve">Accessible output</x:t>
        </x:is>
      </x:c>
      <x:c r="D12" s="143" t="inlineStr">
        <x:is>
          <x:t xml:space="preserve">The component has no implicit duplicate live announcement.</x:t>
        </x:is>
      </x:c>
      <x:c r="E12" s="143" t="inlineStr">
        <x:is>
          <x:t xml:space="preserve">package</x:t>
        </x:is>
      </x:c>
      <x:c r="F12" s="143" t="inlineStr">
        <x:is>
          <x:t xml:space="preserve">component</x:t>
        </x:is>
      </x:c>
      <x:c r="G12" s="143" t="inlineStr">
        <x:is>
          <x:t xml:space="preserve">../test/components/spinner/spinner.test.tsx</x:t>
        </x:is>
      </x:c>
      <x:c r="H12" s="143" t="inlineStr">
        <x:is>
          <x:t xml:space="preserve">tested</x:t>
        </x:is>
      </x:c>
      <x:c r="I12" s="143" t="inlineStr">
        <x:is>
          <x:t xml:space="preserve">no</x:t>
        </x:is>
      </x:c>
      <x:c r="J12" s="143" t="n"/>
      <x:c r="K12" s="143" t="n"/>
      <x:c r="L12" s="143" t="n">
        <x:v>1</x:v>
      </x:c>
      <x:c r="M12" s="143" t="n">
        <x:f>IF(OR(AND(I12="yes",H12="verified"),AND(I12="no",OR(H12="tested",H12="verified")),AND(H12="not applicable",K12&lt;&gt;"")),1,0)</x:f>
        <x:v>1</x:v>
      </x:c>
    </x:row>
    <x:row r="13" s="135" customFormat="1" ht="48" customHeight="1">
      <x:c r="A13" s="143" t="inlineStr">
        <x:is>
          <x:t xml:space="preserve">spinner-05</x:t>
        </x:is>
      </x:c>
      <x:c r="B13" s="143" t="inlineStr">
        <x:is>
          <x:t xml:space="preserve">Recipes</x:t>
        </x:is>
      </x:c>
      <x:c r="C13" s="143" t="inlineStr">
        <x:is>
          <x:t xml:space="preserve">Theme</x:t>
        </x:is>
      </x:c>
      <x:c r="D13" s="143" t="inlineStr">
        <x:is>
          <x:t xml:space="preserve">Semantic recipes remain legible in light and dark.</x:t>
        </x:is>
      </x:c>
      <x:c r="E13" s="143" t="inlineStr">
        <x:is>
          <x:t xml:space="preserve">package</x:t>
        </x:is>
      </x:c>
      <x:c r="F13" s="143" t="inlineStr">
        <x:is>
          <x:t xml:space="preserve">visual</x:t>
        </x:is>
      </x:c>
      <x:c r="G13" s="143" t="inlineStr">
        <x:is>
          <x:t xml:space="preserve">tests/components/spinner/visual.spec.ts</x:t>
        </x:is>
      </x:c>
      <x:c r="H13" s="143" t="inlineStr">
        <x:is>
          <x:t xml:space="preserve">implemented</x:t>
        </x:is>
      </x:c>
      <x:c r="I13" s="143" t="inlineStr">
        <x:is>
          <x:t xml:space="preserve">yes</x:t>
        </x:is>
      </x:c>
      <x:c r="J13" s="143" t="n"/>
      <x:c r="K13" s="143" t="inlineStr">
        <x:is>
          <x:t xml:space="preserve">Human qualification remains unperformed.</x:t>
        </x:is>
      </x:c>
      <x:c r="L13" s="143" t="n">
        <x:v>1</x:v>
      </x:c>
      <x:c r="M13" s="143" t="n">
        <x:f>IF(OR(AND(I13="yes",H13="verified"),AND(I13="no",OR(H13="tested",H13="verified")),AND(H13="not applicable",K13&lt;&gt;"")),1,0)</x:f>
        <x:v>0</x:v>
      </x:c>
    </x:row>
    <x:row r="14" s="135" customFormat="1" ht="48" customHeight="1">
      <x:c r="A14" s="143" t="inlineStr">
        <x:is>
          <x:t xml:space="preserve">spinner-06</x:t>
        </x:is>
      </x:c>
      <x:c r="B14" s="143" t="inlineStr">
        <x:is>
          <x:t xml:space="preserve">Responsive</x:t>
        </x:is>
      </x:c>
      <x:c r="C14" s="143" t="inlineStr">
        <x:is>
          <x:t xml:space="preserve">Containment</x:t>
        </x:is>
      </x:c>
      <x:c r="D14" s="143" t="inlineStr">
        <x:is>
          <x:t xml:space="preserve">Responsive and inherited diameters, logical RTL arc and contained overlay geometry pass browser assertions.</x:t>
        </x:is>
      </x:c>
      <x:c r="E14" s="143" t="inlineStr">
        <x:is>
          <x:t xml:space="preserve">package</x:t>
        </x:is>
      </x:c>
      <x:c r="F14" s="143" t="inlineStr">
        <x:is>
          <x:t xml:space="preserve">browser</x:t>
        </x:is>
      </x:c>
      <x:c r="G14" s="143" t="inlineStr">
        <x:is>
          <x:t xml:space="preserve">tests/components/spinner/parity.spec.ts; tests/components/spinner/behavior.spec.ts</x:t>
        </x:is>
      </x:c>
      <x:c r="H14" s="143" t="inlineStr">
        <x:is>
          <x:t xml:space="preserve">tested</x:t>
        </x:is>
      </x:c>
      <x:c r="I14" s="143" t="inlineStr">
        <x:is>
          <x:t xml:space="preserve">no</x:t>
        </x:is>
      </x:c>
      <x:c r="J14" s="143" t="n"/>
      <x:c r="K14" s="143" t="n"/>
      <x:c r="L14" s="143" t="n">
        <x:v>1</x:v>
      </x:c>
      <x:c r="M14" s="143" t="n">
        <x:f>IF(OR(AND(I14="yes",H14="verified"),AND(I14="no",OR(H14="tested",H14="verified")),AND(H14="not applicable",K14&lt;&gt;"")),1,0)</x:f>
        <x:v>1</x:v>
      </x:c>
    </x:row>
    <x:row r="15" s="135" customFormat="1" ht="48" customHeight="1">
      <x:c r="A15" s="143" t="inlineStr">
        <x:is>
          <x:t xml:space="preserve">spinner-07</x:t>
        </x:is>
      </x:c>
      <x:c r="B15" s="143" t="inlineStr">
        <x:is>
          <x:t xml:space="preserve">Accessibility</x:t>
        </x:is>
      </x:c>
      <x:c r="C15" s="143" t="inlineStr">
        <x:is>
          <x:t xml:space="preserve">Scan</x:t>
        </x:is>
      </x:c>
      <x:c r="D15" s="143" t="inlineStr">
        <x:is>
          <x:t xml:space="preserve">Component page has no axe violations.</x:t>
        </x:is>
      </x:c>
      <x:c r="E15" s="143" t="inlineStr">
        <x:is>
          <x:t xml:space="preserve">package</x:t>
        </x:is>
      </x:c>
      <x:c r="F15" s="143" t="inlineStr">
        <x:is>
          <x:t xml:space="preserve">axe</x:t>
        </x:is>
      </x:c>
      <x:c r="G15" s="143" t="inlineStr">
        <x:is>
          <x:t xml:space="preserve">tests/components/spinner/behavior.spec.ts</x:t>
        </x:is>
      </x:c>
      <x:c r="H15" s="143" t="inlineStr">
        <x:is>
          <x:t xml:space="preserve">tested</x:t>
        </x:is>
      </x:c>
      <x:c r="I15" s="143" t="inlineStr">
        <x:is>
          <x:t xml:space="preserve">no</x:t>
        </x:is>
      </x:c>
      <x:c r="J15" s="143" t="n"/>
      <x:c r="K15" s="143" t="n"/>
      <x:c r="L15" s="143" t="n">
        <x:v>1</x:v>
      </x:c>
      <x:c r="M15" s="143" t="n">
        <x:f>IF(OR(AND(I15="yes",H15="verified"),AND(I15="no",OR(H15="tested",H15="verified")),AND(H15="not applicable",K15&lt;&gt;"")),1,0)</x:f>
        <x:v>1</x:v>
      </x:c>
    </x:row>
    <x:row r="16" s="135" customFormat="1" ht="48" customHeight="1">
      <x:c r="A16" s="143" t="inlineStr">
        <x:is>
          <x:t xml:space="preserve">spinner-08</x:t>
        </x:is>
      </x:c>
      <x:c r="B16" s="143" t="inlineStr">
        <x:is>
          <x:t xml:space="preserve">Preferences</x:t>
        </x:is>
      </x:c>
      <x:c r="C16" s="143" t="inlineStr">
        <x:is>
          <x:t xml:space="preserve">System colors</x:t>
        </x:is>
      </x:c>
      <x:c r="D16" s="143" t="inlineStr">
        <x:is>
          <x:t xml:space="preserve">Forced colors preserve visible content and reduced-motion policy.</x:t>
        </x:is>
      </x:c>
      <x:c r="E16" s="143" t="inlineStr">
        <x:is>
          <x:t xml:space="preserve">package</x:t>
        </x:is>
      </x:c>
      <x:c r="F16" s="143" t="inlineStr">
        <x:is>
          <x:t xml:space="preserve">browser</x:t>
        </x:is>
      </x:c>
      <x:c r="G16" s="143" t="inlineStr">
        <x:is>
          <x:t xml:space="preserve">tests/components/spinner/behavior.spec.ts</x:t>
        </x:is>
      </x:c>
      <x:c r="H16" s="143" t="inlineStr">
        <x:is>
          <x:t xml:space="preserve">tested</x:t>
        </x:is>
      </x:c>
      <x:c r="I16" s="143" t="inlineStr">
        <x:is>
          <x:t xml:space="preserve">no</x:t>
        </x:is>
      </x:c>
      <x:c r="J16" s="143" t="n"/>
      <x:c r="K16" s="143" t="n"/>
      <x:c r="L16" s="143" t="n">
        <x:v>1</x:v>
      </x:c>
      <x:c r="M16" s="143" t="n">
        <x:f>IF(OR(AND(I16="yes",H16="verified"),AND(I16="no",OR(H16="tested",H16="verified")),AND(H16="not applicable",K16&lt;&gt;"")),1,0)</x:f>
        <x:v>1</x:v>
      </x:c>
    </x:row>
    <x:row r="17" s="135" customFormat="1" ht="48" customHeight="1">
      <x:c r="A17" s="143" t="inlineStr">
        <x:is>
          <x:t xml:space="preserve">spinner-09</x:t>
        </x:is>
      </x:c>
      <x:c r="B17" s="143" t="inlineStr">
        <x:is>
          <x:t xml:space="preserve">Playground</x:t>
        </x:is>
      </x:c>
      <x:c r="C17" s="143" t="inlineStr">
        <x:is>
          <x:t xml:space="preserve">Scenarios</x:t>
        </x:is>
      </x:c>
      <x:c r="D17" s="143" t="inlineStr">
        <x:is>
          <x:t xml:space="preserve">Twelve focused docs examples plus basic preview and sixteen preserved qualification scenarios.</x:t>
        </x:is>
      </x:c>
      <x:c r="E17" s="143" t="inlineStr">
        <x:is>
          <x:t xml:space="preserve">package</x:t>
        </x:is>
      </x:c>
      <x:c r="F17" s="143" t="inlineStr">
        <x:is>
          <x:t xml:space="preserve">browser</x:t>
        </x:is>
      </x:c>
      <x:c r="G17" s="143" t="inlineStr">
        <x:is>
          <x:t xml:space="preserve">tests/components/spinner/parity.spec.ts; tests/integration/recent-component-capabilities.spec.ts</x:t>
        </x:is>
      </x:c>
      <x:c r="H17" s="143" t="inlineStr">
        <x:is>
          <x:t xml:space="preserve">tested</x:t>
        </x:is>
      </x:c>
      <x:c r="I17" s="143" t="inlineStr">
        <x:is>
          <x:t xml:space="preserve">no</x:t>
        </x:is>
      </x:c>
      <x:c r="J17" s="143" t="n"/>
      <x:c r="K17" s="143" t="inlineStr">
        <x:is>
          <x:t xml:space="preserve">Automated qualification passed; see private feedback implementation evidence.</x:t>
        </x:is>
      </x:c>
      <x:c r="L17" s="143" t="n">
        <x:v>1</x:v>
      </x:c>
      <x:c r="M17" s="143" t="n">
        <x:f>IF(OR(AND(I17="yes",H17="verified"),AND(I17="no",OR(H17="tested",H17="verified")),AND(H17="not applicable",K17&lt;&gt;"")),1,0)</x:f>
        <x:v>1</x:v>
      </x:c>
    </x:row>
    <x:row r="18" s="135" customFormat="1" ht="48" customHeight="1">
      <x:c r="A18" s="143" t="inlineStr">
        <x:is>
          <x:t xml:space="preserve">spinner-10</x:t>
        </x:is>
      </x:c>
      <x:c r="B18" s="143" t="inlineStr">
        <x:is>
          <x:t xml:space="preserve">Docs</x:t>
        </x:is>
      </x:c>
      <x:c r="C18" s="143" t="inlineStr">
        <x:is>
          <x:t xml:space="preserve">Public guide</x:t>
        </x:is>
      </x:c>
      <x:c r="D18" s="143" t="inlineStr">
        <x:is>
          <x:t xml:space="preserve">Source-backed documentation and changelog validation pass.</x:t>
        </x:is>
      </x:c>
      <x:c r="E18" s="143" t="inlineStr">
        <x:is>
          <x:t xml:space="preserve">package</x:t>
        </x:is>
      </x:c>
      <x:c r="F18" s="143" t="inlineStr">
        <x:is>
          <x:t xml:space="preserve">docs</x:t>
        </x:is>
      </x:c>
      <x:c r="G18" s="143" t="inlineStr">
        <x:is>
          <x:t xml:space="preserve">../docs/components/spinner/README.md</x:t>
        </x:is>
      </x:c>
      <x:c r="H18" s="143" t="inlineStr">
        <x:is>
          <x:t xml:space="preserve">tested</x:t>
        </x:is>
      </x:c>
      <x:c r="I18" s="143" t="inlineStr">
        <x:is>
          <x:t xml:space="preserve">no</x:t>
        </x:is>
      </x:c>
      <x:c r="J18" s="143" t="n"/>
      <x:c r="K18" s="143" t="n"/>
      <x:c r="L18" s="143" t="n">
        <x:v>1</x:v>
      </x:c>
      <x:c r="M18" s="143" t="n">
        <x:f>IF(OR(AND(I18="yes",H18="verified"),AND(I18="no",OR(H18="tested",H18="verified")),AND(H18="not applicable",K18&lt;&gt;"")),1,0)</x:f>
        <x:v>1</x:v>
      </x:c>
    </x:row>
    <x:row r="19" s="135" customFormat="1" ht="48" customHeight="1">
      <x:c r="A19" s="143" t="inlineStr">
        <x:is>
          <x:t xml:space="preserve">spinner-11</x:t>
        </x:is>
      </x:c>
      <x:c r="B19" s="143" t="inlineStr">
        <x:is>
          <x:t xml:space="preserve">Knowledge</x:t>
        </x:is>
      </x:c>
      <x:c r="C19" s="143" t="inlineStr">
        <x:is>
          <x:t xml:space="preserve">Agent guidance</x:t>
        </x:is>
      </x:c>
      <x:c r="D19" s="143" t="inlineStr">
        <x:is>
          <x:t xml:space="preserve">Canonical guidance describes responsive size, passive projection and closed component coverage.</x:t>
        </x:is>
      </x:c>
      <x:c r="E19" s="143" t="inlineStr">
        <x:is>
          <x:t xml:space="preserve">package</x:t>
        </x:is>
      </x:c>
      <x:c r="F19" s="143" t="inlineStr">
        <x:is>
          <x:t xml:space="preserve">package</x:t>
        </x:is>
      </x:c>
      <x:c r="G19" s="143" t="inlineStr">
        <x:is>
          <x:t xml:space="preserve">../src/components/spinner/agent.json</x:t>
        </x:is>
      </x:c>
      <x:c r="H19" s="143" t="inlineStr">
        <x:is>
          <x:t xml:space="preserve">tested</x:t>
        </x:is>
      </x:c>
      <x:c r="I19" s="143" t="inlineStr">
        <x:is>
          <x:t xml:space="preserve">no</x:t>
        </x:is>
      </x:c>
      <x:c r="J19" s="143" t="n"/>
      <x:c r="K19" s="143" t="inlineStr">
        <x:is>
          <x:t xml:space="preserve">Automated qualification passed; see private feedback implementation evidence.</x:t>
        </x:is>
      </x:c>
      <x:c r="L19" s="143" t="n">
        <x:v>1</x:v>
      </x:c>
      <x:c r="M19" s="143" t="n">
        <x:f>IF(OR(AND(I19="yes",H19="verified"),AND(I19="no",OR(H19="tested",H19="verified")),AND(H19="not applicable",K19&lt;&gt;"")),1,0)</x:f>
        <x:v>1</x:v>
      </x:c>
    </x:row>
    <x:row r="20" s="135" customFormat="1" ht="48" customHeight="1">
      <x:c r="A20" s="143" t="inlineStr">
        <x:is>
          <x:t xml:space="preserve">spinner-12</x:t>
        </x:is>
      </x:c>
      <x:c r="B20" s="143" t="inlineStr">
        <x:is>
          <x:t xml:space="preserve">Consumer</x:t>
        </x:is>
      </x:c>
      <x:c r="C20" s="143" t="inlineStr">
        <x:is>
          <x:t xml:space="preserve">Integration</x:t>
        </x:is>
      </x:c>
      <x:c r="D20" s="143" t="inlineStr">
        <x:is>
          <x:t xml:space="preserve">Packed search flow uses loading, empty content and error recovery.</x:t>
        </x:is>
      </x:c>
      <x:c r="E20" s="143" t="inlineStr">
        <x:is>
          <x:t xml:space="preserve">consumer</x:t>
        </x:is>
      </x:c>
      <x:c r="F20" s="143" t="inlineStr">
        <x:is>
          <x:t xml:space="preserve">consumer</x:t>
        </x:is>
      </x:c>
      <x:c r="G20" s="143" t="inlineStr">
        <x:is>
          <x:t xml:space="preserve">../apps/consumer/tests/feedback.spec.ts</x:t>
        </x:is>
      </x:c>
      <x:c r="H20" s="143" t="inlineStr">
        <x:is>
          <x:t xml:space="preserve">tested</x:t>
        </x:is>
      </x:c>
      <x:c r="I20" s="143" t="inlineStr">
        <x:is>
          <x:t xml:space="preserve">no</x:t>
        </x:is>
      </x:c>
      <x:c r="J20" s="143" t="n"/>
      <x:c r="K20" s="143" t="inlineStr">
        <x:is>
          <x:t xml:space="preserve">Automated qualification passed; see private feedback implementation evidence.</x:t>
        </x:is>
      </x:c>
      <x:c r="L20" s="143" t="n">
        <x:v>1</x:v>
      </x:c>
      <x:c r="M20" s="143" t="n">
        <x:f>IF(OR(AND(I20="yes",H20="verified"),AND(I20="no",OR(H20="tested",H20="verified")),AND(H20="not applicable",K20&lt;&gt;"")),1,0)</x:f>
        <x:v>1</x:v>
      </x:c>
    </x:row>
    <x:row r="21" s="135" customFormat="1" ht="48" customHeight="1">
      <x:c r="A21" s="143" t="inlineStr">
        <x:is>
          <x:t xml:space="preserve">spinner-13</x:t>
        </x:is>
      </x:c>
      <x:c r="B21" s="143" t="inlineStr">
        <x:is>
          <x:t xml:space="preserve">Package</x:t>
        </x:is>
      </x:c>
      <x:c r="C21" s="143" t="inlineStr">
        <x:is>
          <x:t xml:space="preserve">Archive</x:t>
        </x:is>
      </x:c>
      <x:c r="D21" s="143" t="inlineStr">
        <x:is>
          <x:t xml:space="preserve">Archive imports and modular CSS pass in clean React consumers.</x:t>
        </x:is>
      </x:c>
      <x:c r="E21" s="143" t="inlineStr">
        <x:is>
          <x:t xml:space="preserve">package</x:t>
        </x:is>
      </x:c>
      <x:c r="F21" s="143" t="inlineStr">
        <x:is>
          <x:t xml:space="preserve">package</x:t>
        </x:is>
      </x:c>
      <x:c r="G21" s="143" t="inlineStr">
        <x:is>
          <x:t xml:space="preserve">../scripts/verify-package.mjs</x:t>
        </x:is>
      </x:c>
      <x:c r="H21" s="143" t="inlineStr">
        <x:is>
          <x:t xml:space="preserve">tested</x:t>
        </x:is>
      </x:c>
      <x:c r="I21" s="143" t="inlineStr">
        <x:is>
          <x:t xml:space="preserve">no</x:t>
        </x:is>
      </x:c>
      <x:c r="J21" s="143" t="n"/>
      <x:c r="K21" s="143" t="inlineStr">
        <x:is>
          <x:t xml:space="preserve">Automated qualification passed; see private feedback implementation evidence.</x:t>
        </x:is>
      </x:c>
      <x:c r="L21" s="143" t="n">
        <x:v>1</x:v>
      </x:c>
      <x:c r="M21" s="143" t="n">
        <x:f>IF(OR(AND(I21="yes",H21="verified"),AND(I21="no",OR(H21="tested",H21="verified")),AND(H21="not applicable",K21&lt;&gt;"")),1,0)</x:f>
        <x:v>1</x:v>
      </x:c>
    </x:row>
    <x:row r="22" s="135" customFormat="1" ht="48" customHeight="1">
      <x:c r="A22" s="143" t="inlineStr">
        <x:is>
          <x:t xml:space="preserve">spinner-14</x:t>
        </x:is>
      </x:c>
      <x:c r="B22" s="143" t="inlineStr">
        <x:is>
          <x:t xml:space="preserve">Manual</x:t>
        </x:is>
      </x:c>
      <x:c r="C22" s="143" t="inlineStr">
        <x:is>
          <x:t xml:space="preserve">Screen reader</x:t>
        </x:is>
      </x:c>
      <x:c r="D22" s="143" t="inlineStr">
        <x:is>
          <x:t xml:space="preserve">Real assistive technology confirms names and announcement policy.</x:t>
        </x:is>
      </x:c>
      <x:c r="E22" s="143" t="inlineStr">
        <x:is>
          <x:t xml:space="preserve">package</x:t>
        </x:is>
      </x:c>
      <x:c r="F22" s="143" t="inlineStr">
        <x:is>
          <x:t xml:space="preserve">manual</x:t>
        </x:is>
      </x:c>
      <x:c r="G22" s="143" t="inlineStr">
        <x:is>
          <x:t xml:space="preserve">manual-tests/spinner.md</x:t>
        </x:is>
      </x:c>
      <x:c r="H22" s="143" t="inlineStr">
        <x:is>
          <x:t xml:space="preserve">implemented</x:t>
        </x:is>
      </x:c>
      <x:c r="I22" s="143" t="inlineStr">
        <x:is>
          <x:t xml:space="preserve">yes</x:t>
        </x:is>
      </x:c>
      <x:c r="J22" s="143" t="n"/>
      <x:c r="K22" s="143" t="inlineStr">
        <x:is>
          <x:t xml:space="preserve">Human qualification remains unperformed.</x:t>
        </x:is>
      </x:c>
      <x:c r="L22" s="143" t="n">
        <x:v>1</x:v>
      </x:c>
      <x:c r="M22" s="143" t="n">
        <x:f>IF(OR(AND(I22="yes",H22="verified"),AND(I22="no",OR(H22="tested",H22="verified")),AND(H22="not applicable",K22&lt;&gt;"")),1,0)</x:f>
        <x:v>0</x:v>
      </x:c>
    </x:row>
    <x:row r="23" s="135" customFormat="1" ht="48" customHeight="1">
      <x:c r="A23" s="143" t="inlineStr">
        <x:is>
          <x:t xml:space="preserve">spinner-15</x:t>
        </x:is>
      </x:c>
      <x:c r="B23" s="143" t="inlineStr">
        <x:is>
          <x:t xml:space="preserve">Manual</x:t>
        </x:is>
      </x:c>
      <x:c r="C23" s="143" t="inlineStr">
        <x:is>
          <x:t xml:space="preserve">Zoom and device</x:t>
        </x:is>
      </x:c>
      <x:c r="D23" s="143" t="inlineStr">
        <x:is>
          <x:t xml:space="preserve">Actual 200/400% zoom and physical touch are manually reviewed.</x:t>
        </x:is>
      </x:c>
      <x:c r="E23" s="143" t="inlineStr">
        <x:is>
          <x:t xml:space="preserve">package</x:t>
        </x:is>
      </x:c>
      <x:c r="F23" s="143" t="inlineStr">
        <x:is>
          <x:t xml:space="preserve">manual</x:t>
        </x:is>
      </x:c>
      <x:c r="G23" s="143" t="inlineStr">
        <x:is>
          <x:t xml:space="preserve">manual-tests/spinner.md</x:t>
        </x:is>
      </x:c>
      <x:c r="H23" s="143" t="inlineStr">
        <x:is>
          <x:t xml:space="preserve">implemented</x:t>
        </x:is>
      </x:c>
      <x:c r="I23" s="143" t="inlineStr">
        <x:is>
          <x:t xml:space="preserve">yes</x:t>
        </x:is>
      </x:c>
      <x:c r="J23" s="143" t="n"/>
      <x:c r="K23" s="143" t="inlineStr">
        <x:is>
          <x:t xml:space="preserve">Human qualification remains unperformed.</x:t>
        </x:is>
      </x:c>
      <x:c r="L23" s="143" t="n">
        <x:v>1</x:v>
      </x:c>
      <x:c r="M23" s="143" t="n">
        <x:f>IF(OR(AND(I23="yes",H23="verified"),AND(I23="no",OR(H23="tested",H23="verified")),AND(H23="not applicable",K23&lt;&gt;"")),1,0)</x:f>
        <x:v>0</x:v>
      </x:c>
    </x:row>
    <x:row r="24" s="135" customFormat="1" ht="48" customHeight="1">
      <x:c r="A24" s="143" t="inlineStr">
        <x:is>
          <x:t xml:space="preserve">spinner-16</x:t>
        </x:is>
      </x:c>
      <x:c r="B24" s="143" t="inlineStr">
        <x:is>
          <x:t xml:space="preserve">Review</x:t>
        </x:is>
      </x:c>
      <x:c r="C24" s="143" t="inlineStr">
        <x:is>
          <x:t xml:space="preserve">Visual polish</x:t>
        </x:is>
      </x:c>
      <x:c r="D24" s="143" t="inlineStr">
        <x:is>
          <x:t xml:space="preserve">Every specimen is reviewed at normal/narrow width and light/dark.</x:t>
        </x:is>
      </x:c>
      <x:c r="E24" s="143" t="inlineStr">
        <x:is>
          <x:t xml:space="preserve">package</x:t>
        </x:is>
      </x:c>
      <x:c r="F24" s="143" t="inlineStr">
        <x:is>
          <x:t xml:space="preserve">manual</x:t>
        </x:is>
      </x:c>
      <x:c r="G24" s="143" t="inlineStr">
        <x:is>
          <x:t xml:space="preserve">manual-tests/spinner.md</x:t>
        </x:is>
      </x:c>
      <x:c r="H24" s="143" t="inlineStr">
        <x:is>
          <x:t xml:space="preserve">implemented</x:t>
        </x:is>
      </x:c>
      <x:c r="I24" s="143" t="inlineStr">
        <x:is>
          <x:t xml:space="preserve">yes</x:t>
        </x:is>
      </x:c>
      <x:c r="J24" s="143" t="n"/>
      <x:c r="K24" s="143" t="inlineStr">
        <x:is>
          <x:t xml:space="preserve">Human qualification remains unperformed.</x:t>
        </x:is>
      </x:c>
      <x:c r="L24" s="143" t="n">
        <x:v>1</x:v>
      </x:c>
      <x:c r="M24" s="143" t="n">
        <x:f>IF(OR(AND(I24="yes",H24="verified"),AND(I24="no",OR(H24="tested",H24="verified")),AND(H24="not applicable",K24&lt;&gt;"")),1,0)</x:f>
        <x:v>0</x:v>
      </x:c>
    </x:row>
    <x:row r="25" s="135" customFormat="1" ht="48" customHeight="1">
      <x:c r="A25" s="143" t="inlineStr">
        <x:is>
          <x:t xml:space="preserve">spinner-17</x:t>
        </x:is>
      </x:c>
      <x:c r="B25" s="143" t="inlineStr">
        <x:is>
          <x:t xml:space="preserve">Lifecycle</x:t>
        </x:is>
      </x:c>
      <x:c r="C25" s="143" t="inlineStr">
        <x:is>
          <x:t xml:space="preserve">Boundary</x:t>
        </x:is>
      </x:c>
      <x:c r="D25" s="143" t="inlineStr">
        <x:is>
          <x:t xml:space="preserve">No application state or new headless behavior is introduced.</x:t>
        </x:is>
      </x:c>
      <x:c r="E25" s="143" t="inlineStr">
        <x:is>
          <x:t xml:space="preserve">package</x:t>
        </x:is>
      </x:c>
      <x:c r="F25" s="143" t="inlineStr">
        <x:is>
          <x:t xml:space="preserve">source</x:t>
        </x:is>
      </x:c>
      <x:c r="G25" s="143" t="inlineStr">
        <x:is>
          <x:t xml:space="preserve">../src/components/spinner</x:t>
        </x:is>
      </x:c>
      <x:c r="H25" s="143" t="inlineStr">
        <x:is>
          <x:t xml:space="preserve">tested</x:t>
        </x:is>
      </x:c>
      <x:c r="I25" s="143" t="inlineStr">
        <x:is>
          <x:t xml:space="preserve">no</x:t>
        </x:is>
      </x:c>
      <x:c r="J25" s="143" t="n"/>
      <x:c r="K25" s="143" t="n"/>
      <x:c r="L25" s="143" t="n">
        <x:v>1</x:v>
      </x:c>
      <x:c r="M25" s="143" t="n">
        <x:f>IF(OR(AND(I25="yes",H25="verified"),AND(I25="no",OR(H25="tested",H25="verified")),AND(H25="not applicable",K25&lt;&gt;"")),1,0)</x:f>
        <x:v>1</x:v>
      </x:c>
    </x:row>
  </x:sheetData>
  <x:dataValidations count="1">
    <x:dataValidation type="list" errorStyle="stop" operator="between" allowBlank="0" showDropDown="0" showInputMessage="0" showErrorMessage="0" sqref="H9:H25">
      <x:formula1>"not started,partial,implemented,tested,verified,blocked,not applicable"</x:formula1>
      <x:formula2>0</x:formula2>
    </x:dataValidation>
  </x:dataValidations>
  <x:pageMargins left="0.7" right="0.7" top="0.75" bottom="0.75" header="0.3" footer="0.3"/>
</x:worksheet>
</file>

<file path=xl/worksheets/sheet12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baseColWidth="8" defaultColWidth="8.6796875" defaultRowHeight="15"/>
  <x:cols>
    <x:col min="1" max="2" width="18" style="138" customWidth="1"/>
    <x:col min="3" max="3" width="22" style="138" customWidth="1"/>
    <x:col min="4" max="4" width="65" style="138" customWidth="1"/>
    <x:col min="5" max="6" width="16" style="138" customWidth="1"/>
    <x:col min="7" max="7" width="65" style="138" customWidth="1"/>
    <x:col min="8" max="10" width="18" style="138" customWidth="1"/>
    <x:col min="11" max="11" width="55" style="138" customWidth="1"/>
    <x:col min="12" max="12" width="12" style="138" customWidth="1"/>
    <x:col min="13" max="13" width="14" style="138" customWidth="1"/>
  </x:cols>
  <x:sheetData>
    <x:row r="1" s="135" customFormat="1" ht="15" customHeight="1">
      <x:c r="A1" s="138" t="inlineStr">
        <x:is>
          <x:t xml:space="preserve">Alert Evidence</x:t>
        </x:is>
      </x:c>
      <x:c r="B1" s="138" t="n"/>
      <x:c r="C1" s="138" t="n"/>
      <x:c r="D1" s="138" t="n"/>
      <x:c r="E1" s="138" t="n"/>
      <x:c r="F1" s="138" t="n"/>
      <x:c r="G1" s="138" t="n"/>
      <x:c r="H1" s="138" t="n"/>
      <x:c r="I1" s="138" t="n"/>
      <x:c r="J1" s="138" t="n"/>
      <x:c r="K1" s="138" t="n"/>
      <x:c r="L1" s="138" t="n"/>
      <x:c r="M1" s="138" t="n"/>
    </x:row>
    <x:row r="2" s="135" customFormat="1" ht="15" customHeight="1">
      <x:c r="A2" s="138" t="inlineStr">
        <x:is>
          <x:t xml:space="preserve">Component-specific implementation and qualification; human checks remain open.</x:t>
        </x:is>
      </x:c>
      <x:c r="B2" s="138" t="n"/>
      <x:c r="C2" s="138" t="n"/>
      <x:c r="D2" s="138" t="n"/>
      <x:c r="E2" s="138" t="n"/>
      <x:c r="F2" s="138" t="n"/>
      <x:c r="G2" s="138" t="n"/>
      <x:c r="H2" s="138" t="n"/>
      <x:c r="I2" s="138" t="n"/>
      <x:c r="J2" s="138" t="n"/>
      <x:c r="K2" s="138" t="n"/>
      <x:c r="L2" s="138" t="n"/>
      <x:c r="M2" s="138" t="n"/>
    </x:row>
    <x:row r="3" s="135" customFormat="1" ht="15" customHeight="1">
      <x:c r="A3" s="138" t="n"/>
      <x:c r="B3" s="138" t="n"/>
      <x:c r="C3" s="138" t="n"/>
      <x:c r="D3" s="138" t="n"/>
      <x:c r="E3" s="138" t="n"/>
      <x:c r="F3" s="138" t="n"/>
      <x:c r="G3" s="138" t="n"/>
      <x:c r="H3" s="138" t="n"/>
      <x:c r="I3" s="138" t="n"/>
      <x:c r="J3" s="138" t="n"/>
      <x:c r="K3" s="138" t="n"/>
      <x:c r="L3" s="138" t="n"/>
      <x:c r="M3" s="138" t="n"/>
    </x:row>
    <x:row r="4" s="135" customFormat="1" ht="15" customHeight="1">
      <x:c r="A4" s="138" t="inlineStr">
        <x:is>
          <x:t xml:space="preserve">Requirements</x:t>
        </x:is>
      </x:c>
      <x:c r="B4" s="138" t="n">
        <x:f>COUNTA(A9:A25)</x:f>
        <x:v>17</x:v>
      </x:c>
      <x:c r="C4" s="138" t="n"/>
      <x:c r="D4" s="138" t="inlineStr">
        <x:is>
          <x:t xml:space="preserve">Resolved</x:t>
        </x:is>
      </x:c>
      <x:c r="E4" s="138" t="n">
        <x:f>SUM(M9:M25)</x:f>
        <x:v>13</x:v>
      </x:c>
      <x:c r="F4" s="138" t="n"/>
      <x:c r="G4" s="138" t="inlineStr">
        <x:is>
          <x:t xml:space="preserve">Completion</x:t>
        </x:is>
      </x:c>
      <x:c r="H4" s="140" t="n">
        <x:f>IF(B4=0,0,E4/B4)</x:f>
        <x:v>0.7647058823529411</x:v>
      </x:c>
      <x:c r="I4" s="138" t="n"/>
      <x:c r="J4" s="138" t="inlineStr">
        <x:is>
          <x:t xml:space="preserve">Package gate</x:t>
        </x:is>
      </x:c>
      <x:c r="K4" s="138" t="str">
        <x:f>IF(COUNTIFS(E9:E25,"package",M9:M25,0)&gt;0,"open","complete")</x:f>
        <x:v>open</x:v>
      </x:c>
      <x:c r="L4" s="138" t="n"/>
      <x:c r="M4" s="138" t="n"/>
    </x:row>
    <x:row r="5" s="135" customFormat="1" ht="15" customHeight="1">
      <x:c r="A5" s="138" t="inlineStr">
        <x:is>
          <x:t xml:space="preserve">Manual review</x:t>
        </x:is>
      </x:c>
      <x:c r="B5" s="138" t="str">
        <x:f>IF(COUNTIFS(I9:I25,"yes",M9:M25,0)&gt;0,"open","complete")</x:f>
        <x:v>open</x:v>
      </x:c>
      <x:c r="C5" s="138" t="n"/>
      <x:c r="D5" s="138" t="inlineStr">
        <x:is>
          <x:t xml:space="preserve">Consumer gate</x:t>
        </x:is>
      </x:c>
      <x:c r="E5" s="138" t="str">
        <x:f>IF(COUNTIFS(E9:E25,"consumer",M9:M25,0)&gt;0,"open","complete")</x:f>
        <x:v>complete</x:v>
      </x:c>
      <x:c r="F5" s="138" t="n"/>
      <x:c r="G5" s="138" t="n"/>
      <x:c r="H5" s="138" t="n"/>
      <x:c r="I5" s="138" t="n"/>
      <x:c r="J5" s="138" t="n"/>
      <x:c r="K5" s="138" t="n"/>
      <x:c r="L5" s="138" t="n"/>
      <x:c r="M5" s="138" t="n"/>
    </x:row>
    <x:row r="6" s="135" customFormat="1" ht="15" customHeight="1">
      <x:c r="A6" s="138" t="n"/>
      <x:c r="B6" s="138" t="n"/>
      <x:c r="C6" s="138" t="n"/>
      <x:c r="D6" s="138" t="n"/>
      <x:c r="E6" s="138" t="n"/>
      <x:c r="F6" s="138" t="n"/>
      <x:c r="G6" s="138" t="n"/>
      <x:c r="H6" s="138" t="n"/>
      <x:c r="I6" s="138" t="n"/>
      <x:c r="J6" s="138" t="n"/>
      <x:c r="K6" s="138" t="n"/>
      <x:c r="L6" s="138" t="n"/>
      <x:c r="M6" s="138" t="n"/>
    </x:row>
    <x:row r="7" s="135" customFormat="1" ht="15" customHeight="1">
      <x:c r="A7" s="138" t="n"/>
      <x:c r="B7" s="138" t="n"/>
      <x:c r="C7" s="138" t="n"/>
      <x:c r="D7" s="138" t="n"/>
      <x:c r="E7" s="138" t="n"/>
      <x:c r="F7" s="138" t="n"/>
      <x:c r="G7" s="138" t="n"/>
      <x:c r="H7" s="138" t="n"/>
      <x:c r="I7" s="138" t="n"/>
      <x:c r="J7" s="138" t="n"/>
      <x:c r="K7" s="138" t="n"/>
      <x:c r="L7" s="138" t="n"/>
      <x:c r="M7" s="138" t="n"/>
    </x:row>
    <x:row r="8" s="135" customFormat="1" ht="15" customHeight="1">
      <x:c r="A8" s="138" t="inlineStr">
        <x:is>
          <x:t xml:space="preserve">ID</x:t>
        </x:is>
      </x:c>
      <x:c r="B8" s="138" t="inlineStr">
        <x:is>
          <x:t xml:space="preserve">Area</x:t>
        </x:is>
      </x:c>
      <x:c r="C8" s="138" t="inlineStr">
        <x:is>
          <x:t xml:space="preserve">Part</x:t>
        </x:is>
      </x:c>
      <x:c r="D8" s="138" t="inlineStr">
        <x:is>
          <x:t xml:space="preserve">Requirement</x:t>
        </x:is>
      </x:c>
      <x:c r="E8" s="138" t="inlineStr">
        <x:is>
          <x:t xml:space="preserve">Gate</x:t>
        </x:is>
      </x:c>
      <x:c r="F8" s="138" t="inlineStr">
        <x:is>
          <x:t xml:space="preserve">Evidence type</x:t>
        </x:is>
      </x:c>
      <x:c r="G8" s="138" t="inlineStr">
        <x:is>
          <x:t xml:space="preserve">Evidence / link</x:t>
        </x:is>
      </x:c>
      <x:c r="H8" s="138" t="inlineStr">
        <x:is>
          <x:t xml:space="preserve">Status</x:t>
        </x:is>
      </x:c>
      <x:c r="I8" s="138" t="inlineStr">
        <x:is>
          <x:t xml:space="preserve">Human review?</x:t>
        </x:is>
      </x:c>
      <x:c r="J8" s="138" t="inlineStr">
        <x:is>
          <x:t xml:space="preserve">Last verified</x:t>
        </x:is>
      </x:c>
      <x:c r="K8" s="138" t="inlineStr">
        <x:is>
          <x:t xml:space="preserve">Blocker / N/A reason</x:t>
        </x:is>
      </x:c>
      <x:c r="L8" s="138" t="inlineStr">
        <x:is>
          <x:t xml:space="preserve">Weight</x:t>
        </x:is>
      </x:c>
      <x:c r="M8" s="138" t="inlineStr">
        <x:is>
          <x:t xml:space="preserve">Resolved</x:t>
        </x:is>
      </x:c>
    </x:row>
    <x:row r="9" s="135" customFormat="1" ht="48" customHeight="1">
      <x:c r="A9" s="143" t="inlineStr">
        <x:is>
          <x:t xml:space="preserve">alert-01</x:t>
        </x:is>
      </x:c>
      <x:c r="B9" s="143" t="inlineStr">
        <x:is>
          <x:t xml:space="preserve">Source</x:t>
        </x:is>
      </x:c>
      <x:c r="C9" s="143" t="inlineStr">
        <x:is>
          <x:t xml:space="preserve">Parts</x:t>
        </x:is>
      </x:c>
      <x:c r="D9" s="143" t="inlineStr">
        <x:is>
          <x:t xml:space="preserve">Public parts render default native hosts with refs and no recipe prop leakage.</x:t>
        </x:is>
      </x:c>
      <x:c r="E9" s="143" t="inlineStr">
        <x:is>
          <x:t xml:space="preserve">package</x:t>
        </x:is>
      </x:c>
      <x:c r="F9" s="143" t="inlineStr">
        <x:is>
          <x:t xml:space="preserve">component</x:t>
        </x:is>
      </x:c>
      <x:c r="G9" s="143" t="inlineStr">
        <x:is>
          <x:t xml:space="preserve">../test/components/alert/alert.test.tsx</x:t>
        </x:is>
      </x:c>
      <x:c r="H9" s="143" t="inlineStr">
        <x:is>
          <x:t xml:space="preserve">tested</x:t>
        </x:is>
      </x:c>
      <x:c r="I9" s="143" t="inlineStr">
        <x:is>
          <x:t xml:space="preserve">no</x:t>
        </x:is>
      </x:c>
      <x:c r="J9" s="143" t="inlineStr">
        <x:is>
          <x:t xml:space="preserve">2026-09-15</x:t>
        </x:is>
      </x:c>
      <x:c r="K9" s="143" t="n"/>
      <x:c r="L9" s="143" t="n">
        <x:v>1</x:v>
      </x:c>
      <x:c r="M9" s="143" t="n">
        <x:f>IF(OR(AND(I9="yes",H9="verified"),AND(I9="no",OR(H9="tested",H9="verified")),AND(H9="not applicable",K9&lt;&gt;"")),1,0)</x:f>
        <x:v>1</x:v>
      </x:c>
    </x:row>
    <x:row r="10" s="135" customFormat="1" ht="48" customHeight="1">
      <x:c r="A10" s="143" t="inlineStr">
        <x:is>
          <x:t xml:space="preserve">alert-02</x:t>
        </x:is>
      </x:c>
      <x:c r="B10" s="143" t="inlineStr">
        <x:is>
          <x:t xml:space="preserve">Types</x:t>
        </x:is>
      </x:c>
      <x:c r="C10" s="143" t="inlineStr">
        <x:is>
          <x:t xml:space="preserve">Public API</x:t>
        </x:is>
      </x:c>
      <x:c r="D10" s="143" t="inlineStr">
        <x:is>
          <x:t xml:space="preserve">Positive and negative public API combinations compile as intended.</x:t>
        </x:is>
      </x:c>
      <x:c r="E10" s="143" t="inlineStr">
        <x:is>
          <x:t xml:space="preserve">package</x:t>
        </x:is>
      </x:c>
      <x:c r="F10" s="143" t="inlineStr">
        <x:is>
          <x:t xml:space="preserve">types</x:t>
        </x:is>
      </x:c>
      <x:c r="G10" s="143" t="inlineStr">
        <x:is>
          <x:t xml:space="preserve">../test/types/components/alert.test.ts</x:t>
        </x:is>
      </x:c>
      <x:c r="H10" s="143" t="inlineStr">
        <x:is>
          <x:t xml:space="preserve">tested</x:t>
        </x:is>
      </x:c>
      <x:c r="I10" s="143" t="inlineStr">
        <x:is>
          <x:t xml:space="preserve">no</x:t>
        </x:is>
      </x:c>
      <x:c r="J10" s="143" t="inlineStr">
        <x:is>
          <x:t xml:space="preserve">2026-09-15</x:t>
        </x:is>
      </x:c>
      <x:c r="K10" s="143" t="n"/>
      <x:c r="L10" s="143" t="n">
        <x:v>1</x:v>
      </x:c>
      <x:c r="M10" s="143" t="n">
        <x:f>IF(OR(AND(I10="yes",H10="verified"),AND(I10="no",OR(H10="tested",H10="verified")),AND(H10="not applicable",K10&lt;&gt;"")),1,0)</x:f>
        <x:v>1</x:v>
      </x:c>
    </x:row>
    <x:row r="11" s="135" customFormat="1" ht="48" customHeight="1">
      <x:c r="A11" s="143" t="inlineStr">
        <x:is>
          <x:t xml:space="preserve">alert-03</x:t>
        </x:is>
      </x:c>
      <x:c r="B11" s="143" t="inlineStr">
        <x:is>
          <x:t xml:space="preserve">Geometry</x:t>
        </x:is>
      </x:c>
      <x:c r="C11" s="143" t="inlineStr">
        <x:is>
          <x:t xml:space="preserve">Sizes</x:t>
        </x:is>
      </x:c>
      <x:c r="D11" s="143" t="inlineStr">
        <x:is>
          <x:t xml:space="preserve">Compact text leading, invariant inset borders and inherited artwork sizes match adopted metrics.</x:t>
        </x:is>
      </x:c>
      <x:c r="E11" s="143" t="inlineStr">
        <x:is>
          <x:t xml:space="preserve">package</x:t>
        </x:is>
      </x:c>
      <x:c r="F11" s="143" t="inlineStr">
        <x:is>
          <x:t xml:space="preserve">browser</x:t>
        </x:is>
      </x:c>
      <x:c r="G11" s="143" t="inlineStr">
        <x:is>
          <x:t xml:space="preserve">tests/components/alert/behavior.spec.ts</x:t>
        </x:is>
      </x:c>
      <x:c r="H11" s="143" t="inlineStr">
        <x:is>
          <x:t xml:space="preserve">tested</x:t>
        </x:is>
      </x:c>
      <x:c r="I11" s="143" t="inlineStr">
        <x:is>
          <x:t xml:space="preserve">no</x:t>
        </x:is>
      </x:c>
      <x:c r="J11" s="143" t="inlineStr">
        <x:is>
          <x:t xml:space="preserve">2026-09-15</x:t>
        </x:is>
      </x:c>
      <x:c r="K11" s="143" t="n"/>
      <x:c r="L11" s="143" t="n">
        <x:v>1</x:v>
      </x:c>
      <x:c r="M11" s="143" t="n">
        <x:f>IF(OR(AND(I11="yes",H11="verified"),AND(I11="no",OR(H11="tested",H11="verified")),AND(H11="not applicable",K11&lt;&gt;"")),1,0)</x:f>
        <x:v>1</x:v>
      </x:c>
    </x:row>
    <x:row r="12" s="135" customFormat="1" ht="48" customHeight="1">
      <x:c r="A12" s="143" t="inlineStr">
        <x:is>
          <x:t xml:space="preserve">alert-04</x:t>
        </x:is>
      </x:c>
      <x:c r="B12" s="143" t="inlineStr">
        <x:is>
          <x:t xml:space="preserve">Semantics</x:t>
        </x:is>
      </x:c>
      <x:c r="C12" s="143" t="inlineStr">
        <x:is>
          <x:t xml:space="preserve">Accessible output</x:t>
        </x:is>
      </x:c>
      <x:c r="D12" s="143" t="inlineStr">
        <x:is>
          <x:t xml:space="preserve">The component has no implicit duplicate live announcement.</x:t>
        </x:is>
      </x:c>
      <x:c r="E12" s="143" t="inlineStr">
        <x:is>
          <x:t xml:space="preserve">package</x:t>
        </x:is>
      </x:c>
      <x:c r="F12" s="143" t="inlineStr">
        <x:is>
          <x:t xml:space="preserve">component</x:t>
        </x:is>
      </x:c>
      <x:c r="G12" s="143" t="inlineStr">
        <x:is>
          <x:t xml:space="preserve">../test/components/alert/alert.test.tsx</x:t>
        </x:is>
      </x:c>
      <x:c r="H12" s="143" t="inlineStr">
        <x:is>
          <x:t xml:space="preserve">tested</x:t>
        </x:is>
      </x:c>
      <x:c r="I12" s="143" t="inlineStr">
        <x:is>
          <x:t xml:space="preserve">no</x:t>
        </x:is>
      </x:c>
      <x:c r="J12" s="143" t="inlineStr">
        <x:is>
          <x:t xml:space="preserve">2026-09-15</x:t>
        </x:is>
      </x:c>
      <x:c r="K12" s="143" t="n"/>
      <x:c r="L12" s="143" t="n">
        <x:v>1</x:v>
      </x:c>
      <x:c r="M12" s="143" t="n">
        <x:f>IF(OR(AND(I12="yes",H12="verified"),AND(I12="no",OR(H12="tested",H12="verified")),AND(H12="not applicable",K12&lt;&gt;"")),1,0)</x:f>
        <x:v>1</x:v>
      </x:c>
    </x:row>
    <x:row r="13" s="135" customFormat="1" ht="48" customHeight="1">
      <x:c r="A13" s="143" t="inlineStr">
        <x:is>
          <x:t xml:space="preserve">alert-05</x:t>
        </x:is>
      </x:c>
      <x:c r="B13" s="143" t="inlineStr">
        <x:is>
          <x:t xml:space="preserve">Recipes</x:t>
        </x:is>
      </x:c>
      <x:c r="C13" s="143" t="inlineStr">
        <x:is>
          <x:t xml:space="preserve">Theme</x:t>
        </x:is>
      </x:c>
      <x:c r="D13" s="143" t="inlineStr">
        <x:is>
          <x:t xml:space="preserve">Semantic recipes remain legible in light and dark.</x:t>
        </x:is>
      </x:c>
      <x:c r="E13" s="143" t="inlineStr">
        <x:is>
          <x:t xml:space="preserve">package</x:t>
        </x:is>
      </x:c>
      <x:c r="F13" s="143" t="inlineStr">
        <x:is>
          <x:t xml:space="preserve">visual</x:t>
        </x:is>
      </x:c>
      <x:c r="G13" s="143" t="inlineStr">
        <x:is>
          <x:t xml:space="preserve">tests/components/alert/visual.spec.ts</x:t>
        </x:is>
      </x:c>
      <x:c r="H13" s="143" t="inlineStr">
        <x:is>
          <x:t xml:space="preserve">implemented</x:t>
        </x:is>
      </x:c>
      <x:c r="I13" s="143" t="inlineStr">
        <x:is>
          <x:t xml:space="preserve">yes</x:t>
        </x:is>
      </x:c>
      <x:c r="J13" s="143" t="n"/>
      <x:c r="K13" s="143" t="inlineStr">
        <x:is>
          <x:t xml:space="preserve">Human qualification remains unperformed.</x:t>
        </x:is>
      </x:c>
      <x:c r="L13" s="143" t="n">
        <x:v>1</x:v>
      </x:c>
      <x:c r="M13" s="143" t="n">
        <x:f>IF(OR(AND(I13="yes",H13="verified"),AND(I13="no",OR(H13="tested",H13="verified")),AND(H13="not applicable",K13&lt;&gt;"")),1,0)</x:f>
        <x:v>0</x:v>
      </x:c>
    </x:row>
    <x:row r="14" s="135" customFormat="1" ht="48" customHeight="1">
      <x:c r="A14" s="143" t="inlineStr">
        <x:is>
          <x:t xml:space="preserve">alert-06</x:t>
        </x:is>
      </x:c>
      <x:c r="B14" s="143" t="inlineStr">
        <x:is>
          <x:t xml:space="preserve">Responsive</x:t>
        </x:is>
      </x:c>
      <x:c r="C14" s="143" t="inlineStr">
        <x:is>
          <x:t xml:space="preserve">Containment</x:t>
        </x:is>
      </x:c>
      <x:c r="D14" s="143" t="inlineStr">
        <x:is>
          <x:t xml:space="preserve">Responsive recipes reset; narrow RTL content, accents and indicators remain contained.</x:t>
        </x:is>
      </x:c>
      <x:c r="E14" s="143" t="inlineStr">
        <x:is>
          <x:t xml:space="preserve">package</x:t>
        </x:is>
      </x:c>
      <x:c r="F14" s="143" t="inlineStr">
        <x:is>
          <x:t xml:space="preserve">browser</x:t>
        </x:is>
      </x:c>
      <x:c r="G14" s="143" t="inlineStr">
        <x:is>
          <x:t xml:space="preserve">tests/components/alert/behavior.spec.ts</x:t>
        </x:is>
      </x:c>
      <x:c r="H14" s="143" t="inlineStr">
        <x:is>
          <x:t xml:space="preserve">tested</x:t>
        </x:is>
      </x:c>
      <x:c r="I14" s="143" t="inlineStr">
        <x:is>
          <x:t xml:space="preserve">no</x:t>
        </x:is>
      </x:c>
      <x:c r="J14" s="143" t="inlineStr">
        <x:is>
          <x:t xml:space="preserve">2026-09-15</x:t>
        </x:is>
      </x:c>
      <x:c r="K14" s="143" t="n"/>
      <x:c r="L14" s="143" t="n">
        <x:v>1</x:v>
      </x:c>
      <x:c r="M14" s="143" t="n">
        <x:f>IF(OR(AND(I14="yes",H14="verified"),AND(I14="no",OR(H14="tested",H14="verified")),AND(H14="not applicable",K14&lt;&gt;"")),1,0)</x:f>
        <x:v>1</x:v>
      </x:c>
    </x:row>
    <x:row r="15" s="135" customFormat="1" ht="48" customHeight="1">
      <x:c r="A15" s="143" t="inlineStr">
        <x:is>
          <x:t xml:space="preserve">alert-07</x:t>
        </x:is>
      </x:c>
      <x:c r="B15" s="143" t="inlineStr">
        <x:is>
          <x:t xml:space="preserve">Accessibility</x:t>
        </x:is>
      </x:c>
      <x:c r="C15" s="143" t="inlineStr">
        <x:is>
          <x:t xml:space="preserve">Scan</x:t>
        </x:is>
      </x:c>
      <x:c r="D15" s="143" t="inlineStr">
        <x:is>
          <x:t xml:space="preserve">Component page has no axe violations.</x:t>
        </x:is>
      </x:c>
      <x:c r="E15" s="143" t="inlineStr">
        <x:is>
          <x:t xml:space="preserve">package</x:t>
        </x:is>
      </x:c>
      <x:c r="F15" s="143" t="inlineStr">
        <x:is>
          <x:t xml:space="preserve">axe</x:t>
        </x:is>
      </x:c>
      <x:c r="G15" s="143" t="inlineStr">
        <x:is>
          <x:t xml:space="preserve">tests/components/alert/behavior.spec.ts</x:t>
        </x:is>
      </x:c>
      <x:c r="H15" s="143" t="inlineStr">
        <x:is>
          <x:t xml:space="preserve">tested</x:t>
        </x:is>
      </x:c>
      <x:c r="I15" s="143" t="inlineStr">
        <x:is>
          <x:t xml:space="preserve">no</x:t>
        </x:is>
      </x:c>
      <x:c r="J15" s="143" t="inlineStr">
        <x:is>
          <x:t xml:space="preserve">2026-09-15</x:t>
        </x:is>
      </x:c>
      <x:c r="K15" s="143" t="n"/>
      <x:c r="L15" s="143" t="n">
        <x:v>1</x:v>
      </x:c>
      <x:c r="M15" s="143" t="n">
        <x:f>IF(OR(AND(I15="yes",H15="verified"),AND(I15="no",OR(H15="tested",H15="verified")),AND(H15="not applicable",K15&lt;&gt;"")),1,0)</x:f>
        <x:v>1</x:v>
      </x:c>
    </x:row>
    <x:row r="16" s="135" customFormat="1" ht="48" customHeight="1">
      <x:c r="A16" s="143" t="inlineStr">
        <x:is>
          <x:t xml:space="preserve">alert-08</x:t>
        </x:is>
      </x:c>
      <x:c r="B16" s="143" t="inlineStr">
        <x:is>
          <x:t xml:space="preserve">Preferences</x:t>
        </x:is>
      </x:c>
      <x:c r="C16" s="143" t="inlineStr">
        <x:is>
          <x:t xml:space="preserve">System colors</x:t>
        </x:is>
      </x:c>
      <x:c r="D16" s="143" t="inlineStr">
        <x:is>
          <x:t xml:space="preserve">Forced colors preserve visible content and reduced-motion policy.</x:t>
        </x:is>
      </x:c>
      <x:c r="E16" s="143" t="inlineStr">
        <x:is>
          <x:t xml:space="preserve">package</x:t>
        </x:is>
      </x:c>
      <x:c r="F16" s="143" t="inlineStr">
        <x:is>
          <x:t xml:space="preserve">browser</x:t>
        </x:is>
      </x:c>
      <x:c r="G16" s="143" t="inlineStr">
        <x:is>
          <x:t xml:space="preserve">tests/components/alert/behavior.spec.ts</x:t>
        </x:is>
      </x:c>
      <x:c r="H16" s="143" t="inlineStr">
        <x:is>
          <x:t xml:space="preserve">tested</x:t>
        </x:is>
      </x:c>
      <x:c r="I16" s="143" t="inlineStr">
        <x:is>
          <x:t xml:space="preserve">no</x:t>
        </x:is>
      </x:c>
      <x:c r="J16" s="143" t="inlineStr">
        <x:is>
          <x:t xml:space="preserve">2026-09-15</x:t>
        </x:is>
      </x:c>
      <x:c r="K16" s="143" t="n"/>
      <x:c r="L16" s="143" t="n">
        <x:v>1</x:v>
      </x:c>
      <x:c r="M16" s="143" t="n">
        <x:f>IF(OR(AND(I16="yes",H16="verified"),AND(I16="no",OR(H16="tested",H16="verified")),AND(H16="not applicable",K16&lt;&gt;"")),1,0)</x:f>
        <x:v>1</x:v>
      </x:c>
    </x:row>
    <x:row r="17" s="135" customFormat="1" ht="48" customHeight="1">
      <x:c r="A17" s="143" t="inlineStr">
        <x:is>
          <x:t xml:space="preserve">alert-09</x:t>
        </x:is>
      </x:c>
      <x:c r="B17" s="143" t="inlineStr">
        <x:is>
          <x:t xml:space="preserve">Playground</x:t>
        </x:is>
      </x:c>
      <x:c r="C17" s="143" t="inlineStr">
        <x:is>
          <x:t xml:space="preserve">Scenarios</x:t>
        </x:is>
      </x:c>
      <x:c r="D17" s="143" t="inlineStr">
        <x:is>
          <x:t xml:space="preserve">Docs pair twelve examples and five part tables; qualification preserves sixteen scenarios.</x:t>
        </x:is>
      </x:c>
      <x:c r="E17" s="143" t="inlineStr">
        <x:is>
          <x:t xml:space="preserve">package</x:t>
        </x:is>
      </x:c>
      <x:c r="F17" s="143" t="inlineStr">
        <x:is>
          <x:t xml:space="preserve">browser</x:t>
        </x:is>
      </x:c>
      <x:c r="G17" s="143" t="inlineStr">
        <x:is>
          <x:t xml:space="preserve">tests/components/alert/behavior.spec.ts</x:t>
        </x:is>
      </x:c>
      <x:c r="H17" s="143" t="inlineStr">
        <x:is>
          <x:t xml:space="preserve">tested</x:t>
        </x:is>
      </x:c>
      <x:c r="I17" s="143" t="inlineStr">
        <x:is>
          <x:t xml:space="preserve">no</x:t>
        </x:is>
      </x:c>
      <x:c r="J17" s="143" t="inlineStr">
        <x:is>
          <x:t xml:space="preserve">2026-09-15</x:t>
        </x:is>
      </x:c>
      <x:c r="K17" s="143" t="inlineStr">
        <x:is>
          <x:t xml:space="preserve">Automated qualification passed; see private feedback implementation evidence.</x:t>
        </x:is>
      </x:c>
      <x:c r="L17" s="143" t="n">
        <x:v>1</x:v>
      </x:c>
      <x:c r="M17" s="143" t="n">
        <x:f>IF(OR(AND(I17="yes",H17="verified"),AND(I17="no",OR(H17="tested",H17="verified")),AND(H17="not applicable",K17&lt;&gt;"")),1,0)</x:f>
        <x:v>1</x:v>
      </x:c>
    </x:row>
    <x:row r="18" s="135" customFormat="1" ht="48" customHeight="1">
      <x:c r="A18" s="143" t="inlineStr">
        <x:is>
          <x:t xml:space="preserve">alert-10</x:t>
        </x:is>
      </x:c>
      <x:c r="B18" s="143" t="inlineStr">
        <x:is>
          <x:t xml:space="preserve">Docs</x:t>
        </x:is>
      </x:c>
      <x:c r="C18" s="143" t="inlineStr">
        <x:is>
          <x:t xml:space="preserve">Public guide</x:t>
        </x:is>
      </x:c>
      <x:c r="D18" s="143" t="inlineStr">
        <x:is>
          <x:t xml:space="preserve">Source-backed documentation and changelog validation pass.</x:t>
        </x:is>
      </x:c>
      <x:c r="E18" s="143" t="inlineStr">
        <x:is>
          <x:t xml:space="preserve">package</x:t>
        </x:is>
      </x:c>
      <x:c r="F18" s="143" t="inlineStr">
        <x:is>
          <x:t xml:space="preserve">docs</x:t>
        </x:is>
      </x:c>
      <x:c r="G18" s="143" t="inlineStr">
        <x:is>
          <x:t xml:space="preserve">../docs/components/alert/README.md</x:t>
        </x:is>
      </x:c>
      <x:c r="H18" s="143" t="inlineStr">
        <x:is>
          <x:t xml:space="preserve">tested</x:t>
        </x:is>
      </x:c>
      <x:c r="I18" s="143" t="inlineStr">
        <x:is>
          <x:t xml:space="preserve">no</x:t>
        </x:is>
      </x:c>
      <x:c r="J18" s="143" t="inlineStr">
        <x:is>
          <x:t xml:space="preserve">2026-09-15</x:t>
        </x:is>
      </x:c>
      <x:c r="K18" s="143" t="n"/>
      <x:c r="L18" s="143" t="n">
        <x:v>1</x:v>
      </x:c>
      <x:c r="M18" s="143" t="n">
        <x:f>IF(OR(AND(I18="yes",H18="verified"),AND(I18="no",OR(H18="tested",H18="verified")),AND(H18="not applicable",K18&lt;&gt;"")),1,0)</x:f>
        <x:v>1</x:v>
      </x:c>
    </x:row>
    <x:row r="19" s="135" customFormat="1" ht="48" customHeight="1">
      <x:c r="A19" s="143" t="inlineStr">
        <x:is>
          <x:t xml:space="preserve">alert-11</x:t>
        </x:is>
      </x:c>
      <x:c r="B19" s="143" t="inlineStr">
        <x:is>
          <x:t xml:space="preserve">Knowledge</x:t>
        </x:is>
      </x:c>
      <x:c r="C19" s="143" t="inlineStr">
        <x:is>
          <x:t xml:space="preserve">Agent guidance</x:t>
        </x:is>
      </x:c>
      <x:c r="D19" s="143" t="inlineStr">
        <x:is>
          <x:t xml:space="preserve">Exact candidate resolves this new owner with closed coverage.</x:t>
        </x:is>
      </x:c>
      <x:c r="E19" s="143" t="inlineStr">
        <x:is>
          <x:t xml:space="preserve">package</x:t>
        </x:is>
      </x:c>
      <x:c r="F19" s="143" t="inlineStr">
        <x:is>
          <x:t xml:space="preserve">package</x:t>
        </x:is>
      </x:c>
      <x:c r="G19" s="143" t="inlineStr">
        <x:is>
          <x:t xml:space="preserve">../src/components/alert/agent.json</x:t>
        </x:is>
      </x:c>
      <x:c r="H19" s="143" t="inlineStr">
        <x:is>
          <x:t xml:space="preserve">tested</x:t>
        </x:is>
      </x:c>
      <x:c r="I19" s="143" t="inlineStr">
        <x:is>
          <x:t xml:space="preserve">no</x:t>
        </x:is>
      </x:c>
      <x:c r="J19" s="143" t="inlineStr">
        <x:is>
          <x:t xml:space="preserve">2026-09-15</x:t>
        </x:is>
      </x:c>
      <x:c r="K19" s="143" t="inlineStr">
        <x:is>
          <x:t xml:space="preserve">Automated qualification passed; see private feedback implementation evidence.</x:t>
        </x:is>
      </x:c>
      <x:c r="L19" s="143" t="n">
        <x:v>1</x:v>
      </x:c>
      <x:c r="M19" s="143" t="n">
        <x:f>IF(OR(AND(I19="yes",H19="verified"),AND(I19="no",OR(H19="tested",H19="verified")),AND(H19="not applicable",K19&lt;&gt;"")),1,0)</x:f>
        <x:v>1</x:v>
      </x:c>
    </x:row>
    <x:row r="20" s="135" customFormat="1" ht="48" customHeight="1">
      <x:c r="A20" s="143" t="inlineStr">
        <x:is>
          <x:t xml:space="preserve">alert-12</x:t>
        </x:is>
      </x:c>
      <x:c r="B20" s="143" t="inlineStr">
        <x:is>
          <x:t xml:space="preserve">Consumer</x:t>
        </x:is>
      </x:c>
      <x:c r="C20" s="143" t="inlineStr">
        <x:is>
          <x:t xml:space="preserve">Integration</x:t>
        </x:is>
      </x:c>
      <x:c r="D20" s="143" t="inlineStr">
        <x:is>
          <x:t xml:space="preserve">Public-subpath search flow uses loading, empty content and error recovery.</x:t>
        </x:is>
      </x:c>
      <x:c r="E20" s="143" t="inlineStr">
        <x:is>
          <x:t xml:space="preserve">consumer</x:t>
        </x:is>
      </x:c>
      <x:c r="F20" s="143" t="inlineStr">
        <x:is>
          <x:t xml:space="preserve">consumer</x:t>
        </x:is>
      </x:c>
      <x:c r="G20" s="143" t="inlineStr">
        <x:is>
          <x:t xml:space="preserve">../apps/consumer/tests/feedback.spec.ts</x:t>
        </x:is>
      </x:c>
      <x:c r="H20" s="143" t="inlineStr">
        <x:is>
          <x:t xml:space="preserve">tested</x:t>
        </x:is>
      </x:c>
      <x:c r="I20" s="143" t="inlineStr">
        <x:is>
          <x:t xml:space="preserve">no</x:t>
        </x:is>
      </x:c>
      <x:c r="J20" s="143" t="inlineStr">
        <x:is>
          <x:t xml:space="preserve">2026-09-15</x:t>
        </x:is>
      </x:c>
      <x:c r="K20" s="143" t="inlineStr">
        <x:is>
          <x:t xml:space="preserve">Automated qualification passed; see private feedback implementation evidence.</x:t>
        </x:is>
      </x:c>
      <x:c r="L20" s="143" t="n">
        <x:v>1</x:v>
      </x:c>
      <x:c r="M20" s="143" t="n">
        <x:f>IF(OR(AND(I20="yes",H20="verified"),AND(I20="no",OR(H20="tested",H20="verified")),AND(H20="not applicable",K20&lt;&gt;"")),1,0)</x:f>
        <x:v>1</x:v>
      </x:c>
    </x:row>
    <x:row r="21" s="135" customFormat="1" ht="48" customHeight="1">
      <x:c r="A21" s="143" t="inlineStr">
        <x:is>
          <x:t xml:space="preserve">alert-13</x:t>
        </x:is>
      </x:c>
      <x:c r="B21" s="143" t="inlineStr">
        <x:is>
          <x:t xml:space="preserve">Package</x:t>
        </x:is>
      </x:c>
      <x:c r="C21" s="143" t="inlineStr">
        <x:is>
          <x:t xml:space="preserve">Archive</x:t>
        </x:is>
      </x:c>
      <x:c r="D21" s="143" t="inlineStr">
        <x:is>
          <x:t xml:space="preserve">Archive imports and modular CSS pass in clean React consumers.</x:t>
        </x:is>
      </x:c>
      <x:c r="E21" s="143" t="inlineStr">
        <x:is>
          <x:t xml:space="preserve">package</x:t>
        </x:is>
      </x:c>
      <x:c r="F21" s="143" t="inlineStr">
        <x:is>
          <x:t xml:space="preserve">package</x:t>
        </x:is>
      </x:c>
      <x:c r="G21" s="143" t="inlineStr">
        <x:is>
          <x:t xml:space="preserve">../test/package/alert.test.mjs; ../scripts/verify-consumers.mjs</x:t>
        </x:is>
      </x:c>
      <x:c r="H21" s="143" t="inlineStr">
        <x:is>
          <x:t xml:space="preserve">tested</x:t>
        </x:is>
      </x:c>
      <x:c r="I21" s="143" t="inlineStr">
        <x:is>
          <x:t xml:space="preserve">no</x:t>
        </x:is>
      </x:c>
      <x:c r="J21" s="143" t="inlineStr">
        <x:is>
          <x:t xml:space="preserve">2026-09-15</x:t>
        </x:is>
      </x:c>
      <x:c r="K21" s="143" t="inlineStr">
        <x:is>
          <x:t xml:space="preserve">Automated qualification passed; see private feedback implementation evidence.</x:t>
        </x:is>
      </x:c>
      <x:c r="L21" s="143" t="n">
        <x:v>1</x:v>
      </x:c>
      <x:c r="M21" s="143" t="n">
        <x:f>IF(OR(AND(I21="yes",H21="verified"),AND(I21="no",OR(H21="tested",H21="verified")),AND(H21="not applicable",K21&lt;&gt;"")),1,0)</x:f>
        <x:v>1</x:v>
      </x:c>
    </x:row>
    <x:row r="22" s="135" customFormat="1" ht="48" customHeight="1">
      <x:c r="A22" s="143" t="inlineStr">
        <x:is>
          <x:t xml:space="preserve">alert-14</x:t>
        </x:is>
      </x:c>
      <x:c r="B22" s="143" t="inlineStr">
        <x:is>
          <x:t xml:space="preserve">Manual</x:t>
        </x:is>
      </x:c>
      <x:c r="C22" s="143" t="inlineStr">
        <x:is>
          <x:t xml:space="preserve">Screen reader</x:t>
        </x:is>
      </x:c>
      <x:c r="D22" s="143" t="inlineStr">
        <x:is>
          <x:t xml:space="preserve">Real assistive technology confirms names and announcement policy.</x:t>
        </x:is>
      </x:c>
      <x:c r="E22" s="143" t="inlineStr">
        <x:is>
          <x:t xml:space="preserve">package</x:t>
        </x:is>
      </x:c>
      <x:c r="F22" s="143" t="inlineStr">
        <x:is>
          <x:t xml:space="preserve">manual</x:t>
        </x:is>
      </x:c>
      <x:c r="G22" s="143" t="inlineStr">
        <x:is>
          <x:t xml:space="preserve">manual-tests/alert.md</x:t>
        </x:is>
      </x:c>
      <x:c r="H22" s="143" t="inlineStr">
        <x:is>
          <x:t xml:space="preserve">implemented</x:t>
        </x:is>
      </x:c>
      <x:c r="I22" s="143" t="inlineStr">
        <x:is>
          <x:t xml:space="preserve">yes</x:t>
        </x:is>
      </x:c>
      <x:c r="J22" s="143" t="n"/>
      <x:c r="K22" s="143" t="inlineStr">
        <x:is>
          <x:t xml:space="preserve">Human qualification remains unperformed.</x:t>
        </x:is>
      </x:c>
      <x:c r="L22" s="143" t="n">
        <x:v>1</x:v>
      </x:c>
      <x:c r="M22" s="143" t="n">
        <x:f>IF(OR(AND(I22="yes",H22="verified"),AND(I22="no",OR(H22="tested",H22="verified")),AND(H22="not applicable",K22&lt;&gt;"")),1,0)</x:f>
        <x:v>0</x:v>
      </x:c>
    </x:row>
    <x:row r="23" s="135" customFormat="1" ht="48" customHeight="1">
      <x:c r="A23" s="143" t="inlineStr">
        <x:is>
          <x:t xml:space="preserve">alert-15</x:t>
        </x:is>
      </x:c>
      <x:c r="B23" s="143" t="inlineStr">
        <x:is>
          <x:t xml:space="preserve">Manual</x:t>
        </x:is>
      </x:c>
      <x:c r="C23" s="143" t="inlineStr">
        <x:is>
          <x:t xml:space="preserve">Zoom and device</x:t>
        </x:is>
      </x:c>
      <x:c r="D23" s="143" t="inlineStr">
        <x:is>
          <x:t xml:space="preserve">Actual 200/400% zoom and physical touch are manually reviewed.</x:t>
        </x:is>
      </x:c>
      <x:c r="E23" s="143" t="inlineStr">
        <x:is>
          <x:t xml:space="preserve">package</x:t>
        </x:is>
      </x:c>
      <x:c r="F23" s="143" t="inlineStr">
        <x:is>
          <x:t xml:space="preserve">manual</x:t>
        </x:is>
      </x:c>
      <x:c r="G23" s="143" t="inlineStr">
        <x:is>
          <x:t xml:space="preserve">manual-tests/alert.md</x:t>
        </x:is>
      </x:c>
      <x:c r="H23" s="143" t="inlineStr">
        <x:is>
          <x:t xml:space="preserve">implemented</x:t>
        </x:is>
      </x:c>
      <x:c r="I23" s="143" t="inlineStr">
        <x:is>
          <x:t xml:space="preserve">yes</x:t>
        </x:is>
      </x:c>
      <x:c r="J23" s="143" t="n"/>
      <x:c r="K23" s="143" t="inlineStr">
        <x:is>
          <x:t xml:space="preserve">Human qualification remains unperformed.</x:t>
        </x:is>
      </x:c>
      <x:c r="L23" s="143" t="n">
        <x:v>1</x:v>
      </x:c>
      <x:c r="M23" s="143" t="n">
        <x:f>IF(OR(AND(I23="yes",H23="verified"),AND(I23="no",OR(H23="tested",H23="verified")),AND(H23="not applicable",K23&lt;&gt;"")),1,0)</x:f>
        <x:v>0</x:v>
      </x:c>
    </x:row>
    <x:row r="24" s="135" customFormat="1" ht="48" customHeight="1">
      <x:c r="A24" s="143" t="inlineStr">
        <x:is>
          <x:t xml:space="preserve">alert-16</x:t>
        </x:is>
      </x:c>
      <x:c r="B24" s="143" t="inlineStr">
        <x:is>
          <x:t xml:space="preserve">Review</x:t>
        </x:is>
      </x:c>
      <x:c r="C24" s="143" t="inlineStr">
        <x:is>
          <x:t xml:space="preserve">Visual polish</x:t>
        </x:is>
      </x:c>
      <x:c r="D24" s="143" t="inlineStr">
        <x:is>
          <x:t xml:space="preserve">Every specimen is reviewed at normal/narrow width and light/dark.</x:t>
        </x:is>
      </x:c>
      <x:c r="E24" s="143" t="inlineStr">
        <x:is>
          <x:t xml:space="preserve">package</x:t>
        </x:is>
      </x:c>
      <x:c r="F24" s="143" t="inlineStr">
        <x:is>
          <x:t xml:space="preserve">manual</x:t>
        </x:is>
      </x:c>
      <x:c r="G24" s="143" t="inlineStr">
        <x:is>
          <x:t xml:space="preserve">manual-tests/alert.md</x:t>
        </x:is>
      </x:c>
      <x:c r="H24" s="143" t="inlineStr">
        <x:is>
          <x:t xml:space="preserve">implemented</x:t>
        </x:is>
      </x:c>
      <x:c r="I24" s="143" t="inlineStr">
        <x:is>
          <x:t xml:space="preserve">yes</x:t>
        </x:is>
      </x:c>
      <x:c r="J24" s="143" t="n"/>
      <x:c r="K24" s="143" t="inlineStr">
        <x:is>
          <x:t xml:space="preserve">Human qualification remains unperformed.</x:t>
        </x:is>
      </x:c>
      <x:c r="L24" s="143" t="n">
        <x:v>1</x:v>
      </x:c>
      <x:c r="M24" s="143" t="n">
        <x:f>IF(OR(AND(I24="yes",H24="verified"),AND(I24="no",OR(H24="tested",H24="verified")),AND(H24="not applicable",K24&lt;&gt;"")),1,0)</x:f>
        <x:v>0</x:v>
      </x:c>
    </x:row>
    <x:row r="25" s="135" customFormat="1" ht="48" customHeight="1">
      <x:c r="A25" s="143" t="inlineStr">
        <x:is>
          <x:t xml:space="preserve">alert-17</x:t>
        </x:is>
      </x:c>
      <x:c r="B25" s="143" t="inlineStr">
        <x:is>
          <x:t xml:space="preserve">Lifecycle</x:t>
        </x:is>
      </x:c>
      <x:c r="C25" s="143" t="inlineStr">
        <x:is>
          <x:t xml:space="preserve">Boundary</x:t>
        </x:is>
      </x:c>
      <x:c r="D25" s="143" t="inlineStr">
        <x:is>
          <x:t xml:space="preserve">No application state or new headless behavior is introduced.</x:t>
        </x:is>
      </x:c>
      <x:c r="E25" s="143" t="inlineStr">
        <x:is>
          <x:t xml:space="preserve">package</x:t>
        </x:is>
      </x:c>
      <x:c r="F25" s="143" t="inlineStr">
        <x:is>
          <x:t xml:space="preserve">source</x:t>
        </x:is>
      </x:c>
      <x:c r="G25" s="143" t="inlineStr">
        <x:is>
          <x:t xml:space="preserve">../src/components/alert</x:t>
        </x:is>
      </x:c>
      <x:c r="H25" s="143" t="inlineStr">
        <x:is>
          <x:t xml:space="preserve">tested</x:t>
        </x:is>
      </x:c>
      <x:c r="I25" s="143" t="inlineStr">
        <x:is>
          <x:t xml:space="preserve">no</x:t>
        </x:is>
      </x:c>
      <x:c r="J25" s="143" t="inlineStr">
        <x:is>
          <x:t xml:space="preserve">2026-09-15</x:t>
        </x:is>
      </x:c>
      <x:c r="K25" s="143" t="n"/>
      <x:c r="L25" s="143" t="n">
        <x:v>1</x:v>
      </x:c>
      <x:c r="M25" s="143" t="n">
        <x:f>IF(OR(AND(I25="yes",H25="verified"),AND(I25="no",OR(H25="tested",H25="verified")),AND(H25="not applicable",K25&lt;&gt;"")),1,0)</x:f>
        <x:v>1</x:v>
      </x:c>
    </x:row>
  </x:sheetData>
  <x:dataValidations count="1">
    <x:dataValidation type="list" errorStyle="stop" operator="between" allowBlank="0" showDropDown="0" showInputMessage="0" showErrorMessage="0" sqref="H9:H25">
      <x:formula1>"not started,partial,implemented,tested,verified,blocked,not applicable"</x:formula1>
      <x:formula2>0</x:formula2>
    </x:dataValidation>
  </x:dataValidations>
  <x:pageMargins left="0.7" right="0.7" top="0.75" bottom="0.75" header="0.3" footer="0.3"/>
</x:worksheet>
</file>

<file path=xl/worksheets/sheet122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baseColWidth="8" defaultColWidth="8.6796875" defaultRowHeight="15"/>
  <x:cols>
    <x:col min="1" max="2" width="18" style="138" customWidth="1"/>
    <x:col min="3" max="3" width="22" style="138" customWidth="1"/>
    <x:col min="4" max="4" width="65" style="138" customWidth="1"/>
    <x:col min="5" max="6" width="16" style="138" customWidth="1"/>
    <x:col min="7" max="7" width="65" style="138" customWidth="1"/>
    <x:col min="8" max="10" width="18" style="138" customWidth="1"/>
    <x:col min="11" max="11" width="55" style="138" customWidth="1"/>
    <x:col min="12" max="12" width="12" style="138" customWidth="1"/>
    <x:col min="13" max="13" width="14" style="138" customWidth="1"/>
  </x:cols>
  <x:sheetData>
    <x:row r="1" s="135" customFormat="1" ht="15" customHeight="1">
      <x:c r="A1" s="138" t="inlineStr">
        <x:is>
          <x:t xml:space="preserve">Empty State Evidence</x:t>
        </x:is>
      </x:c>
      <x:c r="B1" s="138" t="n"/>
      <x:c r="C1" s="138" t="n"/>
      <x:c r="D1" s="138" t="n"/>
      <x:c r="E1" s="138" t="n"/>
      <x:c r="F1" s="138" t="n"/>
      <x:c r="G1" s="138" t="n"/>
      <x:c r="H1" s="138" t="n"/>
      <x:c r="I1" s="138" t="n"/>
      <x:c r="J1" s="138" t="n"/>
      <x:c r="K1" s="138" t="n"/>
      <x:c r="L1" s="138" t="n"/>
      <x:c r="M1" s="138" t="n"/>
    </x:row>
    <x:row r="2" s="135" customFormat="1" ht="15" customHeight="1">
      <x:c r="A2" s="138" t="inlineStr">
        <x:is>
          <x:t xml:space="preserve">Component-specific implementation and qualification; human checks remain open.</x:t>
        </x:is>
      </x:c>
      <x:c r="B2" s="138" t="n"/>
      <x:c r="C2" s="138" t="n"/>
      <x:c r="D2" s="138" t="n"/>
      <x:c r="E2" s="138" t="n"/>
      <x:c r="F2" s="138" t="n"/>
      <x:c r="G2" s="138" t="n"/>
      <x:c r="H2" s="138" t="n"/>
      <x:c r="I2" s="138" t="n"/>
      <x:c r="J2" s="138" t="n"/>
      <x:c r="K2" s="138" t="n"/>
      <x:c r="L2" s="138" t="n"/>
      <x:c r="M2" s="138" t="n"/>
    </x:row>
    <x:row r="3" s="135" customFormat="1" ht="15" customHeight="1">
      <x:c r="A3" s="138" t="n"/>
      <x:c r="B3" s="138" t="n"/>
      <x:c r="C3" s="138" t="n"/>
      <x:c r="D3" s="138" t="n"/>
      <x:c r="E3" s="138" t="n"/>
      <x:c r="F3" s="138" t="n"/>
      <x:c r="G3" s="138" t="n"/>
      <x:c r="H3" s="138" t="n"/>
      <x:c r="I3" s="138" t="n"/>
      <x:c r="J3" s="138" t="n"/>
      <x:c r="K3" s="138" t="n"/>
      <x:c r="L3" s="138" t="n"/>
      <x:c r="M3" s="138" t="n"/>
    </x:row>
    <x:row r="4" s="135" customFormat="1" ht="15" customHeight="1">
      <x:c r="A4" s="138" t="inlineStr">
        <x:is>
          <x:t xml:space="preserve">Requirements</x:t>
        </x:is>
      </x:c>
      <x:c r="B4" s="138" t="n">
        <x:f>COUNTA(A9:A25)</x:f>
        <x:v>17</x:v>
      </x:c>
      <x:c r="C4" s="138" t="n"/>
      <x:c r="D4" s="138" t="inlineStr">
        <x:is>
          <x:t xml:space="preserve">Resolved</x:t>
        </x:is>
      </x:c>
      <x:c r="E4" s="138" t="n">
        <x:f>SUM(M9:M25)</x:f>
        <x:v>13</x:v>
      </x:c>
      <x:c r="F4" s="138" t="n"/>
      <x:c r="G4" s="138" t="inlineStr">
        <x:is>
          <x:t xml:space="preserve">Completion</x:t>
        </x:is>
      </x:c>
      <x:c r="H4" s="140" t="n">
        <x:f>IF(B4=0,0,E4/B4)</x:f>
        <x:v>0.7647058823529411</x:v>
      </x:c>
      <x:c r="I4" s="138" t="n"/>
      <x:c r="J4" s="138" t="inlineStr">
        <x:is>
          <x:t xml:space="preserve">Package gate</x:t>
        </x:is>
      </x:c>
      <x:c r="K4" s="138" t="str">
        <x:f>IF(COUNTIFS(E9:E25,"package",M9:M25,0)&gt;0,"open","complete")</x:f>
        <x:v>open</x:v>
      </x:c>
      <x:c r="L4" s="138" t="n"/>
      <x:c r="M4" s="138" t="n"/>
    </x:row>
    <x:row r="5" s="135" customFormat="1" ht="15" customHeight="1">
      <x:c r="A5" s="138" t="inlineStr">
        <x:is>
          <x:t xml:space="preserve">Manual review</x:t>
        </x:is>
      </x:c>
      <x:c r="B5" s="138" t="str">
        <x:f>IF(COUNTIFS(I9:I25,"yes",M9:M25,0)&gt;0,"open","complete")</x:f>
        <x:v>open</x:v>
      </x:c>
      <x:c r="C5" s="138" t="n"/>
      <x:c r="D5" s="138" t="inlineStr">
        <x:is>
          <x:t xml:space="preserve">Consumer gate</x:t>
        </x:is>
      </x:c>
      <x:c r="E5" s="138" t="str">
        <x:f>IF(COUNTIFS(E9:E25,"consumer",M9:M25,0)&gt;0,"open","complete")</x:f>
        <x:v>complete</x:v>
      </x:c>
      <x:c r="F5" s="138" t="n"/>
      <x:c r="G5" s="138" t="n"/>
      <x:c r="H5" s="138" t="n"/>
      <x:c r="I5" s="138" t="n"/>
      <x:c r="J5" s="138" t="n"/>
      <x:c r="K5" s="138" t="n"/>
      <x:c r="L5" s="138" t="n"/>
      <x:c r="M5" s="138" t="n"/>
    </x:row>
    <x:row r="6" s="135" customFormat="1" ht="15" customHeight="1">
      <x:c r="A6" s="138" t="n"/>
      <x:c r="B6" s="138" t="n"/>
      <x:c r="C6" s="138" t="n"/>
      <x:c r="D6" s="138" t="n"/>
      <x:c r="E6" s="138" t="n"/>
      <x:c r="F6" s="138" t="n"/>
      <x:c r="G6" s="138" t="n"/>
      <x:c r="H6" s="138" t="n"/>
      <x:c r="I6" s="138" t="n"/>
      <x:c r="J6" s="138" t="n"/>
      <x:c r="K6" s="138" t="n"/>
      <x:c r="L6" s="138" t="n"/>
      <x:c r="M6" s="138" t="n"/>
    </x:row>
    <x:row r="7" s="135" customFormat="1" ht="15" customHeight="1">
      <x:c r="A7" s="138" t="n"/>
      <x:c r="B7" s="138" t="n"/>
      <x:c r="C7" s="138" t="n"/>
      <x:c r="D7" s="138" t="n"/>
      <x:c r="E7" s="138" t="n"/>
      <x:c r="F7" s="138" t="n"/>
      <x:c r="G7" s="138" t="n"/>
      <x:c r="H7" s="138" t="n"/>
      <x:c r="I7" s="138" t="n"/>
      <x:c r="J7" s="138" t="n"/>
      <x:c r="K7" s="138" t="n"/>
      <x:c r="L7" s="138" t="n"/>
      <x:c r="M7" s="138" t="n"/>
    </x:row>
    <x:row r="8" s="135" customFormat="1" ht="15" customHeight="1">
      <x:c r="A8" s="138" t="inlineStr">
        <x:is>
          <x:t xml:space="preserve">ID</x:t>
        </x:is>
      </x:c>
      <x:c r="B8" s="138" t="inlineStr">
        <x:is>
          <x:t xml:space="preserve">Area</x:t>
        </x:is>
      </x:c>
      <x:c r="C8" s="138" t="inlineStr">
        <x:is>
          <x:t xml:space="preserve">Part</x:t>
        </x:is>
      </x:c>
      <x:c r="D8" s="138" t="inlineStr">
        <x:is>
          <x:t xml:space="preserve">Requirement</x:t>
        </x:is>
      </x:c>
      <x:c r="E8" s="138" t="inlineStr">
        <x:is>
          <x:t xml:space="preserve">Gate</x:t>
        </x:is>
      </x:c>
      <x:c r="F8" s="138" t="inlineStr">
        <x:is>
          <x:t xml:space="preserve">Evidence type</x:t>
        </x:is>
      </x:c>
      <x:c r="G8" s="138" t="inlineStr">
        <x:is>
          <x:t xml:space="preserve">Evidence / link</x:t>
        </x:is>
      </x:c>
      <x:c r="H8" s="138" t="inlineStr">
        <x:is>
          <x:t xml:space="preserve">Status</x:t>
        </x:is>
      </x:c>
      <x:c r="I8" s="138" t="inlineStr">
        <x:is>
          <x:t xml:space="preserve">Human review?</x:t>
        </x:is>
      </x:c>
      <x:c r="J8" s="138" t="inlineStr">
        <x:is>
          <x:t xml:space="preserve">Last verified</x:t>
        </x:is>
      </x:c>
      <x:c r="K8" s="138" t="inlineStr">
        <x:is>
          <x:t xml:space="preserve">Blocker / N/A reason</x:t>
        </x:is>
      </x:c>
      <x:c r="L8" s="138" t="inlineStr">
        <x:is>
          <x:t xml:space="preserve">Weight</x:t>
        </x:is>
      </x:c>
      <x:c r="M8" s="138" t="inlineStr">
        <x:is>
          <x:t xml:space="preserve">Resolved</x:t>
        </x:is>
      </x:c>
    </x:row>
    <x:row r="9" s="135" customFormat="1" ht="48" customHeight="1">
      <x:c r="A9" s="143" t="inlineStr">
        <x:is>
          <x:t xml:space="preserve">empty-state-01</x:t>
        </x:is>
      </x:c>
      <x:c r="B9" s="143" t="inlineStr">
        <x:is>
          <x:t xml:space="preserve">Source</x:t>
        </x:is>
      </x:c>
      <x:c r="C9" s="143" t="inlineStr">
        <x:is>
          <x:t xml:space="preserve">Parts</x:t>
        </x:is>
      </x:c>
      <x:c r="D9" s="143" t="inlineStr">
        <x:is>
          <x:t xml:space="preserve">Public parts render default native hosts with refs and no recipe prop leakage.</x:t>
        </x:is>
      </x:c>
      <x:c r="E9" s="143" t="inlineStr">
        <x:is>
          <x:t xml:space="preserve">package</x:t>
        </x:is>
      </x:c>
      <x:c r="F9" s="143" t="inlineStr">
        <x:is>
          <x:t xml:space="preserve">component</x:t>
        </x:is>
      </x:c>
      <x:c r="G9" s="143" t="inlineStr">
        <x:is>
          <x:t xml:space="preserve">../test/components/empty-state/empty-state.test.tsx</x:t>
        </x:is>
      </x:c>
      <x:c r="H9" s="143" t="inlineStr">
        <x:is>
          <x:t xml:space="preserve">tested</x:t>
        </x:is>
      </x:c>
      <x:c r="I9" s="143" t="inlineStr">
        <x:is>
          <x:t xml:space="preserve">no</x:t>
        </x:is>
      </x:c>
      <x:c r="J9" s="143" t="inlineStr">
        <x:is>
          <x:t xml:space="preserve">2026-09-15</x:t>
        </x:is>
      </x:c>
      <x:c r="K9" s="143" t="n"/>
      <x:c r="L9" s="143" t="n">
        <x:v>1</x:v>
      </x:c>
      <x:c r="M9" s="143" t="n">
        <x:f>IF(OR(AND(I9="yes",H9="verified"),AND(I9="no",OR(H9="tested",H9="verified")),AND(H9="not applicable",K9&lt;&gt;"")),1,0)</x:f>
        <x:v>1</x:v>
      </x:c>
    </x:row>
    <x:row r="10" s="135" customFormat="1" ht="48" customHeight="1">
      <x:c r="A10" s="143" t="inlineStr">
        <x:is>
          <x:t xml:space="preserve">empty-state-02</x:t>
        </x:is>
      </x:c>
      <x:c r="B10" s="143" t="inlineStr">
        <x:is>
          <x:t xml:space="preserve">Types</x:t>
        </x:is>
      </x:c>
      <x:c r="C10" s="143" t="inlineStr">
        <x:is>
          <x:t xml:space="preserve">Public API</x:t>
        </x:is>
      </x:c>
      <x:c r="D10" s="143" t="inlineStr">
        <x:is>
          <x:t xml:space="preserve">Positive and negative public API combinations compile as intended.</x:t>
        </x:is>
      </x:c>
      <x:c r="E10" s="143" t="inlineStr">
        <x:is>
          <x:t xml:space="preserve">package</x:t>
        </x:is>
      </x:c>
      <x:c r="F10" s="143" t="inlineStr">
        <x:is>
          <x:t xml:space="preserve">types</x:t>
        </x:is>
      </x:c>
      <x:c r="G10" s="143" t="inlineStr">
        <x:is>
          <x:t xml:space="preserve">../test/types/components/empty-state.test.ts</x:t>
        </x:is>
      </x:c>
      <x:c r="H10" s="143" t="inlineStr">
        <x:is>
          <x:t xml:space="preserve">tested</x:t>
        </x:is>
      </x:c>
      <x:c r="I10" s="143" t="inlineStr">
        <x:is>
          <x:t xml:space="preserve">no</x:t>
        </x:is>
      </x:c>
      <x:c r="J10" s="143" t="inlineStr">
        <x:is>
          <x:t xml:space="preserve">2026-09-15</x:t>
        </x:is>
      </x:c>
      <x:c r="K10" s="143" t="n"/>
      <x:c r="L10" s="143" t="n">
        <x:v>1</x:v>
      </x:c>
      <x:c r="M10" s="143" t="n">
        <x:f>IF(OR(AND(I10="yes",H10="verified"),AND(I10="no",OR(H10="tested",H10="verified")),AND(H10="not applicable",K10&lt;&gt;"")),1,0)</x:f>
        <x:v>1</x:v>
      </x:c>
    </x:row>
    <x:row r="11" s="135" customFormat="1" ht="48" customHeight="1">
      <x:c r="A11" s="143" t="inlineStr">
        <x:is>
          <x:t xml:space="preserve">empty-state-03</x:t>
        </x:is>
      </x:c>
      <x:c r="B11" s="143" t="inlineStr">
        <x:is>
          <x:t xml:space="preserve">Geometry</x:t>
        </x:is>
      </x:c>
      <x:c r="C11" s="143" t="inlineStr">
        <x:is>
          <x:t xml:space="preserve">Sizes</x:t>
        </x:is>
      </x:c>
      <x:c r="D11" s="143" t="inlineStr">
        <x:is>
          <x:t xml:space="preserve">sm/md/lg padding, gap, title size/line height and square icons match the adopted metrics.</x:t>
        </x:is>
      </x:c>
      <x:c r="E11" s="143" t="inlineStr">
        <x:is>
          <x:t xml:space="preserve">package</x:t>
        </x:is>
      </x:c>
      <x:c r="F11" s="143" t="inlineStr">
        <x:is>
          <x:t xml:space="preserve">browser</x:t>
        </x:is>
      </x:c>
      <x:c r="G11" s="143" t="inlineStr">
        <x:is>
          <x:t xml:space="preserve">tests/components/empty-state/behavior.spec.ts</x:t>
        </x:is>
      </x:c>
      <x:c r="H11" s="143" t="inlineStr">
        <x:is>
          <x:t xml:space="preserve">tested</x:t>
        </x:is>
      </x:c>
      <x:c r="I11" s="143" t="inlineStr">
        <x:is>
          <x:t xml:space="preserve">no</x:t>
        </x:is>
      </x:c>
      <x:c r="J11" s="143" t="inlineStr">
        <x:is>
          <x:t xml:space="preserve">2026-09-15</x:t>
        </x:is>
      </x:c>
      <x:c r="K11" s="143" t="n"/>
      <x:c r="L11" s="143" t="n">
        <x:v>1</x:v>
      </x:c>
      <x:c r="M11" s="143" t="n">
        <x:f>IF(OR(AND(I11="yes",H11="verified"),AND(I11="no",OR(H11="tested",H11="verified")),AND(H11="not applicable",K11&lt;&gt;"")),1,0)</x:f>
        <x:v>1</x:v>
      </x:c>
    </x:row>
    <x:row r="12" s="135" customFormat="1" ht="48" customHeight="1">
      <x:c r="A12" s="143" t="inlineStr">
        <x:is>
          <x:t xml:space="preserve">empty-state-04</x:t>
        </x:is>
      </x:c>
      <x:c r="B12" s="143" t="inlineStr">
        <x:is>
          <x:t xml:space="preserve">Semantics</x:t>
        </x:is>
      </x:c>
      <x:c r="C12" s="143" t="inlineStr">
        <x:is>
          <x:t xml:space="preserve">Accessible output</x:t>
        </x:is>
      </x:c>
      <x:c r="D12" s="143" t="inlineStr">
        <x:is>
          <x:t xml:space="preserve">The component has no implicit duplicate live announcement.</x:t>
        </x:is>
      </x:c>
      <x:c r="E12" s="143" t="inlineStr">
        <x:is>
          <x:t xml:space="preserve">package</x:t>
        </x:is>
      </x:c>
      <x:c r="F12" s="143" t="inlineStr">
        <x:is>
          <x:t xml:space="preserve">component</x:t>
        </x:is>
      </x:c>
      <x:c r="G12" s="143" t="inlineStr">
        <x:is>
          <x:t xml:space="preserve">../test/components/empty-state/empty-state.test.tsx</x:t>
        </x:is>
      </x:c>
      <x:c r="H12" s="143" t="inlineStr">
        <x:is>
          <x:t xml:space="preserve">tested</x:t>
        </x:is>
      </x:c>
      <x:c r="I12" s="143" t="inlineStr">
        <x:is>
          <x:t xml:space="preserve">no</x:t>
        </x:is>
      </x:c>
      <x:c r="J12" s="143" t="inlineStr">
        <x:is>
          <x:t xml:space="preserve">2026-09-15</x:t>
        </x:is>
      </x:c>
      <x:c r="K12" s="143" t="n"/>
      <x:c r="L12" s="143" t="n">
        <x:v>1</x:v>
      </x:c>
      <x:c r="M12" s="143" t="n">
        <x:f>IF(OR(AND(I12="yes",H12="verified"),AND(I12="no",OR(H12="tested",H12="verified")),AND(H12="not applicable",K12&lt;&gt;"")),1,0)</x:f>
        <x:v>1</x:v>
      </x:c>
    </x:row>
    <x:row r="13" s="135" customFormat="1" ht="48" customHeight="1">
      <x:c r="A13" s="143" t="inlineStr">
        <x:is>
          <x:t xml:space="preserve">empty-state-05</x:t>
        </x:is>
      </x:c>
      <x:c r="B13" s="143" t="inlineStr">
        <x:is>
          <x:t xml:space="preserve">Recipes</x:t>
        </x:is>
      </x:c>
      <x:c r="C13" s="143" t="inlineStr">
        <x:is>
          <x:t xml:space="preserve">Theme</x:t>
        </x:is>
      </x:c>
      <x:c r="D13" s="143" t="inlineStr">
        <x:is>
          <x:t xml:space="preserve">Semantic recipes remain legible in light and dark.</x:t>
        </x:is>
      </x:c>
      <x:c r="E13" s="143" t="inlineStr">
        <x:is>
          <x:t xml:space="preserve">package</x:t>
        </x:is>
      </x:c>
      <x:c r="F13" s="143" t="inlineStr">
        <x:is>
          <x:t xml:space="preserve">visual</x:t>
        </x:is>
      </x:c>
      <x:c r="G13" s="143" t="inlineStr">
        <x:is>
          <x:t xml:space="preserve">tests/components/empty-state/visual.spec.ts</x:t>
        </x:is>
      </x:c>
      <x:c r="H13" s="143" t="inlineStr">
        <x:is>
          <x:t xml:space="preserve">implemented</x:t>
        </x:is>
      </x:c>
      <x:c r="I13" s="143" t="inlineStr">
        <x:is>
          <x:t xml:space="preserve">yes</x:t>
        </x:is>
      </x:c>
      <x:c r="J13" s="143" t="n"/>
      <x:c r="K13" s="143" t="inlineStr">
        <x:is>
          <x:t xml:space="preserve">Human qualification remains unperformed.</x:t>
        </x:is>
      </x:c>
      <x:c r="L13" s="143" t="n">
        <x:v>1</x:v>
      </x:c>
      <x:c r="M13" s="143" t="n">
        <x:f>IF(OR(AND(I13="yes",H13="verified"),AND(I13="no",OR(H13="tested",H13="verified")),AND(H13="not applicable",K13&lt;&gt;"")),1,0)</x:f>
        <x:v>0</x:v>
      </x:c>
    </x:row>
    <x:row r="14" s="135" customFormat="1" ht="48" customHeight="1">
      <x:c r="A14" s="143" t="inlineStr">
        <x:is>
          <x:t xml:space="preserve">empty-state-06</x:t>
        </x:is>
      </x:c>
      <x:c r="B14" s="143" t="inlineStr">
        <x:is>
          <x:t xml:space="preserve">Responsive</x:t>
        </x:is>
      </x:c>
      <x:c r="C14" s="143" t="inlineStr">
        <x:is>
          <x:t xml:space="preserve">Containment</x:t>
        </x:is>
      </x:c>
      <x:c r="D14" s="143" t="inlineStr">
        <x:is>
          <x:t xml:space="preserve">Responsive size/alignment reset across breakpoints; narrow RTL copy and icons remain contained.</x:t>
        </x:is>
      </x:c>
      <x:c r="E14" s="143" t="inlineStr">
        <x:is>
          <x:t xml:space="preserve">package</x:t>
        </x:is>
      </x:c>
      <x:c r="F14" s="143" t="inlineStr">
        <x:is>
          <x:t xml:space="preserve">browser</x:t>
        </x:is>
      </x:c>
      <x:c r="G14" s="143" t="inlineStr">
        <x:is>
          <x:t xml:space="preserve">tests/components/empty-state/behavior.spec.ts</x:t>
        </x:is>
      </x:c>
      <x:c r="H14" s="143" t="inlineStr">
        <x:is>
          <x:t xml:space="preserve">tested</x:t>
        </x:is>
      </x:c>
      <x:c r="I14" s="143" t="inlineStr">
        <x:is>
          <x:t xml:space="preserve">no</x:t>
        </x:is>
      </x:c>
      <x:c r="J14" s="143" t="inlineStr">
        <x:is>
          <x:t xml:space="preserve">2026-09-15</x:t>
        </x:is>
      </x:c>
      <x:c r="K14" s="143" t="n"/>
      <x:c r="L14" s="143" t="n">
        <x:v>1</x:v>
      </x:c>
      <x:c r="M14" s="143" t="n">
        <x:f>IF(OR(AND(I14="yes",H14="verified"),AND(I14="no",OR(H14="tested",H14="verified")),AND(H14="not applicable",K14&lt;&gt;"")),1,0)</x:f>
        <x:v>1</x:v>
      </x:c>
    </x:row>
    <x:row r="15" s="135" customFormat="1" ht="48" customHeight="1">
      <x:c r="A15" s="143" t="inlineStr">
        <x:is>
          <x:t xml:space="preserve">empty-state-07</x:t>
        </x:is>
      </x:c>
      <x:c r="B15" s="143" t="inlineStr">
        <x:is>
          <x:t xml:space="preserve">Accessibility</x:t>
        </x:is>
      </x:c>
      <x:c r="C15" s="143" t="inlineStr">
        <x:is>
          <x:t xml:space="preserve">Scan</x:t>
        </x:is>
      </x:c>
      <x:c r="D15" s="143" t="inlineStr">
        <x:is>
          <x:t xml:space="preserve">Component page has no axe violations.</x:t>
        </x:is>
      </x:c>
      <x:c r="E15" s="143" t="inlineStr">
        <x:is>
          <x:t xml:space="preserve">package</x:t>
        </x:is>
      </x:c>
      <x:c r="F15" s="143" t="inlineStr">
        <x:is>
          <x:t xml:space="preserve">axe</x:t>
        </x:is>
      </x:c>
      <x:c r="G15" s="143" t="inlineStr">
        <x:is>
          <x:t xml:space="preserve">tests/components/empty-state/behavior.spec.ts</x:t>
        </x:is>
      </x:c>
      <x:c r="H15" s="143" t="inlineStr">
        <x:is>
          <x:t xml:space="preserve">tested</x:t>
        </x:is>
      </x:c>
      <x:c r="I15" s="143" t="inlineStr">
        <x:is>
          <x:t xml:space="preserve">no</x:t>
        </x:is>
      </x:c>
      <x:c r="J15" s="143" t="inlineStr">
        <x:is>
          <x:t xml:space="preserve">2026-09-15</x:t>
        </x:is>
      </x:c>
      <x:c r="K15" s="143" t="n"/>
      <x:c r="L15" s="143" t="n">
        <x:v>1</x:v>
      </x:c>
      <x:c r="M15" s="143" t="n">
        <x:f>IF(OR(AND(I15="yes",H15="verified"),AND(I15="no",OR(H15="tested",H15="verified")),AND(H15="not applicable",K15&lt;&gt;"")),1,0)</x:f>
        <x:v>1</x:v>
      </x:c>
    </x:row>
    <x:row r="16" s="135" customFormat="1" ht="48" customHeight="1">
      <x:c r="A16" s="143" t="inlineStr">
        <x:is>
          <x:t xml:space="preserve">empty-state-08</x:t>
        </x:is>
      </x:c>
      <x:c r="B16" s="143" t="inlineStr">
        <x:is>
          <x:t xml:space="preserve">Preferences</x:t>
        </x:is>
      </x:c>
      <x:c r="C16" s="143" t="inlineStr">
        <x:is>
          <x:t xml:space="preserve">System colors</x:t>
        </x:is>
      </x:c>
      <x:c r="D16" s="143" t="inlineStr">
        <x:is>
          <x:t xml:space="preserve">Forced colors preserve visible content and reduced-motion policy.</x:t>
        </x:is>
      </x:c>
      <x:c r="E16" s="143" t="inlineStr">
        <x:is>
          <x:t xml:space="preserve">package</x:t>
        </x:is>
      </x:c>
      <x:c r="F16" s="143" t="inlineStr">
        <x:is>
          <x:t xml:space="preserve">browser</x:t>
        </x:is>
      </x:c>
      <x:c r="G16" s="143" t="inlineStr">
        <x:is>
          <x:t xml:space="preserve">tests/components/empty-state/behavior.spec.ts</x:t>
        </x:is>
      </x:c>
      <x:c r="H16" s="143" t="inlineStr">
        <x:is>
          <x:t xml:space="preserve">tested</x:t>
        </x:is>
      </x:c>
      <x:c r="I16" s="143" t="inlineStr">
        <x:is>
          <x:t xml:space="preserve">no</x:t>
        </x:is>
      </x:c>
      <x:c r="J16" s="143" t="inlineStr">
        <x:is>
          <x:t xml:space="preserve">2026-09-15</x:t>
        </x:is>
      </x:c>
      <x:c r="K16" s="143" t="n"/>
      <x:c r="L16" s="143" t="n">
        <x:v>1</x:v>
      </x:c>
      <x:c r="M16" s="143" t="n">
        <x:f>IF(OR(AND(I16="yes",H16="verified"),AND(I16="no",OR(H16="tested",H16="verified")),AND(H16="not applicable",K16&lt;&gt;"")),1,0)</x:f>
        <x:v>1</x:v>
      </x:c>
    </x:row>
    <x:row r="17" s="135" customFormat="1" ht="48" customHeight="1">
      <x:c r="A17" s="143" t="inlineStr">
        <x:is>
          <x:t xml:space="preserve">empty-state-09</x:t>
        </x:is>
      </x:c>
      <x:c r="B17" s="143" t="inlineStr">
        <x:is>
          <x:t xml:space="preserve">Playground</x:t>
        </x:is>
      </x:c>
      <x:c r="C17" s="143" t="inlineStr">
        <x:is>
          <x:t xml:space="preserve">Scenarios</x:t>
        </x:is>
      </x:c>
      <x:c r="D17" s="143" t="inlineStr">
        <x:is>
          <x:t xml:space="preserve">Normal docs pair examples and part props; qualification preserves all 13 scenarios in order.</x:t>
        </x:is>
      </x:c>
      <x:c r="E17" s="143" t="inlineStr">
        <x:is>
          <x:t xml:space="preserve">package</x:t>
        </x:is>
      </x:c>
      <x:c r="F17" s="143" t="inlineStr">
        <x:is>
          <x:t xml:space="preserve">browser</x:t>
        </x:is>
      </x:c>
      <x:c r="G17" s="143" t="inlineStr">
        <x:is>
          <x:t xml:space="preserve">tests/integration/recent-component-capabilities.spec.ts</x:t>
        </x:is>
      </x:c>
      <x:c r="H17" s="143" t="inlineStr">
        <x:is>
          <x:t xml:space="preserve">tested</x:t>
        </x:is>
      </x:c>
      <x:c r="I17" s="143" t="inlineStr">
        <x:is>
          <x:t xml:space="preserve">no</x:t>
        </x:is>
      </x:c>
      <x:c r="J17" s="143" t="n"/>
      <x:c r="K17" s="143" t="inlineStr">
        <x:is>
          <x:t xml:space="preserve">Automated qualification passed; see private feedback implementation evidence.</x:t>
        </x:is>
      </x:c>
      <x:c r="L17" s="143" t="n">
        <x:v>1</x:v>
      </x:c>
      <x:c r="M17" s="143" t="n">
        <x:f>IF(OR(AND(I17="yes",H17="verified"),AND(I17="no",OR(H17="tested",H17="verified")),AND(H17="not applicable",K17&lt;&gt;"")),1,0)</x:f>
        <x:v>1</x:v>
      </x:c>
    </x:row>
    <x:row r="18" s="135" customFormat="1" ht="48" customHeight="1">
      <x:c r="A18" s="143" t="inlineStr">
        <x:is>
          <x:t xml:space="preserve">empty-state-10</x:t>
        </x:is>
      </x:c>
      <x:c r="B18" s="143" t="inlineStr">
        <x:is>
          <x:t xml:space="preserve">Docs</x:t>
        </x:is>
      </x:c>
      <x:c r="C18" s="143" t="inlineStr">
        <x:is>
          <x:t xml:space="preserve">Public guide</x:t>
        </x:is>
      </x:c>
      <x:c r="D18" s="143" t="inlineStr">
        <x:is>
          <x:t xml:space="preserve">Source-backed documentation and changelog validation pass.</x:t>
        </x:is>
      </x:c>
      <x:c r="E18" s="143" t="inlineStr">
        <x:is>
          <x:t xml:space="preserve">package</x:t>
        </x:is>
      </x:c>
      <x:c r="F18" s="143" t="inlineStr">
        <x:is>
          <x:t xml:space="preserve">docs</x:t>
        </x:is>
      </x:c>
      <x:c r="G18" s="143" t="inlineStr">
        <x:is>
          <x:t xml:space="preserve">../docs/components/empty-state/README.md</x:t>
        </x:is>
      </x:c>
      <x:c r="H18" s="143" t="inlineStr">
        <x:is>
          <x:t xml:space="preserve">tested</x:t>
        </x:is>
      </x:c>
      <x:c r="I18" s="143" t="inlineStr">
        <x:is>
          <x:t xml:space="preserve">no</x:t>
        </x:is>
      </x:c>
      <x:c r="J18" s="143" t="inlineStr">
        <x:is>
          <x:t xml:space="preserve">2026-09-15</x:t>
        </x:is>
      </x:c>
      <x:c r="K18" s="143" t="n"/>
      <x:c r="L18" s="143" t="n">
        <x:v>1</x:v>
      </x:c>
      <x:c r="M18" s="143" t="n">
        <x:f>IF(OR(AND(I18="yes",H18="verified"),AND(I18="no",OR(H18="tested",H18="verified")),AND(H18="not applicable",K18&lt;&gt;"")),1,0)</x:f>
        <x:v>1</x:v>
      </x:c>
    </x:row>
    <x:row r="19" s="135" customFormat="1" ht="48" customHeight="1">
      <x:c r="A19" s="143" t="inlineStr">
        <x:is>
          <x:t xml:space="preserve">empty-state-11</x:t>
        </x:is>
      </x:c>
      <x:c r="B19" s="143" t="inlineStr">
        <x:is>
          <x:t xml:space="preserve">Knowledge</x:t>
        </x:is>
      </x:c>
      <x:c r="C19" s="143" t="inlineStr">
        <x:is>
          <x:t xml:space="preserve">Agent guidance</x:t>
        </x:is>
      </x:c>
      <x:c r="D19" s="143" t="inlineStr">
        <x:is>
          <x:t xml:space="preserve">Exact candidate resolves this new owner with closed coverage.</x:t>
        </x:is>
      </x:c>
      <x:c r="E19" s="143" t="inlineStr">
        <x:is>
          <x:t xml:space="preserve">package</x:t>
        </x:is>
      </x:c>
      <x:c r="F19" s="143" t="inlineStr">
        <x:is>
          <x:t xml:space="preserve">package</x:t>
        </x:is>
      </x:c>
      <x:c r="G19" s="143" t="inlineStr">
        <x:is>
          <x:t xml:space="preserve">../src/components/empty-state/agent.json</x:t>
        </x:is>
      </x:c>
      <x:c r="H19" s="143" t="inlineStr">
        <x:is>
          <x:t xml:space="preserve">tested</x:t>
        </x:is>
      </x:c>
      <x:c r="I19" s="143" t="inlineStr">
        <x:is>
          <x:t xml:space="preserve">no</x:t>
        </x:is>
      </x:c>
      <x:c r="J19" s="143" t="inlineStr">
        <x:is>
          <x:t xml:space="preserve">2026-09-15</x:t>
        </x:is>
      </x:c>
      <x:c r="K19" s="143" t="inlineStr">
        <x:is>
          <x:t xml:space="preserve">Automated qualification passed; see private feedback implementation evidence.</x:t>
        </x:is>
      </x:c>
      <x:c r="L19" s="143" t="n">
        <x:v>1</x:v>
      </x:c>
      <x:c r="M19" s="143" t="n">
        <x:f>IF(OR(AND(I19="yes",H19="verified"),AND(I19="no",OR(H19="tested",H19="verified")),AND(H19="not applicable",K19&lt;&gt;"")),1,0)</x:f>
        <x:v>1</x:v>
      </x:c>
    </x:row>
    <x:row r="20" s="135" customFormat="1" ht="48" customHeight="1">
      <x:c r="A20" s="143" t="inlineStr">
        <x:is>
          <x:t xml:space="preserve">empty-state-12</x:t>
        </x:is>
      </x:c>
      <x:c r="B20" s="143" t="inlineStr">
        <x:is>
          <x:t xml:space="preserve">Consumer</x:t>
        </x:is>
      </x:c>
      <x:c r="C20" s="143" t="inlineStr">
        <x:is>
          <x:t xml:space="preserve">Integration</x:t>
        </x:is>
      </x:c>
      <x:c r="D20" s="143" t="inlineStr">
        <x:is>
          <x:t xml:space="preserve">Packed search flow uses loading, empty content and error recovery.</x:t>
        </x:is>
      </x:c>
      <x:c r="E20" s="143" t="inlineStr">
        <x:is>
          <x:t xml:space="preserve">consumer</x:t>
        </x:is>
      </x:c>
      <x:c r="F20" s="143" t="inlineStr">
        <x:is>
          <x:t xml:space="preserve">consumer</x:t>
        </x:is>
      </x:c>
      <x:c r="G20" s="143" t="inlineStr">
        <x:is>
          <x:t xml:space="preserve">../apps/consumer/tests/feedback.spec.ts</x:t>
        </x:is>
      </x:c>
      <x:c r="H20" s="143" t="inlineStr">
        <x:is>
          <x:t xml:space="preserve">tested</x:t>
        </x:is>
      </x:c>
      <x:c r="I20" s="143" t="inlineStr">
        <x:is>
          <x:t xml:space="preserve">no</x:t>
        </x:is>
      </x:c>
      <x:c r="J20" s="143" t="inlineStr">
        <x:is>
          <x:t xml:space="preserve">2026-09-15</x:t>
        </x:is>
      </x:c>
      <x:c r="K20" s="143" t="inlineStr">
        <x:is>
          <x:t xml:space="preserve">Automated qualification passed; see private feedback implementation evidence.</x:t>
        </x:is>
      </x:c>
      <x:c r="L20" s="143" t="n">
        <x:v>1</x:v>
      </x:c>
      <x:c r="M20" s="143" t="n">
        <x:f>IF(OR(AND(I20="yes",H20="verified"),AND(I20="no",OR(H20="tested",H20="verified")),AND(H20="not applicable",K20&lt;&gt;"")),1,0)</x:f>
        <x:v>1</x:v>
      </x:c>
    </x:row>
    <x:row r="21" s="135" customFormat="1" ht="48" customHeight="1">
      <x:c r="A21" s="143" t="inlineStr">
        <x:is>
          <x:t xml:space="preserve">empty-state-13</x:t>
        </x:is>
      </x:c>
      <x:c r="B21" s="143" t="inlineStr">
        <x:is>
          <x:t xml:space="preserve">Package</x:t>
        </x:is>
      </x:c>
      <x:c r="C21" s="143" t="inlineStr">
        <x:is>
          <x:t xml:space="preserve">Archive</x:t>
        </x:is>
      </x:c>
      <x:c r="D21" s="143" t="inlineStr">
        <x:is>
          <x:t xml:space="preserve">Archive imports and modular CSS pass in clean React consumers.</x:t>
        </x:is>
      </x:c>
      <x:c r="E21" s="143" t="inlineStr">
        <x:is>
          <x:t xml:space="preserve">package</x:t>
        </x:is>
      </x:c>
      <x:c r="F21" s="143" t="inlineStr">
        <x:is>
          <x:t xml:space="preserve">package</x:t>
        </x:is>
      </x:c>
      <x:c r="G21" s="143" t="inlineStr">
        <x:is>
          <x:t xml:space="preserve">../test/package/empty-state.test.mjs; ../scripts/verify-consumers.mjs</x:t>
        </x:is>
      </x:c>
      <x:c r="H21" s="143" t="inlineStr">
        <x:is>
          <x:t xml:space="preserve">tested</x:t>
        </x:is>
      </x:c>
      <x:c r="I21" s="143" t="inlineStr">
        <x:is>
          <x:t xml:space="preserve">no</x:t>
        </x:is>
      </x:c>
      <x:c r="J21" s="143" t="inlineStr">
        <x:is>
          <x:t xml:space="preserve">2026-09-15</x:t>
        </x:is>
      </x:c>
      <x:c r="K21" s="143" t="inlineStr">
        <x:is>
          <x:t xml:space="preserve">Automated qualification passed; see private feedback implementation evidence.</x:t>
        </x:is>
      </x:c>
      <x:c r="L21" s="143" t="n">
        <x:v>1</x:v>
      </x:c>
      <x:c r="M21" s="143" t="n">
        <x:f>IF(OR(AND(I21="yes",H21="verified"),AND(I21="no",OR(H21="tested",H21="verified")),AND(H21="not applicable",K21&lt;&gt;"")),1,0)</x:f>
        <x:v>1</x:v>
      </x:c>
    </x:row>
    <x:row r="22" s="135" customFormat="1" ht="48" customHeight="1">
      <x:c r="A22" s="143" t="inlineStr">
        <x:is>
          <x:t xml:space="preserve">empty-state-14</x:t>
        </x:is>
      </x:c>
      <x:c r="B22" s="143" t="inlineStr">
        <x:is>
          <x:t xml:space="preserve">Manual</x:t>
        </x:is>
      </x:c>
      <x:c r="C22" s="143" t="inlineStr">
        <x:is>
          <x:t xml:space="preserve">Screen reader</x:t>
        </x:is>
      </x:c>
      <x:c r="D22" s="143" t="inlineStr">
        <x:is>
          <x:t xml:space="preserve">Real assistive technology confirms names and announcement policy.</x:t>
        </x:is>
      </x:c>
      <x:c r="E22" s="143" t="inlineStr">
        <x:is>
          <x:t xml:space="preserve">package</x:t>
        </x:is>
      </x:c>
      <x:c r="F22" s="143" t="inlineStr">
        <x:is>
          <x:t xml:space="preserve">manual</x:t>
        </x:is>
      </x:c>
      <x:c r="G22" s="143" t="inlineStr">
        <x:is>
          <x:t xml:space="preserve">manual-tests/empty-state.md</x:t>
        </x:is>
      </x:c>
      <x:c r="H22" s="143" t="inlineStr">
        <x:is>
          <x:t xml:space="preserve">implemented</x:t>
        </x:is>
      </x:c>
      <x:c r="I22" s="143" t="inlineStr">
        <x:is>
          <x:t xml:space="preserve">yes</x:t>
        </x:is>
      </x:c>
      <x:c r="J22" s="143" t="n"/>
      <x:c r="K22" s="143" t="inlineStr">
        <x:is>
          <x:t xml:space="preserve">Human qualification remains unperformed.</x:t>
        </x:is>
      </x:c>
      <x:c r="L22" s="143" t="n">
        <x:v>1</x:v>
      </x:c>
      <x:c r="M22" s="143" t="n">
        <x:f>IF(OR(AND(I22="yes",H22="verified"),AND(I22="no",OR(H22="tested",H22="verified")),AND(H22="not applicable",K22&lt;&gt;"")),1,0)</x:f>
        <x:v>0</x:v>
      </x:c>
    </x:row>
    <x:row r="23" s="135" customFormat="1" ht="48" customHeight="1">
      <x:c r="A23" s="143" t="inlineStr">
        <x:is>
          <x:t xml:space="preserve">empty-state-15</x:t>
        </x:is>
      </x:c>
      <x:c r="B23" s="143" t="inlineStr">
        <x:is>
          <x:t xml:space="preserve">Manual</x:t>
        </x:is>
      </x:c>
      <x:c r="C23" s="143" t="inlineStr">
        <x:is>
          <x:t xml:space="preserve">Zoom and device</x:t>
        </x:is>
      </x:c>
      <x:c r="D23" s="143" t="inlineStr">
        <x:is>
          <x:t xml:space="preserve">Actual 200/400% zoom and physical touch are manually reviewed.</x:t>
        </x:is>
      </x:c>
      <x:c r="E23" s="143" t="inlineStr">
        <x:is>
          <x:t xml:space="preserve">package</x:t>
        </x:is>
      </x:c>
      <x:c r="F23" s="143" t="inlineStr">
        <x:is>
          <x:t xml:space="preserve">manual</x:t>
        </x:is>
      </x:c>
      <x:c r="G23" s="143" t="inlineStr">
        <x:is>
          <x:t xml:space="preserve">manual-tests/empty-state.md</x:t>
        </x:is>
      </x:c>
      <x:c r="H23" s="143" t="inlineStr">
        <x:is>
          <x:t xml:space="preserve">implemented</x:t>
        </x:is>
      </x:c>
      <x:c r="I23" s="143" t="inlineStr">
        <x:is>
          <x:t xml:space="preserve">yes</x:t>
        </x:is>
      </x:c>
      <x:c r="J23" s="143" t="n"/>
      <x:c r="K23" s="143" t="inlineStr">
        <x:is>
          <x:t xml:space="preserve">Human qualification remains unperformed.</x:t>
        </x:is>
      </x:c>
      <x:c r="L23" s="143" t="n">
        <x:v>1</x:v>
      </x:c>
      <x:c r="M23" s="143" t="n">
        <x:f>IF(OR(AND(I23="yes",H23="verified"),AND(I23="no",OR(H23="tested",H23="verified")),AND(H23="not applicable",K23&lt;&gt;"")),1,0)</x:f>
        <x:v>0</x:v>
      </x:c>
    </x:row>
    <x:row r="24" s="135" customFormat="1" ht="48" customHeight="1">
      <x:c r="A24" s="143" t="inlineStr">
        <x:is>
          <x:t xml:space="preserve">empty-state-16</x:t>
        </x:is>
      </x:c>
      <x:c r="B24" s="143" t="inlineStr">
        <x:is>
          <x:t xml:space="preserve">Review</x:t>
        </x:is>
      </x:c>
      <x:c r="C24" s="143" t="inlineStr">
        <x:is>
          <x:t xml:space="preserve">Visual polish</x:t>
        </x:is>
      </x:c>
      <x:c r="D24" s="143" t="inlineStr">
        <x:is>
          <x:t xml:space="preserve">Every specimen is reviewed at normal/narrow width and light/dark.</x:t>
        </x:is>
      </x:c>
      <x:c r="E24" s="143" t="inlineStr">
        <x:is>
          <x:t xml:space="preserve">package</x:t>
        </x:is>
      </x:c>
      <x:c r="F24" s="143" t="inlineStr">
        <x:is>
          <x:t xml:space="preserve">manual</x:t>
        </x:is>
      </x:c>
      <x:c r="G24" s="143" t="inlineStr">
        <x:is>
          <x:t xml:space="preserve">manual-tests/empty-state.md</x:t>
        </x:is>
      </x:c>
      <x:c r="H24" s="143" t="inlineStr">
        <x:is>
          <x:t xml:space="preserve">implemented</x:t>
        </x:is>
      </x:c>
      <x:c r="I24" s="143" t="inlineStr">
        <x:is>
          <x:t xml:space="preserve">yes</x:t>
        </x:is>
      </x:c>
      <x:c r="J24" s="143" t="n"/>
      <x:c r="K24" s="143" t="inlineStr">
        <x:is>
          <x:t xml:space="preserve">Human qualification remains unperformed.</x:t>
        </x:is>
      </x:c>
      <x:c r="L24" s="143" t="n">
        <x:v>1</x:v>
      </x:c>
      <x:c r="M24" s="143" t="n">
        <x:f>IF(OR(AND(I24="yes",H24="verified"),AND(I24="no",OR(H24="tested",H24="verified")),AND(H24="not applicable",K24&lt;&gt;"")),1,0)</x:f>
        <x:v>0</x:v>
      </x:c>
    </x:row>
    <x:row r="25" s="135" customFormat="1" ht="48" customHeight="1">
      <x:c r="A25" s="143" t="inlineStr">
        <x:is>
          <x:t xml:space="preserve">empty-state-17</x:t>
        </x:is>
      </x:c>
      <x:c r="B25" s="143" t="inlineStr">
        <x:is>
          <x:t xml:space="preserve">Lifecycle</x:t>
        </x:is>
      </x:c>
      <x:c r="C25" s="143" t="inlineStr">
        <x:is>
          <x:t xml:space="preserve">Boundary</x:t>
        </x:is>
      </x:c>
      <x:c r="D25" s="143" t="inlineStr">
        <x:is>
          <x:t xml:space="preserve">No application state or new headless behavior is introduced.</x:t>
        </x:is>
      </x:c>
      <x:c r="E25" s="143" t="inlineStr">
        <x:is>
          <x:t xml:space="preserve">package</x:t>
        </x:is>
      </x:c>
      <x:c r="F25" s="143" t="inlineStr">
        <x:is>
          <x:t xml:space="preserve">source</x:t>
        </x:is>
      </x:c>
      <x:c r="G25" s="143" t="inlineStr">
        <x:is>
          <x:t xml:space="preserve">../src/components/empty-state</x:t>
        </x:is>
      </x:c>
      <x:c r="H25" s="143" t="inlineStr">
        <x:is>
          <x:t xml:space="preserve">tested</x:t>
        </x:is>
      </x:c>
      <x:c r="I25" s="143" t="inlineStr">
        <x:is>
          <x:t xml:space="preserve">no</x:t>
        </x:is>
      </x:c>
      <x:c r="J25" s="143" t="inlineStr">
        <x:is>
          <x:t xml:space="preserve">2026-09-15</x:t>
        </x:is>
      </x:c>
      <x:c r="K25" s="143" t="n"/>
      <x:c r="L25" s="143" t="n">
        <x:v>1</x:v>
      </x:c>
      <x:c r="M25" s="143" t="n">
        <x:f>IF(OR(AND(I25="yes",H25="verified"),AND(I25="no",OR(H25="tested",H25="verified")),AND(H25="not applicable",K25&lt;&gt;"")),1,0)</x:f>
        <x:v>1</x:v>
      </x:c>
    </x:row>
  </x:sheetData>
  <x:dataValidations count="1">
    <x:dataValidation type="list" errorStyle="stop" operator="between" allowBlank="0" showDropDown="0" showInputMessage="0" showErrorMessage="0" sqref="H9:H25">
      <x:formula1>"not started,partial,implemented,tested,verified,blocked,not applicable"</x:formula1>
      <x:formula2>0</x:formula2>
    </x:dataValidation>
  </x:dataValidations>
  <x:pageMargins left="0.7" right="0.7" top="0.75" bottom="0.75" header="0.3" footer="0.3"/>
</x:worksheet>
</file>

<file path=xl/worksheets/sheet123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baseColWidth="8" defaultColWidth="8.6796875" defaultRowHeight="15"/>
  <x:cols>
    <x:col min="1" max="1" width="16" style="138" customWidth="1"/>
    <x:col min="2" max="2" width="18" style="138" customWidth="1"/>
    <x:col min="3" max="3" width="22" style="138" customWidth="1"/>
    <x:col min="4" max="4" width="64" style="138" customWidth="1"/>
    <x:col min="5" max="6" width="16" style="138" customWidth="1"/>
    <x:col min="7" max="7" width="58" style="138" customWidth="1"/>
    <x:col min="8" max="8" width="18" style="138" customWidth="1"/>
    <x:col min="9" max="10" width="16" style="138" customWidth="1"/>
    <x:col min="11" max="11" width="48" style="138" customWidth="1"/>
    <x:col min="12" max="13" width="10" style="138" customWidth="1"/>
  </x:cols>
  <x:sheetData>
    <x:row r="1" s="135" customFormat="1" ht="27.75" customHeight="1">
      <x:c r="A1" s="227" t="inlineStr">
        <x:is>
          <x:t xml:space="preserve">Stat Evidence</x:t>
        </x:is>
      </x:c>
    </x:row>
    <x:row r="2" s="135" customFormat="1" ht="42" customHeight="1">
      <x:c r="A2" s="228" t="inlineStr">
        <x:is>
          <x:t xml:space="preserve">September 18 local parity update. Responsive sizes, projection cleanup and focused docs. Manual and release gates remain open.</x:t>
        </x:is>
      </x:c>
    </x:row>
    <x:row r="3" s="135" customFormat="1" ht="15" customHeight="1">
      <x:c r="A3" s="138" t="n"/>
      <x:c r="B3" s="138" t="n"/>
      <x:c r="C3" s="138" t="n"/>
      <x:c r="D3" s="138" t="n"/>
      <x:c r="E3" s="138" t="n"/>
      <x:c r="F3" s="138" t="n"/>
      <x:c r="G3" s="138" t="n"/>
      <x:c r="H3" s="138" t="n"/>
      <x:c r="I3" s="138" t="n"/>
      <x:c r="J3" s="138" t="n"/>
      <x:c r="K3" s="138" t="n"/>
      <x:c r="L3" s="138" t="n"/>
      <x:c r="M3" s="138" t="n"/>
    </x:row>
    <x:row r="4" s="135" customFormat="1" ht="15" customHeight="1">
      <x:c r="A4" s="138" t="inlineStr">
        <x:is>
          <x:t xml:space="preserve">Requirements</x:t>
        </x:is>
      </x:c>
      <x:c r="B4" s="138" t="n">
        <x:f>COUNTA(A9:A25)</x:f>
        <x:v>17</x:v>
      </x:c>
      <x:c r="C4" s="138" t="n"/>
      <x:c r="D4" s="138" t="inlineStr">
        <x:is>
          <x:t xml:space="preserve">Resolved</x:t>
        </x:is>
      </x:c>
      <x:c r="E4" s="138" t="n">
        <x:f>SUM(M9:M25)</x:f>
        <x:v>13</x:v>
      </x:c>
      <x:c r="F4" s="138" t="n"/>
      <x:c r="G4" s="138" t="inlineStr">
        <x:is>
          <x:t xml:space="preserve">Completion</x:t>
        </x:is>
      </x:c>
      <x:c r="H4" s="139" t="n">
        <x:f>IF(B4=0,0,E4/B4)</x:f>
        <x:v>0.7647058823529411</x:v>
      </x:c>
      <x:c r="I4" s="138" t="n"/>
      <x:c r="J4" s="138" t="inlineStr">
        <x:is>
          <x:t xml:space="preserve">Package gate</x:t>
        </x:is>
      </x:c>
      <x:c r="K4" s="138" t="str">
        <x:f>IF(COUNTIFS(E9:E25,"package",M9:M25,0)&gt;0,"open","complete")</x:f>
        <x:v>open</x:v>
      </x:c>
      <x:c r="L4" s="138" t="n"/>
      <x:c r="M4" s="138" t="n"/>
    </x:row>
    <x:row r="5" s="135" customFormat="1" ht="15" customHeight="1">
      <x:c r="A5" s="138" t="inlineStr">
        <x:is>
          <x:t xml:space="preserve">Manual review</x:t>
        </x:is>
      </x:c>
      <x:c r="B5" s="138" t="str">
        <x:f>IF(COUNTIFS(I9:I25,"yes",M9:M25,0)&gt;0,"open","complete")</x:f>
        <x:v>open</x:v>
      </x:c>
      <x:c r="C5" s="138" t="n"/>
      <x:c r="D5" s="138" t="inlineStr">
        <x:is>
          <x:t xml:space="preserve">Consumer gate</x:t>
        </x:is>
      </x:c>
      <x:c r="E5" s="138" t="str">
        <x:f>IF(COUNTIFS(E9:E25,"consumer",M9:M25,0)&gt;0,"open","complete")</x:f>
        <x:v>open</x:v>
      </x:c>
      <x:c r="F5" s="138" t="n"/>
      <x:c r="G5" s="138" t="n"/>
      <x:c r="H5" s="138" t="n"/>
      <x:c r="I5" s="138" t="n"/>
      <x:c r="J5" s="138" t="n"/>
      <x:c r="K5" s="138" t="n"/>
      <x:c r="L5" s="138" t="n"/>
      <x:c r="M5" s="138" t="n"/>
    </x:row>
    <x:row r="6" s="135" customFormat="1" ht="15" customHeight="1">
      <x:c r="A6" s="138" t="n"/>
      <x:c r="B6" s="138" t="n"/>
      <x:c r="C6" s="138" t="n"/>
      <x:c r="D6" s="138" t="n"/>
      <x:c r="E6" s="138" t="n"/>
      <x:c r="F6" s="138" t="n"/>
      <x:c r="G6" s="138" t="n"/>
      <x:c r="H6" s="138" t="n"/>
      <x:c r="I6" s="138" t="n"/>
      <x:c r="J6" s="138" t="n"/>
      <x:c r="K6" s="138" t="n"/>
      <x:c r="L6" s="138" t="n"/>
      <x:c r="M6" s="138" t="n"/>
    </x:row>
    <x:row r="7" s="135" customFormat="1" ht="15" customHeight="1">
      <x:c r="A7" s="138" t="n"/>
      <x:c r="B7" s="138" t="n"/>
      <x:c r="C7" s="138" t="n"/>
      <x:c r="D7" s="138" t="n"/>
      <x:c r="E7" s="138" t="n"/>
      <x:c r="F7" s="138" t="n"/>
      <x:c r="G7" s="138" t="n"/>
      <x:c r="H7" s="138" t="n"/>
      <x:c r="I7" s="138" t="n"/>
      <x:c r="J7" s="138" t="n"/>
      <x:c r="K7" s="138" t="n"/>
      <x:c r="L7" s="138" t="n"/>
      <x:c r="M7" s="138" t="n"/>
    </x:row>
    <x:row r="8" s="135" customFormat="1" ht="27.75" customHeight="1">
      <x:c r="A8" s="174" t="inlineStr">
        <x:is>
          <x:t xml:space="preserve">ID</x:t>
        </x:is>
      </x:c>
      <x:c r="B8" s="174" t="inlineStr">
        <x:is>
          <x:t xml:space="preserve">Area</x:t>
        </x:is>
      </x:c>
      <x:c r="C8" s="174" t="inlineStr">
        <x:is>
          <x:t xml:space="preserve">Part</x:t>
        </x:is>
      </x:c>
      <x:c r="D8" s="174" t="inlineStr">
        <x:is>
          <x:t xml:space="preserve">Requirement</x:t>
        </x:is>
      </x:c>
      <x:c r="E8" s="174" t="inlineStr">
        <x:is>
          <x:t xml:space="preserve">Gate</x:t>
        </x:is>
      </x:c>
      <x:c r="F8" s="174" t="inlineStr">
        <x:is>
          <x:t xml:space="preserve">Evidence type</x:t>
        </x:is>
      </x:c>
      <x:c r="G8" s="174" t="inlineStr">
        <x:is>
          <x:t xml:space="preserve">Evidence / link</x:t>
        </x:is>
      </x:c>
      <x:c r="H8" s="174" t="inlineStr">
        <x:is>
          <x:t xml:space="preserve">Status</x:t>
        </x:is>
      </x:c>
      <x:c r="I8" s="174" t="inlineStr">
        <x:is>
          <x:t xml:space="preserve">Human review?</x:t>
        </x:is>
      </x:c>
      <x:c r="J8" s="174" t="inlineStr">
        <x:is>
          <x:t xml:space="preserve">Last verified</x:t>
        </x:is>
      </x:c>
      <x:c r="K8" s="174" t="inlineStr">
        <x:is>
          <x:t xml:space="preserve">Blocker / N/A reason</x:t>
        </x:is>
      </x:c>
      <x:c r="L8" s="174" t="inlineStr">
        <x:is>
          <x:t xml:space="preserve">Weight</x:t>
        </x:is>
      </x:c>
      <x:c r="M8" s="174" t="inlineStr">
        <x:is>
          <x:t xml:space="preserve">Resolved</x:t>
        </x:is>
      </x:c>
    </x:row>
    <x:row r="9" s="135" customFormat="1" ht="61.5" customHeight="1">
      <x:c r="A9" s="176" t="inlineStr">
        <x:is>
          <x:t xml:space="preserve">stat-01</x:t>
        </x:is>
      </x:c>
      <x:c r="B9" s="176" t="inlineStr">
        <x:is>
          <x:t xml:space="preserve">Semantics</x:t>
        </x:is>
      </x:c>
      <x:c r="C9" s="176" t="inlineStr">
        <x:is>
          <x:t xml:space="preserve">Root / Label / Value</x:t>
        </x:is>
      </x:c>
      <x:c r="D9" s="176" t="inlineStr">
        <x:is>
          <x:t xml:space="preserve">Native dl/dt/dd grammar and no implicit live announcement.</x:t>
        </x:is>
      </x:c>
      <x:c r="E9" s="176" t="inlineStr">
        <x:is>
          <x:t xml:space="preserve">package</x:t>
        </x:is>
      </x:c>
      <x:c r="F9" s="176" t="inlineStr">
        <x:is>
          <x:t xml:space="preserve">component</x:t>
        </x:is>
      </x:c>
      <x:c r="G9" s="176" t="inlineStr">
        <x:is>
          <x:t xml:space="preserve">../test/components/stat/stat.test.tsx</x:t>
        </x:is>
      </x:c>
      <x:c r="H9" s="176" t="inlineStr">
        <x:is>
          <x:t xml:space="preserve">tested</x:t>
        </x:is>
      </x:c>
      <x:c r="I9" s="176" t="inlineStr">
        <x:is>
          <x:t xml:space="preserve">no</x:t>
        </x:is>
      </x:c>
      <x:c r="J9" s="176" t="inlineStr">
        <x:is>
          <x:t xml:space="preserve">2026-09-18</x:t>
        </x:is>
      </x:c>
      <x:c r="K9" s="176" t="n"/>
      <x:c r="L9" s="176" t="n">
        <x:v>1</x:v>
      </x:c>
      <x:c r="M9" s="176" t="n">
        <x:f>IF(OR(AND(I9="yes",H9="verified"),AND(I9="no",OR(H9="tested",H9="verified")),AND(H9="not applicable",K9&lt;&gt;"")),1,0)</x:f>
        <x:v>1</x:v>
      </x:c>
    </x:row>
    <x:row r="10" s="135" customFormat="1" ht="61.5" customHeight="1">
      <x:c r="A10" s="178" t="inlineStr">
        <x:is>
          <x:t xml:space="preserve">stat-02</x:t>
        </x:is>
      </x:c>
      <x:c r="B10" s="178" t="inlineStr">
        <x:is>
          <x:t xml:space="preserve">Anatomy</x:t>
        </x:is>
      </x:c>
      <x:c r="C10" s="178" t="inlineStr">
        <x:is>
          <x:t xml:space="preserve">Parts</x:t>
        </x:is>
      </x:c>
      <x:c r="D10" s="178" t="inlineStr">
        <x:is>
          <x:t xml:space="preserve">Atom projection preserves refs, React 19 cleanup, classes, styles and both event handlers.</x:t>
        </x:is>
      </x:c>
      <x:c r="E10" s="178" t="inlineStr">
        <x:is>
          <x:t xml:space="preserve">package</x:t>
        </x:is>
      </x:c>
      <x:c r="F10" s="178" t="inlineStr">
        <x:is>
          <x:t xml:space="preserve">component</x:t>
        </x:is>
      </x:c>
      <x:c r="G10" s="178" t="inlineStr">
        <x:is>
          <x:t xml:space="preserve">../test/components/stat/stat.test.tsx</x:t>
        </x:is>
      </x:c>
      <x:c r="H10" s="178" t="inlineStr">
        <x:is>
          <x:t xml:space="preserve">tested</x:t>
        </x:is>
      </x:c>
      <x:c r="I10" s="178" t="inlineStr">
        <x:is>
          <x:t xml:space="preserve">no</x:t>
        </x:is>
      </x:c>
      <x:c r="J10" s="178" t="inlineStr">
        <x:is>
          <x:t xml:space="preserve">2026-09-18</x:t>
        </x:is>
      </x:c>
      <x:c r="K10" s="178" t="n"/>
      <x:c r="L10" s="178" t="n">
        <x:v>1</x:v>
      </x:c>
      <x:c r="M10" s="178" t="n">
        <x:f>IF(OR(AND(I10="yes",H10="verified"),AND(I10="no",OR(H10="tested",H10="verified")),AND(H10="not applicable",K10&lt;&gt;"")),1,0)</x:f>
        <x:v>1</x:v>
      </x:c>
    </x:row>
    <x:row r="11" s="135" customFormat="1" ht="61.5" customHeight="1">
      <x:c r="A11" s="176" t="inlineStr">
        <x:is>
          <x:t xml:space="preserve">stat-03</x:t>
        </x:is>
      </x:c>
      <x:c r="B11" s="176" t="inlineStr">
        <x:is>
          <x:t xml:space="preserve">Types</x:t>
        </x:is>
      </x:c>
      <x:c r="C11" s="176" t="inlineStr">
        <x:is>
          <x:t xml:space="preserve">API</x:t>
        </x:is>
      </x:c>
      <x:c r="D11" s="176" t="inlineStr">
        <x:is>
          <x:t xml:space="preserve">Closed responsive sizes/tones and projection contract compile.</x:t>
        </x:is>
      </x:c>
      <x:c r="E11" s="176" t="inlineStr">
        <x:is>
          <x:t xml:space="preserve">package</x:t>
        </x:is>
      </x:c>
      <x:c r="F11" s="176" t="inlineStr">
        <x:is>
          <x:t xml:space="preserve">types</x:t>
        </x:is>
      </x:c>
      <x:c r="G11" s="176" t="inlineStr">
        <x:is>
          <x:t xml:space="preserve">../test/types/components/stat.test.ts</x:t>
        </x:is>
      </x:c>
      <x:c r="H11" s="176" t="inlineStr">
        <x:is>
          <x:t xml:space="preserve">tested</x:t>
        </x:is>
      </x:c>
      <x:c r="I11" s="176" t="inlineStr">
        <x:is>
          <x:t xml:space="preserve">no</x:t>
        </x:is>
      </x:c>
      <x:c r="J11" s="176" t="inlineStr">
        <x:is>
          <x:t xml:space="preserve">2026-09-18</x:t>
        </x:is>
      </x:c>
      <x:c r="K11" s="176" t="n"/>
      <x:c r="L11" s="176" t="n">
        <x:v>1</x:v>
      </x:c>
      <x:c r="M11" s="176" t="n">
        <x:f>IF(OR(AND(I11="yes",H11="verified"),AND(I11="no",OR(H11="tested",H11="verified")),AND(H11="not applicable",K11&lt;&gt;"")),1,0)</x:f>
        <x:v>1</x:v>
      </x:c>
    </x:row>
    <x:row r="12" s="135" customFormat="1" ht="61.5" customHeight="1">
      <x:c r="A12" s="178" t="inlineStr">
        <x:is>
          <x:t xml:space="preserve">stat-04</x:t>
        </x:is>
      </x:c>
      <x:c r="B12" s="178" t="inlineStr">
        <x:is>
          <x:t xml:space="preserve">Geometry</x:t>
        </x:is>
      </x:c>
      <x:c r="C12" s="178" t="inlineStr">
        <x:is>
          <x:t xml:space="preserve">Values</x:t>
        </x:is>
      </x:c>
      <x:c r="D12" s="178" t="inlineStr">
        <x:is>
          <x:t xml:space="preserve">sm/md/lg values measure 20/24/30px.</x:t>
        </x:is>
      </x:c>
      <x:c r="E12" s="178" t="inlineStr">
        <x:is>
          <x:t xml:space="preserve">package</x:t>
        </x:is>
      </x:c>
      <x:c r="F12" s="178" t="inlineStr">
        <x:is>
          <x:t xml:space="preserve">browser</x:t>
        </x:is>
      </x:c>
      <x:c r="G12" s="178" t="inlineStr">
        <x:is>
          <x:t xml:space="preserve">tests/components/stat/behavior.spec.ts</x:t>
        </x:is>
      </x:c>
      <x:c r="H12" s="178" t="inlineStr">
        <x:is>
          <x:t xml:space="preserve">tested</x:t>
        </x:is>
      </x:c>
      <x:c r="I12" s="178" t="inlineStr">
        <x:is>
          <x:t xml:space="preserve">no</x:t>
        </x:is>
      </x:c>
      <x:c r="J12" s="178" t="inlineStr">
        <x:is>
          <x:t xml:space="preserve">2026-09-18</x:t>
        </x:is>
      </x:c>
      <x:c r="K12" s="178" t="n"/>
      <x:c r="L12" s="178" t="n">
        <x:v>1</x:v>
      </x:c>
      <x:c r="M12" s="178" t="n">
        <x:f>IF(OR(AND(I12="yes",H12="verified"),AND(I12="no",OR(H12="tested",H12="verified")),AND(H12="not applicable",K12&lt;&gt;"")),1,0)</x:f>
        <x:v>1</x:v>
      </x:c>
    </x:row>
    <x:row r="13" s="135" customFormat="1" ht="61.5" customHeight="1">
      <x:c r="A13" s="176" t="inlineStr">
        <x:is>
          <x:t xml:space="preserve">stat-05</x:t>
        </x:is>
      </x:c>
      <x:c r="B13" s="176" t="inlineStr">
        <x:is>
          <x:t xml:space="preserve">Inheritance</x:t>
        </x:is>
      </x:c>
      <x:c r="C13" s="176" t="inlineStr">
        <x:is>
          <x:t xml:space="preserve">Group / Root</x:t>
        </x:is>
      </x:c>
      <x:c r="D13" s="176" t="inlineStr">
        <x:is>
          <x:t xml:space="preserve">Responsive Group defaults, sparse Root fallback and explicit Root override work.</x:t>
        </x:is>
      </x:c>
      <x:c r="E13" s="176" t="inlineStr">
        <x:is>
          <x:t xml:space="preserve">package</x:t>
        </x:is>
      </x:c>
      <x:c r="F13" s="176" t="inlineStr">
        <x:is>
          <x:t xml:space="preserve">browser</x:t>
        </x:is>
      </x:c>
      <x:c r="G13" s="176" t="inlineStr">
        <x:is>
          <x:t xml:space="preserve">tests/components/stat/behavior.spec.ts</x:t>
        </x:is>
      </x:c>
      <x:c r="H13" s="176" t="inlineStr">
        <x:is>
          <x:t xml:space="preserve">tested</x:t>
        </x:is>
      </x:c>
      <x:c r="I13" s="176" t="inlineStr">
        <x:is>
          <x:t xml:space="preserve">no</x:t>
        </x:is>
      </x:c>
      <x:c r="J13" s="176" t="inlineStr">
        <x:is>
          <x:t xml:space="preserve">2026-09-18</x:t>
        </x:is>
      </x:c>
      <x:c r="K13" s="176" t="n"/>
      <x:c r="L13" s="176" t="n">
        <x:v>1</x:v>
      </x:c>
      <x:c r="M13" s="176" t="n">
        <x:f>IF(OR(AND(I13="yes",H13="verified"),AND(I13="no",OR(H13="tested",H13="verified")),AND(H13="not applicable",K13&lt;&gt;"")),1,0)</x:f>
        <x:v>1</x:v>
      </x:c>
    </x:row>
    <x:row r="14" s="135" customFormat="1" ht="61.5" customHeight="1">
      <x:c r="A14" s="178" t="inlineStr">
        <x:is>
          <x:t xml:space="preserve">stat-06</x:t>
        </x:is>
      </x:c>
      <x:c r="B14" s="178" t="inlineStr">
        <x:is>
          <x:t xml:space="preserve">Geometry</x:t>
        </x:is>
      </x:c>
      <x:c r="C14" s="178" t="inlineStr">
        <x:is>
          <x:t xml:space="preserve">ValueUnit</x:t>
        </x:is>
      </x:c>
      <x:c r="D14" s="178" t="inlineStr">
        <x:is>
          <x:t xml:space="preserve">Unit text is 12px and aligns with numeric baseline.</x:t>
        </x:is>
      </x:c>
      <x:c r="E14" s="178" t="inlineStr">
        <x:is>
          <x:t xml:space="preserve">package</x:t>
        </x:is>
      </x:c>
      <x:c r="F14" s="178" t="inlineStr">
        <x:is>
          <x:t xml:space="preserve">browser</x:t>
        </x:is>
      </x:c>
      <x:c r="G14" s="178" t="inlineStr">
        <x:is>
          <x:t xml:space="preserve">tests/components/stat/behavior.spec.ts</x:t>
        </x:is>
      </x:c>
      <x:c r="H14" s="178" t="inlineStr">
        <x:is>
          <x:t xml:space="preserve">tested</x:t>
        </x:is>
      </x:c>
      <x:c r="I14" s="178" t="inlineStr">
        <x:is>
          <x:t xml:space="preserve">no</x:t>
        </x:is>
      </x:c>
      <x:c r="J14" s="178" t="inlineStr">
        <x:is>
          <x:t xml:space="preserve">2026-09-18</x:t>
        </x:is>
      </x:c>
      <x:c r="K14" s="178" t="n"/>
      <x:c r="L14" s="178" t="n">
        <x:v>1</x:v>
      </x:c>
      <x:c r="M14" s="178" t="n">
        <x:f>IF(OR(AND(I14="yes",H14="verified"),AND(I14="no",OR(H14="tested",H14="verified")),AND(H14="not applicable",K14&lt;&gt;"")),1,0)</x:f>
        <x:v>1</x:v>
      </x:c>
    </x:row>
    <x:row r="15" s="135" customFormat="1" ht="61.5" customHeight="1">
      <x:c r="A15" s="176" t="inlineStr">
        <x:is>
          <x:t xml:space="preserve">stat-07</x:t>
        </x:is>
      </x:c>
      <x:c r="B15" s="176" t="inlineStr">
        <x:is>
          <x:t xml:space="preserve">Formatting</x:t>
        </x:is>
      </x:c>
      <x:c r="C15" s="176" t="inlineStr">
        <x:is>
          <x:t xml:space="preserve">Intl composition</x:t>
        </x:is>
      </x:c>
      <x:c r="D15" s="176" t="inlineStr">
        <x:is>
          <x:t xml:space="preserve">Locale, currency, decimal, percent, compact and byte examples render.</x:t>
        </x:is>
      </x:c>
      <x:c r="E15" s="176" t="inlineStr">
        <x:is>
          <x:t xml:space="preserve">package</x:t>
        </x:is>
      </x:c>
      <x:c r="F15" s="176" t="inlineStr">
        <x:is>
          <x:t xml:space="preserve">page</x:t>
        </x:is>
      </x:c>
      <x:c r="G15" s="176" t="inlineStr">
        <x:is>
          <x:t xml:space="preserve">src/components/stat/StatPage.tsx</x:t>
        </x:is>
      </x:c>
      <x:c r="H15" s="176" t="inlineStr">
        <x:is>
          <x:t xml:space="preserve">implemented</x:t>
        </x:is>
      </x:c>
      <x:c r="I15" s="176" t="inlineStr">
        <x:is>
          <x:t xml:space="preserve">no</x:t>
        </x:is>
      </x:c>
      <x:c r="J15" s="176" t="n"/>
      <x:c r="K15" s="176" t="n"/>
      <x:c r="L15" s="176" t="n">
        <x:v>1</x:v>
      </x:c>
      <x:c r="M15" s="176" t="n">
        <x:f>IF(OR(AND(I15="yes",H15="verified"),AND(I15="no",OR(H15="tested",H15="verified")),AND(H15="not applicable",K15&lt;&gt;"")),1,0)</x:f>
        <x:v>0</x:v>
      </x:c>
    </x:row>
    <x:row r="16" s="135" customFormat="1" ht="61.5" customHeight="1">
      <x:c r="A16" s="178" t="inlineStr">
        <x:is>
          <x:t xml:space="preserve">stat-08</x:t>
        </x:is>
      </x:c>
      <x:c r="B16" s="178" t="inlineStr">
        <x:is>
          <x:t xml:space="preserve">Meaning</x:t>
        </x:is>
      </x:c>
      <x:c r="C16" s="178" t="inlineStr">
        <x:is>
          <x:t xml:space="preserve">Indicators</x:t>
        </x:is>
      </x:c>
      <x:c r="D16" s="178" t="inlineStr">
        <x:is>
          <x:t xml:space="preserve">Indicator direction/tone are independent; outlined SVG paint and logical spacing are preserved.</x:t>
        </x:is>
      </x:c>
      <x:c r="E16" s="178" t="inlineStr">
        <x:is>
          <x:t xml:space="preserve">package</x:t>
        </x:is>
      </x:c>
      <x:c r="F16" s="178" t="inlineStr">
        <x:is>
          <x:t xml:space="preserve">component</x:t>
        </x:is>
      </x:c>
      <x:c r="G16" s="178" t="inlineStr">
        <x:is>
          <x:t xml:space="preserve">../test/components/stat/stat.test.tsx</x:t>
        </x:is>
      </x:c>
      <x:c r="H16" s="178" t="inlineStr">
        <x:is>
          <x:t xml:space="preserve">tested</x:t>
        </x:is>
      </x:c>
      <x:c r="I16" s="178" t="inlineStr">
        <x:is>
          <x:t xml:space="preserve">no</x:t>
        </x:is>
      </x:c>
      <x:c r="J16" s="178" t="inlineStr">
        <x:is>
          <x:t xml:space="preserve">2026-09-18</x:t>
        </x:is>
      </x:c>
      <x:c r="K16" s="178" t="n"/>
      <x:c r="L16" s="178" t="n">
        <x:v>1</x:v>
      </x:c>
      <x:c r="M16" s="178" t="n">
        <x:f>IF(OR(AND(I16="yes",H16="verified"),AND(I16="no",OR(H16="tested",H16="verified")),AND(H16="not applicable",K16&lt;&gt;"")),1,0)</x:f>
        <x:v>1</x:v>
      </x:c>
    </x:row>
    <x:row r="17" s="135" customFormat="1" ht="61.5" customHeight="1">
      <x:c r="A17" s="176" t="inlineStr">
        <x:is>
          <x:t xml:space="preserve">stat-09</x:t>
        </x:is>
      </x:c>
      <x:c r="B17" s="176" t="inlineStr">
        <x:is>
          <x:t xml:space="preserve">Data</x:t>
        </x:is>
      </x:c>
      <x:c r="C17" s="176" t="inlineStr">
        <x:is>
          <x:t xml:space="preserve">Missing values</x:t>
        </x:is>
      </x:c>
      <x:c r="D17" s="176" t="inlineStr">
        <x:is>
          <x:t xml:space="preserve">Missing authored values are not converted to zero.</x:t>
        </x:is>
      </x:c>
      <x:c r="E17" s="176" t="inlineStr">
        <x:is>
          <x:t xml:space="preserve">package</x:t>
        </x:is>
      </x:c>
      <x:c r="F17" s="176" t="inlineStr">
        <x:is>
          <x:t xml:space="preserve">component</x:t>
        </x:is>
      </x:c>
      <x:c r="G17" s="176" t="inlineStr">
        <x:is>
          <x:t xml:space="preserve">../test/components/stat/stat.test.tsx</x:t>
        </x:is>
      </x:c>
      <x:c r="H17" s="176" t="inlineStr">
        <x:is>
          <x:t xml:space="preserve">tested</x:t>
        </x:is>
      </x:c>
      <x:c r="I17" s="176" t="inlineStr">
        <x:is>
          <x:t xml:space="preserve">no</x:t>
        </x:is>
      </x:c>
      <x:c r="J17" s="176" t="inlineStr">
        <x:is>
          <x:t xml:space="preserve">2026-09-18</x:t>
        </x:is>
      </x:c>
      <x:c r="K17" s="176" t="n"/>
      <x:c r="L17" s="176" t="n">
        <x:v>1</x:v>
      </x:c>
      <x:c r="M17" s="176" t="n">
        <x:f>IF(OR(AND(I17="yes",H17="verified"),AND(I17="no",OR(H17="tested",H17="verified")),AND(H17="not applicable",K17&lt;&gt;"")),1,0)</x:f>
        <x:v>1</x:v>
      </x:c>
    </x:row>
    <x:row r="18" s="135" customFormat="1" ht="61.5" customHeight="1">
      <x:c r="A18" s="178" t="inlineStr">
        <x:is>
          <x:t xml:space="preserve">stat-10</x:t>
        </x:is>
      </x:c>
      <x:c r="B18" s="178" t="inlineStr">
        <x:is>
          <x:t xml:space="preserve">Appearance</x:t>
        </x:is>
      </x:c>
      <x:c r="C18" s="178" t="inlineStr">
        <x:is>
          <x:t xml:space="preserve">Root</x:t>
        </x:is>
      </x:c>
      <x:c r="D18" s="178" t="inlineStr">
        <x:is>
          <x:t xml:space="preserve">Root remains transparent and forced-colors text stays visible.</x:t>
        </x:is>
      </x:c>
      <x:c r="E18" s="178" t="inlineStr">
        <x:is>
          <x:t xml:space="preserve">package</x:t>
        </x:is>
      </x:c>
      <x:c r="F18" s="178" t="inlineStr">
        <x:is>
          <x:t xml:space="preserve">browser</x:t>
        </x:is>
      </x:c>
      <x:c r="G18" s="178" t="inlineStr">
        <x:is>
          <x:t xml:space="preserve">tests/components/stat/behavior.spec.ts</x:t>
        </x:is>
      </x:c>
      <x:c r="H18" s="178" t="inlineStr">
        <x:is>
          <x:t xml:space="preserve">tested</x:t>
        </x:is>
      </x:c>
      <x:c r="I18" s="178" t="inlineStr">
        <x:is>
          <x:t xml:space="preserve">no</x:t>
        </x:is>
      </x:c>
      <x:c r="J18" s="178" t="inlineStr">
        <x:is>
          <x:t xml:space="preserve">2026-09-18</x:t>
        </x:is>
      </x:c>
      <x:c r="K18" s="178" t="n"/>
      <x:c r="L18" s="178" t="n">
        <x:v>1</x:v>
      </x:c>
      <x:c r="M18" s="178" t="n">
        <x:f>IF(OR(AND(I18="yes",H18="verified"),AND(I18="no",OR(H18="tested",H18="verified")),AND(H18="not applicable",K18&lt;&gt;"")),1,0)</x:f>
        <x:v>1</x:v>
      </x:c>
    </x:row>
    <x:row r="19" s="135" customFormat="1" ht="61.5" customHeight="1">
      <x:c r="A19" s="176" t="inlineStr">
        <x:is>
          <x:t xml:space="preserve">stat-11</x:t>
        </x:is>
      </x:c>
      <x:c r="B19" s="176" t="inlineStr">
        <x:is>
          <x:t xml:space="preserve">Responsive</x:t>
        </x:is>
      </x:c>
      <x:c r="C19" s="176" t="inlineStr">
        <x:is>
          <x:t xml:space="preserve">Containment / axe</x:t>
        </x:is>
      </x:c>
      <x:c r="D19" s="176" t="inlineStr">
        <x:is>
          <x:t xml:space="preserve">Narrow layouts stay contained with no detected axe violations.</x:t>
        </x:is>
      </x:c>
      <x:c r="E19" s="176" t="inlineStr">
        <x:is>
          <x:t xml:space="preserve">package</x:t>
        </x:is>
      </x:c>
      <x:c r="F19" s="176" t="inlineStr">
        <x:is>
          <x:t xml:space="preserve">browser</x:t>
        </x:is>
      </x:c>
      <x:c r="G19" s="176" t="inlineStr">
        <x:is>
          <x:t xml:space="preserve">tests/components/stat/behavior.spec.ts</x:t>
        </x:is>
      </x:c>
      <x:c r="H19" s="176" t="inlineStr">
        <x:is>
          <x:t xml:space="preserve">tested</x:t>
        </x:is>
      </x:c>
      <x:c r="I19" s="176" t="inlineStr">
        <x:is>
          <x:t xml:space="preserve">no</x:t>
        </x:is>
      </x:c>
      <x:c r="J19" s="176" t="inlineStr">
        <x:is>
          <x:t xml:space="preserve">2026-09-18</x:t>
        </x:is>
      </x:c>
      <x:c r="K19" s="176" t="n"/>
      <x:c r="L19" s="176" t="n">
        <x:v>1</x:v>
      </x:c>
      <x:c r="M19" s="176" t="n">
        <x:f>IF(OR(AND(I19="yes",H19="verified"),AND(I19="no",OR(H19="tested",H19="verified")),AND(H19="not applicable",K19&lt;&gt;"")),1,0)</x:f>
        <x:v>1</x:v>
      </x:c>
    </x:row>
    <x:row r="20" s="135" customFormat="1" ht="61.5" customHeight="1">
      <x:c r="A20" s="178" t="inlineStr">
        <x:is>
          <x:t xml:space="preserve">stat-12</x:t>
        </x:is>
      </x:c>
      <x:c r="B20" s="178" t="inlineStr">
        <x:is>
          <x:t xml:space="preserve">Visual</x:t>
        </x:is>
      </x:c>
      <x:c r="C20" s="178" t="inlineStr">
        <x:is>
          <x:t xml:space="preserve">Snapshots</x:t>
        </x:is>
      </x:c>
      <x:c r="D20" s="178" t="inlineStr">
        <x:is>
          <x:t xml:space="preserve">Ten Stat baselines inspected; two visual tests passed, including docs progress and dark RTL.</x:t>
        </x:is>
      </x:c>
      <x:c r="E20" s="178" t="inlineStr">
        <x:is>
          <x:t xml:space="preserve">package</x:t>
        </x:is>
      </x:c>
      <x:c r="F20" s="178" t="inlineStr">
        <x:is>
          <x:t xml:space="preserve">visual</x:t>
        </x:is>
      </x:c>
      <x:c r="G20" s="178" t="inlineStr">
        <x:is>
          <x:t xml:space="preserve">tests/components/stat/visual.spec.ts</x:t>
        </x:is>
      </x:c>
      <x:c r="H20" s="178" t="inlineStr">
        <x:is>
          <x:t xml:space="preserve">tested</x:t>
        </x:is>
      </x:c>
      <x:c r="I20" s="178" t="inlineStr">
        <x:is>
          <x:t xml:space="preserve">no</x:t>
        </x:is>
      </x:c>
      <x:c r="J20" s="178" t="inlineStr">
        <x:is>
          <x:t xml:space="preserve">2026-09-18</x:t>
        </x:is>
      </x:c>
      <x:c r="K20" s="178" t="n"/>
      <x:c r="L20" s="178" t="n">
        <x:v>1</x:v>
      </x:c>
      <x:c r="M20" s="178" t="n">
        <x:f>IF(OR(AND(I20="yes",H20="verified"),AND(I20="no",OR(H20="tested",H20="verified")),AND(H20="not applicable",K20&lt;&gt;"")),1,0)</x:f>
        <x:v>1</x:v>
      </x:c>
    </x:row>
    <x:row r="21" s="135" customFormat="1" ht="61.5" customHeight="1">
      <x:c r="A21" s="176" t="inlineStr">
        <x:is>
          <x:t xml:space="preserve">stat-13</x:t>
        </x:is>
      </x:c>
      <x:c r="B21" s="176" t="inlineStr">
        <x:is>
          <x:t xml:space="preserve">Docs</x:t>
        </x:is>
      </x:c>
      <x:c r="C21" s="176" t="inlineStr">
        <x:is>
          <x:t xml:space="preserve">Guide / AK</x:t>
        </x:is>
      </x:c>
      <x:c r="D21" s="176" t="inlineStr">
        <x:is>
          <x:t xml:space="preserve">Public guide, changelog and generated Agent Knowledge are present.</x:t>
        </x:is>
      </x:c>
      <x:c r="E21" s="176" t="inlineStr">
        <x:is>
          <x:t xml:space="preserve">package</x:t>
        </x:is>
      </x:c>
      <x:c r="F21" s="176" t="inlineStr">
        <x:is>
          <x:t xml:space="preserve">docs</x:t>
        </x:is>
      </x:c>
      <x:c r="G21" s="176" t="inlineStr">
        <x:is>
          <x:t xml:space="preserve">../docs/components/stat/README.md; ../src/components/stat/agent.json</x:t>
        </x:is>
      </x:c>
      <x:c r="H21" s="176" t="inlineStr">
        <x:is>
          <x:t xml:space="preserve">tested</x:t>
        </x:is>
      </x:c>
      <x:c r="I21" s="176" t="inlineStr">
        <x:is>
          <x:t xml:space="preserve">no</x:t>
        </x:is>
      </x:c>
      <x:c r="J21" s="176" t="inlineStr">
        <x:is>
          <x:t xml:space="preserve">2026-09-18</x:t>
        </x:is>
      </x:c>
      <x:c r="K21" s="176" t="n"/>
      <x:c r="L21" s="176" t="n">
        <x:v>1</x:v>
      </x:c>
      <x:c r="M21" s="176" t="n">
        <x:f>IF(OR(AND(I21="yes",H21="verified"),AND(I21="no",OR(H21="tested",H21="verified")),AND(H21="not applicable",K21&lt;&gt;"")),1,0)</x:f>
        <x:v>1</x:v>
      </x:c>
    </x:row>
    <x:row r="22" s="135" customFormat="1" ht="61.5" customHeight="1">
      <x:c r="A22" s="178" t="inlineStr">
        <x:is>
          <x:t xml:space="preserve">stat-14</x:t>
        </x:is>
      </x:c>
      <x:c r="B22" s="178" t="inlineStr">
        <x:is>
          <x:t xml:space="preserve">Playground</x:t>
        </x:is>
      </x:c>
      <x:c r="C22" s="178" t="inlineStr">
        <x:is>
          <x:t xml:space="preserve">Scenarios</x:t>
        </x:is>
      </x:c>
      <x:c r="D22" s="178" t="inlineStr">
        <x:is>
          <x:t xml:space="preserve">Sixteen source-paired docs examples plus eleven retained qualification scenarios.</x:t>
        </x:is>
      </x:c>
      <x:c r="E22" s="178" t="inlineStr">
        <x:is>
          <x:t xml:space="preserve">package</x:t>
        </x:is>
      </x:c>
      <x:c r="F22" s="178" t="inlineStr">
        <x:is>
          <x:t xml:space="preserve">page</x:t>
        </x:is>
      </x:c>
      <x:c r="G22" s="178" t="inlineStr">
        <x:is>
          <x:t xml:space="preserve">src/components/stat/StatPage.tsx; tests/components/stat/behavior.spec.ts</x:t>
        </x:is>
      </x:c>
      <x:c r="H22" s="178" t="inlineStr">
        <x:is>
          <x:t xml:space="preserve">tested</x:t>
        </x:is>
      </x:c>
      <x:c r="I22" s="178" t="inlineStr">
        <x:is>
          <x:t xml:space="preserve">no</x:t>
        </x:is>
      </x:c>
      <x:c r="J22" s="178" t="inlineStr">
        <x:is>
          <x:t xml:space="preserve">2026-09-18</x:t>
        </x:is>
      </x:c>
      <x:c r="K22" s="178" t="n"/>
      <x:c r="L22" s="178" t="n">
        <x:v>1</x:v>
      </x:c>
      <x:c r="M22" s="178" t="n">
        <x:f>IF(OR(AND(I22="yes",H22="verified"),AND(I22="no",OR(H22="tested",H22="verified")),AND(H22="not applicable",K22&lt;&gt;"")),1,0)</x:f>
        <x:v>1</x:v>
      </x:c>
    </x:row>
    <x:row r="23" s="135" customFormat="1" ht="61.5" customHeight="1">
      <x:c r="A23" s="176" t="inlineStr">
        <x:is>
          <x:t xml:space="preserve">stat-15</x:t>
        </x:is>
      </x:c>
      <x:c r="B23" s="176" t="inlineStr">
        <x:is>
          <x:t xml:space="preserve">Consumer</x:t>
        </x:is>
      </x:c>
      <x:c r="C23" s="176" t="inlineStr">
        <x:is>
          <x:t xml:space="preserve">Composition</x:t>
        </x:is>
      </x:c>
      <x:c r="D23" s="176" t="inlineStr">
        <x:is>
          <x:t xml:space="preserve">Workspace usage composes currency and bytes through public imports.</x:t>
        </x:is>
      </x:c>
      <x:c r="E23" s="176" t="inlineStr">
        <x:is>
          <x:t xml:space="preserve">consumer</x:t>
        </x:is>
      </x:c>
      <x:c r="F23" s="176" t="inlineStr">
        <x:is>
          <x:t xml:space="preserve">consumer</x:t>
        </x:is>
      </x:c>
      <x:c r="G23" s="176" t="inlineStr">
        <x:is>
          <x:t xml:space="preserve">../apps/consumer/src/DataDisplaySummary.tsx</x:t>
        </x:is>
      </x:c>
      <x:c r="H23" s="176" t="inlineStr">
        <x:is>
          <x:t xml:space="preserve">implemented</x:t>
        </x:is>
      </x:c>
      <x:c r="I23" s="176" t="inlineStr">
        <x:is>
          <x:t xml:space="preserve">no</x:t>
        </x:is>
      </x:c>
      <x:c r="J23" s="176" t="n"/>
      <x:c r="K23" s="176" t="n"/>
      <x:c r="L23" s="176" t="n">
        <x:v>1</x:v>
      </x:c>
      <x:c r="M23" s="176" t="n">
        <x:f>IF(OR(AND(I23="yes",H23="verified"),AND(I23="no",OR(H23="tested",H23="verified")),AND(H23="not applicable",K23&lt;&gt;"")),1,0)</x:f>
        <x:v>0</x:v>
      </x:c>
    </x:row>
    <x:row r="24" s="135" customFormat="1" ht="61.5" customHeight="1">
      <x:c r="A24" s="178" t="inlineStr">
        <x:is>
          <x:t xml:space="preserve">stat-16</x:t>
        </x:is>
      </x:c>
      <x:c r="B24" s="178" t="inlineStr">
        <x:is>
          <x:t xml:space="preserve">Package</x:t>
        </x:is>
      </x:c>
      <x:c r="C24" s="178" t="inlineStr">
        <x:is>
          <x:t xml:space="preserve">Artifact</x:t>
        </x:is>
      </x:c>
      <x:c r="D24" s="178" t="inlineStr">
        <x:is>
          <x:t xml:space="preserve">Packed exports, React 18/19 and complete repository/release gates.</x:t>
        </x:is>
      </x:c>
      <x:c r="E24" s="178" t="inlineStr">
        <x:is>
          <x:t xml:space="preserve">package</x:t>
        </x:is>
      </x:c>
      <x:c r="F24" s="178" t="inlineStr">
        <x:is>
          <x:t xml:space="preserve">package</x:t>
        </x:is>
      </x:c>
      <x:c r="G24" s="178" t="inlineStr">
        <x:is>
          <x:t xml:space="preserve">../scripts/verify-package.mjs</x:t>
        </x:is>
      </x:c>
      <x:c r="H24" s="178" t="inlineStr">
        <x:is>
          <x:t xml:space="preserve">partial</x:t>
        </x:is>
      </x:c>
      <x:c r="I24" s="178" t="inlineStr">
        <x:is>
          <x:t xml:space="preserve">no</x:t>
        </x:is>
      </x:c>
      <x:c r="J24" s="178" t="n"/>
      <x:c r="K24" s="178" t="inlineStr">
        <x:is>
          <x:t xml:space="preserve">Full batch qualification remains pending.</x:t>
        </x:is>
      </x:c>
      <x:c r="L24" s="178" t="n">
        <x:v>1</x:v>
      </x:c>
      <x:c r="M24" s="178" t="n">
        <x:f>IF(OR(AND(I24="yes",H24="verified"),AND(I24="no",OR(H24="tested",H24="verified")),AND(H24="not applicable",K24&lt;&gt;"")),1,0)</x:f>
        <x:v>0</x:v>
      </x:c>
    </x:row>
    <x:row r="25" s="135" customFormat="1" ht="61.5" customHeight="1">
      <x:c r="A25" s="176" t="inlineStr">
        <x:is>
          <x:t xml:space="preserve">stat-17</x:t>
        </x:is>
      </x:c>
      <x:c r="B25" s="176" t="inlineStr">
        <x:is>
          <x:t xml:space="preserve">Manual</x:t>
        </x:is>
      </x:c>
      <x:c r="C25" s="176" t="inlineStr">
        <x:is>
          <x:t xml:space="preserve">Screen reader / device</x:t>
        </x:is>
      </x:c>
      <x:c r="D25" s="176" t="inlineStr">
        <x:is>
          <x:t xml:space="preserve">Verify metric grammar, real zoom, RTL and physical-device behavior.</x:t>
        </x:is>
      </x:c>
      <x:c r="E25" s="176" t="inlineStr">
        <x:is>
          <x:t xml:space="preserve">package</x:t>
        </x:is>
      </x:c>
      <x:c r="F25" s="176" t="inlineStr">
        <x:is>
          <x:t xml:space="preserve">manual</x:t>
        </x:is>
      </x:c>
      <x:c r="G25" s="176" t="inlineStr">
        <x:is>
          <x:t xml:space="preserve">manual-tests/stat.md</x:t>
        </x:is>
      </x:c>
      <x:c r="H25" s="176" t="inlineStr">
        <x:is>
          <x:t xml:space="preserve">not started</x:t>
        </x:is>
      </x:c>
      <x:c r="I25" s="176" t="inlineStr">
        <x:is>
          <x:t xml:space="preserve">yes</x:t>
        </x:is>
      </x:c>
      <x:c r="J25" s="176" t="n"/>
      <x:c r="K25" s="176" t="inlineStr">
        <x:is>
          <x:t xml:space="preserve">Not performed; no human result claimed.</x:t>
        </x:is>
      </x:c>
      <x:c r="L25" s="176" t="n">
        <x:v>1</x:v>
      </x:c>
      <x:c r="M25" s="176" t="n">
        <x:f>IF(OR(AND(I25="yes",H25="verified"),AND(I25="no",OR(H25="tested",H25="verified")),AND(H25="not applicable",K25&lt;&gt;"")),1,0)</x:f>
        <x:v>0</x:v>
      </x:c>
    </x:row>
  </x:sheetData>
  <x:mergeCells>
    <x:mergeCell ref="A2:M2"/>
    <x:mergeCell ref="A1:M1"/>
  </x:mergeCells>
  <x:dataValidations count="1">
    <x:dataValidation type="list" errorStyle="stop" operator="between" allowBlank="0" showDropDown="0" showInputMessage="0" showErrorMessage="0" sqref="H9:H25">
      <x:formula1>"not started,partial,implemented,tested,verified,blocked,not applicable"</x:formula1>
      <x:formula2>0</x:formula2>
    </x:dataValidation>
  </x:dataValidations>
  <x:pageMargins left="0.7" right="0.7" top="0.75" bottom="0.75" header="0.3" footer="0.3"/>
</x:worksheet>
</file>

<file path=xl/worksheets/sheet124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baseColWidth="8" defaultColWidth="8.6796875" defaultRowHeight="15"/>
  <x:cols>
    <x:col min="1" max="1" width="16" style="138" customWidth="1"/>
    <x:col min="2" max="2" width="18" style="138" customWidth="1"/>
    <x:col min="3" max="3" width="22" style="138" customWidth="1"/>
    <x:col min="4" max="4" width="64" style="138" customWidth="1"/>
    <x:col min="5" max="6" width="16" style="138" customWidth="1"/>
    <x:col min="7" max="7" width="58" style="138" customWidth="1"/>
    <x:col min="8" max="8" width="18" style="138" customWidth="1"/>
    <x:col min="9" max="10" width="16" style="138" customWidth="1"/>
    <x:col min="11" max="11" width="48" style="138" customWidth="1"/>
    <x:col min="12" max="13" width="10" style="138" customWidth="1"/>
  </x:cols>
  <x:sheetData>
    <x:row r="1" s="135" customFormat="1" ht="27.75" customHeight="1">
      <x:c r="A1" s="227" t="inlineStr">
        <x:is>
          <x:t xml:space="preserve">Timeline Evidence</x:t>
        </x:is>
      </x:c>
    </x:row>
    <x:row r="2" s="135" customFormat="1" ht="42" customHeight="1">
      <x:c r="A2" s="228" t="str">
        <x:v>September 19 local refinement. Manual, packed and release gates remain separate.</x:v>
      </x:c>
    </x:row>
    <x:row r="3" s="135" customFormat="1" ht="15" customHeight="1">
      <x:c r="A3" s="138" t="n"/>
      <x:c r="B3" s="138" t="n"/>
      <x:c r="C3" s="138" t="n"/>
      <x:c r="D3" s="138" t="n"/>
      <x:c r="E3" s="138" t="n"/>
      <x:c r="F3" s="138" t="n"/>
      <x:c r="G3" s="138" t="n"/>
      <x:c r="H3" s="138" t="n"/>
      <x:c r="I3" s="138" t="n"/>
      <x:c r="J3" s="138" t="n"/>
      <x:c r="K3" s="138" t="n"/>
      <x:c r="L3" s="138" t="n"/>
      <x:c r="M3" s="138" t="n"/>
    </x:row>
    <x:row r="4" s="135" customFormat="1" ht="15" customHeight="1">
      <x:c r="A4" s="138" t="inlineStr">
        <x:is>
          <x:t xml:space="preserve">Requirements</x:t>
        </x:is>
      </x:c>
      <x:c r="B4" s="138" t="n">
        <x:f>COUNTA(A9:A26)</x:f>
        <x:v>18</x:v>
      </x:c>
      <x:c r="C4" s="138" t="n"/>
      <x:c r="D4" s="138" t="inlineStr">
        <x:is>
          <x:t xml:space="preserve">Resolved</x:t>
        </x:is>
      </x:c>
      <x:c r="E4" s="138" t="n">
        <x:f>SUM(M9:M26)</x:f>
        <x:v>14</x:v>
      </x:c>
      <x:c r="F4" s="138" t="n"/>
      <x:c r="G4" s="138" t="inlineStr">
        <x:is>
          <x:t xml:space="preserve">Completion</x:t>
        </x:is>
      </x:c>
      <x:c r="H4" s="139" t="n">
        <x:f>IF(B4=0,0,E4/B4)</x:f>
        <x:v>0.7777777777777778</x:v>
      </x:c>
      <x:c r="I4" s="138" t="n"/>
      <x:c r="J4" s="138" t="inlineStr">
        <x:is>
          <x:t xml:space="preserve">Package gate</x:t>
        </x:is>
      </x:c>
      <x:c r="K4" s="138" t="str">
        <x:f>IF(COUNTIFS(E9:E26,"package",M9:M26,0)&gt;0,"open","complete")</x:f>
        <x:v>open</x:v>
      </x:c>
      <x:c r="L4" s="138" t="n"/>
      <x:c r="M4" s="138" t="n"/>
    </x:row>
    <x:row r="5" s="135" customFormat="1" ht="15" customHeight="1">
      <x:c r="A5" s="138" t="inlineStr">
        <x:is>
          <x:t xml:space="preserve">Manual review</x:t>
        </x:is>
      </x:c>
      <x:c r="B5" s="138" t="str">
        <x:f>IF(COUNTIFS(I9:I26,"yes",M9:M26,0)&gt;0,"open","complete")</x:f>
        <x:v>open</x:v>
      </x:c>
      <x:c r="C5" s="138" t="n"/>
      <x:c r="D5" s="138" t="inlineStr">
        <x:is>
          <x:t xml:space="preserve">Consumer gate</x:t>
        </x:is>
      </x:c>
      <x:c r="E5" s="138" t="str">
        <x:f>IF(COUNTIFS(E9:E26,"consumer",M9:M26,0)&gt;0,"open","complete")</x:f>
        <x:v>open</x:v>
      </x:c>
      <x:c r="F5" s="138" t="n"/>
      <x:c r="G5" s="138" t="n"/>
      <x:c r="H5" s="138" t="n"/>
      <x:c r="I5" s="138" t="n"/>
      <x:c r="J5" s="138" t="n"/>
      <x:c r="K5" s="138" t="n"/>
      <x:c r="L5" s="138" t="n"/>
      <x:c r="M5" s="138" t="n"/>
    </x:row>
    <x:row r="6" s="135" customFormat="1" ht="15" customHeight="1">
      <x:c r="A6" s="138" t="n"/>
      <x:c r="B6" s="138" t="n"/>
      <x:c r="C6" s="138" t="n"/>
      <x:c r="D6" s="138" t="n"/>
      <x:c r="E6" s="138" t="n"/>
      <x:c r="F6" s="138" t="n"/>
      <x:c r="G6" s="138" t="n"/>
      <x:c r="H6" s="138" t="n"/>
      <x:c r="I6" s="138" t="n"/>
      <x:c r="J6" s="138" t="n"/>
      <x:c r="K6" s="138" t="n"/>
      <x:c r="L6" s="138" t="n"/>
      <x:c r="M6" s="138" t="n"/>
    </x:row>
    <x:row r="7" s="135" customFormat="1" ht="15" customHeight="1">
      <x:c r="A7" s="138" t="n"/>
      <x:c r="B7" s="138" t="n"/>
      <x:c r="C7" s="138" t="n"/>
      <x:c r="D7" s="138" t="n"/>
      <x:c r="E7" s="138" t="n"/>
      <x:c r="F7" s="138" t="n"/>
      <x:c r="G7" s="138" t="n"/>
      <x:c r="H7" s="138" t="n"/>
      <x:c r="I7" s="138" t="n"/>
      <x:c r="J7" s="138" t="n"/>
      <x:c r="K7" s="138" t="n"/>
      <x:c r="L7" s="138" t="n"/>
      <x:c r="M7" s="138" t="n"/>
    </x:row>
    <x:row r="8" s="135" customFormat="1" ht="27.75" customHeight="1">
      <x:c r="A8" s="174" t="inlineStr">
        <x:is>
          <x:t xml:space="preserve">ID</x:t>
        </x:is>
      </x:c>
      <x:c r="B8" s="174" t="inlineStr">
        <x:is>
          <x:t xml:space="preserve">Area</x:t>
        </x:is>
      </x:c>
      <x:c r="C8" s="174" t="inlineStr">
        <x:is>
          <x:t xml:space="preserve">Part</x:t>
        </x:is>
      </x:c>
      <x:c r="D8" s="174" t="inlineStr">
        <x:is>
          <x:t xml:space="preserve">Requirement</x:t>
        </x:is>
      </x:c>
      <x:c r="E8" s="174" t="inlineStr">
        <x:is>
          <x:t xml:space="preserve">Gate</x:t>
        </x:is>
      </x:c>
      <x:c r="F8" s="174" t="inlineStr">
        <x:is>
          <x:t xml:space="preserve">Evidence type</x:t>
        </x:is>
      </x:c>
      <x:c r="G8" s="174" t="inlineStr">
        <x:is>
          <x:t xml:space="preserve">Evidence / link</x:t>
        </x:is>
      </x:c>
      <x:c r="H8" s="174" t="inlineStr">
        <x:is>
          <x:t xml:space="preserve">Status</x:t>
        </x:is>
      </x:c>
      <x:c r="I8" s="174" t="inlineStr">
        <x:is>
          <x:t xml:space="preserve">Human review?</x:t>
        </x:is>
      </x:c>
      <x:c r="J8" s="174" t="inlineStr">
        <x:is>
          <x:t xml:space="preserve">Last verified</x:t>
        </x:is>
      </x:c>
      <x:c r="K8" s="174" t="inlineStr">
        <x:is>
          <x:t xml:space="preserve">Blocker / N/A reason</x:t>
        </x:is>
      </x:c>
      <x:c r="L8" s="174" t="inlineStr">
        <x:is>
          <x:t xml:space="preserve">Weight</x:t>
        </x:is>
      </x:c>
      <x:c r="M8" s="174" t="inlineStr">
        <x:is>
          <x:t xml:space="preserve">Resolved</x:t>
        </x:is>
      </x:c>
    </x:row>
    <x:row r="9" s="135" customFormat="1" ht="61.5" customHeight="1">
      <x:c r="A9" s="176" t="inlineStr">
        <x:is>
          <x:t xml:space="preserve">timeline-01</x:t>
        </x:is>
      </x:c>
      <x:c r="B9" s="176" t="inlineStr">
        <x:is>
          <x:t xml:space="preserve">Semantics</x:t>
        </x:is>
      </x:c>
      <x:c r="C9" s="176" t="inlineStr">
        <x:is>
          <x:t xml:space="preserve">Root / Item</x:t>
        </x:is>
      </x:c>
      <x:c r="D9" s="176" t="inlineStr">
        <x:is>
          <x:t xml:space="preserve">Native ol/li chronology has no invented interactive state.</x:t>
        </x:is>
      </x:c>
      <x:c r="E9" s="176" t="inlineStr">
        <x:is>
          <x:t xml:space="preserve">package</x:t>
        </x:is>
      </x:c>
      <x:c r="F9" s="176" t="inlineStr">
        <x:is>
          <x:t xml:space="preserve">component</x:t>
        </x:is>
      </x:c>
      <x:c r="G9" s="176" t="inlineStr">
        <x:is>
          <x:t xml:space="preserve">../test/components/timeline/timeline.test.tsx</x:t>
        </x:is>
      </x:c>
      <x:c r="H9" s="176" t="inlineStr">
        <x:is>
          <x:t xml:space="preserve">tested</x:t>
        </x:is>
      </x:c>
      <x:c r="I9" s="176" t="inlineStr">
        <x:is>
          <x:t xml:space="preserve">no</x:t>
        </x:is>
      </x:c>
      <x:c r="J9" s="176" t="str">
        <x:v>2026-09-19</x:v>
      </x:c>
      <x:c r="K9" s="176" t="n"/>
      <x:c r="L9" s="176" t="n">
        <x:v>1</x:v>
      </x:c>
      <x:c r="M9" s="176" t="n">
        <x:f>IF(OR(AND(I9="yes",H9="verified"),AND(I9="no",OR(H9="tested",H9="verified")),AND(H9="not applicable",K9&lt;&gt;"")),1,0)</x:f>
        <x:v>1</x:v>
      </x:c>
    </x:row>
    <x:row r="10" s="135" customFormat="1" ht="61.5" customHeight="1">
      <x:c r="A10" s="178" t="inlineStr">
        <x:is>
          <x:t xml:space="preserve">timeline-02</x:t>
        </x:is>
      </x:c>
      <x:c r="B10" s="178" t="inlineStr">
        <x:is>
          <x:t xml:space="preserve">Anatomy</x:t>
        </x:is>
      </x:c>
      <x:c r="C10" s="178" t="inlineStr">
        <x:is>
          <x:t xml:space="preserve">Parts</x:t>
        </x:is>
      </x:c>
      <x:c r="D10" s="178" t="str">
        <x:v>Projection preserves callback-ref cleanup, object refs and host replacement.</x:v>
      </x:c>
      <x:c r="E10" s="178" t="inlineStr">
        <x:is>
          <x:t xml:space="preserve">package</x:t>
        </x:is>
      </x:c>
      <x:c r="F10" s="178" t="inlineStr">
        <x:is>
          <x:t xml:space="preserve">component</x:t>
        </x:is>
      </x:c>
      <x:c r="G10" s="178" t="inlineStr">
        <x:is>
          <x:t xml:space="preserve">../test/components/timeline/timeline.test.tsx</x:t>
        </x:is>
      </x:c>
      <x:c r="H10" s="178" t="inlineStr">
        <x:is>
          <x:t xml:space="preserve">tested</x:t>
        </x:is>
      </x:c>
      <x:c r="I10" s="178" t="inlineStr">
        <x:is>
          <x:t xml:space="preserve">no</x:t>
        </x:is>
      </x:c>
      <x:c r="J10" s="178" t="str">
        <x:v>2026-09-19</x:v>
      </x:c>
      <x:c r="K10" s="178" t="n"/>
      <x:c r="L10" s="178" t="n">
        <x:v>1</x:v>
      </x:c>
      <x:c r="M10" s="178" t="n">
        <x:f>IF(OR(AND(I10="yes",H10="verified"),AND(I10="no",OR(H10="tested",H10="verified")),AND(H10="not applicable",K10&lt;&gt;"")),1,0)</x:f>
        <x:v>1</x:v>
      </x:c>
    </x:row>
    <x:row r="11" s="135" customFormat="1" ht="61.5" customHeight="1">
      <x:c r="A11" s="176" t="inlineStr">
        <x:is>
          <x:t xml:space="preserve">timeline-03</x:t>
        </x:is>
      </x:c>
      <x:c r="B11" s="176" t="inlineStr">
        <x:is>
          <x:t xml:space="preserve">Types</x:t>
        </x:is>
      </x:c>
      <x:c r="C11" s="176" t="inlineStr">
        <x:is>
          <x:t xml:space="preserve">Recipes</x:t>
        </x:is>
      </x:c>
      <x:c r="D11" s="176" t="str">
        <x:v>Responsive recipes, layouts and provider contracts compile.</x:v>
      </x:c>
      <x:c r="E11" s="176" t="inlineStr">
        <x:is>
          <x:t xml:space="preserve">package</x:t>
        </x:is>
      </x:c>
      <x:c r="F11" s="176" t="inlineStr">
        <x:is>
          <x:t xml:space="preserve">types</x:t>
        </x:is>
      </x:c>
      <x:c r="G11" s="176" t="inlineStr">
        <x:is>
          <x:t xml:space="preserve">../test/types/components/timeline.test.ts</x:t>
        </x:is>
      </x:c>
      <x:c r="H11" s="176" t="inlineStr">
        <x:is>
          <x:t xml:space="preserve">tested</x:t>
        </x:is>
      </x:c>
      <x:c r="I11" s="176" t="inlineStr">
        <x:is>
          <x:t xml:space="preserve">no</x:t>
        </x:is>
      </x:c>
      <x:c r="J11" s="176" t="str">
        <x:v>2026-09-19</x:v>
      </x:c>
      <x:c r="K11" s="176" t="n"/>
      <x:c r="L11" s="176" t="n">
        <x:v>1</x:v>
      </x:c>
      <x:c r="M11" s="176" t="n">
        <x:f>IF(OR(AND(I11="yes",H11="verified"),AND(I11="no",OR(H11="tested",H11="verified")),AND(H11="not applicable",K11&lt;&gt;"")),1,0)</x:f>
        <x:v>1</x:v>
      </x:c>
    </x:row>
    <x:row r="12" s="135" customFormat="1" ht="61.5" customHeight="1">
      <x:c r="A12" s="178" t="inlineStr">
        <x:is>
          <x:t xml:space="preserve">timeline-04</x:t>
        </x:is>
      </x:c>
      <x:c r="B12" s="178" t="inlineStr">
        <x:is>
          <x:t xml:space="preserve">Geometry</x:t>
        </x:is>
      </x:c>
      <x:c r="C12" s="178" t="inlineStr">
        <x:is>
          <x:t xml:space="preserve">Indicator</x:t>
        </x:is>
      </x:c>
      <x:c r="D12" s="178" t="inlineStr">
        <x:is>
          <x:t xml:space="preserve">Markers measure 16/20/24/32px without shrinking.</x:t>
        </x:is>
      </x:c>
      <x:c r="E12" s="178" t="inlineStr">
        <x:is>
          <x:t xml:space="preserve">package</x:t>
        </x:is>
      </x:c>
      <x:c r="F12" s="178" t="inlineStr">
        <x:is>
          <x:t xml:space="preserve">browser</x:t>
        </x:is>
      </x:c>
      <x:c r="G12" s="178" t="inlineStr">
        <x:is>
          <x:t xml:space="preserve">tests/components/timeline/behavior.spec.ts</x:t>
        </x:is>
      </x:c>
      <x:c r="H12" s="178" t="inlineStr">
        <x:is>
          <x:t xml:space="preserve">tested</x:t>
        </x:is>
      </x:c>
      <x:c r="I12" s="178" t="inlineStr">
        <x:is>
          <x:t xml:space="preserve">no</x:t>
        </x:is>
      </x:c>
      <x:c r="J12" s="178" t="str">
        <x:v>2026-09-19</x:v>
      </x:c>
      <x:c r="K12" s="178" t="n"/>
      <x:c r="L12" s="178" t="n">
        <x:v>1</x:v>
      </x:c>
      <x:c r="M12" s="178" t="n">
        <x:f>IF(OR(AND(I12="yes",H12="verified"),AND(I12="no",OR(H12="tested",H12="verified")),AND(H12="not applicable",K12&lt;&gt;"")),1,0)</x:f>
        <x:v>1</x:v>
      </x:c>
    </x:row>
    <x:row r="13" s="135" customFormat="1" ht="61.5" customHeight="1">
      <x:c r="A13" s="176" t="inlineStr">
        <x:is>
          <x:t xml:space="preserve">timeline-05</x:t>
        </x:is>
      </x:c>
      <x:c r="B13" s="176" t="inlineStr">
        <x:is>
          <x:t xml:space="preserve">Geometry</x:t>
        </x:is>
      </x:c>
      <x:c r="C13" s="176" t="inlineStr">
        <x:is>
          <x:t xml:space="preserve">Separator</x:t>
        </x:is>
      </x:c>
      <x:c r="D13" s="176" t="inlineStr">
        <x:is>
          <x:t xml:space="preserve">Lines center under markers and stretch through variable event content.</x:t>
        </x:is>
      </x:c>
      <x:c r="E13" s="176" t="inlineStr">
        <x:is>
          <x:t xml:space="preserve">package</x:t>
        </x:is>
      </x:c>
      <x:c r="F13" s="176" t="inlineStr">
        <x:is>
          <x:t xml:space="preserve">browser</x:t>
        </x:is>
      </x:c>
      <x:c r="G13" s="176" t="inlineStr">
        <x:is>
          <x:t xml:space="preserve">tests/components/timeline/behavior.spec.ts</x:t>
        </x:is>
      </x:c>
      <x:c r="H13" s="176" t="inlineStr">
        <x:is>
          <x:t xml:space="preserve">tested</x:t>
        </x:is>
      </x:c>
      <x:c r="I13" s="176" t="inlineStr">
        <x:is>
          <x:t xml:space="preserve">no</x:t>
        </x:is>
      </x:c>
      <x:c r="J13" s="176" t="str">
        <x:v>2026-09-19</x:v>
      </x:c>
      <x:c r="K13" s="176" t="n"/>
      <x:c r="L13" s="176" t="n">
        <x:v>1</x:v>
      </x:c>
      <x:c r="M13" s="176" t="n">
        <x:f>IF(OR(AND(I13="yes",H13="verified"),AND(I13="no",OR(H13="tested",H13="verified")),AND(H13="not applicable",K13&lt;&gt;"")),1,0)</x:f>
        <x:v>1</x:v>
      </x:c>
    </x:row>
    <x:row r="14" s="135" customFormat="1" ht="61.5" customHeight="1">
      <x:c r="A14" s="178" t="inlineStr">
        <x:is>
          <x:t xml:space="preserve">timeline-06</x:t>
        </x:is>
      </x:c>
      <x:c r="B14" s="178" t="inlineStr">
        <x:is>
          <x:t xml:space="preserve">Geometry</x:t>
        </x:is>
      </x:c>
      <x:c r="C14" s="178" t="inlineStr">
        <x:is>
          <x:t xml:space="preserve">Final separator</x:t>
        </x:is>
      </x:c>
      <x:c r="D14" s="178" t="inlineStr">
        <x:is>
          <x:t xml:space="preserve">Last line is hidden by default and visible when continued.</x:t>
        </x:is>
      </x:c>
      <x:c r="E14" s="178" t="inlineStr">
        <x:is>
          <x:t xml:space="preserve">package</x:t>
        </x:is>
      </x:c>
      <x:c r="F14" s="178" t="inlineStr">
        <x:is>
          <x:t xml:space="preserve">browser</x:t>
        </x:is>
      </x:c>
      <x:c r="G14" s="178" t="inlineStr">
        <x:is>
          <x:t xml:space="preserve">tests/components/timeline/behavior.spec.ts</x:t>
        </x:is>
      </x:c>
      <x:c r="H14" s="178" t="inlineStr">
        <x:is>
          <x:t xml:space="preserve">tested</x:t>
        </x:is>
      </x:c>
      <x:c r="I14" s="178" t="inlineStr">
        <x:is>
          <x:t xml:space="preserve">no</x:t>
        </x:is>
      </x:c>
      <x:c r="J14" s="178" t="str">
        <x:v>2026-09-19</x:v>
      </x:c>
      <x:c r="K14" s="178" t="n"/>
      <x:c r="L14" s="178" t="n">
        <x:v>1</x:v>
      </x:c>
      <x:c r="M14" s="178" t="n">
        <x:f>IF(OR(AND(I14="yes",H14="verified"),AND(I14="no",OR(H14="tested",H14="verified")),AND(H14="not applicable",K14&lt;&gt;"")),1,0)</x:f>
        <x:v>1</x:v>
      </x:c>
    </x:row>
    <x:row r="15" s="135" customFormat="1" ht="61.5" customHeight="1">
      <x:c r="A15" s="176" t="inlineStr">
        <x:is>
          <x:t xml:space="preserve">timeline-07</x:t>
        </x:is>
      </x:c>
      <x:c r="B15" s="176" t="inlineStr">
        <x:is>
          <x:t xml:space="preserve">Layout</x:t>
        </x:is>
      </x:c>
      <x:c r="C15" s="176" t="inlineStr">
        <x:is>
          <x:t xml:space="preserve">Content sides</x:t>
        </x:is>
      </x:c>
      <x:c r="D15" s="176" t="str">
        <x:v>Compact dates and balanced events share a logical connector axis.</x:v>
      </x:c>
      <x:c r="E15" s="176" t="inlineStr">
        <x:is>
          <x:t xml:space="preserve">package</x:t>
        </x:is>
      </x:c>
      <x:c r="F15" s="176" t="inlineStr">
        <x:is>
          <x:t xml:space="preserve">browser</x:t>
        </x:is>
      </x:c>
      <x:c r="G15" s="176" t="inlineStr">
        <x:is>
          <x:t xml:space="preserve">tests/components/timeline/behavior.spec.ts</x:t>
        </x:is>
      </x:c>
      <x:c r="H15" s="176" t="inlineStr">
        <x:is>
          <x:t xml:space="preserve">tested</x:t>
        </x:is>
      </x:c>
      <x:c r="I15" s="176" t="inlineStr">
        <x:is>
          <x:t xml:space="preserve">no</x:t>
        </x:is>
      </x:c>
      <x:c r="J15" s="176" t="str">
        <x:v>2026-09-19</x:v>
      </x:c>
      <x:c r="K15" s="176" t="n"/>
      <x:c r="L15" s="176" t="n">
        <x:v>1</x:v>
      </x:c>
      <x:c r="M15" s="176" t="n">
        <x:f>IF(OR(AND(I15="yes",H15="verified"),AND(I15="no",OR(H15="tested",H15="verified")),AND(H15="not applicable",K15&lt;&gt;"")),1,0)</x:f>
        <x:v>1</x:v>
      </x:c>
    </x:row>
    <x:row r="16" s="135" customFormat="1" ht="61.5" customHeight="1">
      <x:c r="A16" s="178" t="inlineStr">
        <x:is>
          <x:t xml:space="preserve">timeline-08</x:t>
        </x:is>
      </x:c>
      <x:c r="B16" s="178" t="inlineStr">
        <x:is>
          <x:t xml:space="preserve">Appearance</x:t>
        </x:is>
      </x:c>
      <x:c r="C16" s="178" t="inlineStr">
        <x:is>
          <x:t xml:space="preserve">Tone override</x:t>
        </x:is>
      </x:c>
      <x:c r="D16" s="178" t="inlineStr">
        <x:is>
          <x:t xml:space="preserve">Each event can choose distinct semantic marker paint.</x:t>
        </x:is>
      </x:c>
      <x:c r="E16" s="178" t="inlineStr">
        <x:is>
          <x:t xml:space="preserve">package</x:t>
        </x:is>
      </x:c>
      <x:c r="F16" s="178" t="inlineStr">
        <x:is>
          <x:t xml:space="preserve">browser</x:t>
        </x:is>
      </x:c>
      <x:c r="G16" s="178" t="inlineStr">
        <x:is>
          <x:t xml:space="preserve">tests/components/timeline/behavior.spec.ts</x:t>
        </x:is>
      </x:c>
      <x:c r="H16" s="178" t="inlineStr">
        <x:is>
          <x:t xml:space="preserve">tested</x:t>
        </x:is>
      </x:c>
      <x:c r="I16" s="178" t="inlineStr">
        <x:is>
          <x:t xml:space="preserve">no</x:t>
        </x:is>
      </x:c>
      <x:c r="J16" s="178" t="str">
        <x:v>2026-09-19</x:v>
      </x:c>
      <x:c r="K16" s="178" t="n"/>
      <x:c r="L16" s="178" t="n">
        <x:v>1</x:v>
      </x:c>
      <x:c r="M16" s="178" t="n">
        <x:f>IF(OR(AND(I16="yes",H16="verified"),AND(I16="no",OR(H16="tested",H16="verified")),AND(H16="not applicable",K16&lt;&gt;"")),1,0)</x:f>
        <x:v>1</x:v>
      </x:c>
    </x:row>
    <x:row r="17" s="135" customFormat="1" ht="61.5" customHeight="1">
      <x:c r="A17" s="176" t="inlineStr">
        <x:is>
          <x:t xml:space="preserve">timeline-09</x:t>
        </x:is>
      </x:c>
      <x:c r="B17" s="176" t="inlineStr">
        <x:is>
          <x:t xml:space="preserve">Isolation</x:t>
        </x:is>
      </x:c>
      <x:c r="C17" s="176" t="inlineStr">
        <x:is>
          <x:t xml:space="preserve">Nested timeline</x:t>
        </x:is>
      </x:c>
      <x:c r="D17" s="176" t="str">
        <x:v>Nested roots reset defaults; scoped public overrides inherit.</x:v>
      </x:c>
      <x:c r="E17" s="176" t="inlineStr">
        <x:is>
          <x:t xml:space="preserve">package</x:t>
        </x:is>
      </x:c>
      <x:c r="F17" s="176" t="inlineStr">
        <x:is>
          <x:t xml:space="preserve">browser</x:t>
        </x:is>
      </x:c>
      <x:c r="G17" s="176" t="inlineStr">
        <x:is>
          <x:t xml:space="preserve">tests/components/timeline/behavior.spec.ts</x:t>
        </x:is>
      </x:c>
      <x:c r="H17" s="176" t="inlineStr">
        <x:is>
          <x:t xml:space="preserve">tested</x:t>
        </x:is>
      </x:c>
      <x:c r="I17" s="176" t="inlineStr">
        <x:is>
          <x:t xml:space="preserve">no</x:t>
        </x:is>
      </x:c>
      <x:c r="J17" s="176" t="str">
        <x:v>2026-09-19</x:v>
      </x:c>
      <x:c r="K17" s="176" t="n"/>
      <x:c r="L17" s="176" t="n">
        <x:v>1</x:v>
      </x:c>
      <x:c r="M17" s="176" t="n">
        <x:f>IF(OR(AND(I17="yes",H17="verified"),AND(I17="no",OR(H17="tested",H17="verified")),AND(H17="not applicable",K17&lt;&gt;"")),1,0)</x:f>
        <x:v>1</x:v>
      </x:c>
    </x:row>
    <x:row r="18" s="135" customFormat="1" ht="61.5" customHeight="1">
      <x:c r="A18" s="178" t="inlineStr">
        <x:is>
          <x:t xml:space="preserve">timeline-10</x:t>
        </x:is>
      </x:c>
      <x:c r="B18" s="178" t="inlineStr">
        <x:is>
          <x:t xml:space="preserve">Responsive</x:t>
        </x:is>
      </x:c>
      <x:c r="C18" s="178" t="inlineStr">
        <x:is>
          <x:t xml:space="preserve">RTL / axe</x:t>
        </x:is>
      </x:c>
      <x:c r="D18" s="178" t="str">
        <x:v>Responsive size/variant and compact RTL columns remain contained.</x:v>
      </x:c>
      <x:c r="E18" s="178" t="inlineStr">
        <x:is>
          <x:t xml:space="preserve">package</x:t>
        </x:is>
      </x:c>
      <x:c r="F18" s="178" t="inlineStr">
        <x:is>
          <x:t xml:space="preserve">browser</x:t>
        </x:is>
      </x:c>
      <x:c r="G18" s="178" t="inlineStr">
        <x:is>
          <x:t xml:space="preserve">tests/components/timeline/behavior.spec.ts</x:t>
        </x:is>
      </x:c>
      <x:c r="H18" s="178" t="inlineStr">
        <x:is>
          <x:t xml:space="preserve">tested</x:t>
        </x:is>
      </x:c>
      <x:c r="I18" s="178" t="inlineStr">
        <x:is>
          <x:t xml:space="preserve">no</x:t>
        </x:is>
      </x:c>
      <x:c r="J18" s="178" t="str">
        <x:v>2026-09-19</x:v>
      </x:c>
      <x:c r="K18" s="178" t="n"/>
      <x:c r="L18" s="178" t="n">
        <x:v>1</x:v>
      </x:c>
      <x:c r="M18" s="178" t="n">
        <x:f>IF(OR(AND(I18="yes",H18="verified"),AND(I18="no",OR(H18="tested",H18="verified")),AND(H18="not applicable",K18&lt;&gt;"")),1,0)</x:f>
        <x:v>1</x:v>
      </x:c>
    </x:row>
    <x:row r="19" s="135" customFormat="1" ht="61.5" customHeight="1">
      <x:c r="A19" s="176" t="inlineStr">
        <x:is>
          <x:t xml:space="preserve">timeline-11</x:t>
        </x:is>
      </x:c>
      <x:c r="B19" s="176" t="inlineStr">
        <x:is>
          <x:t xml:space="preserve">Appearance</x:t>
        </x:is>
      </x:c>
      <x:c r="C19" s="176" t="inlineStr">
        <x:is>
          <x:t xml:space="preserve">Forced colors</x:t>
        </x:is>
      </x:c>
      <x:c r="D19" s="176" t="inlineStr">
        <x:is>
          <x:t xml:space="preserve">Separator remains visible with system colors.</x:t>
        </x:is>
      </x:c>
      <x:c r="E19" s="176" t="inlineStr">
        <x:is>
          <x:t xml:space="preserve">package</x:t>
        </x:is>
      </x:c>
      <x:c r="F19" s="176" t="inlineStr">
        <x:is>
          <x:t xml:space="preserve">browser</x:t>
        </x:is>
      </x:c>
      <x:c r="G19" s="176" t="inlineStr">
        <x:is>
          <x:t xml:space="preserve">tests/components/timeline/behavior.spec.ts</x:t>
        </x:is>
      </x:c>
      <x:c r="H19" s="176" t="inlineStr">
        <x:is>
          <x:t xml:space="preserve">tested</x:t>
        </x:is>
      </x:c>
      <x:c r="I19" s="176" t="inlineStr">
        <x:is>
          <x:t xml:space="preserve">no</x:t>
        </x:is>
      </x:c>
      <x:c r="J19" s="176" t="str">
        <x:v>2026-09-19</x:v>
      </x:c>
      <x:c r="K19" s="176" t="n"/>
      <x:c r="L19" s="176" t="n">
        <x:v>1</x:v>
      </x:c>
      <x:c r="M19" s="176" t="n">
        <x:f>IF(OR(AND(I19="yes",H19="verified"),AND(I19="no",OR(H19="tested",H19="verified")),AND(H19="not applicable",K19&lt;&gt;"")),1,0)</x:f>
        <x:v>1</x:v>
      </x:c>
    </x:row>
    <x:row r="20" s="135" customFormat="1" ht="61.5" customHeight="1">
      <x:c r="A20" s="178" t="inlineStr">
        <x:is>
          <x:t xml:space="preserve">timeline-12</x:t>
        </x:is>
      </x:c>
      <x:c r="B20" s="178" t="inlineStr">
        <x:is>
          <x:t xml:space="preserve">Content</x:t>
        </x:is>
      </x:c>
      <x:c r="C20" s="178" t="inlineStr">
        <x:is>
          <x:t xml:space="preserve">Rich events</x:t>
        </x:is>
      </x:c>
      <x:c r="D20" s="178" t="inlineStr">
        <x:is>
          <x:t xml:space="preserve">Avatar/icon/ordinal, actions, attachments and authored time examples render.</x:t>
        </x:is>
      </x:c>
      <x:c r="E20" s="178" t="inlineStr">
        <x:is>
          <x:t xml:space="preserve">package</x:t>
        </x:is>
      </x:c>
      <x:c r="F20" s="178" t="inlineStr">
        <x:is>
          <x:t xml:space="preserve">page</x:t>
        </x:is>
      </x:c>
      <x:c r="G20" s="178" t="inlineStr">
        <x:is>
          <x:t xml:space="preserve">src/components/timeline/TimelinePage.tsx</x:t>
        </x:is>
      </x:c>
      <x:c r="H20" s="178" t="inlineStr">
        <x:is>
          <x:t xml:space="preserve">implemented</x:t>
        </x:is>
      </x:c>
      <x:c r="I20" s="178" t="inlineStr">
        <x:is>
          <x:t xml:space="preserve">no</x:t>
        </x:is>
      </x:c>
      <x:c r="J20" s="178" t="n"/>
      <x:c r="K20" s="178" t="n"/>
      <x:c r="L20" s="178" t="n">
        <x:v>1</x:v>
      </x:c>
      <x:c r="M20" s="178" t="n">
        <x:f>IF(OR(AND(I20="yes",H20="verified"),AND(I20="no",OR(H20="tested",H20="verified")),AND(H20="not applicable",K20&lt;&gt;"")),1,0)</x:f>
        <x:v>0</x:v>
      </x:c>
    </x:row>
    <x:row r="21" s="135" customFormat="1" ht="61.5" customHeight="1">
      <x:c r="A21" s="176" t="inlineStr">
        <x:is>
          <x:t xml:space="preserve">timeline-13</x:t>
        </x:is>
      </x:c>
      <x:c r="B21" s="176" t="inlineStr">
        <x:is>
          <x:t xml:space="preserve">Visual</x:t>
        </x:is>
      </x:c>
      <x:c r="C21" s="176" t="inlineStr">
        <x:is>
          <x:t xml:space="preserve">Snapshots</x:t>
        </x:is>
      </x:c>
      <x:c r="D21" s="176" t="inlineStr">
        <x:is>
          <x:t xml:space="preserve">Full geometry, recipes and appearance captures exist.</x:t>
        </x:is>
      </x:c>
      <x:c r="E21" s="176" t="inlineStr">
        <x:is>
          <x:t xml:space="preserve">package</x:t>
        </x:is>
      </x:c>
      <x:c r="F21" s="176" t="inlineStr">
        <x:is>
          <x:t xml:space="preserve">visual</x:t>
        </x:is>
      </x:c>
      <x:c r="G21" s="176" t="inlineStr">
        <x:is>
          <x:t xml:space="preserve">tests/components/timeline/visual.spec.ts</x:t>
        </x:is>
      </x:c>
      <x:c r="H21" s="176" t="str">
        <x:v>tested</x:v>
      </x:c>
      <x:c r="I21" s="176" t="inlineStr">
        <x:is>
          <x:t xml:space="preserve">no</x:t>
        </x:is>
      </x:c>
      <x:c r="J21" s="176" t="str">
        <x:v>2026-09-19</x:v>
      </x:c>
      <x:c r="K21" s="176" t="n"/>
      <x:c r="L21" s="176" t="n">
        <x:v>1</x:v>
      </x:c>
      <x:c r="M21" s="176" t="n">
        <x:f>IF(OR(AND(I21="yes",H21="verified"),AND(I21="no",OR(H21="tested",H21="verified")),AND(H21="not applicable",K21&lt;&gt;"")),1,0)</x:f>
        <x:v>1</x:v>
      </x:c>
    </x:row>
    <x:row r="22" s="135" customFormat="1" ht="61.5" customHeight="1">
      <x:c r="A22" s="178" t="inlineStr">
        <x:is>
          <x:t xml:space="preserve">timeline-14</x:t>
        </x:is>
      </x:c>
      <x:c r="B22" s="178" t="inlineStr">
        <x:is>
          <x:t xml:space="preserve">Docs</x:t>
        </x:is>
      </x:c>
      <x:c r="C22" s="178" t="inlineStr">
        <x:is>
          <x:t xml:space="preserve">Guide / AK</x:t>
        </x:is>
      </x:c>
      <x:c r="D22" s="178" t="inlineStr">
        <x:is>
          <x:t xml:space="preserve">Source-backed public documentation and generated guidance agree.</x:t>
        </x:is>
      </x:c>
      <x:c r="E22" s="178" t="inlineStr">
        <x:is>
          <x:t xml:space="preserve">package</x:t>
        </x:is>
      </x:c>
      <x:c r="F22" s="178" t="inlineStr">
        <x:is>
          <x:t xml:space="preserve">docs</x:t>
        </x:is>
      </x:c>
      <x:c r="G22" s="178" t="inlineStr">
        <x:is>
          <x:t xml:space="preserve">../docs/components/timeline/README.md; ../src/components/timeline/agent.json</x:t>
        </x:is>
      </x:c>
      <x:c r="H22" s="178" t="inlineStr">
        <x:is>
          <x:t xml:space="preserve">tested</x:t>
        </x:is>
      </x:c>
      <x:c r="I22" s="178" t="inlineStr">
        <x:is>
          <x:t xml:space="preserve">no</x:t>
        </x:is>
      </x:c>
      <x:c r="J22" s="178" t="str">
        <x:v>2026-09-19</x:v>
      </x:c>
      <x:c r="K22" s="178" t="n"/>
      <x:c r="L22" s="178" t="n">
        <x:v>1</x:v>
      </x:c>
      <x:c r="M22" s="178" t="n">
        <x:f>IF(OR(AND(I22="yes",H22="verified"),AND(I22="no",OR(H22="tested",H22="verified")),AND(H22="not applicable",K22&lt;&gt;"")),1,0)</x:f>
        <x:v>1</x:v>
      </x:c>
    </x:row>
    <x:row r="23" s="135" customFormat="1" ht="61.5" customHeight="1">
      <x:c r="A23" s="176" t="inlineStr">
        <x:is>
          <x:t xml:space="preserve">timeline-15</x:t>
        </x:is>
      </x:c>
      <x:c r="B23" s="176" t="inlineStr">
        <x:is>
          <x:t xml:space="preserve">Playground</x:t>
        </x:is>
      </x:c>
      <x:c r="C23" s="176" t="inlineStr">
        <x:is>
          <x:t xml:space="preserve">Scenarios</x:t>
        </x:is>
      </x:c>
      <x:c r="D23" s="176" t="str">
        <x:v>Focused docs expose source-paired examples and all part prop tables.</x:v>
      </x:c>
      <x:c r="E23" s="176" t="inlineStr">
        <x:is>
          <x:t xml:space="preserve">package</x:t>
        </x:is>
      </x:c>
      <x:c r="F23" s="176" t="inlineStr">
        <x:is>
          <x:t xml:space="preserve">page</x:t>
        </x:is>
      </x:c>
      <x:c r="G23" s="176" t="str">
        <x:v>tests/components/timeline/behavior.spec.ts</x:v>
      </x:c>
      <x:c r="H23" s="176" t="str">
        <x:v>tested</x:v>
      </x:c>
      <x:c r="I23" s="176" t="inlineStr">
        <x:is>
          <x:t xml:space="preserve">no</x:t>
        </x:is>
      </x:c>
      <x:c r="J23" s="176" t="str">
        <x:v>2026-09-19</x:v>
      </x:c>
      <x:c r="K23" s="176" t="n"/>
      <x:c r="L23" s="176" t="n">
        <x:v>1</x:v>
      </x:c>
      <x:c r="M23" s="176" t="n">
        <x:f>IF(OR(AND(I23="yes",H23="verified"),AND(I23="no",OR(H23="tested",H23="verified")),AND(H23="not applicable",K23&lt;&gt;"")),1,0)</x:f>
        <x:v>1</x:v>
      </x:c>
    </x:row>
    <x:row r="24" s="135" customFormat="1" ht="61.5" customHeight="1">
      <x:c r="A24" s="178" t="inlineStr">
        <x:is>
          <x:t xml:space="preserve">timeline-16</x:t>
        </x:is>
      </x:c>
      <x:c r="B24" s="178" t="inlineStr">
        <x:is>
          <x:t xml:space="preserve">Consumer</x:t>
        </x:is>
      </x:c>
      <x:c r="C24" s="178" t="inlineStr">
        <x:is>
          <x:t xml:space="preserve">Composition</x:t>
        </x:is>
      </x:c>
      <x:c r="D24" s="178" t="inlineStr">
        <x:is>
          <x:t xml:space="preserve">Workspace milestones use public imports and authored localized times.</x:t>
        </x:is>
      </x:c>
      <x:c r="E24" s="178" t="inlineStr">
        <x:is>
          <x:t xml:space="preserve">consumer</x:t>
        </x:is>
      </x:c>
      <x:c r="F24" s="178" t="inlineStr">
        <x:is>
          <x:t xml:space="preserve">consumer</x:t>
        </x:is>
      </x:c>
      <x:c r="G24" s="178" t="inlineStr">
        <x:is>
          <x:t xml:space="preserve">../apps/consumer/src/DataDisplaySummary.tsx</x:t>
        </x:is>
      </x:c>
      <x:c r="H24" s="178" t="inlineStr">
        <x:is>
          <x:t xml:space="preserve">implemented</x:t>
        </x:is>
      </x:c>
      <x:c r="I24" s="178" t="inlineStr">
        <x:is>
          <x:t xml:space="preserve">no</x:t>
        </x:is>
      </x:c>
      <x:c r="J24" s="178" t="n"/>
      <x:c r="K24" s="178" t="n"/>
      <x:c r="L24" s="178" t="n">
        <x:v>1</x:v>
      </x:c>
      <x:c r="M24" s="178" t="n">
        <x:f>IF(OR(AND(I24="yes",H24="verified"),AND(I24="no",OR(H24="tested",H24="verified")),AND(H24="not applicable",K24&lt;&gt;"")),1,0)</x:f>
        <x:v>0</x:v>
      </x:c>
    </x:row>
    <x:row r="25" s="135" customFormat="1" ht="61.5" customHeight="1">
      <x:c r="A25" s="176" t="inlineStr">
        <x:is>
          <x:t xml:space="preserve">timeline-17</x:t>
        </x:is>
      </x:c>
      <x:c r="B25" s="176" t="inlineStr">
        <x:is>
          <x:t xml:space="preserve">Package</x:t>
        </x:is>
      </x:c>
      <x:c r="C25" s="176" t="inlineStr">
        <x:is>
          <x:t xml:space="preserve">Artifact</x:t>
        </x:is>
      </x:c>
      <x:c r="D25" s="176" t="inlineStr">
        <x:is>
          <x:t xml:space="preserve">Packed exports, React 18/19 and complete repository/release gates.</x:t>
        </x:is>
      </x:c>
      <x:c r="E25" s="176" t="inlineStr">
        <x:is>
          <x:t xml:space="preserve">package</x:t>
        </x:is>
      </x:c>
      <x:c r="F25" s="176" t="inlineStr">
        <x:is>
          <x:t xml:space="preserve">package</x:t>
        </x:is>
      </x:c>
      <x:c r="G25" s="176" t="inlineStr">
        <x:is>
          <x:t xml:space="preserve">../scripts/verify-package.mjs</x:t>
        </x:is>
      </x:c>
      <x:c r="H25" s="176" t="inlineStr">
        <x:is>
          <x:t xml:space="preserve">partial</x:t>
        </x:is>
      </x:c>
      <x:c r="I25" s="176" t="inlineStr">
        <x:is>
          <x:t xml:space="preserve">no</x:t>
        </x:is>
      </x:c>
      <x:c r="J25" s="176" t="n"/>
      <x:c r="K25" s="176" t="inlineStr">
        <x:is>
          <x:t xml:space="preserve">Full batch qualification remains pending.</x:t>
        </x:is>
      </x:c>
      <x:c r="L25" s="176" t="n">
        <x:v>1</x:v>
      </x:c>
      <x:c r="M25" s="176" t="n">
        <x:f>IF(OR(AND(I25="yes",H25="verified"),AND(I25="no",OR(H25="tested",H25="verified")),AND(H25="not applicable",K25&lt;&gt;"")),1,0)</x:f>
        <x:v>0</x:v>
      </x:c>
    </x:row>
    <x:row r="26" s="135" customFormat="1" ht="61.5" customHeight="1">
      <x:c r="A26" s="178" t="inlineStr">
        <x:is>
          <x:t xml:space="preserve">timeline-18</x:t>
        </x:is>
      </x:c>
      <x:c r="B26" s="178" t="inlineStr">
        <x:is>
          <x:t xml:space="preserve">Manual</x:t>
        </x:is>
      </x:c>
      <x:c r="C26" s="178" t="inlineStr">
        <x:is>
          <x:t xml:space="preserve">Screen reader / device</x:t>
        </x:is>
      </x:c>
      <x:c r="D26" s="178" t="inlineStr">
        <x:is>
          <x:t xml:space="preserve">Verify chronology, real zoom, touch and marker meaning on named devices.</x:t>
        </x:is>
      </x:c>
      <x:c r="E26" s="178" t="inlineStr">
        <x:is>
          <x:t xml:space="preserve">package</x:t>
        </x:is>
      </x:c>
      <x:c r="F26" s="178" t="inlineStr">
        <x:is>
          <x:t xml:space="preserve">manual</x:t>
        </x:is>
      </x:c>
      <x:c r="G26" s="178" t="inlineStr">
        <x:is>
          <x:t xml:space="preserve">manual-tests/timeline.md</x:t>
        </x:is>
      </x:c>
      <x:c r="H26" s="178" t="inlineStr">
        <x:is>
          <x:t xml:space="preserve">not started</x:t>
        </x:is>
      </x:c>
      <x:c r="I26" s="178" t="inlineStr">
        <x:is>
          <x:t xml:space="preserve">yes</x:t>
        </x:is>
      </x:c>
      <x:c r="J26" s="178" t="n"/>
      <x:c r="K26" s="178" t="inlineStr">
        <x:is>
          <x:t xml:space="preserve">Not performed; no human result claimed.</x:t>
        </x:is>
      </x:c>
      <x:c r="L26" s="178" t="n">
        <x:v>1</x:v>
      </x:c>
      <x:c r="M26" s="178" t="n">
        <x:f>IF(OR(AND(I26="yes",H26="verified"),AND(I26="no",OR(H26="tested",H26="verified")),AND(H26="not applicable",K26&lt;&gt;"")),1,0)</x:f>
        <x:v>0</x:v>
      </x:c>
    </x:row>
  </x:sheetData>
  <x:mergeCells>
    <x:mergeCell ref="A2:M2"/>
    <x:mergeCell ref="A1:M1"/>
  </x:mergeCells>
  <x:dataValidations count="1">
    <x:dataValidation type="list" errorStyle="stop" operator="between" allowBlank="0" showDropDown="0" showInputMessage="0" showErrorMessage="0" sqref="H9:H26">
      <x:formula1>"not started,partial,implemented,tested,verified,blocked,not applicable"</x:formula1>
      <x:formula2>0</x:formula2>
    </x:dataValidation>
  </x:dataValidations>
  <x:pageMargins left="0.7" right="0.7" top="0.75" bottom="0.75" header="0.3" footer="0.3"/>
</x:worksheet>
</file>

<file path=xl/worksheets/sheet125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baseColWidth="8" defaultColWidth="8.6796875" defaultRowHeight="15"/>
  <x:cols>
    <x:col min="1" max="1" width="16" style="138" customWidth="1"/>
    <x:col min="2" max="2" width="18" style="138" customWidth="1"/>
    <x:col min="3" max="3" width="22" style="138" customWidth="1"/>
    <x:col min="4" max="4" width="64" style="138" customWidth="1"/>
    <x:col min="5" max="6" width="16" style="138" customWidth="1"/>
    <x:col min="7" max="7" width="58" style="138" customWidth="1"/>
    <x:col min="8" max="8" width="18" style="138" customWidth="1"/>
    <x:col min="9" max="10" width="16" style="138" customWidth="1"/>
    <x:col min="11" max="11" width="48" style="138" customWidth="1"/>
    <x:col min="12" max="13" width="10" style="138" customWidth="1"/>
  </x:cols>
  <x:sheetData>
    <x:row r="1" s="135" customFormat="1" ht="27.75" customHeight="1">
      <x:c r="A1" s="229" t="inlineStr">
        <x:is>
          <x:t xml:space="preserve">Marquee Evidence</x:t>
        </x:is>
      </x:c>
    </x:row>
    <x:row r="2" s="135" customFormat="1" ht="42" customHeight="1">
      <x:c r="A2" s="230" t="str">
        <x:v>September 19 parity. Local candidates; manual and broader release qualification remain open.</x:v>
      </x:c>
    </x:row>
    <x:row r="3" s="135" customFormat="1" ht="15" customHeight="1">
      <x:c r="A3" s="138" t="n"/>
      <x:c r="B3" s="138" t="n"/>
      <x:c r="C3" s="138" t="n"/>
      <x:c r="D3" s="138" t="n"/>
      <x:c r="E3" s="138" t="n"/>
      <x:c r="F3" s="138" t="n"/>
      <x:c r="G3" s="138" t="n"/>
      <x:c r="H3" s="138" t="n"/>
      <x:c r="I3" s="138" t="n"/>
      <x:c r="J3" s="138" t="n"/>
      <x:c r="K3" s="138" t="n"/>
      <x:c r="L3" s="138" t="n"/>
      <x:c r="M3" s="138" t="n"/>
    </x:row>
    <x:row r="4" s="135" customFormat="1" ht="15" customHeight="1">
      <x:c r="A4" s="138" t="inlineStr">
        <x:is>
          <x:t xml:space="preserve">Requirements</x:t>
        </x:is>
      </x:c>
      <x:c r="B4" s="138" t="n">
        <x:f>COUNTA(A9:A23)</x:f>
        <x:v>15</x:v>
      </x:c>
      <x:c r="C4" s="138" t="n"/>
      <x:c r="D4" s="138" t="inlineStr">
        <x:is>
          <x:t xml:space="preserve">Resolved</x:t>
        </x:is>
      </x:c>
      <x:c r="E4" s="138" t="n">
        <x:f>SUM(M9:M23)</x:f>
        <x:v>12</x:v>
      </x:c>
      <x:c r="F4" s="138" t="n"/>
      <x:c r="G4" s="138" t="inlineStr">
        <x:is>
          <x:t xml:space="preserve">Completion</x:t>
        </x:is>
      </x:c>
      <x:c r="H4" s="139" t="n">
        <x:f>IF(B4=0,0,E4/B4)</x:f>
        <x:v>0.8</x:v>
      </x:c>
      <x:c r="I4" s="138" t="n"/>
      <x:c r="J4" s="138" t="inlineStr">
        <x:is>
          <x:t xml:space="preserve">Package gate</x:t>
        </x:is>
      </x:c>
      <x:c r="K4" s="138" t="str">
        <x:f>IF(COUNTIFS(E9:E23,"package",M9:M23,0)&gt;0,"open","complete")</x:f>
        <x:v>open</x:v>
      </x:c>
      <x:c r="L4" s="138" t="n"/>
      <x:c r="M4" s="138" t="n"/>
    </x:row>
    <x:row r="5" s="135" customFormat="1" ht="15" customHeight="1">
      <x:c r="A5" s="138" t="inlineStr">
        <x:is>
          <x:t xml:space="preserve">Manual review</x:t>
        </x:is>
      </x:c>
      <x:c r="B5" s="138" t="str">
        <x:f>IF(COUNTIFS(I9:I23,"yes",M9:M23,0)&gt;0,"open","complete")</x:f>
        <x:v>open</x:v>
      </x:c>
      <x:c r="C5" s="138" t="n"/>
      <x:c r="D5" s="138" t="inlineStr">
        <x:is>
          <x:t xml:space="preserve">Consumer gate</x:t>
        </x:is>
      </x:c>
      <x:c r="E5" s="138" t="str">
        <x:f>IF(COUNTIFS(E9:E23,"consumer",M9:M23,0)&gt;0,"open","complete")</x:f>
        <x:v>open</x:v>
      </x:c>
      <x:c r="F5" s="138" t="n"/>
      <x:c r="G5" s="138" t="n"/>
      <x:c r="H5" s="138" t="n"/>
      <x:c r="I5" s="138" t="n"/>
      <x:c r="J5" s="138" t="n"/>
      <x:c r="K5" s="138" t="n"/>
      <x:c r="L5" s="138" t="n"/>
      <x:c r="M5" s="138" t="n"/>
    </x:row>
    <x:row r="6" s="135" customFormat="1" ht="15" customHeight="1">
      <x:c r="A6" s="138" t="n"/>
      <x:c r="B6" s="138" t="n"/>
      <x:c r="C6" s="138" t="n"/>
      <x:c r="D6" s="138" t="n"/>
      <x:c r="E6" s="138" t="n"/>
      <x:c r="F6" s="138" t="n"/>
      <x:c r="G6" s="138" t="n"/>
      <x:c r="H6" s="138" t="n"/>
      <x:c r="I6" s="138" t="n"/>
      <x:c r="J6" s="138" t="n"/>
      <x:c r="K6" s="138" t="n"/>
      <x:c r="L6" s="138" t="n"/>
      <x:c r="M6" s="138" t="n"/>
    </x:row>
    <x:row r="7" s="135" customFormat="1" ht="15" customHeight="1">
      <x:c r="A7" s="138" t="n"/>
      <x:c r="B7" s="138" t="n"/>
      <x:c r="C7" s="138" t="n"/>
      <x:c r="D7" s="138" t="n"/>
      <x:c r="E7" s="138" t="n"/>
      <x:c r="F7" s="138" t="n"/>
      <x:c r="G7" s="138" t="n"/>
      <x:c r="H7" s="138" t="n"/>
      <x:c r="I7" s="138" t="n"/>
      <x:c r="J7" s="138" t="n"/>
      <x:c r="K7" s="138" t="n"/>
      <x:c r="L7" s="138" t="n"/>
      <x:c r="M7" s="138" t="n"/>
    </x:row>
    <x:row r="8" s="135" customFormat="1" ht="27.75" customHeight="1">
      <x:c r="A8" s="174" t="inlineStr">
        <x:is>
          <x:t xml:space="preserve">ID</x:t>
        </x:is>
      </x:c>
      <x:c r="B8" s="174" t="inlineStr">
        <x:is>
          <x:t xml:space="preserve">Area</x:t>
        </x:is>
      </x:c>
      <x:c r="C8" s="174" t="inlineStr">
        <x:is>
          <x:t xml:space="preserve">Part</x:t>
        </x:is>
      </x:c>
      <x:c r="D8" s="174" t="inlineStr">
        <x:is>
          <x:t xml:space="preserve">Requirement</x:t>
        </x:is>
      </x:c>
      <x:c r="E8" s="174" t="inlineStr">
        <x:is>
          <x:t xml:space="preserve">Gate</x:t>
        </x:is>
      </x:c>
      <x:c r="F8" s="174" t="inlineStr">
        <x:is>
          <x:t xml:space="preserve">Evidence type</x:t>
        </x:is>
      </x:c>
      <x:c r="G8" s="174" t="inlineStr">
        <x:is>
          <x:t xml:space="preserve">Evidence / link</x:t>
        </x:is>
      </x:c>
      <x:c r="H8" s="174" t="inlineStr">
        <x:is>
          <x:t xml:space="preserve">Status</x:t>
        </x:is>
      </x:c>
      <x:c r="I8" s="174" t="inlineStr">
        <x:is>
          <x:t xml:space="preserve">Human review?</x:t>
        </x:is>
      </x:c>
      <x:c r="J8" s="174" t="inlineStr">
        <x:is>
          <x:t xml:space="preserve">Last verified</x:t>
        </x:is>
      </x:c>
      <x:c r="K8" s="174" t="inlineStr">
        <x:is>
          <x:t xml:space="preserve">Blocker / N/A reason</x:t>
        </x:is>
      </x:c>
      <x:c r="L8" s="174" t="inlineStr">
        <x:is>
          <x:t xml:space="preserve">Weight</x:t>
        </x:is>
      </x:c>
      <x:c r="M8" s="174" t="inlineStr">
        <x:is>
          <x:t xml:space="preserve">Resolved</x:t>
        </x:is>
      </x:c>
    </x:row>
    <x:row r="9" s="135" customFormat="1" ht="61.5" customHeight="1">
      <x:c r="A9" s="231" t="inlineStr">
        <x:is>
          <x:t xml:space="preserve">marquee-01</x:t>
        </x:is>
      </x:c>
      <x:c r="B9" s="231" t="inlineStr">
        <x:is>
          <x:t xml:space="preserve">API</x:t>
        </x:is>
      </x:c>
      <x:c r="C9" s="231" t="inlineStr">
        <x:is>
          <x:t xml:space="preserve">Native hosts / refs</x:t>
        </x:is>
      </x:c>
      <x:c r="D9" s="231" t="str">
        <x:v>Projected Edge refs preserve cleanup; defaults and unstyled retain native behavior.</x:v>
      </x:c>
      <x:c r="E9" s="231" t="inlineStr">
        <x:is>
          <x:t xml:space="preserve">package</x:t>
        </x:is>
      </x:c>
      <x:c r="F9" s="231" t="inlineStr">
        <x:is>
          <x:t xml:space="preserve">component</x:t>
        </x:is>
      </x:c>
      <x:c r="G9" s="231" t="inlineStr">
        <x:is>
          <x:t xml:space="preserve">../test/components/marquee/marquee.test.tsx</x:t>
        </x:is>
      </x:c>
      <x:c r="H9" s="231" t="inlineStr">
        <x:is>
          <x:t xml:space="preserve">tested</x:t>
        </x:is>
      </x:c>
      <x:c r="I9" s="231" t="inlineStr">
        <x:is>
          <x:t xml:space="preserve">no</x:t>
        </x:is>
      </x:c>
      <x:c r="J9" s="231" t="str">
        <x:v>2026-09-19</x:v>
      </x:c>
      <x:c r="K9" s="231" t="n"/>
      <x:c r="L9" s="231" t="n">
        <x:v>1</x:v>
      </x:c>
      <x:c r="M9" s="231" t="n">
        <x:f>IF(OR(AND(I9="yes",H9="verified"),AND(I9="no",OR(H9="tested",H9="verified")),AND(H9="not applicable",K9&lt;&gt;"")),1,0)</x:f>
        <x:v>1</x:v>
      </x:c>
    </x:row>
    <x:row r="10" s="135" customFormat="1" ht="61.5" customHeight="1">
      <x:c r="A10" s="232" t="inlineStr">
        <x:is>
          <x:t xml:space="preserve">marquee-02</x:t>
        </x:is>
      </x:c>
      <x:c r="B10" s="232" t="inlineStr">
        <x:is>
          <x:t xml:space="preserve">Spacing</x:t>
        </x:is>
      </x:c>
      <x:c r="C10" s="232" t="inlineStr">
        <x:is>
          <x:t xml:space="preserve">Root / hook</x:t>
        </x:is>
      </x:c>
      <x:c r="D10" s="232" t="str">
        <x:v>Scalar spacing and responsive gap resolution follow the shared contract.</x:v>
      </x:c>
      <x:c r="E10" s="232" t="inlineStr">
        <x:is>
          <x:t xml:space="preserve">package</x:t>
        </x:is>
      </x:c>
      <x:c r="F10" s="232" t="inlineStr">
        <x:is>
          <x:t xml:space="preserve">component</x:t>
        </x:is>
      </x:c>
      <x:c r="G10" s="232" t="str">
        <x:v>tests/components/marquee/behavior.spec.ts; ../test/components/marquee/marquee.test.tsx</x:v>
      </x:c>
      <x:c r="H10" s="232" t="inlineStr">
        <x:is>
          <x:t xml:space="preserve">tested</x:t>
        </x:is>
      </x:c>
      <x:c r="I10" s="232" t="inlineStr">
        <x:is>
          <x:t xml:space="preserve">no</x:t>
        </x:is>
      </x:c>
      <x:c r="J10" s="232" t="str">
        <x:v>2026-09-19</x:v>
      </x:c>
      <x:c r="K10" s="232" t="n"/>
      <x:c r="L10" s="232" t="n">
        <x:v>1</x:v>
      </x:c>
      <x:c r="M10" s="232" t="n">
        <x:f>IF(OR(AND(I10="yes",H10="verified"),AND(I10="no",OR(H10="tested",H10="verified")),AND(H10="not applicable",K10&lt;&gt;"")),1,0)</x:f>
        <x:v>1</x:v>
      </x:c>
    </x:row>
    <x:row r="11" s="135" customFormat="1" ht="61.5" customHeight="1">
      <x:c r="A11" s="231" t="inlineStr">
        <x:is>
          <x:t xml:space="preserve">marquee-03</x:t>
        </x:is>
      </x:c>
      <x:c r="B11" s="231" t="inlineStr">
        <x:is>
          <x:t xml:space="preserve">Types</x:t>
        </x:is>
      </x:c>
      <x:c r="C11" s="231" t="inlineStr">
        <x:is>
          <x:t xml:space="preserve">Public API</x:t>
        </x:is>
      </x:c>
      <x:c r="D11" s="231" t="inlineStr">
        <x:is>
          <x:t xml:space="preserve">Public declarations compile without private dependency paths.</x:t>
        </x:is>
      </x:c>
      <x:c r="E11" s="231" t="inlineStr">
        <x:is>
          <x:t xml:space="preserve">package</x:t>
        </x:is>
      </x:c>
      <x:c r="F11" s="231" t="inlineStr">
        <x:is>
          <x:t xml:space="preserve">types</x:t>
        </x:is>
      </x:c>
      <x:c r="G11" s="231" t="inlineStr">
        <x:is>
          <x:t xml:space="preserve">../test/types/components/marquee.test.ts</x:t>
        </x:is>
      </x:c>
      <x:c r="H11" s="231" t="inlineStr">
        <x:is>
          <x:t xml:space="preserve">tested</x:t>
        </x:is>
      </x:c>
      <x:c r="I11" s="231" t="inlineStr">
        <x:is>
          <x:t xml:space="preserve">no</x:t>
        </x:is>
      </x:c>
      <x:c r="J11" s="231" t="str">
        <x:v>2026-09-19</x:v>
      </x:c>
      <x:c r="K11" s="231" t="n"/>
      <x:c r="L11" s="231" t="n">
        <x:v>1</x:v>
      </x:c>
      <x:c r="M11" s="231" t="n">
        <x:f>IF(OR(AND(I11="yes",H11="verified"),AND(I11="no",OR(H11="tested",H11="verified")),AND(H11="not applicable",K11&lt;&gt;"")),1,0)</x:f>
        <x:v>1</x:v>
      </x:c>
    </x:row>
    <x:row r="12" s="135" customFormat="1" ht="61.5" customHeight="1">
      <x:c r="A12" s="232" t="inlineStr">
        <x:is>
          <x:t xml:space="preserve">marquee-04</x:t>
        </x:is>
      </x:c>
      <x:c r="B12" s="232" t="inlineStr">
        <x:is>
          <x:t xml:space="preserve">Motion</x:t>
        </x:is>
      </x:c>
      <x:c r="C12" s="232" t="inlineStr">
        <x:is>
          <x:t xml:space="preserve">Track</x:t>
        </x:is>
      </x:c>
      <x:c r="D12" s="232" t="inlineStr">
        <x:is>
          <x:t xml:space="preserve">Transforms advance and requested pause stops animation.</x:t>
        </x:is>
      </x:c>
      <x:c r="E12" s="232" t="inlineStr">
        <x:is>
          <x:t xml:space="preserve">package</x:t>
        </x:is>
      </x:c>
      <x:c r="F12" s="232" t="inlineStr">
        <x:is>
          <x:t xml:space="preserve">browser</x:t>
        </x:is>
      </x:c>
      <x:c r="G12" s="232" t="inlineStr">
        <x:is>
          <x:t xml:space="preserve">tests/components/marquee/behavior.spec.ts</x:t>
        </x:is>
      </x:c>
      <x:c r="H12" s="232" t="inlineStr">
        <x:is>
          <x:t xml:space="preserve">tested</x:t>
        </x:is>
      </x:c>
      <x:c r="I12" s="232" t="inlineStr">
        <x:is>
          <x:t xml:space="preserve">no</x:t>
        </x:is>
      </x:c>
      <x:c r="J12" s="232" t="str">
        <x:v>2026-09-19</x:v>
      </x:c>
      <x:c r="K12" s="232" t="n"/>
      <x:c r="L12" s="232" t="n">
        <x:v>1</x:v>
      </x:c>
      <x:c r="M12" s="232" t="n">
        <x:f>IF(OR(AND(I12="yes",H12="verified"),AND(I12="no",OR(H12="tested",H12="verified")),AND(H12="not applicable",K12&lt;&gt;"")),1,0)</x:f>
        <x:v>1</x:v>
      </x:c>
    </x:row>
    <x:row r="13" s="135" customFormat="1" ht="61.5" customHeight="1">
      <x:c r="A13" s="231" t="inlineStr">
        <x:is>
          <x:t xml:space="preserve">marquee-05</x:t>
        </x:is>
      </x:c>
      <x:c r="B13" s="231" t="inlineStr">
        <x:is>
          <x:t xml:space="preserve">Direction</x:t>
        </x:is>
      </x:c>
      <x:c r="C13" s="231" t="inlineStr">
        <x:is>
          <x:t xml:space="preserve">Sides / RTL</x:t>
        </x:is>
      </x:c>
      <x:c r="D13" s="231" t="inlineStr">
        <x:is>
          <x:t xml:space="preserve">Logical direction, reverse and vertical height match the recipe.</x:t>
        </x:is>
      </x:c>
      <x:c r="E13" s="231" t="inlineStr">
        <x:is>
          <x:t xml:space="preserve">package</x:t>
        </x:is>
      </x:c>
      <x:c r="F13" s="231" t="inlineStr">
        <x:is>
          <x:t xml:space="preserve">browser</x:t>
        </x:is>
      </x:c>
      <x:c r="G13" s="231" t="inlineStr">
        <x:is>
          <x:t xml:space="preserve">tests/components/marquee/behavior.spec.ts</x:t>
        </x:is>
      </x:c>
      <x:c r="H13" s="231" t="inlineStr">
        <x:is>
          <x:t xml:space="preserve">tested</x:t>
        </x:is>
      </x:c>
      <x:c r="I13" s="231" t="inlineStr">
        <x:is>
          <x:t xml:space="preserve">no</x:t>
        </x:is>
      </x:c>
      <x:c r="J13" s="231" t="str">
        <x:v>2026-09-19</x:v>
      </x:c>
      <x:c r="K13" s="231" t="n"/>
      <x:c r="L13" s="231" t="n">
        <x:v>1</x:v>
      </x:c>
      <x:c r="M13" s="231" t="n">
        <x:f>IF(OR(AND(I13="yes",H13="verified"),AND(I13="no",OR(H13="tested",H13="verified")),AND(H13="not applicable",K13&lt;&gt;"")),1,0)</x:f>
        <x:v>1</x:v>
      </x:c>
    </x:row>
    <x:row r="14" s="135" customFormat="1" ht="61.5" customHeight="1">
      <x:c r="A14" s="232" t="inlineStr">
        <x:is>
          <x:t xml:space="preserve">marquee-06</x:t>
        </x:is>
      </x:c>
      <x:c r="B14" s="232" t="inlineStr">
        <x:is>
          <x:t xml:space="preserve">Timing</x:t>
        </x:is>
      </x:c>
      <x:c r="C14" s="232" t="inlineStr">
        <x:is>
          <x:t xml:space="preserve">Finite loops</x:t>
        </x:is>
      </x:c>
      <x:c r="D14" s="232" t="inlineStr">
        <x:is>
          <x:t xml:space="preserve">Two iteration callbacks and one completion; restart resets the run.</x:t>
        </x:is>
      </x:c>
      <x:c r="E14" s="232" t="inlineStr">
        <x:is>
          <x:t xml:space="preserve">package</x:t>
        </x:is>
      </x:c>
      <x:c r="F14" s="232" t="inlineStr">
        <x:is>
          <x:t xml:space="preserve">browser</x:t>
        </x:is>
      </x:c>
      <x:c r="G14" s="232" t="inlineStr">
        <x:is>
          <x:t xml:space="preserve">tests/components/marquee/behavior.spec.ts</x:t>
        </x:is>
      </x:c>
      <x:c r="H14" s="232" t="inlineStr">
        <x:is>
          <x:t xml:space="preserve">tested</x:t>
        </x:is>
      </x:c>
      <x:c r="I14" s="232" t="inlineStr">
        <x:is>
          <x:t xml:space="preserve">no</x:t>
        </x:is>
      </x:c>
      <x:c r="J14" s="232" t="str">
        <x:v>2026-09-19</x:v>
      </x:c>
      <x:c r="K14" s="232" t="n"/>
      <x:c r="L14" s="232" t="n">
        <x:v>1</x:v>
      </x:c>
      <x:c r="M14" s="232" t="n">
        <x:f>IF(OR(AND(I14="yes",H14="verified"),AND(I14="no",OR(H14="tested",H14="verified")),AND(H14="not applicable",K14&lt;&gt;"")),1,0)</x:f>
        <x:v>1</x:v>
      </x:c>
    </x:row>
    <x:row r="15" s="135" customFormat="1" ht="61.5" customHeight="1">
      <x:c r="A15" s="231" t="inlineStr">
        <x:is>
          <x:t xml:space="preserve">marquee-07</x:t>
        </x:is>
      </x:c>
      <x:c r="B15" s="231" t="inlineStr">
        <x:is>
          <x:t xml:space="preserve">Accessibility</x:t>
        </x:is>
      </x:c>
      <x:c r="C15" s="231" t="inlineStr">
        <x:is>
          <x:t xml:space="preserve">Replicas / focus</x:t>
        </x:is>
      </x:c>
      <x:c r="D15" s="231" t="inlineStr">
        <x:is>
          <x:t xml:space="preserve">Replicas are inert; unsafe copies are rejected and focus exposes originals.</x:t>
        </x:is>
      </x:c>
      <x:c r="E15" s="231" t="inlineStr">
        <x:is>
          <x:t xml:space="preserve">package</x:t>
        </x:is>
      </x:c>
      <x:c r="F15" s="231" t="inlineStr">
        <x:is>
          <x:t xml:space="preserve">browser</x:t>
        </x:is>
      </x:c>
      <x:c r="G15" s="231" t="inlineStr">
        <x:is>
          <x:t xml:space="preserve">tests/components/marquee/behavior.spec.ts</x:t>
        </x:is>
      </x:c>
      <x:c r="H15" s="231" t="inlineStr">
        <x:is>
          <x:t xml:space="preserve">tested</x:t>
        </x:is>
      </x:c>
      <x:c r="I15" s="231" t="inlineStr">
        <x:is>
          <x:t xml:space="preserve">no</x:t>
        </x:is>
      </x:c>
      <x:c r="J15" s="231" t="str">
        <x:v>2026-09-19</x:v>
      </x:c>
      <x:c r="K15" s="231" t="n"/>
      <x:c r="L15" s="231" t="n">
        <x:v>1</x:v>
      </x:c>
      <x:c r="M15" s="231" t="n">
        <x:f>IF(OR(AND(I15="yes",H15="verified"),AND(I15="no",OR(H15="tested",H15="verified")),AND(H15="not applicable",K15&lt;&gt;"")),1,0)</x:f>
        <x:v>1</x:v>
      </x:c>
    </x:row>
    <x:row r="16" s="135" customFormat="1" ht="61.5" customHeight="1">
      <x:c r="A16" s="232" t="inlineStr">
        <x:is>
          <x:t xml:space="preserve">marquee-08</x:t>
        </x:is>
      </x:c>
      <x:c r="B16" s="232" t="inlineStr">
        <x:is>
          <x:t xml:space="preserve">Preferences</x:t>
        </x:is>
      </x:c>
      <x:c r="C16" s="232" t="inlineStr">
        <x:is>
          <x:t xml:space="preserve">Reduced motion</x:t>
        </x:is>
      </x:c>
      <x:c r="D16" s="232" t="inlineStr">
        <x:is>
          <x:t xml:space="preserve">Stationary originals stay scrollable without replicas or fades.</x:t>
        </x:is>
      </x:c>
      <x:c r="E16" s="232" t="inlineStr">
        <x:is>
          <x:t xml:space="preserve">package</x:t>
        </x:is>
      </x:c>
      <x:c r="F16" s="232" t="inlineStr">
        <x:is>
          <x:t xml:space="preserve">browser</x:t>
        </x:is>
      </x:c>
      <x:c r="G16" s="232" t="inlineStr">
        <x:is>
          <x:t xml:space="preserve">tests/components/marquee/behavior.spec.ts</x:t>
        </x:is>
      </x:c>
      <x:c r="H16" s="232" t="inlineStr">
        <x:is>
          <x:t xml:space="preserve">tested</x:t>
        </x:is>
      </x:c>
      <x:c r="I16" s="232" t="inlineStr">
        <x:is>
          <x:t xml:space="preserve">no</x:t>
        </x:is>
      </x:c>
      <x:c r="J16" s="232" t="str">
        <x:v>2026-09-19</x:v>
      </x:c>
      <x:c r="K16" s="232" t="n"/>
      <x:c r="L16" s="232" t="n">
        <x:v>1</x:v>
      </x:c>
      <x:c r="M16" s="232" t="n">
        <x:f>IF(OR(AND(I16="yes",H16="verified"),AND(I16="no",OR(H16="tested",H16="verified")),AND(H16="not applicable",K16&lt;&gt;"")),1,0)</x:f>
        <x:v>1</x:v>
      </x:c>
    </x:row>
    <x:row r="17" s="135" customFormat="1" ht="61.5" customHeight="1">
      <x:c r="A17" s="231" t="inlineStr">
        <x:is>
          <x:t xml:space="preserve">marquee-09</x:t>
        </x:is>
      </x:c>
      <x:c r="B17" s="231" t="inlineStr">
        <x:is>
          <x:t xml:space="preserve">Geometry</x:t>
        </x:is>
      </x:c>
      <x:c r="C17" s="231" t="inlineStr">
        <x:is>
          <x:t xml:space="preserve">Hidden content</x:t>
        </x:is>
      </x:c>
      <x:c r="D17" s="231" t="str">
        <x:v>Hidden content recovers; paused viewport growth adds synchronized track coverage.</x:v>
      </x:c>
      <x:c r="E17" s="231" t="inlineStr">
        <x:is>
          <x:t xml:space="preserve">package</x:t>
        </x:is>
      </x:c>
      <x:c r="F17" s="231" t="inlineStr">
        <x:is>
          <x:t xml:space="preserve">browser</x:t>
        </x:is>
      </x:c>
      <x:c r="G17" s="231" t="inlineStr">
        <x:is>
          <x:t xml:space="preserve">tests/components/marquee/behavior.spec.ts</x:t>
        </x:is>
      </x:c>
      <x:c r="H17" s="231" t="inlineStr">
        <x:is>
          <x:t xml:space="preserve">tested</x:t>
        </x:is>
      </x:c>
      <x:c r="I17" s="231" t="inlineStr">
        <x:is>
          <x:t xml:space="preserve">no</x:t>
        </x:is>
      </x:c>
      <x:c r="J17" s="231" t="str">
        <x:v>2026-09-19</x:v>
      </x:c>
      <x:c r="K17" s="231" t="n"/>
      <x:c r="L17" s="231" t="n">
        <x:v>1</x:v>
      </x:c>
      <x:c r="M17" s="231" t="n">
        <x:f>IF(OR(AND(I17="yes",H17="verified"),AND(I17="no",OR(H17="tested",H17="verified")),AND(H17="not applicable",K17&lt;&gt;"")),1,0)</x:f>
        <x:v>1</x:v>
      </x:c>
    </x:row>
    <x:row r="18" s="135" customFormat="1" ht="61.5" customHeight="1">
      <x:c r="A18" s="232" t="inlineStr">
        <x:is>
          <x:t xml:space="preserve">marquee-10</x:t>
        </x:is>
      </x:c>
      <x:c r="B18" s="232" t="inlineStr">
        <x:is>
          <x:t xml:space="preserve">Playground</x:t>
        </x:is>
      </x:c>
      <x:c r="C18" s="232" t="inlineStr">
        <x:is>
          <x:t xml:space="preserve">Scenarios</x:t>
        </x:is>
      </x:c>
      <x:c r="D18" s="232" t="str">
        <x:v>Source-paired features and part headings; 16 qualification scenarios retained.</x:v>
      </x:c>
      <x:c r="E18" s="232" t="inlineStr">
        <x:is>
          <x:t xml:space="preserve">package</x:t>
        </x:is>
      </x:c>
      <x:c r="F18" s="232" t="inlineStr">
        <x:is>
          <x:t xml:space="preserve">page</x:t>
        </x:is>
      </x:c>
      <x:c r="G18" s="232" t="inlineStr">
        <x:is>
          <x:t xml:space="preserve">src/components/marquee/MarqueePage.tsx</x:t>
        </x:is>
      </x:c>
      <x:c r="H18" s="232" t="str">
        <x:v>tested</x:v>
      </x:c>
      <x:c r="I18" s="232" t="inlineStr">
        <x:is>
          <x:t xml:space="preserve">no</x:t>
        </x:is>
      </x:c>
      <x:c r="J18" s="232" t="str">
        <x:v>2026-09-19</x:v>
      </x:c>
      <x:c r="K18" s="232" t="n"/>
      <x:c r="L18" s="232" t="n">
        <x:v>1</x:v>
      </x:c>
      <x:c r="M18" s="232" t="n">
        <x:f>IF(OR(AND(I18="yes",H18="verified"),AND(I18="no",OR(H18="tested",H18="verified")),AND(H18="not applicable",K18&lt;&gt;"")),1,0)</x:f>
        <x:v>1</x:v>
      </x:c>
    </x:row>
    <x:row r="19" s="135" customFormat="1" ht="61.5" customHeight="1">
      <x:c r="A19" s="231" t="inlineStr">
        <x:is>
          <x:t xml:space="preserve">marquee-11</x:t>
        </x:is>
      </x:c>
      <x:c r="B19" s="231" t="inlineStr">
        <x:is>
          <x:t xml:space="preserve">Visual</x:t>
        </x:is>
      </x:c>
      <x:c r="C19" s="231" t="inlineStr">
        <x:is>
          <x:t xml:space="preserve">Appearance</x:t>
        </x:is>
      </x:c>
      <x:c r="D19" s="231" t="inlineStr">
        <x:is>
          <x:t xml:space="preserve">Light/dark and stationary content captures reviewed.</x:t>
        </x:is>
      </x:c>
      <x:c r="E19" s="231" t="inlineStr">
        <x:is>
          <x:t xml:space="preserve">package</x:t>
        </x:is>
      </x:c>
      <x:c r="F19" s="231" t="inlineStr">
        <x:is>
          <x:t xml:space="preserve">visual</x:t>
        </x:is>
      </x:c>
      <x:c r="G19" s="231" t="inlineStr">
        <x:is>
          <x:t xml:space="preserve">tests/components/marquee/visual.spec.ts</x:t>
        </x:is>
      </x:c>
      <x:c r="H19" s="231" t="inlineStr">
        <x:is>
          <x:t xml:space="preserve">tested</x:t>
        </x:is>
      </x:c>
      <x:c r="I19" s="231" t="inlineStr">
        <x:is>
          <x:t xml:space="preserve">no</x:t>
        </x:is>
      </x:c>
      <x:c r="J19" s="231" t="str">
        <x:v>2026-09-19</x:v>
      </x:c>
      <x:c r="K19" s="231" t="n"/>
      <x:c r="L19" s="231" t="n">
        <x:v>1</x:v>
      </x:c>
      <x:c r="M19" s="231" t="n">
        <x:f>IF(OR(AND(I19="yes",H19="verified"),AND(I19="no",OR(H19="tested",H19="verified")),AND(H19="not applicable",K19&lt;&gt;"")),1,0)</x:f>
        <x:v>1</x:v>
      </x:c>
    </x:row>
    <x:row r="20" s="135" customFormat="1" ht="61.5" customHeight="1">
      <x:c r="A20" s="232" t="inlineStr">
        <x:is>
          <x:t xml:space="preserve">marquee-12</x:t>
        </x:is>
      </x:c>
      <x:c r="B20" s="232" t="inlineStr">
        <x:is>
          <x:t xml:space="preserve">Docs</x:t>
        </x:is>
      </x:c>
      <x:c r="C20" s="232" t="inlineStr">
        <x:is>
          <x:t xml:space="preserve">Guide / AK</x:t>
        </x:is>
      </x:c>
      <x:c r="D20" s="232" t="inlineStr">
        <x:is>
          <x:t xml:space="preserve">Source-backed documentation and generated guidance cover all parts.</x:t>
        </x:is>
      </x:c>
      <x:c r="E20" s="232" t="inlineStr">
        <x:is>
          <x:t xml:space="preserve">package</x:t>
        </x:is>
      </x:c>
      <x:c r="F20" s="232" t="inlineStr">
        <x:is>
          <x:t xml:space="preserve">docs</x:t>
        </x:is>
      </x:c>
      <x:c r="G20" s="232" t="inlineStr">
        <x:is>
          <x:t xml:space="preserve">../docs/components/marquee/README.md</x:t>
        </x:is>
      </x:c>
      <x:c r="H20" s="232" t="inlineStr">
        <x:is>
          <x:t xml:space="preserve">tested</x:t>
        </x:is>
      </x:c>
      <x:c r="I20" s="232" t="inlineStr">
        <x:is>
          <x:t xml:space="preserve">no</x:t>
        </x:is>
      </x:c>
      <x:c r="J20" s="232" t="str">
        <x:v>2026-09-19</x:v>
      </x:c>
      <x:c r="K20" s="232" t="n"/>
      <x:c r="L20" s="232" t="n">
        <x:v>1</x:v>
      </x:c>
      <x:c r="M20" s="232" t="n">
        <x:f>IF(OR(AND(I20="yes",H20="verified"),AND(I20="no",OR(H20="tested",H20="verified")),AND(H20="not applicable",K20&lt;&gt;"")),1,0)</x:f>
        <x:v>1</x:v>
      </x:c>
    </x:row>
    <x:row r="21" s="135" customFormat="1" ht="61.5" customHeight="1">
      <x:c r="A21" s="231" t="inlineStr">
        <x:is>
          <x:t xml:space="preserve">marquee-13</x:t>
        </x:is>
      </x:c>
      <x:c r="B21" s="231" t="inlineStr">
        <x:is>
          <x:t xml:space="preserve">Consumer</x:t>
        </x:is>
      </x:c>
      <x:c r="C21" s="231" t="inlineStr">
        <x:is>
          <x:t xml:space="preserve">Partner strip</x:t>
        </x:is>
      </x:c>
      <x:c r="D21" s="231" t="inlineStr">
        <x:is>
          <x:t xml:space="preserve">Public packed imports and persistent pause in a realistic composition.</x:t>
        </x:is>
      </x:c>
      <x:c r="E21" s="231" t="inlineStr">
        <x:is>
          <x:t xml:space="preserve">consumer</x:t>
        </x:is>
      </x:c>
      <x:c r="F21" s="231" t="inlineStr">
        <x:is>
          <x:t xml:space="preserve">consumer</x:t>
        </x:is>
      </x:c>
      <x:c r="G21" s="231" t="inlineStr">
        <x:is>
          <x:t xml:space="preserve">../apps/consumer/src/DataDisplaySummary.tsx</x:t>
        </x:is>
      </x:c>
      <x:c r="H21" s="231" t="str">
        <x:v>partial</x:v>
      </x:c>
      <x:c r="I21" s="231" t="inlineStr">
        <x:is>
          <x:t xml:space="preserve">no</x:t>
        </x:is>
      </x:c>
      <x:c r="J21" s="231" t="inlineStr">
        <x:is>
          <x:t xml:space="preserve">2026-09-07</x:t>
        </x:is>
      </x:c>
      <x:c r="K21" s="231" t="str">
        <x:v>Focused packed consumers checked separately; full application gate remains open.</x:v>
      </x:c>
      <x:c r="L21" s="231" t="n">
        <x:v>1</x:v>
      </x:c>
      <x:c r="M21" s="231" t="n">
        <x:f>IF(OR(AND(I21="yes",H21="verified"),AND(I21="no",OR(H21="tested",H21="verified")),AND(H21="not applicable",K21&lt;&gt;"")),1,0)</x:f>
        <x:v>0</x:v>
      </x:c>
    </x:row>
    <x:row r="22" s="135" customFormat="1" ht="61.5" customHeight="1">
      <x:c r="A22" s="232" t="inlineStr">
        <x:is>
          <x:t xml:space="preserve">marquee-14</x:t>
        </x:is>
      </x:c>
      <x:c r="B22" s="232" t="inlineStr">
        <x:is>
          <x:t xml:space="preserve">Package</x:t>
        </x:is>
      </x:c>
      <x:c r="C22" s="232" t="inlineStr">
        <x:is>
          <x:t xml:space="preserve">Artifact</x:t>
        </x:is>
      </x:c>
      <x:c r="D22" s="232" t="inlineStr">
        <x:is>
          <x:t xml:space="preserve">Full repository and packed candidate qualification; broader release-browser gate remains open.</x:t>
        </x:is>
      </x:c>
      <x:c r="E22" s="232" t="inlineStr">
        <x:is>
          <x:t xml:space="preserve">package</x:t>
        </x:is>
      </x:c>
      <x:c r="F22" s="232" t="inlineStr">
        <x:is>
          <x:t xml:space="preserve">package</x:t>
        </x:is>
      </x:c>
      <x:c r="G22" s="232" t="inlineStr">
        <x:is>
          <x:t xml:space="preserve">../scripts/verify-package.mjs</x:t>
        </x:is>
      </x:c>
      <x:c r="H22" s="232" t="str">
        <x:v>partial</x:v>
      </x:c>
      <x:c r="I22" s="232" t="inlineStr">
        <x:is>
          <x:t xml:space="preserve">no</x:t>
        </x:is>
      </x:c>
      <x:c r="J22" s="232" t="inlineStr">
        <x:is>
          <x:t xml:space="preserve">2026-09-07</x:t>
        </x:is>
      </x:c>
      <x:c r="K22" s="232" t="str">
        <x:v>Broader repository and manual release gates remain open.</x:v>
      </x:c>
      <x:c r="L22" s="232" t="n">
        <x:v>1</x:v>
      </x:c>
      <x:c r="M22" s="232" t="n">
        <x:f>IF(OR(AND(I22="yes",H22="verified"),AND(I22="no",OR(H22="tested",H22="verified")),AND(H22="not applicable",K22&lt;&gt;"")),1,0)</x:f>
        <x:v>0</x:v>
      </x:c>
    </x:row>
    <x:row r="23" s="135" customFormat="1" ht="61.5" customHeight="1">
      <x:c r="A23" s="231" t="inlineStr">
        <x:is>
          <x:t xml:space="preserve">marquee-15</x:t>
        </x:is>
      </x:c>
      <x:c r="B23" s="231" t="inlineStr">
        <x:is>
          <x:t xml:space="preserve">Manual</x:t>
        </x:is>
      </x:c>
      <x:c r="C23" s="231" t="inlineStr">
        <x:is>
          <x:t xml:space="preserve">Assistive technology</x:t>
        </x:is>
      </x:c>
      <x:c r="D23" s="231" t="inlineStr">
        <x:is>
          <x:t xml:space="preserve">Screen-reader, actual zoom and physical touch protocol remains unperformed.</x:t>
        </x:is>
      </x:c>
      <x:c r="E23" s="231" t="inlineStr">
        <x:is>
          <x:t xml:space="preserve">package</x:t>
        </x:is>
      </x:c>
      <x:c r="F23" s="231" t="inlineStr">
        <x:is>
          <x:t xml:space="preserve">manual</x:t>
        </x:is>
      </x:c>
      <x:c r="G23" s="231" t="inlineStr">
        <x:is>
          <x:t xml:space="preserve">manual-tests/marquee.md</x:t>
        </x:is>
      </x:c>
      <x:c r="H23" s="231" t="inlineStr">
        <x:is>
          <x:t xml:space="preserve">not started</x:t>
        </x:is>
      </x:c>
      <x:c r="I23" s="231" t="inlineStr">
        <x:is>
          <x:t xml:space="preserve">yes</x:t>
        </x:is>
      </x:c>
      <x:c r="J23" s="231" t="n"/>
      <x:c r="K23" s="231" t="inlineStr">
        <x:is>
          <x:t xml:space="preserve">No manual pass claimed.</x:t>
        </x:is>
      </x:c>
      <x:c r="L23" s="231" t="n">
        <x:v>1</x:v>
      </x:c>
      <x:c r="M23" s="231" t="n">
        <x:f>IF(OR(AND(I23="yes",H23="verified"),AND(I23="no",OR(H23="tested",H23="verified")),AND(H23="not applicable",K23&lt;&gt;"")),1,0)</x:f>
        <x:v>0</x:v>
      </x:c>
    </x:row>
  </x:sheetData>
  <x:mergeCells>
    <x:mergeCell ref="A2:M2"/>
    <x:mergeCell ref="A1:M1"/>
  </x:mergeCells>
  <x:dataValidations count="1">
    <x:dataValidation type="list" errorStyle="stop" operator="between" allowBlank="0" showDropDown="0" showInputMessage="0" showErrorMessage="0" sqref="H9:H23">
      <x:formula1>"not started,partial,implemented,tested,verified,blocked,not applicable"</x:formula1>
      <x:formula2>0</x:formula2>
    </x:dataValidation>
  </x:dataValidations>
  <x:pageMargins left="0.7" right="0.7" top="0.75" bottom="0.75" header="0.3" footer="0.3"/>
</x:worksheet>
</file>

<file path=xl/worksheets/sheet126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baseColWidth="8" defaultColWidth="8.6796875" defaultRowHeight="15"/>
  <x:cols>
    <x:col min="1" max="1" width="15" style="138" customWidth="1"/>
    <x:col min="2" max="2" width="17" style="138" customWidth="1"/>
    <x:col min="3" max="3" width="20" style="138" customWidth="1"/>
    <x:col min="4" max="4" width="55" style="138" customWidth="1"/>
    <x:col min="5" max="6" width="15" style="138" customWidth="1"/>
    <x:col min="7" max="7" width="50" style="138" customWidth="1"/>
    <x:col min="8" max="9" width="17" style="138" customWidth="1"/>
    <x:col min="10" max="10" width="16" style="138" customWidth="1"/>
    <x:col min="11" max="11" width="40" style="138" customWidth="1"/>
    <x:col min="12" max="13" width="10" style="138" customWidth="1"/>
  </x:cols>
  <x:sheetData>
    <x:row r="1" s="135" customFormat="1" ht="27.75" customHeight="1">
      <x:c r="A1" s="233" t="inlineStr">
        <x:is>
          <x:t xml:space="preserve">Native Select Evidence</x:t>
        </x:is>
      </x:c>
    </x:row>
    <x:row r="2" s="135" customFormat="1" ht="42" customHeight="1">
      <x:c r="A2" s="138" t="inlineStr">
        <x:is>
          <x:t xml:space="preserve">Local implementation reviewed. Four-owner browser matrix: 105 passes. Exact packed React 18/19 checks pass. Manual platform checks and wider-library regression qualification remain open.</x:t>
        </x:is>
      </x:c>
    </x:row>
    <x:row r="3" s="135" customFormat="1" ht="15" customHeight="1">
      <x:c r="A3" s="138" t="n"/>
      <x:c r="B3" s="138" t="n"/>
      <x:c r="C3" s="138" t="n"/>
      <x:c r="D3" s="138" t="n"/>
      <x:c r="E3" s="138" t="n"/>
      <x:c r="F3" s="138" t="n"/>
      <x:c r="G3" s="138" t="n"/>
      <x:c r="H3" s="138" t="n"/>
      <x:c r="I3" s="138" t="n"/>
      <x:c r="J3" s="138" t="n"/>
      <x:c r="K3" s="138" t="n"/>
      <x:c r="L3" s="138" t="n"/>
      <x:c r="M3" s="138" t="n"/>
    </x:row>
    <x:row r="4" s="135" customFormat="1" ht="15" customHeight="1">
      <x:c r="A4" s="138" t="inlineStr">
        <x:is>
          <x:t xml:space="preserve">Requirements</x:t>
        </x:is>
      </x:c>
      <x:c r="B4" s="138" t="n">
        <x:f>COUNTA(A9:A25)</x:f>
        <x:v>17</x:v>
      </x:c>
      <x:c r="C4" s="138" t="n"/>
      <x:c r="D4" s="138" t="inlineStr">
        <x:is>
          <x:t xml:space="preserve">Resolved</x:t>
        </x:is>
      </x:c>
      <x:c r="E4" s="138" t="n">
        <x:f>SUM(M9:M25)</x:f>
        <x:v>15</x:v>
      </x:c>
      <x:c r="F4" s="138" t="n"/>
      <x:c r="G4" s="138" t="inlineStr">
        <x:is>
          <x:t xml:space="preserve">Completion</x:t>
        </x:is>
      </x:c>
      <x:c r="H4" s="139" t="n">
        <x:f>IF(B4=0,0,E4/B4)</x:f>
        <x:v>0.8823529411764706</x:v>
      </x:c>
      <x:c r="I4" s="138" t="n"/>
      <x:c r="J4" s="138" t="inlineStr">
        <x:is>
          <x:t xml:space="preserve">Package gate</x:t>
        </x:is>
      </x:c>
      <x:c r="K4" s="138" t="str">
        <x:f>IF(COUNTIFS(E9:E25,"package",M9:M25,0)&gt;0,"open","complete")</x:f>
        <x:v>open</x:v>
      </x:c>
      <x:c r="L4" s="138" t="n"/>
      <x:c r="M4" s="138" t="n"/>
    </x:row>
    <x:row r="5" s="135" customFormat="1" ht="15" customHeight="1">
      <x:c r="A5" s="138" t="inlineStr">
        <x:is>
          <x:t xml:space="preserve">Manual review</x:t>
        </x:is>
      </x:c>
      <x:c r="B5" s="138" t="str">
        <x:f>IF(COUNTIFS(I9:I25,"yes",M9:M25,0)&gt;0,"open","complete")</x:f>
        <x:v>open</x:v>
      </x:c>
      <x:c r="C5" s="138" t="n"/>
      <x:c r="D5" s="138" t="inlineStr">
        <x:is>
          <x:t xml:space="preserve">Consumer gate</x:t>
        </x:is>
      </x:c>
      <x:c r="E5" s="138" t="str">
        <x:f>IF(COUNTIFS(E9:E25,"consumer",M9:M25,0)&gt;0,"open","complete")</x:f>
        <x:v>complete</x:v>
      </x:c>
      <x:c r="F5" s="138" t="n"/>
      <x:c r="G5" s="138" t="n"/>
      <x:c r="H5" s="138" t="n"/>
      <x:c r="I5" s="138" t="n"/>
      <x:c r="J5" s="138" t="n"/>
      <x:c r="K5" s="138" t="n"/>
      <x:c r="L5" s="138" t="n"/>
      <x:c r="M5" s="138" t="n"/>
    </x:row>
    <x:row r="6" s="135" customFormat="1" ht="15" customHeight="1">
      <x:c r="A6" s="138" t="n"/>
      <x:c r="B6" s="138" t="n"/>
      <x:c r="C6" s="138" t="n"/>
      <x:c r="D6" s="138" t="n"/>
      <x:c r="E6" s="138" t="n"/>
      <x:c r="F6" s="138" t="n"/>
      <x:c r="G6" s="138" t="n"/>
      <x:c r="H6" s="138" t="n"/>
      <x:c r="I6" s="138" t="n"/>
      <x:c r="J6" s="138" t="n"/>
      <x:c r="K6" s="138" t="n"/>
      <x:c r="L6" s="138" t="n"/>
      <x:c r="M6" s="138" t="n"/>
    </x:row>
    <x:row r="7" s="135" customFormat="1" ht="15" customHeight="1">
      <x:c r="A7" s="138" t="n"/>
      <x:c r="B7" s="138" t="n"/>
      <x:c r="C7" s="138" t="n"/>
      <x:c r="D7" s="138" t="n"/>
      <x:c r="E7" s="138" t="n"/>
      <x:c r="F7" s="138" t="n"/>
      <x:c r="G7" s="138" t="n"/>
      <x:c r="H7" s="138" t="n"/>
      <x:c r="I7" s="138" t="n"/>
      <x:c r="J7" s="138" t="n"/>
      <x:c r="K7" s="138" t="n"/>
      <x:c r="L7" s="138" t="n"/>
      <x:c r="M7" s="138" t="n"/>
    </x:row>
    <x:row r="8" s="135" customFormat="1" ht="27.75" customHeight="1">
      <x:c r="A8" s="234" t="inlineStr">
        <x:is>
          <x:t xml:space="preserve">ID</x:t>
        </x:is>
      </x:c>
      <x:c r="B8" s="234" t="inlineStr">
        <x:is>
          <x:t xml:space="preserve">Area</x:t>
        </x:is>
      </x:c>
      <x:c r="C8" s="234" t="inlineStr">
        <x:is>
          <x:t xml:space="preserve">Part</x:t>
        </x:is>
      </x:c>
      <x:c r="D8" s="234" t="inlineStr">
        <x:is>
          <x:t xml:space="preserve">Requirement</x:t>
        </x:is>
      </x:c>
      <x:c r="E8" s="234" t="inlineStr">
        <x:is>
          <x:t xml:space="preserve">Gate</x:t>
        </x:is>
      </x:c>
      <x:c r="F8" s="234" t="inlineStr">
        <x:is>
          <x:t xml:space="preserve">Evidence type</x:t>
        </x:is>
      </x:c>
      <x:c r="G8" s="234" t="inlineStr">
        <x:is>
          <x:t xml:space="preserve">Evidence / link</x:t>
        </x:is>
      </x:c>
      <x:c r="H8" s="234" t="inlineStr">
        <x:is>
          <x:t xml:space="preserve">Status</x:t>
        </x:is>
      </x:c>
      <x:c r="I8" s="234" t="inlineStr">
        <x:is>
          <x:t xml:space="preserve">Human review?</x:t>
        </x:is>
      </x:c>
      <x:c r="J8" s="234" t="inlineStr">
        <x:is>
          <x:t xml:space="preserve">Last verified</x:t>
        </x:is>
      </x:c>
      <x:c r="K8" s="234" t="inlineStr">
        <x:is>
          <x:t xml:space="preserve">Blocker / N/A reason</x:t>
        </x:is>
      </x:c>
      <x:c r="L8" s="234" t="inlineStr">
        <x:is>
          <x:t xml:space="preserve">Weight</x:t>
        </x:is>
      </x:c>
      <x:c r="M8" s="234" t="inlineStr">
        <x:is>
          <x:t xml:space="preserve">Resolved</x:t>
        </x:is>
      </x:c>
    </x:row>
    <x:row r="9" s="135" customFormat="1" ht="60" customHeight="1">
      <x:c r="A9" s="143" t="inlineStr">
        <x:is>
          <x:t xml:space="preserve">native-select-01</x:t>
        </x:is>
      </x:c>
      <x:c r="B9" s="143" t="inlineStr">
        <x:is>
          <x:t xml:space="preserve">Semantics</x:t>
        </x:is>
      </x:c>
      <x:c r="C9" s="143" t="inlineStr">
        <x:is>
          <x:t xml:space="preserve">Field</x:t>
        </x:is>
      </x:c>
      <x:c r="D9" s="143" t="inlineStr">
        <x:is>
          <x:t xml:space="preserve">One select with native options; no hidden duplicate.</x:t>
        </x:is>
      </x:c>
      <x:c r="E9" s="143" t="inlineStr">
        <x:is>
          <x:t xml:space="preserve">package</x:t>
        </x:is>
      </x:c>
      <x:c r="F9" s="143" t="inlineStr">
        <x:is>
          <x:t xml:space="preserve">component</x:t>
        </x:is>
      </x:c>
      <x:c r="G9" s="143" t="inlineStr">
        <x:is>
          <x:t xml:space="preserve">../test/components/native-select/native-select.test.tsx</x:t>
        </x:is>
      </x:c>
      <x:c r="H9" s="143" t="inlineStr">
        <x:is>
          <x:t xml:space="preserve">tested</x:t>
        </x:is>
      </x:c>
      <x:c r="I9" s="143" t="inlineStr">
        <x:is>
          <x:t xml:space="preserve">no</x:t>
        </x:is>
      </x:c>
      <x:c r="J9" s="143" t="inlineStr">
        <x:is>
          <x:t xml:space="preserve">2026-09-07</x:t>
        </x:is>
      </x:c>
      <x:c r="K9" s="143" t="n"/>
      <x:c r="L9" s="143" t="n">
        <x:v>1</x:v>
      </x:c>
      <x:c r="M9" s="143" t="n">
        <x:f>IF(OR(H9="not applicable",H9="verified",AND(I9="no",H9="tested")),1,0)</x:f>
        <x:v>1</x:v>
      </x:c>
    </x:row>
    <x:row r="10" s="135" customFormat="1" ht="60" customHeight="1">
      <x:c r="A10" s="235" t="inlineStr">
        <x:is>
          <x:t xml:space="preserve">native-select-02</x:t>
        </x:is>
      </x:c>
      <x:c r="B10" s="235" t="inlineStr">
        <x:is>
          <x:t xml:space="preserve">Anatomy</x:t>
        </x:is>
      </x:c>
      <x:c r="C10" s="235" t="inlineStr">
        <x:is>
          <x:t xml:space="preserve">Root / Field / Indicator</x:t>
        </x:is>
      </x:c>
      <x:c r="D10" s="235" t="inlineStr">
        <x:is>
          <x:t xml:space="preserve">Refs and explicit state precedence.</x:t>
        </x:is>
      </x:c>
      <x:c r="E10" s="235" t="inlineStr">
        <x:is>
          <x:t xml:space="preserve">package</x:t>
        </x:is>
      </x:c>
      <x:c r="F10" s="235" t="inlineStr">
        <x:is>
          <x:t xml:space="preserve">component</x:t>
        </x:is>
      </x:c>
      <x:c r="G10" s="235" t="inlineStr">
        <x:is>
          <x:t xml:space="preserve">../test/components/native-select/native-select.test.tsx</x:t>
        </x:is>
      </x:c>
      <x:c r="H10" s="235" t="inlineStr">
        <x:is>
          <x:t xml:space="preserve">tested</x:t>
        </x:is>
      </x:c>
      <x:c r="I10" s="235" t="inlineStr">
        <x:is>
          <x:t xml:space="preserve">no</x:t>
        </x:is>
      </x:c>
      <x:c r="J10" s="235" t="inlineStr">
        <x:is>
          <x:t xml:space="preserve">2026-09-07</x:t>
        </x:is>
      </x:c>
      <x:c r="K10" s="235" t="n"/>
      <x:c r="L10" s="235" t="n">
        <x:v>1</x:v>
      </x:c>
      <x:c r="M10" s="235" t="n">
        <x:f>IF(OR(H10="not applicable",H10="verified",AND(I10="no",H10="tested")),1,0)</x:f>
        <x:v>1</x:v>
      </x:c>
    </x:row>
    <x:row r="11" s="135" customFormat="1" ht="60" customHeight="1">
      <x:c r="A11" s="143" t="inlineStr">
        <x:is>
          <x:t xml:space="preserve">native-select-03</x:t>
        </x:is>
      </x:c>
      <x:c r="B11" s="143" t="inlineStr">
        <x:is>
          <x:t xml:space="preserve">Types</x:t>
        </x:is>
      </x:c>
      <x:c r="C11" s="143" t="inlineStr">
        <x:is>
          <x:t xml:space="preserve">API</x:t>
        </x:is>
      </x:c>
      <x:c r="D11" s="143" t="inlineStr">
        <x:is>
          <x:t xml:space="preserve">Sparse sizes, native value arrays and underline shape restriction.</x:t>
        </x:is>
      </x:c>
      <x:c r="E11" s="143" t="inlineStr">
        <x:is>
          <x:t xml:space="preserve">package</x:t>
        </x:is>
      </x:c>
      <x:c r="F11" s="143" t="inlineStr">
        <x:is>
          <x:t xml:space="preserve">types</x:t>
        </x:is>
      </x:c>
      <x:c r="G11" s="143" t="inlineStr">
        <x:is>
          <x:t xml:space="preserve">../test/types/components/native-select.test.ts</x:t>
        </x:is>
      </x:c>
      <x:c r="H11" s="143" t="inlineStr">
        <x:is>
          <x:t xml:space="preserve">tested</x:t>
        </x:is>
      </x:c>
      <x:c r="I11" s="143" t="inlineStr">
        <x:is>
          <x:t xml:space="preserve">no</x:t>
        </x:is>
      </x:c>
      <x:c r="J11" s="143" t="inlineStr">
        <x:is>
          <x:t xml:space="preserve">2026-09-07</x:t>
        </x:is>
      </x:c>
      <x:c r="K11" s="143" t="n"/>
      <x:c r="L11" s="143" t="n">
        <x:v>1</x:v>
      </x:c>
      <x:c r="M11" s="143" t="n">
        <x:f>IF(OR(H11="not applicable",H11="verified",AND(I11="no",H11="tested")),1,0)</x:f>
        <x:v>1</x:v>
      </x:c>
    </x:row>
    <x:row r="12" s="135" customFormat="1" ht="60" customHeight="1">
      <x:c r="A12" s="235" t="inlineStr">
        <x:is>
          <x:t xml:space="preserve">native-select-04</x:t>
        </x:is>
      </x:c>
      <x:c r="B12" s="235" t="inlineStr">
        <x:is>
          <x:t xml:space="preserve">Geometry</x:t>
        </x:is>
      </x:c>
      <x:c r="C12" s="235" t="inlineStr">
        <x:is>
          <x:t xml:space="preserve">Field</x:t>
        </x:is>
      </x:c>
      <x:c r="D12" s="235" t="inlineStr">
        <x:is>
          <x:t xml:space="preserve">Seven responsive sizes and current variants preserve native field geometry; the OS owns popup layout.</x:t>
        </x:is>
      </x:c>
      <x:c r="E12" s="235" t="inlineStr">
        <x:is>
          <x:t xml:space="preserve">package</x:t>
        </x:is>
      </x:c>
      <x:c r="F12" s="235" t="inlineStr">
        <x:is>
          <x:t xml:space="preserve">browser</x:t>
        </x:is>
      </x:c>
      <x:c r="G12" s="235" t="inlineStr">
        <x:is>
          <x:t xml:space="preserve">tests/components/native-select/documentation.spec.ts; tests/components/native-select/behavior.spec.ts</x:t>
        </x:is>
      </x:c>
      <x:c r="H12" s="235" t="inlineStr">
        <x:is>
          <x:t xml:space="preserve">tested</x:t>
        </x:is>
      </x:c>
      <x:c r="I12" s="235" t="inlineStr">
        <x:is>
          <x:t xml:space="preserve">no</x:t>
        </x:is>
      </x:c>
      <x:c r="J12" s="235" t="inlineStr">
        <x:is>
          <x:t xml:space="preserve">2026-09-07</x:t>
        </x:is>
      </x:c>
      <x:c r="K12" s="235" t="inlineStr">
        <x:is>
          <x:t xml:space="preserve">Surface pass: outline/rest/hover and surface fill checked in light/dark. Full owner review remains separate; see form-surface-recipes assertions in the owner browser suite.</x:t>
        </x:is>
      </x:c>
      <x:c r="L12" s="235" t="n">
        <x:v>1</x:v>
      </x:c>
      <x:c r="M12" s="235" t="n">
        <x:f>IF(OR(H12="not applicable",H12="verified",AND(I12="no",H12="tested")),1,0)</x:f>
        <x:v>1</x:v>
      </x:c>
    </x:row>
    <x:row r="13" s="135" customFormat="1" ht="60" customHeight="1">
      <x:c r="A13" s="143" t="inlineStr">
        <x:is>
          <x:t xml:space="preserve">native-select-05</x:t>
        </x:is>
      </x:c>
      <x:c r="B13" s="143" t="inlineStr">
        <x:is>
          <x:t xml:space="preserve">Geometry</x:t>
        </x:is>
      </x:c>
      <x:c r="C13" s="143" t="inlineStr">
        <x:is>
          <x:t xml:space="preserve">Variants</x:t>
        </x:is>
      </x:c>
      <x:c r="D13" s="143" t="inlineStr">
        <x:is>
          <x:t xml:space="preserve">Seven responsive sizes and current variants preserve native field geometry; the OS owns popup layout.</x:t>
        </x:is>
      </x:c>
      <x:c r="E13" s="143" t="inlineStr">
        <x:is>
          <x:t xml:space="preserve">package</x:t>
        </x:is>
      </x:c>
      <x:c r="F13" s="143" t="inlineStr">
        <x:is>
          <x:t xml:space="preserve">browser</x:t>
        </x:is>
      </x:c>
      <x:c r="G13" s="143" t="inlineStr">
        <x:is>
          <x:t xml:space="preserve">tests/components/native-select/documentation.spec.ts; tests/components/native-select/behavior.spec.ts</x:t>
        </x:is>
      </x:c>
      <x:c r="H13" s="143" t="inlineStr">
        <x:is>
          <x:t xml:space="preserve">tested</x:t>
        </x:is>
      </x:c>
      <x:c r="I13" s="143" t="inlineStr">
        <x:is>
          <x:t xml:space="preserve">no</x:t>
        </x:is>
      </x:c>
      <x:c r="J13" s="143" t="inlineStr">
        <x:is>
          <x:t xml:space="preserve">2026-09-07</x:t>
        </x:is>
      </x:c>
      <x:c r="K13" s="143" t="n"/>
      <x:c r="L13" s="143" t="n">
        <x:v>1</x:v>
      </x:c>
      <x:c r="M13" s="143" t="n">
        <x:f>IF(OR(H13="not applicable",H13="verified",AND(I13="no",H13="tested")),1,0)</x:f>
        <x:v>1</x:v>
      </x:c>
    </x:row>
    <x:row r="14" s="135" customFormat="1" ht="60" customHeight="1">
      <x:c r="A14" s="235" t="inlineStr">
        <x:is>
          <x:t xml:space="preserve">native-select-06</x:t>
        </x:is>
      </x:c>
      <x:c r="B14" s="235" t="inlineStr">
        <x:is>
          <x:t xml:space="preserve">State</x:t>
        </x:is>
      </x:c>
      <x:c r="C14" s="235" t="inlineStr">
        <x:is>
          <x:t xml:space="preserve">Controlled value</x:t>
        </x:is>
      </x:c>
      <x:c r="D14" s="235" t="inlineStr">
        <x:is>
          <x:t xml:space="preserve">Native change updates controlled selection.</x:t>
        </x:is>
      </x:c>
      <x:c r="E14" s="235" t="inlineStr">
        <x:is>
          <x:t xml:space="preserve">package</x:t>
        </x:is>
      </x:c>
      <x:c r="F14" s="235" t="inlineStr">
        <x:is>
          <x:t xml:space="preserve">browser</x:t>
        </x:is>
      </x:c>
      <x:c r="G14" s="235" t="inlineStr">
        <x:is>
          <x:t xml:space="preserve">tests/components/native-select/behavior.spec.ts</x:t>
        </x:is>
      </x:c>
      <x:c r="H14" s="235" t="inlineStr">
        <x:is>
          <x:t xml:space="preserve">tested</x:t>
        </x:is>
      </x:c>
      <x:c r="I14" s="235" t="inlineStr">
        <x:is>
          <x:t xml:space="preserve">no</x:t>
        </x:is>
      </x:c>
      <x:c r="J14" s="235" t="inlineStr">
        <x:is>
          <x:t xml:space="preserve">2026-09-07</x:t>
        </x:is>
      </x:c>
      <x:c r="K14" s="235" t="n"/>
      <x:c r="L14" s="235" t="n">
        <x:v>1</x:v>
      </x:c>
      <x:c r="M14" s="235" t="n">
        <x:f>IF(OR(H14="not applicable",H14="verified",AND(I14="no",H14="tested")),1,0)</x:f>
        <x:v>1</x:v>
      </x:c>
    </x:row>
    <x:row r="15" s="135" customFormat="1" ht="60" customHeight="1">
      <x:c r="A15" s="143" t="inlineStr">
        <x:is>
          <x:t xml:space="preserve">native-select-07</x:t>
        </x:is>
      </x:c>
      <x:c r="B15" s="143" t="inlineStr">
        <x:is>
          <x:t xml:space="preserve">Forms</x:t>
        </x:is>
      </x:c>
      <x:c r="C15" s="143" t="inlineStr">
        <x:is>
          <x:t xml:space="preserve">Field</x:t>
        </x:is>
      </x:c>
      <x:c r="D15" s="143" t="inlineStr">
        <x:is>
          <x:t xml:space="preserve">Submission, external form and reset use native FormData.</x:t>
        </x:is>
      </x:c>
      <x:c r="E15" s="143" t="inlineStr">
        <x:is>
          <x:t xml:space="preserve">package</x:t>
        </x:is>
      </x:c>
      <x:c r="F15" s="143" t="inlineStr">
        <x:is>
          <x:t xml:space="preserve">browser</x:t>
        </x:is>
      </x:c>
      <x:c r="G15" s="143" t="inlineStr">
        <x:is>
          <x:t xml:space="preserve">tests/components/native-select/behavior.spec.ts</x:t>
        </x:is>
      </x:c>
      <x:c r="H15" s="143" t="inlineStr">
        <x:is>
          <x:t xml:space="preserve">tested</x:t>
        </x:is>
      </x:c>
      <x:c r="I15" s="143" t="inlineStr">
        <x:is>
          <x:t xml:space="preserve">no</x:t>
        </x:is>
      </x:c>
      <x:c r="J15" s="143" t="inlineStr">
        <x:is>
          <x:t xml:space="preserve">2026-09-07</x:t>
        </x:is>
      </x:c>
      <x:c r="K15" s="143" t="n"/>
      <x:c r="L15" s="143" t="n">
        <x:v>1</x:v>
      </x:c>
      <x:c r="M15" s="143" t="n">
        <x:f>IF(OR(H15="not applicable",H15="verified",AND(I15="no",H15="tested")),1,0)</x:f>
        <x:v>1</x:v>
      </x:c>
    </x:row>
    <x:row r="16" s="135" customFormat="1" ht="60" customHeight="1">
      <x:c r="A16" s="235" t="inlineStr">
        <x:is>
          <x:t xml:space="preserve">native-select-08</x:t>
        </x:is>
      </x:c>
      <x:c r="B16" s="235" t="inlineStr">
        <x:is>
          <x:t xml:space="preserve">Lists</x:t>
        </x:is>
      </x:c>
      <x:c r="C16" s="235" t="inlineStr">
        <x:is>
          <x:t xml:space="preserve">Field / Indicator</x:t>
        </x:is>
      </x:c>
      <x:c r="D16" s="235" t="inlineStr">
        <x:is>
          <x:t xml:space="preserve">Multiple values and suppressed list-mode indicator.</x:t>
        </x:is>
      </x:c>
      <x:c r="E16" s="235" t="inlineStr">
        <x:is>
          <x:t xml:space="preserve">package</x:t>
        </x:is>
      </x:c>
      <x:c r="F16" s="235" t="inlineStr">
        <x:is>
          <x:t xml:space="preserve">browser</x:t>
        </x:is>
      </x:c>
      <x:c r="G16" s="235" t="inlineStr">
        <x:is>
          <x:t xml:space="preserve">tests/components/native-select/behavior.spec.ts</x:t>
        </x:is>
      </x:c>
      <x:c r="H16" s="235" t="inlineStr">
        <x:is>
          <x:t xml:space="preserve">tested</x:t>
        </x:is>
      </x:c>
      <x:c r="I16" s="235" t="inlineStr">
        <x:is>
          <x:t xml:space="preserve">no</x:t>
        </x:is>
      </x:c>
      <x:c r="J16" s="235" t="inlineStr">
        <x:is>
          <x:t xml:space="preserve">2026-09-07</x:t>
        </x:is>
      </x:c>
      <x:c r="K16" s="235" t="n"/>
      <x:c r="L16" s="235" t="n">
        <x:v>1</x:v>
      </x:c>
      <x:c r="M16" s="235" t="n">
        <x:f>IF(OR(H16="not applicable",H16="verified",AND(I16="no",H16="tested")),1,0)</x:f>
        <x:v>1</x:v>
      </x:c>
    </x:row>
    <x:row r="17" s="135" customFormat="1" ht="60" customHeight="1">
      <x:c r="A17" s="143" t="inlineStr">
        <x:is>
          <x:t xml:space="preserve">native-select-09</x:t>
        </x:is>
      </x:c>
      <x:c r="B17" s="143" t="inlineStr">
        <x:is>
          <x:t xml:space="preserve">Validation</x:t>
        </x:is>
      </x:c>
      <x:c r="C17" s="143" t="inlineStr">
        <x:is>
          <x:t xml:space="preserve">Field</x:t>
        </x:is>
      </x:c>
      <x:c r="D17" s="143" t="inlineStr">
        <x:is>
          <x:t xml:space="preserve">Disabled and invalid Field semantics.</x:t>
        </x:is>
      </x:c>
      <x:c r="E17" s="143" t="inlineStr">
        <x:is>
          <x:t xml:space="preserve">package</x:t>
        </x:is>
      </x:c>
      <x:c r="F17" s="143" t="inlineStr">
        <x:is>
          <x:t xml:space="preserve">browser</x:t>
        </x:is>
      </x:c>
      <x:c r="G17" s="143" t="inlineStr">
        <x:is>
          <x:t xml:space="preserve">tests/components/native-select/behavior.spec.ts</x:t>
        </x:is>
      </x:c>
      <x:c r="H17" s="143" t="inlineStr">
        <x:is>
          <x:t xml:space="preserve">tested</x:t>
        </x:is>
      </x:c>
      <x:c r="I17" s="143" t="inlineStr">
        <x:is>
          <x:t xml:space="preserve">no</x:t>
        </x:is>
      </x:c>
      <x:c r="J17" s="143" t="inlineStr">
        <x:is>
          <x:t xml:space="preserve">2026-09-07</x:t>
        </x:is>
      </x:c>
      <x:c r="K17" s="143" t="n"/>
      <x:c r="L17" s="143" t="n">
        <x:v>1</x:v>
      </x:c>
      <x:c r="M17" s="143" t="n">
        <x:f>IF(OR(H17="not applicable",H17="verified",AND(I17="no",H17="tested")),1,0)</x:f>
        <x:v>1</x:v>
      </x:c>
    </x:row>
    <x:row r="18" s="135" customFormat="1" ht="60" customHeight="1">
      <x:c r="A18" s="235" t="inlineStr">
        <x:is>
          <x:t xml:space="preserve">native-select-10</x:t>
        </x:is>
      </x:c>
      <x:c r="B18" s="235" t="inlineStr">
        <x:is>
          <x:t xml:space="preserve">Direction</x:t>
        </x:is>
      </x:c>
      <x:c r="C18" s="235" t="inlineStr">
        <x:is>
          <x:t xml:space="preserve">Indicator</x:t>
        </x:is>
      </x:c>
      <x:c r="D18" s="235" t="inlineStr">
        <x:is>
          <x:t xml:space="preserve">RTL logical placement.</x:t>
        </x:is>
      </x:c>
      <x:c r="E18" s="235" t="inlineStr">
        <x:is>
          <x:t xml:space="preserve">package</x:t>
        </x:is>
      </x:c>
      <x:c r="F18" s="235" t="inlineStr">
        <x:is>
          <x:t xml:space="preserve">browser</x:t>
        </x:is>
      </x:c>
      <x:c r="G18" s="235" t="inlineStr">
        <x:is>
          <x:t xml:space="preserve">tests/components/native-select/behavior.spec.ts</x:t>
        </x:is>
      </x:c>
      <x:c r="H18" s="235" t="inlineStr">
        <x:is>
          <x:t xml:space="preserve">tested</x:t>
        </x:is>
      </x:c>
      <x:c r="I18" s="235" t="inlineStr">
        <x:is>
          <x:t xml:space="preserve">no</x:t>
        </x:is>
      </x:c>
      <x:c r="J18" s="235" t="inlineStr">
        <x:is>
          <x:t xml:space="preserve">2026-09-07</x:t>
        </x:is>
      </x:c>
      <x:c r="K18" s="235" t="n"/>
      <x:c r="L18" s="235" t="n">
        <x:v>1</x:v>
      </x:c>
      <x:c r="M18" s="235" t="n">
        <x:f>IF(OR(H18="not applicable",H18="verified",AND(I18="no",H18="tested")),1,0)</x:f>
        <x:v>1</x:v>
      </x:c>
    </x:row>
    <x:row r="19" s="135" customFormat="1" ht="60" customHeight="1">
      <x:c r="A19" s="143" t="inlineStr">
        <x:is>
          <x:t xml:space="preserve">native-select-11</x:t>
        </x:is>
      </x:c>
      <x:c r="B19" s="143" t="inlineStr">
        <x:is>
          <x:t xml:space="preserve">Responsive</x:t>
        </x:is>
      </x:c>
      <x:c r="C19" s="143" t="inlineStr">
        <x:is>
          <x:t xml:space="preserve">Containment / axe</x:t>
        </x:is>
      </x:c>
      <x:c r="D19" s="143" t="inlineStr">
        <x:is>
          <x:t xml:space="preserve">Narrow containment and zero axe violations in Chromium.</x:t>
        </x:is>
      </x:c>
      <x:c r="E19" s="143" t="inlineStr">
        <x:is>
          <x:t xml:space="preserve">package</x:t>
        </x:is>
      </x:c>
      <x:c r="F19" s="143" t="inlineStr">
        <x:is>
          <x:t xml:space="preserve">browser</x:t>
        </x:is>
      </x:c>
      <x:c r="G19" s="143" t="inlineStr">
        <x:is>
          <x:t xml:space="preserve">tests/components/native-select/behavior.spec.ts</x:t>
        </x:is>
      </x:c>
      <x:c r="H19" s="143" t="inlineStr">
        <x:is>
          <x:t xml:space="preserve">tested</x:t>
        </x:is>
      </x:c>
      <x:c r="I19" s="143" t="inlineStr">
        <x:is>
          <x:t xml:space="preserve">no</x:t>
        </x:is>
      </x:c>
      <x:c r="J19" s="143" t="inlineStr">
        <x:is>
          <x:t xml:space="preserve">2026-09-07</x:t>
        </x:is>
      </x:c>
      <x:c r="K19" s="143" t="n"/>
      <x:c r="L19" s="143" t="n">
        <x:v>1</x:v>
      </x:c>
      <x:c r="M19" s="143" t="n">
        <x:f>IF(OR(H19="not applicable",H19="verified",AND(I19="no",H19="tested")),1,0)</x:f>
        <x:v>1</x:v>
      </x:c>
    </x:row>
    <x:row r="20" s="135" customFormat="1" ht="60" customHeight="1">
      <x:c r="A20" s="235" t="inlineStr">
        <x:is>
          <x:t xml:space="preserve">native-select-12</x:t>
        </x:is>
      </x:c>
      <x:c r="B20" s="235" t="inlineStr">
        <x:is>
          <x:t xml:space="preserve">Visual</x:t>
        </x:is>
      </x:c>
      <x:c r="C20" s="235" t="inlineStr">
        <x:is>
          <x:t xml:space="preserve">Recipes</x:t>
        </x:is>
      </x:c>
      <x:c r="D20" s="235" t="inlineStr">
        <x:is>
          <x:t xml:space="preserve">Six recipe and appearance baselines captured and visually inspected.</x:t>
        </x:is>
      </x:c>
      <x:c r="E20" s="235" t="inlineStr">
        <x:is>
          <x:t xml:space="preserve">package</x:t>
        </x:is>
      </x:c>
      <x:c r="F20" s="235" t="inlineStr">
        <x:is>
          <x:t xml:space="preserve">visual</x:t>
        </x:is>
      </x:c>
      <x:c r="G20" s="235" t="inlineStr">
        <x:is>
          <x:t xml:space="preserve">tests/components/native-select/visual.spec.ts</x:t>
        </x:is>
      </x:c>
      <x:c r="H20" s="235" t="inlineStr">
        <x:is>
          <x:t xml:space="preserve">tested</x:t>
        </x:is>
      </x:c>
      <x:c r="I20" s="235" t="inlineStr">
        <x:is>
          <x:t xml:space="preserve">no</x:t>
        </x:is>
      </x:c>
      <x:c r="J20" s="235" t="inlineStr">
        <x:is>
          <x:t xml:space="preserve">2026-09-07</x:t>
        </x:is>
      </x:c>
      <x:c r="K20" s="235" t="n"/>
      <x:c r="L20" s="235" t="n">
        <x:v>1</x:v>
      </x:c>
      <x:c r="M20" s="235" t="n">
        <x:f>IF(OR(H20="not applicable",H20="verified",AND(I20="no",H20="tested")),1,0)</x:f>
        <x:v>1</x:v>
      </x:c>
    </x:row>
    <x:row r="21" s="135" customFormat="1" ht="60" customHeight="1">
      <x:c r="A21" s="143" t="inlineStr">
        <x:is>
          <x:t xml:space="preserve">native-select-13</x:t>
        </x:is>
      </x:c>
      <x:c r="B21" s="143" t="inlineStr">
        <x:is>
          <x:t xml:space="preserve">Docs</x:t>
        </x:is>
      </x:c>
      <x:c r="C21" s="143" t="inlineStr">
        <x:is>
          <x:t xml:space="preserve">Guide / AK</x:t>
        </x:is>
      </x:c>
      <x:c r="D21" s="143" t="inlineStr">
        <x:is>
          <x:t xml:space="preserve">Public guide and closed owner guidance.</x:t>
        </x:is>
      </x:c>
      <x:c r="E21" s="143" t="inlineStr">
        <x:is>
          <x:t xml:space="preserve">package</x:t>
        </x:is>
      </x:c>
      <x:c r="F21" s="143" t="inlineStr">
        <x:is>
          <x:t xml:space="preserve">docs</x:t>
        </x:is>
      </x:c>
      <x:c r="G21" s="143" t="inlineStr">
        <x:is>
          <x:t xml:space="preserve">../docs/components/native-select/README.md</x:t>
        </x:is>
      </x:c>
      <x:c r="H21" s="143" t="inlineStr">
        <x:is>
          <x:t xml:space="preserve">tested</x:t>
        </x:is>
      </x:c>
      <x:c r="I21" s="143" t="inlineStr">
        <x:is>
          <x:t xml:space="preserve">no</x:t>
        </x:is>
      </x:c>
      <x:c r="J21" s="143" t="inlineStr">
        <x:is>
          <x:t xml:space="preserve">2026-09-07</x:t>
        </x:is>
      </x:c>
      <x:c r="K21" s="143" t="n"/>
      <x:c r="L21" s="143" t="n">
        <x:v>1</x:v>
      </x:c>
      <x:c r="M21" s="143" t="n">
        <x:f>IF(OR(H21="not applicable",H21="verified",AND(I21="no",H21="tested")),1,0)</x:f>
        <x:v>1</x:v>
      </x:c>
    </x:row>
    <x:row r="22" s="135" customFormat="1" ht="60" customHeight="1">
      <x:c r="A22" s="235" t="inlineStr">
        <x:is>
          <x:t xml:space="preserve">native-select-14</x:t>
        </x:is>
      </x:c>
      <x:c r="B22" s="235" t="inlineStr">
        <x:is>
          <x:t xml:space="preserve">Playground</x:t>
        </x:is>
      </x:c>
      <x:c r="C22" s="235" t="inlineStr">
        <x:is>
          <x:t xml:space="preserve">Scenarios</x:t>
        </x:is>
      </x:c>
      <x:c r="D22" s="235" t="inlineStr">
        <x:is>
          <x:t xml:space="preserve">Documentation examples, matching source tabs and visible part headings; exhaustive evidence retained.</x:t>
        </x:is>
      </x:c>
      <x:c r="E22" s="235" t="inlineStr">
        <x:is>
          <x:t xml:space="preserve">package</x:t>
        </x:is>
      </x:c>
      <x:c r="F22" s="235" t="inlineStr">
        <x:is>
          <x:t xml:space="preserve">page</x:t>
        </x:is>
      </x:c>
      <x:c r="G22" s="235" t="inlineStr">
        <x:is>
          <x:t xml:space="preserve">tests/components/native-select/documentation.spec.ts</x:t>
        </x:is>
      </x:c>
      <x:c r="H22" s="235" t="inlineStr">
        <x:is>
          <x:t xml:space="preserve">tested</x:t>
        </x:is>
      </x:c>
      <x:c r="I22" s="235" t="inlineStr">
        <x:is>
          <x:t xml:space="preserve">no</x:t>
        </x:is>
      </x:c>
      <x:c r="J22" s="235" t="n"/>
      <x:c r="K22" s="235" t="inlineStr">
        <x:is>
          <x:t xml:space="preserve">Qualification pending.</x:t>
        </x:is>
      </x:c>
      <x:c r="L22" s="235" t="n">
        <x:v>1</x:v>
      </x:c>
      <x:c r="M22" s="235" t="n">
        <x:f>IF(OR(H22="not applicable",H22="verified",AND(I22="no",H22="tested")),1,0)</x:f>
        <x:v>1</x:v>
      </x:c>
    </x:row>
    <x:row r="23" s="135" customFormat="1" ht="60" customHeight="1">
      <x:c r="A23" s="143" t="inlineStr">
        <x:is>
          <x:t xml:space="preserve">native-select-15</x:t>
        </x:is>
      </x:c>
      <x:c r="B23" s="143" t="inlineStr">
        <x:is>
          <x:t xml:space="preserve">Consumer</x:t>
        </x:is>
      </x:c>
      <x:c r="C23" s="143" t="inlineStr">
        <x:is>
          <x:t xml:space="preserve">Composition</x:t>
        </x:is>
      </x:c>
      <x:c r="D23" s="143" t="inlineStr">
        <x:is>
          <x:t xml:space="preserve">Desktop/mobile form checks and clean packed React 18/19 smoke pass.</x:t>
        </x:is>
      </x:c>
      <x:c r="E23" s="143" t="inlineStr">
        <x:is>
          <x:t xml:space="preserve">consumer</x:t>
        </x:is>
      </x:c>
      <x:c r="F23" s="143" t="inlineStr">
        <x:is>
          <x:t xml:space="preserve">consumer</x:t>
        </x:is>
      </x:c>
      <x:c r="G23" s="143" t="inlineStr">
        <x:is>
          <x:t xml:space="preserve">../apps/consumer/tests/native-select.spec.ts</x:t>
        </x:is>
      </x:c>
      <x:c r="H23" s="143" t="inlineStr">
        <x:is>
          <x:t xml:space="preserve">tested</x:t>
        </x:is>
      </x:c>
      <x:c r="I23" s="143" t="inlineStr">
        <x:is>
          <x:t xml:space="preserve">no</x:t>
        </x:is>
      </x:c>
      <x:c r="J23" s="143" t="inlineStr">
        <x:is>
          <x:t xml:space="preserve">2026-09-07</x:t>
        </x:is>
      </x:c>
      <x:c r="K23" s="143" t="n"/>
      <x:c r="L23" s="143" t="n">
        <x:v>1</x:v>
      </x:c>
      <x:c r="M23" s="143" t="n">
        <x:f>IF(OR(H23="not applicable",H23="verified",AND(I23="no",H23="tested")),1,0)</x:f>
        <x:v>1</x:v>
      </x:c>
    </x:row>
    <x:row r="24" s="135" customFormat="1" ht="60" customHeight="1">
      <x:c r="A24" s="235" t="inlineStr">
        <x:is>
          <x:t xml:space="preserve">native-select-16</x:t>
        </x:is>
      </x:c>
      <x:c r="B24" s="235" t="inlineStr">
        <x:is>
          <x:t xml:space="preserve">Package</x:t>
        </x:is>
      </x:c>
      <x:c r="C24" s="235" t="inlineStr">
        <x:is>
          <x:t xml:space="preserve">Artifact</x:t>
        </x:is>
      </x:c>
      <x:c r="D24" s="235" t="inlineStr">
        <x:is>
          <x:t xml:space="preserve">Full package qualification pending.</x:t>
        </x:is>
      </x:c>
      <x:c r="E24" s="235" t="inlineStr">
        <x:is>
          <x:t xml:space="preserve">package</x:t>
        </x:is>
      </x:c>
      <x:c r="F24" s="235" t="inlineStr">
        <x:is>
          <x:t xml:space="preserve">package</x:t>
        </x:is>
      </x:c>
      <x:c r="G24" s="235" t="inlineStr">
        <x:is>
          <x:t xml:space="preserve">../scripts/verify-package.mjs</x:t>
        </x:is>
      </x:c>
      <x:c r="H24" s="235" t="inlineStr">
        <x:is>
          <x:t xml:space="preserve">partial</x:t>
        </x:is>
      </x:c>
      <x:c r="I24" s="235" t="inlineStr">
        <x:is>
          <x:t xml:space="preserve">no</x:t>
        </x:is>
      </x:c>
      <x:c r="J24" s="235" t="inlineStr">
        <x:is>
          <x:t xml:space="preserve">2026-09-08</x:t>
        </x:is>
      </x:c>
      <x:c r="K24" s="235" t="inlineStr">
        <x:is>
          <x:t xml:space="preserve">Local family checks only. Full release qualification and manual gates remain separate.</x:t>
        </x:is>
      </x:c>
      <x:c r="L24" s="235" t="n">
        <x:v>1</x:v>
      </x:c>
      <x:c r="M24" s="235" t="n">
        <x:f>IF(OR(H24="not applicable",H24="verified",AND(I24="no",H24="tested")),1,0)</x:f>
        <x:v>0</x:v>
      </x:c>
    </x:row>
    <x:row r="25" s="135" customFormat="1" ht="60" customHeight="1">
      <x:c r="A25" s="143" t="inlineStr">
        <x:is>
          <x:t xml:space="preserve">native-select-17</x:t>
        </x:is>
      </x:c>
      <x:c r="B25" s="143" t="inlineStr">
        <x:is>
          <x:t xml:space="preserve">Manual</x:t>
        </x:is>
      </x:c>
      <x:c r="C25" s="143" t="inlineStr">
        <x:is>
          <x:t xml:space="preserve">Picker / screen reader</x:t>
        </x:is>
      </x:c>
      <x:c r="D25" s="143" t="inlineStr">
        <x:is>
          <x:t xml:space="preserve">Physical picker, AT and actual zoom unperformed.</x:t>
        </x:is>
      </x:c>
      <x:c r="E25" s="143" t="inlineStr">
        <x:is>
          <x:t xml:space="preserve">package</x:t>
        </x:is>
      </x:c>
      <x:c r="F25" s="143" t="inlineStr">
        <x:is>
          <x:t xml:space="preserve">manual</x:t>
        </x:is>
      </x:c>
      <x:c r="G25" s="143" t="inlineStr">
        <x:is>
          <x:t xml:space="preserve">manual-tests/native-select.md</x:t>
        </x:is>
      </x:c>
      <x:c r="H25" s="143" t="inlineStr">
        <x:is>
          <x:t xml:space="preserve">not started</x:t>
        </x:is>
      </x:c>
      <x:c r="I25" s="143" t="inlineStr">
        <x:is>
          <x:t xml:space="preserve">yes</x:t>
        </x:is>
      </x:c>
      <x:c r="J25" s="143" t="n"/>
      <x:c r="K25" s="143" t="inlineStr">
        <x:is>
          <x:t xml:space="preserve">Qualification pending.</x:t>
        </x:is>
      </x:c>
      <x:c r="L25" s="143" t="n">
        <x:v>1</x:v>
      </x:c>
      <x:c r="M25" s="143" t="n">
        <x:f>IF(OR(H25="not applicable",H25="verified",AND(I25="no",H25="tested")),1,0)</x:f>
        <x:v>0</x:v>
      </x:c>
    </x:row>
  </x:sheetData>
  <x:mergeCells>
    <x:mergeCell ref="A2:M2"/>
    <x:mergeCell ref="A1:M1"/>
  </x:mergeCells>
  <x:dataValidations count="2">
    <x:dataValidation type="list" errorStyle="stop" operator="between" allowBlank="0" showDropDown="0" showInputMessage="0" showErrorMessage="0" sqref="H9:H25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25">
      <x:formula1>"yes,no"</x:formula1>
      <x:formula2>0</x:formula2>
    </x:dataValidation>
  </x:dataValidations>
  <x:pageMargins left="0.7" right="0.7" top="0.75" bottom="0.75" header="0.3" footer="0.3"/>
</x:worksheet>
</file>

<file path=xl/worksheets/sheet127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baseColWidth="8" defaultColWidth="8.6796875" defaultRowHeight="15"/>
  <x:cols>
    <x:col min="1" max="1" width="15" style="138" customWidth="1"/>
    <x:col min="2" max="2" width="17" style="138" customWidth="1"/>
    <x:col min="3" max="3" width="20" style="138" customWidth="1"/>
    <x:col min="4" max="4" width="55" style="138" customWidth="1"/>
    <x:col min="5" max="6" width="15" style="138" customWidth="1"/>
    <x:col min="7" max="7" width="50" style="138" customWidth="1"/>
    <x:col min="8" max="9" width="17" style="138" customWidth="1"/>
    <x:col min="10" max="10" width="16" style="138" customWidth="1"/>
    <x:col min="11" max="11" width="40" style="138" customWidth="1"/>
    <x:col min="12" max="13" width="10" style="138" customWidth="1"/>
  </x:cols>
  <x:sheetData>
    <x:row r="1" s="135" customFormat="1" ht="27.75" customHeight="1">
      <x:c r="A1" s="233" t="inlineStr">
        <x:is>
          <x:t xml:space="preserve">Editable Evidence</x:t>
        </x:is>
      </x:c>
    </x:row>
    <x:row r="2" s="135" customFormat="1" ht="42" customHeight="1">
      <x:c r="A2" s="138" t="inlineStr">
        <x:is>
          <x:t xml:space="preserve">Local implementation reviewed. Four-owner browser matrix: 105 passes. Exact packed React 18/19 checks pass. Manual platform checks and wider-library regression qualification remain open.</x:t>
        </x:is>
      </x:c>
    </x:row>
    <x:row r="3" s="135" customFormat="1" ht="15" customHeight="1">
      <x:c r="A3" s="138" t="n"/>
      <x:c r="B3" s="138" t="n"/>
      <x:c r="C3" s="138" t="n"/>
      <x:c r="D3" s="138" t="n"/>
      <x:c r="E3" s="138" t="n"/>
      <x:c r="F3" s="138" t="n"/>
      <x:c r="G3" s="138" t="n"/>
      <x:c r="H3" s="138" t="n"/>
      <x:c r="I3" s="138" t="n"/>
      <x:c r="J3" s="138" t="n"/>
      <x:c r="K3" s="138" t="n"/>
      <x:c r="L3" s="138" t="n"/>
      <x:c r="M3" s="138" t="n"/>
    </x:row>
    <x:row r="4" s="135" customFormat="1" ht="15" customHeight="1">
      <x:c r="A4" s="138" t="inlineStr">
        <x:is>
          <x:t xml:space="preserve">Requirements</x:t>
        </x:is>
      </x:c>
      <x:c r="B4" s="138" t="n">
        <x:f>COUNTA(A9:A25)</x:f>
        <x:v>17</x:v>
      </x:c>
      <x:c r="C4" s="138" t="n"/>
      <x:c r="D4" s="138" t="inlineStr">
        <x:is>
          <x:t xml:space="preserve">Resolved</x:t>
        </x:is>
      </x:c>
      <x:c r="E4" s="138" t="n">
        <x:f>SUM(M9:M25)</x:f>
        <x:v>15</x:v>
      </x:c>
      <x:c r="F4" s="138" t="n"/>
      <x:c r="G4" s="138" t="inlineStr">
        <x:is>
          <x:t xml:space="preserve">Completion</x:t>
        </x:is>
      </x:c>
      <x:c r="H4" s="139" t="n">
        <x:f>IF(B4=0,0,E4/B4)</x:f>
        <x:v>0.8823529411764706</x:v>
      </x:c>
      <x:c r="I4" s="138" t="n"/>
      <x:c r="J4" s="138" t="inlineStr">
        <x:is>
          <x:t xml:space="preserve">Package gate</x:t>
        </x:is>
      </x:c>
      <x:c r="K4" s="138" t="str">
        <x:f>IF(COUNTIFS(E9:E25,"package",M9:M25,0)&gt;0,"open","complete")</x:f>
        <x:v>open</x:v>
      </x:c>
      <x:c r="L4" s="138" t="n"/>
      <x:c r="M4" s="138" t="n"/>
    </x:row>
    <x:row r="5" s="135" customFormat="1" ht="15" customHeight="1">
      <x:c r="A5" s="138" t="inlineStr">
        <x:is>
          <x:t xml:space="preserve">Manual review</x:t>
        </x:is>
      </x:c>
      <x:c r="B5" s="138" t="str">
        <x:f>IF(COUNTIFS(I9:I25,"yes",M9:M25,0)&gt;0,"open","complete")</x:f>
        <x:v>open</x:v>
      </x:c>
      <x:c r="C5" s="138" t="n"/>
      <x:c r="D5" s="138" t="inlineStr">
        <x:is>
          <x:t xml:space="preserve">Consumer gate</x:t>
        </x:is>
      </x:c>
      <x:c r="E5" s="138" t="str">
        <x:f>IF(COUNTIFS(E9:E25,"consumer",M9:M25,0)&gt;0,"open","complete")</x:f>
        <x:v>complete</x:v>
      </x:c>
      <x:c r="F5" s="138" t="n"/>
      <x:c r="G5" s="138" t="n"/>
      <x:c r="H5" s="138" t="n"/>
      <x:c r="I5" s="138" t="n"/>
      <x:c r="J5" s="138" t="n"/>
      <x:c r="K5" s="138" t="n"/>
      <x:c r="L5" s="138" t="n"/>
      <x:c r="M5" s="138" t="n"/>
    </x:row>
    <x:row r="6" s="135" customFormat="1" ht="15" customHeight="1">
      <x:c r="A6" s="138" t="n"/>
      <x:c r="B6" s="138" t="n"/>
      <x:c r="C6" s="138" t="n"/>
      <x:c r="D6" s="138" t="n"/>
      <x:c r="E6" s="138" t="n"/>
      <x:c r="F6" s="138" t="n"/>
      <x:c r="G6" s="138" t="n"/>
      <x:c r="H6" s="138" t="n"/>
      <x:c r="I6" s="138" t="n"/>
      <x:c r="J6" s="138" t="n"/>
      <x:c r="K6" s="138" t="n"/>
      <x:c r="L6" s="138" t="n"/>
      <x:c r="M6" s="138" t="n"/>
    </x:row>
    <x:row r="7" s="135" customFormat="1" ht="15" customHeight="1">
      <x:c r="A7" s="138" t="n"/>
      <x:c r="B7" s="138" t="n"/>
      <x:c r="C7" s="138" t="n"/>
      <x:c r="D7" s="138" t="n"/>
      <x:c r="E7" s="138" t="n"/>
      <x:c r="F7" s="138" t="n"/>
      <x:c r="G7" s="138" t="n"/>
      <x:c r="H7" s="138" t="n"/>
      <x:c r="I7" s="138" t="n"/>
      <x:c r="J7" s="138" t="n"/>
      <x:c r="K7" s="138" t="n"/>
      <x:c r="L7" s="138" t="n"/>
      <x:c r="M7" s="138" t="n"/>
    </x:row>
    <x:row r="8" s="135" customFormat="1" ht="27.75" customHeight="1">
      <x:c r="A8" s="234" t="inlineStr">
        <x:is>
          <x:t xml:space="preserve">ID</x:t>
        </x:is>
      </x:c>
      <x:c r="B8" s="234" t="inlineStr">
        <x:is>
          <x:t xml:space="preserve">Area</x:t>
        </x:is>
      </x:c>
      <x:c r="C8" s="234" t="inlineStr">
        <x:is>
          <x:t xml:space="preserve">Part</x:t>
        </x:is>
      </x:c>
      <x:c r="D8" s="234" t="inlineStr">
        <x:is>
          <x:t xml:space="preserve">Requirement</x:t>
        </x:is>
      </x:c>
      <x:c r="E8" s="234" t="inlineStr">
        <x:is>
          <x:t xml:space="preserve">Gate</x:t>
        </x:is>
      </x:c>
      <x:c r="F8" s="234" t="inlineStr">
        <x:is>
          <x:t xml:space="preserve">Evidence type</x:t>
        </x:is>
      </x:c>
      <x:c r="G8" s="234" t="inlineStr">
        <x:is>
          <x:t xml:space="preserve">Evidence / link</x:t>
        </x:is>
      </x:c>
      <x:c r="H8" s="234" t="inlineStr">
        <x:is>
          <x:t xml:space="preserve">Status</x:t>
        </x:is>
      </x:c>
      <x:c r="I8" s="234" t="inlineStr">
        <x:is>
          <x:t xml:space="preserve">Human review?</x:t>
        </x:is>
      </x:c>
      <x:c r="J8" s="234" t="inlineStr">
        <x:is>
          <x:t xml:space="preserve">Last verified</x:t>
        </x:is>
      </x:c>
      <x:c r="K8" s="234" t="inlineStr">
        <x:is>
          <x:t xml:space="preserve">Blocker / N/A reason</x:t>
        </x:is>
      </x:c>
      <x:c r="L8" s="234" t="inlineStr">
        <x:is>
          <x:t xml:space="preserve">Weight</x:t>
        </x:is>
      </x:c>
      <x:c r="M8" s="234" t="inlineStr">
        <x:is>
          <x:t xml:space="preserve">Resolved</x:t>
        </x:is>
      </x:c>
    </x:row>
    <x:row r="9" s="135" customFormat="1" ht="60" customHeight="1">
      <x:c r="A9" s="143" t="inlineStr">
        <x:is>
          <x:t xml:space="preserve">editable-01</x:t>
        </x:is>
      </x:c>
      <x:c r="B9" s="143" t="inlineStr">
        <x:is>
          <x:t xml:space="preserve">Semantics</x:t>
        </x:is>
      </x:c>
      <x:c r="C9" s="143" t="inlineStr">
        <x:is>
          <x:t xml:space="preserve">Root / Input</x:t>
        </x:is>
      </x:c>
      <x:c r="D9" s="143" t="inlineStr">
        <x:is>
          <x:t xml:space="preserve">One native editor; no duplicate form value.</x:t>
        </x:is>
      </x:c>
      <x:c r="E9" s="143" t="inlineStr">
        <x:is>
          <x:t xml:space="preserve">package</x:t>
        </x:is>
      </x:c>
      <x:c r="F9" s="143" t="inlineStr">
        <x:is>
          <x:t xml:space="preserve">component</x:t>
        </x:is>
      </x:c>
      <x:c r="G9" s="143" t="inlineStr">
        <x:is>
          <x:t xml:space="preserve">../test/components/editable/editable.test.tsx</x:t>
        </x:is>
      </x:c>
      <x:c r="H9" s="143" t="inlineStr">
        <x:is>
          <x:t xml:space="preserve">tested</x:t>
        </x:is>
      </x:c>
      <x:c r="I9" s="143" t="inlineStr">
        <x:is>
          <x:t xml:space="preserve">no</x:t>
        </x:is>
      </x:c>
      <x:c r="J9" s="143" t="inlineStr">
        <x:is>
          <x:t xml:space="preserve">2026-09-07</x:t>
        </x:is>
      </x:c>
      <x:c r="K9" s="143" t="n"/>
      <x:c r="L9" s="143" t="n">
        <x:v>1</x:v>
      </x:c>
      <x:c r="M9" s="143" t="n">
        <x:f>IF(OR(H9="not applicable",H9="verified",AND(I9="no",H9="tested")),1,0)</x:f>
        <x:v>1</x:v>
      </x:c>
    </x:row>
    <x:row r="10" s="135" customFormat="1" ht="60" customHeight="1">
      <x:c r="A10" s="235" t="inlineStr">
        <x:is>
          <x:t xml:space="preserve">editable-02</x:t>
        </x:is>
      </x:c>
      <x:c r="B10" s="235" t="inlineStr">
        <x:is>
          <x:t xml:space="preserve">Anatomy</x:t>
        </x:is>
      </x:c>
      <x:c r="C10" s="235" t="inlineStr">
        <x:is>
          <x:t xml:space="preserve">Parts / refs</x:t>
        </x:is>
      </x:c>
      <x:c r="D10" s="235" t="inlineStr">
        <x:is>
          <x:t xml:space="preserve">Native refs and projected controls.</x:t>
        </x:is>
      </x:c>
      <x:c r="E10" s="235" t="inlineStr">
        <x:is>
          <x:t xml:space="preserve">package</x:t>
        </x:is>
      </x:c>
      <x:c r="F10" s="235" t="inlineStr">
        <x:is>
          <x:t xml:space="preserve">component</x:t>
        </x:is>
      </x:c>
      <x:c r="G10" s="235" t="inlineStr">
        <x:is>
          <x:t xml:space="preserve">../test/components/editable/editable.test.tsx</x:t>
        </x:is>
      </x:c>
      <x:c r="H10" s="235" t="inlineStr">
        <x:is>
          <x:t xml:space="preserve">tested</x:t>
        </x:is>
      </x:c>
      <x:c r="I10" s="235" t="inlineStr">
        <x:is>
          <x:t xml:space="preserve">no</x:t>
        </x:is>
      </x:c>
      <x:c r="J10" s="235" t="inlineStr">
        <x:is>
          <x:t xml:space="preserve">2026-09-07</x:t>
        </x:is>
      </x:c>
      <x:c r="K10" s="235" t="n"/>
      <x:c r="L10" s="235" t="n">
        <x:v>1</x:v>
      </x:c>
      <x:c r="M10" s="235" t="n">
        <x:f>IF(OR(H10="not applicable",H10="verified",AND(I10="no",H10="tested")),1,0)</x:f>
        <x:v>1</x:v>
      </x:c>
    </x:row>
    <x:row r="11" s="135" customFormat="1" ht="60" customHeight="1">
      <x:c r="A11" s="143" t="inlineStr">
        <x:is>
          <x:t xml:space="preserve">editable-03</x:t>
        </x:is>
      </x:c>
      <x:c r="B11" s="143" t="inlineStr">
        <x:is>
          <x:t xml:space="preserve">Types</x:t>
        </x:is>
      </x:c>
      <x:c r="C11" s="143" t="inlineStr">
        <x:is>
          <x:t xml:space="preserve">API</x:t>
        </x:is>
      </x:c>
      <x:c r="D11" s="143" t="inlineStr">
        <x:is>
          <x:t xml:space="preserve">Closed sizes and preserved editor/trigger props.</x:t>
        </x:is>
      </x:c>
      <x:c r="E11" s="143" t="inlineStr">
        <x:is>
          <x:t xml:space="preserve">package</x:t>
        </x:is>
      </x:c>
      <x:c r="F11" s="143" t="inlineStr">
        <x:is>
          <x:t xml:space="preserve">types</x:t>
        </x:is>
      </x:c>
      <x:c r="G11" s="143" t="inlineStr">
        <x:is>
          <x:t xml:space="preserve">../test/types/components/editable.test.ts</x:t>
        </x:is>
      </x:c>
      <x:c r="H11" s="143" t="inlineStr">
        <x:is>
          <x:t xml:space="preserve">tested</x:t>
        </x:is>
      </x:c>
      <x:c r="I11" s="143" t="inlineStr">
        <x:is>
          <x:t xml:space="preserve">no</x:t>
        </x:is>
      </x:c>
      <x:c r="J11" s="143" t="inlineStr">
        <x:is>
          <x:t xml:space="preserve">2026-09-07</x:t>
        </x:is>
      </x:c>
      <x:c r="K11" s="143" t="n"/>
      <x:c r="L11" s="143" t="n">
        <x:v>1</x:v>
      </x:c>
      <x:c r="M11" s="143" t="n">
        <x:f>IF(OR(H11="not applicable",H11="verified",AND(I11="no",H11="tested")),1,0)</x:f>
        <x:v>1</x:v>
      </x:c>
    </x:row>
    <x:row r="12" s="135" customFormat="1" ht="60" customHeight="1">
      <x:c r="A12" s="235" t="inlineStr">
        <x:is>
          <x:t xml:space="preserve">editable-04</x:t>
        </x:is>
      </x:c>
      <x:c r="B12" s="235" t="inlineStr">
        <x:is>
          <x:t xml:space="preserve">Geometry</x:t>
        </x:is>
      </x:c>
      <x:c r="C12" s="235" t="inlineStr">
        <x:is>
          <x:t xml:space="preserve">Preview / Input</x:t>
        </x:is>
      </x:c>
      <x:c r="D12" s="235" t="inlineStr">
        <x:is>
          <x:t xml:space="preserve">Matched baseline and height at sm/md/lg.</x:t>
        </x:is>
      </x:c>
      <x:c r="E12" s="235" t="inlineStr">
        <x:is>
          <x:t xml:space="preserve">package</x:t>
        </x:is>
      </x:c>
      <x:c r="F12" s="235" t="inlineStr">
        <x:is>
          <x:t xml:space="preserve">browser</x:t>
        </x:is>
      </x:c>
      <x:c r="G12" s="235" t="inlineStr">
        <x:is>
          <x:t xml:space="preserve">tests/components/editable/behavior.spec.ts</x:t>
        </x:is>
      </x:c>
      <x:c r="H12" s="235" t="inlineStr">
        <x:is>
          <x:t xml:space="preserve">tested</x:t>
        </x:is>
      </x:c>
      <x:c r="I12" s="235" t="inlineStr">
        <x:is>
          <x:t xml:space="preserve">no</x:t>
        </x:is>
      </x:c>
      <x:c r="J12" s="235" t="inlineStr">
        <x:is>
          <x:t xml:space="preserve">2026-09-07</x:t>
        </x:is>
      </x:c>
      <x:c r="K12" s="235" t="n"/>
      <x:c r="L12" s="235" t="n">
        <x:v>1</x:v>
      </x:c>
      <x:c r="M12" s="235" t="n">
        <x:f>IF(OR(H12="not applicable",H12="verified",AND(I12="no",H12="tested")),1,0)</x:f>
        <x:v>1</x:v>
      </x:c>
    </x:row>
    <x:row r="13" s="135" customFormat="1" ht="60" customHeight="1">
      <x:c r="A13" s="143" t="inlineStr">
        <x:is>
          <x:t xml:space="preserve">editable-05</x:t>
        </x:is>
      </x:c>
      <x:c r="B13" s="143" t="inlineStr">
        <x:is>
          <x:t xml:space="preserve">Transactions</x:t>
        </x:is>
      </x:c>
      <x:c r="C13" s="143" t="inlineStr">
        <x:is>
          <x:t xml:space="preserve">Empty / defaultEdit</x:t>
        </x:is>
      </x:c>
      <x:c r="D13" s="143" t="inlineStr">
        <x:is>
          <x:t xml:space="preserve">Empty and initially editing cancellation regressions.</x:t>
        </x:is>
      </x:c>
      <x:c r="E13" s="143" t="inlineStr">
        <x:is>
          <x:t xml:space="preserve">package</x:t>
        </x:is>
      </x:c>
      <x:c r="F13" s="143" t="inlineStr">
        <x:is>
          <x:t xml:space="preserve">atom</x:t>
        </x:is>
      </x:c>
      <x:c r="G13" s="143" t="inlineStr">
        <x:is>
          <x:t xml:space="preserve">../docs/components/editable/README.md</x:t>
        </x:is>
      </x:c>
      <x:c r="H13" s="143" t="inlineStr">
        <x:is>
          <x:t xml:space="preserve">tested</x:t>
        </x:is>
      </x:c>
      <x:c r="I13" s="143" t="inlineStr">
        <x:is>
          <x:t xml:space="preserve">no</x:t>
        </x:is>
      </x:c>
      <x:c r="J13" s="143" t="inlineStr">
        <x:is>
          <x:t xml:space="preserve">2026-09-07</x:t>
        </x:is>
      </x:c>
      <x:c r="K13" s="143" t="n"/>
      <x:c r="L13" s="143" t="n">
        <x:v>1</x:v>
      </x:c>
      <x:c r="M13" s="143" t="n">
        <x:f>IF(OR(H13="not applicable",H13="verified",AND(I13="no",H13="tested")),1,0)</x:f>
        <x:v>1</x:v>
      </x:c>
    </x:row>
    <x:row r="14" s="135" customFormat="1" ht="60" customHeight="1">
      <x:c r="A14" s="235" t="inlineStr">
        <x:is>
          <x:t xml:space="preserve">editable-06</x:t>
        </x:is>
      </x:c>
      <x:c r="B14" s="235" t="inlineStr">
        <x:is>
          <x:t xml:space="preserve">State</x:t>
        </x:is>
      </x:c>
      <x:c r="C14" s="235" t="inlineStr">
        <x:is>
          <x:t xml:space="preserve">Controlled / provider</x:t>
        </x:is>
      </x:c>
      <x:c r="D14" s="235" t="inlineStr">
        <x:is>
          <x:t xml:space="preserve">Controlled refusal and provider commit behavior.</x:t>
        </x:is>
      </x:c>
      <x:c r="E14" s="235" t="inlineStr">
        <x:is>
          <x:t xml:space="preserve">package</x:t>
        </x:is>
      </x:c>
      <x:c r="F14" s="235" t="inlineStr">
        <x:is>
          <x:t xml:space="preserve">component</x:t>
        </x:is>
      </x:c>
      <x:c r="G14" s="235" t="inlineStr">
        <x:is>
          <x:t xml:space="preserve">../test/components/editable/editable.test.tsx</x:t>
        </x:is>
      </x:c>
      <x:c r="H14" s="235" t="inlineStr">
        <x:is>
          <x:t xml:space="preserve">tested</x:t>
        </x:is>
      </x:c>
      <x:c r="I14" s="235" t="inlineStr">
        <x:is>
          <x:t xml:space="preserve">no</x:t>
        </x:is>
      </x:c>
      <x:c r="J14" s="235" t="inlineStr">
        <x:is>
          <x:t xml:space="preserve">2026-09-07</x:t>
        </x:is>
      </x:c>
      <x:c r="K14" s="235" t="n"/>
      <x:c r="L14" s="235" t="n">
        <x:v>1</x:v>
      </x:c>
      <x:c r="M14" s="235" t="n">
        <x:f>IF(OR(H14="not applicable",H14="verified",AND(I14="no",H14="tested")),1,0)</x:f>
        <x:v>1</x:v>
      </x:c>
    </x:row>
    <x:row r="15" s="135" customFormat="1" ht="60" customHeight="1">
      <x:c r="A15" s="143" t="inlineStr">
        <x:is>
          <x:t xml:space="preserve">editable-07</x:t>
        </x:is>
      </x:c>
      <x:c r="B15" s="143" t="inlineStr">
        <x:is>
          <x:t xml:space="preserve">Forms</x:t>
        </x:is>
      </x:c>
      <x:c r="C15" s="143" t="inlineStr">
        <x:is>
          <x:t xml:space="preserve">Input</x:t>
        </x:is>
      </x:c>
      <x:c r="D15" s="143" t="inlineStr">
        <x:is>
          <x:t xml:space="preserve">Native submission and reset preserve original value.</x:t>
        </x:is>
      </x:c>
      <x:c r="E15" s="143" t="inlineStr">
        <x:is>
          <x:t xml:space="preserve">package</x:t>
        </x:is>
      </x:c>
      <x:c r="F15" s="143" t="inlineStr">
        <x:is>
          <x:t xml:space="preserve">browser</x:t>
        </x:is>
      </x:c>
      <x:c r="G15" s="143" t="inlineStr">
        <x:is>
          <x:t xml:space="preserve">tests/components/editable/behavior.spec.ts</x:t>
        </x:is>
      </x:c>
      <x:c r="H15" s="143" t="inlineStr">
        <x:is>
          <x:t xml:space="preserve">tested</x:t>
        </x:is>
      </x:c>
      <x:c r="I15" s="143" t="inlineStr">
        <x:is>
          <x:t xml:space="preserve">no</x:t>
        </x:is>
      </x:c>
      <x:c r="J15" s="143" t="inlineStr">
        <x:is>
          <x:t xml:space="preserve">2026-09-07</x:t>
        </x:is>
      </x:c>
      <x:c r="K15" s="143" t="n"/>
      <x:c r="L15" s="143" t="n">
        <x:v>1</x:v>
      </x:c>
      <x:c r="M15" s="143" t="n">
        <x:f>IF(OR(H15="not applicable",H15="verified",AND(I15="no",H15="tested")),1,0)</x:f>
        <x:v>1</x:v>
      </x:c>
    </x:row>
    <x:row r="16" s="135" customFormat="1" ht="60" customHeight="1">
      <x:c r="A16" s="235" t="inlineStr">
        <x:is>
          <x:t xml:space="preserve">editable-08</x:t>
        </x:is>
      </x:c>
      <x:c r="B16" s="235" t="inlineStr">
        <x:is>
          <x:t xml:space="preserve">Multiline</x:t>
        </x:is>
      </x:c>
      <x:c r="C16" s="235" t="inlineStr">
        <x:is>
          <x:t xml:space="preserve">Textarea</x:t>
        </x:is>
      </x:c>
      <x:c r="D16" s="235" t="inlineStr">
        <x:is>
          <x:t xml:space="preserve">Enter newline and modifier commit.</x:t>
        </x:is>
      </x:c>
      <x:c r="E16" s="235" t="inlineStr">
        <x:is>
          <x:t xml:space="preserve">package</x:t>
        </x:is>
      </x:c>
      <x:c r="F16" s="235" t="inlineStr">
        <x:is>
          <x:t xml:space="preserve">browser</x:t>
        </x:is>
      </x:c>
      <x:c r="G16" s="235" t="inlineStr">
        <x:is>
          <x:t xml:space="preserve">tests/components/editable/behavior.spec.ts</x:t>
        </x:is>
      </x:c>
      <x:c r="H16" s="235" t="inlineStr">
        <x:is>
          <x:t xml:space="preserve">tested</x:t>
        </x:is>
      </x:c>
      <x:c r="I16" s="235" t="inlineStr">
        <x:is>
          <x:t xml:space="preserve">no</x:t>
        </x:is>
      </x:c>
      <x:c r="J16" s="235" t="inlineStr">
        <x:is>
          <x:t xml:space="preserve">2026-09-07</x:t>
        </x:is>
      </x:c>
      <x:c r="K16" s="235" t="n"/>
      <x:c r="L16" s="235" t="n">
        <x:v>1</x:v>
      </x:c>
      <x:c r="M16" s="235" t="n">
        <x:f>IF(OR(H16="not applicable",H16="verified",AND(I16="no",H16="tested")),1,0)</x:f>
        <x:v>1</x:v>
      </x:c>
    </x:row>
    <x:row r="17" s="135" customFormat="1" ht="60" customHeight="1">
      <x:c r="A17" s="143" t="inlineStr">
        <x:is>
          <x:t xml:space="preserve">editable-09</x:t>
        </x:is>
      </x:c>
      <x:c r="B17" s="143" t="inlineStr">
        <x:is>
          <x:t xml:space="preserve">Validation</x:t>
        </x:is>
      </x:c>
      <x:c r="C17" s="143" t="inlineStr">
        <x:is>
          <x:t xml:space="preserve">Field</x:t>
        </x:is>
      </x:c>
      <x:c r="D17" s="143" t="inlineStr">
        <x:is>
          <x:t xml:space="preserve">Disabled inherited state and rejected application close.</x:t>
        </x:is>
      </x:c>
      <x:c r="E17" s="143" t="inlineStr">
        <x:is>
          <x:t xml:space="preserve">package</x:t>
        </x:is>
      </x:c>
      <x:c r="F17" s="143" t="inlineStr">
        <x:is>
          <x:t xml:space="preserve">browser</x:t>
        </x:is>
      </x:c>
      <x:c r="G17" s="143" t="inlineStr">
        <x:is>
          <x:t xml:space="preserve">tests/components/editable/behavior.spec.ts</x:t>
        </x:is>
      </x:c>
      <x:c r="H17" s="143" t="inlineStr">
        <x:is>
          <x:t xml:space="preserve">tested</x:t>
        </x:is>
      </x:c>
      <x:c r="I17" s="143" t="inlineStr">
        <x:is>
          <x:t xml:space="preserve">no</x:t>
        </x:is>
      </x:c>
      <x:c r="J17" s="143" t="inlineStr">
        <x:is>
          <x:t xml:space="preserve">2026-09-07</x:t>
        </x:is>
      </x:c>
      <x:c r="K17" s="143" t="n"/>
      <x:c r="L17" s="143" t="n">
        <x:v>1</x:v>
      </x:c>
      <x:c r="M17" s="143" t="n">
        <x:f>IF(OR(H17="not applicable",H17="verified",AND(I17="no",H17="tested")),1,0)</x:f>
        <x:v>1</x:v>
      </x:c>
    </x:row>
    <x:row r="18" s="135" customFormat="1" ht="60" customHeight="1">
      <x:c r="A18" s="235" t="inlineStr">
        <x:is>
          <x:t xml:space="preserve">editable-10</x:t>
        </x:is>
      </x:c>
      <x:c r="B18" s="235" t="inlineStr">
        <x:is>
          <x:t xml:space="preserve">Focus</x:t>
        </x:is>
      </x:c>
      <x:c r="C18" s="235" t="inlineStr">
        <x:is>
          <x:t xml:space="preserve">Dialog</x:t>
        </x:is>
      </x:c>
      <x:c r="D18" s="235" t="inlineStr">
        <x:is>
          <x:t xml:space="preserve">Escape ends editing before ancestor dismissal across five browser projects.</x:t>
        </x:is>
      </x:c>
      <x:c r="E18" s="235" t="inlineStr">
        <x:is>
          <x:t xml:space="preserve">package</x:t>
        </x:is>
      </x:c>
      <x:c r="F18" s="235" t="inlineStr">
        <x:is>
          <x:t xml:space="preserve">browser</x:t>
        </x:is>
      </x:c>
      <x:c r="G18" s="235" t="inlineStr">
        <x:is>
          <x:t xml:space="preserve">tests/components/editable/behavior.spec.ts</x:t>
        </x:is>
      </x:c>
      <x:c r="H18" s="235" t="inlineStr">
        <x:is>
          <x:t xml:space="preserve">tested</x:t>
        </x:is>
      </x:c>
      <x:c r="I18" s="235" t="inlineStr">
        <x:is>
          <x:t xml:space="preserve">no</x:t>
        </x:is>
      </x:c>
      <x:c r="J18" s="235" t="inlineStr">
        <x:is>
          <x:t xml:space="preserve">2026-09-07</x:t>
        </x:is>
      </x:c>
      <x:c r="K18" s="235" t="n"/>
      <x:c r="L18" s="235" t="n">
        <x:v>1</x:v>
      </x:c>
      <x:c r="M18" s="235" t="n">
        <x:f>IF(OR(H18="not applicable",H18="verified",AND(I18="no",H18="tested")),1,0)</x:f>
        <x:v>1</x:v>
      </x:c>
    </x:row>
    <x:row r="19" s="135" customFormat="1" ht="60" customHeight="1">
      <x:c r="A19" s="143" t="inlineStr">
        <x:is>
          <x:t xml:space="preserve">editable-11</x:t>
        </x:is>
      </x:c>
      <x:c r="B19" s="143" t="inlineStr">
        <x:is>
          <x:t xml:space="preserve">Responsive</x:t>
        </x:is>
      </x:c>
      <x:c r="C19" s="143" t="inlineStr">
        <x:is>
          <x:t xml:space="preserve">Containment / axe</x:t>
        </x:is>
      </x:c>
      <x:c r="D19" s="143" t="inlineStr">
        <x:is>
          <x:t xml:space="preserve">Narrow containment, axe and forced colors pass in the component browser suite.</x:t>
        </x:is>
      </x:c>
      <x:c r="E19" s="143" t="inlineStr">
        <x:is>
          <x:t xml:space="preserve">package</x:t>
        </x:is>
      </x:c>
      <x:c r="F19" s="143" t="inlineStr">
        <x:is>
          <x:t xml:space="preserve">browser</x:t>
        </x:is>
      </x:c>
      <x:c r="G19" s="143" t="inlineStr">
        <x:is>
          <x:t xml:space="preserve">tests/components/editable/behavior.spec.ts</x:t>
        </x:is>
      </x:c>
      <x:c r="H19" s="143" t="inlineStr">
        <x:is>
          <x:t xml:space="preserve">tested</x:t>
        </x:is>
      </x:c>
      <x:c r="I19" s="143" t="inlineStr">
        <x:is>
          <x:t xml:space="preserve">no</x:t>
        </x:is>
      </x:c>
      <x:c r="J19" s="143" t="inlineStr">
        <x:is>
          <x:t xml:space="preserve">2026-09-07</x:t>
        </x:is>
      </x:c>
      <x:c r="K19" s="143" t="n"/>
      <x:c r="L19" s="143" t="n">
        <x:v>1</x:v>
      </x:c>
      <x:c r="M19" s="143" t="n">
        <x:f>IF(OR(H19="not applicable",H19="verified",AND(I19="no",H19="tested")),1,0)</x:f>
        <x:v>1</x:v>
      </x:c>
    </x:row>
    <x:row r="20" s="135" customFormat="1" ht="60" customHeight="1">
      <x:c r="A20" s="235" t="inlineStr">
        <x:is>
          <x:t xml:space="preserve">editable-12</x:t>
        </x:is>
      </x:c>
      <x:c r="B20" s="235" t="inlineStr">
        <x:is>
          <x:t xml:space="preserve">Visual</x:t>
        </x:is>
      </x:c>
      <x:c r="C20" s="235" t="inlineStr">
        <x:is>
          <x:t xml:space="preserve">Recipes</x:t>
        </x:is>
      </x:c>
      <x:c r="D20" s="235" t="inlineStr">
        <x:is>
          <x:t xml:space="preserve">All ten scenario groups captured; preview, editing, dialog and appearance renders inspected.</x:t>
        </x:is>
      </x:c>
      <x:c r="E20" s="235" t="inlineStr">
        <x:is>
          <x:t xml:space="preserve">package</x:t>
        </x:is>
      </x:c>
      <x:c r="F20" s="235" t="inlineStr">
        <x:is>
          <x:t xml:space="preserve">visual</x:t>
        </x:is>
      </x:c>
      <x:c r="G20" s="235" t="inlineStr">
        <x:is>
          <x:t xml:space="preserve">tests/components/editable/visual.spec.ts</x:t>
        </x:is>
      </x:c>
      <x:c r="H20" s="235" t="inlineStr">
        <x:is>
          <x:t xml:space="preserve">tested</x:t>
        </x:is>
      </x:c>
      <x:c r="I20" s="235" t="inlineStr">
        <x:is>
          <x:t xml:space="preserve">no</x:t>
        </x:is>
      </x:c>
      <x:c r="J20" s="235" t="inlineStr">
        <x:is>
          <x:t xml:space="preserve">2026-09-07</x:t>
        </x:is>
      </x:c>
      <x:c r="K20" s="235" t="n"/>
      <x:c r="L20" s="235" t="n">
        <x:v>1</x:v>
      </x:c>
      <x:c r="M20" s="235" t="n">
        <x:f>IF(OR(H20="not applicable",H20="verified",AND(I20="no",H20="tested")),1,0)</x:f>
        <x:v>1</x:v>
      </x:c>
    </x:row>
    <x:row r="21" s="135" customFormat="1" ht="60" customHeight="1">
      <x:c r="A21" s="143" t="inlineStr">
        <x:is>
          <x:t xml:space="preserve">editable-13</x:t>
        </x:is>
      </x:c>
      <x:c r="B21" s="143" t="inlineStr">
        <x:is>
          <x:t xml:space="preserve">Docs</x:t>
        </x:is>
      </x:c>
      <x:c r="C21" s="143" t="inlineStr">
        <x:is>
          <x:t xml:space="preserve">Guide / AK</x:t>
        </x:is>
      </x:c>
      <x:c r="D21" s="143" t="inlineStr">
        <x:is>
          <x:t xml:space="preserve">Public guide and closed owner guidance.</x:t>
        </x:is>
      </x:c>
      <x:c r="E21" s="143" t="inlineStr">
        <x:is>
          <x:t xml:space="preserve">package</x:t>
        </x:is>
      </x:c>
      <x:c r="F21" s="143" t="inlineStr">
        <x:is>
          <x:t xml:space="preserve">docs</x:t>
        </x:is>
      </x:c>
      <x:c r="G21" s="143" t="inlineStr">
        <x:is>
          <x:t xml:space="preserve">../docs/components/editable/README.md</x:t>
        </x:is>
      </x:c>
      <x:c r="H21" s="143" t="inlineStr">
        <x:is>
          <x:t xml:space="preserve">tested</x:t>
        </x:is>
      </x:c>
      <x:c r="I21" s="143" t="inlineStr">
        <x:is>
          <x:t xml:space="preserve">no</x:t>
        </x:is>
      </x:c>
      <x:c r="J21" s="143" t="inlineStr">
        <x:is>
          <x:t xml:space="preserve">2026-09-07</x:t>
        </x:is>
      </x:c>
      <x:c r="K21" s="143" t="n"/>
      <x:c r="L21" s="143" t="n">
        <x:v>1</x:v>
      </x:c>
      <x:c r="M21" s="143" t="n">
        <x:f>IF(OR(H21="not applicable",H21="verified",AND(I21="no",H21="tested")),1,0)</x:f>
        <x:v>1</x:v>
      </x:c>
    </x:row>
    <x:row r="22" s="135" customFormat="1" ht="60" customHeight="1">
      <x:c r="A22" s="235" t="inlineStr">
        <x:is>
          <x:t xml:space="preserve">editable-14</x:t>
        </x:is>
      </x:c>
      <x:c r="B22" s="235" t="inlineStr">
        <x:is>
          <x:t xml:space="preserve">Playground</x:t>
        </x:is>
      </x:c>
      <x:c r="C22" s="235" t="inlineStr">
        <x:is>
          <x:t xml:space="preserve">Scenarios</x:t>
        </x:is>
      </x:c>
      <x:c r="D22" s="235" t="inlineStr">
        <x:is>
          <x:t xml:space="preserve">Ten independent capability scenarios.</x:t>
        </x:is>
      </x:c>
      <x:c r="E22" s="235" t="inlineStr">
        <x:is>
          <x:t xml:space="preserve">package</x:t>
        </x:is>
      </x:c>
      <x:c r="F22" s="235" t="inlineStr">
        <x:is>
          <x:t xml:space="preserve">page</x:t>
        </x:is>
      </x:c>
      <x:c r="G22" s="235" t="inlineStr">
        <x:is>
          <x:t xml:space="preserve">src/components/editable/EditablePage.tsx</x:t>
        </x:is>
      </x:c>
      <x:c r="H22" s="235" t="inlineStr">
        <x:is>
          <x:t xml:space="preserve">implemented</x:t>
        </x:is>
      </x:c>
      <x:c r="I22" s="235" t="inlineStr">
        <x:is>
          <x:t xml:space="preserve">no</x:t>
        </x:is>
      </x:c>
      <x:c r="J22" s="235" t="n"/>
      <x:c r="K22" s="235" t="inlineStr">
        <x:is>
          <x:t xml:space="preserve">Qualification pending.</x:t>
        </x:is>
      </x:c>
      <x:c r="L22" s="235" t="n">
        <x:v>1</x:v>
      </x:c>
      <x:c r="M22" s="235" t="n">
        <x:f>IF(OR(H22="not applicable",H22="verified",AND(I22="no",H22="tested")),1,0)</x:f>
        <x:v>0</x:v>
      </x:c>
    </x:row>
    <x:row r="23" s="135" customFormat="1" ht="60" customHeight="1">
      <x:c r="A23" s="143" t="inlineStr">
        <x:is>
          <x:t xml:space="preserve">editable-15</x:t>
        </x:is>
      </x:c>
      <x:c r="B23" s="143" t="inlineStr">
        <x:is>
          <x:t xml:space="preserve">Consumer</x:t>
        </x:is>
      </x:c>
      <x:c r="C23" s="143" t="inlineStr">
        <x:is>
          <x:t xml:space="preserve">Rename</x:t>
        </x:is>
      </x:c>
      <x:c r="D23" s="143" t="inlineStr">
        <x:is>
          <x:t xml:space="preserve">Desktop/mobile rename checks and clean packed React 18/19 smoke pass.</x:t>
        </x:is>
      </x:c>
      <x:c r="E23" s="143" t="inlineStr">
        <x:is>
          <x:t xml:space="preserve">consumer</x:t>
        </x:is>
      </x:c>
      <x:c r="F23" s="143" t="inlineStr">
        <x:is>
          <x:t xml:space="preserve">consumer</x:t>
        </x:is>
      </x:c>
      <x:c r="G23" s="143" t="inlineStr">
        <x:is>
          <x:t xml:space="preserve">../apps/consumer/tests/editable.spec.ts</x:t>
        </x:is>
      </x:c>
      <x:c r="H23" s="143" t="inlineStr">
        <x:is>
          <x:t xml:space="preserve">tested</x:t>
        </x:is>
      </x:c>
      <x:c r="I23" s="143" t="inlineStr">
        <x:is>
          <x:t xml:space="preserve">no</x:t>
        </x:is>
      </x:c>
      <x:c r="J23" s="143" t="inlineStr">
        <x:is>
          <x:t xml:space="preserve">2026-09-07</x:t>
        </x:is>
      </x:c>
      <x:c r="K23" s="143" t="n"/>
      <x:c r="L23" s="143" t="n">
        <x:v>1</x:v>
      </x:c>
      <x:c r="M23" s="143" t="n">
        <x:f>IF(OR(H23="not applicable",H23="verified",AND(I23="no",H23="tested")),1,0)</x:f>
        <x:v>1</x:v>
      </x:c>
    </x:row>
    <x:row r="24" s="135" customFormat="1" ht="60" customHeight="1">
      <x:c r="A24" s="235" t="inlineStr">
        <x:is>
          <x:t xml:space="preserve">editable-16</x:t>
        </x:is>
      </x:c>
      <x:c r="B24" s="235" t="inlineStr">
        <x:is>
          <x:t xml:space="preserve">Package</x:t>
        </x:is>
      </x:c>
      <x:c r="C24" s="235" t="inlineStr">
        <x:is>
          <x:t xml:space="preserve">Artifact</x:t>
        </x:is>
      </x:c>
      <x:c r="D24" s="235" t="inlineStr">
        <x:is>
          <x:t xml:space="preserve">Full package qualification pending.</x:t>
        </x:is>
      </x:c>
      <x:c r="E24" s="235" t="inlineStr">
        <x:is>
          <x:t xml:space="preserve">package</x:t>
        </x:is>
      </x:c>
      <x:c r="F24" s="235" t="inlineStr">
        <x:is>
          <x:t xml:space="preserve">package</x:t>
        </x:is>
      </x:c>
      <x:c r="G24" s="235" t="inlineStr">
        <x:is>
          <x:t xml:space="preserve">../scripts/verify-package.mjs</x:t>
        </x:is>
      </x:c>
      <x:c r="H24" s="235" t="inlineStr">
        <x:is>
          <x:t xml:space="preserve">tested</x:t>
        </x:is>
      </x:c>
      <x:c r="I24" s="235" t="inlineStr">
        <x:is>
          <x:t xml:space="preserve">no</x:t>
        </x:is>
      </x:c>
      <x:c r="J24" s="235" t="inlineStr">
        <x:is>
          <x:t xml:space="preserve">2026-09-08</x:t>
        </x:is>
      </x:c>
      <x:c r="K24" s="235" t="n"/>
      <x:c r="L24" s="235" t="n">
        <x:v>1</x:v>
      </x:c>
      <x:c r="M24" s="235" t="n">
        <x:f>IF(OR(H24="not applicable",H24="verified",AND(I24="no",H24="tested")),1,0)</x:f>
        <x:v>1</x:v>
      </x:c>
    </x:row>
    <x:row r="25" s="135" customFormat="1" ht="60" customHeight="1">
      <x:c r="A25" s="143" t="inlineStr">
        <x:is>
          <x:t xml:space="preserve">editable-17</x:t>
        </x:is>
      </x:c>
      <x:c r="B25" s="143" t="inlineStr">
        <x:is>
          <x:t xml:space="preserve">Manual</x:t>
        </x:is>
      </x:c>
      <x:c r="C25" s="143" t="inlineStr">
        <x:is>
          <x:t xml:space="preserve">AT / IME / zoom</x:t>
        </x:is>
      </x:c>
      <x:c r="D25" s="143" t="inlineStr">
        <x:is>
          <x:t xml:space="preserve">Physical devices, AT and actual zoom unperformed.</x:t>
        </x:is>
      </x:c>
      <x:c r="E25" s="143" t="inlineStr">
        <x:is>
          <x:t xml:space="preserve">package</x:t>
        </x:is>
      </x:c>
      <x:c r="F25" s="143" t="inlineStr">
        <x:is>
          <x:t xml:space="preserve">manual</x:t>
        </x:is>
      </x:c>
      <x:c r="G25" s="143" t="inlineStr">
        <x:is>
          <x:t xml:space="preserve">manual-tests/editable.md</x:t>
        </x:is>
      </x:c>
      <x:c r="H25" s="143" t="inlineStr">
        <x:is>
          <x:t xml:space="preserve">not started</x:t>
        </x:is>
      </x:c>
      <x:c r="I25" s="143" t="inlineStr">
        <x:is>
          <x:t xml:space="preserve">yes</x:t>
        </x:is>
      </x:c>
      <x:c r="J25" s="143" t="n"/>
      <x:c r="K25" s="143" t="inlineStr">
        <x:is>
          <x:t xml:space="preserve">Qualification pending.</x:t>
        </x:is>
      </x:c>
      <x:c r="L25" s="143" t="n">
        <x:v>1</x:v>
      </x:c>
      <x:c r="M25" s="143" t="n">
        <x:f>IF(OR(H25="not applicable",H25="verified",AND(I25="no",H25="tested")),1,0)</x:f>
        <x:v>0</x:v>
      </x:c>
    </x:row>
  </x:sheetData>
  <x:mergeCells>
    <x:mergeCell ref="A2:M2"/>
    <x:mergeCell ref="A1:M1"/>
  </x:mergeCells>
  <x:dataValidations count="2">
    <x:dataValidation type="list" errorStyle="stop" operator="between" allowBlank="0" showDropDown="0" showInputMessage="0" showErrorMessage="0" sqref="H9:H25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25">
      <x:formula1>"yes,no"</x:formula1>
      <x:formula2>0</x:formula2>
    </x:dataValidation>
  </x:dataValidations>
  <x:pageMargins left="0.7" right="0.7" top="0.75" bottom="0.75" header="0.3" footer="0.3"/>
</x:worksheet>
</file>

<file path=xl/worksheets/sheet128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baseColWidth="8" defaultColWidth="8.6796875" defaultRowHeight="15"/>
  <x:cols>
    <x:col min="1" max="1" width="15" style="138" customWidth="1"/>
    <x:col min="2" max="2" width="17" style="138" customWidth="1"/>
    <x:col min="3" max="3" width="20" style="138" customWidth="1"/>
    <x:col min="4" max="4" width="55" style="138" customWidth="1"/>
    <x:col min="5" max="6" width="15" style="138" customWidth="1"/>
    <x:col min="7" max="7" width="50" style="138" customWidth="1"/>
    <x:col min="8" max="9" width="17" style="138" customWidth="1"/>
    <x:col min="10" max="10" width="16" style="138" customWidth="1"/>
    <x:col min="11" max="11" width="40" style="138" customWidth="1"/>
    <x:col min="12" max="13" width="10" style="138" customWidth="1"/>
  </x:cols>
  <x:sheetData>
    <x:row r="1" s="135" customFormat="1" ht="27.75" customHeight="1">
      <x:c r="A1" s="233" t="inlineStr">
        <x:is>
          <x:t xml:space="preserve">Tags Input Evidence</x:t>
        </x:is>
      </x:c>
    </x:row>
    <x:row r="2" s="135" customFormat="1" ht="42" customHeight="1">
      <x:c r="A2" s="138" t="inlineStr">
        <x:is>
          <x:t xml:space="preserve">Local implementation reviewed. Four-owner browser matrix: 105 passes. Exact packed React 18/19 checks pass. Manual platform checks and wider-library regression qualification remain open.</x:t>
        </x:is>
      </x:c>
    </x:row>
    <x:row r="3" s="135" customFormat="1" ht="15" customHeight="1">
      <x:c r="A3" s="138" t="n"/>
      <x:c r="B3" s="138" t="n"/>
      <x:c r="C3" s="138" t="n"/>
      <x:c r="D3" s="138" t="n"/>
      <x:c r="E3" s="138" t="n"/>
      <x:c r="F3" s="138" t="n"/>
      <x:c r="G3" s="138" t="n"/>
      <x:c r="H3" s="138" t="n"/>
      <x:c r="I3" s="138" t="n"/>
      <x:c r="J3" s="138" t="n"/>
      <x:c r="K3" s="138" t="n"/>
      <x:c r="L3" s="138" t="n"/>
      <x:c r="M3" s="138" t="n"/>
    </x:row>
    <x:row r="4" s="135" customFormat="1" ht="15" customHeight="1">
      <x:c r="A4" s="138" t="inlineStr">
        <x:is>
          <x:t xml:space="preserve">Requirements</x:t>
        </x:is>
      </x:c>
      <x:c r="B4" s="138" t="n">
        <x:f>COUNTA(A9:A25)</x:f>
        <x:v>17</x:v>
      </x:c>
      <x:c r="C4" s="138" t="n"/>
      <x:c r="D4" s="138" t="inlineStr">
        <x:is>
          <x:t xml:space="preserve">Resolved</x:t>
        </x:is>
      </x:c>
      <x:c r="E4" s="138" t="n">
        <x:f>SUM(M9:M25)</x:f>
        <x:v>15</x:v>
      </x:c>
      <x:c r="F4" s="138" t="n"/>
      <x:c r="G4" s="138" t="inlineStr">
        <x:is>
          <x:t xml:space="preserve">Completion</x:t>
        </x:is>
      </x:c>
      <x:c r="H4" s="139" t="n">
        <x:f>IF(B4=0,0,E4/B4)</x:f>
        <x:v>0.8823529411764706</x:v>
      </x:c>
      <x:c r="I4" s="138" t="n"/>
      <x:c r="J4" s="138" t="inlineStr">
        <x:is>
          <x:t xml:space="preserve">Package gate</x:t>
        </x:is>
      </x:c>
      <x:c r="K4" s="138" t="str">
        <x:f>IF(COUNTIFS(E9:E25,"package",M9:M25,0)&gt;0,"open","complete")</x:f>
        <x:v>open</x:v>
      </x:c>
      <x:c r="L4" s="138" t="n"/>
      <x:c r="M4" s="138" t="n"/>
    </x:row>
    <x:row r="5" s="135" customFormat="1" ht="15" customHeight="1">
      <x:c r="A5" s="138" t="inlineStr">
        <x:is>
          <x:t xml:space="preserve">Manual review</x:t>
        </x:is>
      </x:c>
      <x:c r="B5" s="138" t="str">
        <x:f>IF(COUNTIFS(I9:I25,"yes",M9:M25,0)&gt;0,"open","complete")</x:f>
        <x:v>open</x:v>
      </x:c>
      <x:c r="C5" s="138" t="n"/>
      <x:c r="D5" s="138" t="inlineStr">
        <x:is>
          <x:t xml:space="preserve">Consumer gate</x:t>
        </x:is>
      </x:c>
      <x:c r="E5" s="138" t="str">
        <x:f>IF(COUNTIFS(E9:E25,"consumer",M9:M25,0)&gt;0,"open","complete")</x:f>
        <x:v>complete</x:v>
      </x:c>
      <x:c r="F5" s="138" t="n"/>
      <x:c r="G5" s="138" t="n"/>
      <x:c r="H5" s="138" t="n"/>
      <x:c r="I5" s="138" t="n"/>
      <x:c r="J5" s="138" t="n"/>
      <x:c r="K5" s="138" t="n"/>
      <x:c r="L5" s="138" t="n"/>
      <x:c r="M5" s="138" t="n"/>
    </x:row>
    <x:row r="6" s="135" customFormat="1" ht="15" customHeight="1">
      <x:c r="A6" s="138" t="n"/>
      <x:c r="B6" s="138" t="n"/>
      <x:c r="C6" s="138" t="n"/>
      <x:c r="D6" s="138" t="n"/>
      <x:c r="E6" s="138" t="n"/>
      <x:c r="F6" s="138" t="n"/>
      <x:c r="G6" s="138" t="n"/>
      <x:c r="H6" s="138" t="n"/>
      <x:c r="I6" s="138" t="n"/>
      <x:c r="J6" s="138" t="n"/>
      <x:c r="K6" s="138" t="n"/>
      <x:c r="L6" s="138" t="n"/>
      <x:c r="M6" s="138" t="n"/>
    </x:row>
    <x:row r="7" s="135" customFormat="1" ht="15" customHeight="1">
      <x:c r="A7" s="138" t="n"/>
      <x:c r="B7" s="138" t="n"/>
      <x:c r="C7" s="138" t="n"/>
      <x:c r="D7" s="138" t="n"/>
      <x:c r="E7" s="138" t="n"/>
      <x:c r="F7" s="138" t="n"/>
      <x:c r="G7" s="138" t="n"/>
      <x:c r="H7" s="138" t="n"/>
      <x:c r="I7" s="138" t="n"/>
      <x:c r="J7" s="138" t="n"/>
      <x:c r="K7" s="138" t="n"/>
      <x:c r="L7" s="138" t="n"/>
      <x:c r="M7" s="138" t="n"/>
    </x:row>
    <x:row r="8" s="135" customFormat="1" ht="27.75" customHeight="1">
      <x:c r="A8" s="234" t="inlineStr">
        <x:is>
          <x:t xml:space="preserve">ID</x:t>
        </x:is>
      </x:c>
      <x:c r="B8" s="234" t="inlineStr">
        <x:is>
          <x:t xml:space="preserve">Area</x:t>
        </x:is>
      </x:c>
      <x:c r="C8" s="234" t="inlineStr">
        <x:is>
          <x:t xml:space="preserve">Part</x:t>
        </x:is>
      </x:c>
      <x:c r="D8" s="234" t="inlineStr">
        <x:is>
          <x:t xml:space="preserve">Requirement</x:t>
        </x:is>
      </x:c>
      <x:c r="E8" s="234" t="inlineStr">
        <x:is>
          <x:t xml:space="preserve">Gate</x:t>
        </x:is>
      </x:c>
      <x:c r="F8" s="234" t="inlineStr">
        <x:is>
          <x:t xml:space="preserve">Evidence type</x:t>
        </x:is>
      </x:c>
      <x:c r="G8" s="234" t="inlineStr">
        <x:is>
          <x:t xml:space="preserve">Evidence / link</x:t>
        </x:is>
      </x:c>
      <x:c r="H8" s="234" t="inlineStr">
        <x:is>
          <x:t xml:space="preserve">Status</x:t>
        </x:is>
      </x:c>
      <x:c r="I8" s="234" t="inlineStr">
        <x:is>
          <x:t xml:space="preserve">Human review?</x:t>
        </x:is>
      </x:c>
      <x:c r="J8" s="234" t="inlineStr">
        <x:is>
          <x:t xml:space="preserve">Last verified</x:t>
        </x:is>
      </x:c>
      <x:c r="K8" s="234" t="inlineStr">
        <x:is>
          <x:t xml:space="preserve">Blocker / N/A reason</x:t>
        </x:is>
      </x:c>
      <x:c r="L8" s="234" t="inlineStr">
        <x:is>
          <x:t xml:space="preserve">Weight</x:t>
        </x:is>
      </x:c>
      <x:c r="M8" s="234" t="inlineStr">
        <x:is>
          <x:t xml:space="preserve">Resolved</x:t>
        </x:is>
      </x:c>
    </x:row>
    <x:row r="9" s="135" customFormat="1" ht="60" customHeight="1">
      <x:c r="A9" s="143" t="inlineStr">
        <x:is>
          <x:t xml:space="preserve">tags-input-01</x:t>
        </x:is>
      </x:c>
      <x:c r="B9" s="143" t="inlineStr">
        <x:is>
          <x:t xml:space="preserve">Semantics</x:t>
        </x:is>
      </x:c>
      <x:c r="C9" s="143" t="inlineStr">
        <x:is>
          <x:t xml:space="preserve">Input / HiddenInput</x:t>
        </x:is>
      </x:c>
      <x:c r="D9" s="143" t="inlineStr">
        <x:is>
          <x:t xml:space="preserve">One named JSON array; draft is unnamed.</x:t>
        </x:is>
      </x:c>
      <x:c r="E9" s="143" t="inlineStr">
        <x:is>
          <x:t xml:space="preserve">package</x:t>
        </x:is>
      </x:c>
      <x:c r="F9" s="143" t="inlineStr">
        <x:is>
          <x:t xml:space="preserve">component</x:t>
        </x:is>
      </x:c>
      <x:c r="G9" s="143" t="inlineStr">
        <x:is>
          <x:t xml:space="preserve">../test/components/tags-input/tags-input.test.tsx</x:t>
        </x:is>
      </x:c>
      <x:c r="H9" s="143" t="inlineStr">
        <x:is>
          <x:t xml:space="preserve">tested</x:t>
        </x:is>
      </x:c>
      <x:c r="I9" s="143" t="inlineStr">
        <x:is>
          <x:t xml:space="preserve">no</x:t>
        </x:is>
      </x:c>
      <x:c r="J9" s="143" t="inlineStr">
        <x:is>
          <x:t xml:space="preserve">2026-09-07</x:t>
        </x:is>
      </x:c>
      <x:c r="K9" s="143" t="n"/>
      <x:c r="L9" s="143" t="n">
        <x:v>1</x:v>
      </x:c>
      <x:c r="M9" s="143" t="n">
        <x:f>IF(OR(H9="not applicable",H9="verified",AND(I9="no",H9="tested")),1,0)</x:f>
        <x:v>1</x:v>
      </x:c>
    </x:row>
    <x:row r="10" s="135" customFormat="1" ht="60" customHeight="1">
      <x:c r="A10" s="235" t="inlineStr">
        <x:is>
          <x:t xml:space="preserve">tags-input-02</x:t>
        </x:is>
      </x:c>
      <x:c r="B10" s="235" t="inlineStr">
        <x:is>
          <x:t xml:space="preserve">Anatomy</x:t>
        </x:is>
      </x:c>
      <x:c r="C10" s="235" t="inlineStr">
        <x:is>
          <x:t xml:space="preserve">Parts / refs</x:t>
        </x:is>
      </x:c>
      <x:c r="D10" s="235" t="inlineStr">
        <x:is>
          <x:t xml:space="preserve">Native refs, composed hosts, item context and indexed IDs.</x:t>
        </x:is>
      </x:c>
      <x:c r="E10" s="235" t="inlineStr">
        <x:is>
          <x:t xml:space="preserve">package</x:t>
        </x:is>
      </x:c>
      <x:c r="F10" s="235" t="inlineStr">
        <x:is>
          <x:t xml:space="preserve">component</x:t>
        </x:is>
      </x:c>
      <x:c r="G10" s="235" t="inlineStr">
        <x:is>
          <x:t xml:space="preserve">../test/components/tags-input/tags-input.test.tsx</x:t>
        </x:is>
      </x:c>
      <x:c r="H10" s="235" t="inlineStr">
        <x:is>
          <x:t xml:space="preserve">tested</x:t>
        </x:is>
      </x:c>
      <x:c r="I10" s="235" t="inlineStr">
        <x:is>
          <x:t xml:space="preserve">no</x:t>
        </x:is>
      </x:c>
      <x:c r="J10" s="235" t="inlineStr">
        <x:is>
          <x:t xml:space="preserve">2026-09-07</x:t>
        </x:is>
      </x:c>
      <x:c r="K10" s="235" t="n"/>
      <x:c r="L10" s="235" t="n">
        <x:v>1</x:v>
      </x:c>
      <x:c r="M10" s="235" t="n">
        <x:f>IF(OR(H10="not applicable",H10="verified",AND(I10="no",H10="tested")),1,0)</x:f>
        <x:v>1</x:v>
      </x:c>
    </x:row>
    <x:row r="11" s="135" customFormat="1" ht="60" customHeight="1">
      <x:c r="A11" s="143" t="inlineStr">
        <x:is>
          <x:t xml:space="preserve">tags-input-03</x:t>
        </x:is>
      </x:c>
      <x:c r="B11" s="143" t="inlineStr">
        <x:is>
          <x:t xml:space="preserve">Types</x:t>
        </x:is>
      </x:c>
      <x:c r="C11" s="143" t="inlineStr">
        <x:is>
          <x:t xml:space="preserve">API</x:t>
        </x:is>
      </x:c>
      <x:c r="D11" s="143" t="inlineStr">
        <x:is>
          <x:t xml:space="preserve">Seven responsive variants and sizes; underline/radius exclusions.</x:t>
        </x:is>
      </x:c>
      <x:c r="E11" s="143" t="inlineStr">
        <x:is>
          <x:t xml:space="preserve">package</x:t>
        </x:is>
      </x:c>
      <x:c r="F11" s="143" t="inlineStr">
        <x:is>
          <x:t xml:space="preserve">types</x:t>
        </x:is>
      </x:c>
      <x:c r="G11" s="143" t="inlineStr">
        <x:is>
          <x:t xml:space="preserve">../test/types/components/tags-input.test.ts</x:t>
        </x:is>
      </x:c>
      <x:c r="H11" s="143" t="inlineStr">
        <x:is>
          <x:t xml:space="preserve">tested</x:t>
        </x:is>
      </x:c>
      <x:c r="I11" s="143" t="inlineStr">
        <x:is>
          <x:t xml:space="preserve">no</x:t>
        </x:is>
      </x:c>
      <x:c r="J11" s="143" t="inlineStr">
        <x:is>
          <x:t xml:space="preserve">2026-09-07</x:t>
        </x:is>
      </x:c>
      <x:c r="K11" s="143" t="n"/>
      <x:c r="L11" s="143" t="n">
        <x:v>1</x:v>
      </x:c>
      <x:c r="M11" s="143" t="n">
        <x:f>IF(OR(H11="not applicable",H11="verified",AND(I11="no",H11="tested")),1,0)</x:f>
        <x:v>1</x:v>
      </x:c>
    </x:row>
    <x:row r="12" s="135" customFormat="1" ht="60" customHeight="1">
      <x:c r="A12" s="235" t="inlineStr">
        <x:is>
          <x:t xml:space="preserve">tags-input-04</x:t>
        </x:is>
      </x:c>
      <x:c r="B12" s="235" t="inlineStr">
        <x:is>
          <x:t xml:space="preserve">Geometry</x:t>
        </x:is>
      </x:c>
      <x:c r="C12" s="235" t="inlineStr">
        <x:is>
          <x:t xml:space="preserve">Control / Input</x:t>
        </x:is>
      </x:c>
      <x:c r="D12" s="235" t="inlineStr">
        <x:is>
          <x:t xml:space="preserve">Seven heights match Input; 24px remove targets pass edge hit-tests.</x:t>
        </x:is>
      </x:c>
      <x:c r="E12" s="235" t="inlineStr">
        <x:is>
          <x:t xml:space="preserve">package</x:t>
        </x:is>
      </x:c>
      <x:c r="F12" s="235" t="inlineStr">
        <x:is>
          <x:t xml:space="preserve">browser</x:t>
        </x:is>
      </x:c>
      <x:c r="G12" s="235" t="inlineStr">
        <x:is>
          <x:t xml:space="preserve">tests/components/tags-input/behavior.spec.ts</x:t>
        </x:is>
      </x:c>
      <x:c r="H12" s="235" t="inlineStr">
        <x:is>
          <x:t xml:space="preserve">tested</x:t>
        </x:is>
      </x:c>
      <x:c r="I12" s="235" t="inlineStr">
        <x:is>
          <x:t xml:space="preserve">no</x:t>
        </x:is>
      </x:c>
      <x:c r="J12" s="235" t="inlineStr">
        <x:is>
          <x:t xml:space="preserve">2026-09-07</x:t>
        </x:is>
      </x:c>
      <x:c r="K12" s="235" t="inlineStr">
        <x:is>
          <x:t xml:space="preserve">Surface pass: outline/rest/hover and surface fill checked in light/dark. Full owner review remains separate; see form-surface-recipes assertions in the owner browser suite.</x:t>
        </x:is>
      </x:c>
      <x:c r="L12" s="235" t="n">
        <x:v>1</x:v>
      </x:c>
      <x:c r="M12" s="235" t="n">
        <x:f>IF(OR(H12="not applicable",H12="verified",AND(I12="no",H12="tested")),1,0)</x:f>
        <x:v>1</x:v>
      </x:c>
    </x:row>
    <x:row r="13" s="135" customFormat="1" ht="60" customHeight="1">
      <x:c r="A13" s="143" t="inlineStr">
        <x:is>
          <x:t xml:space="preserve">tags-input-05</x:t>
        </x:is>
      </x:c>
      <x:c r="B13" s="143" t="inlineStr">
        <x:is>
          <x:t xml:space="preserve">Transactions</x:t>
        </x:is>
      </x:c>
      <x:c r="C13" s="143" t="inlineStr">
        <x:is>
          <x:t xml:space="preserve">Acceptance</x:t>
        </x:is>
      </x:c>
      <x:c r="D13" s="143" t="inlineStr">
        <x:is>
          <x:t xml:space="preserve">Atomic paste, normalization, limits and preserved rejected drafts.</x:t>
        </x:is>
      </x:c>
      <x:c r="E13" s="143" t="inlineStr">
        <x:is>
          <x:t xml:space="preserve">package</x:t>
        </x:is>
      </x:c>
      <x:c r="F13" s="143" t="inlineStr">
        <x:is>
          <x:t xml:space="preserve">atom</x:t>
        </x:is>
      </x:c>
      <x:c r="G13" s="143" t="inlineStr">
        <x:is>
          <x:t xml:space="preserve">../docs/components/tags-input/README.md</x:t>
        </x:is>
      </x:c>
      <x:c r="H13" s="143" t="inlineStr">
        <x:is>
          <x:t xml:space="preserve">tested</x:t>
        </x:is>
      </x:c>
      <x:c r="I13" s="143" t="inlineStr">
        <x:is>
          <x:t xml:space="preserve">no</x:t>
        </x:is>
      </x:c>
      <x:c r="J13" s="143" t="inlineStr">
        <x:is>
          <x:t xml:space="preserve">2026-09-07</x:t>
        </x:is>
      </x:c>
      <x:c r="K13" s="143" t="n"/>
      <x:c r="L13" s="143" t="n">
        <x:v>1</x:v>
      </x:c>
      <x:c r="M13" s="143" t="n">
        <x:f>IF(OR(H13="not applicable",H13="verified",AND(I13="no",H13="tested")),1,0)</x:f>
        <x:v>1</x:v>
      </x:c>
    </x:row>
    <x:row r="14" s="135" customFormat="1" ht="60" customHeight="1">
      <x:c r="A14" s="235" t="inlineStr">
        <x:is>
          <x:t xml:space="preserve">tags-input-06</x:t>
        </x:is>
      </x:c>
      <x:c r="B14" s="235" t="inlineStr">
        <x:is>
          <x:t xml:space="preserve">State</x:t>
        </x:is>
      </x:c>
      <x:c r="C14" s="235" t="inlineStr">
        <x:is>
          <x:t xml:space="preserve">Controlled / provider</x:t>
        </x:is>
      </x:c>
      <x:c r="D14" s="235" t="inlineStr">
        <x:is>
          <x:t xml:space="preserve">Independent drafts and sequential controller additions.</x:t>
        </x:is>
      </x:c>
      <x:c r="E14" s="235" t="inlineStr">
        <x:is>
          <x:t xml:space="preserve">package</x:t>
        </x:is>
      </x:c>
      <x:c r="F14" s="235" t="inlineStr">
        <x:is>
          <x:t xml:space="preserve">browser</x:t>
        </x:is>
      </x:c>
      <x:c r="G14" s="235" t="inlineStr">
        <x:is>
          <x:t xml:space="preserve">tests/components/tags-input/behavior.spec.ts</x:t>
        </x:is>
      </x:c>
      <x:c r="H14" s="235" t="inlineStr">
        <x:is>
          <x:t xml:space="preserve">tested</x:t>
        </x:is>
      </x:c>
      <x:c r="I14" s="235" t="inlineStr">
        <x:is>
          <x:t xml:space="preserve">no</x:t>
        </x:is>
      </x:c>
      <x:c r="J14" s="235" t="inlineStr">
        <x:is>
          <x:t xml:space="preserve">2026-09-07</x:t>
        </x:is>
      </x:c>
      <x:c r="K14" s="235" t="n"/>
      <x:c r="L14" s="235" t="n">
        <x:v>1</x:v>
      </x:c>
      <x:c r="M14" s="235" t="n">
        <x:f>IF(OR(H14="not applicable",H14="verified",AND(I14="no",H14="tested")),1,0)</x:f>
        <x:v>1</x:v>
      </x:c>
    </x:row>
    <x:row r="15" s="135" customFormat="1" ht="60" customHeight="1">
      <x:c r="A15" s="143" t="inlineStr">
        <x:is>
          <x:t xml:space="preserve">tags-input-07</x:t>
        </x:is>
      </x:c>
      <x:c r="B15" s="143" t="inlineStr">
        <x:is>
          <x:t xml:space="preserve">Forms</x:t>
        </x:is>
      </x:c>
      <x:c r="C15" s="143" t="inlineStr">
        <x:is>
          <x:t xml:space="preserve">JSON proxy</x:t>
        </x:is>
      </x:c>
      <x:c r="D15" s="143" t="inlineStr">
        <x:is>
          <x:t xml:space="preserve">Required collection focus, reset and external form association.</x:t>
        </x:is>
      </x:c>
      <x:c r="E15" s="143" t="inlineStr">
        <x:is>
          <x:t xml:space="preserve">package</x:t>
        </x:is>
      </x:c>
      <x:c r="F15" s="143" t="inlineStr">
        <x:is>
          <x:t xml:space="preserve">browser</x:t>
        </x:is>
      </x:c>
      <x:c r="G15" s="143" t="inlineStr">
        <x:is>
          <x:t xml:space="preserve">tests/components/tags-input/behavior.spec.ts</x:t>
        </x:is>
      </x:c>
      <x:c r="H15" s="143" t="inlineStr">
        <x:is>
          <x:t xml:space="preserve">tested</x:t>
        </x:is>
      </x:c>
      <x:c r="I15" s="143" t="inlineStr">
        <x:is>
          <x:t xml:space="preserve">no</x:t>
        </x:is>
      </x:c>
      <x:c r="J15" s="143" t="inlineStr">
        <x:is>
          <x:t xml:space="preserve">2026-09-07</x:t>
        </x:is>
      </x:c>
      <x:c r="K15" s="143" t="n"/>
      <x:c r="L15" s="143" t="n">
        <x:v>1</x:v>
      </x:c>
      <x:c r="M15" s="143" t="n">
        <x:f>IF(OR(H15="not applicable",H15="verified",AND(I15="no",H15="tested")),1,0)</x:f>
        <x:v>1</x:v>
      </x:c>
    </x:row>
    <x:row r="16" s="135" customFormat="1" ht="60" customHeight="1">
      <x:c r="A16" s="235" t="inlineStr">
        <x:is>
          <x:t xml:space="preserve">tags-input-08</x:t>
        </x:is>
      </x:c>
      <x:c r="B16" s="235" t="inlineStr">
        <x:is>
          <x:t xml:space="preserve">Editing</x:t>
        </x:is>
      </x:c>
      <x:c r="C16" s="235" t="inlineStr">
        <x:is>
          <x:t xml:space="preserve">ItemInput</x:t>
        </x:is>
      </x:c>
      <x:c r="D16" s="235" t="inlineStr">
        <x:is>
          <x:t xml:space="preserve">Cancel and commit; empty removal; readonly guard.</x:t>
        </x:is>
      </x:c>
      <x:c r="E16" s="235" t="inlineStr">
        <x:is>
          <x:t xml:space="preserve">package</x:t>
        </x:is>
      </x:c>
      <x:c r="F16" s="235" t="inlineStr">
        <x:is>
          <x:t xml:space="preserve">browser</x:t>
        </x:is>
      </x:c>
      <x:c r="G16" s="235" t="inlineStr">
        <x:is>
          <x:t xml:space="preserve">tests/components/tags-input/behavior.spec.ts</x:t>
        </x:is>
      </x:c>
      <x:c r="H16" s="235" t="inlineStr">
        <x:is>
          <x:t xml:space="preserve">tested</x:t>
        </x:is>
      </x:c>
      <x:c r="I16" s="235" t="inlineStr">
        <x:is>
          <x:t xml:space="preserve">no</x:t>
        </x:is>
      </x:c>
      <x:c r="J16" s="235" t="inlineStr">
        <x:is>
          <x:t xml:space="preserve">2026-09-07</x:t>
        </x:is>
      </x:c>
      <x:c r="K16" s="235" t="n"/>
      <x:c r="L16" s="235" t="n">
        <x:v>1</x:v>
      </x:c>
      <x:c r="M16" s="235" t="n">
        <x:f>IF(OR(H16="not applicable",H16="verified",AND(I16="no",H16="tested")),1,0)</x:f>
        <x:v>1</x:v>
      </x:c>
    </x:row>
    <x:row r="17" s="135" customFormat="1" ht="60" customHeight="1">
      <x:c r="A17" s="143" t="inlineStr">
        <x:is>
          <x:t xml:space="preserve">tags-input-09</x:t>
        </x:is>
      </x:c>
      <x:c r="B17" s="143" t="inlineStr">
        <x:is>
          <x:t xml:space="preserve">Keyboard</x:t>
        </x:is>
      </x:c>
      <x:c r="C17" s="143" t="inlineStr">
        <x:is>
          <x:t xml:space="preserve">Input</x:t>
        </x:is>
      </x:c>
      <x:c r="D17" s="143" t="inlineStr">
        <x:is>
          <x:t xml:space="preserve">Navigation, disabled values and simulated composition.</x:t>
        </x:is>
      </x:c>
      <x:c r="E17" s="143" t="inlineStr">
        <x:is>
          <x:t xml:space="preserve">package</x:t>
        </x:is>
      </x:c>
      <x:c r="F17" s="143" t="inlineStr">
        <x:is>
          <x:t xml:space="preserve">browser</x:t>
        </x:is>
      </x:c>
      <x:c r="G17" s="143" t="inlineStr">
        <x:is>
          <x:t xml:space="preserve">tests/components/tags-input/behavior.spec.ts</x:t>
        </x:is>
      </x:c>
      <x:c r="H17" s="143" t="inlineStr">
        <x:is>
          <x:t xml:space="preserve">tested</x:t>
        </x:is>
      </x:c>
      <x:c r="I17" s="143" t="inlineStr">
        <x:is>
          <x:t xml:space="preserve">no</x:t>
        </x:is>
      </x:c>
      <x:c r="J17" s="143" t="inlineStr">
        <x:is>
          <x:t xml:space="preserve">2026-09-07</x:t>
        </x:is>
      </x:c>
      <x:c r="K17" s="143" t="n"/>
      <x:c r="L17" s="143" t="n">
        <x:v>1</x:v>
      </x:c>
      <x:c r="M17" s="143" t="n">
        <x:f>IF(OR(H17="not applicable",H17="verified",AND(I17="no",H17="tested")),1,0)</x:f>
        <x:v>1</x:v>
      </x:c>
    </x:row>
    <x:row r="18" s="135" customFormat="1" ht="60" customHeight="1">
      <x:c r="A18" s="235" t="inlineStr">
        <x:is>
          <x:t xml:space="preserve">tags-input-10</x:t>
        </x:is>
      </x:c>
      <x:c r="B18" s="235" t="inlineStr">
        <x:is>
          <x:t xml:space="preserve">Focus</x:t>
        </x:is>
      </x:c>
      <x:c r="C18" s="235" t="inlineStr">
        <x:is>
          <x:t xml:space="preserve">Suggestions / Dialog</x:t>
        </x:is>
      </x:c>
      <x:c r="D18" s="235" t="inlineStr">
        <x:is>
          <x:t xml:space="preserve">Suggestions paint above the dialog; Escape cancels item editing across five browser projects.</x:t>
        </x:is>
      </x:c>
      <x:c r="E18" s="235" t="inlineStr">
        <x:is>
          <x:t xml:space="preserve">package</x:t>
        </x:is>
      </x:c>
      <x:c r="F18" s="235" t="inlineStr">
        <x:is>
          <x:t xml:space="preserve">browser</x:t>
        </x:is>
      </x:c>
      <x:c r="G18" s="235" t="inlineStr">
        <x:is>
          <x:t xml:space="preserve">tests/components/tags-input/behavior.spec.ts</x:t>
        </x:is>
      </x:c>
      <x:c r="H18" s="235" t="inlineStr">
        <x:is>
          <x:t xml:space="preserve">tested</x:t>
        </x:is>
      </x:c>
      <x:c r="I18" s="235" t="inlineStr">
        <x:is>
          <x:t xml:space="preserve">no</x:t>
        </x:is>
      </x:c>
      <x:c r="J18" s="235" t="inlineStr">
        <x:is>
          <x:t xml:space="preserve">2026-09-07</x:t>
        </x:is>
      </x:c>
      <x:c r="K18" s="235" t="n"/>
      <x:c r="L18" s="235" t="n">
        <x:v>1</x:v>
      </x:c>
      <x:c r="M18" s="235" t="n">
        <x:f>IF(OR(H18="not applicable",H18="verified",AND(I18="no",H18="tested")),1,0)</x:f>
        <x:v>1</x:v>
      </x:c>
    </x:row>
    <x:row r="19" s="135" customFormat="1" ht="60" customHeight="1">
      <x:c r="A19" s="143" t="inlineStr">
        <x:is>
          <x:t xml:space="preserve">tags-input-11</x:t>
        </x:is>
      </x:c>
      <x:c r="B19" s="143" t="inlineStr">
        <x:is>
          <x:t xml:space="preserve">Responsive</x:t>
        </x:is>
      </x:c>
      <x:c r="C19" s="143" t="inlineStr">
        <x:is>
          <x:t xml:space="preserve">Containment / axe</x:t>
        </x:is>
      </x:c>
      <x:c r="D19" s="143" t="inlineStr">
        <x:is>
          <x:t xml:space="preserve">Five browser profiles: reflow, axe, forced colors and recipe recovery.</x:t>
        </x:is>
      </x:c>
      <x:c r="E19" s="143" t="inlineStr">
        <x:is>
          <x:t xml:space="preserve">package</x:t>
        </x:is>
      </x:c>
      <x:c r="F19" s="143" t="inlineStr">
        <x:is>
          <x:t xml:space="preserve">browser</x:t>
        </x:is>
      </x:c>
      <x:c r="G19" s="143" t="inlineStr">
        <x:is>
          <x:t xml:space="preserve">tests/components/tags-input/behavior.spec.ts</x:t>
        </x:is>
      </x:c>
      <x:c r="H19" s="143" t="inlineStr">
        <x:is>
          <x:t xml:space="preserve">tested</x:t>
        </x:is>
      </x:c>
      <x:c r="I19" s="143" t="inlineStr">
        <x:is>
          <x:t xml:space="preserve">no</x:t>
        </x:is>
      </x:c>
      <x:c r="J19" s="143" t="inlineStr">
        <x:is>
          <x:t xml:space="preserve">2026-09-07</x:t>
        </x:is>
      </x:c>
      <x:c r="K19" s="143" t="n"/>
      <x:c r="L19" s="143" t="n">
        <x:v>1</x:v>
      </x:c>
      <x:c r="M19" s="143" t="n">
        <x:f>IF(OR(H19="not applicable",H19="verified",AND(I19="no",H19="tested")),1,0)</x:f>
        <x:v>1</x:v>
      </x:c>
    </x:row>
    <x:row r="20" s="135" customFormat="1" ht="60" customHeight="1">
      <x:c r="A20" s="235" t="inlineStr">
        <x:is>
          <x:t xml:space="preserve">tags-input-12</x:t>
        </x:is>
      </x:c>
      <x:c r="B20" s="235" t="inlineStr">
        <x:is>
          <x:t xml:space="preserve">Visual</x:t>
        </x:is>
      </x:c>
      <x:c r="C20" s="235" t="inlineStr">
        <x:is>
          <x:t xml:space="preserve">Recipes</x:t>
        </x:is>
      </x:c>
      <x:c r="D20" s="235" t="inlineStr">
        <x:is>
          <x:t xml:space="preserve">All twelve scenario groups captured; default, editing, popup, dialog and appearance renders inspected.</x:t>
        </x:is>
      </x:c>
      <x:c r="E20" s="235" t="inlineStr">
        <x:is>
          <x:t xml:space="preserve">package</x:t>
        </x:is>
      </x:c>
      <x:c r="F20" s="235" t="inlineStr">
        <x:is>
          <x:t xml:space="preserve">visual</x:t>
        </x:is>
      </x:c>
      <x:c r="G20" s="235" t="inlineStr">
        <x:is>
          <x:t xml:space="preserve">tests/components/tags-input/visual.spec.ts</x:t>
        </x:is>
      </x:c>
      <x:c r="H20" s="235" t="inlineStr">
        <x:is>
          <x:t xml:space="preserve">tested</x:t>
        </x:is>
      </x:c>
      <x:c r="I20" s="235" t="inlineStr">
        <x:is>
          <x:t xml:space="preserve">no</x:t>
        </x:is>
      </x:c>
      <x:c r="J20" s="235" t="inlineStr">
        <x:is>
          <x:t xml:space="preserve">2026-09-07</x:t>
        </x:is>
      </x:c>
      <x:c r="K20" s="235" t="n"/>
      <x:c r="L20" s="235" t="n">
        <x:v>1</x:v>
      </x:c>
      <x:c r="M20" s="235" t="n">
        <x:f>IF(OR(H20="not applicable",H20="verified",AND(I20="no",H20="tested")),1,0)</x:f>
        <x:v>1</x:v>
      </x:c>
    </x:row>
    <x:row r="21" s="135" customFormat="1" ht="60" customHeight="1">
      <x:c r="A21" s="143" t="inlineStr">
        <x:is>
          <x:t xml:space="preserve">tags-input-13</x:t>
        </x:is>
      </x:c>
      <x:c r="B21" s="143" t="inlineStr">
        <x:is>
          <x:t xml:space="preserve">Docs</x:t>
        </x:is>
      </x:c>
      <x:c r="C21" s="143" t="inlineStr">
        <x:is>
          <x:t xml:space="preserve">Guide / AK</x:t>
        </x:is>
      </x:c>
      <x:c r="D21" s="143" t="inlineStr">
        <x:is>
          <x:t xml:space="preserve">Public guide and closed exact owner guidance.</x:t>
        </x:is>
      </x:c>
      <x:c r="E21" s="143" t="inlineStr">
        <x:is>
          <x:t xml:space="preserve">package</x:t>
        </x:is>
      </x:c>
      <x:c r="F21" s="143" t="inlineStr">
        <x:is>
          <x:t xml:space="preserve">docs</x:t>
        </x:is>
      </x:c>
      <x:c r="G21" s="143" t="inlineStr">
        <x:is>
          <x:t xml:space="preserve">../docs/components/tags-input/README.md</x:t>
        </x:is>
      </x:c>
      <x:c r="H21" s="143" t="inlineStr">
        <x:is>
          <x:t xml:space="preserve">tested</x:t>
        </x:is>
      </x:c>
      <x:c r="I21" s="143" t="inlineStr">
        <x:is>
          <x:t xml:space="preserve">no</x:t>
        </x:is>
      </x:c>
      <x:c r="J21" s="143" t="inlineStr">
        <x:is>
          <x:t xml:space="preserve">2026-09-07</x:t>
        </x:is>
      </x:c>
      <x:c r="K21" s="143" t="n"/>
      <x:c r="L21" s="143" t="n">
        <x:v>1</x:v>
      </x:c>
      <x:c r="M21" s="143" t="n">
        <x:f>IF(OR(H21="not applicable",H21="verified",AND(I21="no",H21="tested")),1,0)</x:f>
        <x:v>1</x:v>
      </x:c>
    </x:row>
    <x:row r="22" s="135" customFormat="1" ht="60" customHeight="1">
      <x:c r="A22" s="235" t="inlineStr">
        <x:is>
          <x:t xml:space="preserve">tags-input-14</x:t>
        </x:is>
      </x:c>
      <x:c r="B22" s="235" t="inlineStr">
        <x:is>
          <x:t xml:space="preserve">Playground</x:t>
        </x:is>
      </x:c>
      <x:c r="C22" s="235" t="inlineStr">
        <x:is>
          <x:t xml:space="preserve">Scenarios</x:t>
        </x:is>
      </x:c>
      <x:c r="D22" s="235" t="inlineStr">
        <x:is>
          <x:t xml:space="preserve">22 source-paired examples, part props and native/Hook Form demos.</x:t>
        </x:is>
      </x:c>
      <x:c r="E22" s="235" t="inlineStr">
        <x:is>
          <x:t xml:space="preserve">package</x:t>
        </x:is>
      </x:c>
      <x:c r="F22" s="235" t="inlineStr">
        <x:is>
          <x:t xml:space="preserve">page</x:t>
        </x:is>
      </x:c>
      <x:c r="G22" s="235" t="inlineStr">
        <x:is>
          <x:t xml:space="preserve">tests/components/tags-input/documentation.spec.ts</x:t>
        </x:is>
      </x:c>
      <x:c r="H22" s="235" t="inlineStr">
        <x:is>
          <x:t xml:space="preserve">tested</x:t>
        </x:is>
      </x:c>
      <x:c r="I22" s="235" t="inlineStr">
        <x:is>
          <x:t xml:space="preserve">no</x:t>
        </x:is>
      </x:c>
      <x:c r="J22" s="235" t="n"/>
      <x:c r="K22" s="235" t="inlineStr">
        <x:is>
          <x:t xml:space="preserve">Qualification pending.</x:t>
        </x:is>
      </x:c>
      <x:c r="L22" s="235" t="n">
        <x:v>1</x:v>
      </x:c>
      <x:c r="M22" s="235" t="n">
        <x:f>IF(OR(H22="not applicable",H22="verified",AND(I22="no",H22="tested")),1,0)</x:f>
        <x:v>1</x:v>
      </x:c>
    </x:row>
    <x:row r="23" s="135" customFormat="1" ht="60" customHeight="1">
      <x:c r="A23" s="143" t="inlineStr">
        <x:is>
          <x:t xml:space="preserve">tags-input-15</x:t>
        </x:is>
      </x:c>
      <x:c r="B23" s="143" t="inlineStr">
        <x:is>
          <x:t xml:space="preserve">Consumer</x:t>
        </x:is>
      </x:c>
      <x:c r="C23" s="143" t="inlineStr">
        <x:is>
          <x:t xml:space="preserve">Project labels</x:t>
        </x:is>
      </x:c>
      <x:c r="D23" s="143" t="inlineStr">
        <x:is>
          <x:t xml:space="preserve">Packed React 18/19 types, hydration, refs, remove and JSON/reset pass.</x:t>
        </x:is>
      </x:c>
      <x:c r="E23" s="143" t="inlineStr">
        <x:is>
          <x:t xml:space="preserve">consumer</x:t>
        </x:is>
      </x:c>
      <x:c r="F23" s="143" t="inlineStr">
        <x:is>
          <x:t xml:space="preserve">consumer</x:t>
        </x:is>
      </x:c>
      <x:c r="G23" s="143" t="inlineStr">
        <x:is>
          <x:t xml:space="preserve">../docs/components/tags-input/README.md</x:t>
        </x:is>
      </x:c>
      <x:c r="H23" s="143" t="inlineStr">
        <x:is>
          <x:t xml:space="preserve">tested</x:t>
        </x:is>
      </x:c>
      <x:c r="I23" s="143" t="inlineStr">
        <x:is>
          <x:t xml:space="preserve">no</x:t>
        </x:is>
      </x:c>
      <x:c r="J23" s="143" t="inlineStr">
        <x:is>
          <x:t xml:space="preserve">2026-09-07</x:t>
        </x:is>
      </x:c>
      <x:c r="K23" s="143" t="n"/>
      <x:c r="L23" s="143" t="n">
        <x:v>1</x:v>
      </x:c>
      <x:c r="M23" s="143" t="n">
        <x:f>IF(OR(H23="not applicable",H23="verified",AND(I23="no",H23="tested")),1,0)</x:f>
        <x:v>1</x:v>
      </x:c>
    </x:row>
    <x:row r="24" s="135" customFormat="1" ht="60" customHeight="1">
      <x:c r="A24" s="235" t="inlineStr">
        <x:is>
          <x:t xml:space="preserve">tags-input-16</x:t>
        </x:is>
      </x:c>
      <x:c r="B24" s="235" t="inlineStr">
        <x:is>
          <x:t xml:space="preserve">Package</x:t>
        </x:is>
      </x:c>
      <x:c r="C24" s="235" t="inlineStr">
        <x:is>
          <x:t xml:space="preserve">Artifact</x:t>
        </x:is>
      </x:c>
      <x:c r="D24" s="235" t="inlineStr">
        <x:is>
          <x:t xml:space="preserve">Local builds pass; broad type checks and manual release gates remain open.</x:t>
        </x:is>
      </x:c>
      <x:c r="E24" s="235" t="inlineStr">
        <x:is>
          <x:t xml:space="preserve">package</x:t>
        </x:is>
      </x:c>
      <x:c r="F24" s="235" t="inlineStr">
        <x:is>
          <x:t xml:space="preserve">package</x:t>
        </x:is>
      </x:c>
      <x:c r="G24" s="235" t="inlineStr">
        <x:is>
          <x:t xml:space="preserve">../scripts/verify-package.mjs</x:t>
        </x:is>
      </x:c>
      <x:c r="H24" s="235" t="inlineStr">
        <x:is>
          <x:t xml:space="preserve">partial</x:t>
        </x:is>
      </x:c>
      <x:c r="I24" s="235" t="inlineStr">
        <x:is>
          <x:t xml:space="preserve">no</x:t>
        </x:is>
      </x:c>
      <x:c r="J24" s="235" t="inlineStr">
        <x:is>
          <x:t xml:space="preserve">2026-09-08</x:t>
        </x:is>
      </x:c>
      <x:c r="K24" s="235" t="n"/>
      <x:c r="L24" s="235" t="n">
        <x:v>1</x:v>
      </x:c>
      <x:c r="M24" s="235" t="n">
        <x:f>IF(OR(H24="not applicable",H24="verified",AND(I24="no",H24="tested")),1,0)</x:f>
        <x:v>0</x:v>
      </x:c>
    </x:row>
    <x:row r="25" s="135" customFormat="1" ht="60" customHeight="1">
      <x:c r="A25" s="143" t="inlineStr">
        <x:is>
          <x:t xml:space="preserve">tags-input-17</x:t>
        </x:is>
      </x:c>
      <x:c r="B25" s="143" t="inlineStr">
        <x:is>
          <x:t xml:space="preserve">Manual</x:t>
        </x:is>
      </x:c>
      <x:c r="C25" s="143" t="inlineStr">
        <x:is>
          <x:t xml:space="preserve">AT / IME / zoom</x:t>
        </x:is>
      </x:c>
      <x:c r="D25" s="143" t="inlineStr">
        <x:is>
          <x:t xml:space="preserve">Physical devices, AT and actual zoom unperformed.</x:t>
        </x:is>
      </x:c>
      <x:c r="E25" s="143" t="inlineStr">
        <x:is>
          <x:t xml:space="preserve">package</x:t>
        </x:is>
      </x:c>
      <x:c r="F25" s="143" t="inlineStr">
        <x:is>
          <x:t xml:space="preserve">manual</x:t>
        </x:is>
      </x:c>
      <x:c r="G25" s="143" t="inlineStr">
        <x:is>
          <x:t xml:space="preserve">manual-tests/tags-input.md</x:t>
        </x:is>
      </x:c>
      <x:c r="H25" s="143" t="inlineStr">
        <x:is>
          <x:t xml:space="preserve">not started</x:t>
        </x:is>
      </x:c>
      <x:c r="I25" s="143" t="inlineStr">
        <x:is>
          <x:t xml:space="preserve">yes</x:t>
        </x:is>
      </x:c>
      <x:c r="J25" s="143" t="n"/>
      <x:c r="K25" s="143" t="inlineStr">
        <x:is>
          <x:t xml:space="preserve">Qualification pending.</x:t>
        </x:is>
      </x:c>
      <x:c r="L25" s="143" t="n">
        <x:v>1</x:v>
      </x:c>
      <x:c r="M25" s="143" t="n">
        <x:f>IF(OR(H25="not applicable",H25="verified",AND(I25="no",H25="tested")),1,0)</x:f>
        <x:v>0</x:v>
      </x:c>
    </x:row>
  </x:sheetData>
  <x:mergeCells>
    <x:mergeCell ref="A2:M2"/>
    <x:mergeCell ref="A1:M1"/>
  </x:mergeCells>
  <x:dataValidations count="2">
    <x:dataValidation type="list" errorStyle="stop" operator="between" allowBlank="0" showDropDown="0" showInputMessage="0" showErrorMessage="0" sqref="H9:H25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25">
      <x:formula1>"yes,no"</x:formula1>
      <x:formula2>0</x:formula2>
    </x:dataValidation>
  </x:dataValidations>
  <x:pageMargins left="0.7" right="0.7" top="0.75" bottom="0.75" header="0.3" footer="0.3"/>
</x:worksheet>
</file>

<file path=xl/worksheets/sheet129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baseColWidth="8" defaultColWidth="8.6796875" defaultRowHeight="15"/>
  <x:cols>
    <x:col min="1" max="1" width="15" style="138" customWidth="1"/>
    <x:col min="2" max="2" width="17" style="138" customWidth="1"/>
    <x:col min="3" max="3" width="20" style="138" customWidth="1"/>
    <x:col min="4" max="4" width="55" style="138" customWidth="1"/>
    <x:col min="5" max="6" width="15" style="138" customWidth="1"/>
    <x:col min="7" max="7" width="50" style="138" customWidth="1"/>
    <x:col min="8" max="9" width="17" style="138" customWidth="1"/>
    <x:col min="10" max="10" width="16" style="138" customWidth="1"/>
    <x:col min="11" max="11" width="40" style="138" customWidth="1"/>
    <x:col min="12" max="13" width="10" style="138" customWidth="1"/>
  </x:cols>
  <x:sheetData>
    <x:row r="1" s="135" customFormat="1" ht="27.75" customHeight="1">
      <x:c r="A1" s="233" t="inlineStr">
        <x:is>
          <x:t xml:space="preserve">Pin Input Evidence</x:t>
        </x:is>
      </x:c>
    </x:row>
    <x:row r="2" s="135" customFormat="1" ht="36" customHeight="1">
      <x:c r="A2" s="138" t="inlineStr">
        <x:is>
          <x:t xml:space="preserve">September 18 parity: responsive recipes, interaction tones, coherent focus and focused examples. Human/device and broader release qualification remain open.</x:t>
        </x:is>
      </x:c>
    </x:row>
    <x:row r="3" s="135" customFormat="1" ht="15" customHeight="1">
      <x:c r="A3" s="138" t="n"/>
      <x:c r="B3" s="138" t="n"/>
      <x:c r="C3" s="138" t="n"/>
      <x:c r="D3" s="138" t="n"/>
      <x:c r="E3" s="138" t="n"/>
      <x:c r="F3" s="138" t="n"/>
      <x:c r="G3" s="138" t="n"/>
      <x:c r="H3" s="138" t="n"/>
      <x:c r="I3" s="138" t="n"/>
      <x:c r="J3" s="138" t="n"/>
      <x:c r="K3" s="138" t="n"/>
      <x:c r="L3" s="138" t="n"/>
      <x:c r="M3" s="138" t="n"/>
    </x:row>
    <x:row r="4" s="135" customFormat="1" ht="15" customHeight="1">
      <x:c r="A4" s="138" t="inlineStr">
        <x:is>
          <x:t xml:space="preserve">Requirements</x:t>
        </x:is>
      </x:c>
      <x:c r="B4" s="138" t="n">
        <x:f>COUNTA(A9:A28)</x:f>
        <x:v>20</x:v>
      </x:c>
      <x:c r="C4" s="138" t="n"/>
      <x:c r="D4" s="138" t="inlineStr">
        <x:is>
          <x:t xml:space="preserve">Resolved</x:t>
        </x:is>
      </x:c>
      <x:c r="E4" s="138" t="n">
        <x:f>SUM(M9:M28)</x:f>
        <x:v>11</x:v>
      </x:c>
      <x:c r="F4" s="138" t="n"/>
      <x:c r="G4" s="138" t="inlineStr">
        <x:is>
          <x:t xml:space="preserve">Completion</x:t>
        </x:is>
      </x:c>
      <x:c r="H4" s="139" t="n">
        <x:f>IF(B4=0,0,E4/B4)</x:f>
        <x:v>0.55</x:v>
      </x:c>
      <x:c r="I4" s="138" t="n"/>
      <x:c r="J4" s="138" t="inlineStr">
        <x:is>
          <x:t xml:space="preserve">Package gate</x:t>
        </x:is>
      </x:c>
      <x:c r="K4" s="138" t="str">
        <x:f>IF(COUNTIFS(E9:E28,"package",M9:M28,0)&gt;0,"open","complete")</x:f>
        <x:v>open</x:v>
      </x:c>
      <x:c r="L4" s="138" t="n"/>
      <x:c r="M4" s="138" t="n"/>
    </x:row>
    <x:row r="5" s="135" customFormat="1" ht="15" customHeight="1">
      <x:c r="A5" s="138" t="inlineStr">
        <x:is>
          <x:t xml:space="preserve">Manual review</x:t>
        </x:is>
      </x:c>
      <x:c r="B5" s="138" t="str">
        <x:f>IF(COUNTIFS(I9:I28,"yes",M9:M28,0)&gt;0,"open","complete")</x:f>
        <x:v>open</x:v>
      </x:c>
      <x:c r="C5" s="138" t="n"/>
      <x:c r="D5" s="138" t="inlineStr">
        <x:is>
          <x:t xml:space="preserve">Consumer gate</x:t>
        </x:is>
      </x:c>
      <x:c r="E5" s="138" t="str">
        <x:f>IF(COUNTIFS(E9:E28,"consumer",M9:M28,0)&gt;0,"open","complete")</x:f>
        <x:v>open</x:v>
      </x:c>
      <x:c r="F5" s="138" t="n"/>
      <x:c r="G5" s="138" t="n"/>
      <x:c r="H5" s="138" t="n"/>
      <x:c r="I5" s="138" t="n"/>
      <x:c r="J5" s="138" t="n"/>
      <x:c r="K5" s="138" t="n"/>
      <x:c r="L5" s="138" t="n"/>
      <x:c r="M5" s="138" t="n"/>
    </x:row>
    <x:row r="6" s="135" customFormat="1" ht="15" customHeight="1">
      <x:c r="A6" s="138" t="n"/>
      <x:c r="B6" s="138" t="n"/>
      <x:c r="C6" s="138" t="n"/>
      <x:c r="D6" s="138" t="n"/>
      <x:c r="E6" s="138" t="n"/>
      <x:c r="F6" s="138" t="n"/>
      <x:c r="G6" s="138" t="n"/>
      <x:c r="H6" s="138" t="n"/>
      <x:c r="I6" s="138" t="n"/>
      <x:c r="J6" s="138" t="n"/>
      <x:c r="K6" s="138" t="n"/>
      <x:c r="L6" s="138" t="n"/>
      <x:c r="M6" s="138" t="n"/>
    </x:row>
    <x:row r="7" s="135" customFormat="1" ht="15" customHeight="1">
      <x:c r="A7" s="138" t="n"/>
      <x:c r="B7" s="138" t="n"/>
      <x:c r="C7" s="138" t="n"/>
      <x:c r="D7" s="138" t="n"/>
      <x:c r="E7" s="138" t="n"/>
      <x:c r="F7" s="138" t="n"/>
      <x:c r="G7" s="138" t="n"/>
      <x:c r="H7" s="138" t="n"/>
      <x:c r="I7" s="138" t="n"/>
      <x:c r="J7" s="138" t="n"/>
      <x:c r="K7" s="138" t="n"/>
      <x:c r="L7" s="138" t="n"/>
      <x:c r="M7" s="138" t="n"/>
    </x:row>
    <x:row r="8" s="135" customFormat="1" ht="15" customHeight="1">
      <x:c r="A8" s="138" t="inlineStr">
        <x:is>
          <x:t xml:space="preserve">ID</x:t>
        </x:is>
      </x:c>
      <x:c r="B8" s="138" t="inlineStr">
        <x:is>
          <x:t xml:space="preserve">Area</x:t>
        </x:is>
      </x:c>
      <x:c r="C8" s="138" t="inlineStr">
        <x:is>
          <x:t xml:space="preserve">Part</x:t>
        </x:is>
      </x:c>
      <x:c r="D8" s="138" t="inlineStr">
        <x:is>
          <x:t xml:space="preserve">Requirement</x:t>
        </x:is>
      </x:c>
      <x:c r="E8" s="138" t="inlineStr">
        <x:is>
          <x:t xml:space="preserve">Gate</x:t>
        </x:is>
      </x:c>
      <x:c r="F8" s="138" t="inlineStr">
        <x:is>
          <x:t xml:space="preserve">Evidence type</x:t>
        </x:is>
      </x:c>
      <x:c r="G8" s="138" t="inlineStr">
        <x:is>
          <x:t xml:space="preserve">Evidence / link</x:t>
        </x:is>
      </x:c>
      <x:c r="H8" s="138" t="inlineStr">
        <x:is>
          <x:t xml:space="preserve">Status</x:t>
        </x:is>
      </x:c>
      <x:c r="I8" s="138" t="inlineStr">
        <x:is>
          <x:t xml:space="preserve">Human review?</x:t>
        </x:is>
      </x:c>
      <x:c r="J8" s="138" t="inlineStr">
        <x:is>
          <x:t xml:space="preserve">Last verified</x:t>
        </x:is>
      </x:c>
      <x:c r="K8" s="138" t="inlineStr">
        <x:is>
          <x:t xml:space="preserve">Blocker / N/A reason</x:t>
        </x:is>
      </x:c>
      <x:c r="L8" s="138" t="inlineStr">
        <x:is>
          <x:t xml:space="preserve">Weight</x:t>
        </x:is>
      </x:c>
      <x:c r="M8" s="138" t="inlineStr">
        <x:is>
          <x:t xml:space="preserve">Resolved</x:t>
        </x:is>
      </x:c>
    </x:row>
    <x:row r="9" s="135" customFormat="1" ht="60" customHeight="1">
      <x:c r="A9" s="143" t="inlineStr">
        <x:is>
          <x:t xml:space="preserve">PIN-01</x:t>
        </x:is>
      </x:c>
      <x:c r="B9" s="143" t="inlineStr">
        <x:is>
          <x:t xml:space="preserve">Implementation</x:t>
        </x:is>
      </x:c>
      <x:c r="C9" s="143" t="inlineStr">
        <x:is>
          <x:t xml:space="preserve">Root</x:t>
        </x:is>
      </x:c>
      <x:c r="D9" s="143" t="inlineStr">
        <x:is>
          <x:t xml:space="preserve">PinInput adopts a tested, digest-locked local Atom candidate; no publication or release claim.</x:t>
        </x:is>
      </x:c>
      <x:c r="E9" s="143" t="inlineStr">
        <x:is>
          <x:t xml:space="preserve">package</x:t>
        </x:is>
      </x:c>
      <x:c r="F9" s="143" t="inlineStr">
        <x:is>
          <x:t xml:space="preserve">source</x:t>
        </x:is>
      </x:c>
      <x:c r="G9" s="143" t="inlineStr">
        <x:is>
          <x:t xml:space="preserve">../src/components/pin-input</x:t>
        </x:is>
      </x:c>
      <x:c r="H9" s="143" t="inlineStr">
        <x:is>
          <x:t xml:space="preserve">tested</x:t>
        </x:is>
      </x:c>
      <x:c r="I9" s="143" t="inlineStr">
        <x:is>
          <x:t xml:space="preserve">no</x:t>
        </x:is>
      </x:c>
      <x:c r="J9" s="143" t="inlineStr">
        <x:is>
          <x:t xml:space="preserve">2026-09-08</x:t>
        </x:is>
      </x:c>
      <x:c r="K9" s="143" t="n"/>
      <x:c r="L9" s="143" t="n"/>
      <x:c r="M9" s="143" t="n">
        <x:f>IF(OR(H9="not applicable",H9="verified",AND(I9="no",H9="tested")),1,0)</x:f>
        <x:v>1</x:v>
      </x:c>
    </x:row>
    <x:row r="10" s="135" customFormat="1" ht="60" customHeight="1">
      <x:c r="A10" s="143" t="inlineStr">
        <x:is>
          <x:t xml:space="preserve">PIN-02</x:t>
        </x:is>
      </x:c>
      <x:c r="B10" s="143" t="inlineStr">
        <x:is>
          <x:t xml:space="preserve">Anatomy</x:t>
        </x:is>
      </x:c>
      <x:c r="C10" s="143" t="inlineStr">
        <x:is>
          <x:t xml:space="preserve">All parts</x:t>
        </x:is>
      </x:c>
      <x:c r="D10" s="143" t="inlineStr">
        <x:is>
          <x:t xml:space="preserve">Root, RootProvider, Context, Label, Control, Group, Input and Separator expose the styled anatomy.</x:t>
        </x:is>
      </x:c>
      <x:c r="E10" s="143" t="inlineStr">
        <x:is>
          <x:t xml:space="preserve">package</x:t>
        </x:is>
      </x:c>
      <x:c r="F10" s="143" t="inlineStr">
        <x:is>
          <x:t xml:space="preserve">component</x:t>
        </x:is>
      </x:c>
      <x:c r="G10" s="143" t="inlineStr">
        <x:is>
          <x:t xml:space="preserve">../test/components/pin-input/pin-input.test.tsx</x:t>
        </x:is>
      </x:c>
      <x:c r="H10" s="143" t="inlineStr">
        <x:is>
          <x:t xml:space="preserve">tested</x:t>
        </x:is>
      </x:c>
      <x:c r="I10" s="143" t="inlineStr">
        <x:is>
          <x:t xml:space="preserve">no</x:t>
        </x:is>
      </x:c>
      <x:c r="J10" s="143" t="inlineStr">
        <x:is>
          <x:t xml:space="preserve">2026-09-18</x:t>
        </x:is>
      </x:c>
      <x:c r="K10" s="143" t="n"/>
      <x:c r="L10" s="143" t="n"/>
      <x:c r="M10" s="143" t="n">
        <x:f>IF(OR(H10="not applicable",H10="verified",AND(I10="no",H10="tested")),1,0)</x:f>
        <x:v>1</x:v>
      </x:c>
    </x:row>
    <x:row r="11" s="135" customFormat="1" ht="60" customHeight="1">
      <x:c r="A11" s="143" t="inlineStr">
        <x:is>
          <x:t xml:space="preserve">PIN-03</x:t>
        </x:is>
      </x:c>
      <x:c r="B11" s="143" t="inlineStr">
        <x:is>
          <x:t xml:space="preserve">Exports</x:t>
        </x:is>
      </x:c>
      <x:c r="C11" s="143" t="inlineStr">
        <x:is>
          <x:t xml:space="preserve">PinInput</x:t>
        </x:is>
      </x:c>
      <x:c r="D11" s="143" t="inlineStr">
        <x:is>
          <x:t xml:space="preserve">Root and pin-input subpath exports expose the namespace, named parts, and public types.</x:t>
        </x:is>
      </x:c>
      <x:c r="E11" s="143" t="inlineStr">
        <x:is>
          <x:t xml:space="preserve">package</x:t>
        </x:is>
      </x:c>
      <x:c r="F11" s="143" t="inlineStr">
        <x:is>
          <x:t xml:space="preserve">package</x:t>
        </x:is>
      </x:c>
      <x:c r="G11" s="143" t="inlineStr">
        <x:is>
          <x:t xml:space="preserve">../test/package/package.test.mjs</x:t>
        </x:is>
      </x:c>
      <x:c r="H11" s="143" t="inlineStr">
        <x:is>
          <x:t xml:space="preserve">tested</x:t>
        </x:is>
      </x:c>
      <x:c r="I11" s="143" t="inlineStr">
        <x:is>
          <x:t xml:space="preserve">no</x:t>
        </x:is>
      </x:c>
      <x:c r="J11" s="143" t="inlineStr">
        <x:is>
          <x:t xml:space="preserve">2026-09-08</x:t>
        </x:is>
      </x:c>
      <x:c r="K11" s="143" t="n"/>
      <x:c r="L11" s="143" t="n"/>
      <x:c r="M11" s="143" t="n">
        <x:f>IF(OR(H11="not applicable",H11="verified",AND(I11="no",H11="tested")),1,0)</x:f>
        <x:v>1</x:v>
      </x:c>
    </x:row>
    <x:row r="12" s="135" customFormat="1" ht="60" customHeight="1">
      <x:c r="A12" s="143" t="inlineStr">
        <x:is>
          <x:t xml:space="preserve">PIN-04</x:t>
        </x:is>
      </x:c>
      <x:c r="B12" s="143" t="inlineStr">
        <x:is>
          <x:t xml:space="preserve">Types</x:t>
        </x:is>
      </x:c>
      <x:c r="C12" s="143" t="inlineStr">
        <x:is>
          <x:t xml:space="preserve">Root/parts</x:t>
        </x:is>
      </x:c>
      <x:c r="D12" s="143" t="inlineStr">
        <x:is>
          <x:t xml:space="preserve">Seven responsive variants, two tones, refs and responsive corner exclusions type-check.</x:t>
        </x:is>
      </x:c>
      <x:c r="E12" s="143" t="inlineStr">
        <x:is>
          <x:t xml:space="preserve">package</x:t>
        </x:is>
      </x:c>
      <x:c r="F12" s="143" t="inlineStr">
        <x:is>
          <x:t xml:space="preserve">types</x:t>
        </x:is>
      </x:c>
      <x:c r="G12" s="143" t="inlineStr">
        <x:is>
          <x:t xml:space="preserve">../test/types/components/pin-input.test.ts</x:t>
        </x:is>
      </x:c>
      <x:c r="H12" s="143" t="inlineStr">
        <x:is>
          <x:t xml:space="preserve">tested</x:t>
        </x:is>
      </x:c>
      <x:c r="I12" s="143" t="inlineStr">
        <x:is>
          <x:t xml:space="preserve">no</x:t>
        </x:is>
      </x:c>
      <x:c r="J12" s="143" t="inlineStr">
        <x:is>
          <x:t xml:space="preserve">2026-09-18</x:t>
        </x:is>
      </x:c>
      <x:c r="K12" s="143" t="n"/>
      <x:c r="L12" s="143" t="n"/>
      <x:c r="M12" s="143" t="n">
        <x:f>IF(OR(H12="not applicable",H12="verified",AND(I12="no",H12="tested")),1,0)</x:f>
        <x:v>1</x:v>
      </x:c>
    </x:row>
    <x:row r="13" s="135" customFormat="1" ht="60" customHeight="1">
      <x:c r="A13" s="143" t="inlineStr">
        <x:is>
          <x:t xml:space="preserve">PIN-05</x:t>
        </x:is>
      </x:c>
      <x:c r="B13" s="143" t="inlineStr">
        <x:is>
          <x:t xml:space="preserve">CSS</x:t>
        </x:is>
      </x:c>
      <x:c r="C13" s="143" t="inlineStr">
        <x:is>
          <x:t xml:space="preserve">Group/Input</x:t>
        </x:is>
      </x:c>
      <x:c r="D13" s="143" t="inlineStr">
        <x:is>
          <x:t xml:space="preserve">Static CSS ships separated, attached, state, focus, artwork, and documented variable recipes.</x:t>
        </x:is>
      </x:c>
      <x:c r="E13" s="143" t="inlineStr">
        <x:is>
          <x:t xml:space="preserve">package</x:t>
        </x:is>
      </x:c>
      <x:c r="F13" s="143" t="inlineStr">
        <x:is>
          <x:t xml:space="preserve">css</x:t>
        </x:is>
      </x:c>
      <x:c r="G13" s="143" t="inlineStr">
        <x:is>
          <x:t xml:space="preserve">../src/components/pin-input/pin-input.css</x:t>
        </x:is>
      </x:c>
      <x:c r="H13" s="143" t="inlineStr">
        <x:is>
          <x:t xml:space="preserve">tested</x:t>
        </x:is>
      </x:c>
      <x:c r="I13" s="143" t="inlineStr">
        <x:is>
          <x:t xml:space="preserve">no</x:t>
        </x:is>
      </x:c>
      <x:c r="J13" s="143" t="inlineStr">
        <x:is>
          <x:t xml:space="preserve">2026-09-18</x:t>
        </x:is>
      </x:c>
      <x:c r="K13" s="143" t="n"/>
      <x:c r="L13" s="143" t="n"/>
      <x:c r="M13" s="143" t="n">
        <x:f>IF(OR(H13="not applicable",H13="verified",AND(I13="no",H13="tested")),1,0)</x:f>
        <x:v>1</x:v>
      </x:c>
    </x:row>
    <x:row r="14" s="135" customFormat="1" ht="60" customHeight="1">
      <x:c r="A14" s="143" t="inlineStr">
        <x:is>
          <x:t xml:space="preserve">PIN-06</x:t>
        </x:is>
      </x:c>
      <x:c r="B14" s="143" t="inlineStr">
        <x:is>
          <x:t xml:space="preserve">Entry</x:t>
        </x:is>
      </x:c>
      <x:c r="C14" s="143" t="inlineStr">
        <x:is>
          <x:t xml:space="preserve">Input cells</x:t>
        </x:is>
      </x:c>
      <x:c r="D14" s="143" t="inlineStr">
        <x:is>
          <x:t xml:space="preserve">Typing rejects invalid characters, advances focus, and preserves empty positions with array state.</x:t>
        </x:is>
      </x:c>
      <x:c r="E14" s="143" t="inlineStr">
        <x:is>
          <x:t xml:space="preserve">browser</x:t>
        </x:is>
      </x:c>
      <x:c r="F14" s="143" t="inlineStr">
        <x:is>
          <x:t xml:space="preserve">browser</x:t>
        </x:is>
      </x:c>
      <x:c r="G14" s="143" t="inlineStr">
        <x:is>
          <x:t xml:space="preserve">tests/components/pin-input/behavior.spec.ts</x:t>
        </x:is>
      </x:c>
      <x:c r="H14" s="143" t="inlineStr">
        <x:is>
          <x:t xml:space="preserve">tested</x:t>
        </x:is>
      </x:c>
      <x:c r="I14" s="143" t="inlineStr">
        <x:is>
          <x:t xml:space="preserve">no</x:t>
        </x:is>
      </x:c>
      <x:c r="J14" s="143" t="inlineStr">
        <x:is>
          <x:t xml:space="preserve">2026-09-18</x:t>
        </x:is>
      </x:c>
      <x:c r="K14" s="143" t="inlineStr">
        <x:is>
          <x:t xml:space="preserve">Surface pass: outline/rest/hover and surface fill checked in light/dark. Full owner review remains separate; see form-surface-recipes assertions in the owner browser suite.</x:t>
        </x:is>
      </x:c>
      <x:c r="L14" s="143" t="n"/>
      <x:c r="M14" s="143" t="n">
        <x:f>IF(OR(H14="not applicable",H14="verified",AND(I14="no",H14="tested")),1,0)</x:f>
        <x:v>1</x:v>
      </x:c>
    </x:row>
    <x:row r="15" s="135" customFormat="1" ht="60" customHeight="1">
      <x:c r="A15" s="143" t="inlineStr">
        <x:is>
          <x:t xml:space="preserve">PIN-07</x:t>
        </x:is>
      </x:c>
      <x:c r="B15" s="143" t="inlineStr">
        <x:is>
          <x:t xml:space="preserve">Forms</x:t>
        </x:is>
      </x:c>
      <x:c r="C15" s="143" t="inlineStr">
        <x:is>
          <x:t xml:space="preserve">Root/Input</x:t>
        </x:is>
      </x:c>
      <x:c r="D15" s="143" t="inlineStr">
        <x:is>
          <x:t xml:space="preserve">Only the first cell owns required validity and one hidden value submits and resets.</x:t>
        </x:is>
      </x:c>
      <x:c r="E15" s="143" t="inlineStr">
        <x:is>
          <x:t xml:space="preserve">browser</x:t>
        </x:is>
      </x:c>
      <x:c r="F15" s="143" t="inlineStr">
        <x:is>
          <x:t xml:space="preserve">browser</x:t>
        </x:is>
      </x:c>
      <x:c r="G15" s="143" t="inlineStr">
        <x:is>
          <x:t xml:space="preserve">tests/components/pin-input/behavior.spec.ts</x:t>
        </x:is>
      </x:c>
      <x:c r="H15" s="143" t="inlineStr">
        <x:is>
          <x:t xml:space="preserve">tested</x:t>
        </x:is>
      </x:c>
      <x:c r="I15" s="143" t="inlineStr">
        <x:is>
          <x:t xml:space="preserve">no</x:t>
        </x:is>
      </x:c>
      <x:c r="J15" s="143" t="inlineStr">
        <x:is>
          <x:t xml:space="preserve">2026-09-18</x:t>
        </x:is>
      </x:c>
      <x:c r="K15" s="143" t="n"/>
      <x:c r="L15" s="143" t="n"/>
      <x:c r="M15" s="143" t="n">
        <x:f>IF(OR(H15="not applicable",H15="verified",AND(I15="no",H15="tested")),1,0)</x:f>
        <x:v>1</x:v>
      </x:c>
    </x:row>
    <x:row r="16" s="135" customFormat="1" ht="60" customHeight="1">
      <x:c r="A16" s="143" t="inlineStr">
        <x:is>
          <x:t xml:space="preserve">PIN-08</x:t>
        </x:is>
      </x:c>
      <x:c r="B16" s="143" t="inlineStr">
        <x:is>
          <x:t xml:space="preserve">Localization</x:t>
        </x:is>
      </x:c>
      <x:c r="C16" s="143" t="inlineStr">
        <x:is>
          <x:t xml:space="preserve">Input</x:t>
        </x:is>
      </x:c>
      <x:c r="D16" s="143" t="inlineStr">
        <x:is>
          <x:t xml:space="preserve">Generated position labels accept consumer-provided translations without changing behavior.</x:t>
        </x:is>
      </x:c>
      <x:c r="E16" s="143" t="inlineStr">
        <x:is>
          <x:t xml:space="preserve">browser</x:t>
        </x:is>
      </x:c>
      <x:c r="F16" s="143" t="inlineStr">
        <x:is>
          <x:t xml:space="preserve">browser</x:t>
        </x:is>
      </x:c>
      <x:c r="G16" s="143" t="inlineStr">
        <x:is>
          <x:t xml:space="preserve">tests/components/pin-input/behavior.spec.ts</x:t>
        </x:is>
      </x:c>
      <x:c r="H16" s="143" t="inlineStr">
        <x:is>
          <x:t xml:space="preserve">tested</x:t>
        </x:is>
      </x:c>
      <x:c r="I16" s="143" t="inlineStr">
        <x:is>
          <x:t xml:space="preserve">no</x:t>
        </x:is>
      </x:c>
      <x:c r="J16" s="143" t="inlineStr">
        <x:is>
          <x:t xml:space="preserve">2026-09-18</x:t>
        </x:is>
      </x:c>
      <x:c r="K16" s="143" t="n"/>
      <x:c r="L16" s="143" t="n"/>
      <x:c r="M16" s="143" t="n">
        <x:f>IF(OR(H16="not applicable",H16="verified",AND(I16="no",H16="tested")),1,0)</x:f>
        <x:v>1</x:v>
      </x:c>
    </x:row>
    <x:row r="17" s="135" customFormat="1" ht="60" customHeight="1">
      <x:c r="A17" s="143" t="inlineStr">
        <x:is>
          <x:t xml:space="preserve">PIN-09</x:t>
        </x:is>
      </x:c>
      <x:c r="B17" s="143" t="inlineStr">
        <x:is>
          <x:t xml:space="preserve">States</x:t>
        </x:is>
      </x:c>
      <x:c r="C17" s="143" t="inlineStr">
        <x:is>
          <x:t xml:space="preserve">All parts</x:t>
        </x:is>
      </x:c>
      <x:c r="D17" s="143" t="inlineStr">
        <x:is>
          <x:t xml:space="preserve">Disabled, read-only, invalid, required, filled, and masked states remain distinct.</x:t>
        </x:is>
      </x:c>
      <x:c r="E17" s="143" t="inlineStr">
        <x:is>
          <x:t xml:space="preserve">human</x:t>
        </x:is>
      </x:c>
      <x:c r="F17" s="143" t="inlineStr">
        <x:is>
          <x:t xml:space="preserve">visual</x:t>
        </x:is>
      </x:c>
      <x:c r="G17" s="143" t="inlineStr">
        <x:is>
          <x:t xml:space="preserve">tests/components/pin-input/visual.spec.ts</x:t>
        </x:is>
      </x:c>
      <x:c r="H17" s="143" t="inlineStr">
        <x:is>
          <x:t xml:space="preserve">not started</x:t>
        </x:is>
      </x:c>
      <x:c r="I17" s="143" t="inlineStr">
        <x:is>
          <x:t xml:space="preserve">yes</x:t>
        </x:is>
      </x:c>
      <x:c r="J17" s="143" t="n"/>
      <x:c r="K17" s="143" t="inlineStr">
        <x:is>
          <x:t xml:space="preserve">Manual device checks remain unperformed.</x:t>
        </x:is>
      </x:c>
      <x:c r="L17" s="143" t="n"/>
      <x:c r="M17" s="143" t="n">
        <x:f>IF(OR(H17="not applicable",H17="verified",AND(I17="no",H17="tested")),1,0)</x:f>
        <x:v>0</x:v>
      </x:c>
    </x:row>
    <x:row r="18" s="135" customFormat="1" ht="60" customHeight="1">
      <x:c r="A18" s="143" t="inlineStr">
        <x:is>
          <x:t xml:space="preserve">PIN-10</x:t>
        </x:is>
      </x:c>
      <x:c r="B18" s="143" t="inlineStr">
        <x:is>
          <x:t xml:space="preserve">Recipes</x:t>
        </x:is>
      </x:c>
      <x:c r="C18" s="143" t="inlineStr">
        <x:is>
          <x:t xml:space="preserve">Root/Group</x:t>
        </x:is>
      </x:c>
      <x:c r="D18" s="143" t="inlineStr">
        <x:is>
          <x:t xml:space="preserve">Responsive paint restoration, coherent invalid/underline focus and attached RTL seams pass.</x:t>
        </x:is>
      </x:c>
      <x:c r="E18" s="143" t="inlineStr">
        <x:is>
          <x:t xml:space="preserve">browser</x:t>
        </x:is>
      </x:c>
      <x:c r="F18" s="143" t="inlineStr">
        <x:is>
          <x:t xml:space="preserve">browser</x:t>
        </x:is>
      </x:c>
      <x:c r="G18" s="143" t="inlineStr">
        <x:is>
          <x:t xml:space="preserve">tests/components/pin-input/behavior.spec.ts</x:t>
        </x:is>
      </x:c>
      <x:c r="H18" s="143" t="inlineStr">
        <x:is>
          <x:t xml:space="preserve">tested</x:t>
        </x:is>
      </x:c>
      <x:c r="I18" s="143" t="inlineStr">
        <x:is>
          <x:t xml:space="preserve">no</x:t>
        </x:is>
      </x:c>
      <x:c r="J18" s="143" t="inlineStr">
        <x:is>
          <x:t xml:space="preserve">2026-09-18</x:t>
        </x:is>
      </x:c>
      <x:c r="K18" s="143" t="n"/>
      <x:c r="L18" s="143" t="n"/>
      <x:c r="M18" s="143" t="n">
        <x:f>IF(OR(H18="not applicable",H18="verified",AND(I18="no",H18="tested")),1,0)</x:f>
        <x:v>1</x:v>
      </x:c>
    </x:row>
    <x:row r="19" s="135" customFormat="1" ht="60" customHeight="1">
      <x:c r="A19" s="143" t="inlineStr">
        <x:is>
          <x:t xml:space="preserve">PIN-11</x:t>
        </x:is>
      </x:c>
      <x:c r="B19" s="143" t="inlineStr">
        <x:is>
          <x:t xml:space="preserve">Accessibility</x:t>
        </x:is>
      </x:c>
      <x:c r="C19" s="143" t="inlineStr">
        <x:is>
          <x:t xml:space="preserve">Root/Input</x:t>
        </x:is>
      </x:c>
      <x:c r="D19" s="143" t="inlineStr">
        <x:is>
          <x:t xml:space="preserve">The group uses valid ARIA, cells expose position labels, and the route has no axe violations.</x:t>
        </x:is>
      </x:c>
      <x:c r="E19" s="143" t="inlineStr">
        <x:is>
          <x:t xml:space="preserve">browser</x:t>
        </x:is>
      </x:c>
      <x:c r="F19" s="143" t="inlineStr">
        <x:is>
          <x:t xml:space="preserve">axe</x:t>
        </x:is>
      </x:c>
      <x:c r="G19" s="143" t="inlineStr">
        <x:is>
          <x:t xml:space="preserve">tests/components/pin-input/behavior.spec.ts</x:t>
        </x:is>
      </x:c>
      <x:c r="H19" s="143" t="inlineStr">
        <x:is>
          <x:t xml:space="preserve">tested</x:t>
        </x:is>
      </x:c>
      <x:c r="I19" s="143" t="inlineStr">
        <x:is>
          <x:t xml:space="preserve">no</x:t>
        </x:is>
      </x:c>
      <x:c r="J19" s="143" t="inlineStr">
        <x:is>
          <x:t xml:space="preserve">2026-09-18</x:t>
        </x:is>
      </x:c>
      <x:c r="K19" s="143" t="n"/>
      <x:c r="L19" s="143" t="n"/>
      <x:c r="M19" s="143" t="n">
        <x:f>IF(OR(H19="not applicable",H19="verified",AND(I19="no",H19="tested")),1,0)</x:f>
        <x:v>1</x:v>
      </x:c>
    </x:row>
    <x:row r="20" s="135" customFormat="1" ht="60" customHeight="1">
      <x:c r="A20" s="143" t="inlineStr">
        <x:is>
          <x:t xml:space="preserve">PIN-12</x:t>
        </x:is>
      </x:c>
      <x:c r="B20" s="143" t="inlineStr">
        <x:is>
          <x:t xml:space="preserve">Appearance</x:t>
        </x:is>
      </x:c>
      <x:c r="C20" s="143" t="inlineStr">
        <x:is>
          <x:t xml:space="preserve">All parts</x:t>
        </x:is>
      </x:c>
      <x:c r="D20" s="143" t="inlineStr">
        <x:is>
          <x:t xml:space="preserve">Light, dark, forced-color, focus, and invalid paint remain legible.</x:t>
        </x:is>
      </x:c>
      <x:c r="E20" s="143" t="inlineStr">
        <x:is>
          <x:t xml:space="preserve">human</x:t>
        </x:is>
      </x:c>
      <x:c r="F20" s="143" t="inlineStr">
        <x:is>
          <x:t xml:space="preserve">visual</x:t>
        </x:is>
      </x:c>
      <x:c r="G20" s="143" t="inlineStr">
        <x:is>
          <x:t xml:space="preserve">tests/components/pin-input/visual.spec.ts</x:t>
        </x:is>
      </x:c>
      <x:c r="H20" s="143" t="inlineStr">
        <x:is>
          <x:t xml:space="preserve">not started</x:t>
        </x:is>
      </x:c>
      <x:c r="I20" s="143" t="inlineStr">
        <x:is>
          <x:t xml:space="preserve">yes</x:t>
        </x:is>
      </x:c>
      <x:c r="J20" s="143" t="n"/>
      <x:c r="K20" s="143" t="inlineStr">
        <x:is>
          <x:t xml:space="preserve">Manual device checks remain unperformed.</x:t>
        </x:is>
      </x:c>
      <x:c r="L20" s="143" t="n"/>
      <x:c r="M20" s="143" t="n">
        <x:f>IF(OR(H20="not applicable",H20="verified",AND(I20="no",H20="tested")),1,0)</x:f>
        <x:v>0</x:v>
      </x:c>
    </x:row>
    <x:row r="21" s="135" customFormat="1" ht="60" customHeight="1">
      <x:c r="A21" s="143" t="inlineStr">
        <x:is>
          <x:t xml:space="preserve">PIN-13</x:t>
        </x:is>
      </x:c>
      <x:c r="B21" s="143" t="inlineStr">
        <x:is>
          <x:t xml:space="preserve">Responsive</x:t>
        </x:is>
      </x:c>
      <x:c r="C21" s="143" t="inlineStr">
        <x:is>
          <x:t xml:space="preserve">Group</x:t>
        </x:is>
      </x:c>
      <x:c r="D21" s="143" t="inlineStr">
        <x:is>
          <x:t xml:space="preserve">Narrow and zoomed layouts remain reachable without clipping code cells.</x:t>
        </x:is>
      </x:c>
      <x:c r="E21" s="143" t="inlineStr">
        <x:is>
          <x:t xml:space="preserve">human</x:t>
        </x:is>
      </x:c>
      <x:c r="F21" s="143" t="inlineStr">
        <x:is>
          <x:t xml:space="preserve">manual</x:t>
        </x:is>
      </x:c>
      <x:c r="G21" s="143" t="inlineStr">
        <x:is>
          <x:t xml:space="preserve">manual-tests/pin-input.md</x:t>
        </x:is>
      </x:c>
      <x:c r="H21" s="143" t="inlineStr">
        <x:is>
          <x:t xml:space="preserve">not started</x:t>
        </x:is>
      </x:c>
      <x:c r="I21" s="143" t="inlineStr">
        <x:is>
          <x:t xml:space="preserve">yes</x:t>
        </x:is>
      </x:c>
      <x:c r="J21" s="143" t="n"/>
      <x:c r="K21" s="143" t="inlineStr">
        <x:is>
          <x:t xml:space="preserve">Manual device checks remain unperformed.</x:t>
        </x:is>
      </x:c>
      <x:c r="L21" s="143" t="n"/>
      <x:c r="M21" s="143" t="n">
        <x:f>IF(OR(H21="not applicable",H21="verified",AND(I21="no",H21="tested")),1,0)</x:f>
        <x:v>0</x:v>
      </x:c>
    </x:row>
    <x:row r="22" s="135" customFormat="1" ht="60" customHeight="1">
      <x:c r="A22" s="143" t="inlineStr">
        <x:is>
          <x:t xml:space="preserve">PIN-14</x:t>
        </x:is>
      </x:c>
      <x:c r="B22" s="143" t="inlineStr">
        <x:is>
          <x:t xml:space="preserve">RTL</x:t>
        </x:is>
      </x:c>
      <x:c r="C22" s="143" t="inlineStr">
        <x:is>
          <x:t xml:space="preserve">Group</x:t>
        </x:is>
      </x:c>
      <x:c r="D22" s="143" t="inlineStr">
        <x:is>
          <x:t xml:space="preserve">RTL preserves logical code order and separator placement.</x:t>
        </x:is>
      </x:c>
      <x:c r="E22" s="143" t="inlineStr">
        <x:is>
          <x:t xml:space="preserve">human</x:t>
        </x:is>
      </x:c>
      <x:c r="F22" s="143" t="inlineStr">
        <x:is>
          <x:t xml:space="preserve">visual</x:t>
        </x:is>
      </x:c>
      <x:c r="G22" s="143" t="inlineStr">
        <x:is>
          <x:t xml:space="preserve">tests/components/pin-input/visual.spec.ts</x:t>
        </x:is>
      </x:c>
      <x:c r="H22" s="143" t="inlineStr">
        <x:is>
          <x:t xml:space="preserve">not started</x:t>
        </x:is>
      </x:c>
      <x:c r="I22" s="143" t="inlineStr">
        <x:is>
          <x:t xml:space="preserve">yes</x:t>
        </x:is>
      </x:c>
      <x:c r="J22" s="143" t="n"/>
      <x:c r="K22" s="143" t="inlineStr">
        <x:is>
          <x:t xml:space="preserve">Manual device checks remain unperformed.</x:t>
        </x:is>
      </x:c>
      <x:c r="L22" s="143" t="n"/>
      <x:c r="M22" s="143" t="n">
        <x:f>IF(OR(H22="not applicable",H22="verified",AND(I22="no",H22="tested")),1,0)</x:f>
        <x:v>0</x:v>
      </x:c>
    </x:row>
    <x:row r="23" s="135" customFormat="1" ht="60" customHeight="1">
      <x:c r="A23" s="143" t="inlineStr">
        <x:is>
          <x:t xml:space="preserve">PIN-15</x:t>
        </x:is>
      </x:c>
      <x:c r="B23" s="143" t="inlineStr">
        <x:is>
          <x:t xml:space="preserve">Customization</x:t>
        </x:is>
      </x:c>
      <x:c r="C23" s="143" t="inlineStr">
        <x:is>
          <x:t xml:space="preserve">Input</x:t>
        </x:is>
      </x:c>
      <x:c r="D23" s="143" t="inlineStr">
        <x:is>
          <x:t xml:space="preserve">Documented variables customize cell size and radius without changing anatomy.</x:t>
        </x:is>
      </x:c>
      <x:c r="E23" s="143" t="inlineStr">
        <x:is>
          <x:t xml:space="preserve">human</x:t>
        </x:is>
      </x:c>
      <x:c r="F23" s="143" t="inlineStr">
        <x:is>
          <x:t xml:space="preserve">manual</x:t>
        </x:is>
      </x:c>
      <x:c r="G23" s="143" t="inlineStr">
        <x:is>
          <x:t xml:space="preserve">manual-tests/pin-input.md</x:t>
        </x:is>
      </x:c>
      <x:c r="H23" s="143" t="inlineStr">
        <x:is>
          <x:t xml:space="preserve">not started</x:t>
        </x:is>
      </x:c>
      <x:c r="I23" s="143" t="inlineStr">
        <x:is>
          <x:t xml:space="preserve">yes</x:t>
        </x:is>
      </x:c>
      <x:c r="J23" s="143" t="n"/>
      <x:c r="K23" s="143" t="inlineStr">
        <x:is>
          <x:t xml:space="preserve">Manual device checks remain unperformed.</x:t>
        </x:is>
      </x:c>
      <x:c r="L23" s="143" t="n"/>
      <x:c r="M23" s="143" t="n">
        <x:f>IF(OR(H23="not applicable",H23="verified",AND(I23="no",H23="tested")),1,0)</x:f>
        <x:v>0</x:v>
      </x:c>
    </x:row>
    <x:row r="24" s="135" customFormat="1" ht="60" customHeight="1">
      <x:c r="A24" s="143" t="inlineStr">
        <x:is>
          <x:t xml:space="preserve">PIN-16</x:t>
        </x:is>
      </x:c>
      <x:c r="B24" s="143" t="inlineStr">
        <x:is>
          <x:t xml:space="preserve">Documentation</x:t>
        </x:is>
      </x:c>
      <x:c r="C24" s="143" t="inlineStr">
        <x:is>
          <x:t xml:space="preserve">PinInput</x:t>
        </x:is>
      </x:c>
      <x:c r="D24" s="143" t="inlineStr">
        <x:is>
          <x:t xml:space="preserve">Public guide, Agent Knowledge and twenty source-paired examples agree; twelve qualification scenarios retained.</x:t>
        </x:is>
      </x:c>
      <x:c r="E24" s="143" t="inlineStr">
        <x:is>
          <x:t xml:space="preserve">package</x:t>
        </x:is>
      </x:c>
      <x:c r="F24" s="143" t="inlineStr">
        <x:is>
          <x:t xml:space="preserve">docs</x:t>
        </x:is>
      </x:c>
      <x:c r="G24" s="143" t="inlineStr">
        <x:is>
          <x:t xml:space="preserve">../docs/components/pin-input/README.md; src/components/pin-input/documentation.ts</x:t>
        </x:is>
      </x:c>
      <x:c r="H24" s="143" t="inlineStr">
        <x:is>
          <x:t xml:space="preserve">tested</x:t>
        </x:is>
      </x:c>
      <x:c r="I24" s="143" t="inlineStr">
        <x:is>
          <x:t xml:space="preserve">no</x:t>
        </x:is>
      </x:c>
      <x:c r="J24" s="143" t="inlineStr">
        <x:is>
          <x:t xml:space="preserve">2026-09-18</x:t>
        </x:is>
      </x:c>
      <x:c r="K24" s="143" t="n"/>
      <x:c r="L24" s="143" t="n"/>
      <x:c r="M24" s="143" t="n">
        <x:f>IF(OR(H24="not applicable",H24="verified",AND(I24="no",H24="tested")),1,0)</x:f>
        <x:v>1</x:v>
      </x:c>
    </x:row>
    <x:row r="25" s="135" customFormat="1" ht="60" customHeight="1">
      <x:c r="A25" s="143" t="inlineStr">
        <x:is>
          <x:t xml:space="preserve">PIN-17</x:t>
        </x:is>
      </x:c>
      <x:c r="B25" s="143" t="inlineStr">
        <x:is>
          <x:t xml:space="preserve">Consumer</x:t>
        </x:is>
      </x:c>
      <x:c r="C25" s="143" t="inlineStr">
        <x:is>
          <x:t xml:space="preserve">PinInput</x:t>
        </x:is>
      </x:c>
      <x:c r="D25" s="143" t="inlineStr">
        <x:is>
          <x:t xml:space="preserve">Packed Consumer imports the public subpath and completes a Field-composed code.</x:t>
        </x:is>
      </x:c>
      <x:c r="E25" s="143" t="inlineStr">
        <x:is>
          <x:t xml:space="preserve">consumer</x:t>
        </x:is>
      </x:c>
      <x:c r="F25" s="143" t="inlineStr">
        <x:is>
          <x:t xml:space="preserve">consumer</x:t>
        </x:is>
      </x:c>
      <x:c r="G25" s="143" t="inlineStr">
        <x:is>
          <x:t xml:space="preserve">../apps/consumer/tests/consumer.spec.ts</x:t>
        </x:is>
      </x:c>
      <x:c r="H25" s="143" t="inlineStr">
        <x:is>
          <x:t xml:space="preserve">partial</x:t>
        </x:is>
      </x:c>
      <x:c r="I25" s="143" t="inlineStr">
        <x:is>
          <x:t xml:space="preserve">no</x:t>
        </x:is>
      </x:c>
      <x:c r="J25" s="143" t="inlineStr">
        <x:is>
          <x:t xml:space="preserve">2026-09-08</x:t>
        </x:is>
      </x:c>
      <x:c r="K25" s="143" t="inlineStr">
        <x:is>
          <x:t xml:space="preserve">Prior Consumer evidence retained; this pass verifies focused packed consumers, not the full Consumer application.</x:t>
        </x:is>
      </x:c>
      <x:c r="L25" s="143" t="n"/>
      <x:c r="M25" s="143" t="n">
        <x:f>IF(OR(H25="not applicable",H25="verified",AND(I25="no",H25="tested")),1,0)</x:f>
        <x:v>0</x:v>
      </x:c>
    </x:row>
    <x:row r="26" s="135" customFormat="1" ht="60" customHeight="1">
      <x:c r="A26" s="143" t="inlineStr">
        <x:is>
          <x:t xml:space="preserve">PIN-18</x:t>
        </x:is>
      </x:c>
      <x:c r="B26" s="143" t="inlineStr">
        <x:is>
          <x:t xml:space="preserve">Package</x:t>
        </x:is>
      </x:c>
      <x:c r="C26" s="143" t="inlineStr">
        <x:is>
          <x:t xml:space="preserve">PinInput</x:t>
        </x:is>
      </x:c>
      <x:c r="D26" s="143" t="inlineStr">
        <x:is>
          <x:t xml:space="preserve">Packed artifact and clean React 18/19 consumers resolve JS, types, CSS and the digest-locked local Atom candidate.</x:t>
        </x:is>
      </x:c>
      <x:c r="E26" s="143" t="inlineStr">
        <x:is>
          <x:t xml:space="preserve">package</x:t>
        </x:is>
      </x:c>
      <x:c r="F26" s="143" t="inlineStr">
        <x:is>
          <x:t xml:space="preserve">package</x:t>
        </x:is>
      </x:c>
      <x:c r="G26" s="143" t="inlineStr">
        <x:is>
          <x:t xml:space="preserve">../scripts/verify-consumers.mjs</x:t>
        </x:is>
      </x:c>
      <x:c r="H26" s="143" t="inlineStr">
        <x:is>
          <x:t xml:space="preserve">partial</x:t>
        </x:is>
      </x:c>
      <x:c r="I26" s="143" t="inlineStr">
        <x:is>
          <x:t xml:space="preserve">no</x:t>
        </x:is>
      </x:c>
      <x:c r="J26" s="143" t="inlineStr">
        <x:is>
          <x:t xml:space="preserve">2026-09-18</x:t>
        </x:is>
      </x:c>
      <x:c r="K26" s="143" t="inlineStr">
        <x:is>
          <x:t xml:space="preserve">Focused packed React 18/19 types, SSR, hydration and form value pass. Broader package gates remain open.</x:t>
        </x:is>
      </x:c>
      <x:c r="L26" s="143" t="n"/>
      <x:c r="M26" s="143" t="n">
        <x:f>IF(OR(H26="not applicable",H26="verified",AND(I26="no",H26="tested")),1,0)</x:f>
        <x:v>0</x:v>
      </x:c>
    </x:row>
    <x:row r="27" s="135" customFormat="1" ht="60" customHeight="1">
      <x:c r="A27" s="143" t="inlineStr">
        <x:is>
          <x:t xml:space="preserve">PIN-19</x:t>
        </x:is>
      </x:c>
      <x:c r="B27" s="143" t="inlineStr">
        <x:is>
          <x:t xml:space="preserve">Manual</x:t>
        </x:is>
      </x:c>
      <x:c r="C27" s="143" t="inlineStr">
        <x:is>
          <x:t xml:space="preserve">All parts</x:t>
        </x:is>
      </x:c>
      <x:c r="D27" s="143" t="inlineStr">
        <x:is>
          <x:t xml:space="preserve">Numbered protocol covers visual, typing, paste, forms, assistive technology, preferences, zoom, and RTL.</x:t>
        </x:is>
      </x:c>
      <x:c r="E27" s="143" t="inlineStr">
        <x:is>
          <x:t xml:space="preserve">human</x:t>
        </x:is>
      </x:c>
      <x:c r="F27" s="143" t="inlineStr">
        <x:is>
          <x:t xml:space="preserve">manual</x:t>
        </x:is>
      </x:c>
      <x:c r="G27" s="143" t="inlineStr">
        <x:is>
          <x:t xml:space="preserve">manual-tests/pin-input.md</x:t>
        </x:is>
      </x:c>
      <x:c r="H27" s="143" t="inlineStr">
        <x:is>
          <x:t xml:space="preserve">not started</x:t>
        </x:is>
      </x:c>
      <x:c r="I27" s="143" t="inlineStr">
        <x:is>
          <x:t xml:space="preserve">yes</x:t>
        </x:is>
      </x:c>
      <x:c r="J27" s="143" t="n"/>
      <x:c r="K27" s="143" t="inlineStr">
        <x:is>
          <x:t xml:space="preserve">Manual device checks remain unperformed.</x:t>
        </x:is>
      </x:c>
      <x:c r="L27" s="143" t="n"/>
      <x:c r="M27" s="143" t="n">
        <x:f>IF(OR(H27="not applicable",H27="verified",AND(I27="no",H27="tested")),1,0)</x:f>
        <x:v>0</x:v>
      </x:c>
    </x:row>
    <x:row r="28" s="135" customFormat="1" ht="60" customHeight="1">
      <x:c r="A28" s="143" t="inlineStr">
        <x:is>
          <x:t xml:space="preserve">PIN-20</x:t>
        </x:is>
      </x:c>
      <x:c r="B28" s="143" t="inlineStr">
        <x:is>
          <x:t xml:space="preserve">Visual</x:t>
        </x:is>
      </x:c>
      <x:c r="C28" s="143" t="inlineStr">
        <x:is>
          <x:t xml:space="preserve">All parts</x:t>
        </x:is>
      </x:c>
      <x:c r="D28" s="143" t="inlineStr">
        <x:is>
          <x:t xml:space="preserve">Snapshots cover default, recipes, states, and mobile RTL stress.</x:t>
        </x:is>
      </x:c>
      <x:c r="E28" s="143" t="inlineStr">
        <x:is>
          <x:t xml:space="preserve">human</x:t>
        </x:is>
      </x:c>
      <x:c r="F28" s="143" t="inlineStr">
        <x:is>
          <x:t xml:space="preserve">visual</x:t>
        </x:is>
      </x:c>
      <x:c r="G28" s="143" t="inlineStr">
        <x:is>
          <x:t xml:space="preserve">tests/components/pin-input/visual.spec.ts</x:t>
        </x:is>
      </x:c>
      <x:c r="H28" s="143" t="inlineStr">
        <x:is>
          <x:t xml:space="preserve">not started</x:t>
        </x:is>
      </x:c>
      <x:c r="I28" s="143" t="inlineStr">
        <x:is>
          <x:t xml:space="preserve">yes</x:t>
        </x:is>
      </x:c>
      <x:c r="J28" s="143" t="n"/>
      <x:c r="K28" s="143" t="inlineStr">
        <x:is>
          <x:t xml:space="preserve">Manual device checks remain unperformed.</x:t>
        </x:is>
      </x:c>
      <x:c r="L28" s="143" t="n"/>
      <x:c r="M28" s="143" t="n">
        <x:f>IF(OR(H28="not applicable",H28="verified",AND(I28="no",H28="tested")),1,0)</x:f>
        <x:v>0</x:v>
      </x:c>
    </x:row>
    <x:row r="29" s="135" customFormat="1" ht="15" customHeight="1">
      <x:c r="A29" s="138" t="n"/>
      <x:c r="B29" s="138" t="n"/>
      <x:c r="C29" s="138" t="n"/>
      <x:c r="D29" s="138" t="n"/>
      <x:c r="E29" s="138" t="n"/>
      <x:c r="F29" s="138" t="n"/>
      <x:c r="G29" s="138" t="n"/>
      <x:c r="H29" s="138" t="n"/>
      <x:c r="I29" s="138" t="n"/>
      <x:c r="J29" s="138" t="n"/>
      <x:c r="K29" s="138" t="n"/>
      <x:c r="L29" s="138" t="n"/>
      <x:c r="M29" s="138" t="n"/>
    </x:row>
    <x:row r="30" s="135" customFormat="1" ht="15" customHeight="1">
      <x:c r="A30" s="138" t="n"/>
      <x:c r="B30" s="138" t="n"/>
      <x:c r="C30" s="138" t="n"/>
      <x:c r="D30" s="138" t="n"/>
      <x:c r="E30" s="138" t="n"/>
      <x:c r="F30" s="138" t="n"/>
      <x:c r="G30" s="138" t="n"/>
      <x:c r="H30" s="138" t="n"/>
      <x:c r="I30" s="138" t="n"/>
      <x:c r="J30" s="138" t="n"/>
      <x:c r="K30" s="138" t="n"/>
      <x:c r="L30" s="138" t="n"/>
      <x:c r="M30" s="138" t="n"/>
    </x:row>
  </x:sheetData>
  <x:mergeCells>
    <x:mergeCell ref="A2:M2"/>
    <x:mergeCell ref="A1:M1"/>
  </x:mergeCells>
  <x:pageMargins left="0.7" right="0.7" top="0.75" bottom="0.75" header="0.3" footer="0.3"/>
</x:worksheet>
</file>

<file path=xl/worksheets/sheet130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baseColWidth="8" defaultColWidth="8.6796875" defaultRowHeight="15"/>
  <x:cols>
    <x:col min="1" max="1" width="15" style="138" customWidth="1"/>
    <x:col min="2" max="2" width="17" style="138" customWidth="1"/>
    <x:col min="3" max="3" width="20" style="138" customWidth="1"/>
    <x:col min="4" max="4" width="55" style="138" customWidth="1"/>
    <x:col min="5" max="6" width="15" style="138" customWidth="1"/>
    <x:col min="7" max="7" width="50" style="138" customWidth="1"/>
    <x:col min="8" max="9" width="17" style="138" customWidth="1"/>
    <x:col min="10" max="10" width="16" style="138" customWidth="1"/>
    <x:col min="11" max="11" width="40" style="138" customWidth="1"/>
    <x:col min="12" max="13" width="10" style="138" customWidth="1"/>
  </x:cols>
  <x:sheetData>
    <x:row r="1" s="135" customFormat="1" ht="27.75" customHeight="1">
      <x:c r="A1" s="233" t="inlineStr">
        <x:is>
          <x:t xml:space="preserve">QR Code Evidence</x:t>
        </x:is>
      </x:c>
    </x:row>
    <x:row r="2" s="135" customFormat="1" ht="36" customHeight="1">
      <x:c r="A2" s="138" t="inlineStr">
        <x:is>
          <x:t xml:space="preserve">Local candidate. Automated behavior, accessibility, encoding and export checks pass. Physical camera, print and assistive technology checks remain open.</x:t>
        </x:is>
      </x:c>
    </x:row>
    <x:row r="3" s="135" customFormat="1" ht="15" customHeight="1">
      <x:c r="A3" s="138" t="n"/>
      <x:c r="B3" s="138" t="n"/>
      <x:c r="C3" s="138" t="n"/>
      <x:c r="D3" s="138" t="n"/>
      <x:c r="E3" s="138" t="n"/>
      <x:c r="F3" s="138" t="n"/>
      <x:c r="G3" s="138" t="n"/>
      <x:c r="H3" s="138" t="n"/>
      <x:c r="I3" s="138" t="n"/>
      <x:c r="J3" s="138" t="n"/>
      <x:c r="K3" s="138" t="n"/>
      <x:c r="L3" s="138" t="n"/>
      <x:c r="M3" s="138" t="n"/>
    </x:row>
    <x:row r="4" s="135" customFormat="1" ht="15" customHeight="1">
      <x:c r="A4" s="138" t="inlineStr">
        <x:is>
          <x:t xml:space="preserve">Requirements</x:t>
        </x:is>
      </x:c>
      <x:c r="B4" s="138" t="n">
        <x:f>COUNTA(A9:A25)</x:f>
        <x:v>17</x:v>
      </x:c>
      <x:c r="C4" s="138" t="n"/>
      <x:c r="D4" s="138" t="inlineStr">
        <x:is>
          <x:t xml:space="preserve">Resolved</x:t>
        </x:is>
      </x:c>
      <x:c r="E4" s="138" t="n">
        <x:f>SUM(M9:M25)</x:f>
        <x:v>16</x:v>
      </x:c>
      <x:c r="F4" s="138" t="n"/>
      <x:c r="G4" s="138" t="inlineStr">
        <x:is>
          <x:t xml:space="preserve">Completion</x:t>
        </x:is>
      </x:c>
      <x:c r="H4" s="139" t="n">
        <x:f>IF(B4=0,0,E4/B4)</x:f>
        <x:v>0.9411764705882353</x:v>
      </x:c>
      <x:c r="I4" s="138" t="n"/>
      <x:c r="J4" s="138" t="inlineStr">
        <x:is>
          <x:t xml:space="preserve">Package gate</x:t>
        </x:is>
      </x:c>
      <x:c r="K4" s="138" t="inlineStr">
        <x:is>
          <x:t xml:space="preserve">open</x:t>
        </x:is>
      </x:c>
      <x:c r="L4" s="138" t="n"/>
      <x:c r="M4" s="138" t="n"/>
    </x:row>
    <x:row r="5" s="135" customFormat="1" ht="15" customHeight="1">
      <x:c r="A5" s="138" t="inlineStr">
        <x:is>
          <x:t xml:space="preserve">Manual review</x:t>
        </x:is>
      </x:c>
      <x:c r="B5" s="138" t="inlineStr">
        <x:is>
          <x:t xml:space="preserve">open</x:t>
        </x:is>
      </x:c>
      <x:c r="C5" s="138" t="n"/>
      <x:c r="D5" s="138" t="inlineStr">
        <x:is>
          <x:t xml:space="preserve">Consumer gate</x:t>
        </x:is>
      </x:c>
      <x:c r="E5" s="138" t="inlineStr">
        <x:is>
          <x:t xml:space="preserve">complete</x:t>
        </x:is>
      </x:c>
      <x:c r="F5" s="138" t="n"/>
      <x:c r="G5" s="138" t="n"/>
      <x:c r="H5" s="138" t="n"/>
      <x:c r="I5" s="138" t="n"/>
      <x:c r="J5" s="138" t="n"/>
      <x:c r="K5" s="138" t="n"/>
      <x:c r="L5" s="138" t="n"/>
      <x:c r="M5" s="138" t="n"/>
    </x:row>
    <x:row r="6" s="135" customFormat="1" ht="15" customHeight="1">
      <x:c r="A6" s="138" t="n"/>
      <x:c r="B6" s="138" t="n"/>
      <x:c r="C6" s="138" t="n"/>
      <x:c r="D6" s="138" t="n"/>
      <x:c r="E6" s="138" t="n"/>
      <x:c r="F6" s="138" t="n"/>
      <x:c r="G6" s="138" t="n"/>
      <x:c r="H6" s="138" t="n"/>
      <x:c r="I6" s="138" t="n"/>
      <x:c r="J6" s="138" t="n"/>
      <x:c r="K6" s="138" t="n"/>
      <x:c r="L6" s="138" t="n"/>
      <x:c r="M6" s="138" t="n"/>
    </x:row>
    <x:row r="7" s="135" customFormat="1" ht="15" customHeight="1">
      <x:c r="A7" s="138" t="n"/>
      <x:c r="B7" s="138" t="n"/>
      <x:c r="C7" s="138" t="n"/>
      <x:c r="D7" s="138" t="n"/>
      <x:c r="E7" s="138" t="n"/>
      <x:c r="F7" s="138" t="n"/>
      <x:c r="G7" s="138" t="n"/>
      <x:c r="H7" s="138" t="n"/>
      <x:c r="I7" s="138" t="n"/>
      <x:c r="J7" s="138" t="n"/>
      <x:c r="K7" s="138" t="n"/>
      <x:c r="L7" s="138" t="n"/>
      <x:c r="M7" s="138" t="n"/>
    </x:row>
    <x:row r="8" s="135" customFormat="1" ht="15" customHeight="1">
      <x:c r="A8" s="138" t="inlineStr">
        <x:is>
          <x:t xml:space="preserve">ID</x:t>
        </x:is>
      </x:c>
      <x:c r="B8" s="138" t="inlineStr">
        <x:is>
          <x:t xml:space="preserve">Area</x:t>
        </x:is>
      </x:c>
      <x:c r="C8" s="138" t="inlineStr">
        <x:is>
          <x:t xml:space="preserve">Part</x:t>
        </x:is>
      </x:c>
      <x:c r="D8" s="138" t="inlineStr">
        <x:is>
          <x:t xml:space="preserve">Requirement</x:t>
        </x:is>
      </x:c>
      <x:c r="E8" s="138" t="inlineStr">
        <x:is>
          <x:t xml:space="preserve">Gate</x:t>
        </x:is>
      </x:c>
      <x:c r="F8" s="138" t="inlineStr">
        <x:is>
          <x:t xml:space="preserve">Evidence type</x:t>
        </x:is>
      </x:c>
      <x:c r="G8" s="138" t="inlineStr">
        <x:is>
          <x:t xml:space="preserve">Evidence / link</x:t>
        </x:is>
      </x:c>
      <x:c r="H8" s="138" t="inlineStr">
        <x:is>
          <x:t xml:space="preserve">Status</x:t>
        </x:is>
      </x:c>
      <x:c r="I8" s="138" t="inlineStr">
        <x:is>
          <x:t xml:space="preserve">Human review?</x:t>
        </x:is>
      </x:c>
      <x:c r="J8" s="138" t="inlineStr">
        <x:is>
          <x:t xml:space="preserve">Last verified</x:t>
        </x:is>
      </x:c>
      <x:c r="K8" s="138" t="inlineStr">
        <x:is>
          <x:t xml:space="preserve">Blocker / N/A reason</x:t>
        </x:is>
      </x:c>
      <x:c r="L8" s="138" t="inlineStr">
        <x:is>
          <x:t xml:space="preserve">Weight</x:t>
        </x:is>
      </x:c>
      <x:c r="M8" s="138" t="inlineStr">
        <x:is>
          <x:t xml:space="preserve">Resolved</x:t>
        </x:is>
      </x:c>
    </x:row>
    <x:row r="9" s="135" customFormat="1" ht="60" customHeight="1">
      <x:c r="A9" s="143" t="inlineStr">
        <x:is>
          <x:t xml:space="preserve">qr-code-01</x:t>
        </x:is>
      </x:c>
      <x:c r="B9" s="143" t="inlineStr">
        <x:is>
          <x:t xml:space="preserve">Semantics</x:t>
        </x:is>
      </x:c>
      <x:c r="C9" s="143" t="inlineStr">
        <x:is>
          <x:t xml:space="preserve">Frame</x:t>
        </x:is>
      </x:c>
      <x:c r="D9" s="143" t="str">
        <x:v>Named SVG, scoped IDs, composed hosts and cleanup refs.</x:v>
      </x:c>
      <x:c r="E9" s="143" t="inlineStr">
        <x:is>
          <x:t xml:space="preserve">package</x:t>
        </x:is>
      </x:c>
      <x:c r="F9" s="143" t="inlineStr">
        <x:is>
          <x:t xml:space="preserve">component</x:t>
        </x:is>
      </x:c>
      <x:c r="G9" s="143" t="inlineStr">
        <x:is>
          <x:t xml:space="preserve">../test/components/qr-code/qr-code.test.tsx</x:t>
        </x:is>
      </x:c>
      <x:c r="H9" s="143" t="inlineStr">
        <x:is>
          <x:t xml:space="preserve">tested</x:t>
        </x:is>
      </x:c>
      <x:c r="I9" s="143" t="inlineStr">
        <x:is>
          <x:t xml:space="preserve">no</x:t>
        </x:is>
      </x:c>
      <x:c r="J9" s="143" t="str">
        <x:v>2026-09-19</x:v>
      </x:c>
      <x:c r="K9" s="143" t="n"/>
      <x:c r="L9" s="143" t="n">
        <x:v>1</x:v>
      </x:c>
      <x:c r="M9" s="143" t="n">
        <x:f>IF(OR(H9="not applicable",H9="verified",AND(I9="no",H9="tested")),1,0)</x:f>
        <x:v>1</x:v>
      </x:c>
    </x:row>
    <x:row r="10" s="135" customFormat="1" ht="60" customHeight="1">
      <x:c r="A10" s="143" t="inlineStr">
        <x:is>
          <x:t xml:space="preserve">qr-code-02</x:t>
        </x:is>
      </x:c>
      <x:c r="B10" s="143" t="inlineStr">
        <x:is>
          <x:t xml:space="preserve">State</x:t>
        </x:is>
      </x:c>
      <x:c r="C10" s="143" t="inlineStr">
        <x:is>
          <x:t xml:space="preserve">Root</x:t>
        </x:is>
      </x:c>
      <x:c r="D10" s="143" t="inlineStr">
        <x:is>
          <x:t xml:space="preserve">Errors suppress stale patterns and disable export.</x:t>
        </x:is>
      </x:c>
      <x:c r="E10" s="143" t="inlineStr">
        <x:is>
          <x:t xml:space="preserve">package</x:t>
        </x:is>
      </x:c>
      <x:c r="F10" s="143" t="inlineStr">
        <x:is>
          <x:t xml:space="preserve">component</x:t>
        </x:is>
      </x:c>
      <x:c r="G10" s="143" t="inlineStr">
        <x:is>
          <x:t xml:space="preserve">../test/components/qr-code/qr-code.test.tsx</x:t>
        </x:is>
      </x:c>
      <x:c r="H10" s="143" t="inlineStr">
        <x:is>
          <x:t xml:space="preserve">tested</x:t>
        </x:is>
      </x:c>
      <x:c r="I10" s="143" t="inlineStr">
        <x:is>
          <x:t xml:space="preserve">no</x:t>
        </x:is>
      </x:c>
      <x:c r="J10" s="143" t="str">
        <x:v>2026-09-19</x:v>
      </x:c>
      <x:c r="K10" s="143" t="n"/>
      <x:c r="L10" s="143" t="n">
        <x:v>1</x:v>
      </x:c>
      <x:c r="M10" s="143" t="n">
        <x:f>IF(OR(H10="not applicable",H10="verified",AND(I10="no",H10="tested")),1,0)</x:f>
        <x:v>1</x:v>
      </x:c>
    </x:row>
    <x:row r="11" s="135" customFormat="1" ht="60" customHeight="1">
      <x:c r="A11" s="143" t="inlineStr">
        <x:is>
          <x:t xml:space="preserve">qr-code-03</x:t>
        </x:is>
      </x:c>
      <x:c r="B11" s="143" t="inlineStr">
        <x:is>
          <x:t xml:space="preserve">Types</x:t>
        </x:is>
      </x:c>
      <x:c r="C11" s="143" t="inlineStr">
        <x:is>
          <x:t xml:space="preserve">API</x:t>
        </x:is>
      </x:c>
      <x:c r="D11" s="143" t="str">
        <x:v>Responsive QR size, icon labels and independent action/export sizes.</x:v>
      </x:c>
      <x:c r="E11" s="143" t="inlineStr">
        <x:is>
          <x:t xml:space="preserve">package</x:t>
        </x:is>
      </x:c>
      <x:c r="F11" s="143" t="inlineStr">
        <x:is>
          <x:t xml:space="preserve">types</x:t>
        </x:is>
      </x:c>
      <x:c r="G11" s="143" t="inlineStr">
        <x:is>
          <x:t xml:space="preserve">../test/types/components/qr-code.test.ts</x:t>
        </x:is>
      </x:c>
      <x:c r="H11" s="143" t="inlineStr">
        <x:is>
          <x:t xml:space="preserve">tested</x:t>
        </x:is>
      </x:c>
      <x:c r="I11" s="143" t="inlineStr">
        <x:is>
          <x:t xml:space="preserve">no</x:t>
        </x:is>
      </x:c>
      <x:c r="J11" s="143" t="str">
        <x:v>2026-09-19</x:v>
      </x:c>
      <x:c r="K11" s="143" t="n"/>
      <x:c r="L11" s="143" t="n">
        <x:v>1</x:v>
      </x:c>
      <x:c r="M11" s="143" t="n">
        <x:f>IF(OR(H11="not applicable",H11="verified",AND(I11="no",H11="tested")),1,0)</x:f>
        <x:v>1</x:v>
      </x:c>
    </x:row>
    <x:row r="12" s="135" customFormat="1" ht="60" customHeight="1">
      <x:c r="A12" s="143" t="inlineStr">
        <x:is>
          <x:t xml:space="preserve">qr-code-04</x:t>
        </x:is>
      </x:c>
      <x:c r="B12" s="143" t="inlineStr">
        <x:is>
          <x:t xml:space="preserve">Geometry</x:t>
        </x:is>
      </x:c>
      <x:c r="C12" s="143" t="inlineStr">
        <x:is>
          <x:t xml:space="preserve">Frame</x:t>
        </x:is>
      </x:c>
      <x:c r="D12" s="143" t="str">
        <x:v>Square presets and responsive full-width containment.</x:v>
      </x:c>
      <x:c r="E12" s="143" t="inlineStr">
        <x:is>
          <x:t xml:space="preserve">package</x:t>
        </x:is>
      </x:c>
      <x:c r="F12" s="143" t="inlineStr">
        <x:is>
          <x:t xml:space="preserve">browser</x:t>
        </x:is>
      </x:c>
      <x:c r="G12" s="143" t="inlineStr">
        <x:is>
          <x:t xml:space="preserve">tests/components/qr-code/behavior.spec.ts</x:t>
        </x:is>
      </x:c>
      <x:c r="H12" s="143" t="inlineStr">
        <x:is>
          <x:t xml:space="preserve">tested</x:t>
        </x:is>
      </x:c>
      <x:c r="I12" s="143" t="inlineStr">
        <x:is>
          <x:t xml:space="preserve">no</x:t>
        </x:is>
      </x:c>
      <x:c r="J12" s="143" t="str">
        <x:v>2026-09-19</x:v>
      </x:c>
      <x:c r="K12" s="143" t="n"/>
      <x:c r="L12" s="143" t="n">
        <x:v>1</x:v>
      </x:c>
      <x:c r="M12" s="143" t="n">
        <x:f>IF(OR(H12="not applicable",H12="verified",AND(I12="no",H12="tested")),1,0)</x:f>
        <x:v>1</x:v>
      </x:c>
    </x:row>
    <x:row r="13" s="135" customFormat="1" ht="60" customHeight="1">
      <x:c r="A13" s="143" t="inlineStr">
        <x:is>
          <x:t xml:space="preserve">qr-code-05</x:t>
        </x:is>
      </x:c>
      <x:c r="B13" s="143" t="inlineStr">
        <x:is>
          <x:t xml:space="preserve">Encoding</x:t>
        </x:is>
      </x:c>
      <x:c r="C13" s="143" t="inlineStr">
        <x:is>
          <x:t xml:space="preserve">Controller</x:t>
        </x:is>
      </x:c>
      <x:c r="D13" s="143" t="inlineStr">
        <x:is>
          <x:t xml:space="preserve">Independent exact Unicode and ECC round trips.</x:t>
        </x:is>
      </x:c>
      <x:c r="E13" s="143" t="inlineStr">
        <x:is>
          <x:t xml:space="preserve">package</x:t>
        </x:is>
      </x:c>
      <x:c r="F13" s="143" t="inlineStr">
        <x:is>
          <x:t xml:space="preserve">atom</x:t>
        </x:is>
      </x:c>
      <x:c r="G13" s="143" t="inlineStr">
        <x:is>
          <x:t xml:space="preserve">../../../atom-ui/package/test/primitives/qr-code.test.mjs</x:t>
        </x:is>
      </x:c>
      <x:c r="H13" s="143" t="inlineStr">
        <x:is>
          <x:t xml:space="preserve">tested</x:t>
        </x:is>
      </x:c>
      <x:c r="I13" s="143" t="inlineStr">
        <x:is>
          <x:t xml:space="preserve">no</x:t>
        </x:is>
      </x:c>
      <x:c r="J13" s="143" t="str">
        <x:v>2026-09-19</x:v>
      </x:c>
      <x:c r="K13" s="143" t="n"/>
      <x:c r="L13" s="143" t="n">
        <x:v>1</x:v>
      </x:c>
      <x:c r="M13" s="143" t="n">
        <x:f>IF(OR(H13="not applicable",H13="verified",AND(I13="no",H13="tested")),1,0)</x:f>
        <x:v>1</x:v>
      </x:c>
    </x:row>
    <x:row r="14" s="135" customFormat="1" ht="60" customHeight="1">
      <x:c r="A14" s="143" t="inlineStr">
        <x:is>
          <x:t xml:space="preserve">qr-code-06</x:t>
        </x:is>
      </x:c>
      <x:c r="B14" s="143" t="inlineStr">
        <x:is>
          <x:t xml:space="preserve">Export</x:t>
        </x:is>
      </x:c>
      <x:c r="C14" s="143" t="inlineStr">
        <x:is>
          <x:t xml:space="preserve">DownloadTrigger</x:t>
        </x:is>
      </x:c>
      <x:c r="D14" s="143" t="inlineStr">
        <x:is>
          <x:t xml:space="preserve">Exported PNG independently decodes with and without a logo in three engines.</x:t>
        </x:is>
      </x:c>
      <x:c r="E14" s="143" t="inlineStr">
        <x:is>
          <x:t xml:space="preserve">package</x:t>
        </x:is>
      </x:c>
      <x:c r="F14" s="143" t="inlineStr">
        <x:is>
          <x:t xml:space="preserve">atom</x:t>
        </x:is>
      </x:c>
      <x:c r="G14" s="143" t="inlineStr">
        <x:is>
          <x:t xml:space="preserve">../../../atom-ui/package/test/browser/qr-code.spec.ts</x:t>
        </x:is>
      </x:c>
      <x:c r="H14" s="143" t="inlineStr">
        <x:is>
          <x:t xml:space="preserve">tested</x:t>
        </x:is>
      </x:c>
      <x:c r="I14" s="143" t="inlineStr">
        <x:is>
          <x:t xml:space="preserve">no</x:t>
        </x:is>
      </x:c>
      <x:c r="J14" s="143" t="str">
        <x:v>2026-09-19</x:v>
      </x:c>
      <x:c r="K14" s="143" t="n"/>
      <x:c r="L14" s="143" t="n">
        <x:v>1</x:v>
      </x:c>
      <x:c r="M14" s="143" t="n">
        <x:f>IF(OR(H14="not applicable",H14="verified",AND(I14="no",H14="tested")),1,0)</x:f>
        <x:v>1</x:v>
      </x:c>
    </x:row>
    <x:row r="15" s="135" customFormat="1" ht="60" customHeight="1">
      <x:c r="A15" s="143" t="inlineStr">
        <x:is>
          <x:t xml:space="preserve">qr-code-07</x:t>
        </x:is>
      </x:c>
      <x:c r="B15" s="143" t="inlineStr">
        <x:is>
          <x:t xml:space="preserve">Errors</x:t>
        </x:is>
      </x:c>
      <x:c r="C15" s="143" t="inlineStr">
        <x:is>
          <x:t xml:space="preserve">Overlay</x:t>
        </x:is>
      </x:c>
      <x:c r="D15" s="143" t="inlineStr">
        <x:is>
          <x:t xml:space="preserve">Unsupported artwork rejects; omission is explicit.</x:t>
        </x:is>
      </x:c>
      <x:c r="E15" s="143" t="inlineStr">
        <x:is>
          <x:t xml:space="preserve">package</x:t>
        </x:is>
      </x:c>
      <x:c r="F15" s="143" t="inlineStr">
        <x:is>
          <x:t xml:space="preserve">atom</x:t>
        </x:is>
      </x:c>
      <x:c r="G15" s="143" t="inlineStr">
        <x:is>
          <x:t xml:space="preserve">../../../atom-ui/package/test/browser/qr-code.spec.ts</x:t>
        </x:is>
      </x:c>
      <x:c r="H15" s="143" t="inlineStr">
        <x:is>
          <x:t xml:space="preserve">tested</x:t>
        </x:is>
      </x:c>
      <x:c r="I15" s="143" t="inlineStr">
        <x:is>
          <x:t xml:space="preserve">no</x:t>
        </x:is>
      </x:c>
      <x:c r="J15" s="143" t="str">
        <x:v>2026-09-19</x:v>
      </x:c>
      <x:c r="K15" s="143" t="n"/>
      <x:c r="L15" s="143" t="n">
        <x:v>1</x:v>
      </x:c>
      <x:c r="M15" s="143" t="n">
        <x:f>IF(OR(H15="not applicable",H15="verified",AND(I15="no",H15="tested")),1,0)</x:f>
        <x:v>1</x:v>
      </x:c>
    </x:row>
    <x:row r="16" s="135" customFormat="1" ht="60" customHeight="1">
      <x:c r="A16" s="143" t="inlineStr">
        <x:is>
          <x:t xml:space="preserve">qr-code-08</x:t>
        </x:is>
      </x:c>
      <x:c r="B16" s="143" t="inlineStr">
        <x:is>
          <x:t xml:space="preserve">Appearance</x:t>
        </x:is>
      </x:c>
      <x:c r="C16" s="143" t="inlineStr">
        <x:is>
          <x:t xml:space="preserve">Frame / Overlay</x:t>
        </x:is>
      </x:c>
      <x:c r="D16" s="143" t="str">
        <x:v>Scan-safe paint and centered root-customized overlay.</x:v>
      </x:c>
      <x:c r="E16" s="143" t="inlineStr">
        <x:is>
          <x:t xml:space="preserve">package</x:t>
        </x:is>
      </x:c>
      <x:c r="F16" s="143" t="inlineStr">
        <x:is>
          <x:t xml:space="preserve">browser</x:t>
        </x:is>
      </x:c>
      <x:c r="G16" s="143" t="inlineStr">
        <x:is>
          <x:t xml:space="preserve">tests/components/qr-code/behavior.spec.ts</x:t>
        </x:is>
      </x:c>
      <x:c r="H16" s="143" t="inlineStr">
        <x:is>
          <x:t xml:space="preserve">tested</x:t>
        </x:is>
      </x:c>
      <x:c r="I16" s="143" t="inlineStr">
        <x:is>
          <x:t xml:space="preserve">no</x:t>
        </x:is>
      </x:c>
      <x:c r="J16" s="143" t="str">
        <x:v>2026-09-19</x:v>
      </x:c>
      <x:c r="K16" s="143" t="n"/>
      <x:c r="L16" s="143" t="n">
        <x:v>1</x:v>
      </x:c>
      <x:c r="M16" s="143" t="n">
        <x:f>IF(OR(H16="not applicable",H16="verified",AND(I16="no",H16="tested")),1,0)</x:f>
        <x:v>1</x:v>
      </x:c>
    </x:row>
    <x:row r="17" s="135" customFormat="1" ht="60" customHeight="1">
      <x:c r="A17" s="143" t="inlineStr">
        <x:is>
          <x:t xml:space="preserve">qr-code-09</x:t>
        </x:is>
      </x:c>
      <x:c r="B17" s="143" t="inlineStr">
        <x:is>
          <x:t xml:space="preserve">Accessibility</x:t>
        </x:is>
      </x:c>
      <x:c r="C17" s="143" t="inlineStr">
        <x:is>
          <x:t xml:space="preserve">Frame / actions</x:t>
        </x:is>
      </x:c>
      <x:c r="D17" s="143" t="inlineStr">
        <x:is>
          <x:t xml:space="preserve">No serious or critical axe violations in the QR page.</x:t>
        </x:is>
      </x:c>
      <x:c r="E17" s="143" t="inlineStr">
        <x:is>
          <x:t xml:space="preserve">package</x:t>
        </x:is>
      </x:c>
      <x:c r="F17" s="143" t="inlineStr">
        <x:is>
          <x:t xml:space="preserve">axe</x:t>
        </x:is>
      </x:c>
      <x:c r="G17" s="143" t="inlineStr">
        <x:is>
          <x:t xml:space="preserve">tests/components/qr-code/behavior.spec.ts</x:t>
        </x:is>
      </x:c>
      <x:c r="H17" s="143" t="inlineStr">
        <x:is>
          <x:t xml:space="preserve">tested</x:t>
        </x:is>
      </x:c>
      <x:c r="I17" s="143" t="inlineStr">
        <x:is>
          <x:t xml:space="preserve">no</x:t>
        </x:is>
      </x:c>
      <x:c r="J17" s="143" t="str">
        <x:v>2026-09-19</x:v>
      </x:c>
      <x:c r="K17" s="143" t="n"/>
      <x:c r="L17" s="143" t="n">
        <x:v>1</x:v>
      </x:c>
      <x:c r="M17" s="143" t="n">
        <x:f>IF(OR(H17="not applicable",H17="verified",AND(I17="no",H17="tested")),1,0)</x:f>
        <x:v>1</x:v>
      </x:c>
    </x:row>
    <x:row r="18" s="135" customFormat="1" ht="60" customHeight="1">
      <x:c r="A18" s="143" t="inlineStr">
        <x:is>
          <x:t xml:space="preserve">qr-code-10</x:t>
        </x:is>
      </x:c>
      <x:c r="B18" s="143" t="inlineStr">
        <x:is>
          <x:t xml:space="preserve">Composition</x:t>
        </x:is>
      </x:c>
      <x:c r="C18" s="143" t="inlineStr">
        <x:is>
          <x:t xml:space="preserve">Dialog</x:t>
        </x:is>
      </x:c>
      <x:c r="D18" s="143" t="inlineStr">
        <x:is>
          <x:t xml:space="preserve">Download, dialog opening and dismissal remain usable.</x:t>
        </x:is>
      </x:c>
      <x:c r="E18" s="143" t="inlineStr">
        <x:is>
          <x:t xml:space="preserve">package</x:t>
        </x:is>
      </x:c>
      <x:c r="F18" s="143" t="inlineStr">
        <x:is>
          <x:t xml:space="preserve">browser</x:t>
        </x:is>
      </x:c>
      <x:c r="G18" s="143" t="inlineStr">
        <x:is>
          <x:t xml:space="preserve">tests/components/qr-code/behavior.spec.ts</x:t>
        </x:is>
      </x:c>
      <x:c r="H18" s="143" t="inlineStr">
        <x:is>
          <x:t xml:space="preserve">tested</x:t>
        </x:is>
      </x:c>
      <x:c r="I18" s="143" t="inlineStr">
        <x:is>
          <x:t xml:space="preserve">no</x:t>
        </x:is>
      </x:c>
      <x:c r="J18" s="143" t="str">
        <x:v>2026-09-19</x:v>
      </x:c>
      <x:c r="K18" s="143" t="n"/>
      <x:c r="L18" s="143" t="n">
        <x:v>1</x:v>
      </x:c>
      <x:c r="M18" s="143" t="n">
        <x:f>IF(OR(H18="not applicable",H18="verified",AND(I18="no",H18="tested")),1,0)</x:f>
        <x:v>1</x:v>
      </x:c>
    </x:row>
    <x:row r="19" s="135" customFormat="1" ht="60" customHeight="1">
      <x:c r="A19" s="143" t="inlineStr">
        <x:is>
          <x:t xml:space="preserve">qr-code-11</x:t>
        </x:is>
      </x:c>
      <x:c r="B19" s="143" t="inlineStr">
        <x:is>
          <x:t xml:space="preserve">Visual</x:t>
        </x:is>
      </x:c>
      <x:c r="C19" s="143" t="inlineStr">
        <x:is>
          <x:t xml:space="preserve">Recipes</x:t>
        </x:is>
      </x:c>
      <x:c r="D19" s="143" t="str">
        <x:v>Size, logo and shared action screenshots inspected.</x:v>
      </x:c>
      <x:c r="E19" s="143" t="inlineStr">
        <x:is>
          <x:t xml:space="preserve">package</x:t>
        </x:is>
      </x:c>
      <x:c r="F19" s="143" t="inlineStr">
        <x:is>
          <x:t xml:space="preserve">visual</x:t>
        </x:is>
      </x:c>
      <x:c r="G19" s="143" t="inlineStr">
        <x:is>
          <x:t xml:space="preserve">tests/components/qr-code/visual.spec.ts</x:t>
        </x:is>
      </x:c>
      <x:c r="H19" s="143" t="inlineStr">
        <x:is>
          <x:t xml:space="preserve">verified</x:t>
        </x:is>
      </x:c>
      <x:c r="I19" s="143" t="inlineStr">
        <x:is>
          <x:t xml:space="preserve">yes</x:t>
        </x:is>
      </x:c>
      <x:c r="J19" s="143" t="str">
        <x:v>2026-09-19</x:v>
      </x:c>
      <x:c r="K19" s="143" t="n"/>
      <x:c r="L19" s="143" t="n">
        <x:v>1</x:v>
      </x:c>
      <x:c r="M19" s="143" t="n">
        <x:f>IF(OR(H19="not applicable",H19="verified",AND(I19="no",H19="tested")),1,0)</x:f>
        <x:v>1</x:v>
      </x:c>
    </x:row>
    <x:row r="20" s="135" customFormat="1" ht="60" customHeight="1">
      <x:c r="A20" s="143" t="inlineStr">
        <x:is>
          <x:t xml:space="preserve">qr-code-12</x:t>
        </x:is>
      </x:c>
      <x:c r="B20" s="143" t="inlineStr">
        <x:is>
          <x:t xml:space="preserve">Inventory</x:t>
        </x:is>
      </x:c>
      <x:c r="C20" s="143" t="inlineStr">
        <x:is>
          <x:t xml:space="preserve">Page</x:t>
        </x:is>
      </x:c>
      <x:c r="D20" s="143" t="str">
        <x:v>15 source-paired examples; 18 qualification scenarios.</x:v>
      </x:c>
      <x:c r="E20" s="143" t="inlineStr">
        <x:is>
          <x:t xml:space="preserve">package</x:t>
        </x:is>
      </x:c>
      <x:c r="F20" s="143" t="inlineStr">
        <x:is>
          <x:t xml:space="preserve">browser</x:t>
        </x:is>
      </x:c>
      <x:c r="G20" s="143" t="inlineStr">
        <x:is>
          <x:t xml:space="preserve">recent-component-capabilities.json</x:t>
        </x:is>
      </x:c>
      <x:c r="H20" s="143" t="inlineStr">
        <x:is>
          <x:t xml:space="preserve">tested</x:t>
        </x:is>
      </x:c>
      <x:c r="I20" s="143" t="inlineStr">
        <x:is>
          <x:t xml:space="preserve">no</x:t>
        </x:is>
      </x:c>
      <x:c r="J20" s="143" t="str">
        <x:v>2026-09-19</x:v>
      </x:c>
      <x:c r="K20" s="143" t="n"/>
      <x:c r="L20" s="143" t="n">
        <x:v>1</x:v>
      </x:c>
      <x:c r="M20" s="143" t="n">
        <x:f>IF(OR(H20="not applicable",H20="verified",AND(I20="no",H20="tested")),1,0)</x:f>
        <x:v>1</x:v>
      </x:c>
    </x:row>
    <x:row r="21" s="135" customFormat="1" ht="60" customHeight="1">
      <x:c r="A21" s="143" t="inlineStr">
        <x:is>
          <x:t xml:space="preserve">qr-code-13</x:t>
        </x:is>
      </x:c>
      <x:c r="B21" s="143" t="inlineStr">
        <x:is>
          <x:t xml:space="preserve">Documentation</x:t>
        </x:is>
      </x:c>
      <x:c r="C21" s="143" t="inlineStr">
        <x:is>
          <x:t xml:space="preserve">Public guide</x:t>
        </x:is>
      </x:c>
      <x:c r="D21" s="143" t="str">
        <x:v>Responsive API, defaults, composition, actions and guidance.</x:v>
      </x:c>
      <x:c r="E21" s="143" t="inlineStr">
        <x:is>
          <x:t xml:space="preserve">package</x:t>
        </x:is>
      </x:c>
      <x:c r="F21" s="143" t="inlineStr">
        <x:is>
          <x:t xml:space="preserve">docs</x:t>
        </x:is>
      </x:c>
      <x:c r="G21" s="143" t="inlineStr">
        <x:is>
          <x:t xml:space="preserve">../docs/components/qr-code/README.md</x:t>
        </x:is>
      </x:c>
      <x:c r="H21" s="143" t="inlineStr">
        <x:is>
          <x:t xml:space="preserve">tested</x:t>
        </x:is>
      </x:c>
      <x:c r="I21" s="143" t="inlineStr">
        <x:is>
          <x:t xml:space="preserve">no</x:t>
        </x:is>
      </x:c>
      <x:c r="J21" s="143" t="str">
        <x:v>2026-09-19</x:v>
      </x:c>
      <x:c r="K21" s="143" t="n"/>
      <x:c r="L21" s="143" t="n">
        <x:v>1</x:v>
      </x:c>
      <x:c r="M21" s="143" t="n">
        <x:f>IF(OR(H21="not applicable",H21="verified",AND(I21="no",H21="tested")),1,0)</x:f>
        <x:v>1</x:v>
      </x:c>
    </x:row>
    <x:row r="22" s="135" customFormat="1" ht="60" customHeight="1">
      <x:c r="A22" s="143" t="inlineStr">
        <x:is>
          <x:t xml:space="preserve">qr-code-14</x:t>
        </x:is>
      </x:c>
      <x:c r="B22" s="143" t="inlineStr">
        <x:is>
          <x:t xml:space="preserve">Manual</x:t>
        </x:is>
      </x:c>
      <x:c r="C22" s="143" t="inlineStr">
        <x:is>
          <x:t xml:space="preserve">Physical scanning</x:t>
        </x:is>
      </x:c>
      <x:c r="D22" s="143" t="inlineStr">
        <x:is>
          <x:t xml:space="preserve">Camera, print, actual zoom and screen-reader protocol.</x:t>
        </x:is>
      </x:c>
      <x:c r="E22" s="143" t="inlineStr">
        <x:is>
          <x:t xml:space="preserve">package</x:t>
        </x:is>
      </x:c>
      <x:c r="F22" s="143" t="inlineStr">
        <x:is>
          <x:t xml:space="preserve">manual</x:t>
        </x:is>
      </x:c>
      <x:c r="G22" s="143" t="inlineStr">
        <x:is>
          <x:t xml:space="preserve">manual-tests/qr-code.md</x:t>
        </x:is>
      </x:c>
      <x:c r="H22" s="143" t="inlineStr">
        <x:is>
          <x:t xml:space="preserve">not started</x:t>
        </x:is>
      </x:c>
      <x:c r="I22" s="143" t="inlineStr">
        <x:is>
          <x:t xml:space="preserve">yes</x:t>
        </x:is>
      </x:c>
      <x:c r="J22" s="143" t="n"/>
      <x:c r="K22" s="143" t="inlineStr">
        <x:is>
          <x:t xml:space="preserve">Physical and assistive-technology execution required.</x:t>
        </x:is>
      </x:c>
      <x:c r="L22" s="143" t="n">
        <x:v>1</x:v>
      </x:c>
      <x:c r="M22" s="143" t="n">
        <x:f>IF(OR(H22="not applicable",H22="verified",AND(I22="no",H22="tested")),1,0)</x:f>
        <x:v>0</x:v>
      </x:c>
    </x:row>
    <x:row r="23" s="135" customFormat="1" ht="60" customHeight="1">
      <x:c r="A23" s="143" t="inlineStr">
        <x:is>
          <x:t xml:space="preserve">qr-code-15</x:t>
        </x:is>
      </x:c>
      <x:c r="B23" s="143" t="inlineStr">
        <x:is>
          <x:t xml:space="preserve">Consumer</x:t>
        </x:is>
      </x:c>
      <x:c r="C23" s="143" t="inlineStr">
        <x:is>
          <x:t xml:space="preserve">Share document</x:t>
        </x:is>
      </x:c>
      <x:c r="D23" s="143" t="inlineStr">
        <x:is>
          <x:t xml:space="preserve">Application composition with alternative link and download errors.</x:t>
        </x:is>
      </x:c>
      <x:c r="E23" s="143" t="inlineStr">
        <x:is>
          <x:t xml:space="preserve">consumer</x:t>
        </x:is>
      </x:c>
      <x:c r="F23" s="143" t="inlineStr">
        <x:is>
          <x:t xml:space="preserve">consumer</x:t>
        </x:is>
      </x:c>
      <x:c r="G23" s="143" t="inlineStr">
        <x:is>
          <x:t xml:space="preserve">../apps/consumer/src/ShareDocument.tsx</x:t>
        </x:is>
      </x:c>
      <x:c r="H23" s="143" t="inlineStr">
        <x:is>
          <x:t xml:space="preserve">tested</x:t>
        </x:is>
      </x:c>
      <x:c r="I23" s="143" t="inlineStr">
        <x:is>
          <x:t xml:space="preserve">no</x:t>
        </x:is>
      </x:c>
      <x:c r="J23" s="143" t="inlineStr">
        <x:is>
          <x:t xml:space="preserve">2026-09-08</x:t>
        </x:is>
      </x:c>
      <x:c r="K23" s="143" t="n"/>
      <x:c r="L23" s="143" t="n">
        <x:v>1</x:v>
      </x:c>
      <x:c r="M23" s="143" t="n">
        <x:f>IF(OR(H23="not applicable",H23="verified",AND(I23="no",H23="tested")),1,0)</x:f>
        <x:v>1</x:v>
      </x:c>
    </x:row>
    <x:row r="24" s="135" customFormat="1" ht="60" customHeight="1">
      <x:c r="A24" s="143" t="inlineStr">
        <x:is>
          <x:t xml:space="preserve">qr-code-16</x:t>
        </x:is>
      </x:c>
      <x:c r="B24" s="143" t="inlineStr">
        <x:is>
          <x:t xml:space="preserve">Package</x:t>
        </x:is>
      </x:c>
      <x:c r="C24" s="143" t="inlineStr">
        <x:is>
          <x:t xml:space="preserve">Exports / CSS</x:t>
        </x:is>
      </x:c>
      <x:c r="D24" s="143" t="str">
        <x:v>Packed React 18/19 exports, types, SSR, hydration and cleanup.</x:v>
      </x:c>
      <x:c r="E24" s="143" t="inlineStr">
        <x:is>
          <x:t xml:space="preserve">package</x:t>
        </x:is>
      </x:c>
      <x:c r="F24" s="143" t="inlineStr">
        <x:is>
          <x:t xml:space="preserve">package</x:t>
        </x:is>
      </x:c>
      <x:c r="G24" s="143" t="str">
        <x:v>../../../docs/components/qr-code/implementation-evidence-2026-09-19.md</x:v>
      </x:c>
      <x:c r="H24" s="143" t="inlineStr">
        <x:is>
          <x:t xml:space="preserve">tested</x:t>
        </x:is>
      </x:c>
      <x:c r="I24" s="143" t="inlineStr">
        <x:is>
          <x:t xml:space="preserve">no</x:t>
        </x:is>
      </x:c>
      <x:c r="J24" s="143" t="str">
        <x:v>2026-09-19</x:v>
      </x:c>
      <x:c r="K24" s="143" t="n"/>
      <x:c r="L24" s="143" t="n">
        <x:v>1</x:v>
      </x:c>
      <x:c r="M24" s="143" t="n">
        <x:f>IF(OR(H24="not applicable",H24="verified",AND(I24="no",H24="tested")),1,0)</x:f>
        <x:v>1</x:v>
      </x:c>
    </x:row>
    <x:row r="25" s="135" customFormat="1" ht="60" customHeight="1">
      <x:c r="A25" s="143" t="inlineStr">
        <x:is>
          <x:t xml:space="preserve">qr-code-17</x:t>
        </x:is>
      </x:c>
      <x:c r="B25" s="143" t="inlineStr">
        <x:is>
          <x:t xml:space="preserve">CSS</x:t>
        </x:is>
      </x:c>
      <x:c r="C25" s="143" t="inlineStr">
        <x:is>
          <x:t xml:space="preserve">Presentation</x:t>
        </x:is>
      </x:c>
      <x:c r="D25" s="143" t="inlineStr">
        <x:is>
          <x:t xml:space="preserve">Static scanning defaults and theme-owned logo radius.</x:t>
        </x:is>
      </x:c>
      <x:c r="E25" s="143" t="inlineStr">
        <x:is>
          <x:t xml:space="preserve">package</x:t>
        </x:is>
      </x:c>
      <x:c r="F25" s="143" t="inlineStr">
        <x:is>
          <x:t xml:space="preserve">css</x:t>
        </x:is>
      </x:c>
      <x:c r="G25" s="143" t="inlineStr">
        <x:is>
          <x:t xml:space="preserve">../src/components/qr-code/qr-code.css</x:t>
        </x:is>
      </x:c>
      <x:c r="H25" s="143" t="inlineStr">
        <x:is>
          <x:t xml:space="preserve">tested</x:t>
        </x:is>
      </x:c>
      <x:c r="I25" s="143" t="inlineStr">
        <x:is>
          <x:t xml:space="preserve">no</x:t>
        </x:is>
      </x:c>
      <x:c r="J25" s="143" t="str">
        <x:v>2026-09-19</x:v>
      </x:c>
      <x:c r="K25" s="143" t="n"/>
      <x:c r="L25" s="143" t="n">
        <x:v>1</x:v>
      </x:c>
      <x:c r="M25" s="143" t="n">
        <x:f>IF(OR(H25="not applicable",H25="verified",AND(I25="no",H25="tested")),1,0)</x:f>
        <x:v>1</x:v>
      </x:c>
    </x:row>
  </x:sheetData>
  <x:mergeCells>
    <x:mergeCell ref="A2:M2"/>
    <x:mergeCell ref="A1:M1"/>
  </x:mergeCells>
  <x:pageMargins left="0.7" right="0.7" top="0.75" bottom="0.75" header="0.3" footer="0.3"/>
</x:worksheet>
</file>

<file path=xl/worksheets/sheet131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baseColWidth="8" defaultColWidth="8.6796875" defaultRowHeight="15"/>
  <x:cols>
    <x:col min="1" max="1" width="12" style="138" customWidth="1"/>
    <x:col min="2" max="2" width="17" style="138" customWidth="1"/>
    <x:col min="3" max="3" width="20" style="138" customWidth="1"/>
    <x:col min="4" max="4" width="58" style="138" customWidth="1"/>
    <x:col min="5" max="5" width="13" style="138" customWidth="1"/>
    <x:col min="6" max="6" width="16" style="138" customWidth="1"/>
    <x:col min="7" max="7" width="50" style="138" customWidth="1"/>
    <x:col min="8" max="10" width="17" style="138" customWidth="1"/>
    <x:col min="11" max="11" width="32" style="138" customWidth="1"/>
    <x:col min="12" max="12" width="9" style="138" customWidth="1"/>
    <x:col min="13" max="13" width="12" style="138" customWidth="1"/>
  </x:cols>
  <x:sheetData>
    <x:row r="1" s="135" customFormat="1" ht="15" customHeight="1">
      <x:c r="A1" s="236" t="inlineStr">
        <x:is>
          <x:t xml:space="preserve">Table of Contents Evidence</x:t>
        </x:is>
      </x:c>
      <x:c r="B1" s="236" t="n"/>
      <x:c r="C1" s="236" t="n"/>
      <x:c r="D1" s="236" t="n"/>
      <x:c r="E1" s="236" t="n"/>
      <x:c r="F1" s="236" t="n"/>
      <x:c r="G1" s="236" t="n"/>
      <x:c r="H1" s="236" t="n"/>
      <x:c r="I1" s="236" t="n"/>
      <x:c r="J1" s="236" t="n"/>
      <x:c r="K1" s="236" t="n"/>
      <x:c r="L1" s="236" t="n"/>
      <x:c r="M1" s="236" t="n"/>
    </x:row>
    <x:row r="2" s="135" customFormat="1" ht="15" customHeight="1">
      <x:c r="A2" s="236" t="inlineStr">
        <x:is>
          <x:t xml:space="preserve">Component-owned assertions; manual accessibility and release gates remain separate.</x:t>
        </x:is>
      </x:c>
      <x:c r="B2" s="236" t="n"/>
      <x:c r="C2" s="236" t="n"/>
      <x:c r="D2" s="236" t="n"/>
      <x:c r="E2" s="236" t="n"/>
      <x:c r="F2" s="236" t="n"/>
      <x:c r="G2" s="236" t="n"/>
      <x:c r="H2" s="236" t="n"/>
      <x:c r="I2" s="236" t="n"/>
      <x:c r="J2" s="236" t="n"/>
      <x:c r="K2" s="236" t="n"/>
      <x:c r="L2" s="236" t="n"/>
      <x:c r="M2" s="236" t="n"/>
    </x:row>
    <x:row r="3" s="135" customFormat="1" ht="15" customHeight="1">
      <x:c r="A3" s="237" t="n"/>
      <x:c r="B3" s="237" t="n"/>
      <x:c r="C3" s="237" t="n"/>
      <x:c r="D3" s="237" t="n"/>
      <x:c r="E3" s="237" t="n"/>
      <x:c r="F3" s="237" t="n"/>
      <x:c r="G3" s="237" t="n"/>
      <x:c r="H3" s="237" t="n"/>
      <x:c r="I3" s="237" t="n"/>
      <x:c r="J3" s="237" t="n"/>
      <x:c r="K3" s="237" t="n"/>
      <x:c r="L3" s="237" t="n"/>
      <x:c r="M3" s="237" t="n"/>
    </x:row>
    <x:row r="4" s="135" customFormat="1" ht="15" customHeight="1">
      <x:c r="A4" s="237" t="inlineStr">
        <x:is>
          <x:t xml:space="preserve">Requirements</x:t>
        </x:is>
      </x:c>
      <x:c r="B4" s="237" t="n">
        <x:f>COUNTA(A9:A24)</x:f>
        <x:v>16</x:v>
      </x:c>
      <x:c r="C4" s="237" t="n"/>
      <x:c r="D4" s="237" t="inlineStr">
        <x:is>
          <x:t xml:space="preserve">Resolved</x:t>
        </x:is>
      </x:c>
      <x:c r="E4" s="237" t="n">
        <x:f>SUM(M9:M24)</x:f>
        <x:v>15</x:v>
      </x:c>
      <x:c r="F4" s="237" t="n"/>
      <x:c r="G4" s="237" t="inlineStr">
        <x:is>
          <x:t xml:space="preserve">Completion</x:t>
        </x:is>
      </x:c>
      <x:c r="H4" s="238" t="n">
        <x:f>IF(B4=0,0,E4/B4)</x:f>
        <x:v>0.9375</x:v>
      </x:c>
      <x:c r="I4" s="237" t="n"/>
      <x:c r="J4" s="237" t="inlineStr">
        <x:is>
          <x:t xml:space="preserve">Package gate</x:t>
        </x:is>
      </x:c>
      <x:c r="K4" s="237" t="str">
        <x:f>IF(COUNTIFS(E9:E24,"package",M9:M24,0)&gt;0,"open","complete")</x:f>
        <x:v>open</x:v>
      </x:c>
      <x:c r="L4" s="237" t="n"/>
      <x:c r="M4" s="237" t="n"/>
    </x:row>
    <x:row r="5" s="135" customFormat="1" ht="15" customHeight="1">
      <x:c r="A5" s="237" t="inlineStr">
        <x:is>
          <x:t xml:space="preserve">Manual review</x:t>
        </x:is>
      </x:c>
      <x:c r="B5" s="237" t="str">
        <x:f>IF(COUNTIFS(I9:I24,"yes",M9:M24,0)&gt;0,"open","complete")</x:f>
        <x:v>open</x:v>
      </x:c>
      <x:c r="C5" s="237" t="n"/>
      <x:c r="D5" s="237" t="inlineStr">
        <x:is>
          <x:t xml:space="preserve">Consumer gate</x:t>
        </x:is>
      </x:c>
      <x:c r="E5" s="237" t="str">
        <x:f>IF(COUNTIFS(E9:E24,"consumer",M9:M24,0)&gt;0,"open","complete")</x:f>
        <x:v>complete</x:v>
      </x:c>
      <x:c r="F5" s="237" t="n"/>
      <x:c r="G5" s="237" t="n"/>
      <x:c r="H5" s="237" t="n"/>
      <x:c r="I5" s="237" t="n"/>
      <x:c r="J5" s="237" t="n"/>
      <x:c r="K5" s="237" t="n"/>
      <x:c r="L5" s="237" t="n"/>
      <x:c r="M5" s="237" t="n"/>
    </x:row>
    <x:row r="6" s="135" customFormat="1" ht="15" customHeight="1">
      <x:c r="A6" s="237" t="n"/>
      <x:c r="B6" s="237" t="n"/>
      <x:c r="C6" s="237" t="n"/>
      <x:c r="D6" s="237" t="n"/>
      <x:c r="E6" s="237" t="n"/>
      <x:c r="F6" s="237" t="n"/>
      <x:c r="G6" s="237" t="n"/>
      <x:c r="H6" s="237" t="n"/>
      <x:c r="I6" s="237" t="n"/>
      <x:c r="J6" s="237" t="n"/>
      <x:c r="K6" s="237" t="n"/>
      <x:c r="L6" s="237" t="n"/>
      <x:c r="M6" s="237" t="n"/>
    </x:row>
    <x:row r="7" s="135" customFormat="1" ht="15" customHeight="1">
      <x:c r="A7" s="237" t="n"/>
      <x:c r="B7" s="237" t="n"/>
      <x:c r="C7" s="237" t="n"/>
      <x:c r="D7" s="237" t="n"/>
      <x:c r="E7" s="237" t="n"/>
      <x:c r="F7" s="237" t="n"/>
      <x:c r="G7" s="237" t="n"/>
      <x:c r="H7" s="237" t="n"/>
      <x:c r="I7" s="237" t="n"/>
      <x:c r="J7" s="237" t="n"/>
      <x:c r="K7" s="237" t="n"/>
      <x:c r="L7" s="237" t="n"/>
      <x:c r="M7" s="237" t="n"/>
    </x:row>
    <x:row r="8" s="135" customFormat="1" ht="31.5" customHeight="1">
      <x:c r="A8" s="239" t="inlineStr">
        <x:is>
          <x:t xml:space="preserve">ID</x:t>
        </x:is>
      </x:c>
      <x:c r="B8" s="239" t="inlineStr">
        <x:is>
          <x:t xml:space="preserve">Area</x:t>
        </x:is>
      </x:c>
      <x:c r="C8" s="239" t="inlineStr">
        <x:is>
          <x:t xml:space="preserve">Part</x:t>
        </x:is>
      </x:c>
      <x:c r="D8" s="239" t="inlineStr">
        <x:is>
          <x:t xml:space="preserve">Requirement</x:t>
        </x:is>
      </x:c>
      <x:c r="E8" s="239" t="inlineStr">
        <x:is>
          <x:t xml:space="preserve">Gate</x:t>
        </x:is>
      </x:c>
      <x:c r="F8" s="239" t="inlineStr">
        <x:is>
          <x:t xml:space="preserve">Evidence type</x:t>
        </x:is>
      </x:c>
      <x:c r="G8" s="239" t="inlineStr">
        <x:is>
          <x:t xml:space="preserve">Evidence / link</x:t>
        </x:is>
      </x:c>
      <x:c r="H8" s="239" t="inlineStr">
        <x:is>
          <x:t xml:space="preserve">Status</x:t>
        </x:is>
      </x:c>
      <x:c r="I8" s="239" t="inlineStr">
        <x:is>
          <x:t xml:space="preserve">Human review?</x:t>
        </x:is>
      </x:c>
      <x:c r="J8" s="239" t="inlineStr">
        <x:is>
          <x:t xml:space="preserve">Last verified</x:t>
        </x:is>
      </x:c>
      <x:c r="K8" s="239" t="inlineStr">
        <x:is>
          <x:t xml:space="preserve">Blocker / N/A reason</x:t>
        </x:is>
      </x:c>
      <x:c r="L8" s="239" t="inlineStr">
        <x:is>
          <x:t xml:space="preserve">Weight</x:t>
        </x:is>
      </x:c>
      <x:c r="M8" s="239" t="inlineStr">
        <x:is>
          <x:t xml:space="preserve">Resolved</x:t>
        </x:is>
      </x:c>
    </x:row>
    <x:row r="9" s="135" customFormat="1" ht="60" customHeight="1">
      <x:c r="A9" s="240" t="inlineStr">
        <x:is>
          <x:t xml:space="preserve">TOC-01</x:t>
        </x:is>
      </x:c>
      <x:c r="B9" s="240" t="inlineStr">
        <x:is>
          <x:t xml:space="preserve">Anatomy</x:t>
        </x:is>
      </x:c>
      <x:c r="C9" s="240" t="inlineStr">
        <x:is>
          <x:t xml:space="preserve">Root/Nav/List</x:t>
        </x:is>
      </x:c>
      <x:c r="D9" s="240" t="inlineStr">
        <x:is>
          <x:t xml:space="preserve">Native named navigation and one current anchor</x:t>
        </x:is>
      </x:c>
      <x:c r="E9" s="240" t="inlineStr">
        <x:is>
          <x:t xml:space="preserve">package</x:t>
        </x:is>
      </x:c>
      <x:c r="F9" s="240" t="inlineStr">
        <x:is>
          <x:t xml:space="preserve">component</x:t>
        </x:is>
      </x:c>
      <x:c r="G9" s="240" t="inlineStr">
        <x:is>
          <x:t xml:space="preserve">../test/components/table-of-contents/table-of-contents.test.tsx</x:t>
        </x:is>
      </x:c>
      <x:c r="H9" s="240" t="inlineStr">
        <x:is>
          <x:t xml:space="preserve">tested</x:t>
        </x:is>
      </x:c>
      <x:c r="I9" s="240" t="inlineStr">
        <x:is>
          <x:t xml:space="preserve">no</x:t>
        </x:is>
      </x:c>
      <x:c r="J9" s="240" t="inlineStr">
        <x:is>
          <x:t xml:space="preserve">2026-09-09</x:t>
        </x:is>
      </x:c>
      <x:c r="K9" s="240" t="n"/>
      <x:c r="L9" s="240" t="n">
        <x:v>1</x:v>
      </x:c>
      <x:c r="M9" s="240" t="n">
        <x:f>IF(H9="not applicable",1,IF(I9="yes",IF(H9="verified",1,0),IF(OR(H9="tested",H9="verified"),1,0)))</x:f>
        <x:v>1</x:v>
      </x:c>
    </x:row>
    <x:row r="10" s="135" customFormat="1" ht="60" customHeight="1">
      <x:c r="A10" s="240" t="inlineStr">
        <x:is>
          <x:t xml:space="preserve">TOC-02</x:t>
        </x:is>
      </x:c>
      <x:c r="B10" s="240" t="inlineStr">
        <x:is>
          <x:t xml:space="preserve">Composition</x:t>
        </x:is>
      </x:c>
      <x:c r="C10" s="240" t="inlineStr">
        <x:is>
          <x:t xml:space="preserve">Link</x:t>
        </x:is>
      </x:c>
      <x:c r="D10" s="240" t="inlineStr">
        <x:is>
          <x:t xml:space="preserve">Delegated anchor preserves ref, attributes and class</x:t>
        </x:is>
      </x:c>
      <x:c r="E10" s="240" t="inlineStr">
        <x:is>
          <x:t xml:space="preserve">package</x:t>
        </x:is>
      </x:c>
      <x:c r="F10" s="240" t="inlineStr">
        <x:is>
          <x:t xml:space="preserve">component</x:t>
        </x:is>
      </x:c>
      <x:c r="G10" s="240" t="inlineStr">
        <x:is>
          <x:t xml:space="preserve">../test/components/table-of-contents/table-of-contents.test.tsx</x:t>
        </x:is>
      </x:c>
      <x:c r="H10" s="240" t="inlineStr">
        <x:is>
          <x:t xml:space="preserve">tested</x:t>
        </x:is>
      </x:c>
      <x:c r="I10" s="240" t="inlineStr">
        <x:is>
          <x:t xml:space="preserve">no</x:t>
        </x:is>
      </x:c>
      <x:c r="J10" s="240" t="inlineStr">
        <x:is>
          <x:t xml:space="preserve">2026-09-09</x:t>
        </x:is>
      </x:c>
      <x:c r="K10" s="240" t="n"/>
      <x:c r="L10" s="240" t="n">
        <x:v>1</x:v>
      </x:c>
      <x:c r="M10" s="240" t="n">
        <x:f>IF(H10="not applicable",1,IF(I10="yes",IF(H10="verified",1,0),IF(OR(H10="tested",H10="verified"),1,0)))</x:f>
        <x:v>1</x:v>
      </x:c>
    </x:row>
    <x:row r="11" s="135" customFormat="1" ht="60" customHeight="1">
      <x:c r="A11" s="240" t="inlineStr">
        <x:is>
          <x:t xml:space="preserve">TOC-03</x:t>
        </x:is>
      </x:c>
      <x:c r="B11" s="240" t="inlineStr">
        <x:is>
          <x:t xml:space="preserve">Types</x:t>
        </x:is>
      </x:c>
      <x:c r="C11" s="240" t="inlineStr">
        <x:is>
          <x:t xml:space="preserve">Public API</x:t>
        </x:is>
      </x:c>
      <x:c r="D11" s="240" t="inlineStr">
        <x:is>
          <x:t xml:space="preserve">Closed recipes, controller and negative composition matrix</x:t>
        </x:is>
      </x:c>
      <x:c r="E11" s="240" t="inlineStr">
        <x:is>
          <x:t xml:space="preserve">package</x:t>
        </x:is>
      </x:c>
      <x:c r="F11" s="240" t="inlineStr">
        <x:is>
          <x:t xml:space="preserve">types</x:t>
        </x:is>
      </x:c>
      <x:c r="G11" s="240" t="inlineStr">
        <x:is>
          <x:t xml:space="preserve">../test/types/components/table-of-contents.test.ts</x:t>
        </x:is>
      </x:c>
      <x:c r="H11" s="240" t="inlineStr">
        <x:is>
          <x:t xml:space="preserve">tested</x:t>
        </x:is>
      </x:c>
      <x:c r="I11" s="240" t="inlineStr">
        <x:is>
          <x:t xml:space="preserve">no</x:t>
        </x:is>
      </x:c>
      <x:c r="J11" s="240" t="inlineStr">
        <x:is>
          <x:t xml:space="preserve">2026-09-09</x:t>
        </x:is>
      </x:c>
      <x:c r="K11" s="240" t="n"/>
      <x:c r="L11" s="240" t="n">
        <x:v>1</x:v>
      </x:c>
      <x:c r="M11" s="240" t="n">
        <x:f>IF(H11="not applicable",1,IF(I11="yes",IF(H11="verified",1,0),IF(OR(H11="tested",H11="verified"),1,0)))</x:f>
        <x:v>1</x:v>
      </x:c>
    </x:row>
    <x:row r="12" s="135" customFormat="1" ht="60" customHeight="1">
      <x:c r="A12" s="240" t="inlineStr">
        <x:is>
          <x:t xml:space="preserve">TOC-04</x:t>
        </x:is>
      </x:c>
      <x:c r="B12" s="240" t="inlineStr">
        <x:is>
          <x:t xml:space="preserve">Tracking</x:t>
        </x:is>
      </x:c>
      <x:c r="C12" s="240" t="inlineStr">
        <x:is>
          <x:t xml:space="preserve">Controller</x:t>
        </x:is>
      </x:c>
      <x:c r="D12" s="240" t="inlineStr">
        <x:is>
          <x:t xml:space="preserve">Scoped article scroll selects final short section</x:t>
        </x:is>
      </x:c>
      <x:c r="E12" s="240" t="inlineStr">
        <x:is>
          <x:t xml:space="preserve">package</x:t>
        </x:is>
      </x:c>
      <x:c r="F12" s="240" t="inlineStr">
        <x:is>
          <x:t xml:space="preserve">browser</x:t>
        </x:is>
      </x:c>
      <x:c r="G12" s="240" t="inlineStr">
        <x:is>
          <x:t xml:space="preserve">tests/components/table-of-contents/behavior.spec.ts</x:t>
        </x:is>
      </x:c>
      <x:c r="H12" s="240" t="inlineStr">
        <x:is>
          <x:t xml:space="preserve">tested</x:t>
        </x:is>
      </x:c>
      <x:c r="I12" s="240" t="inlineStr">
        <x:is>
          <x:t xml:space="preserve">no</x:t>
        </x:is>
      </x:c>
      <x:c r="J12" s="240" t="inlineStr">
        <x:is>
          <x:t xml:space="preserve">2026-09-09</x:t>
        </x:is>
      </x:c>
      <x:c r="K12" s="240" t="n"/>
      <x:c r="L12" s="240" t="n">
        <x:v>1</x:v>
      </x:c>
      <x:c r="M12" s="240" t="n">
        <x:f>IF(H12="not applicable",1,IF(I12="yes",IF(H12="verified",1,0),IF(OR(H12="tested",H12="verified"),1,0)))</x:f>
        <x:v>1</x:v>
      </x:c>
    </x:row>
    <x:row r="13" s="135" customFormat="1" ht="60" customHeight="1">
      <x:c r="A13" s="240" t="inlineStr">
        <x:is>
          <x:t xml:space="preserve">TOC-05</x:t>
        </x:is>
      </x:c>
      <x:c r="B13" s="240" t="inlineStr">
        <x:is>
          <x:t xml:space="preserve">Geometry</x:t>
        </x:is>
      </x:c>
      <x:c r="C13" s="240" t="inlineStr">
        <x:is>
          <x:t xml:space="preserve">Nav/Indicator</x:t>
        </x:is>
      </x:c>
      <x:c r="D13" s="240" t="inlineStr">
        <x:is>
          <x:t xml:space="preserve">Aligned title/links and measured current marker</x:t>
        </x:is>
      </x:c>
      <x:c r="E13" s="240" t="inlineStr">
        <x:is>
          <x:t xml:space="preserve">package</x:t>
        </x:is>
      </x:c>
      <x:c r="F13" s="240" t="inlineStr">
        <x:is>
          <x:t xml:space="preserve">browser</x:t>
        </x:is>
      </x:c>
      <x:c r="G13" s="240" t="inlineStr">
        <x:is>
          <x:t xml:space="preserve">tests/components/table-of-contents/behavior.spec.ts</x:t>
        </x:is>
      </x:c>
      <x:c r="H13" s="240" t="inlineStr">
        <x:is>
          <x:t xml:space="preserve">tested</x:t>
        </x:is>
      </x:c>
      <x:c r="I13" s="240" t="inlineStr">
        <x:is>
          <x:t xml:space="preserve">no</x:t>
        </x:is>
      </x:c>
      <x:c r="J13" s="240" t="inlineStr">
        <x:is>
          <x:t xml:space="preserve">2026-09-09</x:t>
        </x:is>
      </x:c>
      <x:c r="K13" s="240" t="n"/>
      <x:c r="L13" s="240" t="n">
        <x:v>1</x:v>
      </x:c>
      <x:c r="M13" s="240" t="n">
        <x:f>IF(H13="not applicable",1,IF(I13="yes",IF(H13="verified",1,0),IF(OR(H13="tested",H13="verified"),1,0)))</x:f>
        <x:v>1</x:v>
      </x:c>
    </x:row>
    <x:row r="14" s="135" customFormat="1" ht="60" customHeight="1">
      <x:c r="A14" s="240" t="inlineStr">
        <x:is>
          <x:t xml:space="preserve">TOC-06</x:t>
        </x:is>
      </x:c>
      <x:c r="B14" s="240" t="inlineStr">
        <x:is>
          <x:t xml:space="preserve">Recipes</x:t>
        </x:is>
      </x:c>
      <x:c r="C14" s="240" t="inlineStr">
        <x:is>
          <x:t xml:space="preserve">Nav</x:t>
        </x:is>
      </x:c>
      <x:c r="D14" s="240" t="inlineStr">
        <x:is>
          <x:t xml:space="preserve">sm/md text and logical depth indentation</x:t>
        </x:is>
      </x:c>
      <x:c r="E14" s="240" t="inlineStr">
        <x:is>
          <x:t xml:space="preserve">package</x:t>
        </x:is>
      </x:c>
      <x:c r="F14" s="240" t="inlineStr">
        <x:is>
          <x:t xml:space="preserve">browser</x:t>
        </x:is>
      </x:c>
      <x:c r="G14" s="240" t="inlineStr">
        <x:is>
          <x:t xml:space="preserve">tests/components/table-of-contents/behavior.spec.ts</x:t>
        </x:is>
      </x:c>
      <x:c r="H14" s="240" t="inlineStr">
        <x:is>
          <x:t xml:space="preserve">tested</x:t>
        </x:is>
      </x:c>
      <x:c r="I14" s="240" t="inlineStr">
        <x:is>
          <x:t xml:space="preserve">no</x:t>
        </x:is>
      </x:c>
      <x:c r="J14" s="240" t="inlineStr">
        <x:is>
          <x:t xml:space="preserve">2026-09-09</x:t>
        </x:is>
      </x:c>
      <x:c r="K14" s="240" t="n"/>
      <x:c r="L14" s="240" t="n">
        <x:v>1</x:v>
      </x:c>
      <x:c r="M14" s="240" t="n">
        <x:f>IF(H14="not applicable",1,IF(I14="yes",IF(H14="verified",1,0),IF(OR(H14="tested",H14="verified"),1,0)))</x:f>
        <x:v>1</x:v>
      </x:c>
    </x:row>
    <x:row r="15" s="135" customFormat="1" ht="60" customHeight="1">
      <x:c r="A15" s="240" t="inlineStr">
        <x:is>
          <x:t xml:space="preserve">TOC-07</x:t>
        </x:is>
      </x:c>
      <x:c r="B15" s="240" t="inlineStr">
        <x:is>
          <x:t xml:space="preserve">Accessibility</x:t>
        </x:is>
      </x:c>
      <x:c r="C15" s="240" t="inlineStr">
        <x:is>
          <x:t xml:space="preserve">Nav</x:t>
        </x:is>
      </x:c>
      <x:c r="D15" s="240" t="inlineStr">
        <x:is>
          <x:t xml:space="preserve">Scoped automated axe checks report no violations</x:t>
        </x:is>
      </x:c>
      <x:c r="E15" s="240" t="inlineStr">
        <x:is>
          <x:t xml:space="preserve">package</x:t>
        </x:is>
      </x:c>
      <x:c r="F15" s="240" t="inlineStr">
        <x:is>
          <x:t xml:space="preserve">browser</x:t>
        </x:is>
      </x:c>
      <x:c r="G15" s="240" t="inlineStr">
        <x:is>
          <x:t xml:space="preserve">tests/components/table-of-contents/behavior.spec.ts</x:t>
        </x:is>
      </x:c>
      <x:c r="H15" s="240" t="inlineStr">
        <x:is>
          <x:t xml:space="preserve">tested</x:t>
        </x:is>
      </x:c>
      <x:c r="I15" s="240" t="inlineStr">
        <x:is>
          <x:t xml:space="preserve">no</x:t>
        </x:is>
      </x:c>
      <x:c r="J15" s="240" t="inlineStr">
        <x:is>
          <x:t xml:space="preserve">2026-09-09</x:t>
        </x:is>
      </x:c>
      <x:c r="K15" s="240" t="n"/>
      <x:c r="L15" s="240" t="n">
        <x:v>1</x:v>
      </x:c>
      <x:c r="M15" s="240" t="n">
        <x:f>IF(H15="not applicable",1,IF(I15="yes",IF(H15="verified",1,0),IF(OR(H15="tested",H15="verified"),1,0)))</x:f>
        <x:v>1</x:v>
      </x:c>
    </x:row>
    <x:row r="16" s="135" customFormat="1" ht="60" customHeight="1">
      <x:c r="A16" s="240" t="inlineStr">
        <x:is>
          <x:t xml:space="preserve">TOC-08</x:t>
        </x:is>
      </x:c>
      <x:c r="B16" s="240" t="inlineStr">
        <x:is>
          <x:t xml:space="preserve">Dynamic content</x:t>
        </x:is>
      </x:c>
      <x:c r="C16" s="240" t="inlineStr">
        <x:is>
          <x:t xml:space="preserve">Controller</x:t>
        </x:is>
      </x:c>
      <x:c r="D16" s="240" t="inlineStr">
        <x:is>
          <x:t xml:space="preserve">Removed targets return and become navigable</x:t>
        </x:is>
      </x:c>
      <x:c r="E16" s="240" t="inlineStr">
        <x:is>
          <x:t xml:space="preserve">package</x:t>
        </x:is>
      </x:c>
      <x:c r="F16" s="240" t="inlineStr">
        <x:is>
          <x:t xml:space="preserve">browser</x:t>
        </x:is>
      </x:c>
      <x:c r="G16" s="240" t="inlineStr">
        <x:is>
          <x:t xml:space="preserve">tests/components/table-of-contents/behavior.spec.ts</x:t>
        </x:is>
      </x:c>
      <x:c r="H16" s="240" t="inlineStr">
        <x:is>
          <x:t xml:space="preserve">tested</x:t>
        </x:is>
      </x:c>
      <x:c r="I16" s="240" t="inlineStr">
        <x:is>
          <x:t xml:space="preserve">no</x:t>
        </x:is>
      </x:c>
      <x:c r="J16" s="240" t="inlineStr">
        <x:is>
          <x:t xml:space="preserve">2026-09-09</x:t>
        </x:is>
      </x:c>
      <x:c r="K16" s="240" t="n"/>
      <x:c r="L16" s="240" t="n">
        <x:v>1</x:v>
      </x:c>
      <x:c r="M16" s="240" t="n">
        <x:f>IF(H16="not applicable",1,IF(I16="yes",IF(H16="verified",1,0),IF(OR(H16="tested",H16="verified"),1,0)))</x:f>
        <x:v>1</x:v>
      </x:c>
    </x:row>
    <x:row r="17" s="135" customFormat="1" ht="60" customHeight="1">
      <x:c r="A17" s="240" t="inlineStr">
        <x:is>
          <x:t xml:space="preserve">TOC-09</x:t>
        </x:is>
      </x:c>
      <x:c r="B17" s="240" t="inlineStr">
        <x:is>
          <x:t xml:space="preserve">Visual</x:t>
        </x:is>
      </x:c>
      <x:c r="C17" s="240" t="inlineStr">
        <x:is>
          <x:t xml:space="preserve">Nav</x:t>
        </x:is>
      </x:c>
      <x:c r="D17" s="240" t="inlineStr">
        <x:is>
          <x:t xml:space="preserve">Light plain/line and dark RTL screenshots inspected</x:t>
        </x:is>
      </x:c>
      <x:c r="E17" s="240" t="inlineStr">
        <x:is>
          <x:t xml:space="preserve">package</x:t>
        </x:is>
      </x:c>
      <x:c r="F17" s="240" t="inlineStr">
        <x:is>
          <x:t xml:space="preserve">visual</x:t>
        </x:is>
      </x:c>
      <x:c r="G17" s="240" t="inlineStr">
        <x:is>
          <x:t xml:space="preserve">tests/components/table-of-contents/visual.spec.ts</x:t>
        </x:is>
      </x:c>
      <x:c r="H17" s="240" t="inlineStr">
        <x:is>
          <x:t xml:space="preserve">tested</x:t>
        </x:is>
      </x:c>
      <x:c r="I17" s="240" t="inlineStr">
        <x:is>
          <x:t xml:space="preserve">no</x:t>
        </x:is>
      </x:c>
      <x:c r="J17" s="240" t="inlineStr">
        <x:is>
          <x:t xml:space="preserve">2026-09-09</x:t>
        </x:is>
      </x:c>
      <x:c r="K17" s="240" t="n"/>
      <x:c r="L17" s="240" t="n">
        <x:v>1</x:v>
      </x:c>
      <x:c r="M17" s="240" t="n">
        <x:f>IF(H17="not applicable",1,IF(I17="yes",IF(H17="verified",1,0),IF(OR(H17="tested",H17="verified"),1,0)))</x:f>
        <x:v>1</x:v>
      </x:c>
    </x:row>
    <x:row r="18" s="135" customFormat="1" ht="60" customHeight="1">
      <x:c r="A18" s="240" t="inlineStr">
        <x:is>
          <x:t xml:space="preserve">TOC-10</x:t>
        </x:is>
      </x:c>
      <x:c r="B18" s="240" t="inlineStr">
        <x:is>
          <x:t xml:space="preserve">Keyboard</x:t>
        </x:is>
      </x:c>
      <x:c r="C18" s="240" t="inlineStr">
        <x:is>
          <x:t xml:space="preserve">Link</x:t>
        </x:is>
      </x:c>
      <x:c r="D18" s="240" t="inlineStr">
        <x:is>
          <x:t xml:space="preserve">Native sequential focus follows platform policy</x:t>
        </x:is>
      </x:c>
      <x:c r="E18" s="240" t="inlineStr">
        <x:is>
          <x:t xml:space="preserve">package</x:t>
        </x:is>
      </x:c>
      <x:c r="F18" s="240" t="inlineStr">
        <x:is>
          <x:t xml:space="preserve">browser</x:t>
        </x:is>
      </x:c>
      <x:c r="G18" s="240" t="inlineStr">
        <x:is>
          <x:t xml:space="preserve">tests/components/table-of-contents/behavior.spec.ts</x:t>
        </x:is>
      </x:c>
      <x:c r="H18" s="240" t="inlineStr">
        <x:is>
          <x:t xml:space="preserve">tested</x:t>
        </x:is>
      </x:c>
      <x:c r="I18" s="240" t="inlineStr">
        <x:is>
          <x:t xml:space="preserve">no</x:t>
        </x:is>
      </x:c>
      <x:c r="J18" s="240" t="inlineStr">
        <x:is>
          <x:t xml:space="preserve">2026-09-09</x:t>
        </x:is>
      </x:c>
      <x:c r="K18" s="240" t="n"/>
      <x:c r="L18" s="240" t="n">
        <x:v>1</x:v>
      </x:c>
      <x:c r="M18" s="240" t="n">
        <x:f>IF(H18="not applicable",1,IF(I18="yes",IF(H18="verified",1,0),IF(OR(H18="tested",H18="verified"),1,0)))</x:f>
        <x:v>1</x:v>
      </x:c>
    </x:row>
    <x:row r="19" s="135" customFormat="1" ht="60" customHeight="1">
      <x:c r="A19" s="240" t="inlineStr">
        <x:is>
          <x:t xml:space="preserve">TOC-11</x:t>
        </x:is>
      </x:c>
      <x:c r="B19" s="240" t="inlineStr">
        <x:is>
          <x:t xml:space="preserve">Documentation</x:t>
        </x:is>
      </x:c>
      <x:c r="C19" s="240" t="inlineStr">
        <x:is>
          <x:t xml:space="preserve">Public API</x:t>
        </x:is>
      </x:c>
      <x:c r="D19" s="240" t="inlineStr">
        <x:is>
          <x:t xml:space="preserve">Guide matches exports, defaults and semantic tokens</x:t>
        </x:is>
      </x:c>
      <x:c r="E19" s="240" t="inlineStr">
        <x:is>
          <x:t xml:space="preserve">package</x:t>
        </x:is>
      </x:c>
      <x:c r="F19" s="240" t="inlineStr">
        <x:is>
          <x:t xml:space="preserve">docs</x:t>
        </x:is>
      </x:c>
      <x:c r="G19" s="240" t="inlineStr">
        <x:is>
          <x:t xml:space="preserve">../docs/components/table-of-contents/README.md</x:t>
        </x:is>
      </x:c>
      <x:c r="H19" s="240" t="inlineStr">
        <x:is>
          <x:t xml:space="preserve">tested</x:t>
        </x:is>
      </x:c>
      <x:c r="I19" s="240" t="inlineStr">
        <x:is>
          <x:t xml:space="preserve">no</x:t>
        </x:is>
      </x:c>
      <x:c r="J19" s="240" t="inlineStr">
        <x:is>
          <x:t xml:space="preserve">2026-09-09</x:t>
        </x:is>
      </x:c>
      <x:c r="K19" s="240" t="n"/>
      <x:c r="L19" s="240" t="n">
        <x:v>1</x:v>
      </x:c>
      <x:c r="M19" s="240" t="n">
        <x:f>IF(H19="not applicable",1,IF(I19="yes",IF(H19="verified",1,0),IF(OR(H19="tested",H19="verified"),1,0)))</x:f>
        <x:v>1</x:v>
      </x:c>
    </x:row>
    <x:row r="20" s="135" customFormat="1" ht="60" customHeight="1">
      <x:c r="A20" s="240" t="inlineStr">
        <x:is>
          <x:t xml:space="preserve">TOC-12</x:t>
        </x:is>
      </x:c>
      <x:c r="B20" s="240" t="inlineStr">
        <x:is>
          <x:t xml:space="preserve">Agent Knowledge</x:t>
        </x:is>
      </x:c>
      <x:c r="C20" s="240" t="inlineStr">
        <x:is>
          <x:t xml:space="preserve">Owner</x:t>
        </x:is>
      </x:c>
      <x:c r="D20" s="240" t="inlineStr">
        <x:is>
          <x:t xml:space="preserve">Closed generated owner and surface classification</x:t>
        </x:is>
      </x:c>
      <x:c r="E20" s="240" t="inlineStr">
        <x:is>
          <x:t xml:space="preserve">package</x:t>
        </x:is>
      </x:c>
      <x:c r="F20" s="240" t="inlineStr">
        <x:is>
          <x:t xml:space="preserve">generated</x:t>
        </x:is>
      </x:c>
      <x:c r="G20" s="240" t="inlineStr">
        <x:is>
          <x:t xml:space="preserve">../src/components/table-of-contents/agent.json</x:t>
        </x:is>
      </x:c>
      <x:c r="H20" s="240" t="inlineStr">
        <x:is>
          <x:t xml:space="preserve">tested</x:t>
        </x:is>
      </x:c>
      <x:c r="I20" s="240" t="inlineStr">
        <x:is>
          <x:t xml:space="preserve">no</x:t>
        </x:is>
      </x:c>
      <x:c r="J20" s="240" t="inlineStr">
        <x:is>
          <x:t xml:space="preserve">2026-09-09</x:t>
        </x:is>
      </x:c>
      <x:c r="K20" s="240" t="n"/>
      <x:c r="L20" s="240" t="n">
        <x:v>1</x:v>
      </x:c>
      <x:c r="M20" s="240" t="n">
        <x:f>IF(H20="not applicable",1,IF(I20="yes",IF(H20="verified",1,0),IF(OR(H20="tested",H20="verified"),1,0)))</x:f>
        <x:v>1</x:v>
      </x:c>
    </x:row>
    <x:row r="21" s="135" customFormat="1" ht="60" customHeight="1">
      <x:c r="A21" s="240" t="inlineStr">
        <x:is>
          <x:t xml:space="preserve">TOC-13</x:t>
        </x:is>
      </x:c>
      <x:c r="B21" s="240" t="inlineStr">
        <x:is>
          <x:t xml:space="preserve">Integration</x:t>
        </x:is>
      </x:c>
      <x:c r="C21" s="240" t="inlineStr">
        <x:is>
          <x:t xml:space="preserve">Docs rail</x:t>
        </x:is>
      </x:c>
      <x:c r="D21" s="240" t="inlineStr">
        <x:is>
          <x:t xml:space="preserve">Aspect Ratio final hash and narrow hiding</x:t>
        </x:is>
      </x:c>
      <x:c r="E21" s="240" t="inlineStr">
        <x:is>
          <x:t xml:space="preserve">consumer</x:t>
        </x:is>
      </x:c>
      <x:c r="F21" s="240" t="inlineStr">
        <x:is>
          <x:t xml:space="preserve">browser</x:t>
        </x:is>
      </x:c>
      <x:c r="G21" s="240" t="inlineStr">
        <x:is>
          <x:t xml:space="preserve">tests/components/table-of-contents/behavior.spec.ts</x:t>
        </x:is>
      </x:c>
      <x:c r="H21" s="240" t="inlineStr">
        <x:is>
          <x:t xml:space="preserve">tested</x:t>
        </x:is>
      </x:c>
      <x:c r="I21" s="240" t="inlineStr">
        <x:is>
          <x:t xml:space="preserve">no</x:t>
        </x:is>
      </x:c>
      <x:c r="J21" s="240" t="inlineStr">
        <x:is>
          <x:t xml:space="preserve">2026-09-09</x:t>
        </x:is>
      </x:c>
      <x:c r="K21" s="240" t="n"/>
      <x:c r="L21" s="240" t="n">
        <x:v>1</x:v>
      </x:c>
      <x:c r="M21" s="240" t="n">
        <x:f>IF(H21="not applicable",1,IF(I21="yes",IF(H21="verified",1,0),IF(OR(H21="tested",H21="verified"),1,0)))</x:f>
        <x:v>1</x:v>
      </x:c>
    </x:row>
    <x:row r="22" s="135" customFormat="1" ht="60" customHeight="1">
      <x:c r="A22" s="240" t="inlineStr">
        <x:is>
          <x:t xml:space="preserve">TOC-14</x:t>
        </x:is>
      </x:c>
      <x:c r="B22" s="240" t="inlineStr">
        <x:is>
          <x:t xml:space="preserve">Package</x:t>
        </x:is>
      </x:c>
      <x:c r="C22" s="240" t="inlineStr">
        <x:is>
          <x:t xml:space="preserve">Exports/CSS</x:t>
        </x:is>
      </x:c>
      <x:c r="D22" s="240" t="inlineStr">
        <x:is>
          <x:t xml:space="preserve">Digest-locked packed React 18 and 19 consumers</x:t>
        </x:is>
      </x:c>
      <x:c r="E22" s="240" t="inlineStr">
        <x:is>
          <x:t xml:space="preserve">consumer</x:t>
        </x:is>
      </x:c>
      <x:c r="F22" s="240" t="inlineStr">
        <x:is>
          <x:t xml:space="preserve">package</x:t>
        </x:is>
      </x:c>
      <x:c r="G22" s="240" t="inlineStr">
        <x:is>
          <x:t xml:space="preserve">../scripts/verify-consumers.mjs</x:t>
        </x:is>
      </x:c>
      <x:c r="H22" s="240" t="inlineStr">
        <x:is>
          <x:t xml:space="preserve">tested</x:t>
        </x:is>
      </x:c>
      <x:c r="I22" s="240" t="inlineStr">
        <x:is>
          <x:t xml:space="preserve">no</x:t>
        </x:is>
      </x:c>
      <x:c r="J22" s="240" t="inlineStr">
        <x:is>
          <x:t xml:space="preserve">2026-09-09</x:t>
        </x:is>
      </x:c>
      <x:c r="K22" s="240" t="n"/>
      <x:c r="L22" s="240" t="n">
        <x:v>1</x:v>
      </x:c>
      <x:c r="M22" s="240" t="n">
        <x:f>IF(H22="not applicable",1,IF(I22="yes",IF(H22="verified",1,0),IF(OR(H22="tested",H22="verified"),1,0)))</x:f>
        <x:v>1</x:v>
      </x:c>
    </x:row>
    <x:row r="23" s="135" customFormat="1" ht="60" customHeight="1">
      <x:c r="A23" s="240" t="inlineStr">
        <x:is>
          <x:t xml:space="preserve">TOC-15</x:t>
        </x:is>
      </x:c>
      <x:c r="B23" s="240" t="inlineStr">
        <x:is>
          <x:t xml:space="preserve">Manual</x:t>
        </x:is>
      </x:c>
      <x:c r="C23" s="240" t="inlineStr">
        <x:is>
          <x:t xml:space="preserve">Navigation</x:t>
        </x:is>
      </x:c>
      <x:c r="D23" s="240" t="inlineStr">
        <x:is>
          <x:t xml:space="preserve">Screen reader, actual zoom and physical touch</x:t>
        </x:is>
      </x:c>
      <x:c r="E23" s="240" t="inlineStr">
        <x:is>
          <x:t xml:space="preserve">package</x:t>
        </x:is>
      </x:c>
      <x:c r="F23" s="240" t="inlineStr">
        <x:is>
          <x:t xml:space="preserve">manual</x:t>
        </x:is>
      </x:c>
      <x:c r="G23" s="240" t="inlineStr">
        <x:is>
          <x:t xml:space="preserve">manual-tests/table-of-contents.md</x:t>
        </x:is>
      </x:c>
      <x:c r="H23" s="240" t="inlineStr">
        <x:is>
          <x:t xml:space="preserve">blocked</x:t>
        </x:is>
      </x:c>
      <x:c r="I23" s="240" t="inlineStr">
        <x:is>
          <x:t xml:space="preserve">yes</x:t>
        </x:is>
      </x:c>
      <x:c r="J23" s="240" t="inlineStr">
        <x:is>
          <x:t xml:space="preserve">2026-09-09</x:t>
        </x:is>
      </x:c>
      <x:c r="K23" s="240" t="inlineStr">
        <x:is>
          <x:t xml:space="preserve">Requires human/device session</x:t>
        </x:is>
      </x:c>
      <x:c r="L23" s="240" t="n">
        <x:v>1</x:v>
      </x:c>
      <x:c r="M23" s="240" t="n">
        <x:f>IF(H23="not applicable",1,IF(I23="yes",IF(H23="verified",1,0),IF(OR(H23="tested",H23="verified"),1,0)))</x:f>
        <x:v>0</x:v>
      </x:c>
    </x:row>
    <x:row r="24" s="135" customFormat="1" ht="60" customHeight="1">
      <x:c r="A24" s="240" t="inlineStr">
        <x:is>
          <x:t xml:space="preserve">TOC-16</x:t>
        </x:is>
      </x:c>
      <x:c r="B24" s="240" t="inlineStr">
        <x:is>
          <x:t xml:space="preserve">Release</x:t>
        </x:is>
      </x:c>
      <x:c r="C24" s="240" t="inlineStr">
        <x:is>
          <x:t xml:space="preserve">Package</x:t>
        </x:is>
      </x:c>
      <x:c r="D24" s="240" t="inlineStr">
        <x:is>
          <x:t xml:space="preserve">Unpublished local candidate only</x:t>
        </x:is>
      </x:c>
      <x:c r="E24" s="240" t="inlineStr">
        <x:is>
          <x:t xml:space="preserve">release</x:t>
        </x:is>
      </x:c>
      <x:c r="F24" s="240" t="inlineStr">
        <x:is>
          <x:t xml:space="preserve">release</x:t>
        </x:is>
      </x:c>
      <x:c r="G24" s="240" t="inlineStr">
        <x:is>
          <x:t xml:space="preserve">../CHANGELOG.md</x:t>
        </x:is>
      </x:c>
      <x:c r="H24" s="240" t="inlineStr">
        <x:is>
          <x:t xml:space="preserve">not applicable</x:t>
        </x:is>
      </x:c>
      <x:c r="I24" s="240" t="inlineStr">
        <x:is>
          <x:t xml:space="preserve">no</x:t>
        </x:is>
      </x:c>
      <x:c r="J24" s="240" t="inlineStr">
        <x:is>
          <x:t xml:space="preserve">2026-09-09</x:t>
        </x:is>
      </x:c>
      <x:c r="K24" s="240" t="inlineStr">
        <x:is>
          <x:t xml:space="preserve">Publication intentionally excluded</x:t>
        </x:is>
      </x:c>
      <x:c r="L24" s="240" t="n">
        <x:v>1</x:v>
      </x:c>
      <x:c r="M24" s="240" t="n">
        <x:f>IF(H24="not applicable",1,IF(I24="yes",IF(H24="verified",1,0),IF(OR(H24="tested",H24="verified"),1,0)))</x:f>
        <x:v>1</x:v>
      </x:c>
    </x:row>
    <x:row r="25" s="135" customFormat="1" ht="15" customHeight="1">
      <x:c r="A25" s="237" t="n"/>
      <x:c r="B25" s="237" t="n"/>
      <x:c r="C25" s="237" t="n"/>
      <x:c r="D25" s="237" t="n"/>
      <x:c r="E25" s="237" t="n"/>
      <x:c r="F25" s="237" t="n"/>
      <x:c r="G25" s="237" t="n"/>
      <x:c r="H25" s="237" t="n"/>
      <x:c r="I25" s="237" t="n"/>
      <x:c r="J25" s="237" t="n"/>
      <x:c r="K25" s="237" t="n"/>
      <x:c r="L25" s="237" t="n"/>
      <x:c r="M25" s="237" t="n"/>
    </x:row>
  </x:sheetData>
  <x:dataValidations count="1">
    <x:dataValidation type="list" errorStyle="stop" operator="between" allowBlank="0" showDropDown="0" showInputMessage="0" showErrorMessage="0" sqref="H9:H24">
      <x:formula1>"not started,partial,implemented,tested,verified,blocked,not applicable"</x:formula1>
      <x:formula2>0</x:formula2>
    </x:dataValidation>
  </x:dataValidations>
  <x:pageMargins left="0.7" right="0.7" top="0.75" bottom="0.75" header="0.3" footer="0.3"/>
</x:worksheet>
</file>

<file path=xl/worksheets/sheet132.xml><?xml version="1.0" encoding="utf-8"?>
<x:worksheet xmlns:x="http://schemas.openxmlformats.org/spreadsheetml/2006/main">
  <x:sheetViews>
    <x:sheetView showGridLines="1" workbookViewId="0">
      <x:pane ySplit="8" topLeftCell="A9" activePane="bottomLeft" state="frozen"/>
    </x:sheetView>
  </x:sheetViews>
  <x:sheetFormatPr baseColWidth="8" defaultColWidth="8.6796875" defaultRowHeight="15"/>
  <x:cols>
    <x:col min="1" max="1" width="10" style="138" customWidth="1"/>
    <x:col min="2" max="2" width="14" style="138" customWidth="1"/>
    <x:col min="3" max="3" width="20" style="138" customWidth="1"/>
    <x:col min="4" max="4" width="58" style="138" customWidth="1"/>
    <x:col min="5" max="5" width="13" style="138" customWidth="1"/>
    <x:col min="6" max="6" width="14" style="138" customWidth="1"/>
    <x:col min="7" max="7" width="52" style="138" customWidth="1"/>
    <x:col min="8" max="10" width="15" style="138" customWidth="1"/>
    <x:col min="11" max="11" width="24" style="138" customWidth="1"/>
    <x:col min="12" max="13" width="10" style="138" customWidth="1"/>
  </x:cols>
  <x:sheetData>
    <x:row r="1" s="135" customFormat="1" ht="26.850000381469727" customHeight="1">
      <x:c r="A1" s="241" t="inlineStr">
        <x:is>
          <x:t xml:space="preserve">Float Evidence</x:t>
        </x:is>
      </x:c>
      <x:c r="B1" s="241" t="n"/>
      <x:c r="C1" s="241" t="n"/>
      <x:c r="D1" s="241" t="n"/>
      <x:c r="E1" s="241" t="n"/>
      <x:c r="F1" s="241" t="n"/>
      <x:c r="G1" s="241" t="n"/>
      <x:c r="H1" s="241" t="n"/>
      <x:c r="I1" s="241" t="n"/>
      <x:c r="J1" s="241" t="n"/>
      <x:c r="K1" s="241" t="n"/>
      <x:c r="L1" s="241" t="n"/>
      <x:c r="M1" s="241" t="n"/>
    </x:row>
    <x:row r="2" s="135" customFormat="1" ht="128.35000610351562" customHeight="1">
      <x:c r="A2" s="241" t="inlineStr">
        <x:is>
          <x:t xml:space="preserve">Assertion-level package, browser, human-review, documentation, and consumer evidence.</x:t>
        </x:is>
      </x:c>
      <x:c r="B2" s="241" t="n"/>
      <x:c r="C2" s="241" t="n"/>
      <x:c r="D2" s="241" t="n"/>
      <x:c r="E2" s="241" t="n"/>
      <x:c r="F2" s="241" t="n"/>
      <x:c r="G2" s="241" t="n"/>
      <x:c r="H2" s="241" t="n"/>
      <x:c r="I2" s="241" t="n"/>
      <x:c r="J2" s="241" t="n"/>
      <x:c r="K2" s="241" t="n"/>
      <x:c r="L2" s="241" t="n"/>
      <x:c r="M2" s="241" t="n"/>
    </x:row>
    <x:row r="3" s="135" customFormat="1" ht="15" customHeight="1">
      <x:c r="A3" s="241" t="n"/>
      <x:c r="B3" s="241" t="n"/>
      <x:c r="C3" s="241" t="n"/>
      <x:c r="D3" s="241" t="n"/>
      <x:c r="E3" s="241" t="n"/>
      <x:c r="F3" s="241" t="n"/>
      <x:c r="G3" s="241" t="n"/>
      <x:c r="H3" s="241" t="n"/>
      <x:c r="I3" s="241" t="n"/>
      <x:c r="J3" s="241" t="n"/>
      <x:c r="K3" s="241" t="n"/>
      <x:c r="L3" s="241" t="n"/>
      <x:c r="M3" s="241" t="n"/>
    </x:row>
    <x:row r="4" s="135" customFormat="1" ht="26.850000381469727" customHeight="1">
      <x:c r="A4" s="241" t="inlineStr">
        <x:is>
          <x:t xml:space="preserve">Requirements</x:t>
        </x:is>
      </x:c>
      <x:c r="B4" s="241" t="n">
        <x:f>COUNTA(A9:A24)</x:f>
        <x:v>16</x:v>
      </x:c>
      <x:c r="C4" s="241" t="n"/>
      <x:c r="D4" s="241" t="inlineStr">
        <x:is>
          <x:t xml:space="preserve">Resolved</x:t>
        </x:is>
      </x:c>
      <x:c r="E4" s="241" t="n">
        <x:f>SUM(M9:M24)</x:f>
        <x:v>11</x:v>
      </x:c>
      <x:c r="F4" s="241" t="n"/>
      <x:c r="G4" s="241" t="inlineStr">
        <x:is>
          <x:t xml:space="preserve">Completion</x:t>
        </x:is>
      </x:c>
      <x:c r="H4" s="241" t="n">
        <x:f>IF(B4=0,0,E4/B4)</x:f>
        <x:v>0.6875</x:v>
      </x:c>
      <x:c r="I4" s="241" t="n"/>
      <x:c r="J4" s="241" t="inlineStr">
        <x:is>
          <x:t xml:space="preserve">Package gate</x:t>
        </x:is>
      </x:c>
      <x:c r="K4" s="241" t="str">
        <x:f>IF(COUNTIFS(E9:E24,"package",M9:M24,0)&gt;0,"open","complete")</x:f>
        <x:v>open</x:v>
      </x:c>
      <x:c r="L4" s="241" t="n"/>
      <x:c r="M4" s="241" t="n"/>
    </x:row>
    <x:row r="5" s="135" customFormat="1" ht="26.850000381469727" customHeight="1">
      <x:c r="A5" s="241" t="inlineStr">
        <x:is>
          <x:t xml:space="preserve">Manual review</x:t>
        </x:is>
      </x:c>
      <x:c r="B5" s="241" t="str">
        <x:f>IF(COUNTIFS(I9:I24,"yes",M9:M24,0)&gt;0,"open","complete")</x:f>
        <x:v>open</x:v>
      </x:c>
      <x:c r="C5" s="241" t="n"/>
      <x:c r="D5" s="241" t="inlineStr">
        <x:is>
          <x:t xml:space="preserve">Consumer gate</x:t>
        </x:is>
      </x:c>
      <x:c r="E5" s="241" t="str">
        <x:f>IF(COUNTIFS(E9:E24,"consumer",M9:M24,0)&gt;0,"open","complete")</x:f>
        <x:v>open</x:v>
      </x:c>
      <x:c r="F5" s="241" t="n"/>
      <x:c r="G5" s="241" t="n"/>
      <x:c r="H5" s="241" t="n"/>
      <x:c r="I5" s="241" t="n"/>
      <x:c r="J5" s="241" t="n"/>
      <x:c r="K5" s="241" t="n"/>
      <x:c r="L5" s="241" t="n"/>
      <x:c r="M5" s="241" t="n"/>
    </x:row>
    <x:row r="6" s="135" customFormat="1" ht="15" customHeight="1">
      <x:c r="A6" s="241" t="n"/>
      <x:c r="B6" s="241" t="n"/>
      <x:c r="C6" s="241" t="n"/>
      <x:c r="D6" s="241" t="n"/>
      <x:c r="E6" s="241" t="n"/>
      <x:c r="F6" s="241" t="n"/>
      <x:c r="G6" s="241" t="n"/>
      <x:c r="H6" s="241" t="n"/>
      <x:c r="I6" s="241" t="n"/>
      <x:c r="J6" s="241" t="n"/>
      <x:c r="K6" s="241" t="n"/>
      <x:c r="L6" s="241" t="n"/>
      <x:c r="M6" s="241" t="n"/>
    </x:row>
    <x:row r="7" s="135" customFormat="1" ht="15" customHeight="1">
      <x:c r="A7" s="241" t="n"/>
      <x:c r="B7" s="241" t="n"/>
      <x:c r="C7" s="241" t="n"/>
      <x:c r="D7" s="241" t="n"/>
      <x:c r="E7" s="241" t="n"/>
      <x:c r="F7" s="241" t="n"/>
      <x:c r="G7" s="241" t="n"/>
      <x:c r="H7" s="241" t="n"/>
      <x:c r="I7" s="241" t="n"/>
      <x:c r="J7" s="241" t="n"/>
      <x:c r="K7" s="241" t="n"/>
      <x:c r="L7" s="241" t="n"/>
      <x:c r="M7" s="241" t="n"/>
    </x:row>
    <x:row r="8" s="135" customFormat="1" ht="26.850000381469727" customHeight="1">
      <x:c r="A8" s="242" t="inlineStr">
        <x:is>
          <x:t xml:space="preserve">ID</x:t>
        </x:is>
      </x:c>
      <x:c r="B8" s="242" t="inlineStr">
        <x:is>
          <x:t xml:space="preserve">Area</x:t>
        </x:is>
      </x:c>
      <x:c r="C8" s="242" t="inlineStr">
        <x:is>
          <x:t xml:space="preserve">Part</x:t>
        </x:is>
      </x:c>
      <x:c r="D8" s="242" t="inlineStr">
        <x:is>
          <x:t xml:space="preserve">Requirement</x:t>
        </x:is>
      </x:c>
      <x:c r="E8" s="242" t="inlineStr">
        <x:is>
          <x:t xml:space="preserve">Gate</x:t>
        </x:is>
      </x:c>
      <x:c r="F8" s="242" t="inlineStr">
        <x:is>
          <x:t xml:space="preserve">Evidence type</x:t>
        </x:is>
      </x:c>
      <x:c r="G8" s="242" t="inlineStr">
        <x:is>
          <x:t xml:space="preserve">Evidence / link</x:t>
        </x:is>
      </x:c>
      <x:c r="H8" s="242" t="inlineStr">
        <x:is>
          <x:t xml:space="preserve">Status</x:t>
        </x:is>
      </x:c>
      <x:c r="I8" s="242" t="inlineStr">
        <x:is>
          <x:t xml:space="preserve">Human review?</x:t>
        </x:is>
      </x:c>
      <x:c r="J8" s="242" t="inlineStr">
        <x:is>
          <x:t xml:space="preserve">Last verified</x:t>
        </x:is>
      </x:c>
      <x:c r="K8" s="242" t="inlineStr">
        <x:is>
          <x:t xml:space="preserve">Blocker / N/A reason</x:t>
        </x:is>
      </x:c>
      <x:c r="L8" s="242" t="inlineStr">
        <x:is>
          <x:t xml:space="preserve">Weight</x:t>
        </x:is>
      </x:c>
      <x:c r="M8" s="242" t="inlineStr">
        <x:is>
          <x:t xml:space="preserve">Resolved</x:t>
        </x:is>
      </x:c>
    </x:row>
    <x:row r="9" s="135" customFormat="1" ht="63.75" customHeight="1">
      <x:c r="A9" s="243" t="inlineStr">
        <x:is>
          <x:t xml:space="preserve">F-01</x:t>
        </x:is>
      </x:c>
      <x:c r="B9" s="243" t="inlineStr">
        <x:is>
          <x:t xml:space="preserve">unit</x:t>
        </x:is>
      </x:c>
      <x:c r="C9" s="243" t="inlineStr">
        <x:is>
          <x:t xml:space="preserve">Root and Anchor</x:t>
        </x:is>
      </x:c>
      <x:c r="D9" s="243" t="inlineStr">
        <x:is>
          <x:t xml:space="preserve">Independent passive hosts, native props and refs</x:t>
        </x:is>
      </x:c>
      <x:c r="E9" s="243" t="inlineStr">
        <x:is>
          <x:t xml:space="preserve">package</x:t>
        </x:is>
      </x:c>
      <x:c r="F9" s="243" t="inlineStr">
        <x:is>
          <x:t xml:space="preserve">unit</x:t>
        </x:is>
      </x:c>
      <x:c r="G9" s="243" t="inlineStr">
        <x:is>
          <x:t xml:space="preserve">../test/components/float/float.test.tsx</x:t>
        </x:is>
      </x:c>
      <x:c r="H9" s="243" t="inlineStr">
        <x:is>
          <x:t xml:space="preserve">tested</x:t>
        </x:is>
      </x:c>
      <x:c r="I9" s="243" t="inlineStr">
        <x:is>
          <x:t xml:space="preserve">no</x:t>
        </x:is>
      </x:c>
      <x:c r="J9" s="243" t="n"/>
      <x:c r="K9" s="243" t="n"/>
      <x:c r="L9" s="243" t="n">
        <x:v>1</x:v>
      </x:c>
      <x:c r="M9" s="243" t="n">
        <x:f>IF(OR(AND(I9="yes",H9="verified"),AND(I9="no",OR(H9="tested",H9="verified")),AND(H9="not applicable",K9&lt;&gt;"")),1,0)</x:f>
        <x:v>1</x:v>
      </x:c>
    </x:row>
    <x:row r="10" s="135" customFormat="1" ht="63.75" customHeight="1">
      <x:c r="A10" s="243" t="inlineStr">
        <x:is>
          <x:t xml:space="preserve">F-02</x:t>
        </x:is>
      </x:c>
      <x:c r="B10" s="243" t="inlineStr">
        <x:is>
          <x:t xml:space="preserve">unit</x:t>
        </x:is>
      </x:c>
      <x:c r="C10" s="243" t="inlineStr">
        <x:is>
          <x:t xml:space="preserve">Composition</x:t>
        </x:is>
      </x:c>
      <x:c r="D10" s="243" t="inlineStr">
        <x:is>
          <x:t xml:space="preserve">asChild classes, styles, events and both refs</x:t>
        </x:is>
      </x:c>
      <x:c r="E10" s="243" t="inlineStr">
        <x:is>
          <x:t xml:space="preserve">package</x:t>
        </x:is>
      </x:c>
      <x:c r="F10" s="243" t="inlineStr">
        <x:is>
          <x:t xml:space="preserve">unit</x:t>
        </x:is>
      </x:c>
      <x:c r="G10" s="243" t="inlineStr">
        <x:is>
          <x:t xml:space="preserve">../test/components/float/float.test.tsx</x:t>
        </x:is>
      </x:c>
      <x:c r="H10" s="243" t="inlineStr">
        <x:is>
          <x:t xml:space="preserve">tested</x:t>
        </x:is>
      </x:c>
      <x:c r="I10" s="243" t="inlineStr">
        <x:is>
          <x:t xml:space="preserve">no</x:t>
        </x:is>
      </x:c>
      <x:c r="J10" s="243" t="n"/>
      <x:c r="K10" s="243" t="n"/>
      <x:c r="L10" s="243" t="n">
        <x:v>1</x:v>
      </x:c>
      <x:c r="M10" s="243" t="n">
        <x:f>IF(OR(AND(I10="yes",H10="verified"),AND(I10="no",OR(H10="tested",H10="verified")),AND(H10="not applicable",K10&lt;&gt;"")),1,0)</x:f>
        <x:v>1</x:v>
      </x:c>
    </x:row>
    <x:row r="11" s="135" customFormat="1" ht="63.75" customHeight="1">
      <x:c r="A11" s="243" t="inlineStr">
        <x:is>
          <x:t xml:space="preserve">F-03</x:t>
        </x:is>
      </x:c>
      <x:c r="B11" s="243" t="inlineStr">
        <x:is>
          <x:t xml:space="preserve">types</x:t>
        </x:is>
      </x:c>
      <x:c r="C11" s="243" t="inlineStr">
        <x:is>
          <x:t xml:space="preserve">Types</x:t>
        </x:is>
      </x:c>
      <x:c r="D11" s="243" t="inlineStr">
        <x:is>
          <x:t xml:space="preserve">Closed placements, sparse objects and invalid props</x:t>
        </x:is>
      </x:c>
      <x:c r="E11" s="243" t="inlineStr">
        <x:is>
          <x:t xml:space="preserve">package</x:t>
        </x:is>
      </x:c>
      <x:c r="F11" s="243" t="inlineStr">
        <x:is>
          <x:t xml:space="preserve">types</x:t>
        </x:is>
      </x:c>
      <x:c r="G11" s="243" t="inlineStr">
        <x:is>
          <x:t xml:space="preserve">../test/types/components/float.test.ts</x:t>
        </x:is>
      </x:c>
      <x:c r="H11" s="243" t="inlineStr">
        <x:is>
          <x:t xml:space="preserve">tested</x:t>
        </x:is>
      </x:c>
      <x:c r="I11" s="243" t="inlineStr">
        <x:is>
          <x:t xml:space="preserve">no</x:t>
        </x:is>
      </x:c>
      <x:c r="J11" s="243" t="n"/>
      <x:c r="K11" s="243" t="n"/>
      <x:c r="L11" s="243" t="n">
        <x:v>1</x:v>
      </x:c>
      <x:c r="M11" s="243" t="n">
        <x:f>IF(OR(AND(I11="yes",H11="verified"),AND(I11="no",OR(H11="tested",H11="verified")),AND(H11="not applicable",K11&lt;&gt;"")),1,0)</x:f>
        <x:v>1</x:v>
      </x:c>
    </x:row>
    <x:row r="12" s="135" customFormat="1" ht="63.75" customHeight="1">
      <x:c r="A12" s="243" t="inlineStr">
        <x:is>
          <x:t xml:space="preserve">F-04</x:t>
        </x:is>
      </x:c>
      <x:c r="B12" s="243" t="inlineStr">
        <x:is>
          <x:t xml:space="preserve">unit</x:t>
        </x:is>
      </x:c>
      <x:c r="C12" s="243" t="inlineStr">
        <x:is>
          <x:t xml:space="preserve">Offsets</x:t>
        </x:is>
      </x:c>
      <x:c r="D12" s="243" t="inlineStr">
        <x:is>
          <x:t xml:space="preserve">Signed factors, CSS values and deterministic invalid fallback</x:t>
        </x:is>
      </x:c>
      <x:c r="E12" s="243" t="inlineStr">
        <x:is>
          <x:t xml:space="preserve">package</x:t>
        </x:is>
      </x:c>
      <x:c r="F12" s="243" t="inlineStr">
        <x:is>
          <x:t xml:space="preserve">unit</x:t>
        </x:is>
      </x:c>
      <x:c r="G12" s="243" t="inlineStr">
        <x:is>
          <x:t xml:space="preserve">../test/components/float/float.test.tsx</x:t>
        </x:is>
      </x:c>
      <x:c r="H12" s="243" t="inlineStr">
        <x:is>
          <x:t xml:space="preserve">tested</x:t>
        </x:is>
      </x:c>
      <x:c r="I12" s="243" t="inlineStr">
        <x:is>
          <x:t xml:space="preserve">no</x:t>
        </x:is>
      </x:c>
      <x:c r="J12" s="243" t="n"/>
      <x:c r="K12" s="243" t="n"/>
      <x:c r="L12" s="243" t="n">
        <x:v>1</x:v>
      </x:c>
      <x:c r="M12" s="243" t="n">
        <x:f>IF(OR(AND(I12="yes",H12="verified"),AND(I12="no",OR(H12="tested",H12="verified")),AND(H12="not applicable",K12&lt;&gt;"")),1,0)</x:f>
        <x:v>1</x:v>
      </x:c>
    </x:row>
    <x:row r="13" s="135" customFormat="1" ht="63.75" customHeight="1">
      <x:c r="A13" s="243" t="inlineStr">
        <x:is>
          <x:t xml:space="preserve">F-05</x:t>
        </x:is>
      </x:c>
      <x:c r="B13" s="243" t="inlineStr">
        <x:is>
          <x:t xml:space="preserve">geometry</x:t>
        </x:is>
      </x:c>
      <x:c r="C13" s="243" t="inlineStr">
        <x:is>
          <x:t xml:space="preserve">Placement</x:t>
        </x:is>
      </x:c>
      <x:c r="D13" s="243" t="inlineStr">
        <x:is>
          <x:t xml:space="preserve">Nine positions mirrored in LTR and RTL</x:t>
        </x:is>
      </x:c>
      <x:c r="E13" s="243" t="inlineStr">
        <x:is>
          <x:t xml:space="preserve">browser</x:t>
        </x:is>
      </x:c>
      <x:c r="F13" s="243" t="inlineStr">
        <x:is>
          <x:t xml:space="preserve">geometry</x:t>
        </x:is>
      </x:c>
      <x:c r="G13" s="243" t="inlineStr">
        <x:is>
          <x:t xml:space="preserve">tests/components/float/behavior.spec.ts</x:t>
        </x:is>
      </x:c>
      <x:c r="H13" s="243" t="inlineStr">
        <x:is>
          <x:t xml:space="preserve">tested</x:t>
        </x:is>
      </x:c>
      <x:c r="I13" s="243" t="inlineStr">
        <x:is>
          <x:t xml:space="preserve">no</x:t>
        </x:is>
      </x:c>
      <x:c r="J13" s="243" t="n"/>
      <x:c r="K13" s="243" t="n"/>
      <x:c r="L13" s="243" t="n">
        <x:v>1</x:v>
      </x:c>
      <x:c r="M13" s="243" t="n">
        <x:f>IF(OR(AND(I13="yes",H13="verified"),AND(I13="no",OR(H13="tested",H13="verified")),AND(H13="not applicable",K13&lt;&gt;"")),1,0)</x:f>
        <x:v>1</x:v>
      </x:c>
    </x:row>
    <x:row r="14" s="135" customFormat="1" ht="63.75" customHeight="1">
      <x:c r="A14" s="243" t="inlineStr">
        <x:is>
          <x:t xml:space="preserve">F-06</x:t>
        </x:is>
      </x:c>
      <x:c r="B14" s="243" t="inlineStr">
        <x:is>
          <x:t xml:space="preserve">geometry</x:t>
        </x:is>
      </x:c>
      <x:c r="C14" s="243" t="inlineStr">
        <x:is>
          <x:t xml:space="preserve">Responsive</x:t>
        </x:is>
      </x:c>
      <x:c r="D14" s="243" t="inlineStr">
        <x:is>
          <x:t xml:space="preserve">Independent axis carry-forward and signed edge placement</x:t>
        </x:is>
      </x:c>
      <x:c r="E14" s="243" t="inlineStr">
        <x:is>
          <x:t xml:space="preserve">browser</x:t>
        </x:is>
      </x:c>
      <x:c r="F14" s="243" t="inlineStr">
        <x:is>
          <x:t xml:space="preserve">geometry</x:t>
        </x:is>
      </x:c>
      <x:c r="G14" s="243" t="inlineStr">
        <x:is>
          <x:t xml:space="preserve">tests/components/float/behavior.spec.ts</x:t>
        </x:is>
      </x:c>
      <x:c r="H14" s="243" t="inlineStr">
        <x:is>
          <x:t xml:space="preserve">tested</x:t>
        </x:is>
      </x:c>
      <x:c r="I14" s="243" t="inlineStr">
        <x:is>
          <x:t xml:space="preserve">no</x:t>
        </x:is>
      </x:c>
      <x:c r="J14" s="243" t="n"/>
      <x:c r="K14" s="243" t="n"/>
      <x:c r="L14" s="243" t="n">
        <x:v>1</x:v>
      </x:c>
      <x:c r="M14" s="243" t="n">
        <x:f>IF(OR(AND(I14="yes",H14="verified"),AND(I14="no",OR(H14="tested",H14="verified")),AND(H14="not applicable",K14&lt;&gt;"")),1,0)</x:f>
        <x:v>1</x:v>
      </x:c>
    </x:row>
    <x:row r="15" s="135" customFormat="1" ht="63.75" customHeight="1">
      <x:c r="A15" s="243" t="inlineStr">
        <x:is>
          <x:t xml:space="preserve">F-07</x:t>
        </x:is>
      </x:c>
      <x:c r="B15" s="243" t="inlineStr">
        <x:is>
          <x:t xml:space="preserve">geometry</x:t>
        </x:is>
      </x:c>
      <x:c r="C15" s="243" t="inlineStr">
        <x:is>
          <x:t xml:space="preserve">Nesting</x:t>
        </x:is>
      </x:c>
      <x:c r="D15" s="243" t="inlineStr">
        <x:is>
          <x:t xml:space="preserve">Child Float does not inherit parent offsets</x:t>
        </x:is>
      </x:c>
      <x:c r="E15" s="243" t="inlineStr">
        <x:is>
          <x:t xml:space="preserve">browser</x:t>
        </x:is>
      </x:c>
      <x:c r="F15" s="243" t="inlineStr">
        <x:is>
          <x:t xml:space="preserve">geometry</x:t>
        </x:is>
      </x:c>
      <x:c r="G15" s="243" t="inlineStr">
        <x:is>
          <x:t xml:space="preserve">tests/components/float/behavior.spec.ts</x:t>
        </x:is>
      </x:c>
      <x:c r="H15" s="243" t="inlineStr">
        <x:is>
          <x:t xml:space="preserve">tested</x:t>
        </x:is>
      </x:c>
      <x:c r="I15" s="243" t="inlineStr">
        <x:is>
          <x:t xml:space="preserve">no</x:t>
        </x:is>
      </x:c>
      <x:c r="J15" s="243" t="n"/>
      <x:c r="K15" s="243" t="n"/>
      <x:c r="L15" s="243" t="n">
        <x:v>1</x:v>
      </x:c>
      <x:c r="M15" s="243" t="n">
        <x:f>IF(OR(AND(I15="yes",H15="verified"),AND(I15="no",OR(H15="tested",H15="verified")),AND(H15="not applicable",K15&lt;&gt;"")),1,0)</x:f>
        <x:v>1</x:v>
      </x:c>
    </x:row>
    <x:row r="16" s="135" customFormat="1" ht="63.75" customHeight="1">
      <x:c r="A16" s="243" t="inlineStr">
        <x:is>
          <x:t xml:space="preserve">F-08</x:t>
        </x:is>
      </x:c>
      <x:c r="B16" s="243" t="inlineStr">
        <x:is>
          <x:t xml:space="preserve">geometry</x:t>
        </x:is>
      </x:c>
      <x:c r="C16" s="243" t="inlineStr">
        <x:is>
          <x:t xml:space="preserve">Center and percentage</x:t>
        </x:is>
      </x:c>
      <x:c r="D16" s="243" t="inlineStr">
        <x:is>
          <x:t xml:space="preserve">Centered offsets ignored; percentages use parent</x:t>
        </x:is>
      </x:c>
      <x:c r="E16" s="243" t="inlineStr">
        <x:is>
          <x:t xml:space="preserve">browser</x:t>
        </x:is>
      </x:c>
      <x:c r="F16" s="243" t="inlineStr">
        <x:is>
          <x:t xml:space="preserve">geometry</x:t>
        </x:is>
      </x:c>
      <x:c r="G16" s="243" t="inlineStr">
        <x:is>
          <x:t xml:space="preserve">tests/components/float/behavior.spec.ts</x:t>
        </x:is>
      </x:c>
      <x:c r="H16" s="243" t="inlineStr">
        <x:is>
          <x:t xml:space="preserve">tested</x:t>
        </x:is>
      </x:c>
      <x:c r="I16" s="243" t="inlineStr">
        <x:is>
          <x:t xml:space="preserve">no</x:t>
        </x:is>
      </x:c>
      <x:c r="J16" s="243" t="n"/>
      <x:c r="K16" s="243" t="n"/>
      <x:c r="L16" s="243" t="n">
        <x:v>1</x:v>
      </x:c>
      <x:c r="M16" s="243" t="n">
        <x:f>IF(OR(AND(I16="yes",H16="verified"),AND(I16="no",OR(H16="tested",H16="verified")),AND(H16="not applicable",K16&lt;&gt;"")),1,0)</x:f>
        <x:v>1</x:v>
      </x:c>
    </x:row>
    <x:row r="17" s="135" customFormat="1" ht="63.75" customHeight="1">
      <x:c r="A17" s="243" t="inlineStr">
        <x:is>
          <x:t xml:space="preserve">F-09</x:t>
        </x:is>
      </x:c>
      <x:c r="B17" s="243" t="inlineStr">
        <x:is>
          <x:t xml:space="preserve">browser</x:t>
        </x:is>
      </x:c>
      <x:c r="C17" s="243" t="inlineStr">
        <x:is>
          <x:t xml:space="preserve">Docs route</x:t>
        </x:is>
      </x:c>
      <x:c r="D17" s="243" t="inlineStr">
        <x:is>
          <x:t xml:space="preserve">Seven exact-source previews and props</x:t>
        </x:is>
      </x:c>
      <x:c r="E17" s="243" t="inlineStr">
        <x:is>
          <x:t xml:space="preserve">docs</x:t>
        </x:is>
      </x:c>
      <x:c r="F17" s="243" t="inlineStr">
        <x:is>
          <x:t xml:space="preserve">browser</x:t>
        </x:is>
      </x:c>
      <x:c r="G17" s="243" t="inlineStr">
        <x:is>
          <x:t xml:space="preserve">tests/components/float/docs.spec.ts</x:t>
        </x:is>
      </x:c>
      <x:c r="H17" s="243" t="inlineStr">
        <x:is>
          <x:t xml:space="preserve">tested</x:t>
        </x:is>
      </x:c>
      <x:c r="I17" s="243" t="inlineStr">
        <x:is>
          <x:t xml:space="preserve">no</x:t>
        </x:is>
      </x:c>
      <x:c r="J17" s="243" t="n"/>
      <x:c r="K17" s="243" t="n"/>
      <x:c r="L17" s="243" t="n">
        <x:v>1</x:v>
      </x:c>
      <x:c r="M17" s="243" t="n">
        <x:f>IF(OR(AND(I17="yes",H17="verified"),AND(I17="no",OR(H17="tested",H17="verified")),AND(H17="not applicable",K17&lt;&gt;"")),1,0)</x:f>
        <x:v>1</x:v>
      </x:c>
    </x:row>
    <x:row r="18" s="135" customFormat="1" ht="63.75" customHeight="1">
      <x:c r="A18" s="243" t="inlineStr">
        <x:is>
          <x:t xml:space="preserve">F-10</x:t>
        </x:is>
      </x:c>
      <x:c r="B18" s="243" t="inlineStr">
        <x:is>
          <x:t xml:space="preserve">accessibility</x:t>
        </x:is>
      </x:c>
      <x:c r="C18" s="243" t="inlineStr">
        <x:is>
          <x:t xml:space="preserve">Accessibility</x:t>
        </x:is>
      </x:c>
      <x:c r="D18" s="243" t="inlineStr">
        <x:is>
          <x:t xml:space="preserve">Axe, reachable named action and narrow page overflow</x:t>
        </x:is>
      </x:c>
      <x:c r="E18" s="243" t="inlineStr">
        <x:is>
          <x:t xml:space="preserve">browser</x:t>
        </x:is>
      </x:c>
      <x:c r="F18" s="243" t="inlineStr">
        <x:is>
          <x:t xml:space="preserve">accessibility</x:t>
        </x:is>
      </x:c>
      <x:c r="G18" s="243" t="inlineStr">
        <x:is>
          <x:t xml:space="preserve">tests/components/float/docs.spec.ts</x:t>
        </x:is>
      </x:c>
      <x:c r="H18" s="243" t="inlineStr">
        <x:is>
          <x:t xml:space="preserve">tested</x:t>
        </x:is>
      </x:c>
      <x:c r="I18" s="243" t="inlineStr">
        <x:is>
          <x:t xml:space="preserve">no</x:t>
        </x:is>
      </x:c>
      <x:c r="J18" s="243" t="n"/>
      <x:c r="K18" s="243" t="n"/>
      <x:c r="L18" s="243" t="n">
        <x:v>1</x:v>
      </x:c>
      <x:c r="M18" s="243" t="n">
        <x:f>IF(OR(AND(I18="yes",H18="verified"),AND(I18="no",OR(H18="tested",H18="verified")),AND(H18="not applicable",K18&lt;&gt;"")),1,0)</x:f>
        <x:v>1</x:v>
      </x:c>
    </x:row>
    <x:row r="19" s="135" customFormat="1" ht="63.75" customHeight="1">
      <x:c r="A19" s="243" t="inlineStr">
        <x:is>
          <x:t xml:space="preserve">F-11</x:t>
        </x:is>
      </x:c>
      <x:c r="B19" s="243" t="inlineStr">
        <x:is>
          <x:t xml:space="preserve">visual</x:t>
        </x:is>
      </x:c>
      <x:c r="C19" s="243" t="inlineStr">
        <x:is>
          <x:t xml:space="preserve">Visual</x:t>
        </x:is>
      </x:c>
      <x:c r="D19" s="243" t="inlineStr">
        <x:is>
          <x:t xml:space="preserve">Placement, avatar and dark composition inspected</x:t>
        </x:is>
      </x:c>
      <x:c r="E19" s="243" t="inlineStr">
        <x:is>
          <x:t xml:space="preserve">manual</x:t>
        </x:is>
      </x:c>
      <x:c r="F19" s="243" t="inlineStr">
        <x:is>
          <x:t xml:space="preserve">visual</x:t>
        </x:is>
      </x:c>
      <x:c r="G19" s="243" t="inlineStr">
        <x:is>
          <x:t xml:space="preserve">tests/components/float/visual.spec.ts</x:t>
        </x:is>
      </x:c>
      <x:c r="H19" s="243" t="inlineStr">
        <x:is>
          <x:t xml:space="preserve">partial</x:t>
        </x:is>
      </x:c>
      <x:c r="I19" s="243" t="inlineStr">
        <x:is>
          <x:t xml:space="preserve">yes</x:t>
        </x:is>
      </x:c>
      <x:c r="J19" s="243" t="n"/>
      <x:c r="K19" s="243" t="n"/>
      <x:c r="L19" s="243" t="n">
        <x:v>1</x:v>
      </x:c>
      <x:c r="M19" s="243" t="n">
        <x:f>IF(OR(AND(I19="yes",H19="verified"),AND(I19="no",OR(H19="tested",H19="verified")),AND(H19="not applicable",K19&lt;&gt;"")),1,0)</x:f>
        <x:v>0</x:v>
      </x:c>
    </x:row>
    <x:row r="20" s="135" customFormat="1" ht="63.75" customHeight="1">
      <x:c r="A20" s="243" t="inlineStr">
        <x:is>
          <x:t xml:space="preserve">F-12</x:t>
        </x:is>
      </x:c>
      <x:c r="B20" s="243" t="inlineStr">
        <x:is>
          <x:t xml:space="preserve">human</x:t>
        </x:is>
      </x:c>
      <x:c r="C20" s="243" t="inlineStr">
        <x:is>
          <x:t xml:space="preserve">Manual</x:t>
        </x:is>
      </x:c>
      <x:c r="D20" s="243" t="inlineStr">
        <x:is>
          <x:t xml:space="preserve">Real zoom, physical touch and screen reader</x:t>
        </x:is>
      </x:c>
      <x:c r="E20" s="243" t="inlineStr">
        <x:is>
          <x:t xml:space="preserve">manual</x:t>
        </x:is>
      </x:c>
      <x:c r="F20" s="243" t="inlineStr">
        <x:is>
          <x:t xml:space="preserve">human</x:t>
        </x:is>
      </x:c>
      <x:c r="G20" s="243" t="inlineStr">
        <x:is>
          <x:t xml:space="preserve">manual-tests/float.md</x:t>
        </x:is>
      </x:c>
      <x:c r="H20" s="243" t="inlineStr">
        <x:is>
          <x:t xml:space="preserve">not started</x:t>
        </x:is>
      </x:c>
      <x:c r="I20" s="243" t="inlineStr">
        <x:is>
          <x:t xml:space="preserve">yes</x:t>
        </x:is>
      </x:c>
      <x:c r="J20" s="243" t="n"/>
      <x:c r="K20" s="243" t="inlineStr">
        <x:is>
          <x:t xml:space="preserve">Manual checks unperformed</x:t>
        </x:is>
      </x:c>
      <x:c r="L20" s="243" t="n">
        <x:v>1</x:v>
      </x:c>
      <x:c r="M20" s="243" t="n">
        <x:f>IF(OR(AND(I20="yes",H20="verified"),AND(I20="no",OR(H20="tested",H20="verified")),AND(H20="not applicable",K20&lt;&gt;"")),1,0)</x:f>
        <x:v>0</x:v>
      </x:c>
    </x:row>
    <x:row r="21" s="135" customFormat="1" ht="63.75" customHeight="1">
      <x:c r="A21" s="243" t="inlineStr">
        <x:is>
          <x:t xml:space="preserve">F-13</x:t>
        </x:is>
      </x:c>
      <x:c r="B21" s="243" t="inlineStr">
        <x:is>
          <x:t xml:space="preserve">generated</x:t>
        </x:is>
      </x:c>
      <x:c r="C21" s="243" t="inlineStr">
        <x:is>
          <x:t xml:space="preserve">Knowledge</x:t>
        </x:is>
      </x:c>
      <x:c r="D21" s="243" t="inlineStr">
        <x:is>
          <x:t xml:space="preserve">126 guided owners and Float selection rules</x:t>
        </x:is>
      </x:c>
      <x:c r="E21" s="243" t="inlineStr">
        <x:is>
          <x:t xml:space="preserve">package</x:t>
        </x:is>
      </x:c>
      <x:c r="F21" s="243" t="inlineStr">
        <x:is>
          <x:t xml:space="preserve">generated</x:t>
        </x:is>
      </x:c>
      <x:c r="G21" s="243" t="inlineStr">
        <x:is>
          <x:t xml:space="preserve">../src/components/float/agent.json</x:t>
        </x:is>
      </x:c>
      <x:c r="H21" s="243" t="inlineStr">
        <x:is>
          <x:t xml:space="preserve">tested</x:t>
        </x:is>
      </x:c>
      <x:c r="I21" s="243" t="inlineStr">
        <x:is>
          <x:t xml:space="preserve">no</x:t>
        </x:is>
      </x:c>
      <x:c r="J21" s="243" t="n"/>
      <x:c r="K21" s="243" t="n"/>
      <x:c r="L21" s="243" t="n">
        <x:v>1</x:v>
      </x:c>
      <x:c r="M21" s="243" t="n">
        <x:f>IF(OR(AND(I21="yes",H21="verified"),AND(I21="no",OR(H21="tested",H21="verified")),AND(H21="not applicable",K21&lt;&gt;"")),1,0)</x:f>
        <x:v>1</x:v>
      </x:c>
    </x:row>
    <x:row r="22" s="135" customFormat="1" ht="63.75" customHeight="1">
      <x:c r="A22" s="243" t="inlineStr">
        <x:is>
          <x:t xml:space="preserve">F-14</x:t>
        </x:is>
      </x:c>
      <x:c r="B22" s="243" t="inlineStr">
        <x:is>
          <x:t xml:space="preserve">package</x:t>
        </x:is>
      </x:c>
      <x:c r="C22" s="243" t="inlineStr">
        <x:is>
          <x:t xml:space="preserve">Packed artifact</x:t>
        </x:is>
      </x:c>
      <x:c r="D22" s="243" t="inlineStr">
        <x:is>
          <x:t xml:space="preserve">Public imports, CSS and archive contents</x:t>
        </x:is>
      </x:c>
      <x:c r="E22" s="243" t="inlineStr">
        <x:is>
          <x:t xml:space="preserve">package</x:t>
        </x:is>
      </x:c>
      <x:c r="F22" s="243" t="inlineStr">
        <x:is>
          <x:t xml:space="preserve">package</x:t>
        </x:is>
      </x:c>
      <x:c r="G22" s="243" t="inlineStr">
        <x:is>
          <x:t xml:space="preserve">../scripts/verify-package.mjs</x:t>
        </x:is>
      </x:c>
      <x:c r="H22" s="243" t="inlineStr">
        <x:is>
          <x:t xml:space="preserve">implemented</x:t>
        </x:is>
      </x:c>
      <x:c r="I22" s="243" t="inlineStr">
        <x:is>
          <x:t xml:space="preserve">no</x:t>
        </x:is>
      </x:c>
      <x:c r="J22" s="243" t="n"/>
      <x:c r="K22" s="243" t="n"/>
      <x:c r="L22" s="243" t="n">
        <x:v>1</x:v>
      </x:c>
      <x:c r="M22" s="243" t="n">
        <x:f>IF(OR(AND(I22="yes",H22="verified"),AND(I22="no",OR(H22="tested",H22="verified")),AND(H22="not applicable",K22&lt;&gt;"")),1,0)</x:f>
        <x:v>0</x:v>
      </x:c>
    </x:row>
    <x:row r="23" s="135" customFormat="1" ht="63.75" customHeight="1">
      <x:c r="A23" s="243" t="inlineStr">
        <x:is>
          <x:t xml:space="preserve">F-15</x:t>
        </x:is>
      </x:c>
      <x:c r="B23" s="243" t="inlineStr">
        <x:is>
          <x:t xml:space="preserve">integration</x:t>
        </x:is>
      </x:c>
      <x:c r="C23" s="243" t="inlineStr">
        <x:is>
          <x:t xml:space="preserve">Consumer</x:t>
        </x:is>
      </x:c>
      <x:c r="D23" s="243" t="inlineStr">
        <x:is>
          <x:t xml:space="preserve">Packed React consumers and profile composition</x:t>
        </x:is>
      </x:c>
      <x:c r="E23" s="243" t="inlineStr">
        <x:is>
          <x:t xml:space="preserve">consumer</x:t>
        </x:is>
      </x:c>
      <x:c r="F23" s="243" t="inlineStr">
        <x:is>
          <x:t xml:space="preserve">integration</x:t>
        </x:is>
      </x:c>
      <x:c r="G23" s="243" t="inlineStr">
        <x:is>
          <x:t xml:space="preserve">../apps/consumer/src/FloatExample.tsx</x:t>
        </x:is>
      </x:c>
      <x:c r="H23" s="243" t="inlineStr">
        <x:is>
          <x:t xml:space="preserve">implemented</x:t>
        </x:is>
      </x:c>
      <x:c r="I23" s="243" t="inlineStr">
        <x:is>
          <x:t xml:space="preserve">no</x:t>
        </x:is>
      </x:c>
      <x:c r="J23" s="243" t="n"/>
      <x:c r="K23" s="243" t="n"/>
      <x:c r="L23" s="243" t="n">
        <x:v>1</x:v>
      </x:c>
      <x:c r="M23" s="243" t="n">
        <x:f>IF(OR(AND(I23="yes",H23="verified"),AND(I23="no",OR(H23="tested",H23="verified")),AND(H23="not applicable",K23&lt;&gt;"")),1,0)</x:f>
        <x:v>0</x:v>
      </x:c>
    </x:row>
    <x:row r="24" s="135" customFormat="1" ht="63.75" customHeight="1">
      <x:c r="A24" s="243" t="inlineStr">
        <x:is>
          <x:t xml:space="preserve">F-16</x:t>
        </x:is>
      </x:c>
      <x:c r="B24" s="243" t="inlineStr">
        <x:is>
          <x:t xml:space="preserve">validation</x:t>
        </x:is>
      </x:c>
      <x:c r="C24" s="243" t="inlineStr">
        <x:is>
          <x:t xml:space="preserve">Documentation</x:t>
        </x:is>
      </x:c>
      <x:c r="D24" s="243" t="inlineStr">
        <x:is>
          <x:t xml:space="preserve">API/default reconciliation and changelog gate</x:t>
        </x:is>
      </x:c>
      <x:c r="E24" s="243" t="inlineStr">
        <x:is>
          <x:t xml:space="preserve">docs</x:t>
        </x:is>
      </x:c>
      <x:c r="F24" s="243" t="inlineStr">
        <x:is>
          <x:t xml:space="preserve">validation</x:t>
        </x:is>
      </x:c>
      <x:c r="G24" s="243" t="inlineStr">
        <x:is>
          <x:t xml:space="preserve">../docs/components/float/README.md</x:t>
        </x:is>
      </x:c>
      <x:c r="H24" s="243" t="inlineStr">
        <x:is>
          <x:t xml:space="preserve">partial</x:t>
        </x:is>
      </x:c>
      <x:c r="I24" s="243" t="inlineStr">
        <x:is>
          <x:t xml:space="preserve">no</x:t>
        </x:is>
      </x:c>
      <x:c r="J24" s="243" t="n"/>
      <x:c r="K24" s="243" t="n"/>
      <x:c r="L24" s="243" t="n">
        <x:v>1</x:v>
      </x:c>
      <x:c r="M24" s="243" t="n">
        <x:f>IF(OR(AND(I24="yes",H24="verified"),AND(I24="no",OR(H24="tested",H24="verified")),AND(H24="not applicable",K24&lt;&gt;"")),1,0)</x:f>
        <x:v>0</x:v>
      </x:c>
    </x:row>
  </x:sheetData>
  <x:dataValidations count="2">
    <x:dataValidation type="list" errorStyle="stop" operator="between" allowBlank="0" showDropDown="0" showInputMessage="0" showErrorMessage="0" sqref="H9:H24">
      <x:formula1>"not started,partial,implemented,tested,verified,blocked,not applicable"</x:formula1>
      <x:formula2>0</x:formula2>
    </x:dataValidation>
    <x:dataValidation type="list" errorStyle="stop" operator="between" allowBlank="0" showDropDown="0" showInputMessage="0" showErrorMessage="0" sqref="I9:I24">
      <x:formula1>"yes,no"</x:formula1>
      <x:formula2>0</x:formula2>
    </x:dataValidation>
  </x:dataValidations>
  <x:pageMargins left="0.7" right="0.7" top="0.75" bottom="0.75" header="0.3" footer="0.3"/>
</x:worksheet>
</file>

<file path=xl/worksheets/sheet133.xml><?xml version="1.0" encoding="utf-8"?>
<x:worksheet xmlns:x="http://schemas.openxmlformats.org/spreadsheetml/2006/main">
  <x:sheetViews>
    <x:sheetView showGridLines="1" workbookViewId="0">
      <x:pane ySplit="8" topLeftCell="A9" activePane="bottomLeft" state="frozen"/>
    </x:sheetView>
  </x:sheetViews>
  <x:sheetFormatPr baseColWidth="8" defaultColWidth="8.6796875" defaultRowHeight="15"/>
  <x:cols>
    <x:col min="1" max="1" width="14" style="138" customWidth="1"/>
    <x:col min="2" max="2" width="16" style="138" customWidth="1"/>
    <x:col min="3" max="3" width="19" style="138" customWidth="1"/>
    <x:col min="4" max="4" width="59" style="138" customWidth="1"/>
    <x:col min="5" max="5" width="15" style="138" customWidth="1"/>
    <x:col min="6" max="6" width="16" style="138" customWidth="1"/>
    <x:col min="7" max="7" width="51" style="138" customWidth="1"/>
    <x:col min="8" max="8" width="18" style="138" customWidth="1"/>
    <x:col min="9" max="10" width="15" style="138" customWidth="1"/>
    <x:col min="11" max="11" width="43" style="138" customWidth="1"/>
    <x:col min="12" max="13" width="11" style="138" customWidth="1"/>
  </x:cols>
  <x:sheetData>
    <x:row r="1" s="135" customFormat="1" ht="15" customHeight="1">
      <x:c r="A1" s="138" t="inlineStr">
        <x:is>
          <x:t xml:space="preserve">ButtonGroup Evidence</x:t>
        </x:is>
      </x:c>
    </x:row>
    <x:row r="2" s="135" customFormat="1" ht="15" customHeight="1">
      <x:c r="A2" s="138" t="inlineStr">
        <x:is>
          <x:t xml:space="preserve">Assertion-level package, browser, human-review, documentation, and consumer evidence.</x:t>
        </x:is>
      </x:c>
    </x:row>
    <x:row r="3" s="135" customFormat="1" ht="15" customHeight="1">
      <x:c r="A3" s="138" t="n"/>
      <x:c r="B3" s="138" t="n"/>
      <x:c r="C3" s="138" t="n"/>
      <x:c r="D3" s="138" t="n"/>
      <x:c r="E3" s="138" t="n"/>
      <x:c r="F3" s="138" t="n"/>
      <x:c r="G3" s="138" t="n"/>
      <x:c r="H3" s="138" t="n"/>
      <x:c r="I3" s="138" t="n"/>
      <x:c r="J3" s="138" t="n"/>
      <x:c r="K3" s="138" t="n"/>
      <x:c r="L3" s="138" t="n"/>
      <x:c r="M3" s="138" t="n"/>
    </x:row>
    <x:row r="4" s="135" customFormat="1" ht="15" customHeight="1">
      <x:c r="A4" s="138" t="inlineStr">
        <x:is>
          <x:t xml:space="preserve">Requirements</x:t>
        </x:is>
      </x:c>
      <x:c r="B4" s="138" t="n">
        <x:f>COUNTA(A9:A24)</x:f>
        <x:v>16</x:v>
      </x:c>
      <x:c r="C4" s="138" t="n"/>
      <x:c r="D4" s="138" t="inlineStr">
        <x:is>
          <x:t xml:space="preserve">Resolved</x:t>
        </x:is>
      </x:c>
      <x:c r="E4" s="138" t="n">
        <x:f>SUM(M9:M24)</x:f>
        <x:v>8</x:v>
      </x:c>
      <x:c r="F4" s="138" t="n"/>
      <x:c r="G4" s="138" t="inlineStr">
        <x:is>
          <x:t xml:space="preserve">Completion</x:t>
        </x:is>
      </x:c>
      <x:c r="H4" s="138" t="n">
        <x:f>IF(B4=0,0,E4/B4)</x:f>
        <x:v>0.5</x:v>
      </x:c>
      <x:c r="I4" s="138" t="n"/>
      <x:c r="J4" s="138" t="inlineStr">
        <x:is>
          <x:t xml:space="preserve">Package gate</x:t>
        </x:is>
      </x:c>
      <x:c r="K4" s="138" t="str">
        <x:f>IF(COUNTIFS(E9:E24,"package",M9:M24,0)&gt;0,"open","complete")</x:f>
        <x:v>open</x:v>
      </x:c>
      <x:c r="L4" s="138" t="n"/>
      <x:c r="M4" s="138" t="n"/>
    </x:row>
    <x:row r="5" s="135" customFormat="1" ht="15" customHeight="1">
      <x:c r="A5" s="138" t="inlineStr">
        <x:is>
          <x:t xml:space="preserve">Manual review</x:t>
        </x:is>
      </x:c>
      <x:c r="B5" s="138" t="str">
        <x:f>IF(COUNTIFS(I9:I24,"yes",M9:M24,0)&gt;0,"open","complete")</x:f>
        <x:v>open</x:v>
      </x:c>
      <x:c r="C5" s="138" t="n"/>
      <x:c r="D5" s="138" t="inlineStr">
        <x:is>
          <x:t xml:space="preserve">Consumer gate</x:t>
        </x:is>
      </x:c>
      <x:c r="E5" s="138" t="str">
        <x:f>IF(COUNTIFS(E9:E24,"consumer",M9:M24,0)&gt;0,"open","complete")</x:f>
        <x:v>open</x:v>
      </x:c>
      <x:c r="F5" s="138" t="n"/>
      <x:c r="G5" s="138" t="n"/>
      <x:c r="H5" s="138" t="n"/>
      <x:c r="I5" s="138" t="n"/>
      <x:c r="J5" s="138" t="n"/>
      <x:c r="K5" s="138" t="n"/>
      <x:c r="L5" s="138" t="n"/>
      <x:c r="M5" s="138" t="n"/>
    </x:row>
    <x:row r="6" s="135" customFormat="1" ht="15" customHeight="1">
      <x:c r="A6" s="138" t="n"/>
      <x:c r="B6" s="138" t="n"/>
      <x:c r="C6" s="138" t="n"/>
      <x:c r="D6" s="138" t="n"/>
      <x:c r="E6" s="138" t="n"/>
      <x:c r="F6" s="138" t="n"/>
      <x:c r="G6" s="138" t="n"/>
      <x:c r="H6" s="138" t="n"/>
      <x:c r="I6" s="138" t="n"/>
      <x:c r="J6" s="138" t="n"/>
      <x:c r="K6" s="138" t="n"/>
      <x:c r="L6" s="138" t="n"/>
      <x:c r="M6" s="138" t="n"/>
    </x:row>
    <x:row r="7" s="135" customFormat="1" ht="15" customHeight="1">
      <x:c r="A7" s="138" t="n"/>
      <x:c r="B7" s="138" t="n"/>
      <x:c r="C7" s="138" t="n"/>
      <x:c r="D7" s="138" t="n"/>
      <x:c r="E7" s="138" t="n"/>
      <x:c r="F7" s="138" t="n"/>
      <x:c r="G7" s="138" t="n"/>
      <x:c r="H7" s="138" t="n"/>
      <x:c r="I7" s="138" t="n"/>
      <x:c r="J7" s="138" t="n"/>
      <x:c r="K7" s="138" t="n"/>
      <x:c r="L7" s="138" t="n"/>
      <x:c r="M7" s="138" t="n"/>
    </x:row>
    <x:row r="8" s="135" customFormat="1" ht="15" customHeight="1">
      <x:c r="A8" s="138" t="inlineStr">
        <x:is>
          <x:t xml:space="preserve">ID</x:t>
        </x:is>
      </x:c>
      <x:c r="B8" s="138" t="inlineStr">
        <x:is>
          <x:t xml:space="preserve">Area</x:t>
        </x:is>
      </x:c>
      <x:c r="C8" s="138" t="inlineStr">
        <x:is>
          <x:t xml:space="preserve">Part</x:t>
        </x:is>
      </x:c>
      <x:c r="D8" s="138" t="inlineStr">
        <x:is>
          <x:t xml:space="preserve">Requirement</x:t>
        </x:is>
      </x:c>
      <x:c r="E8" s="138" t="inlineStr">
        <x:is>
          <x:t xml:space="preserve">Gate</x:t>
        </x:is>
      </x:c>
      <x:c r="F8" s="138" t="inlineStr">
        <x:is>
          <x:t xml:space="preserve">Evidence type</x:t>
        </x:is>
      </x:c>
      <x:c r="G8" s="138" t="inlineStr">
        <x:is>
          <x:t xml:space="preserve">Evidence / link</x:t>
        </x:is>
      </x:c>
      <x:c r="H8" s="138" t="inlineStr">
        <x:is>
          <x:t xml:space="preserve">Status</x:t>
        </x:is>
      </x:c>
      <x:c r="I8" s="138" t="inlineStr">
        <x:is>
          <x:t xml:space="preserve">Human review?</x:t>
        </x:is>
      </x:c>
      <x:c r="J8" s="138" t="inlineStr">
        <x:is>
          <x:t xml:space="preserve">Last verified</x:t>
        </x:is>
      </x:c>
      <x:c r="K8" s="138" t="inlineStr">
        <x:is>
          <x:t xml:space="preserve">Blocker / N/A reason</x:t>
        </x:is>
      </x:c>
      <x:c r="L8" s="138" t="inlineStr">
        <x:is>
          <x:t xml:space="preserve">Weight</x:t>
        </x:is>
      </x:c>
      <x:c r="M8" s="138" t="inlineStr">
        <x:is>
          <x:t xml:space="preserve">Resolved</x:t>
        </x:is>
      </x:c>
    </x:row>
    <x:row r="9" s="135" customFormat="1" ht="48" customHeight="1">
      <x:c r="A9" s="143" t="inlineStr">
        <x:is>
          <x:t xml:space="preserve">BG-01</x:t>
        </x:is>
      </x:c>
      <x:c r="B9" s="143" t="inlineStr">
        <x:is>
          <x:t xml:space="preserve">Implementation</x:t>
        </x:is>
      </x:c>
      <x:c r="C9" s="143" t="inlineStr">
        <x:is>
          <x:t xml:space="preserve">ButtonGroup</x:t>
        </x:is>
      </x:c>
      <x:c r="D9" s="143" t="inlineStr">
        <x:is>
          <x:t xml:space="preserve">Group layout plus visual context; Button retains Atom behavior.</x:t>
        </x:is>
      </x:c>
      <x:c r="E9" s="143" t="inlineStr">
        <x:is>
          <x:t xml:space="preserve">package</x:t>
        </x:is>
      </x:c>
      <x:c r="F9" s="143" t="inlineStr">
        <x:is>
          <x:t xml:space="preserve">source</x:t>
        </x:is>
      </x:c>
      <x:c r="G9" s="143" t="inlineStr">
        <x:is>
          <x:t xml:space="preserve">../src/components/button/ButtonGroup.tsx</x:t>
        </x:is>
      </x:c>
      <x:c r="H9" s="143" t="inlineStr">
        <x:is>
          <x:t xml:space="preserve">tested</x:t>
        </x:is>
      </x:c>
      <x:c r="I9" s="143" t="inlineStr">
        <x:is>
          <x:t xml:space="preserve">no</x:t>
        </x:is>
      </x:c>
      <x:c r="J9" s="226" t="n">
        <x:v>46277.5</x:v>
      </x:c>
      <x:c r="K9" s="143" t="n"/>
      <x:c r="L9" s="143" t="n">
        <x:v>1</x:v>
      </x:c>
      <x:c r="M9" s="143" t="n">
        <x:f>IF(OR(AND(I9="yes",H9="verified"),AND(I9="no",OR(H9="tested",H9="verified")),AND(H9="not applicable",K9&lt;&gt;"")),1,0)</x:f>
        <x:v>1</x:v>
      </x:c>
    </x:row>
    <x:row r="10" s="135" customFormat="1" ht="48" customHeight="1">
      <x:c r="A10" s="143" t="inlineStr">
        <x:is>
          <x:t xml:space="preserve">BG-02</x:t>
        </x:is>
      </x:c>
      <x:c r="B10" s="143" t="inlineStr">
        <x:is>
          <x:t xml:space="preserve">Exports</x:t>
        </x:is>
      </x:c>
      <x:c r="C10" s="143" t="inlineStr">
        <x:is>
          <x:t xml:space="preserve">ButtonGroup</x:t>
        </x:is>
      </x:c>
      <x:c r="D10" s="143" t="inlineStr">
        <x:is>
          <x:t xml:space="preserve">Root and public subpath exports expose the component.</x:t>
        </x:is>
      </x:c>
      <x:c r="E10" s="143" t="inlineStr">
        <x:is>
          <x:t xml:space="preserve">package</x:t>
        </x:is>
      </x:c>
      <x:c r="F10" s="143" t="inlineStr">
        <x:is>
          <x:t xml:space="preserve">package</x:t>
        </x:is>
      </x:c>
      <x:c r="G10" s="143" t="inlineStr">
        <x:is>
          <x:t xml:space="preserve">../src/button.ts</x:t>
        </x:is>
      </x:c>
      <x:c r="H10" s="143" t="inlineStr">
        <x:is>
          <x:t xml:space="preserve">tested</x:t>
        </x:is>
      </x:c>
      <x:c r="I10" s="143" t="inlineStr">
        <x:is>
          <x:t xml:space="preserve">no</x:t>
        </x:is>
      </x:c>
      <x:c r="J10" s="226" t="n">
        <x:v>46277.5</x:v>
      </x:c>
      <x:c r="K10" s="143" t="n"/>
      <x:c r="L10" s="143" t="n">
        <x:v>1</x:v>
      </x:c>
      <x:c r="M10" s="143" t="n">
        <x:f>IF(OR(AND(I10="yes",H10="verified"),AND(I10="no",OR(H10="tested",H10="verified")),AND(H10="not applicable",K10&lt;&gt;"")),1,0)</x:f>
        <x:v>1</x:v>
      </x:c>
    </x:row>
    <x:row r="11" s="135" customFormat="1" ht="48" customHeight="1">
      <x:c r="A11" s="143" t="inlineStr">
        <x:is>
          <x:t xml:space="preserve">BG-03</x:t>
        </x:is>
      </x:c>
      <x:c r="B11" s="143" t="inlineStr">
        <x:is>
          <x:t xml:space="preserve">Types</x:t>
        </x:is>
      </x:c>
      <x:c r="C11" s="143" t="inlineStr">
        <x:is>
          <x:t xml:space="preserve">ButtonGroup</x:t>
        </x:is>
      </x:c>
      <x:c r="D11" s="143" t="inlineStr">
        <x:is>
          <x:t xml:space="preserve">Public props, refs, composition branches, and invalid cases type-check.</x:t>
        </x:is>
      </x:c>
      <x:c r="E11" s="143" t="inlineStr">
        <x:is>
          <x:t xml:space="preserve">package</x:t>
        </x:is>
      </x:c>
      <x:c r="F11" s="143" t="inlineStr">
        <x:is>
          <x:t xml:space="preserve">types</x:t>
        </x:is>
      </x:c>
      <x:c r="G11" s="143" t="inlineStr">
        <x:is>
          <x:t xml:space="preserve">../test/types/components/button-parity.test.tsx</x:t>
        </x:is>
      </x:c>
      <x:c r="H11" s="143" t="inlineStr">
        <x:is>
          <x:t xml:space="preserve">tested</x:t>
        </x:is>
      </x:c>
      <x:c r="I11" s="143" t="inlineStr">
        <x:is>
          <x:t xml:space="preserve">no</x:t>
        </x:is>
      </x:c>
      <x:c r="J11" s="226" t="n">
        <x:v>46277.5</x:v>
      </x:c>
      <x:c r="K11" s="143" t="n"/>
      <x:c r="L11" s="143" t="n">
        <x:v>1</x:v>
      </x:c>
      <x:c r="M11" s="143" t="n">
        <x:f>IF(OR(AND(I11="yes",H11="verified"),AND(I11="no",OR(H11="tested",H11="verified")),AND(H11="not applicable",K11&lt;&gt;"")),1,0)</x:f>
        <x:v>1</x:v>
      </x:c>
    </x:row>
    <x:row r="12" s="135" customFormat="1" ht="48" customHeight="1">
      <x:c r="A12" s="143" t="inlineStr">
        <x:is>
          <x:t xml:space="preserve">BG-04</x:t>
        </x:is>
      </x:c>
      <x:c r="B12" s="143" t="inlineStr">
        <x:is>
          <x:t xml:space="preserve">CSS</x:t>
        </x:is>
      </x:c>
      <x:c r="C12" s="143" t="inlineStr">
        <x:is>
          <x:t xml:space="preserve">ButtonGroup</x:t>
        </x:is>
      </x:c>
      <x:c r="D12" s="143" t="inlineStr">
        <x:is>
          <x:t xml:space="preserve">Static public CSS, classes, slots, recipes, states, and tokens are present.</x:t>
        </x:is>
      </x:c>
      <x:c r="E12" s="143" t="inlineStr">
        <x:is>
          <x:t xml:space="preserve">package</x:t>
        </x:is>
      </x:c>
      <x:c r="F12" s="143" t="inlineStr">
        <x:is>
          <x:t xml:space="preserve">css</x:t>
        </x:is>
      </x:c>
      <x:c r="G12" s="143" t="inlineStr">
        <x:is>
          <x:t xml:space="preserve">../src/components/button/button.css</x:t>
        </x:is>
      </x:c>
      <x:c r="H12" s="143" t="inlineStr">
        <x:is>
          <x:t xml:space="preserve">tested</x:t>
        </x:is>
      </x:c>
      <x:c r="I12" s="143" t="inlineStr">
        <x:is>
          <x:t xml:space="preserve">no</x:t>
        </x:is>
      </x:c>
      <x:c r="J12" s="226" t="n">
        <x:v>46277.5</x:v>
      </x:c>
      <x:c r="K12" s="143" t="n"/>
      <x:c r="L12" s="143" t="n">
        <x:v>1</x:v>
      </x:c>
      <x:c r="M12" s="143" t="n">
        <x:f>IF(OR(AND(I12="yes",H12="verified"),AND(I12="no",OR(H12="tested",H12="verified")),AND(H12="not applicable",K12&lt;&gt;"")),1,0)</x:f>
        <x:v>1</x:v>
      </x:c>
    </x:row>
    <x:row r="13" s="135" customFormat="1" ht="48" customHeight="1">
      <x:c r="A13" s="143" t="inlineStr">
        <x:is>
          <x:t xml:space="preserve">BG-05</x:t>
        </x:is>
      </x:c>
      <x:c r="B13" s="143" t="inlineStr">
        <x:is>
          <x:t xml:space="preserve">Unit</x:t>
        </x:is>
      </x:c>
      <x:c r="C13" s="143" t="inlineStr">
        <x:is>
          <x:t xml:space="preserve">ButtonGroup</x:t>
        </x:is>
      </x:c>
      <x:c r="D13" s="143" t="inlineStr">
        <x:is>
          <x:t xml:space="preserve">Inherited defaults, child overrides, nested scope and composed host/ref pass.</x:t>
        </x:is>
      </x:c>
      <x:c r="E13" s="143" t="inlineStr">
        <x:is>
          <x:t xml:space="preserve">package</x:t>
        </x:is>
      </x:c>
      <x:c r="F13" s="143" t="inlineStr">
        <x:is>
          <x:t xml:space="preserve">component</x:t>
        </x:is>
      </x:c>
      <x:c r="G13" s="143" t="inlineStr">
        <x:is>
          <x:t xml:space="preserve">../test/components/button/parity.test.tsx</x:t>
        </x:is>
      </x:c>
      <x:c r="H13" s="143" t="inlineStr">
        <x:is>
          <x:t xml:space="preserve">tested</x:t>
        </x:is>
      </x:c>
      <x:c r="I13" s="143" t="inlineStr">
        <x:is>
          <x:t xml:space="preserve">no</x:t>
        </x:is>
      </x:c>
      <x:c r="J13" s="226" t="n">
        <x:v>46277.5</x:v>
      </x:c>
      <x:c r="K13" s="143" t="n"/>
      <x:c r="L13" s="143" t="n">
        <x:v>1</x:v>
      </x:c>
      <x:c r="M13" s="143" t="n">
        <x:f>IF(OR(AND(I13="yes",H13="verified"),AND(I13="no",OR(H13="tested",H13="verified")),AND(H13="not applicable",K13&lt;&gt;"")),1,0)</x:f>
        <x:v>1</x:v>
      </x:c>
    </x:row>
    <x:row r="14" s="135" customFormat="1" ht="48" customHeight="1">
      <x:c r="A14" s="143" t="inlineStr">
        <x:is>
          <x:t xml:space="preserve">BG-06</x:t>
        </x:is>
      </x:c>
      <x:c r="B14" s="143" t="inlineStr">
        <x:is>
          <x:t xml:space="preserve">Browser</x:t>
        </x:is>
      </x:c>
      <x:c r="C14" s="143" t="inlineStr">
        <x:is>
          <x:t xml:space="preserve">ButtonGroup</x:t>
        </x:is>
      </x:c>
      <x:c r="D14" s="143" t="inlineStr">
        <x:is>
          <x:t xml:space="preserve">Mixed Button/IconButton defaults and split menu pass in three engines.</x:t>
        </x:is>
      </x:c>
      <x:c r="E14" s="143" t="inlineStr">
        <x:is>
          <x:t xml:space="preserve">package</x:t>
        </x:is>
      </x:c>
      <x:c r="F14" s="143" t="inlineStr">
        <x:is>
          <x:t xml:space="preserve">browser</x:t>
        </x:is>
      </x:c>
      <x:c r="G14" s="143" t="inlineStr">
        <x:is>
          <x:t xml:space="preserve">tests/components/button/parity.spec.ts</x:t>
        </x:is>
      </x:c>
      <x:c r="H14" s="143" t="inlineStr">
        <x:is>
          <x:t xml:space="preserve">tested</x:t>
        </x:is>
      </x:c>
      <x:c r="I14" s="143" t="inlineStr">
        <x:is>
          <x:t xml:space="preserve">no</x:t>
        </x:is>
      </x:c>
      <x:c r="J14" s="226" t="n">
        <x:v>46277.5</x:v>
      </x:c>
      <x:c r="K14" s="143" t="n"/>
      <x:c r="L14" s="143" t="n">
        <x:v>1</x:v>
      </x:c>
      <x:c r="M14" s="143" t="n">
        <x:f>IF(OR(AND(I14="yes",H14="verified"),AND(I14="no",OR(H14="tested",H14="verified")),AND(H14="not applicable",K14&lt;&gt;"")),1,0)</x:f>
        <x:v>1</x:v>
      </x:c>
    </x:row>
    <x:row r="15" s="135" customFormat="1" ht="48" customHeight="1">
      <x:c r="A15" s="143" t="inlineStr">
        <x:is>
          <x:t xml:space="preserve">BG-07</x:t>
        </x:is>
      </x:c>
      <x:c r="B15" s="143" t="inlineStr">
        <x:is>
          <x:t xml:space="preserve">Accessibility</x:t>
        </x:is>
      </x:c>
      <x:c r="C15" s="143" t="inlineStr">
        <x:is>
          <x:t xml:space="preserve">ButtonGroup</x:t>
        </x:is>
      </x:c>
      <x:c r="D15" s="143" t="inlineStr">
        <x:is>
          <x:t xml:space="preserve">Automated semantics and accessibility checks pass in the browser evidence suite.</x:t>
        </x:is>
      </x:c>
      <x:c r="E15" s="143" t="inlineStr">
        <x:is>
          <x:t xml:space="preserve">package</x:t>
        </x:is>
      </x:c>
      <x:c r="F15" s="143" t="inlineStr">
        <x:is>
          <x:t xml:space="preserve">axe</x:t>
        </x:is>
      </x:c>
      <x:c r="G15" s="143" t="inlineStr">
        <x:is>
          <x:t xml:space="preserve">tests/components/button/behavior.spec.ts; tests/integration</x:t>
        </x:is>
      </x:c>
      <x:c r="H15" s="143" t="inlineStr">
        <x:is>
          <x:t xml:space="preserve">partial</x:t>
        </x:is>
      </x:c>
      <x:c r="I15" s="143" t="inlineStr">
        <x:is>
          <x:t xml:space="preserve">no</x:t>
        </x:is>
      </x:c>
      <x:c r="J15" s="226" t="n"/>
      <x:c r="K15" s="143" t="inlineStr">
        <x:is>
          <x:t xml:space="preserve">Dedicated axe scan pending; native Group composition has no new keyboard behavior.</x:t>
        </x:is>
      </x:c>
      <x:c r="L15" s="143" t="n">
        <x:v>1</x:v>
      </x:c>
      <x:c r="M15" s="143" t="n">
        <x:f>IF(OR(AND(I15="yes",H15="verified"),AND(I15="no",OR(H15="tested",H15="verified")),AND(H15="not applicable",K15&lt;&gt;"")),1,0)</x:f>
        <x:v>0</x:v>
      </x:c>
    </x:row>
    <x:row r="16" s="135" customFormat="1" ht="48" customHeight="1">
      <x:c r="A16" s="143" t="inlineStr">
        <x:is>
          <x:t xml:space="preserve">BG-08</x:t>
        </x:is>
      </x:c>
      <x:c r="B16" s="143" t="inlineStr">
        <x:is>
          <x:t xml:space="preserve">Visual</x:t>
        </x:is>
      </x:c>
      <x:c r="C16" s="143" t="inlineStr">
        <x:is>
          <x:t xml:space="preserve">ButtonGroup</x:t>
        </x:is>
      </x:c>
      <x:c r="D16" s="143" t="inlineStr">
        <x:is>
          <x:t xml:space="preserve">Light/dark group specimens inspected; manual review pending.</x:t>
        </x:is>
      </x:c>
      <x:c r="E16" s="143" t="inlineStr">
        <x:is>
          <x:t xml:space="preserve">package</x:t>
        </x:is>
      </x:c>
      <x:c r="F16" s="143" t="inlineStr">
        <x:is>
          <x:t xml:space="preserve">visual</x:t>
        </x:is>
      </x:c>
      <x:c r="G16" s="143" t="inlineStr">
        <x:is>
          <x:t xml:space="preserve">tests/components/button/parity.spec.ts</x:t>
        </x:is>
      </x:c>
      <x:c r="H16" s="143" t="inlineStr">
        <x:is>
          <x:t xml:space="preserve">tested</x:t>
        </x:is>
      </x:c>
      <x:c r="I16" s="143" t="inlineStr">
        <x:is>
          <x:t xml:space="preserve">yes</x:t>
        </x:is>
      </x:c>
      <x:c r="J16" s="226" t="n">
        <x:v>46277.5</x:v>
      </x:c>
      <x:c r="K16" s="143" t="inlineStr">
        <x:is>
          <x:t xml:space="preserve">Visual specimens inspected; owner manual review pending.</x:t>
        </x:is>
      </x:c>
      <x:c r="L16" s="143" t="n">
        <x:v>1</x:v>
      </x:c>
      <x:c r="M16" s="143" t="n">
        <x:f>IF(OR(AND(I16="yes",H16="verified"),AND(I16="no",OR(H16="tested",H16="verified")),AND(H16="not applicable",K16&lt;&gt;"")),1,0)</x:f>
        <x:v>0</x:v>
      </x:c>
    </x:row>
    <x:row r="17" s="135" customFormat="1" ht="48" customHeight="1">
      <x:c r="A17" s="143" t="inlineStr">
        <x:is>
          <x:t xml:space="preserve">BG-09</x:t>
        </x:is>
      </x:c>
      <x:c r="B17" s="143" t="inlineStr">
        <x:is>
          <x:t xml:space="preserve">Responsive</x:t>
        </x:is>
      </x:c>
      <x:c r="C17" s="143" t="inlineStr">
        <x:is>
          <x:t xml:space="preserve">ButtonGroup</x:t>
        </x:is>
      </x:c>
      <x:c r="D17" s="143" t="inlineStr">
        <x:is>
          <x:t xml:space="preserve">Mobile, zoom/reflow, content stress, and RTL remain usable and contained.</x:t>
        </x:is>
      </x:c>
      <x:c r="E17" s="143" t="inlineStr">
        <x:is>
          <x:t xml:space="preserve">package</x:t>
        </x:is>
      </x:c>
      <x:c r="F17" s="143" t="inlineStr">
        <x:is>
          <x:t xml:space="preserve">manual</x:t>
        </x:is>
      </x:c>
      <x:c r="G17" s="143" t="inlineStr">
        <x:is>
          <x:t xml:space="preserve">manual-tests/button.md</x:t>
        </x:is>
      </x:c>
      <x:c r="H17" s="143" t="inlineStr">
        <x:is>
          <x:t xml:space="preserve">implemented</x:t>
        </x:is>
      </x:c>
      <x:c r="I17" s="143" t="inlineStr">
        <x:is>
          <x:t xml:space="preserve">yes</x:t>
        </x:is>
      </x:c>
      <x:c r="J17" s="226" t="n"/>
      <x:c r="K17" s="143" t="inlineStr">
        <x:is>
          <x:t xml:space="preserve">Human protocol remains pending. Automated and visual evidence stays in its owning tests and does not complete this human gate.</x:t>
        </x:is>
      </x:c>
      <x:c r="L17" s="143" t="n">
        <x:v>1</x:v>
      </x:c>
      <x:c r="M17" s="143" t="n">
        <x:f>IF(OR(AND(I17="yes",H17="verified"),AND(I17="no",OR(H17="tested",H17="verified")),AND(H17="not applicable",K17&lt;&gt;"")),1,0)</x:f>
        <x:v>0</x:v>
      </x:c>
    </x:row>
    <x:row r="18" s="135" customFormat="1" ht="48" customHeight="1">
      <x:c r="A18" s="143" t="inlineStr">
        <x:is>
          <x:t xml:space="preserve">BG-10</x:t>
        </x:is>
      </x:c>
      <x:c r="B18" s="143" t="inlineStr">
        <x:is>
          <x:t xml:space="preserve">Theme</x:t>
        </x:is>
      </x:c>
      <x:c r="C18" s="143" t="inlineStr">
        <x:is>
          <x:t xml:space="preserve">ButtonGroup</x:t>
        </x:is>
      </x:c>
      <x:c r="D18" s="143" t="inlineStr">
        <x:is>
          <x:t xml:space="preserve">Light, dark, focus, forced-colors, and relevant motion behavior remain perceivable.</x:t>
        </x:is>
      </x:c>
      <x:c r="E18" s="143" t="inlineStr">
        <x:is>
          <x:t xml:space="preserve">package</x:t>
        </x:is>
      </x:c>
      <x:c r="F18" s="143" t="inlineStr">
        <x:is>
          <x:t xml:space="preserve">manual</x:t>
        </x:is>
      </x:c>
      <x:c r="G18" s="143" t="inlineStr">
        <x:is>
          <x:t xml:space="preserve">manual-tests/button.md</x:t>
        </x:is>
      </x:c>
      <x:c r="H18" s="143" t="inlineStr">
        <x:is>
          <x:t xml:space="preserve">implemented</x:t>
        </x:is>
      </x:c>
      <x:c r="I18" s="143" t="inlineStr">
        <x:is>
          <x:t xml:space="preserve">yes</x:t>
        </x:is>
      </x:c>
      <x:c r="J18" s="226" t="n"/>
      <x:c r="K18" s="143" t="inlineStr">
        <x:is>
          <x:t xml:space="preserve">Human protocol remains pending. Automated and visual evidence stays in its owning tests and does not complete this human gate.
2026-09-09: Focus pass: inset placement, semantic fill contrast and forced-color outline. See focus-system/execution-report.md. Other qualification is not promoted.</x:t>
        </x:is>
      </x:c>
      <x:c r="L18" s="143" t="n">
        <x:v>1</x:v>
      </x:c>
      <x:c r="M18" s="143" t="n">
        <x:f>IF(OR(AND(I18="yes",H18="verified"),AND(I18="no",OR(H18="tested",H18="verified")),AND(H18="not applicable",K18&lt;&gt;"")),1,0)</x:f>
        <x:v>0</x:v>
      </x:c>
    </x:row>
    <x:row r="19" s="135" customFormat="1" ht="48" customHeight="1">
      <x:c r="A19" s="143" t="inlineStr">
        <x:is>
          <x:t xml:space="preserve">BG-11</x:t>
        </x:is>
      </x:c>
      <x:c r="B19" s="143" t="inlineStr">
        <x:is>
          <x:t xml:space="preserve">Composition</x:t>
        </x:is>
      </x:c>
      <x:c r="C19" s="143" t="inlineStr">
        <x:is>
          <x:t xml:space="preserve">ButtonGroup</x:t>
        </x:is>
      </x:c>
      <x:c r="D19" s="143" t="inlineStr">
        <x:is>
          <x:t xml:space="preserve">Default, render, and asChild output preserve the intended element, slots, state, and relationships.</x:t>
        </x:is>
      </x:c>
      <x:c r="E19" s="143" t="inlineStr">
        <x:is>
          <x:t xml:space="preserve">package</x:t>
        </x:is>
      </x:c>
      <x:c r="F19" s="143" t="inlineStr">
        <x:is>
          <x:t xml:space="preserve">manual</x:t>
        </x:is>
      </x:c>
      <x:c r="G19" s="143" t="inlineStr">
        <x:is>
          <x:t xml:space="preserve">manual-tests/button.md; tests/components/button/behavior.spec.ts</x:t>
        </x:is>
      </x:c>
      <x:c r="H19" s="143" t="inlineStr">
        <x:is>
          <x:t xml:space="preserve">implemented</x:t>
        </x:is>
      </x:c>
      <x:c r="I19" s="143" t="inlineStr">
        <x:is>
          <x:t xml:space="preserve">yes</x:t>
        </x:is>
      </x:c>
      <x:c r="J19" s="226" t="n"/>
      <x:c r="K19" s="143" t="inlineStr">
        <x:is>
          <x:t xml:space="preserve">Human protocol remains pending. Automated and visual evidence stays in its owning tests and does not complete this human gate.</x:t>
        </x:is>
      </x:c>
      <x:c r="L19" s="143" t="n">
        <x:v>1</x:v>
      </x:c>
      <x:c r="M19" s="143" t="n">
        <x:f>IF(OR(AND(I19="yes",H19="verified"),AND(I19="no",OR(H19="tested",H19="verified")),AND(H19="not applicable",K19&lt;&gt;"")),1,0)</x:f>
        <x:v>0</x:v>
      </x:c>
    </x:row>
    <x:row r="20" s="135" customFormat="1" ht="48" customHeight="1">
      <x:c r="A20" s="143" t="inlineStr">
        <x:is>
          <x:t xml:space="preserve">BG-12</x:t>
        </x:is>
      </x:c>
      <x:c r="B20" s="143" t="inlineStr">
        <x:is>
          <x:t xml:space="preserve">Manual</x:t>
        </x:is>
      </x:c>
      <x:c r="C20" s="143" t="inlineStr">
        <x:is>
          <x:t xml:space="preserve">ButtonGroup</x:t>
        </x:is>
      </x:c>
      <x:c r="D20" s="143" t="inlineStr">
        <x:is>
          <x:t xml:space="preserve">The complete component-owned manual protocol passed against every playground scenario.</x:t>
        </x:is>
      </x:c>
      <x:c r="E20" s="143" t="inlineStr">
        <x:is>
          <x:t xml:space="preserve">package</x:t>
        </x:is>
      </x:c>
      <x:c r="F20" s="143" t="inlineStr">
        <x:is>
          <x:t xml:space="preserve">manual</x:t>
        </x:is>
      </x:c>
      <x:c r="G20" s="143" t="inlineStr">
        <x:is>
          <x:t xml:space="preserve">manual-tests/button.md</x:t>
        </x:is>
      </x:c>
      <x:c r="H20" s="143" t="inlineStr">
        <x:is>
          <x:t xml:space="preserve">implemented</x:t>
        </x:is>
      </x:c>
      <x:c r="I20" s="143" t="inlineStr">
        <x:is>
          <x:t xml:space="preserve">yes</x:t>
        </x:is>
      </x:c>
      <x:c r="J20" s="226" t="n"/>
      <x:c r="K20" s="143" t="inlineStr">
        <x:is>
          <x:t xml:space="preserve">Human protocol remains pending. Automated and visual evidence stays in its owning tests and does not complete this human gate.</x:t>
        </x:is>
      </x:c>
      <x:c r="L20" s="143" t="n">
        <x:v>1</x:v>
      </x:c>
      <x:c r="M20" s="143" t="n">
        <x:f>IF(OR(AND(I20="yes",H20="verified"),AND(I20="no",OR(H20="tested",H20="verified")),AND(H20="not applicable",K20&lt;&gt;"")),1,0)</x:f>
        <x:v>0</x:v>
      </x:c>
    </x:row>
    <x:row r="21" s="135" customFormat="1" ht="48" customHeight="1">
      <x:c r="A21" s="143" t="inlineStr">
        <x:is>
          <x:t xml:space="preserve">BG-13</x:t>
        </x:is>
      </x:c>
      <x:c r="B21" s="143" t="inlineStr">
        <x:is>
          <x:t xml:space="preserve">Docs</x:t>
        </x:is>
      </x:c>
      <x:c r="C21" s="143" t="inlineStr">
        <x:is>
          <x:t xml:space="preserve">ButtonGroup</x:t>
        </x:is>
      </x:c>
      <x:c r="D21" s="143" t="inlineStr">
        <x:is>
          <x:t xml:space="preserve">Button recipes, loading and ButtonGroup are documented with Agent Knowledge.</x:t>
        </x:is>
      </x:c>
      <x:c r="E21" s="143" t="inlineStr">
        <x:is>
          <x:t xml:space="preserve">package</x:t>
        </x:is>
      </x:c>
      <x:c r="F21" s="143" t="inlineStr">
        <x:is>
          <x:t xml:space="preserve">docs</x:t>
        </x:is>
      </x:c>
      <x:c r="G21" s="143" t="inlineStr">
        <x:is>
          <x:t xml:space="preserve">../docs/components/button/README.md</x:t>
        </x:is>
      </x:c>
      <x:c r="H21" s="143" t="inlineStr">
        <x:is>
          <x:t xml:space="preserve">tested</x:t>
        </x:is>
      </x:c>
      <x:c r="I21" s="143" t="inlineStr">
        <x:is>
          <x:t xml:space="preserve">no</x:t>
        </x:is>
      </x:c>
      <x:c r="J21" s="226" t="n">
        <x:v>46277.5</x:v>
      </x:c>
      <x:c r="K21" s="143" t="n"/>
      <x:c r="L21" s="143" t="n">
        <x:v>1</x:v>
      </x:c>
      <x:c r="M21" s="143" t="n">
        <x:f>IF(OR(AND(I21="yes",H21="verified"),AND(I21="no",OR(H21="tested",H21="verified")),AND(H21="not applicable",K21&lt;&gt;"")),1,0)</x:f>
        <x:v>1</x:v>
      </x:c>
    </x:row>
    <x:row r="22" s="135" customFormat="1" ht="48" customHeight="1">
      <x:c r="A22" s="143" t="inlineStr">
        <x:is>
          <x:t xml:space="preserve">BG-14</x:t>
        </x:is>
      </x:c>
      <x:c r="B22" s="143" t="inlineStr">
        <x:is>
          <x:t xml:space="preserve">Changelog</x:t>
        </x:is>
      </x:c>
      <x:c r="C22" s="143" t="inlineStr">
        <x:is>
          <x:t xml:space="preserve">ButtonGroup</x:t>
        </x:is>
      </x:c>
      <x:c r="D22" s="143" t="inlineStr">
        <x:is>
          <x:t xml:space="preserve">The component owns a public changelog.</x:t>
        </x:is>
      </x:c>
      <x:c r="E22" s="143" t="inlineStr">
        <x:is>
          <x:t xml:space="preserve">package</x:t>
        </x:is>
      </x:c>
      <x:c r="F22" s="143" t="inlineStr">
        <x:is>
          <x:t xml:space="preserve">docs</x:t>
        </x:is>
      </x:c>
      <x:c r="G22" s="143" t="inlineStr">
        <x:is>
          <x:t xml:space="preserve">../docs/components/button/CHANGELOG.md</x:t>
        </x:is>
      </x:c>
      <x:c r="H22" s="143" t="inlineStr">
        <x:is>
          <x:t xml:space="preserve">tested</x:t>
        </x:is>
      </x:c>
      <x:c r="I22" s="143" t="inlineStr">
        <x:is>
          <x:t xml:space="preserve">no</x:t>
        </x:is>
      </x:c>
      <x:c r="J22" s="226" t="n">
        <x:v>46277.5</x:v>
      </x:c>
      <x:c r="K22" s="143" t="n"/>
      <x:c r="L22" s="143" t="n">
        <x:v>1</x:v>
      </x:c>
      <x:c r="M22" s="143" t="n">
        <x:f>IF(OR(AND(I22="yes",H22="verified"),AND(I22="no",OR(H22="tested",H22="verified")),AND(H22="not applicable",K22&lt;&gt;"")),1,0)</x:f>
        <x:v>1</x:v>
      </x:c>
    </x:row>
    <x:row r="23" s="135" customFormat="1" ht="48" customHeight="1">
      <x:c r="A23" s="143" t="inlineStr">
        <x:is>
          <x:t xml:space="preserve">BG-15</x:t>
        </x:is>
      </x:c>
      <x:c r="B23" s="143" t="inlineStr">
        <x:is>
          <x:t xml:space="preserve">Consumer</x:t>
        </x:is>
      </x:c>
      <x:c r="C23" s="143" t="inlineStr">
        <x:is>
          <x:t xml:space="preserve">ButtonGroup</x:t>
        </x:is>
      </x:c>
      <x:c r="D23" s="143" t="inlineStr">
        <x:is>
          <x:t xml:space="preserve">The standalone consumer imports and exercises the public package component.</x:t>
        </x:is>
      </x:c>
      <x:c r="E23" s="143" t="inlineStr">
        <x:is>
          <x:t xml:space="preserve">consumer</x:t>
        </x:is>
      </x:c>
      <x:c r="F23" s="143" t="inlineStr">
        <x:is>
          <x:t xml:space="preserve">consumer</x:t>
        </x:is>
      </x:c>
      <x:c r="G23" s="143" t="inlineStr">
        <x:is>
          <x:t xml:space="preserve">../apps/consumer/src/App.tsx; ../apps/consumer/tests/consumer.spec.ts</x:t>
        </x:is>
      </x:c>
      <x:c r="H23" s="143" t="inlineStr">
        <x:is>
          <x:t xml:space="preserve">partial</x:t>
        </x:is>
      </x:c>
      <x:c r="I23" s="143" t="inlineStr">
        <x:is>
          <x:t xml:space="preserve">no</x:t>
        </x:is>
      </x:c>
      <x:c r="J23" s="226" t="n"/>
      <x:c r="K23" s="143" t="inlineStr">
        <x:is>
          <x:t xml:space="preserve">New group composition has not run in clean installed consumers.</x:t>
        </x:is>
      </x:c>
      <x:c r="L23" s="143" t="n">
        <x:v>1</x:v>
      </x:c>
      <x:c r="M23" s="143" t="n">
        <x:f>IF(OR(AND(I23="yes",H23="verified"),AND(I23="no",OR(H23="tested",H23="verified")),AND(H23="not applicable",K23&lt;&gt;"")),1,0)</x:f>
        <x:v>0</x:v>
      </x:c>
    </x:row>
    <x:row r="24" s="135" customFormat="1" ht="48" customHeight="1">
      <x:c r="A24" s="143" t="inlineStr">
        <x:is>
          <x:t xml:space="preserve">BG-16</x:t>
        </x:is>
      </x:c>
      <x:c r="B24" s="143" t="inlineStr">
        <x:is>
          <x:t xml:space="preserve">Package</x:t>
        </x:is>
      </x:c>
      <x:c r="C24" s="143" t="inlineStr">
        <x:is>
          <x:t xml:space="preserve">ButtonGroup</x:t>
        </x:is>
      </x:c>
      <x:c r="D24" s="143" t="inlineStr">
        <x:is>
          <x:t xml:space="preserve">Build, exports, tarball, CSS, and consumer boundary verification pass.</x:t>
        </x:is>
      </x:c>
      <x:c r="E24" s="143" t="inlineStr">
        <x:is>
          <x:t xml:space="preserve">package</x:t>
        </x:is>
      </x:c>
      <x:c r="F24" s="143" t="inlineStr">
        <x:is>
          <x:t xml:space="preserve">package</x:t>
        </x:is>
      </x:c>
      <x:c r="G24" s="143" t="inlineStr">
        <x:is>
          <x:t xml:space="preserve">../scripts/verify-package.mjs; ../scripts/verify-consumers.mjs</x:t>
        </x:is>
      </x:c>
      <x:c r="H24" s="143" t="inlineStr">
        <x:is>
          <x:t xml:space="preserve">partial</x:t>
        </x:is>
      </x:c>
      <x:c r="I24" s="143" t="inlineStr">
        <x:is>
          <x:t xml:space="preserve">no</x:t>
        </x:is>
      </x:c>
      <x:c r="J24" s="226" t="n"/>
      <x:c r="K24" s="143" t="inlineStr">
        <x:is>
          <x:t xml:space="preserve">Local package checks pass; clean consumer and human gates remain open.</x:t>
        </x:is>
      </x:c>
      <x:c r="L24" s="143" t="n">
        <x:v>1</x:v>
      </x:c>
      <x:c r="M24" s="143" t="n">
        <x:f>IF(OR(AND(I24="yes",H24="verified"),AND(I24="no",OR(H24="tested",H24="verified")),AND(H24="not applicable",K24&lt;&gt;"")),1,0)</x:f>
        <x:v>0</x:v>
      </x:c>
    </x:row>
  </x:sheetData>
  <x:mergeCells>
    <x:mergeCell ref="A2:M2"/>
    <x:mergeCell ref="A1:M1"/>
  </x:mergeCells>
  <x:dataValidations count="1">
    <x:dataValidation type="list" errorStyle="stop" operator="between" allowBlank="0" showDropDown="0" showInputMessage="0" showErrorMessage="0" sqref="H9:H24">
      <x:formula1>"not started,partial,implemented,tested,verified,blocked,not applicable"</x:formula1>
      <x:formula2>0</x:formula2>
    </x:dataValidation>
  </x:dataValidations>
  <x:pageMargins left="0.7" right="0.7" top="0.75" bottom="0.75" header="0.3" footer="0.3"/>
</x:worksheet>
</file>

<file path=xl/worksheets/sheet134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baseColWidth="8" defaultColWidth="8.6796875" defaultRowHeight="15"/>
  <x:cols>
    <x:col min="1" max="1" width="18" style="138" customWidth="1"/>
    <x:col min="2" max="2" width="17" style="138" customWidth="1"/>
    <x:col min="3" max="3" width="23" style="138" customWidth="1"/>
    <x:col min="4" max="4" width="46" style="138" customWidth="1"/>
    <x:col min="5" max="6" width="12" style="138" customWidth="1"/>
    <x:col min="7" max="7" width="56" style="138" customWidth="1"/>
    <x:col min="8" max="9" width="15" style="138" customWidth="1"/>
    <x:col min="10" max="10" width="14" style="138" customWidth="1"/>
    <x:col min="11" max="11" width="30" style="138" customWidth="1"/>
    <x:col min="12" max="12" width="8" style="138" customWidth="1"/>
    <x:col min="13" max="13" width="10" style="138" customWidth="1"/>
  </x:cols>
  <x:sheetData>
    <x:row r="1" s="135" customFormat="1" ht="30" customHeight="1">
      <x:c r="A1" s="233" t="inlineStr">
        <x:is>
          <x:t xml:space="preserve">Toggle Tip</x:t>
        </x:is>
      </x:c>
      <x:c r="B1" s="233" t="n"/>
      <x:c r="C1" s="233" t="n"/>
      <x:c r="D1" s="233" t="n"/>
      <x:c r="E1" s="233" t="n"/>
      <x:c r="F1" s="233" t="n"/>
      <x:c r="G1" s="233" t="n"/>
      <x:c r="H1" s="233" t="n"/>
      <x:c r="I1" s="233" t="n"/>
      <x:c r="J1" s="233" t="n"/>
      <x:c r="K1" s="233" t="n"/>
      <x:c r="L1" s="233" t="n"/>
      <x:c r="M1" s="233" t="n"/>
    </x:row>
    <x:row r="2" s="135" customFormat="1" ht="15" customHeight="1">
      <x:c r="A2" s="138" t="inlineStr">
        <x:is>
          <x:t xml:space="preserve">Compact optional help. Manual device, screen-reader and actual zoom checks remain pending.</x:t>
        </x:is>
      </x:c>
      <x:c r="B2" s="138" t="n"/>
      <x:c r="C2" s="138" t="n"/>
      <x:c r="D2" s="138" t="n"/>
      <x:c r="E2" s="138" t="n"/>
      <x:c r="F2" s="138" t="n"/>
      <x:c r="G2" s="138" t="n"/>
      <x:c r="H2" s="138" t="n"/>
      <x:c r="I2" s="138" t="n"/>
      <x:c r="J2" s="138" t="n"/>
      <x:c r="K2" s="138" t="n"/>
      <x:c r="L2" s="138" t="n"/>
      <x:c r="M2" s="138" t="n"/>
    </x:row>
    <x:row r="3" s="135" customFormat="1" ht="15" customHeight="1">
      <x:c r="A3" s="138" t="n"/>
      <x:c r="B3" s="138" t="n"/>
      <x:c r="C3" s="138" t="n"/>
      <x:c r="D3" s="138" t="n"/>
      <x:c r="E3" s="138" t="n"/>
      <x:c r="F3" s="138" t="n"/>
      <x:c r="G3" s="138" t="n"/>
      <x:c r="H3" s="138" t="n"/>
      <x:c r="I3" s="138" t="n"/>
      <x:c r="J3" s="138" t="n"/>
      <x:c r="K3" s="138" t="n"/>
      <x:c r="L3" s="138" t="n"/>
      <x:c r="M3" s="138" t="n"/>
    </x:row>
    <x:row r="4" s="135" customFormat="1" ht="15" customHeight="1">
      <x:c r="A4" s="138" t="inlineStr">
        <x:is>
          <x:t xml:space="preserve">Requirements</x:t>
        </x:is>
      </x:c>
      <x:c r="B4" s="138" t="n">
        <x:f>COUNTA(A9:A24)</x:f>
        <x:v>16</x:v>
      </x:c>
      <x:c r="C4" s="138" t="n"/>
      <x:c r="D4" s="138" t="inlineStr">
        <x:is>
          <x:t xml:space="preserve">Resolved</x:t>
        </x:is>
      </x:c>
      <x:c r="E4" s="138" t="n">
        <x:f>SUM(M9:M24)</x:f>
        <x:v>12</x:v>
      </x:c>
      <x:c r="F4" s="138" t="n"/>
      <x:c r="G4" s="138" t="inlineStr">
        <x:is>
          <x:t xml:space="preserve">Completion</x:t>
        </x:is>
      </x:c>
      <x:c r="H4" s="139" t="n">
        <x:f>E4/B4</x:f>
        <x:v>0.75</x:v>
      </x:c>
      <x:c r="I4" s="138" t="n"/>
      <x:c r="J4" s="138" t="inlineStr">
        <x:is>
          <x:t xml:space="preserve">Package gate</x:t>
        </x:is>
      </x:c>
      <x:c r="K4" s="138" t="str">
        <x:f>IF(E4=B4,"complete","pending")</x:f>
        <x:v>pending</x:v>
      </x:c>
      <x:c r="L4" s="138" t="n"/>
      <x:c r="M4" s="138" t="n"/>
    </x:row>
    <x:row r="5" s="135" customFormat="1" ht="15" customHeight="1">
      <x:c r="A5" s="138" t="inlineStr">
        <x:is>
          <x:t xml:space="preserve">Manual review</x:t>
        </x:is>
      </x:c>
      <x:c r="B5" s="138" t="str">
        <x:f>IF(COUNTIFS(I9:I24,"yes",H9:H24,"&lt;&gt;verified")=0,"complete","pending")</x:f>
        <x:v>pending</x:v>
      </x:c>
      <x:c r="C5" s="138" t="n"/>
      <x:c r="D5" s="138" t="inlineStr">
        <x:is>
          <x:t xml:space="preserve">Consumer gate</x:t>
        </x:is>
      </x:c>
      <x:c r="E5" s="138" t="str">
        <x:f>H23</x:f>
        <x:v>tested</x:v>
      </x:c>
      <x:c r="F5" s="138" t="n"/>
      <x:c r="G5" s="138" t="n"/>
      <x:c r="H5" s="138" t="n"/>
      <x:c r="I5" s="138" t="n"/>
      <x:c r="J5" s="138" t="n"/>
      <x:c r="K5" s="138" t="n"/>
      <x:c r="L5" s="138" t="n"/>
      <x:c r="M5" s="138" t="n"/>
    </x:row>
    <x:row r="6" s="135" customFormat="1" ht="15" customHeight="1">
      <x:c r="A6" s="138" t="n"/>
      <x:c r="B6" s="138" t="n"/>
      <x:c r="C6" s="138" t="n"/>
      <x:c r="D6" s="138" t="n"/>
      <x:c r="E6" s="138" t="n"/>
      <x:c r="F6" s="138" t="n"/>
      <x:c r="G6" s="138" t="n"/>
      <x:c r="H6" s="138" t="n"/>
      <x:c r="I6" s="138" t="n"/>
      <x:c r="J6" s="138" t="n"/>
      <x:c r="K6" s="138" t="n"/>
      <x:c r="L6" s="138" t="n"/>
      <x:c r="M6" s="138" t="n"/>
    </x:row>
    <x:row r="7" s="135" customFormat="1" ht="15" customHeight="1">
      <x:c r="A7" s="138" t="n"/>
      <x:c r="B7" s="138" t="n"/>
      <x:c r="C7" s="138" t="n"/>
      <x:c r="D7" s="138" t="n"/>
      <x:c r="E7" s="138" t="n"/>
      <x:c r="F7" s="138" t="n"/>
      <x:c r="G7" s="138" t="n"/>
      <x:c r="H7" s="138" t="n"/>
      <x:c r="I7" s="138" t="n"/>
      <x:c r="J7" s="138" t="n"/>
      <x:c r="K7" s="138" t="n"/>
      <x:c r="L7" s="138" t="n"/>
      <x:c r="M7" s="138" t="n"/>
    </x:row>
    <x:row r="8" s="135" customFormat="1" ht="31.5" customHeight="1">
      <x:c r="A8" s="244" t="inlineStr">
        <x:is>
          <x:t xml:space="preserve">ID</x:t>
        </x:is>
      </x:c>
      <x:c r="B8" s="244" t="inlineStr">
        <x:is>
          <x:t xml:space="preserve">Area</x:t>
        </x:is>
      </x:c>
      <x:c r="C8" s="244" t="inlineStr">
        <x:is>
          <x:t xml:space="preserve">Part</x:t>
        </x:is>
      </x:c>
      <x:c r="D8" s="244" t="inlineStr">
        <x:is>
          <x:t xml:space="preserve">Requirement</x:t>
        </x:is>
      </x:c>
      <x:c r="E8" s="244" t="inlineStr">
        <x:is>
          <x:t xml:space="preserve">Gate</x:t>
        </x:is>
      </x:c>
      <x:c r="F8" s="244" t="inlineStr">
        <x:is>
          <x:t xml:space="preserve">Evidence type</x:t>
        </x:is>
      </x:c>
      <x:c r="G8" s="244" t="inlineStr">
        <x:is>
          <x:t xml:space="preserve">Evidence / link</x:t>
        </x:is>
      </x:c>
      <x:c r="H8" s="244" t="inlineStr">
        <x:is>
          <x:t xml:space="preserve">Status</x:t>
        </x:is>
      </x:c>
      <x:c r="I8" s="244" t="inlineStr">
        <x:is>
          <x:t xml:space="preserve">Human review?</x:t>
        </x:is>
      </x:c>
      <x:c r="J8" s="244" t="inlineStr">
        <x:is>
          <x:t xml:space="preserve">Last verified</x:t>
        </x:is>
      </x:c>
      <x:c r="K8" s="244" t="inlineStr">
        <x:is>
          <x:t xml:space="preserve">Blocker / N/A reason</x:t>
        </x:is>
      </x:c>
      <x:c r="L8" s="244" t="inlineStr">
        <x:is>
          <x:t xml:space="preserve">Weight</x:t>
        </x:is>
      </x:c>
      <x:c r="M8" s="244" t="inlineStr">
        <x:is>
          <x:t xml:space="preserve">Resolved</x:t>
        </x:is>
      </x:c>
    </x:row>
    <x:row r="9" s="135" customFormat="1" ht="43.5" customHeight="1">
      <x:c r="A9" s="143" t="inlineStr">
        <x:is>
          <x:t xml:space="preserve">TT-1</x:t>
        </x:is>
      </x:c>
      <x:c r="B9" s="143" t="inlineStr">
        <x:is>
          <x:t xml:space="preserve">Implementation</x:t>
        </x:is>
      </x:c>
      <x:c r="C9" s="143" t="inlineStr">
        <x:is>
          <x:t xml:space="preserve">Root / Content / Body</x:t>
        </x:is>
      </x:c>
      <x:c r="D9" s="143" t="inlineStr">
        <x:is>
          <x:t xml:space="preserve">Reuse Popover; add compact presentation</x:t>
        </x:is>
      </x:c>
      <x:c r="E9" s="143" t="inlineStr">
        <x:is>
          <x:t xml:space="preserve">package</x:t>
        </x:is>
      </x:c>
      <x:c r="F9" s="143" t="inlineStr">
        <x:is>
          <x:t xml:space="preserve">source</x:t>
        </x:is>
      </x:c>
      <x:c r="G9" s="143" t="inlineStr">
        <x:is>
          <x:t xml:space="preserve">../src/components/toggle-tip</x:t>
        </x:is>
      </x:c>
      <x:c r="H9" s="143" t="inlineStr">
        <x:is>
          <x:t xml:space="preserve">tested</x:t>
        </x:is>
      </x:c>
      <x:c r="I9" s="143" t="inlineStr">
        <x:is>
          <x:t xml:space="preserve">no</x:t>
        </x:is>
      </x:c>
      <x:c r="J9" s="143" t="n"/>
      <x:c r="K9" s="143" t="n"/>
      <x:c r="L9" s="143" t="n">
        <x:v>1</x:v>
      </x:c>
      <x:c r="M9" s="143" t="n">
        <x:f>IF(OR(H9="verified",H9="not applicable",AND(H9="tested",I9="no")),1,0)</x:f>
        <x:v>1</x:v>
      </x:c>
    </x:row>
    <x:row r="10" s="135" customFormat="1" ht="43.5" customHeight="1">
      <x:c r="A10" s="143" t="inlineStr">
        <x:is>
          <x:t xml:space="preserve">TT-2</x:t>
        </x:is>
      </x:c>
      <x:c r="B10" s="143" t="inlineStr">
        <x:is>
          <x:t xml:space="preserve">Exports</x:t>
        </x:is>
      </x:c>
      <x:c r="C10" s="143" t="inlineStr">
        <x:is>
          <x:t xml:space="preserve">Root and subpath</x:t>
        </x:is>
      </x:c>
      <x:c r="D10" s="143" t="inlineStr">
        <x:is>
          <x:t xml:space="preserve">Runtime and types available</x:t>
        </x:is>
      </x:c>
      <x:c r="E10" s="143" t="inlineStr">
        <x:is>
          <x:t xml:space="preserve">package</x:t>
        </x:is>
      </x:c>
      <x:c r="F10" s="143" t="inlineStr">
        <x:is>
          <x:t xml:space="preserve">types</x:t>
        </x:is>
      </x:c>
      <x:c r="G10" s="143" t="inlineStr">
        <x:is>
          <x:t xml:space="preserve">../src/toggle-tip.ts</x:t>
        </x:is>
      </x:c>
      <x:c r="H10" s="143" t="inlineStr">
        <x:is>
          <x:t xml:space="preserve">tested</x:t>
        </x:is>
      </x:c>
      <x:c r="I10" s="143" t="inlineStr">
        <x:is>
          <x:t xml:space="preserve">no</x:t>
        </x:is>
      </x:c>
      <x:c r="J10" s="143" t="n"/>
      <x:c r="K10" s="143" t="n"/>
      <x:c r="L10" s="143" t="n">
        <x:v>1</x:v>
      </x:c>
      <x:c r="M10" s="143" t="n">
        <x:f>IF(OR(H10="verified",H10="not applicable",AND(H10="tested",I10="no")),1,0)</x:f>
        <x:v>1</x:v>
      </x:c>
    </x:row>
    <x:row r="11" s="135" customFormat="1" ht="43.5" customHeight="1">
      <x:c r="A11" s="143" t="inlineStr">
        <x:is>
          <x:t xml:space="preserve">TT-3</x:t>
        </x:is>
      </x:c>
      <x:c r="B11" s="143" t="inlineStr">
        <x:is>
          <x:t xml:space="preserve">Anatomy</x:t>
        </x:is>
      </x:c>
      <x:c r="C11" s="143" t="inlineStr">
        <x:is>
          <x:t xml:space="preserve">Content / Body / Arrow</x:t>
        </x:is>
      </x:c>
      <x:c r="D11" s="143" t="inlineStr">
        <x:is>
          <x:t xml:space="preserve">Named dialog and direct arrow</x:t>
        </x:is>
      </x:c>
      <x:c r="E11" s="143" t="inlineStr">
        <x:is>
          <x:t xml:space="preserve">package</x:t>
        </x:is>
      </x:c>
      <x:c r="F11" s="143" t="inlineStr">
        <x:is>
          <x:t xml:space="preserve">unit</x:t>
        </x:is>
      </x:c>
      <x:c r="G11" s="143" t="inlineStr">
        <x:is>
          <x:t xml:space="preserve">../test/components/toggle-tip/toggle-tip.test.tsx</x:t>
        </x:is>
      </x:c>
      <x:c r="H11" s="143" t="inlineStr">
        <x:is>
          <x:t xml:space="preserve">tested</x:t>
        </x:is>
      </x:c>
      <x:c r="I11" s="143" t="inlineStr">
        <x:is>
          <x:t xml:space="preserve">no</x:t>
        </x:is>
      </x:c>
      <x:c r="J11" s="143" t="n"/>
      <x:c r="K11" s="143" t="n"/>
      <x:c r="L11" s="143" t="n">
        <x:v>1</x:v>
      </x:c>
      <x:c r="M11" s="143" t="n">
        <x:f>IF(OR(H11="verified",H11="not applicable",AND(H11="tested",I11="no")),1,0)</x:f>
        <x:v>1</x:v>
      </x:c>
    </x:row>
    <x:row r="12" s="135" customFormat="1" ht="43.5" customHeight="1">
      <x:c r="A12" s="143" t="inlineStr">
        <x:is>
          <x:t xml:space="preserve">TT-4</x:t>
        </x:is>
      </x:c>
      <x:c r="B12" s="143" t="inlineStr">
        <x:is>
          <x:t xml:space="preserve">Sizes</x:t>
        </x:is>
      </x:c>
      <x:c r="C12" s="143" t="inlineStr">
        <x:is>
          <x:t xml:space="preserve">Content</x:t>
        </x:is>
      </x:c>
      <x:c r="D12" s="143" t="inlineStr">
        <x:is>
          <x:t xml:space="preserve">Complete padding and typography progression</x:t>
        </x:is>
      </x:c>
      <x:c r="E12" s="143" t="inlineStr">
        <x:is>
          <x:t xml:space="preserve">package</x:t>
        </x:is>
      </x:c>
      <x:c r="F12" s="143" t="inlineStr">
        <x:is>
          <x:t xml:space="preserve">browser</x:t>
        </x:is>
      </x:c>
      <x:c r="G12" s="143" t="inlineStr">
        <x:is>
          <x:t xml:space="preserve">tests/components/toggle-tip/behavior.spec.ts</x:t>
        </x:is>
      </x:c>
      <x:c r="H12" s="143" t="inlineStr">
        <x:is>
          <x:t xml:space="preserve">tested</x:t>
        </x:is>
      </x:c>
      <x:c r="I12" s="143" t="inlineStr">
        <x:is>
          <x:t xml:space="preserve">no</x:t>
        </x:is>
      </x:c>
      <x:c r="J12" s="143" t="n"/>
      <x:c r="K12" s="143" t="n"/>
      <x:c r="L12" s="143" t="n">
        <x:v>1</x:v>
      </x:c>
      <x:c r="M12" s="143" t="n">
        <x:f>IF(OR(H12="verified",H12="not applicable",AND(H12="tested",I12="no")),1,0)</x:f>
        <x:v>1</x:v>
      </x:c>
    </x:row>
    <x:row r="13" s="135" customFormat="1" ht="43.5" customHeight="1">
      <x:c r="A13" s="143" t="inlineStr">
        <x:is>
          <x:t xml:space="preserve">TT-5</x:t>
        </x:is>
      </x:c>
      <x:c r="B13" s="143" t="inlineStr">
        <x:is>
          <x:t xml:space="preserve">Focus</x:t>
        </x:is>
      </x:c>
      <x:c r="C13" s="143" t="inlineStr">
        <x:is>
          <x:t xml:space="preserve">Trigger / Close</x:t>
        </x:is>
      </x:c>
      <x:c r="D13" s="143" t="inlineStr">
        <x:is>
          <x:t xml:space="preserve">Keyboard open, Escape and focus return</x:t>
        </x:is>
      </x:c>
      <x:c r="E13" s="143" t="inlineStr">
        <x:is>
          <x:t xml:space="preserve">package</x:t>
        </x:is>
      </x:c>
      <x:c r="F13" s="143" t="inlineStr">
        <x:is>
          <x:t xml:space="preserve">browser</x:t>
        </x:is>
      </x:c>
      <x:c r="G13" s="143" t="inlineStr">
        <x:is>
          <x:t xml:space="preserve">tests/components/toggle-tip/behavior.spec.ts</x:t>
        </x:is>
      </x:c>
      <x:c r="H13" s="143" t="inlineStr">
        <x:is>
          <x:t xml:space="preserve">tested</x:t>
        </x:is>
      </x:c>
      <x:c r="I13" s="143" t="inlineStr">
        <x:is>
          <x:t xml:space="preserve">no</x:t>
        </x:is>
      </x:c>
      <x:c r="J13" s="143" t="n"/>
      <x:c r="K13" s="143" t="n"/>
      <x:c r="L13" s="143" t="n">
        <x:v>1</x:v>
      </x:c>
      <x:c r="M13" s="143" t="n">
        <x:f>IF(OR(H13="verified",H13="not applicable",AND(H13="tested",I13="no")),1,0)</x:f>
        <x:v>1</x:v>
      </x:c>
    </x:row>
    <x:row r="14" s="135" customFormat="1" ht="43.5" customHeight="1">
      <x:c r="A14" s="143" t="inlineStr">
        <x:is>
          <x:t xml:space="preserve">TT-6</x:t>
        </x:is>
      </x:c>
      <x:c r="B14" s="143" t="inlineStr">
        <x:is>
          <x:t xml:space="preserve">Dismissal</x:t>
        </x:is>
      </x:c>
      <x:c r="C14" s="143" t="inlineStr">
        <x:is>
          <x:t xml:space="preserve">Root</x:t>
        </x:is>
      </x:c>
      <x:c r="D14" s="143" t="inlineStr">
        <x:is>
          <x:t xml:space="preserve">Escape/outside switches and explicit Close</x:t>
        </x:is>
      </x:c>
      <x:c r="E14" s="143" t="inlineStr">
        <x:is>
          <x:t xml:space="preserve">package</x:t>
        </x:is>
      </x:c>
      <x:c r="F14" s="143" t="inlineStr">
        <x:is>
          <x:t xml:space="preserve">browser</x:t>
        </x:is>
      </x:c>
      <x:c r="G14" s="143" t="inlineStr">
        <x:is>
          <x:t xml:space="preserve">tests/components/toggle-tip/behavior.spec.ts</x:t>
        </x:is>
      </x:c>
      <x:c r="H14" s="143" t="inlineStr">
        <x:is>
          <x:t xml:space="preserve">tested</x:t>
        </x:is>
      </x:c>
      <x:c r="I14" s="143" t="inlineStr">
        <x:is>
          <x:t xml:space="preserve">no</x:t>
        </x:is>
      </x:c>
      <x:c r="J14" s="143" t="n"/>
      <x:c r="K14" s="143" t="n"/>
      <x:c r="L14" s="143" t="n">
        <x:v>1</x:v>
      </x:c>
      <x:c r="M14" s="143" t="n">
        <x:f>IF(OR(H14="verified",H14="not applicable",AND(H14="tested",I14="no")),1,0)</x:f>
        <x:v>1</x:v>
      </x:c>
    </x:row>
    <x:row r="15" s="135" customFormat="1" ht="43.5" customHeight="1">
      <x:c r="A15" s="143" t="inlineStr">
        <x:is>
          <x:t xml:space="preserve">TT-7</x:t>
        </x:is>
      </x:c>
      <x:c r="B15" s="143" t="inlineStr">
        <x:is>
          <x:t xml:space="preserve">Nesting</x:t>
        </x:is>
      </x:c>
      <x:c r="C15" s="143" t="inlineStr">
        <x:is>
          <x:t xml:space="preserve">Dialog</x:t>
        </x:is>
      </x:c>
      <x:c r="D15" s="143" t="inlineStr">
        <x:is>
          <x:t xml:space="preserve">Nested help and link focus remain usable</x:t>
        </x:is>
      </x:c>
      <x:c r="E15" s="143" t="inlineStr">
        <x:is>
          <x:t xml:space="preserve">package</x:t>
        </x:is>
      </x:c>
      <x:c r="F15" s="143" t="inlineStr">
        <x:is>
          <x:t xml:space="preserve">browser</x:t>
        </x:is>
      </x:c>
      <x:c r="G15" s="143" t="inlineStr">
        <x:is>
          <x:t xml:space="preserve">tests/components/toggle-tip/behavior.spec.ts</x:t>
        </x:is>
      </x:c>
      <x:c r="H15" s="143" t="inlineStr">
        <x:is>
          <x:t xml:space="preserve">tested</x:t>
        </x:is>
      </x:c>
      <x:c r="I15" s="143" t="inlineStr">
        <x:is>
          <x:t xml:space="preserve">no</x:t>
        </x:is>
      </x:c>
      <x:c r="J15" s="143" t="n"/>
      <x:c r="K15" s="143" t="n"/>
      <x:c r="L15" s="143" t="n">
        <x:v>1</x:v>
      </x:c>
      <x:c r="M15" s="143" t="n">
        <x:f>IF(OR(H15="verified",H15="not applicable",AND(H15="tested",I15="no")),1,0)</x:f>
        <x:v>1</x:v>
      </x:c>
    </x:row>
    <x:row r="16" s="135" customFormat="1" ht="43.5" customHeight="1">
      <x:c r="A16" s="143" t="inlineStr">
        <x:is>
          <x:t xml:space="preserve">TT-8</x:t>
        </x:is>
      </x:c>
      <x:c r="B16" s="143" t="inlineStr">
        <x:is>
          <x:t xml:space="preserve">Visual</x:t>
        </x:is>
      </x:c>
      <x:c r="C16" s="143" t="inlineStr">
        <x:is>
          <x:t xml:space="preserve">Content</x:t>
        </x:is>
      </x:c>
      <x:c r="D16" s="143" t="inlineStr">
        <x:is>
          <x:t xml:space="preserve">Light/dark compact shape and arrow</x:t>
        </x:is>
      </x:c>
      <x:c r="E16" s="143" t="inlineStr">
        <x:is>
          <x:t xml:space="preserve">package</x:t>
        </x:is>
      </x:c>
      <x:c r="F16" s="143" t="inlineStr">
        <x:is>
          <x:t xml:space="preserve">visual</x:t>
        </x:is>
      </x:c>
      <x:c r="G16" s="143" t="inlineStr">
        <x:is>
          <x:t xml:space="preserve">tests/components/toggle-tip/visual.spec.ts</x:t>
        </x:is>
      </x:c>
      <x:c r="H16" s="143" t="inlineStr">
        <x:is>
          <x:t xml:space="preserve">tested</x:t>
        </x:is>
      </x:c>
      <x:c r="I16" s="143" t="inlineStr">
        <x:is>
          <x:t xml:space="preserve">yes</x:t>
        </x:is>
      </x:c>
      <x:c r="J16" s="143" t="n"/>
      <x:c r="K16" s="143" t="inlineStr">
        <x:is>
          <x:t xml:space="preserve">Owner review pending</x:t>
        </x:is>
      </x:c>
      <x:c r="L16" s="143" t="n">
        <x:v>1</x:v>
      </x:c>
      <x:c r="M16" s="143" t="n">
        <x:f>IF(OR(H16="verified",H16="not applicable",AND(H16="tested",I16="no")),1,0)</x:f>
        <x:v>0</x:v>
      </x:c>
    </x:row>
    <x:row r="17" s="135" customFormat="1" ht="43.5" customHeight="1">
      <x:c r="A17" s="143" t="inlineStr">
        <x:is>
          <x:t xml:space="preserve">TT-9</x:t>
        </x:is>
      </x:c>
      <x:c r="B17" s="143" t="inlineStr">
        <x:is>
          <x:t xml:space="preserve">Manual</x:t>
        </x:is>
      </x:c>
      <x:c r="C17" s="143" t="inlineStr">
        <x:is>
          <x:t xml:space="preserve">Content</x:t>
        </x:is>
      </x:c>
      <x:c r="D17" s="143" t="inlineStr">
        <x:is>
          <x:t xml:space="preserve">Screen-reader name and reading</x:t>
        </x:is>
      </x:c>
      <x:c r="E17" s="143" t="inlineStr">
        <x:is>
          <x:t xml:space="preserve">package</x:t>
        </x:is>
      </x:c>
      <x:c r="F17" s="143" t="inlineStr">
        <x:is>
          <x:t xml:space="preserve">manual</x:t>
        </x:is>
      </x:c>
      <x:c r="G17" s="143" t="inlineStr">
        <x:is>
          <x:t xml:space="preserve">manual-tests/toggle-tip.md</x:t>
        </x:is>
      </x:c>
      <x:c r="H17" s="143" t="inlineStr">
        <x:is>
          <x:t xml:space="preserve">not started</x:t>
        </x:is>
      </x:c>
      <x:c r="I17" s="143" t="inlineStr">
        <x:is>
          <x:t xml:space="preserve">yes</x:t>
        </x:is>
      </x:c>
      <x:c r="J17" s="143" t="n"/>
      <x:c r="K17" s="143" t="inlineStr">
        <x:is>
          <x:t xml:space="preserve">Owner review pending</x:t>
        </x:is>
      </x:c>
      <x:c r="L17" s="143" t="n">
        <x:v>1</x:v>
      </x:c>
      <x:c r="M17" s="143" t="n">
        <x:f>IF(OR(H17="verified",H17="not applicable",AND(H17="tested",I17="no")),1,0)</x:f>
        <x:v>0</x:v>
      </x:c>
    </x:row>
    <x:row r="18" s="135" customFormat="1" ht="43.5" customHeight="1">
      <x:c r="A18" s="143" t="inlineStr">
        <x:is>
          <x:t xml:space="preserve">TT-10</x:t>
        </x:is>
      </x:c>
      <x:c r="B18" s="143" t="inlineStr">
        <x:is>
          <x:t xml:space="preserve">Manual</x:t>
        </x:is>
      </x:c>
      <x:c r="C18" s="143" t="inlineStr">
        <x:is>
          <x:t xml:space="preserve">Trigger</x:t>
        </x:is>
      </x:c>
      <x:c r="D18" s="143" t="inlineStr">
        <x:is>
          <x:t xml:space="preserve">Physical iOS and Android activation</x:t>
        </x:is>
      </x:c>
      <x:c r="E18" s="143" t="inlineStr">
        <x:is>
          <x:t xml:space="preserve">package</x:t>
        </x:is>
      </x:c>
      <x:c r="F18" s="143" t="inlineStr">
        <x:is>
          <x:t xml:space="preserve">manual</x:t>
        </x:is>
      </x:c>
      <x:c r="G18" s="143" t="inlineStr">
        <x:is>
          <x:t xml:space="preserve">manual-tests/toggle-tip.md</x:t>
        </x:is>
      </x:c>
      <x:c r="H18" s="143" t="inlineStr">
        <x:is>
          <x:t xml:space="preserve">not started</x:t>
        </x:is>
      </x:c>
      <x:c r="I18" s="143" t="inlineStr">
        <x:is>
          <x:t xml:space="preserve">yes</x:t>
        </x:is>
      </x:c>
      <x:c r="J18" s="143" t="n"/>
      <x:c r="K18" s="143" t="inlineStr">
        <x:is>
          <x:t xml:space="preserve">Owner review pending</x:t>
        </x:is>
      </x:c>
      <x:c r="L18" s="143" t="n">
        <x:v>1</x:v>
      </x:c>
      <x:c r="M18" s="143" t="n">
        <x:f>IF(OR(H18="verified",H18="not applicable",AND(H18="tested",I18="no")),1,0)</x:f>
        <x:v>0</x:v>
      </x:c>
    </x:row>
    <x:row r="19" s="135" customFormat="1" ht="43.5" customHeight="1">
      <x:c r="A19" s="143" t="inlineStr">
        <x:is>
          <x:t xml:space="preserve">TT-11</x:t>
        </x:is>
      </x:c>
      <x:c r="B19" s="143" t="inlineStr">
        <x:is>
          <x:t xml:space="preserve">Manual</x:t>
        </x:is>
      </x:c>
      <x:c r="C19" s="143" t="inlineStr">
        <x:is>
          <x:t xml:space="preserve">Content</x:t>
        </x:is>
      </x:c>
      <x:c r="D19" s="143" t="inlineStr">
        <x:is>
          <x:t xml:space="preserve">Actual browser 200/400 percent zoom</x:t>
        </x:is>
      </x:c>
      <x:c r="E19" s="143" t="inlineStr">
        <x:is>
          <x:t xml:space="preserve">package</x:t>
        </x:is>
      </x:c>
      <x:c r="F19" s="143" t="inlineStr">
        <x:is>
          <x:t xml:space="preserve">manual</x:t>
        </x:is>
      </x:c>
      <x:c r="G19" s="143" t="inlineStr">
        <x:is>
          <x:t xml:space="preserve">manual-tests/toggle-tip.md</x:t>
        </x:is>
      </x:c>
      <x:c r="H19" s="143" t="inlineStr">
        <x:is>
          <x:t xml:space="preserve">not started</x:t>
        </x:is>
      </x:c>
      <x:c r="I19" s="143" t="inlineStr">
        <x:is>
          <x:t xml:space="preserve">yes</x:t>
        </x:is>
      </x:c>
      <x:c r="J19" s="143" t="n"/>
      <x:c r="K19" s="143" t="inlineStr">
        <x:is>
          <x:t xml:space="preserve">Owner review pending</x:t>
        </x:is>
      </x:c>
      <x:c r="L19" s="143" t="n">
        <x:v>1</x:v>
      </x:c>
      <x:c r="M19" s="143" t="n">
        <x:f>IF(OR(H19="verified",H19="not applicable",AND(H19="tested",I19="no")),1,0)</x:f>
        <x:v>0</x:v>
      </x:c>
    </x:row>
    <x:row r="20" s="135" customFormat="1" ht="43.5" customHeight="1">
      <x:c r="A20" s="143" t="inlineStr">
        <x:is>
          <x:t xml:space="preserve">TT-12</x:t>
        </x:is>
      </x:c>
      <x:c r="B20" s="143" t="inlineStr">
        <x:is>
          <x:t xml:space="preserve">Reflow</x:t>
        </x:is>
      </x:c>
      <x:c r="C20" s="143" t="inlineStr">
        <x:is>
          <x:t xml:space="preserve">Content</x:t>
        </x:is>
      </x:c>
      <x:c r="D20" s="143" t="inlineStr">
        <x:is>
          <x:t xml:space="preserve">Narrow viewport, RTL and reduced motion</x:t>
        </x:is>
      </x:c>
      <x:c r="E20" s="143" t="inlineStr">
        <x:is>
          <x:t xml:space="preserve">package</x:t>
        </x:is>
      </x:c>
      <x:c r="F20" s="143" t="inlineStr">
        <x:is>
          <x:t xml:space="preserve">browser</x:t>
        </x:is>
      </x:c>
      <x:c r="G20" s="143" t="inlineStr">
        <x:is>
          <x:t xml:space="preserve">tests/components/toggle-tip/behavior.spec.ts</x:t>
        </x:is>
      </x:c>
      <x:c r="H20" s="143" t="inlineStr">
        <x:is>
          <x:t xml:space="preserve">tested</x:t>
        </x:is>
      </x:c>
      <x:c r="I20" s="143" t="inlineStr">
        <x:is>
          <x:t xml:space="preserve">no</x:t>
        </x:is>
      </x:c>
      <x:c r="J20" s="143" t="n"/>
      <x:c r="K20" s="143" t="n"/>
      <x:c r="L20" s="143" t="n">
        <x:v>1</x:v>
      </x:c>
      <x:c r="M20" s="143" t="n">
        <x:f>IF(OR(H20="verified",H20="not applicable",AND(H20="tested",I20="no")),1,0)</x:f>
        <x:v>1</x:v>
      </x:c>
    </x:row>
    <x:row r="21" s="135" customFormat="1" ht="43.5" customHeight="1">
      <x:c r="A21" s="143" t="inlineStr">
        <x:is>
          <x:t xml:space="preserve">TT-13</x:t>
        </x:is>
      </x:c>
      <x:c r="B21" s="143" t="inlineStr">
        <x:is>
          <x:t xml:space="preserve">Docs</x:t>
        </x:is>
      </x:c>
      <x:c r="C21" s="143" t="inlineStr">
        <x:is>
          <x:t xml:space="preserve">Public API</x:t>
        </x:is>
      </x:c>
      <x:c r="D21" s="143" t="inlineStr">
        <x:is>
          <x:t xml:space="preserve">Guide and examples match public surface</x:t>
        </x:is>
      </x:c>
      <x:c r="E21" s="143" t="inlineStr">
        <x:is>
          <x:t xml:space="preserve">package</x:t>
        </x:is>
      </x:c>
      <x:c r="F21" s="143" t="inlineStr">
        <x:is>
          <x:t xml:space="preserve">docs</x:t>
        </x:is>
      </x:c>
      <x:c r="G21" s="143" t="inlineStr">
        <x:is>
          <x:t xml:space="preserve">../docs/components/toggle-tip/README.md</x:t>
        </x:is>
      </x:c>
      <x:c r="H21" s="143" t="inlineStr">
        <x:is>
          <x:t xml:space="preserve">tested</x:t>
        </x:is>
      </x:c>
      <x:c r="I21" s="143" t="inlineStr">
        <x:is>
          <x:t xml:space="preserve">no</x:t>
        </x:is>
      </x:c>
      <x:c r="J21" s="143" t="n"/>
      <x:c r="K21" s="143" t="n"/>
      <x:c r="L21" s="143" t="n">
        <x:v>1</x:v>
      </x:c>
      <x:c r="M21" s="143" t="n">
        <x:f>IF(OR(H21="verified",H21="not applicable",AND(H21="tested",I21="no")),1,0)</x:f>
        <x:v>1</x:v>
      </x:c>
    </x:row>
    <x:row r="22" s="135" customFormat="1" ht="43.5" customHeight="1">
      <x:c r="A22" s="143" t="inlineStr">
        <x:is>
          <x:t xml:space="preserve">TT-14</x:t>
        </x:is>
      </x:c>
      <x:c r="B22" s="143" t="inlineStr">
        <x:is>
          <x:t xml:space="preserve">Knowledge</x:t>
        </x:is>
      </x:c>
      <x:c r="C22" s="143" t="inlineStr">
        <x:is>
          <x:t xml:space="preserve">Agent guide</x:t>
        </x:is>
      </x:c>
      <x:c r="D22" s="143" t="inlineStr">
        <x:is>
          <x:t xml:space="preserve">Closed coverage includes ToggleTip</x:t>
        </x:is>
      </x:c>
      <x:c r="E22" s="143" t="inlineStr">
        <x:is>
          <x:t xml:space="preserve">package</x:t>
        </x:is>
      </x:c>
      <x:c r="F22" s="143" t="inlineStr">
        <x:is>
          <x:t xml:space="preserve">docs</x:t>
        </x:is>
      </x:c>
      <x:c r="G22" s="143" t="inlineStr">
        <x:is>
          <x:t xml:space="preserve">../src/components/toggle-tip/agent.json</x:t>
        </x:is>
      </x:c>
      <x:c r="H22" s="143" t="inlineStr">
        <x:is>
          <x:t xml:space="preserve">tested</x:t>
        </x:is>
      </x:c>
      <x:c r="I22" s="143" t="inlineStr">
        <x:is>
          <x:t xml:space="preserve">no</x:t>
        </x:is>
      </x:c>
      <x:c r="J22" s="143" t="n"/>
      <x:c r="K22" s="143" t="n"/>
      <x:c r="L22" s="143" t="n">
        <x:v>1</x:v>
      </x:c>
      <x:c r="M22" s="143" t="n">
        <x:f>IF(OR(H22="verified",H22="not applicable",AND(H22="tested",I22="no")),1,0)</x:f>
        <x:v>1</x:v>
      </x:c>
    </x:row>
    <x:row r="23" s="135" customFormat="1" ht="43.5" customHeight="1">
      <x:c r="A23" s="143" t="inlineStr">
        <x:is>
          <x:t xml:space="preserve">TT-15</x:t>
        </x:is>
      </x:c>
      <x:c r="B23" s="143" t="inlineStr">
        <x:is>
          <x:t xml:space="preserve">Consumer</x:t>
        </x:is>
      </x:c>
      <x:c r="C23" s="143" t="inlineStr">
        <x:is>
          <x:t xml:space="preserve">Package</x:t>
        </x:is>
      </x:c>
      <x:c r="D23" s="143" t="inlineStr">
        <x:is>
          <x:t xml:space="preserve">Clean installed React consumer</x:t>
        </x:is>
      </x:c>
      <x:c r="E23" s="143" t="inlineStr">
        <x:is>
          <x:t xml:space="preserve">package</x:t>
        </x:is>
      </x:c>
      <x:c r="F23" s="143" t="inlineStr">
        <x:is>
          <x:t xml:space="preserve">package</x:t>
        </x:is>
      </x:c>
      <x:c r="G23" s="143" t="inlineStr">
        <x:is>
          <x:t xml:space="preserve">../scripts/verify-consumers.mjs</x:t>
        </x:is>
      </x:c>
      <x:c r="H23" s="143" t="inlineStr">
        <x:is>
          <x:t xml:space="preserve">tested</x:t>
        </x:is>
      </x:c>
      <x:c r="I23" s="143" t="inlineStr">
        <x:is>
          <x:t xml:space="preserve">no</x:t>
        </x:is>
      </x:c>
      <x:c r="J23" s="143" t="n"/>
      <x:c r="K23" s="143" t="n"/>
      <x:c r="L23" s="143" t="n">
        <x:v>1</x:v>
      </x:c>
      <x:c r="M23" s="143" t="n">
        <x:f>IF(OR(H23="verified",H23="not applicable",AND(H23="tested",I23="no")),1,0)</x:f>
        <x:v>1</x:v>
      </x:c>
    </x:row>
    <x:row r="24" s="135" customFormat="1" ht="43.5" customHeight="1">
      <x:c r="A24" s="143" t="inlineStr">
        <x:is>
          <x:t xml:space="preserve">TT-16</x:t>
        </x:is>
      </x:c>
      <x:c r="B24" s="143" t="inlineStr">
        <x:is>
          <x:t xml:space="preserve">Package</x:t>
        </x:is>
      </x:c>
      <x:c r="C24" s="143" t="inlineStr">
        <x:is>
          <x:t xml:space="preserve">Archive</x:t>
        </x:is>
      </x:c>
      <x:c r="D24" s="143" t="inlineStr">
        <x:is>
          <x:t xml:space="preserve">Modular CSS and packed exports</x:t>
        </x:is>
      </x:c>
      <x:c r="E24" s="143" t="inlineStr">
        <x:is>
          <x:t xml:space="preserve">package</x:t>
        </x:is>
      </x:c>
      <x:c r="F24" s="143" t="inlineStr">
        <x:is>
          <x:t xml:space="preserve">package</x:t>
        </x:is>
      </x:c>
      <x:c r="G24" s="143" t="inlineStr">
        <x:is>
          <x:t xml:space="preserve">../scripts/verify-package.mjs</x:t>
        </x:is>
      </x:c>
      <x:c r="H24" s="143" t="inlineStr">
        <x:is>
          <x:t xml:space="preserve">tested</x:t>
        </x:is>
      </x:c>
      <x:c r="I24" s="143" t="inlineStr">
        <x:is>
          <x:t xml:space="preserve">no</x:t>
        </x:is>
      </x:c>
      <x:c r="J24" s="143" t="n"/>
      <x:c r="K24" s="143" t="n"/>
      <x:c r="L24" s="143" t="n">
        <x:v>1</x:v>
      </x:c>
      <x:c r="M24" s="143" t="n">
        <x:f>IF(OR(H24="verified",H24="not applicable",AND(H24="tested",I24="no")),1,0)</x:f>
        <x:v>1</x:v>
      </x:c>
    </x:row>
  </x:sheetData>
  <x:dataValidations count="1">
    <x:dataValidation type="list" errorStyle="stop" operator="between" allowBlank="0" showDropDown="0" showInputMessage="0" showErrorMessage="0" sqref="H9:H24">
      <x:formula1>"not started,partial,implemented,tested,verified,blocked,not applicable"</x:formula1>
      <x:formula2>0</x:formula2>
    </x:dataValidation>
  </x:dataValidations>
  <x:pageMargins left="0.7" right="0.7" top="0.75" bottom="0.75" header="0.3" footer="0.3"/>
</x:worksheet>
</file>

<file path=xl/worksheets/sheet135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baseColWidth="8" defaultColWidth="8.6796875" defaultRowHeight="15"/>
  <x:cols>
    <x:col min="1" max="1" width="12" style="138" customWidth="1"/>
    <x:col min="2" max="2" width="19" style="138" customWidth="1"/>
    <x:col min="3" max="3" width="27" style="138" customWidth="1"/>
    <x:col min="4" max="4" width="50" style="138" customWidth="1"/>
    <x:col min="5" max="5" width="13" style="138" customWidth="1"/>
    <x:col min="6" max="6" width="15" style="138" customWidth="1"/>
    <x:col min="7" max="7" width="56" style="138" customWidth="1"/>
    <x:col min="8" max="8" width="18" style="138" customWidth="1"/>
    <x:col min="9" max="9" width="17" style="138" customWidth="1"/>
    <x:col min="10" max="10" width="18" style="138" customWidth="1"/>
    <x:col min="11" max="11" width="43" style="138" customWidth="1"/>
    <x:col min="12" max="12" width="10" style="138" customWidth="1"/>
    <x:col min="13" max="13" width="12" style="138" customWidth="1"/>
  </x:cols>
  <x:sheetData>
    <x:row r="1" s="135" customFormat="1" ht="15" customHeight="1">
      <x:c r="A1" s="138" t="inlineStr">
        <x:is>
          <x:t xml:space="preserve">Checkbox Card Evidence</x:t>
        </x:is>
      </x:c>
      <x:c r="B1" s="138" t="n"/>
      <x:c r="C1" s="138" t="n"/>
      <x:c r="D1" s="138" t="n"/>
      <x:c r="E1" s="138" t="n"/>
      <x:c r="F1" s="138" t="n"/>
      <x:c r="G1" s="138" t="n"/>
      <x:c r="H1" s="138" t="n"/>
      <x:c r="I1" s="138" t="n"/>
      <x:c r="J1" s="138" t="n"/>
      <x:c r="K1" s="138" t="n"/>
      <x:c r="L1" s="138" t="n"/>
      <x:c r="M1" s="138" t="n"/>
    </x:row>
    <x:row r="2" s="135" customFormat="1" ht="15" customHeight="1">
      <x:c r="A2" s="138" t="inlineStr">
        <x:is>
          <x:t xml:space="preserve">Unpublished local candidate; manual qualification remains unperformed.</x:t>
        </x:is>
      </x:c>
      <x:c r="B2" s="138" t="n"/>
      <x:c r="C2" s="138" t="n"/>
      <x:c r="D2" s="138" t="n"/>
      <x:c r="E2" s="138" t="n"/>
      <x:c r="F2" s="138" t="n"/>
      <x:c r="G2" s="138" t="n"/>
      <x:c r="H2" s="138" t="n"/>
      <x:c r="I2" s="138" t="n"/>
      <x:c r="J2" s="138" t="n"/>
      <x:c r="K2" s="138" t="n"/>
      <x:c r="L2" s="138" t="n"/>
      <x:c r="M2" s="138" t="n"/>
    </x:row>
    <x:row r="3" s="135" customFormat="1" ht="15" customHeight="1">
      <x:c r="A3" s="138" t="n"/>
      <x:c r="B3" s="138" t="n"/>
      <x:c r="C3" s="138" t="n"/>
      <x:c r="D3" s="138" t="n"/>
      <x:c r="E3" s="138" t="n"/>
      <x:c r="F3" s="138" t="n"/>
      <x:c r="G3" s="138" t="n"/>
      <x:c r="H3" s="138" t="n"/>
      <x:c r="I3" s="138" t="n"/>
      <x:c r="J3" s="138" t="n"/>
      <x:c r="K3" s="138" t="n"/>
      <x:c r="L3" s="138" t="n"/>
      <x:c r="M3" s="138" t="n"/>
    </x:row>
    <x:row r="4" s="135" customFormat="1" ht="15" customHeight="1">
      <x:c r="A4" s="138" t="inlineStr">
        <x:is>
          <x:t xml:space="preserve">Requirements</x:t>
        </x:is>
      </x:c>
      <x:c r="B4" s="138" t="n">
        <x:f>COUNTA(A9:A18)</x:f>
        <x:v>10</x:v>
      </x:c>
      <x:c r="C4" s="138" t="n"/>
      <x:c r="D4" s="138" t="inlineStr">
        <x:is>
          <x:t xml:space="preserve">Resolved</x:t>
        </x:is>
      </x:c>
      <x:c r="E4" s="138" t="n">
        <x:f>SUM(M9:M18)</x:f>
        <x:v>8</x:v>
      </x:c>
      <x:c r="F4" s="138" t="n"/>
      <x:c r="G4" s="138" t="inlineStr">
        <x:is>
          <x:t xml:space="preserve">Completion</x:t>
        </x:is>
      </x:c>
      <x:c r="H4" s="138" t="n">
        <x:f>E4/B4</x:f>
        <x:v>0.8</x:v>
      </x:c>
      <x:c r="I4" s="138" t="n"/>
      <x:c r="J4" s="138" t="inlineStr">
        <x:is>
          <x:t xml:space="preserve">Package gate</x:t>
        </x:is>
      </x:c>
      <x:c r="K4" s="138" t="inlineStr">
        <x:is>
          <x:t xml:space="preserve">blocked</x:t>
        </x:is>
      </x:c>
      <x:c r="L4" s="138" t="n"/>
      <x:c r="M4" s="138" t="n"/>
    </x:row>
    <x:row r="5" s="135" customFormat="1" ht="15" customHeight="1">
      <x:c r="A5" s="138" t="inlineStr">
        <x:is>
          <x:t xml:space="preserve">Manual review</x:t>
        </x:is>
      </x:c>
      <x:c r="B5" s="138" t="inlineStr">
        <x:is>
          <x:t xml:space="preserve">not started</x:t>
        </x:is>
      </x:c>
      <x:c r="C5" s="138" t="n"/>
      <x:c r="D5" s="138" t="inlineStr">
        <x:is>
          <x:t xml:space="preserve">Consumer gate</x:t>
        </x:is>
      </x:c>
      <x:c r="E5" s="138" t="inlineStr">
        <x:is>
          <x:t xml:space="preserve">complete</x:t>
        </x:is>
      </x:c>
      <x:c r="F5" s="138" t="n"/>
      <x:c r="G5" s="138" t="n"/>
      <x:c r="H5" s="138" t="n"/>
      <x:c r="I5" s="138" t="n"/>
      <x:c r="J5" s="138" t="n"/>
      <x:c r="K5" s="138" t="n"/>
      <x:c r="L5" s="138" t="n"/>
      <x:c r="M5" s="138" t="n"/>
    </x:row>
    <x:row r="6" s="135" customFormat="1" ht="15" customHeight="1">
      <x:c r="A6" s="138" t="n"/>
      <x:c r="B6" s="138" t="n"/>
      <x:c r="C6" s="138" t="n"/>
      <x:c r="D6" s="138" t="n"/>
      <x:c r="E6" s="138" t="n"/>
      <x:c r="F6" s="138" t="n"/>
      <x:c r="G6" s="138" t="n"/>
      <x:c r="H6" s="138" t="n"/>
      <x:c r="I6" s="138" t="n"/>
      <x:c r="J6" s="138" t="n"/>
      <x:c r="K6" s="138" t="n"/>
      <x:c r="L6" s="138" t="n"/>
      <x:c r="M6" s="138" t="n"/>
    </x:row>
    <x:row r="7" s="135" customFormat="1" ht="15" customHeight="1">
      <x:c r="A7" s="138" t="n"/>
      <x:c r="B7" s="138" t="n"/>
      <x:c r="C7" s="138" t="n"/>
      <x:c r="D7" s="138" t="n"/>
      <x:c r="E7" s="138" t="n"/>
      <x:c r="F7" s="138" t="n"/>
      <x:c r="G7" s="138" t="n"/>
      <x:c r="H7" s="138" t="n"/>
      <x:c r="I7" s="138" t="n"/>
      <x:c r="J7" s="138" t="n"/>
      <x:c r="K7" s="138" t="n"/>
      <x:c r="L7" s="138" t="n"/>
      <x:c r="M7" s="138" t="n"/>
    </x:row>
    <x:row r="8" s="135" customFormat="1" ht="15" customHeight="1">
      <x:c r="A8" s="138" t="inlineStr">
        <x:is>
          <x:t xml:space="preserve">ID</x:t>
        </x:is>
      </x:c>
      <x:c r="B8" s="138" t="inlineStr">
        <x:is>
          <x:t xml:space="preserve">Area</x:t>
        </x:is>
      </x:c>
      <x:c r="C8" s="138" t="inlineStr">
        <x:is>
          <x:t xml:space="preserve">Part</x:t>
        </x:is>
      </x:c>
      <x:c r="D8" s="138" t="inlineStr">
        <x:is>
          <x:t xml:space="preserve">Requirement</x:t>
        </x:is>
      </x:c>
      <x:c r="E8" s="138" t="inlineStr">
        <x:is>
          <x:t xml:space="preserve">Gate</x:t>
        </x:is>
      </x:c>
      <x:c r="F8" s="138" t="inlineStr">
        <x:is>
          <x:t xml:space="preserve">Evidence type</x:t>
        </x:is>
      </x:c>
      <x:c r="G8" s="138" t="inlineStr">
        <x:is>
          <x:t xml:space="preserve">Evidence / link</x:t>
        </x:is>
      </x:c>
      <x:c r="H8" s="138" t="inlineStr">
        <x:is>
          <x:t xml:space="preserve">Status</x:t>
        </x:is>
      </x:c>
      <x:c r="I8" s="138" t="inlineStr">
        <x:is>
          <x:t xml:space="preserve">Human review?</x:t>
        </x:is>
      </x:c>
      <x:c r="J8" s="138" t="inlineStr">
        <x:is>
          <x:t xml:space="preserve">Last verified</x:t>
        </x:is>
      </x:c>
      <x:c r="K8" s="138" t="inlineStr">
        <x:is>
          <x:t xml:space="preserve">Blocker / N/A reason</x:t>
        </x:is>
      </x:c>
      <x:c r="L8" s="138" t="inlineStr">
        <x:is>
          <x:t xml:space="preserve">Weight</x:t>
        </x:is>
      </x:c>
      <x:c r="M8" s="138" t="inlineStr">
        <x:is>
          <x:t xml:space="preserve">Resolved</x:t>
        </x:is>
      </x:c>
    </x:row>
    <x:row r="9" s="135" customFormat="1" ht="72" customHeight="1">
      <x:c r="A9" s="245" t="inlineStr">
        <x:is>
          <x:t xml:space="preserve">CC-01</x:t>
        </x:is>
      </x:c>
      <x:c r="B9" s="245" t="inlineStr">
        <x:is>
          <x:t xml:space="preserve">Implementation</x:t>
        </x:is>
      </x:c>
      <x:c r="C9" s="245" t="inlineStr">
        <x:is>
          <x:t xml:space="preserve">Root / RootProvider</x:t>
        </x:is>
      </x:c>
      <x:c r="D9" s="245" t="inlineStr">
        <x:is>
          <x:t xml:space="preserve">Label host, refs, controlled state</x:t>
        </x:is>
      </x:c>
      <x:c r="E9" s="245" t="inlineStr">
        <x:is>
          <x:t xml:space="preserve">package</x:t>
        </x:is>
      </x:c>
      <x:c r="F9" s="245" t="inlineStr">
        <x:is>
          <x:t xml:space="preserve">source</x:t>
        </x:is>
      </x:c>
      <x:c r="G9" s="245" t="inlineStr">
        <x:is>
          <x:t xml:space="preserve">../src/components/checkbox-card/CheckboxCard.tsx</x:t>
        </x:is>
      </x:c>
      <x:c r="H9" s="245" t="inlineStr">
        <x:is>
          <x:t xml:space="preserve">tested</x:t>
        </x:is>
      </x:c>
      <x:c r="I9" s="245" t="inlineStr">
        <x:is>
          <x:t xml:space="preserve">no</x:t>
        </x:is>
      </x:c>
      <x:c r="J9" s="245" t="n"/>
      <x:c r="K9" s="245" t="n"/>
      <x:c r="L9" s="245" t="n">
        <x:v>1</x:v>
      </x:c>
      <x:c r="M9" s="245" t="n">
        <x:f>IF(OR(H9="verified",H9="not applicable",AND(H9="tested",I9="no")),1,0)</x:f>
        <x:v>1</x:v>
      </x:c>
    </x:row>
    <x:row r="10" s="135" customFormat="1" ht="72" customHeight="1">
      <x:c r="A10" s="245" t="inlineStr">
        <x:is>
          <x:t xml:space="preserve">CC-02</x:t>
        </x:is>
      </x:c>
      <x:c r="B10" s="245" t="inlineStr">
        <x:is>
          <x:t xml:space="preserve">Behavior</x:t>
        </x:is>
      </x:c>
      <x:c r="C10" s="245" t="inlineStr">
        <x:is>
          <x:t xml:space="preserve">HiddenInput</x:t>
        </x:is>
      </x:c>
      <x:c r="D10" s="245" t="inlineStr">
        <x:is>
          <x:t xml:space="preserve">Native checkbox submission, reset, mixed/read-only</x:t>
        </x:is>
      </x:c>
      <x:c r="E10" s="245" t="inlineStr">
        <x:is>
          <x:t xml:space="preserve">package</x:t>
        </x:is>
      </x:c>
      <x:c r="F10" s="245" t="inlineStr">
        <x:is>
          <x:t xml:space="preserve">unit</x:t>
        </x:is>
      </x:c>
      <x:c r="G10" s="245" t="inlineStr">
        <x:is>
          <x:t xml:space="preserve">../test/components/checkbox-card/checkbox-card.test.tsx</x:t>
        </x:is>
      </x:c>
      <x:c r="H10" s="245" t="inlineStr">
        <x:is>
          <x:t xml:space="preserve">tested</x:t>
        </x:is>
      </x:c>
      <x:c r="I10" s="245" t="inlineStr">
        <x:is>
          <x:t xml:space="preserve">no</x:t>
        </x:is>
      </x:c>
      <x:c r="J10" s="245" t="n"/>
      <x:c r="K10" s="245" t="n"/>
      <x:c r="L10" s="245" t="n">
        <x:v>1</x:v>
      </x:c>
      <x:c r="M10" s="245" t="n">
        <x:f>IF(OR(H10="verified",H10="not applicable",AND(H10="tested",I10="no")),1,0)</x:f>
        <x:v>1</x:v>
      </x:c>
    </x:row>
    <x:row r="11" s="135" customFormat="1" ht="72" customHeight="1">
      <x:c r="A11" s="245" t="inlineStr">
        <x:is>
          <x:t xml:space="preserve">CC-03</x:t>
        </x:is>
      </x:c>
      <x:c r="B11" s="245" t="inlineStr">
        <x:is>
          <x:t xml:space="preserve">Anatomy</x:t>
        </x:is>
      </x:c>
      <x:c r="C11" s="245" t="inlineStr">
        <x:is>
          <x:t xml:space="preserve">Control / Content / Label / Description</x:t>
        </x:is>
      </x:c>
      <x:c r="D11" s="245" t="inlineStr">
        <x:is>
          <x:t xml:space="preserve">Layout and accessible naming</x:t>
        </x:is>
      </x:c>
      <x:c r="E11" s="245" t="inlineStr">
        <x:is>
          <x:t xml:space="preserve">package</x:t>
        </x:is>
      </x:c>
      <x:c r="F11" s="245" t="inlineStr">
        <x:is>
          <x:t xml:space="preserve">unit</x:t>
        </x:is>
      </x:c>
      <x:c r="G11" s="245" t="inlineStr">
        <x:is>
          <x:t xml:space="preserve">../test/components/checkbox-card/checkbox-card.test.tsx</x:t>
        </x:is>
      </x:c>
      <x:c r="H11" s="245" t="inlineStr">
        <x:is>
          <x:t xml:space="preserve">tested</x:t>
        </x:is>
      </x:c>
      <x:c r="I11" s="245" t="inlineStr">
        <x:is>
          <x:t xml:space="preserve">no</x:t>
        </x:is>
      </x:c>
      <x:c r="J11" s="245" t="n"/>
      <x:c r="K11" s="245" t="n"/>
      <x:c r="L11" s="245" t="n">
        <x:v>1</x:v>
      </x:c>
      <x:c r="M11" s="245" t="n">
        <x:f>IF(OR(H11="verified",H11="not applicable",AND(H11="tested",I11="no")),1,0)</x:f>
        <x:v>1</x:v>
      </x:c>
    </x:row>
    <x:row r="12" s="135" customFormat="1" ht="72" customHeight="1">
      <x:c r="A12" s="245" t="inlineStr">
        <x:is>
          <x:t xml:space="preserve">CC-04</x:t>
        </x:is>
      </x:c>
      <x:c r="B12" s="245" t="inlineStr">
        <x:is>
          <x:t xml:space="preserve">Anatomy</x:t>
        </x:is>
      </x:c>
      <x:c r="C12" s="245" t="inlineStr">
        <x:is>
          <x:t xml:space="preserve">Indicator / Addon / Context</x:t>
        </x:is>
      </x:c>
      <x:c r="D12" s="245" t="inlineStr">
        <x:is>
          <x:t xml:space="preserve">Optional/custom mark and supporting region</x:t>
        </x:is>
      </x:c>
      <x:c r="E12" s="245" t="inlineStr">
        <x:is>
          <x:t xml:space="preserve">package</x:t>
        </x:is>
      </x:c>
      <x:c r="F12" s="245" t="inlineStr">
        <x:is>
          <x:t xml:space="preserve">source</x:t>
        </x:is>
      </x:c>
      <x:c r="G12" s="245" t="inlineStr">
        <x:is>
          <x:t xml:space="preserve">../src/components/checkbox-card/CheckboxCard.tsx</x:t>
        </x:is>
      </x:c>
      <x:c r="H12" s="245" t="inlineStr">
        <x:is>
          <x:t xml:space="preserve">tested</x:t>
        </x:is>
      </x:c>
      <x:c r="I12" s="245" t="inlineStr">
        <x:is>
          <x:t xml:space="preserve">no</x:t>
        </x:is>
      </x:c>
      <x:c r="J12" s="245" t="n"/>
      <x:c r="K12" s="245" t="n"/>
      <x:c r="L12" s="245" t="n">
        <x:v>1</x:v>
      </x:c>
      <x:c r="M12" s="245" t="n">
        <x:f>IF(OR(H12="verified",H12="not applicable",AND(H12="tested",I12="no")),1,0)</x:f>
        <x:v>1</x:v>
      </x:c>
    </x:row>
    <x:row r="13" s="135" customFormat="1" ht="72" customHeight="1">
      <x:c r="A13" s="245" t="inlineStr">
        <x:is>
          <x:t xml:space="preserve">CC-05</x:t>
        </x:is>
      </x:c>
      <x:c r="B13" s="245" t="inlineStr">
        <x:is>
          <x:t xml:space="preserve">CSS</x:t>
        </x:is>
      </x:c>
      <x:c r="C13" s="245" t="inlineStr">
        <x:is>
          <x:t xml:space="preserve">Root</x:t>
        </x:is>
      </x:c>
      <x:c r="D13" s="245" t="inlineStr">
        <x:is>
          <x:t xml:space="preserve">Responsive recipes, tone and radius</x:t>
        </x:is>
      </x:c>
      <x:c r="E13" s="245" t="inlineStr">
        <x:is>
          <x:t xml:space="preserve">package</x:t>
        </x:is>
      </x:c>
      <x:c r="F13" s="245" t="inlineStr">
        <x:is>
          <x:t xml:space="preserve">browser</x:t>
        </x:is>
      </x:c>
      <x:c r="G13" s="245" t="inlineStr">
        <x:is>
          <x:t xml:space="preserve">tests/components/checkbox-card/behavior.spec.ts</x:t>
        </x:is>
      </x:c>
      <x:c r="H13" s="245" t="inlineStr">
        <x:is>
          <x:t xml:space="preserve">tested</x:t>
        </x:is>
      </x:c>
      <x:c r="I13" s="245" t="inlineStr">
        <x:is>
          <x:t xml:space="preserve">no</x:t>
        </x:is>
      </x:c>
      <x:c r="J13" s="245" t="n"/>
      <x:c r="K13" s="245" t="n"/>
      <x:c r="L13" s="245" t="n">
        <x:v>1</x:v>
      </x:c>
      <x:c r="M13" s="245" t="n">
        <x:f>IF(OR(H13="verified",H13="not applicable",AND(H13="tested",I13="no")),1,0)</x:f>
        <x:v>1</x:v>
      </x:c>
    </x:row>
    <x:row r="14" s="135" customFormat="1" ht="72" customHeight="1">
      <x:c r="A14" s="245" t="inlineStr">
        <x:is>
          <x:t xml:space="preserve">CC-06</x:t>
        </x:is>
      </x:c>
      <x:c r="B14" s="245" t="inlineStr">
        <x:is>
          <x:t xml:space="preserve">Visual</x:t>
        </x:is>
      </x:c>
      <x:c r="C14" s="245" t="inlineStr">
        <x:is>
          <x:t xml:space="preserve">Root</x:t>
        </x:is>
      </x:c>
      <x:c r="D14" s="245" t="inlineStr">
        <x:is>
          <x:t xml:space="preserve">Light/dark sizes, variants, addon</x:t>
        </x:is>
      </x:c>
      <x:c r="E14" s="245" t="inlineStr">
        <x:is>
          <x:t xml:space="preserve">package</x:t>
        </x:is>
      </x:c>
      <x:c r="F14" s="245" t="inlineStr">
        <x:is>
          <x:t xml:space="preserve">visual</x:t>
        </x:is>
      </x:c>
      <x:c r="G14" s="245" t="inlineStr">
        <x:is>
          <x:t xml:space="preserve">tests/components/checkbox-card/visual.spec.ts</x:t>
        </x:is>
      </x:c>
      <x:c r="H14" s="245" t="inlineStr">
        <x:is>
          <x:t xml:space="preserve">tested</x:t>
        </x:is>
      </x:c>
      <x:c r="I14" s="245" t="inlineStr">
        <x:is>
          <x:t xml:space="preserve">no</x:t>
        </x:is>
      </x:c>
      <x:c r="J14" s="245" t="n"/>
      <x:c r="K14" s="245" t="inlineStr">
        <x:is>
          <x:t xml:space="preserve">Four reviewed baselines</x:t>
        </x:is>
      </x:c>
      <x:c r="L14" s="245" t="n">
        <x:v>1</x:v>
      </x:c>
      <x:c r="M14" s="245" t="n">
        <x:f>IF(OR(H14="verified",H14="not applicable",AND(H14="tested",I14="no")),1,0)</x:f>
        <x:v>1</x:v>
      </x:c>
    </x:row>
    <x:row r="15" s="135" customFormat="1" ht="72" customHeight="1">
      <x:c r="A15" s="245" t="inlineStr">
        <x:is>
          <x:t xml:space="preserve">CC-07</x:t>
        </x:is>
      </x:c>
      <x:c r="B15" s="245" t="inlineStr">
        <x:is>
          <x:t xml:space="preserve">Exports</x:t>
        </x:is>
      </x:c>
      <x:c r="C15" s="245" t="inlineStr">
        <x:is>
          <x:t xml:space="preserve">Root</x:t>
        </x:is>
      </x:c>
      <x:c r="D15" s="245" t="inlineStr">
        <x:is>
          <x:t xml:space="preserve">Packed root/subpath and SSR on React 18/19</x:t>
        </x:is>
      </x:c>
      <x:c r="E15" s="245" t="inlineStr">
        <x:is>
          <x:t xml:space="preserve">package</x:t>
        </x:is>
      </x:c>
      <x:c r="F15" s="245" t="inlineStr">
        <x:is>
          <x:t xml:space="preserve">package</x:t>
        </x:is>
      </x:c>
      <x:c r="G15" s="245" t="inlineStr">
        <x:is>
          <x:t xml:space="preserve">../scripts/verify-consumers.mjs</x:t>
        </x:is>
      </x:c>
      <x:c r="H15" s="245" t="inlineStr">
        <x:is>
          <x:t xml:space="preserve">tested</x:t>
        </x:is>
      </x:c>
      <x:c r="I15" s="245" t="inlineStr">
        <x:is>
          <x:t xml:space="preserve">no</x:t>
        </x:is>
      </x:c>
      <x:c r="J15" s="245" t="n"/>
      <x:c r="K15" s="245" t="n"/>
      <x:c r="L15" s="245" t="n">
        <x:v>1</x:v>
      </x:c>
      <x:c r="M15" s="245" t="n">
        <x:f>IF(OR(H15="verified",H15="not applicable",AND(H15="tested",I15="no")),1,0)</x:f>
        <x:v>1</x:v>
      </x:c>
    </x:row>
    <x:row r="16" s="135" customFormat="1" ht="72" customHeight="1">
      <x:c r="A16" s="245" t="inlineStr">
        <x:is>
          <x:t xml:space="preserve">CC-08</x:t>
        </x:is>
      </x:c>
      <x:c r="B16" s="245" t="inlineStr">
        <x:is>
          <x:t xml:space="preserve">Documentation</x:t>
        </x:is>
      </x:c>
      <x:c r="C16" s="245" t="inlineStr">
        <x:is>
          <x:t xml:space="preserve">All parts</x:t>
        </x:is>
      </x:c>
      <x:c r="D16" s="245" t="inlineStr">
        <x:is>
          <x:t xml:space="preserve">Public guide and closed Agent Knowledge</x:t>
        </x:is>
      </x:c>
      <x:c r="E16" s="245" t="inlineStr">
        <x:is>
          <x:t xml:space="preserve">package</x:t>
        </x:is>
      </x:c>
      <x:c r="F16" s="245" t="inlineStr">
        <x:is>
          <x:t xml:space="preserve">docs</x:t>
        </x:is>
      </x:c>
      <x:c r="G16" s="245" t="inlineStr">
        <x:is>
          <x:t xml:space="preserve">../docs/components/checkbox-card/README.md</x:t>
        </x:is>
      </x:c>
      <x:c r="H16" s="245" t="inlineStr">
        <x:is>
          <x:t xml:space="preserve">tested</x:t>
        </x:is>
      </x:c>
      <x:c r="I16" s="245" t="inlineStr">
        <x:is>
          <x:t xml:space="preserve">no</x:t>
        </x:is>
      </x:c>
      <x:c r="J16" s="245" t="n"/>
      <x:c r="K16" s="245" t="n"/>
      <x:c r="L16" s="245" t="n">
        <x:v>1</x:v>
      </x:c>
      <x:c r="M16" s="245" t="n">
        <x:f>IF(OR(H16="verified",H16="not applicable",AND(H16="tested",I16="no")),1,0)</x:f>
        <x:v>1</x:v>
      </x:c>
    </x:row>
    <x:row r="17" s="135" customFormat="1" ht="72" customHeight="1">
      <x:c r="A17" s="245" t="inlineStr">
        <x:is>
          <x:t xml:space="preserve">CC-09</x:t>
        </x:is>
      </x:c>
      <x:c r="B17" s="245" t="inlineStr">
        <x:is>
          <x:t xml:space="preserve">Manual</x:t>
        </x:is>
      </x:c>
      <x:c r="C17" s="245" t="inlineStr">
        <x:is>
          <x:t xml:space="preserve">All parts</x:t>
        </x:is>
      </x:c>
      <x:c r="D17" s="245" t="inlineStr">
        <x:is>
          <x:t xml:space="preserve">Screen reader, physical touch, actual browser zoom</x:t>
        </x:is>
      </x:c>
      <x:c r="E17" s="245" t="inlineStr">
        <x:is>
          <x:t xml:space="preserve">package</x:t>
        </x:is>
      </x:c>
      <x:c r="F17" s="245" t="inlineStr">
        <x:is>
          <x:t xml:space="preserve">manual</x:t>
        </x:is>
      </x:c>
      <x:c r="G17" s="245" t="inlineStr">
        <x:is>
          <x:t xml:space="preserve">manual-tests/checkbox-card.md</x:t>
        </x:is>
      </x:c>
      <x:c r="H17" s="245" t="inlineStr">
        <x:is>
          <x:t xml:space="preserve">not started</x:t>
        </x:is>
      </x:c>
      <x:c r="I17" s="245" t="inlineStr">
        <x:is>
          <x:t xml:space="preserve">yes</x:t>
        </x:is>
      </x:c>
      <x:c r="J17" s="245" t="n"/>
      <x:c r="K17" s="245" t="inlineStr">
        <x:is>
          <x:t xml:space="preserve">Human environment required</x:t>
        </x:is>
      </x:c>
      <x:c r="L17" s="245" t="n">
        <x:v>1</x:v>
      </x:c>
      <x:c r="M17" s="245" t="n">
        <x:f>IF(OR(H17="verified",H17="not applicable",AND(H17="tested",I17="no")),1,0)</x:f>
        <x:v>0</x:v>
      </x:c>
    </x:row>
    <x:row r="18" s="135" customFormat="1" ht="72" customHeight="1">
      <x:c r="A18" s="245" t="inlineStr">
        <x:is>
          <x:t xml:space="preserve">CC-10</x:t>
        </x:is>
      </x:c>
      <x:c r="B18" s="245" t="inlineStr">
        <x:is>
          <x:t xml:space="preserve">Package</x:t>
        </x:is>
      </x:c>
      <x:c r="C18" s="245" t="inlineStr">
        <x:is>
          <x:t xml:space="preserve">All parts</x:t>
        </x:is>
      </x:c>
      <x:c r="D18" s="245" t="inlineStr">
        <x:is>
          <x:t xml:space="preserve">Broader type/release checks</x:t>
        </x:is>
      </x:c>
      <x:c r="E18" s="245" t="inlineStr">
        <x:is>
          <x:t xml:space="preserve">package</x:t>
        </x:is>
      </x:c>
      <x:c r="F18" s="245" t="inlineStr">
        <x:is>
          <x:t xml:space="preserve">package</x:t>
        </x:is>
      </x:c>
      <x:c r="G18" s="245" t="inlineStr">
        <x:is>
          <x:t xml:space="preserve">Private implementation record</x:t>
        </x:is>
      </x:c>
      <x:c r="H18" s="245" t="inlineStr">
        <x:is>
          <x:t xml:space="preserve">blocked</x:t>
        </x:is>
      </x:c>
      <x:c r="I18" s="245" t="inlineStr">
        <x:is>
          <x:t xml:space="preserve">no</x:t>
        </x:is>
      </x:c>
      <x:c r="J18" s="245" t="n"/>
      <x:c r="K18" s="245" t="inlineStr">
        <x:is>
          <x:t xml:space="preserve">Unrelated existing repository type failures</x:t>
        </x:is>
      </x:c>
      <x:c r="L18" s="245" t="n">
        <x:v>1</x:v>
      </x:c>
      <x:c r="M18" s="245" t="n">
        <x:f>IF(OR(H18="verified",H18="not applicable",AND(H18="tested",I18="no")),1,0)</x:f>
        <x:v>0</x:v>
      </x:c>
    </x:row>
  </x:sheetData>
  <x:dataValidations count="1">
    <x:dataValidation type="list" errorStyle="stop" operator="between" allowBlank="0" showDropDown="0" showInputMessage="0" showErrorMessage="0" sqref="H9:H18">
      <x:formula1>"not started,partial,implemented,tested,verified,blocked,not applicable"</x:formula1>
      <x:formula2>0</x:formula2>
    </x:dataValidation>
  </x:dataValidations>
  <x:pageMargins left="0.7" right="0.7" top="0.75" bottom="0.75" header="0.3" footer="0.3"/>
</x:worksheet>
</file>

<file path=xl/worksheets/sheet136.xml><?xml version="1.0" encoding="utf-8"?>
<x:worksheet xmlns:x="http://schemas.openxmlformats.org/spreadsheetml/2006/main"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4" hidden="0" customWidth="1"/>
    <x:col min="4" max="4" width="58" hidden="0" customWidth="1"/>
    <x:col min="5" max="5" width="14" hidden="0" customWidth="1"/>
    <x:col min="6" max="6" width="15" hidden="0" customWidth="1"/>
    <x:col min="7" max="7" width="52" hidden="0" customWidth="1"/>
    <x:col min="8" max="8" width="18" hidden="0" customWidth="1"/>
    <x:col min="9" max="9" width="16" hidden="0" customWidth="1"/>
    <x:col min="10" max="10" width="18" hidden="0" customWidth="1"/>
    <x:col min="11" max="11" width="48" hidden="0" customWidth="1"/>
    <x:col min="12" max="12" width="9" hidden="0" customWidth="1"/>
    <x:col min="13" max="13" width="12" hidden="0" customWidth="1"/>
  </x:cols>
  <x:sheetData>
    <x:row r="1">
      <x:c r="A1" s="247" t="str">
        <x:v>Input Addon Evidence</x:v>
      </x:c>
      <x:c r="B1" s="246"/>
      <x:c r="C1" s="246"/>
      <x:c r="D1" s="246"/>
      <x:c r="E1" s="246"/>
      <x:c r="F1" s="246"/>
      <x:c r="G1" s="246"/>
      <x:c r="H1" s="246"/>
      <x:c r="I1" s="246"/>
      <x:c r="J1" s="246"/>
      <x:c r="K1" s="246"/>
      <x:c r="L1" s="246"/>
      <x:c r="M1" s="246"/>
    </x:row>
    <x:row r="2">
      <x:c r="A2" s="246" t="str">
        <x:v>Attached input segments. Human review and release qualification remain open.</x:v>
      </x:c>
      <x:c r="B2" s="246"/>
      <x:c r="C2" s="246"/>
      <x:c r="D2" s="246"/>
      <x:c r="E2" s="246"/>
      <x:c r="F2" s="246"/>
      <x:c r="G2" s="246"/>
      <x:c r="H2" s="246"/>
      <x:c r="I2" s="246"/>
      <x:c r="J2" s="246"/>
      <x:c r="K2" s="246"/>
      <x:c r="L2" s="246"/>
      <x:c r="M2" s="246"/>
    </x:row>
    <x:row r="3">
      <x:c r="A3" s="246"/>
      <x:c r="B3" s="246"/>
      <x:c r="C3" s="246"/>
      <x:c r="D3" s="246"/>
      <x:c r="E3" s="246"/>
      <x:c r="F3" s="246"/>
      <x:c r="G3" s="246"/>
      <x:c r="H3" s="246"/>
      <x:c r="I3" s="246"/>
      <x:c r="J3" s="246"/>
      <x:c r="K3" s="246"/>
      <x:c r="L3" s="246"/>
      <x:c r="M3" s="246"/>
    </x:row>
    <x:row r="4">
      <x:c r="A4" s="246" t="str">
        <x:v>Requirements</x:v>
      </x:c>
      <x:c r="B4" s="246" t="n">
        <x:f>COUNTA(A9:A22)</x:f>
        <x:v>14</x:v>
      </x:c>
      <x:c r="C4" s="246"/>
      <x:c r="D4" s="246" t="str">
        <x:v>Resolved</x:v>
      </x:c>
      <x:c r="E4" s="246" t="n">
        <x:f>SUM(M9:M22)</x:f>
        <x:v>10</x:v>
      </x:c>
      <x:c r="F4" s="246"/>
      <x:c r="G4" s="246" t="str">
        <x:v>Completion</x:v>
      </x:c>
      <x:c r="H4" s="253" t="n">
        <x:f>IF(B4=0,0,E4/B4)</x:f>
        <x:v>0.7142857142857143</x:v>
      </x:c>
      <x:c r="I4" s="246"/>
      <x:c r="J4" s="246" t="str">
        <x:v>Package gate</x:v>
      </x:c>
      <x:c r="K4" s="246" t="str">
        <x:f>IF(COUNTIFS(E9:E22,"package",M9:M22,0)&gt;0,"open","complete")</x:f>
        <x:v>open</x:v>
      </x:c>
      <x:c r="L4" s="246"/>
      <x:c r="M4" s="246"/>
    </x:row>
    <x:row r="5">
      <x:c r="A5" s="246" t="str">
        <x:v>Manual review</x:v>
      </x:c>
      <x:c r="B5" s="246" t="str">
        <x:f>IF(COUNTIFS(I9:I22,"yes",M9:M22,0)&gt;0,"open","complete")</x:f>
        <x:v>open</x:v>
      </x:c>
      <x:c r="C5" s="246"/>
      <x:c r="D5" s="246" t="str">
        <x:v>Consumer gate</x:v>
      </x:c>
      <x:c r="E5" s="246" t="str">
        <x:f>IF(COUNTIFS(E9:E22,"consumer",M9:M22,0)&gt;0,"open","complete")</x:f>
        <x:v>complete</x:v>
      </x:c>
      <x:c r="F5" s="246"/>
      <x:c r="G5" s="246"/>
      <x:c r="H5" s="246"/>
      <x:c r="I5" s="246"/>
      <x:c r="J5" s="246"/>
      <x:c r="K5" s="246"/>
      <x:c r="L5" s="246"/>
      <x:c r="M5" s="246"/>
    </x:row>
    <x:row r="6">
      <x:c r="A6" s="246"/>
      <x:c r="B6" s="246"/>
      <x:c r="C6" s="246"/>
      <x:c r="D6" s="246"/>
      <x:c r="E6" s="246"/>
      <x:c r="F6" s="246"/>
      <x:c r="G6" s="246"/>
      <x:c r="H6" s="246"/>
      <x:c r="I6" s="246"/>
      <x:c r="J6" s="246"/>
      <x:c r="K6" s="246"/>
      <x:c r="L6" s="246"/>
      <x:c r="M6" s="246"/>
    </x:row>
    <x:row r="7">
      <x:c r="A7" s="246"/>
      <x:c r="B7" s="246"/>
      <x:c r="C7" s="246"/>
      <x:c r="D7" s="246"/>
      <x:c r="E7" s="246"/>
      <x:c r="F7" s="246"/>
      <x:c r="G7" s="246"/>
      <x:c r="H7" s="246"/>
      <x:c r="I7" s="246"/>
      <x:c r="J7" s="246"/>
      <x:c r="K7" s="246"/>
      <x:c r="L7" s="246"/>
      <x:c r="M7" s="246"/>
    </x:row>
    <x:row r="8">
      <x:c r="A8" s="250" t="str">
        <x:v>ID</x:v>
      </x:c>
      <x:c r="B8" s="250" t="str">
        <x:v>Area</x:v>
      </x:c>
      <x:c r="C8" s="250" t="str">
        <x:v>Part</x:v>
      </x:c>
      <x:c r="D8" s="250" t="str">
        <x:v>Requirement</x:v>
      </x:c>
      <x:c r="E8" s="250" t="str">
        <x:v>Gate</x:v>
      </x:c>
      <x:c r="F8" s="250" t="str">
        <x:v>Evidence type</x:v>
      </x:c>
      <x:c r="G8" s="250" t="str">
        <x:v>Evidence / link</x:v>
      </x:c>
      <x:c r="H8" s="250" t="str">
        <x:v>Status</x:v>
      </x:c>
      <x:c r="I8" s="250" t="str">
        <x:v>Human review?</x:v>
      </x:c>
      <x:c r="J8" s="250" t="str">
        <x:v>Last verified</x:v>
      </x:c>
      <x:c r="K8" s="250" t="str">
        <x:v>Blocker / N/A reason</x:v>
      </x:c>
      <x:c r="L8" s="250" t="str">
        <x:v>Weight</x:v>
      </x:c>
      <x:c r="M8" s="250" t="str">
        <x:v>Resolved</x:v>
      </x:c>
    </x:row>
    <x:row r="9" ht="60" customHeight="1">
      <x:c r="A9" s="252" t="str">
        <x:v>IA-01</x:v>
      </x:c>
      <x:c r="B9" s="252" t="str">
        <x:v>Implementation</x:v>
      </x:c>
      <x:c r="C9" s="252" t="str">
        <x:v>Root</x:v>
      </x:c>
      <x:c r="D9" s="252" t="str">
        <x:v>Noninteractive span retains shared recipe and sizing hooks.</x:v>
      </x:c>
      <x:c r="E9" s="252" t="str">
        <x:v>package</x:v>
      </x:c>
      <x:c r="F9" s="252" t="str">
        <x:v>unit</x:v>
      </x:c>
      <x:c r="G9" s="252" t="str">
        <x:v>../test/components/input-addon/input-addon.test.tsx</x:v>
      </x:c>
      <x:c r="H9" s="252" t="str">
        <x:v>tested</x:v>
      </x:c>
      <x:c r="I9" s="252" t="str">
        <x:v>no</x:v>
      </x:c>
      <x:c r="J9" s="252" t="str">
        <x:v>2026-09-23</x:v>
      </x:c>
      <x:c r="K9" s="252" t="str"/>
      <x:c r="L9" s="252" t="n">
        <x:v>1</x:v>
      </x:c>
      <x:c r="M9" s="252" t="n">
        <x:f>IF(OR(AND(I9="yes",H9="verified"),AND(I9="no",OR(H9="tested",H9="verified")),AND(H9="not applicable",K9&lt;&gt;"")),1,0)</x:f>
        <x:v>1</x:v>
      </x:c>
    </x:row>
    <x:row r="10" ht="60" customHeight="1">
      <x:c r="A10" s="252" t="str">
        <x:v>IA-02</x:v>
      </x:c>
      <x:c r="B10" s="252" t="str">
        <x:v>Types</x:v>
      </x:c>
      <x:c r="C10" s="252" t="str">
        <x:v>Root</x:v>
      </x:c>
      <x:c r="D10" s="252" t="str">
        <x:v>Responsive sizes and public props type-check.</x:v>
      </x:c>
      <x:c r="E10" s="252" t="str">
        <x:v>package</x:v>
      </x:c>
      <x:c r="F10" s="252" t="str">
        <x:v>types</x:v>
      </x:c>
      <x:c r="G10" s="252" t="str">
        <x:v>../test/types/components/input-addon.test.ts</x:v>
      </x:c>
      <x:c r="H10" s="252" t="str">
        <x:v>tested</x:v>
      </x:c>
      <x:c r="I10" s="252" t="str">
        <x:v>no</x:v>
      </x:c>
      <x:c r="J10" s="252" t="str">
        <x:v>2026-09-23</x:v>
      </x:c>
      <x:c r="K10" s="252" t="str"/>
      <x:c r="L10" s="252" t="n">
        <x:v>1</x:v>
      </x:c>
      <x:c r="M10" s="252" t="n">
        <x:f>IF(OR(AND(I10="yes",H10="verified"),AND(I10="no",OR(H10="tested",H10="verified")),AND(H10="not applicable",K10&lt;&gt;"")),1,0)</x:f>
        <x:v>1</x:v>
      </x:c>
    </x:row>
    <x:row r="11" ht="60" customHeight="1">
      <x:c r="A11" s="252" t="str">
        <x:v>IA-03</x:v>
      </x:c>
      <x:c r="B11" s="252" t="str">
        <x:v>Exports</x:v>
      </x:c>
      <x:c r="C11" s="252" t="str">
        <x:v>Root</x:v>
      </x:c>
      <x:c r="D11" s="252" t="str">
        <x:v>Public runtime, types and stylesheet are available.</x:v>
      </x:c>
      <x:c r="E11" s="252" t="str">
        <x:v>package</x:v>
      </x:c>
      <x:c r="F11" s="252" t="str">
        <x:v>source</x:v>
      </x:c>
      <x:c r="G11" s="252" t="str">
        <x:v>../src/input-addon.ts</x:v>
      </x:c>
      <x:c r="H11" s="252" t="str">
        <x:v>tested</x:v>
      </x:c>
      <x:c r="I11" s="252" t="str">
        <x:v>no</x:v>
      </x:c>
      <x:c r="J11" s="252" t="str">
        <x:v>2026-09-23</x:v>
      </x:c>
      <x:c r="K11" s="252" t="str"/>
      <x:c r="L11" s="252" t="n">
        <x:v>1</x:v>
      </x:c>
      <x:c r="M11" s="252" t="n">
        <x:f>IF(OR(AND(I11="yes",H11="verified"),AND(I11="no",OR(H11="tested",H11="verified")),AND(H11="not applicable",K11&lt;&gt;"")),1,0)</x:f>
        <x:v>1</x:v>
      </x:c>
    </x:row>
    <x:row r="12" ht="60" customHeight="1">
      <x:c r="A12" s="252" t="str">
        <x:v>IA-04</x:v>
      </x:c>
      <x:c r="B12" s="252" t="str">
        <x:v>Geometry</x:v>
      </x:c>
      <x:c r="C12" s="252" t="str">
        <x:v>Root</x:v>
      </x:c>
      <x:c r="D12" s="252" t="str">
        <x:v>Attached segment and field share height and joined boundary.</x:v>
      </x:c>
      <x:c r="E12" s="252" t="str">
        <x:v>package</x:v>
      </x:c>
      <x:c r="F12" s="252" t="str">
        <x:v>browser</x:v>
      </x:c>
      <x:c r="G12" s="252" t="str">
        <x:v>tests/components/input-addon/behavior.spec.ts</x:v>
      </x:c>
      <x:c r="H12" s="252" t="str">
        <x:v>tested</x:v>
      </x:c>
      <x:c r="I12" s="252" t="str">
        <x:v>no</x:v>
      </x:c>
      <x:c r="J12" s="252" t="str">
        <x:v>2026-09-23</x:v>
      </x:c>
      <x:c r="K12" s="252" t="str"/>
      <x:c r="L12" s="252" t="n">
        <x:v>1</x:v>
      </x:c>
      <x:c r="M12" s="252" t="n">
        <x:f>IF(OR(AND(I12="yes",H12="verified"),AND(I12="no",OR(H12="tested",H12="verified")),AND(H12="not applicable",K12&lt;&gt;"")),1,0)</x:f>
        <x:v>1</x:v>
      </x:c>
    </x:row>
    <x:row r="13" ht="60" customHeight="1">
      <x:c r="A13" s="252" t="str">
        <x:v>IA-05</x:v>
      </x:c>
      <x:c r="B13" s="252" t="str">
        <x:v>Responsive</x:v>
      </x:c>
      <x:c r="C13" s="252" t="str">
        <x:v>Root</x:v>
      </x:c>
      <x:c r="D13" s="252" t="str">
        <x:v>Responsive sizes align at supported breakpoints.</x:v>
      </x:c>
      <x:c r="E13" s="252" t="str">
        <x:v>package</x:v>
      </x:c>
      <x:c r="F13" s="252" t="str">
        <x:v>browser</x:v>
      </x:c>
      <x:c r="G13" s="252" t="str">
        <x:v>tests/components/input-addon/behavior.spec.ts</x:v>
      </x:c>
      <x:c r="H13" s="252" t="str">
        <x:v>tested</x:v>
      </x:c>
      <x:c r="I13" s="252" t="str">
        <x:v>no</x:v>
      </x:c>
      <x:c r="J13" s="252" t="str">
        <x:v>2026-09-23</x:v>
      </x:c>
      <x:c r="K13" s="252" t="str"/>
      <x:c r="L13" s="252" t="n">
        <x:v>1</x:v>
      </x:c>
      <x:c r="M13" s="252" t="n">
        <x:f>IF(OR(AND(I13="yes",H13="verified"),AND(I13="no",OR(H13="tested",H13="verified")),AND(H13="not applicable",K13&lt;&gt;"")),1,0)</x:f>
        <x:v>1</x:v>
      </x:c>
    </x:row>
    <x:row r="14" ht="60" customHeight="1">
      <x:c r="A14" s="252" t="str">
        <x:v>IA-06</x:v>
      </x:c>
      <x:c r="B14" s="252" t="str">
        <x:v>Appearance</x:v>
      </x:c>
      <x:c r="C14" s="252" t="str">
        <x:v>Root</x:v>
      </x:c>
      <x:c r="D14" s="252" t="str">
        <x:v>Light and dark attached-segment snapshots are reviewed.</x:v>
      </x:c>
      <x:c r="E14" s="252" t="str">
        <x:v>package</x:v>
      </x:c>
      <x:c r="F14" s="252" t="str">
        <x:v>visual</x:v>
      </x:c>
      <x:c r="G14" s="252" t="str">
        <x:v>tests/components/input-addon/visual.spec.ts</x:v>
      </x:c>
      <x:c r="H14" s="252" t="str">
        <x:v>tested</x:v>
      </x:c>
      <x:c r="I14" s="252" t="str">
        <x:v>no</x:v>
      </x:c>
      <x:c r="J14" s="252" t="str">
        <x:v>2026-09-23</x:v>
      </x:c>
      <x:c r="K14" s="252" t="str"/>
      <x:c r="L14" s="252" t="n">
        <x:v>1</x:v>
      </x:c>
      <x:c r="M14" s="252" t="n">
        <x:f>IF(OR(AND(I14="yes",H14="verified"),AND(I14="no",OR(H14="tested",H14="verified")),AND(H14="not applicable",K14&lt;&gt;"")),1,0)</x:f>
        <x:v>1</x:v>
      </x:c>
    </x:row>
    <x:row r="15" ht="60" customHeight="1">
      <x:c r="A15" s="252" t="str">
        <x:v>IA-07</x:v>
      </x:c>
      <x:c r="B15" s="252" t="str">
        <x:v>Composition</x:v>
      </x:c>
      <x:c r="C15" s="252" t="str">
        <x:v>Root</x:v>
      </x:c>
      <x:c r="D15" s="252" t="str">
        <x:v>Prefix, suffix and paired examples match their displayed source.</x:v>
      </x:c>
      <x:c r="E15" s="252" t="str">
        <x:v>package</x:v>
      </x:c>
      <x:c r="F15" s="252" t="str">
        <x:v>source</x:v>
      </x:c>
      <x:c r="G15" s="252" t="str">
        <x:v>src/components/input-addon/examples</x:v>
      </x:c>
      <x:c r="H15" s="252" t="str">
        <x:v>tested</x:v>
      </x:c>
      <x:c r="I15" s="252" t="str">
        <x:v>no</x:v>
      </x:c>
      <x:c r="J15" s="252" t="str">
        <x:v>2026-09-23</x:v>
      </x:c>
      <x:c r="K15" s="252" t="str"/>
      <x:c r="L15" s="252" t="n">
        <x:v>1</x:v>
      </x:c>
      <x:c r="M15" s="252" t="n">
        <x:f>IF(OR(AND(I15="yes",H15="verified"),AND(I15="no",OR(H15="tested",H15="verified")),AND(H15="not applicable",K15&lt;&gt;"")),1,0)</x:f>
        <x:v>1</x:v>
      </x:c>
    </x:row>
    <x:row r="16" ht="60" customHeight="1">
      <x:c r="A16" s="252" t="str">
        <x:v>IA-08</x:v>
      </x:c>
      <x:c r="B16" s="252" t="str">
        <x:v>Documentation</x:v>
      </x:c>
      <x:c r="C16" s="252" t="str">
        <x:v>Root</x:v>
      </x:c>
      <x:c r="D16" s="252" t="str">
        <x:v>Public guide matches anatomy and supported recipes.</x:v>
      </x:c>
      <x:c r="E16" s="252" t="str">
        <x:v>package</x:v>
      </x:c>
      <x:c r="F16" s="252" t="str">
        <x:v>docs</x:v>
      </x:c>
      <x:c r="G16" s="252" t="str">
        <x:v>../docs/components/input-addon/README.md</x:v>
      </x:c>
      <x:c r="H16" s="252" t="str">
        <x:v>tested</x:v>
      </x:c>
      <x:c r="I16" s="252" t="str">
        <x:v>no</x:v>
      </x:c>
      <x:c r="J16" s="252" t="str">
        <x:v>2026-09-23</x:v>
      </x:c>
      <x:c r="K16" s="252" t="str"/>
      <x:c r="L16" s="252" t="n">
        <x:v>1</x:v>
      </x:c>
      <x:c r="M16" s="252" t="n">
        <x:f>IF(OR(AND(I16="yes",H16="verified"),AND(I16="no",OR(H16="tested",H16="verified")),AND(H16="not applicable",K16&lt;&gt;"")),1,0)</x:f>
        <x:v>1</x:v>
      </x:c>
    </x:row>
    <x:row r="17" ht="60" customHeight="1">
      <x:c r="A17" s="252" t="str">
        <x:v>IA-09</x:v>
      </x:c>
      <x:c r="B17" s="252" t="str">
        <x:v>Knowledge</x:v>
      </x:c>
      <x:c r="C17" s="252" t="str">
        <x:v>Root</x:v>
      </x:c>
      <x:c r="D17" s="252" t="str">
        <x:v>Exact owner guidance describes noninteractive composition.</x:v>
      </x:c>
      <x:c r="E17" s="252" t="str">
        <x:v>package</x:v>
      </x:c>
      <x:c r="F17" s="252" t="str">
        <x:v>docs</x:v>
      </x:c>
      <x:c r="G17" s="252" t="str">
        <x:v>../src/components/input-addon/agent.json</x:v>
      </x:c>
      <x:c r="H17" s="252" t="str">
        <x:v>tested</x:v>
      </x:c>
      <x:c r="I17" s="252" t="str">
        <x:v>no</x:v>
      </x:c>
      <x:c r="J17" s="252" t="str">
        <x:v>2026-09-23</x:v>
      </x:c>
      <x:c r="K17" s="252" t="str"/>
      <x:c r="L17" s="252" t="n">
        <x:v>1</x:v>
      </x:c>
      <x:c r="M17" s="252" t="n">
        <x:f>IF(OR(AND(I17="yes",H17="verified"),AND(I17="no",OR(H17="tested",H17="verified")),AND(H17="not applicable",K17&lt;&gt;"")),1,0)</x:f>
        <x:v>1</x:v>
      </x:c>
    </x:row>
    <x:row r="18" ht="60" customHeight="1">
      <x:c r="A18" s="252" t="str">
        <x:v>IA-10</x:v>
      </x:c>
      <x:c r="B18" s="252" t="str">
        <x:v>Keyboard</x:v>
      </x:c>
      <x:c r="C18" s="252" t="str">
        <x:v>Root</x:v>
      </x:c>
      <x:c r="D18" s="252" t="str">
        <x:v>Addon is not a Tab stop; field labeling includes meaningful text.</x:v>
      </x:c>
      <x:c r="E18" s="252" t="str">
        <x:v>manual</x:v>
      </x:c>
      <x:c r="F18" s="252" t="str">
        <x:v>manual</x:v>
      </x:c>
      <x:c r="G18" s="252" t="str">
        <x:v>manual-tests/input-addon.md</x:v>
      </x:c>
      <x:c r="H18" s="252" t="str">
        <x:v>not started</x:v>
      </x:c>
      <x:c r="I18" s="252" t="str">
        <x:v>yes</x:v>
      </x:c>
      <x:c r="J18" s="252"/>
      <x:c r="K18" s="252" t="str">
        <x:v>Human review pending.</x:v>
      </x:c>
      <x:c r="L18" s="252" t="n">
        <x:v>1</x:v>
      </x:c>
      <x:c r="M18" s="252" t="n">
        <x:f>IF(OR(AND(I18="yes",H18="verified"),AND(I18="no",OR(H18="tested",H18="verified")),AND(H18="not applicable",K18&lt;&gt;"")),1,0)</x:f>
        <x:v>0</x:v>
      </x:c>
    </x:row>
    <x:row r="19" ht="60" customHeight="1">
      <x:c r="A19" s="252" t="str">
        <x:v>IA-11</x:v>
      </x:c>
      <x:c r="B19" s="252" t="str">
        <x:v>Reflow</x:v>
      </x:c>
      <x:c r="C19" s="252" t="str">
        <x:v>Root</x:v>
      </x:c>
      <x:c r="D19" s="252" t="str">
        <x:v>Zoom and physical-device layouts remain usable in both directions.</x:v>
      </x:c>
      <x:c r="E19" s="252" t="str">
        <x:v>manual</x:v>
      </x:c>
      <x:c r="F19" s="252" t="str">
        <x:v>manual</x:v>
      </x:c>
      <x:c r="G19" s="252" t="str">
        <x:v>manual-tests/input-addon.md</x:v>
      </x:c>
      <x:c r="H19" s="252" t="str">
        <x:v>not started</x:v>
      </x:c>
      <x:c r="I19" s="252" t="str">
        <x:v>yes</x:v>
      </x:c>
      <x:c r="J19" s="252"/>
      <x:c r="K19" s="252" t="str">
        <x:v>Human review pending.</x:v>
      </x:c>
      <x:c r="L19" s="252" t="n">
        <x:v>1</x:v>
      </x:c>
      <x:c r="M19" s="252" t="n">
        <x:f>IF(OR(AND(I19="yes",H19="verified"),AND(I19="no",OR(H19="tested",H19="verified")),AND(H19="not applicable",K19&lt;&gt;"")),1,0)</x:f>
        <x:v>0</x:v>
      </x:c>
    </x:row>
    <x:row r="20" ht="60" customHeight="1">
      <x:c r="A20" s="252" t="str">
        <x:v>IA-12</x:v>
      </x:c>
      <x:c r="B20" s="252" t="str">
        <x:v>Contrast</x:v>
      </x:c>
      <x:c r="C20" s="252" t="str">
        <x:v>Root</x:v>
      </x:c>
      <x:c r="D20" s="252" t="str">
        <x:v>Forced colors and appearances remain understandable.</x:v>
      </x:c>
      <x:c r="E20" s="252" t="str">
        <x:v>manual</x:v>
      </x:c>
      <x:c r="F20" s="252" t="str">
        <x:v>manual</x:v>
      </x:c>
      <x:c r="G20" s="252" t="str">
        <x:v>manual-tests/input-addon.md</x:v>
      </x:c>
      <x:c r="H20" s="252" t="str">
        <x:v>not started</x:v>
      </x:c>
      <x:c r="I20" s="252" t="str">
        <x:v>yes</x:v>
      </x:c>
      <x:c r="J20" s="252"/>
      <x:c r="K20" s="252" t="str">
        <x:v>Human review pending.</x:v>
      </x:c>
      <x:c r="L20" s="252" t="n">
        <x:v>1</x:v>
      </x:c>
      <x:c r="M20" s="252" t="n">
        <x:f>IF(OR(AND(I20="yes",H20="verified"),AND(I20="no",OR(H20="tested",H20="verified")),AND(H20="not applicable",K20&lt;&gt;"")),1,0)</x:f>
        <x:v>0</x:v>
      </x:c>
    </x:row>
    <x:row r="21" ht="60" customHeight="1">
      <x:c r="A21" s="252" t="str">
        <x:v>IA-13</x:v>
      </x:c>
      <x:c r="B21" s="252" t="str">
        <x:v>Consumer</x:v>
      </x:c>
      <x:c r="C21" s="252" t="str">
        <x:v>Root</x:v>
      </x:c>
      <x:c r="D21" s="252" t="str">
        <x:v>Packed composition works in React 18 and 19.</x:v>
      </x:c>
      <x:c r="E21" s="252" t="str">
        <x:v>consumer</x:v>
      </x:c>
      <x:c r="F21" s="252" t="str">
        <x:v>consumer</x:v>
      </x:c>
      <x:c r="G21" s="252" t="str">
        <x:v>../scripts/verify-consumers.mjs</x:v>
      </x:c>
      <x:c r="H21" s="252" t="str">
        <x:v>tested</x:v>
      </x:c>
      <x:c r="I21" s="252" t="str">
        <x:v>no</x:v>
      </x:c>
      <x:c r="J21" s="252" t="str">
        <x:v>2026-09-23</x:v>
      </x:c>
      <x:c r="K21" s="252" t="str"/>
      <x:c r="L21" s="252" t="n">
        <x:v>1</x:v>
      </x:c>
      <x:c r="M21" s="252" t="n">
        <x:f>IF(OR(AND(I21="yes",H21="verified"),AND(I21="no",OR(H21="tested",H21="verified")),AND(H21="not applicable",K21&lt;&gt;"")),1,0)</x:f>
        <x:v>1</x:v>
      </x:c>
    </x:row>
    <x:row r="22" ht="60" customHeight="1">
      <x:c r="A22" s="252" t="str">
        <x:v>IA-14</x:v>
      </x:c>
      <x:c r="B22" s="252" t="str">
        <x:v>Release</x:v>
      </x:c>
      <x:c r="C22" s="252" t="str">
        <x:v>Root</x:v>
      </x:c>
      <x:c r="D22" s="252" t="str">
        <x:v>Registry dependencies resolve all required exports.</x:v>
      </x:c>
      <x:c r="E22" s="252" t="str">
        <x:v>package</x:v>
      </x:c>
      <x:c r="F22" s="252" t="str">
        <x:v>package</x:v>
      </x:c>
      <x:c r="G22" s="252" t="str">
        <x:v>../scripts/verify-consumers.mjs</x:v>
      </x:c>
      <x:c r="H22" s="252" t="str">
        <x:v>blocked</x:v>
      </x:c>
      <x:c r="I22" s="252" t="str">
        <x:v>no</x:v>
      </x:c>
      <x:c r="J22" s="252"/>
      <x:c r="K22" s="252" t="str">
        <x:v>Local Atom candidate is unpublished.</x:v>
      </x:c>
      <x:c r="L22" s="252" t="n">
        <x:v>1</x:v>
      </x:c>
      <x:c r="M22" s="252" t="n">
        <x:f>IF(OR(AND(I22="yes",H22="verified"),AND(I22="no",OR(H22="tested",H22="verified")),AND(H22="not applicable",K22&lt;&gt;"")),1,0)</x:f>
        <x:v>0</x:v>
      </x:c>
    </x:row>
  </x:sheetData>
  <x:dataValidations count="2">
    <x:dataValidation type="list" sqref="H9:H22">
      <x:formula1>"not started,partial,implemented,tested,verified,blocked,not applicable"</x:formula1>
    </x:dataValidation>
    <x:dataValidation type="list" sqref="I9:I22">
      <x:formula1>"yes,no"</x:formula1>
    </x:dataValidation>
  </x:dataValidations>
  <x:pageMargins left="0.7" right="0.7" top="0.75" bottom="0.75" header="0.3" footer="0.3"/>
</x:worksheet>
</file>