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25.xml" ContentType="application/vnd.openxmlformats-officedocument.spreadsheetml.table+xml"/>
  <Override PartName="/xl/worksheets/sheet29.xml" ContentType="application/vnd.openxmlformats-officedocument.spreadsheetml.worksheet+xml"/>
  <Override PartName="/xl/tables/table26.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tables/table27.xml" ContentType="application/vnd.openxmlformats-officedocument.spreadsheetml.table+xml"/>
  <Override PartName="/xl/worksheets/sheet72.xml" ContentType="application/vnd.openxmlformats-officedocument.spreadsheetml.worksheet+xml"/>
  <Override PartName="/xl/tables/table28.xml" ContentType="application/vnd.openxmlformats-officedocument.spreadsheetml.table+xml"/>
  <Override PartName="/xl/worksheets/sheet73.xml" ContentType="application/vnd.openxmlformats-officedocument.spreadsheetml.worksheet+xml"/>
  <Override PartName="/xl/tables/table29.xml" ContentType="application/vnd.openxmlformats-officedocument.spreadsheetml.table+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tables/table30.xml" ContentType="application/vnd.openxmlformats-officedocument.spreadsheetml.table+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Index" sheetId="1" state="visible" r:id="rId1"/>
    <sheet xmlns:r="http://schemas.openxmlformats.org/officeDocument/2006/relationships" name="Instructions" sheetId="2" state="visible" r:id="rId2"/>
    <sheet xmlns:r="http://schemas.openxmlformats.org/officeDocument/2006/relationships" name="_Lists" sheetId="3" state="visible" r:id="rId3"/>
    <sheet xmlns:r="http://schemas.openxmlformats.org/officeDocument/2006/relationships" name="Alert Dialog" sheetId="4" state="visible" r:id="rId4"/>
    <sheet xmlns:r="http://schemas.openxmlformats.org/officeDocument/2006/relationships" name="App Bar" sheetId="5" state="visible" r:id="rId5"/>
    <sheet xmlns:r="http://schemas.openxmlformats.org/officeDocument/2006/relationships" name="Avatar" sheetId="6" state="visible" r:id="rId6"/>
    <sheet xmlns:r="http://schemas.openxmlformats.org/officeDocument/2006/relationships" name="Badge" sheetId="7" state="visible" r:id="rId7"/>
    <sheet xmlns:r="http://schemas.openxmlformats.org/officeDocument/2006/relationships" name="Button" sheetId="8" state="visible" r:id="rId8"/>
    <sheet xmlns:r="http://schemas.openxmlformats.org/officeDocument/2006/relationships" name="Card" sheetId="9" state="visible" r:id="rId9"/>
    <sheet xmlns:r="http://schemas.openxmlformats.org/officeDocument/2006/relationships" name="Checkbox" sheetId="10" state="visible" r:id="rId10"/>
    <sheet xmlns:r="http://schemas.openxmlformats.org/officeDocument/2006/relationships" name="Checkbox Group" sheetId="11" state="visible" r:id="rId11"/>
    <sheet xmlns:r="http://schemas.openxmlformats.org/officeDocument/2006/relationships" name="Dialog" sheetId="12" state="visible" r:id="rId12"/>
    <sheet xmlns:r="http://schemas.openxmlformats.org/officeDocument/2006/relationships" name="Drawer" sheetId="13" state="visible" r:id="rId13"/>
    <sheet xmlns:r="http://schemas.openxmlformats.org/officeDocument/2006/relationships" name="Field" sheetId="14" state="visible" r:id="rId14"/>
    <sheet xmlns:r="http://schemas.openxmlformats.org/officeDocument/2006/relationships" name="Fieldset" sheetId="15" state="visible" r:id="rId15"/>
    <sheet xmlns:r="http://schemas.openxmlformats.org/officeDocument/2006/relationships" name="Form" sheetId="16" state="visible" r:id="rId16"/>
    <sheet xmlns:r="http://schemas.openxmlformats.org/officeDocument/2006/relationships" name="Hover Card" sheetId="17" state="visible" r:id="rId17"/>
    <sheet xmlns:r="http://schemas.openxmlformats.org/officeDocument/2006/relationships" name="Icon Button" sheetId="18" state="visible" r:id="rId18"/>
    <sheet xmlns:r="http://schemas.openxmlformats.org/officeDocument/2006/relationships" name="Input" sheetId="19" state="visible" r:id="rId19"/>
    <sheet xmlns:r="http://schemas.openxmlformats.org/officeDocument/2006/relationships" name="Link" sheetId="20" state="visible" r:id="rId20"/>
    <sheet xmlns:r="http://schemas.openxmlformats.org/officeDocument/2006/relationships" name="Text" sheetId="21" state="visible" r:id="rId21"/>
    <sheet xmlns:r="http://schemas.openxmlformats.org/officeDocument/2006/relationships" name="Notification Badge" sheetId="22" state="visible" r:id="rId22"/>
    <sheet xmlns:r="http://schemas.openxmlformats.org/officeDocument/2006/relationships" name="Popover" sheetId="23" state="visible" r:id="rId23"/>
    <sheet xmlns:r="http://schemas.openxmlformats.org/officeDocument/2006/relationships" name="Toggle" sheetId="24" state="visible" r:id="rId24"/>
    <sheet xmlns:r="http://schemas.openxmlformats.org/officeDocument/2006/relationships" name="Toggle Group" sheetId="25" state="visible" r:id="rId25"/>
    <sheet xmlns:r="http://schemas.openxmlformats.org/officeDocument/2006/relationships" name="Stack" sheetId="26" state="visible" r:id="rId26"/>
    <sheet xmlns:r="http://schemas.openxmlformats.org/officeDocument/2006/relationships" name="Group" sheetId="27" state="visible" r:id="rId27"/>
    <sheet xmlns:r="http://schemas.openxmlformats.org/officeDocument/2006/relationships" name="Tooltip" sheetId="28" state="visible" r:id="rId28"/>
    <sheet xmlns:r="http://schemas.openxmlformats.org/officeDocument/2006/relationships" name="Grid" sheetId="29" state="visible" r:id="rId29"/>
    <sheet xmlns:r="http://schemas.openxmlformats.org/officeDocument/2006/relationships" name="Container" sheetId="30" state="visible" r:id="rId30"/>
    <sheet xmlns:r="http://schemas.openxmlformats.org/officeDocument/2006/relationships" name="Surface" sheetId="31" state="visible" r:id="rId31"/>
    <sheet xmlns:r="http://schemas.openxmlformats.org/officeDocument/2006/relationships" name="Divider" sheetId="32" state="visible" r:id="rId32"/>
    <sheet xmlns:r="http://schemas.openxmlformats.org/officeDocument/2006/relationships" name="Scroll Area" sheetId="33" state="visible" r:id="rId33"/>
    <sheet xmlns:r="http://schemas.openxmlformats.org/officeDocument/2006/relationships" name="Code" sheetId="34" state="visible" r:id="rId34"/>
    <sheet xmlns:r="http://schemas.openxmlformats.org/officeDocument/2006/relationships" name="Code Block" sheetId="35" state="visible" r:id="rId35"/>
    <sheet xmlns:r="http://schemas.openxmlformats.org/officeDocument/2006/relationships" name="Nav List" sheetId="36" state="visible" r:id="rId36"/>
    <sheet xmlns:r="http://schemas.openxmlformats.org/officeDocument/2006/relationships" name="Sidebar" sheetId="37" state="visible" r:id="rId37"/>
    <sheet xmlns:r="http://schemas.openxmlformats.org/officeDocument/2006/relationships" name="Icon" sheetId="38" state="visible" r:id="rId38"/>
    <sheet xmlns:r="http://schemas.openxmlformats.org/officeDocument/2006/relationships" name="Image" sheetId="39" state="visible" r:id="rId39"/>
    <sheet xmlns:r="http://schemas.openxmlformats.org/officeDocument/2006/relationships" name="List" sheetId="40" state="visible" r:id="rId40"/>
    <sheet xmlns:r="http://schemas.openxmlformats.org/officeDocument/2006/relationships" name="Select" sheetId="41" state="visible" r:id="rId41"/>
    <sheet xmlns:r="http://schemas.openxmlformats.org/officeDocument/2006/relationships" name="Multi Select" sheetId="42" state="visible" r:id="rId42"/>
    <sheet xmlns:r="http://schemas.openxmlformats.org/officeDocument/2006/relationships" name="Textarea" sheetId="43" state="visible" r:id="rId43"/>
    <sheet xmlns:r="http://schemas.openxmlformats.org/officeDocument/2006/relationships" name="Radio Group" sheetId="44" state="visible" r:id="rId44"/>
    <sheet xmlns:r="http://schemas.openxmlformats.org/officeDocument/2006/relationships" name="Switch" sheetId="45" state="visible" r:id="rId45"/>
    <sheet xmlns:r="http://schemas.openxmlformats.org/officeDocument/2006/relationships" name="Breadcrumb" sheetId="46" state="visible" r:id="rId46"/>
    <sheet xmlns:r="http://schemas.openxmlformats.org/officeDocument/2006/relationships" name="Tabs" sheetId="47" state="visible" r:id="rId47"/>
    <sheet xmlns:r="http://schemas.openxmlformats.org/officeDocument/2006/relationships" name="Skeleton" sheetId="48" state="visible" r:id="rId48"/>
    <sheet xmlns:r="http://schemas.openxmlformats.org/officeDocument/2006/relationships" name="Dropdown Menu" sheetId="49" state="visible" r:id="rId49"/>
    <sheet xmlns:r="http://schemas.openxmlformats.org/officeDocument/2006/relationships" name="Context Menu" sheetId="50" state="visible" r:id="rId50"/>
    <sheet xmlns:r="http://schemas.openxmlformats.org/officeDocument/2006/relationships" name="Menubar" sheetId="51" state="visible" r:id="rId51"/>
    <sheet xmlns:r="http://schemas.openxmlformats.org/officeDocument/2006/relationships" name="Navigation Menu" sheetId="52" state="visible" r:id="rId52"/>
    <sheet xmlns:r="http://schemas.openxmlformats.org/officeDocument/2006/relationships" name="Bottom Navigation" sheetId="53" state="visible" r:id="rId53"/>
    <sheet xmlns:r="http://schemas.openxmlformats.org/officeDocument/2006/relationships" name="Visually Hidden" sheetId="54" state="visible" r:id="rId54"/>
    <sheet xmlns:r="http://schemas.openxmlformats.org/officeDocument/2006/relationships" name="Collapsible" sheetId="55" state="visible" r:id="rId55"/>
    <sheet xmlns:r="http://schemas.openxmlformats.org/officeDocument/2006/relationships" name="Accordion" sheetId="56" state="visible" r:id="rId56"/>
    <sheet xmlns:r="http://schemas.openxmlformats.org/officeDocument/2006/relationships" name="Toast" sheetId="57" state="visible" r:id="rId57"/>
    <sheet xmlns:r="http://schemas.openxmlformats.org/officeDocument/2006/relationships" name="Table" sheetId="58" state="visible" r:id="rId58"/>
    <sheet xmlns:r="http://schemas.openxmlformats.org/officeDocument/2006/relationships" name="Pagination" sheetId="59" state="visible" r:id="rId59"/>
    <sheet xmlns:r="http://schemas.openxmlformats.org/officeDocument/2006/relationships" name="Data Grid" sheetId="60" state="visible" r:id="rId60"/>
    <sheet xmlns:r="http://schemas.openxmlformats.org/officeDocument/2006/relationships" name="Tree Grid" sheetId="61" state="visible" r:id="rId61"/>
    <sheet xmlns:r="http://schemas.openxmlformats.org/officeDocument/2006/relationships" name="Tree" sheetId="62" state="visible" r:id="rId62"/>
    <sheet xmlns:r="http://schemas.openxmlformats.org/officeDocument/2006/relationships" name="Feed" sheetId="63" state="visible" r:id="rId63"/>
    <sheet xmlns:r="http://schemas.openxmlformats.org/officeDocument/2006/relationships" name="Aspect Ratio" sheetId="64" state="visible" r:id="rId64"/>
    <sheet xmlns:r="http://schemas.openxmlformats.org/officeDocument/2006/relationships" name="Toolbar" sheetId="65" state="visible" r:id="rId65"/>
    <sheet xmlns:r="http://schemas.openxmlformats.org/officeDocument/2006/relationships" name="Chip" sheetId="66" state="visible" r:id="rId66"/>
    <sheet xmlns:r="http://schemas.openxmlformats.org/officeDocument/2006/relationships" name="Combobox" sheetId="67" state="visible" r:id="rId67"/>
    <sheet xmlns:r="http://schemas.openxmlformats.org/officeDocument/2006/relationships" name="Number Input" sheetId="68" state="visible" r:id="rId68"/>
    <sheet xmlns:r="http://schemas.openxmlformats.org/officeDocument/2006/relationships" name="OTP Field" sheetId="69" state="visible" r:id="rId69"/>
    <sheet xmlns:r="http://schemas.openxmlformats.org/officeDocument/2006/relationships" name="Password Toggle Field" sheetId="70" state="visible" r:id="rId70"/>
    <sheet xmlns:r="http://schemas.openxmlformats.org/officeDocument/2006/relationships" name="Slider" sheetId="71" state="visible" r:id="rId71"/>
    <sheet xmlns:r="http://schemas.openxmlformats.org/officeDocument/2006/relationships" name="Rating" sheetId="72" state="visible" r:id="rId72"/>
    <sheet xmlns:r="http://schemas.openxmlformats.org/officeDocument/2006/relationships" name="File Upload" sheetId="73" state="visible" r:id="rId73"/>
    <sheet xmlns:r="http://schemas.openxmlformats.org/officeDocument/2006/relationships" name="Skip Link" sheetId="74" state="visible" r:id="rId74"/>
    <sheet xmlns:r="http://schemas.openxmlformats.org/officeDocument/2006/relationships" name="Show" sheetId="75" state="visible" r:id="rId75"/>
    <sheet xmlns:r="http://schemas.openxmlformats.org/officeDocument/2006/relationships" name="Hide" sheetId="76" state="visible" r:id="rId76"/>
    <sheet xmlns:r="http://schemas.openxmlformats.org/officeDocument/2006/relationships" name="Swipeable Item" sheetId="77" state="visible" r:id="rId77"/>
    <sheet xmlns:r="http://schemas.openxmlformats.org/officeDocument/2006/relationships" name="Progress" sheetId="78" state="visible" r:id="rId78"/>
    <sheet xmlns:r="http://schemas.openxmlformats.org/officeDocument/2006/relationships" name="Progress Circle" sheetId="79" state="visible" r:id="rId79"/>
    <sheet xmlns:r="http://schemas.openxmlformats.org/officeDocument/2006/relationships" name="Carousel" sheetId="80" state="visible" r:id="rId80"/>
    <sheet xmlns:r="http://schemas.openxmlformats.org/officeDocument/2006/relationships" name="ZStack" sheetId="81" state="visible" r:id="rId81"/>
    <sheet xmlns:r="http://schemas.openxmlformats.org/officeDocument/2006/relationships" name="Appearance" sheetId="82" state="visible" r:id="rId82"/>
    <sheet xmlns:r="http://schemas.openxmlformats.org/officeDocument/2006/relationships" name="Frame" sheetId="83" state="visible" r:id="rId83"/>
    <sheet xmlns:r="http://schemas.openxmlformats.org/officeDocument/2006/relationships" name="Section" sheetId="84" state="visible" r:id="rId84"/>
    <sheet xmlns:r="http://schemas.openxmlformats.org/officeDocument/2006/relationships" name="Reorderable List" sheetId="85" state="visible" r:id="rId85"/>
    <sheet xmlns:r="http://schemas.openxmlformats.org/officeDocument/2006/relationships" name="Color Swatch" sheetId="86" state="visible" r:id="rId86"/>
    <sheet xmlns:r="http://schemas.openxmlformats.org/officeDocument/2006/relationships" name="Bleed" sheetId="87" state="visible" r:id="rId87"/>
    <sheet xmlns:r="http://schemas.openxmlformats.org/officeDocument/2006/relationships" name="Data List" sheetId="88" state="visible" r:id="rId88"/>
    <sheet xmlns:r="http://schemas.openxmlformats.org/officeDocument/2006/relationships" name="Link Box" sheetId="89" state="visible" r:id="rId89"/>
    <sheet xmlns:r="http://schemas.openxmlformats.org/officeDocument/2006/relationships" name="Segment Group" sheetId="90" state="visible" r:id="rId90"/>
    <sheet xmlns:r="http://schemas.openxmlformats.org/officeDocument/2006/relationships" name="Status" sheetId="91" state="visible" r:id="rId91"/>
    <sheet xmlns:r="http://schemas.openxmlformats.org/officeDocument/2006/relationships" name="Color Picker" sheetId="92" state="visible" r:id="rId92"/>
    <sheet xmlns:r="http://schemas.openxmlformats.org/officeDocument/2006/relationships" name="Em" sheetId="93" state="visible" r:id="rId93"/>
    <sheet xmlns:r="http://schemas.openxmlformats.org/officeDocument/2006/relationships" name="Mark" sheetId="94" state="visible" r:id="rId94"/>
    <sheet xmlns:r="http://schemas.openxmlformats.org/officeDocument/2006/relationships" name="Kbd" sheetId="95" state="visible" r:id="rId95"/>
    <sheet xmlns:r="http://schemas.openxmlformats.org/officeDocument/2006/relationships" name="Blockquote" sheetId="96" state="visible" r:id="rId96"/>
    <sheet xmlns:r="http://schemas.openxmlformats.org/officeDocument/2006/relationships" name="Highlight" sheetId="97" state="visible" r:id="rId97"/>
    <sheet xmlns:r="http://schemas.openxmlformats.org/officeDocument/2006/relationships" name="Prose" sheetId="98" state="visible" r:id="rId98"/>
  </sheets>
  <definedNames/>
  <calcPr calcId="124519" calcMode="auto" fullCalcOnLoad="1" refMode="A1" iterate="0" iterateCount="100" iterateDelta="0.001" forceFullCalc="1"/>
</workbook>
</file>

<file path=xl/styles.xml><?xml version="1.0" encoding="utf-8"?>
<styleSheet xmlns="http://schemas.openxmlformats.org/spreadsheetml/2006/main">
  <numFmts count="2">
    <numFmt numFmtId="164" formatCode="yyyy\-mm\-dd"/>
    <numFmt numFmtId="165" formatCode="yyyy\-mm\-dd\ h:mm:ss"/>
  </numFmts>
  <fonts count="18">
    <font>
      <name val="Arial"/>
      <charset val="1"/>
      <family val="2"/>
      <sz val="10"/>
    </font>
    <font>
      <name val="Arial"/>
      <family val="0"/>
      <sz val="10"/>
    </font>
    <font>
      <name val="Arial"/>
      <family val="0"/>
      <sz val="10"/>
    </font>
    <font>
      <name val="Arial"/>
      <family val="0"/>
      <sz val="10"/>
    </font>
    <font>
      <name val="Calibri"/>
      <charset val="1"/>
      <family val="0"/>
      <color theme="1"/>
      <sz val="11"/>
    </font>
    <font>
      <name val="Aptos Display"/>
      <charset val="1"/>
      <family val="0"/>
      <b val="1"/>
      <color rgb="FFFFFFFF"/>
      <sz val="22"/>
    </font>
    <font>
      <name val="Aptos"/>
      <charset val="1"/>
      <family val="0"/>
      <color rgb="FF5E6B7C"/>
      <sz val="10"/>
    </font>
    <font>
      <name val="Aptos"/>
      <charset val="1"/>
      <family val="0"/>
      <b val="1"/>
      <color rgb="FF5E6B7C"/>
      <sz val="9"/>
    </font>
    <font>
      <name val="Aptos Display"/>
      <charset val="1"/>
      <family val="0"/>
      <b val="1"/>
      <color rgb="FF172033"/>
      <sz val="14"/>
    </font>
    <font>
      <name val="Calibri"/>
      <charset val="1"/>
      <family val="0"/>
      <color rgb="FF1F2937"/>
      <sz val="9"/>
    </font>
    <font>
      <name val="Aptos Display"/>
      <charset val="1"/>
      <family val="0"/>
      <b val="1"/>
      <color rgb="FFFFFFFF"/>
      <sz val="18"/>
    </font>
    <font>
      <name val="Aptos"/>
      <charset val="1"/>
      <family val="0"/>
      <color rgb="FF64748B"/>
      <sz val="9"/>
    </font>
    <font>
      <name val="Aptos"/>
      <charset val="1"/>
      <family val="0"/>
      <b val="1"/>
      <color rgb="FF64748B"/>
      <sz val="9"/>
    </font>
    <font>
      <name val="Aptos Display"/>
      <charset val="1"/>
      <family val="0"/>
      <b val="1"/>
      <color rgb="FF172033"/>
      <sz val="12"/>
    </font>
    <font>
      <name val="Calibri"/>
      <charset val="1"/>
      <family val="0"/>
      <color rgb="FF64748B"/>
      <sz val="9"/>
    </font>
    <font>
      <name val="Calibri"/>
      <charset val="1"/>
      <family val="0"/>
      <b val="1"/>
      <color rgb="FFFFFFFF"/>
      <sz val="9"/>
    </font>
    <font>
      <name val="Calibri"/>
      <charset val="1"/>
      <family val="0"/>
      <b val="1"/>
      <color rgb="FFFFFFFF"/>
      <sz val="18"/>
    </font>
    <font>
      <name val="Calibri"/>
      <charset val="1"/>
      <family val="0"/>
      <b val="1"/>
      <color rgb="FF172033"/>
      <sz val="12"/>
    </font>
  </fonts>
  <fills count="6">
    <fill>
      <patternFill/>
    </fill>
    <fill>
      <patternFill patternType="gray125"/>
    </fill>
    <fill>
      <patternFill patternType="solid">
        <fgColor rgb="FF172033"/>
        <bgColor rgb="FF1F2937"/>
      </patternFill>
    </fill>
    <fill>
      <patternFill patternType="solid">
        <fgColor rgb="FF4F86C6"/>
        <bgColor rgb="FF64748B"/>
      </patternFill>
    </fill>
    <fill>
      <patternFill patternType="solid">
        <fgColor rgb="FFDCEAFB"/>
        <bgColor rgb="FFDDEBFF"/>
      </patternFill>
    </fill>
    <fill>
      <patternFill patternType="solid">
        <fgColor rgb="FFEEF2F7"/>
        <bgColor rgb="FFEAF0FF"/>
      </patternFill>
    </fill>
  </fills>
  <borders count="2">
    <border>
      <left/>
      <right/>
      <top/>
      <bottom/>
      <diagonal/>
    </border>
    <border>
      <left style="thin">
        <color rgb="FFC9D8EC"/>
      </left>
      <right style="thin">
        <color rgb="FFC9D8EC"/>
      </right>
      <top style="thin">
        <color rgb="FFC9D8EC"/>
      </top>
      <bottom style="thin">
        <color rgb="FFC9D8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9" fontId="4" fillId="0" borderId="0" applyAlignment="1" pivotButton="0" quotePrefix="0" xfId="0">
      <alignment horizontal="general" vertical="bottom"/>
    </xf>
    <xf numFmtId="0" fontId="5" fillId="2" borderId="0" applyAlignment="1" pivotButton="0" quotePrefix="0" xfId="0">
      <alignment horizontal="general" vertical="center"/>
    </xf>
    <xf numFmtId="0" fontId="6" fillId="0"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1" applyAlignment="1" pivotButton="0" quotePrefix="0" xfId="0">
      <alignment horizontal="general" vertical="center"/>
    </xf>
    <xf numFmtId="9" fontId="9" fillId="0" borderId="1" applyAlignment="1" pivotButton="0" quotePrefix="0" xfId="0">
      <alignment horizontal="general" vertical="center"/>
    </xf>
    <xf numFmtId="164" fontId="4"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general" vertical="center" wrapText="1"/>
    </xf>
    <xf numFmtId="164" fontId="4" fillId="0" borderId="0" applyAlignment="1" pivotButton="0" quotePrefix="0" xfId="0">
      <alignment horizontal="general" vertical="center"/>
    </xf>
    <xf numFmtId="0" fontId="10" fillId="2" borderId="0" applyAlignment="1" pivotButton="0" quotePrefix="0" xfId="0">
      <alignment horizontal="general" vertical="center"/>
    </xf>
    <xf numFmtId="0" fontId="11" fillId="0" borderId="0" applyAlignment="1" pivotButton="0" quotePrefix="0" xfId="0">
      <alignment horizontal="general" vertical="center"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3" fillId="0" borderId="0" applyAlignment="1" pivotButton="0" quotePrefix="0" xfId="0">
      <alignment horizontal="general" vertical="bottom"/>
    </xf>
    <xf numFmtId="0" fontId="15" fillId="3" borderId="0" applyAlignment="1" pivotButton="0" quotePrefix="0" xfId="0">
      <alignment horizontal="general" vertical="center"/>
    </xf>
    <xf numFmtId="164" fontId="15" fillId="3" borderId="0" applyAlignment="1" pivotButton="0" quotePrefix="0" xfId="0">
      <alignment horizontal="general" vertical="center"/>
    </xf>
    <xf numFmtId="0" fontId="9" fillId="0" borderId="1" applyAlignment="1" pivotButton="0" quotePrefix="0" xfId="0">
      <alignment horizontal="general" vertical="center" wrapText="1"/>
    </xf>
    <xf numFmtId="0" fontId="9" fillId="4" borderId="1" applyAlignment="1" pivotButton="0" quotePrefix="0" xfId="0">
      <alignment horizontal="general" vertical="center" wrapText="1"/>
    </xf>
    <xf numFmtId="164" fontId="9" fillId="0" borderId="1" applyAlignment="1" pivotButton="0" quotePrefix="0" xfId="0">
      <alignment horizontal="general" vertical="center" wrapText="1"/>
    </xf>
    <xf numFmtId="0" fontId="9" fillId="0" borderId="1" applyAlignment="1" pivotButton="0" quotePrefix="0" xfId="0">
      <alignment horizontal="center" vertical="center" wrapText="1"/>
    </xf>
    <xf numFmtId="0" fontId="9" fillId="5" borderId="1" applyAlignment="1" pivotButton="0" quotePrefix="0" xfId="0">
      <alignment horizontal="general" vertical="center" wrapText="1"/>
    </xf>
    <xf numFmtId="165" fontId="0" fillId="0" borderId="0" applyAlignment="1" pivotButton="0" quotePrefix="0" xfId="0">
      <alignment horizontal="general" vertical="bottom"/>
    </xf>
    <xf numFmtId="165" fontId="4" fillId="0" borderId="0" applyAlignment="1" pivotButton="0" quotePrefix="0" xfId="0">
      <alignment horizontal="general" vertical="bottom"/>
    </xf>
    <xf numFmtId="0" fontId="0" fillId="0" borderId="0" applyAlignment="1" pivotButton="0" quotePrefix="0" xfId="0">
      <alignment horizontal="general" vertical="bottom"/>
    </xf>
    <xf numFmtId="0" fontId="16" fillId="2" borderId="0" applyAlignment="1" pivotButton="0" quotePrefix="0" xfId="0">
      <alignment horizontal="general" vertical="center"/>
    </xf>
    <xf numFmtId="0" fontId="17" fillId="0" borderId="0" applyAlignment="1" pivotButton="0" quotePrefix="0" xfId="0">
      <alignment horizontal="general" vertical="bottom"/>
    </xf>
    <xf numFmtId="0" fontId="4" fillId="0" borderId="0" applyAlignment="1" pivotButton="0" quotePrefix="0" xfId="0">
      <alignment horizontal="general" vertical="bottom"/>
    </xf>
    <xf numFmtId="9" fontId="4" fillId="0" borderId="0" applyAlignment="1" pivotButton="0" quotePrefix="0" xfId="0">
      <alignment horizontal="general" vertical="bottom"/>
    </xf>
    <xf numFmtId="0" fontId="0" fillId="0" borderId="0" pivotButton="0" quotePrefix="0" xfId="0"/>
    <xf numFmtId="0" fontId="5" fillId="2" borderId="0" applyAlignment="1" pivotButton="0" quotePrefix="0" xfId="0">
      <alignment horizontal="general" vertical="center"/>
    </xf>
    <xf numFmtId="0" fontId="6" fillId="0" borderId="0" applyAlignment="1" pivotButton="0" quotePrefix="0" xfId="0">
      <alignment horizontal="general" vertical="center"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1" applyAlignment="1" pivotButton="0" quotePrefix="0" xfId="0">
      <alignment horizontal="general" vertical="center"/>
    </xf>
    <xf numFmtId="9" fontId="9" fillId="0" borderId="1" applyAlignment="1" pivotButton="0" quotePrefix="0" xfId="0">
      <alignment horizontal="general" vertical="center"/>
    </xf>
    <xf numFmtId="164" fontId="4"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general" vertical="center" wrapText="1"/>
    </xf>
    <xf numFmtId="164" fontId="4" fillId="0" borderId="0" applyAlignment="1" pivotButton="0" quotePrefix="0" xfId="0">
      <alignment horizontal="general" vertical="center"/>
    </xf>
    <xf numFmtId="0" fontId="10" fillId="2" borderId="0" applyAlignment="1" pivotButton="0" quotePrefix="0" xfId="0">
      <alignment horizontal="general" vertical="center"/>
    </xf>
    <xf numFmtId="0" fontId="11" fillId="0" borderId="0" applyAlignment="1" pivotButton="0" quotePrefix="0" xfId="0">
      <alignment horizontal="general" vertical="center"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3" fillId="0" borderId="0" applyAlignment="1" pivotButton="0" quotePrefix="0" xfId="0">
      <alignment horizontal="general" vertical="bottom"/>
    </xf>
    <xf numFmtId="0" fontId="15" fillId="3" borderId="0" applyAlignment="1" pivotButton="0" quotePrefix="0" xfId="0">
      <alignment horizontal="general" vertical="center"/>
    </xf>
    <xf numFmtId="164" fontId="15" fillId="3" borderId="0" applyAlignment="1" pivotButton="0" quotePrefix="0" xfId="0">
      <alignment horizontal="general" vertical="center"/>
    </xf>
    <xf numFmtId="0" fontId="9" fillId="0" borderId="1" applyAlignment="1" pivotButton="0" quotePrefix="0" xfId="0">
      <alignment horizontal="general" vertical="center" wrapText="1"/>
    </xf>
    <xf numFmtId="0" fontId="9" fillId="4" borderId="1" applyAlignment="1" pivotButton="0" quotePrefix="0" xfId="0">
      <alignment horizontal="general" vertical="center" wrapText="1"/>
    </xf>
    <xf numFmtId="164" fontId="9" fillId="0" borderId="1" applyAlignment="1" pivotButton="0" quotePrefix="0" xfId="0">
      <alignment horizontal="general" vertical="center" wrapText="1"/>
    </xf>
    <xf numFmtId="0" fontId="9" fillId="0" borderId="1" applyAlignment="1" pivotButton="0" quotePrefix="0" xfId="0">
      <alignment horizontal="center" vertical="center" wrapText="1"/>
    </xf>
    <xf numFmtId="0" fontId="9" fillId="5" borderId="1" applyAlignment="1" pivotButton="0" quotePrefix="0" xfId="0">
      <alignment horizontal="general" vertical="center" wrapText="1"/>
    </xf>
    <xf numFmtId="165" fontId="0" fillId="0" borderId="0" applyAlignment="1" pivotButton="0" quotePrefix="0" xfId="0">
      <alignment horizontal="general" vertical="bottom"/>
    </xf>
    <xf numFmtId="165" fontId="4" fillId="0" borderId="0" applyAlignment="1" pivotButton="0" quotePrefix="0" xfId="0">
      <alignment horizontal="general" vertical="bottom"/>
    </xf>
    <xf numFmtId="0" fontId="0" fillId="0" borderId="0" applyAlignment="1" pivotButton="0" quotePrefix="0" xfId="0">
      <alignment horizontal="general" vertical="bottom"/>
    </xf>
    <xf numFmtId="0" fontId="16" fillId="2" borderId="0" applyAlignment="1" pivotButton="0" quotePrefix="0" xfId="0">
      <alignment horizontal="general" vertical="center"/>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bgColor rgb="FF000000"/>
        </patternFill>
      </fill>
    </dxf>
    <dxf>
      <fill>
        <patternFill patternType="solid">
          <fgColor rgb="FF000000"/>
          <bgColor rgb="FF000000"/>
        </patternFill>
      </fill>
    </dxf>
    <dxf>
      <fill>
        <patternFill patternType="solid">
          <fgColor rgb="FF1F2937"/>
          <bgColor rgb="FF000000"/>
        </patternFill>
      </fill>
    </dxf>
    <dxf>
      <fill>
        <patternFill patternType="solid">
          <fgColor rgb="FFE8F5EE"/>
          <bgColor rgb="FF000000"/>
        </patternFill>
      </fill>
    </dxf>
    <dxf>
      <fill>
        <patternFill>
          <bgColor rgb="FFE8F5EE"/>
        </patternFill>
      </fill>
    </dxf>
    <dxf>
      <fill>
        <patternFill patternType="solid">
          <fgColor rgb="FFDDEBFF"/>
          <bgColor rgb="FF000000"/>
        </patternFill>
      </fill>
    </dxf>
    <dxf>
      <fill>
        <patternFill>
          <bgColor rgb="FFF4F6F8"/>
        </patternFill>
      </fill>
    </dxf>
    <dxf>
      <fill>
        <patternFill>
          <bgColor rgb="FFFFF4D6"/>
        </patternFill>
      </fill>
    </dxf>
    <dxf>
      <fill>
        <patternFill>
          <bgColor rgb="FFEAF0FF"/>
        </patternFill>
      </fill>
    </dxf>
    <dxf>
      <fill>
        <patternFill>
          <bgColor rgb="FFDDEBFF"/>
        </patternFill>
      </fill>
    </dxf>
    <dxf>
      <fill>
        <patternFill>
          <bgColor rgb="FFFDEBEC"/>
        </patternFill>
      </fill>
    </dxf>
    <dxf>
      <fill>
        <patternFill patternType="solid">
          <fgColor rgb="FFEAF0FF"/>
          <bgColor rgb="FF000000"/>
        </patternFill>
      </fill>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AF0FF"/>
      <rgbColor rgb="FF64748B"/>
      <rgbColor rgb="FF8067DC"/>
      <rgbColor rgb="FF993366"/>
      <rgbColor rgb="FFFFF4D6"/>
      <rgbColor rgb="FFDDEBFF"/>
      <rgbColor rgb="FF660066"/>
      <rgbColor rgb="FFFF8080"/>
      <rgbColor rgb="FF0066CC"/>
      <rgbColor rgb="FFC9D8EC"/>
      <rgbColor rgb="FF000080"/>
      <rgbColor rgb="FFFF00FF"/>
      <rgbColor rgb="FFFFFF00"/>
      <rgbColor rgb="FF00FFFF"/>
      <rgbColor rgb="FF800080"/>
      <rgbColor rgb="FF800000"/>
      <rgbColor rgb="FF008080"/>
      <rgbColor rgb="FF0000FF"/>
      <rgbColor rgb="FF00CCFF"/>
      <rgbColor rgb="FFE8F5EE"/>
      <rgbColor rgb="FFDCEAFB"/>
      <rgbColor rgb="FFFDEBEC"/>
      <rgbColor rgb="FFF4F6F8"/>
      <rgbColor rgb="FFFF99CC"/>
      <rgbColor rgb="FFCC99FF"/>
      <rgbColor rgb="FFEEF2F7"/>
      <rgbColor rgb="FF4F86C6"/>
      <rgbColor rgb="FF33CCCC"/>
      <rgbColor rgb="FF99CC00"/>
      <rgbColor rgb="FFFFCC00"/>
      <rgbColor rgb="FFFF9900"/>
      <rgbColor rgb="FFFF6600"/>
      <rgbColor rgb="FF5E6B7C"/>
      <rgbColor rgb="FF969696"/>
      <rgbColor rgb="FF172033"/>
      <rgbColor rgb="FF339966"/>
      <rgbColor rgb="FF003300"/>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styles" Target="styles.xml" Id="rId99"/><Relationship Type="http://schemas.openxmlformats.org/officeDocument/2006/relationships/theme" Target="theme/theme1.xml" Id="rId100"/></Relationships>
</file>

<file path=xl/tables/table1.xml><?xml version="1.0" encoding="utf-8"?>
<table xmlns="http://schemas.openxmlformats.org/spreadsheetml/2006/main" id="1" name="CoverageIndex" displayName="CoverageIndex" ref="A7:M89" headerRowCount="1" totalsRowCount="0" totalsRowShown="0">
  <autoFilter ref="A7:M89"/>
  <tableColumns count="13">
    <tableColumn id="1" name="Component"/>
    <tableColumn id="2" name="Requirements"/>
    <tableColumn id="3" name="Not started"/>
    <tableColumn id="4" name="Partial"/>
    <tableColumn id="5" name="Implemented"/>
    <tableColumn id="6" name="Tested"/>
    <tableColumn id="7" name="Verified"/>
    <tableColumn id="8" name="Blocked"/>
    <tableColumn id="9" name="N/A"/>
    <tableColumn id="10" name="Completion"/>
    <tableColumn id="11" name="Package gate"/>
    <tableColumn id="12" name="Consumer gate"/>
    <tableColumn id="13" name="Overall"/>
  </tableColumns>
</table>
</file>

<file path=xl/tables/table2.xml><?xml version="1.0" encoding="utf-8"?>
<table xmlns="http://schemas.openxmlformats.org/spreadsheetml/2006/main" id="2" name="InstructionsTable" displayName="InstructionsTable" ref="A3:B15" headerRowCount="1" totalsRowCount="0" totalsRowShown="0">
  <autoFilter ref="A3:B15"/>
  <tableColumns count="2">
    <tableColumn id="1" name="Topic"/>
    <tableColumn id="2" name="Rule"/>
  </tableColumns>
</table>
</file>

<file path=xl/tables/table3.xml><?xml version="1.0" encoding="utf-8"?>
<table xmlns="http://schemas.openxmlformats.org/spreadsheetml/2006/main" id="3" name="AlertDialogEvidence" displayName="AlertDialog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4.xml><?xml version="1.0" encoding="utf-8"?>
<table xmlns="http://schemas.openxmlformats.org/spreadsheetml/2006/main" id="4" name="AppBarEvidence" displayName="AppBar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5.xml><?xml version="1.0" encoding="utf-8"?>
<table xmlns="http://schemas.openxmlformats.org/spreadsheetml/2006/main" id="5" name="AvatarEvidence" displayName="Avatar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6.xml><?xml version="1.0" encoding="utf-8"?>
<table xmlns="http://schemas.openxmlformats.org/spreadsheetml/2006/main" id="6" name="BadgeEvidence" displayName="Badge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7.xml><?xml version="1.0" encoding="utf-8"?>
<table xmlns="http://schemas.openxmlformats.org/spreadsheetml/2006/main" id="7" name="ButtonEvidence" displayName="Button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8.xml><?xml version="1.0" encoding="utf-8"?>
<table xmlns="http://schemas.openxmlformats.org/spreadsheetml/2006/main" id="8" name="CardEvidence" displayName="Card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9.xml><?xml version="1.0" encoding="utf-8"?>
<table xmlns="http://schemas.openxmlformats.org/spreadsheetml/2006/main" id="9" name="CheckboxEvidence" displayName="Checkbox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0.xml><?xml version="1.0" encoding="utf-8"?>
<table xmlns="http://schemas.openxmlformats.org/spreadsheetml/2006/main" id="10" name="CheckboxGroupEvidence" displayName="CheckboxGroup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1.xml><?xml version="1.0" encoding="utf-8"?>
<table xmlns="http://schemas.openxmlformats.org/spreadsheetml/2006/main" id="11" name="DialogEvidence" displayName="Dialog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2.xml><?xml version="1.0" encoding="utf-8"?>
<table xmlns="http://schemas.openxmlformats.org/spreadsheetml/2006/main" id="12" name="DrawerEvidence" displayName="Drawer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3.xml><?xml version="1.0" encoding="utf-8"?>
<table xmlns="http://schemas.openxmlformats.org/spreadsheetml/2006/main" id="13" name="FieldEvidence" displayName="Field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4.xml><?xml version="1.0" encoding="utf-8"?>
<table xmlns="http://schemas.openxmlformats.org/spreadsheetml/2006/main" id="14" name="FieldsetEvidence" displayName="Fieldset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5.xml><?xml version="1.0" encoding="utf-8"?>
<table xmlns="http://schemas.openxmlformats.org/spreadsheetml/2006/main" id="15" name="FormEvidence" displayName="Form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6.xml><?xml version="1.0" encoding="utf-8"?>
<table xmlns="http://schemas.openxmlformats.org/spreadsheetml/2006/main" id="16" name="HoverCardEvidence" displayName="HoverCard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7.xml><?xml version="1.0" encoding="utf-8"?>
<table xmlns="http://schemas.openxmlformats.org/spreadsheetml/2006/main" id="17" name="IconButtonEvidence" displayName="IconButton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8.xml><?xml version="1.0" encoding="utf-8"?>
<table xmlns="http://schemas.openxmlformats.org/spreadsheetml/2006/main" id="18" name="InputEvidence" displayName="Input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19.xml><?xml version="1.0" encoding="utf-8"?>
<table xmlns="http://schemas.openxmlformats.org/spreadsheetml/2006/main" id="19" name="TextEvidence" displayName="Text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0.xml><?xml version="1.0" encoding="utf-8"?>
<table xmlns="http://schemas.openxmlformats.org/spreadsheetml/2006/main" id="20" name="NotificationBadgeEvidence" displayName="NotificationBadge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1.xml><?xml version="1.0" encoding="utf-8"?>
<table xmlns="http://schemas.openxmlformats.org/spreadsheetml/2006/main" id="21" name="PopoverEvidence" displayName="Popover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2.xml><?xml version="1.0" encoding="utf-8"?>
<table xmlns="http://schemas.openxmlformats.org/spreadsheetml/2006/main" id="22" name="ToggleEvidence" displayName="Toggle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3.xml><?xml version="1.0" encoding="utf-8"?>
<table xmlns="http://schemas.openxmlformats.org/spreadsheetml/2006/main" id="23" name="ToggleGroupEvidence" displayName="ToggleGroup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4.xml><?xml version="1.0" encoding="utf-8"?>
<table xmlns="http://schemas.openxmlformats.org/spreadsheetml/2006/main" id="24" name="StackEvidence" displayName="Stack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5.xml><?xml version="1.0" encoding="utf-8"?>
<table xmlns="http://schemas.openxmlformats.org/spreadsheetml/2006/main" id="25" name="TooltipEvidence" displayName="Tooltip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6.xml><?xml version="1.0" encoding="utf-8"?>
<table xmlns="http://schemas.openxmlformats.org/spreadsheetml/2006/main" id="26" name="GridEvidence" displayName="GridEvidence" ref="A8:M25" headerRowCount="1" totalsRowCount="0" totalsRowShown="0">
  <autoFilter ref="A8:M25"/>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7.xml><?xml version="1.0" encoding="utf-8"?>
<table xmlns="http://schemas.openxmlformats.org/spreadsheetml/2006/main" id="27" name="SliderEvidence" displayName="Slider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8.xml><?xml version="1.0" encoding="utf-8"?>
<table xmlns="http://schemas.openxmlformats.org/spreadsheetml/2006/main" id="28" name="RatingEvidence" displayName="RatingEvidence" ref="A8:M25" headerRowCount="1" totalsRowCount="0" totalsRowShown="0">
  <autoFilter ref="A8:M25"/>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29.xml><?xml version="1.0" encoding="utf-8"?>
<table xmlns="http://schemas.openxmlformats.org/spreadsheetml/2006/main" id="29" name="FileUploadEvidence" displayName="FileUploadEvidence" ref="A8:M36" headerRowCount="1" totalsRowCount="0" totalsRowShown="0">
  <autoFilter ref="A8:M36"/>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ables/table30.xml><?xml version="1.0" encoding="utf-8"?>
<table xmlns="http://schemas.openxmlformats.org/spreadsheetml/2006/main" id="30" name="ZStackEvidence" displayName="ZStackEvidence" ref="A8:M24" headerRowCount="1" totalsRowCount="0" totalsRowShown="0">
  <autoFilter ref="A8:M24"/>
  <tableColumns count="13">
    <tableColumn id="1" name="ID"/>
    <tableColumn id="2" name="Area"/>
    <tableColumn id="3" name="Part"/>
    <tableColumn id="4" name="Requirement"/>
    <tableColumn id="5" name="Gate"/>
    <tableColumn id="6" name="Evidence type"/>
    <tableColumn id="7" name="Evidence / link"/>
    <tableColumn id="8" name="Status"/>
    <tableColumn id="9" name="Human review?"/>
    <tableColumn id="10" name="Last verified"/>
    <tableColumn id="11" name="Blocker / N/A reason"/>
    <tableColumn id="12" name="Weight"/>
    <tableColumn id="13" name="Resolve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_rels/sheet15.xml.rels><Relationships xmlns="http://schemas.openxmlformats.org/package/2006/relationships"><Relationship Type="http://schemas.openxmlformats.org/officeDocument/2006/relationships/table" Target="/xl/tables/table14.xml" Id="rId1"/></Relationships>
</file>

<file path=xl/worksheets/_rels/sheet16.xml.rels><Relationships xmlns="http://schemas.openxmlformats.org/package/2006/relationships"><Relationship Type="http://schemas.openxmlformats.org/officeDocument/2006/relationships/table" Target="/xl/tables/table15.xml" Id="rId1"/></Relationships>
</file>

<file path=xl/worksheets/_rels/sheet17.xml.rels><Relationships xmlns="http://schemas.openxmlformats.org/package/2006/relationships"><Relationship Type="http://schemas.openxmlformats.org/officeDocument/2006/relationships/table" Target="/xl/tables/table16.xml" Id="rId1"/></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_rels/sheet19.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8.xml.rels><Relationships xmlns="http://schemas.openxmlformats.org/package/2006/relationships"><Relationship Type="http://schemas.openxmlformats.org/officeDocument/2006/relationships/table" Target="/xl/tables/table25.xml" Id="rId1"/></Relationships>
</file>

<file path=xl/worksheets/_rels/sheet29.xml.rels><Relationships xmlns="http://schemas.openxmlformats.org/package/2006/relationships"><Relationship Type="http://schemas.openxmlformats.org/officeDocument/2006/relationships/table" Target="/xl/tables/table26.xml" Id="rId1"/></Relationships>
</file>

<file path=xl/worksheets/_rels/sheet71.xml.rels><Relationships xmlns="http://schemas.openxmlformats.org/package/2006/relationships"><Relationship Type="http://schemas.openxmlformats.org/officeDocument/2006/relationships/table" Target="/xl/tables/table27.xml" Id="rId1"/></Relationships>
</file>

<file path=xl/worksheets/_rels/sheet72.xml.rels><Relationships xmlns="http://schemas.openxmlformats.org/package/2006/relationships"><Relationship Type="http://schemas.openxmlformats.org/officeDocument/2006/relationships/table" Target="/xl/tables/table28.xml" Id="rId1"/></Relationships>
</file>

<file path=xl/worksheets/_rels/sheet73.xml.rels><Relationships xmlns="http://schemas.openxmlformats.org/package/2006/relationships"><Relationship Type="http://schemas.openxmlformats.org/officeDocument/2006/relationships/table" Target="/xl/tables/table29.xml" Id="rId1"/></Relationships>
</file>

<file path=xl/worksheets/_rels/sheet81.xml.rels><Relationships xmlns="http://schemas.openxmlformats.org/package/2006/relationships"><Relationship Type="http://schemas.openxmlformats.org/officeDocument/2006/relationships/table" Target="/xl/tables/table30.xml" Id="rId1"/></Relationships>
</file>

<file path=xl/worksheets/sheet1.xml><?xml version="1.0" encoding="utf-8"?>
<worksheet xmlns="http://schemas.openxmlformats.org/spreadsheetml/2006/main">
  <sheetPr filterMode="0">
    <outlinePr summaryBelow="1" summaryRight="1"/>
    <pageSetUpPr fitToPage="0"/>
  </sheetPr>
  <dimension ref="A1:M10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71" customWidth="1" style="32" min="1" max="1"/>
    <col width="12.71" customWidth="1" style="32" min="2" max="9"/>
    <col width="14.71" customWidth="1" style="33" min="10" max="10"/>
    <col width="16.71" customWidth="1" style="32" min="11" max="13"/>
  </cols>
  <sheetData>
    <row r="1" ht="37.5" customHeight="1" s="34">
      <c r="A1" s="35" t="inlineStr">
        <is>
          <t>Brick Component Coverage</t>
        </is>
      </c>
    </row>
    <row r="2" ht="27.75" customHeight="1" s="34">
      <c r="A2" s="36" t="inlineStr">
        <is>
          <t>95 independently documented public component owners across 94 package subpaths.</t>
        </is>
      </c>
    </row>
    <row r="4" ht="17.25" customHeight="1" s="34">
      <c r="A4" s="37" t="inlineStr">
        <is>
          <t>Components</t>
        </is>
      </c>
      <c r="B4" s="38">
        <f>COUNTA(A8:A102)</f>
        <v/>
      </c>
      <c r="D4" s="37" t="inlineStr">
        <is>
          <t>Complete</t>
        </is>
      </c>
      <c r="E4" s="38">
        <f>COUNTIF(M8:M102,"complete")</f>
        <v/>
      </c>
      <c r="G4" s="37" t="inlineStr">
        <is>
          <t>Blocked</t>
        </is>
      </c>
      <c r="H4" s="38">
        <f>COUNTIF(M8:M102,"blocked")</f>
        <v/>
      </c>
      <c r="J4" s="37" t="inlineStr">
        <is>
          <t>Overall</t>
        </is>
      </c>
      <c r="K4" s="39">
        <f>IF(B4=0,0,E4/B4)</f>
        <v/>
      </c>
    </row>
    <row r="7" ht="15" customHeight="1" s="34">
      <c r="A7" s="32" t="inlineStr">
        <is>
          <t>Component</t>
        </is>
      </c>
      <c r="B7" s="32" t="inlineStr">
        <is>
          <t>Requirements</t>
        </is>
      </c>
      <c r="C7" s="32" t="inlineStr">
        <is>
          <t>Not started</t>
        </is>
      </c>
      <c r="D7" s="32" t="inlineStr">
        <is>
          <t>Partial</t>
        </is>
      </c>
      <c r="E7" s="32" t="inlineStr">
        <is>
          <t>Implemented</t>
        </is>
      </c>
      <c r="F7" s="32" t="inlineStr">
        <is>
          <t>Tested</t>
        </is>
      </c>
      <c r="G7" s="32" t="inlineStr">
        <is>
          <t>Verified</t>
        </is>
      </c>
      <c r="H7" s="32" t="inlineStr">
        <is>
          <t>Blocked</t>
        </is>
      </c>
      <c r="I7" s="32" t="inlineStr">
        <is>
          <t>N/A</t>
        </is>
      </c>
      <c r="J7" s="33" t="inlineStr">
        <is>
          <t>Completion</t>
        </is>
      </c>
      <c r="K7" s="32" t="inlineStr">
        <is>
          <t>Package gate</t>
        </is>
      </c>
      <c r="L7" s="32" t="inlineStr">
        <is>
          <t>Consumer gate</t>
        </is>
      </c>
      <c r="M7" s="32" t="inlineStr">
        <is>
          <t>Overall</t>
        </is>
      </c>
    </row>
    <row r="8" ht="24" customHeight="1" s="34">
      <c r="A8" s="40" t="inlineStr">
        <is>
          <t>Alert Dialog</t>
        </is>
      </c>
      <c r="B8" s="40">
        <f>INDIRECT("'"&amp;A8&amp;"'!B4")</f>
        <v/>
      </c>
      <c r="C8" s="40">
        <f>COUNTIF(INDIRECT("'"&amp;A8&amp;"'!H9:H200"),"not started")</f>
        <v/>
      </c>
      <c r="D8" s="40">
        <f>COUNTIF(INDIRECT("'"&amp;A8&amp;"'!H9:H200"),"partial")</f>
        <v/>
      </c>
      <c r="E8" s="40">
        <f>COUNTIF(INDIRECT("'"&amp;A8&amp;"'!H9:H200"),"implemented")</f>
        <v/>
      </c>
      <c r="F8" s="40">
        <f>COUNTIF(INDIRECT("'"&amp;A8&amp;"'!H9:H200"),"tested")</f>
        <v/>
      </c>
      <c r="G8" s="40">
        <f>COUNTIF(INDIRECT("'"&amp;A8&amp;"'!H9:H200"),"verified")</f>
        <v/>
      </c>
      <c r="H8" s="40">
        <f>COUNTIF(INDIRECT("'"&amp;A8&amp;"'!H9:H200"),"blocked")</f>
        <v/>
      </c>
      <c r="I8" s="40">
        <f>COUNTIF(INDIRECT("'"&amp;A8&amp;"'!H9:H200"),"not applicable")</f>
        <v/>
      </c>
      <c r="J8" s="41">
        <f>INDIRECT("'"&amp;A8&amp;"'!H4")</f>
        <v/>
      </c>
      <c r="K8" s="40">
        <f>INDIRECT("'"&amp;A8&amp;"'!K4")</f>
        <v/>
      </c>
      <c r="L8" s="40">
        <f>INDIRECT("'"&amp;A8&amp;"'!E5")</f>
        <v/>
      </c>
      <c r="M8" s="40">
        <f>IF(AND(J8=1,K8="complete",L8="complete"),"complete",IF(H8&gt;0,"blocked","open"))</f>
        <v/>
      </c>
    </row>
    <row r="9" ht="24" customHeight="1" s="34">
      <c r="A9" s="40" t="inlineStr">
        <is>
          <t>App Bar</t>
        </is>
      </c>
      <c r="B9" s="40">
        <f>INDIRECT("'"&amp;A9&amp;"'!B4")</f>
        <v/>
      </c>
      <c r="C9" s="40">
        <f>COUNTIF(INDIRECT("'"&amp;A9&amp;"'!H9:H200"),"not started")</f>
        <v/>
      </c>
      <c r="D9" s="40">
        <f>COUNTIF(INDIRECT("'"&amp;A9&amp;"'!H9:H200"),"partial")</f>
        <v/>
      </c>
      <c r="E9" s="40">
        <f>COUNTIF(INDIRECT("'"&amp;A9&amp;"'!H9:H200"),"implemented")</f>
        <v/>
      </c>
      <c r="F9" s="40">
        <f>COUNTIF(INDIRECT("'"&amp;A9&amp;"'!H9:H200"),"tested")</f>
        <v/>
      </c>
      <c r="G9" s="40">
        <f>COUNTIF(INDIRECT("'"&amp;A9&amp;"'!H9:H200"),"verified")</f>
        <v/>
      </c>
      <c r="H9" s="40">
        <f>COUNTIF(INDIRECT("'"&amp;A9&amp;"'!H9:H200"),"blocked")</f>
        <v/>
      </c>
      <c r="I9" s="40">
        <f>COUNTIF(INDIRECT("'"&amp;A9&amp;"'!H9:H200"),"not applicable")</f>
        <v/>
      </c>
      <c r="J9" s="41">
        <f>INDIRECT("'"&amp;A9&amp;"'!H4")</f>
        <v/>
      </c>
      <c r="K9" s="40">
        <f>INDIRECT("'"&amp;A9&amp;"'!K4")</f>
        <v/>
      </c>
      <c r="L9" s="40">
        <f>INDIRECT("'"&amp;A9&amp;"'!E5")</f>
        <v/>
      </c>
      <c r="M9" s="40">
        <f>IF(AND(J9=1,K9="complete",L9="complete"),"complete",IF(H9&gt;0,"blocked","open"))</f>
        <v/>
      </c>
    </row>
    <row r="10" ht="24" customHeight="1" s="34">
      <c r="A10" s="40" t="inlineStr">
        <is>
          <t>Avatar</t>
        </is>
      </c>
      <c r="B10" s="40">
        <f>INDIRECT("'"&amp;A10&amp;"'!B4")</f>
        <v/>
      </c>
      <c r="C10" s="40">
        <f>COUNTIF(INDIRECT("'"&amp;A10&amp;"'!H9:H200"),"not started")</f>
        <v/>
      </c>
      <c r="D10" s="40">
        <f>COUNTIF(INDIRECT("'"&amp;A10&amp;"'!H9:H200"),"partial")</f>
        <v/>
      </c>
      <c r="E10" s="40">
        <f>COUNTIF(INDIRECT("'"&amp;A10&amp;"'!H9:H200"),"implemented")</f>
        <v/>
      </c>
      <c r="F10" s="40">
        <f>COUNTIF(INDIRECT("'"&amp;A10&amp;"'!H9:H200"),"tested")</f>
        <v/>
      </c>
      <c r="G10" s="40">
        <f>COUNTIF(INDIRECT("'"&amp;A10&amp;"'!H9:H200"),"verified")</f>
        <v/>
      </c>
      <c r="H10" s="40">
        <f>COUNTIF(INDIRECT("'"&amp;A10&amp;"'!H9:H200"),"blocked")</f>
        <v/>
      </c>
      <c r="I10" s="40">
        <f>COUNTIF(INDIRECT("'"&amp;A10&amp;"'!H9:H200"),"not applicable")</f>
        <v/>
      </c>
      <c r="J10" s="41">
        <f>INDIRECT("'"&amp;A10&amp;"'!H4")</f>
        <v/>
      </c>
      <c r="K10" s="40">
        <f>INDIRECT("'"&amp;A10&amp;"'!K4")</f>
        <v/>
      </c>
      <c r="L10" s="40">
        <f>INDIRECT("'"&amp;A10&amp;"'!E5")</f>
        <v/>
      </c>
      <c r="M10" s="40">
        <f>IF(AND(J10=1,K10="complete",L10="complete"),"complete",IF(H10&gt;0,"blocked","open"))</f>
        <v/>
      </c>
    </row>
    <row r="11" ht="24" customHeight="1" s="34">
      <c r="A11" s="40" t="inlineStr">
        <is>
          <t>Badge</t>
        </is>
      </c>
      <c r="B11" s="40">
        <f>INDIRECT("'"&amp;A11&amp;"'!B4")</f>
        <v/>
      </c>
      <c r="C11" s="40">
        <f>COUNTIF(INDIRECT("'"&amp;A11&amp;"'!H9:H200"),"not started")</f>
        <v/>
      </c>
      <c r="D11" s="40">
        <f>COUNTIF(INDIRECT("'"&amp;A11&amp;"'!H9:H200"),"partial")</f>
        <v/>
      </c>
      <c r="E11" s="40">
        <f>COUNTIF(INDIRECT("'"&amp;A11&amp;"'!H9:H200"),"implemented")</f>
        <v/>
      </c>
      <c r="F11" s="40">
        <f>COUNTIF(INDIRECT("'"&amp;A11&amp;"'!H9:H200"),"tested")</f>
        <v/>
      </c>
      <c r="G11" s="40">
        <f>COUNTIF(INDIRECT("'"&amp;A11&amp;"'!H9:H200"),"verified")</f>
        <v/>
      </c>
      <c r="H11" s="40">
        <f>COUNTIF(INDIRECT("'"&amp;A11&amp;"'!H9:H200"),"blocked")</f>
        <v/>
      </c>
      <c r="I11" s="40">
        <f>COUNTIF(INDIRECT("'"&amp;A11&amp;"'!H9:H200"),"not applicable")</f>
        <v/>
      </c>
      <c r="J11" s="41">
        <f>INDIRECT("'"&amp;A11&amp;"'!H4")</f>
        <v/>
      </c>
      <c r="K11" s="40">
        <f>INDIRECT("'"&amp;A11&amp;"'!K4")</f>
        <v/>
      </c>
      <c r="L11" s="40">
        <f>INDIRECT("'"&amp;A11&amp;"'!E5")</f>
        <v/>
      </c>
      <c r="M11" s="40">
        <f>IF(AND(J11=1,K11="complete",L11="complete"),"complete",IF(H11&gt;0,"blocked","open"))</f>
        <v/>
      </c>
    </row>
    <row r="12" ht="24" customHeight="1" s="34">
      <c r="A12" s="40" t="inlineStr">
        <is>
          <t>Button</t>
        </is>
      </c>
      <c r="B12" s="40">
        <f>INDIRECT("'"&amp;A12&amp;"'!B4")</f>
        <v/>
      </c>
      <c r="C12" s="40">
        <f>COUNTIF(INDIRECT("'"&amp;A12&amp;"'!H9:H200"),"not started")</f>
        <v/>
      </c>
      <c r="D12" s="40">
        <f>COUNTIF(INDIRECT("'"&amp;A12&amp;"'!H9:H200"),"partial")</f>
        <v/>
      </c>
      <c r="E12" s="40">
        <f>COUNTIF(INDIRECT("'"&amp;A12&amp;"'!H9:H200"),"implemented")</f>
        <v/>
      </c>
      <c r="F12" s="40">
        <f>COUNTIF(INDIRECT("'"&amp;A12&amp;"'!H9:H200"),"tested")</f>
        <v/>
      </c>
      <c r="G12" s="40">
        <f>COUNTIF(INDIRECT("'"&amp;A12&amp;"'!H9:H200"),"verified")</f>
        <v/>
      </c>
      <c r="H12" s="40">
        <f>COUNTIF(INDIRECT("'"&amp;A12&amp;"'!H9:H200"),"blocked")</f>
        <v/>
      </c>
      <c r="I12" s="40">
        <f>COUNTIF(INDIRECT("'"&amp;A12&amp;"'!H9:H200"),"not applicable")</f>
        <v/>
      </c>
      <c r="J12" s="41">
        <f>INDIRECT("'"&amp;A12&amp;"'!H4")</f>
        <v/>
      </c>
      <c r="K12" s="40">
        <f>INDIRECT("'"&amp;A12&amp;"'!K4")</f>
        <v/>
      </c>
      <c r="L12" s="40">
        <f>INDIRECT("'"&amp;A12&amp;"'!E5")</f>
        <v/>
      </c>
      <c r="M12" s="40">
        <f>IF(AND(J12=1,K12="complete",L12="complete"),"complete",IF(H12&gt;0,"blocked","open"))</f>
        <v/>
      </c>
    </row>
    <row r="13" ht="24" customHeight="1" s="34">
      <c r="A13" s="40" t="inlineStr">
        <is>
          <t>Card</t>
        </is>
      </c>
      <c r="B13" s="40">
        <f>INDIRECT("'"&amp;A13&amp;"'!B4")</f>
        <v/>
      </c>
      <c r="C13" s="40">
        <f>COUNTIF(INDIRECT("'"&amp;A13&amp;"'!H9:H200"),"not started")</f>
        <v/>
      </c>
      <c r="D13" s="40">
        <f>COUNTIF(INDIRECT("'"&amp;A13&amp;"'!H9:H200"),"partial")</f>
        <v/>
      </c>
      <c r="E13" s="40">
        <f>COUNTIF(INDIRECT("'"&amp;A13&amp;"'!H9:H200"),"implemented")</f>
        <v/>
      </c>
      <c r="F13" s="40">
        <f>COUNTIF(INDIRECT("'"&amp;A13&amp;"'!H9:H200"),"tested")</f>
        <v/>
      </c>
      <c r="G13" s="40">
        <f>COUNTIF(INDIRECT("'"&amp;A13&amp;"'!H9:H200"),"verified")</f>
        <v/>
      </c>
      <c r="H13" s="40">
        <f>COUNTIF(INDIRECT("'"&amp;A13&amp;"'!H9:H200"),"blocked")</f>
        <v/>
      </c>
      <c r="I13" s="40">
        <f>COUNTIF(INDIRECT("'"&amp;A13&amp;"'!H9:H200"),"not applicable")</f>
        <v/>
      </c>
      <c r="J13" s="41">
        <f>INDIRECT("'"&amp;A13&amp;"'!H4")</f>
        <v/>
      </c>
      <c r="K13" s="40">
        <f>INDIRECT("'"&amp;A13&amp;"'!K4")</f>
        <v/>
      </c>
      <c r="L13" s="40">
        <f>INDIRECT("'"&amp;A13&amp;"'!E5")</f>
        <v/>
      </c>
      <c r="M13" s="40">
        <f>IF(AND(J13=1,K13="complete",L13="complete"),"complete",IF(H13&gt;0,"blocked","open"))</f>
        <v/>
      </c>
    </row>
    <row r="14" ht="24" customHeight="1" s="34">
      <c r="A14" s="40" t="inlineStr">
        <is>
          <t>Checkbox</t>
        </is>
      </c>
      <c r="B14" s="40">
        <f>INDIRECT("'"&amp;A14&amp;"'!B4")</f>
        <v/>
      </c>
      <c r="C14" s="40">
        <f>COUNTIF(INDIRECT("'"&amp;A14&amp;"'!H9:H200"),"not started")</f>
        <v/>
      </c>
      <c r="D14" s="40">
        <f>COUNTIF(INDIRECT("'"&amp;A14&amp;"'!H9:H200"),"partial")</f>
        <v/>
      </c>
      <c r="E14" s="40">
        <f>COUNTIF(INDIRECT("'"&amp;A14&amp;"'!H9:H200"),"implemented")</f>
        <v/>
      </c>
      <c r="F14" s="40">
        <f>COUNTIF(INDIRECT("'"&amp;A14&amp;"'!H9:H200"),"tested")</f>
        <v/>
      </c>
      <c r="G14" s="40">
        <f>COUNTIF(INDIRECT("'"&amp;A14&amp;"'!H9:H200"),"verified")</f>
        <v/>
      </c>
      <c r="H14" s="40">
        <f>COUNTIF(INDIRECT("'"&amp;A14&amp;"'!H9:H200"),"blocked")</f>
        <v/>
      </c>
      <c r="I14" s="40">
        <f>COUNTIF(INDIRECT("'"&amp;A14&amp;"'!H9:H200"),"not applicable")</f>
        <v/>
      </c>
      <c r="J14" s="41">
        <f>INDIRECT("'"&amp;A14&amp;"'!H4")</f>
        <v/>
      </c>
      <c r="K14" s="40">
        <f>INDIRECT("'"&amp;A14&amp;"'!K4")</f>
        <v/>
      </c>
      <c r="L14" s="40">
        <f>INDIRECT("'"&amp;A14&amp;"'!E5")</f>
        <v/>
      </c>
      <c r="M14" s="40">
        <f>IF(AND(J14=1,K14="complete",L14="complete"),"complete",IF(H14&gt;0,"blocked","open"))</f>
        <v/>
      </c>
    </row>
    <row r="15" ht="24" customHeight="1" s="34">
      <c r="A15" s="40" t="inlineStr">
        <is>
          <t>Checkbox Group</t>
        </is>
      </c>
      <c r="B15" s="40">
        <f>INDIRECT("'"&amp;A15&amp;"'!B4")</f>
        <v/>
      </c>
      <c r="C15" s="40">
        <f>COUNTIF(INDIRECT("'"&amp;A15&amp;"'!H9:H200"),"not started")</f>
        <v/>
      </c>
      <c r="D15" s="40">
        <f>COUNTIF(INDIRECT("'"&amp;A15&amp;"'!H9:H200"),"partial")</f>
        <v/>
      </c>
      <c r="E15" s="40">
        <f>COUNTIF(INDIRECT("'"&amp;A15&amp;"'!H9:H200"),"implemented")</f>
        <v/>
      </c>
      <c r="F15" s="40">
        <f>COUNTIF(INDIRECT("'"&amp;A15&amp;"'!H9:H200"),"tested")</f>
        <v/>
      </c>
      <c r="G15" s="40">
        <f>COUNTIF(INDIRECT("'"&amp;A15&amp;"'!H9:H200"),"verified")</f>
        <v/>
      </c>
      <c r="H15" s="40">
        <f>COUNTIF(INDIRECT("'"&amp;A15&amp;"'!H9:H200"),"blocked")</f>
        <v/>
      </c>
      <c r="I15" s="40">
        <f>COUNTIF(INDIRECT("'"&amp;A15&amp;"'!H9:H200"),"not applicable")</f>
        <v/>
      </c>
      <c r="J15" s="41">
        <f>INDIRECT("'"&amp;A15&amp;"'!H4")</f>
        <v/>
      </c>
      <c r="K15" s="40">
        <f>INDIRECT("'"&amp;A15&amp;"'!K4")</f>
        <v/>
      </c>
      <c r="L15" s="40">
        <f>INDIRECT("'"&amp;A15&amp;"'!E5")</f>
        <v/>
      </c>
      <c r="M15" s="40">
        <f>IF(AND(J15=1,K15="complete",L15="complete"),"complete",IF(H15&gt;0,"blocked","open"))</f>
        <v/>
      </c>
    </row>
    <row r="16" ht="24" customHeight="1" s="34">
      <c r="A16" s="40" t="inlineStr">
        <is>
          <t>Dialog</t>
        </is>
      </c>
      <c r="B16" s="40">
        <f>INDIRECT("'"&amp;A16&amp;"'!B4")</f>
        <v/>
      </c>
      <c r="C16" s="40">
        <f>COUNTIF(INDIRECT("'"&amp;A16&amp;"'!H9:H200"),"not started")</f>
        <v/>
      </c>
      <c r="D16" s="40">
        <f>COUNTIF(INDIRECT("'"&amp;A16&amp;"'!H9:H200"),"partial")</f>
        <v/>
      </c>
      <c r="E16" s="40">
        <f>COUNTIF(INDIRECT("'"&amp;A16&amp;"'!H9:H200"),"implemented")</f>
        <v/>
      </c>
      <c r="F16" s="40">
        <f>COUNTIF(INDIRECT("'"&amp;A16&amp;"'!H9:H200"),"tested")</f>
        <v/>
      </c>
      <c r="G16" s="40">
        <f>COUNTIF(INDIRECT("'"&amp;A16&amp;"'!H9:H200"),"verified")</f>
        <v/>
      </c>
      <c r="H16" s="40">
        <f>COUNTIF(INDIRECT("'"&amp;A16&amp;"'!H9:H200"),"blocked")</f>
        <v/>
      </c>
      <c r="I16" s="40">
        <f>COUNTIF(INDIRECT("'"&amp;A16&amp;"'!H9:H200"),"not applicable")</f>
        <v/>
      </c>
      <c r="J16" s="41">
        <f>INDIRECT("'"&amp;A16&amp;"'!H4")</f>
        <v/>
      </c>
      <c r="K16" s="40">
        <f>INDIRECT("'"&amp;A16&amp;"'!K4")</f>
        <v/>
      </c>
      <c r="L16" s="40">
        <f>INDIRECT("'"&amp;A16&amp;"'!E5")</f>
        <v/>
      </c>
      <c r="M16" s="40">
        <f>IF(AND(J16=1,K16="complete",L16="complete"),"complete",IF(H16&gt;0,"blocked","open"))</f>
        <v/>
      </c>
    </row>
    <row r="17" ht="24" customHeight="1" s="34">
      <c r="A17" s="40" t="inlineStr">
        <is>
          <t>Drawer</t>
        </is>
      </c>
      <c r="B17" s="40">
        <f>INDIRECT("'"&amp;A17&amp;"'!B4")</f>
        <v/>
      </c>
      <c r="C17" s="40">
        <f>COUNTIF(INDIRECT("'"&amp;A17&amp;"'!H9:H200"),"not started")</f>
        <v/>
      </c>
      <c r="D17" s="40">
        <f>COUNTIF(INDIRECT("'"&amp;A17&amp;"'!H9:H200"),"partial")</f>
        <v/>
      </c>
      <c r="E17" s="40">
        <f>COUNTIF(INDIRECT("'"&amp;A17&amp;"'!H9:H200"),"implemented")</f>
        <v/>
      </c>
      <c r="F17" s="40">
        <f>COUNTIF(INDIRECT("'"&amp;A17&amp;"'!H9:H200"),"tested")</f>
        <v/>
      </c>
      <c r="G17" s="40">
        <f>COUNTIF(INDIRECT("'"&amp;A17&amp;"'!H9:H200"),"verified")</f>
        <v/>
      </c>
      <c r="H17" s="40">
        <f>COUNTIF(INDIRECT("'"&amp;A17&amp;"'!H9:H200"),"blocked")</f>
        <v/>
      </c>
      <c r="I17" s="40">
        <f>COUNTIF(INDIRECT("'"&amp;A17&amp;"'!H9:H200"),"not applicable")</f>
        <v/>
      </c>
      <c r="J17" s="41">
        <f>INDIRECT("'"&amp;A17&amp;"'!H4")</f>
        <v/>
      </c>
      <c r="K17" s="40">
        <f>INDIRECT("'"&amp;A17&amp;"'!K4")</f>
        <v/>
      </c>
      <c r="L17" s="40">
        <f>INDIRECT("'"&amp;A17&amp;"'!E5")</f>
        <v/>
      </c>
      <c r="M17" s="40">
        <f>IF(AND(J17=1,K17="complete",L17="complete"),"complete",IF(H17&gt;0,"blocked","open"))</f>
        <v/>
      </c>
    </row>
    <row r="18" ht="24" customHeight="1" s="34">
      <c r="A18" s="40" t="inlineStr">
        <is>
          <t>Field</t>
        </is>
      </c>
      <c r="B18" s="40">
        <f>INDIRECT("'"&amp;A18&amp;"'!B4")</f>
        <v/>
      </c>
      <c r="C18" s="40">
        <f>COUNTIF(INDIRECT("'"&amp;A18&amp;"'!H9:H200"),"not started")</f>
        <v/>
      </c>
      <c r="D18" s="40">
        <f>COUNTIF(INDIRECT("'"&amp;A18&amp;"'!H9:H200"),"partial")</f>
        <v/>
      </c>
      <c r="E18" s="40">
        <f>COUNTIF(INDIRECT("'"&amp;A18&amp;"'!H9:H200"),"implemented")</f>
        <v/>
      </c>
      <c r="F18" s="40">
        <f>COUNTIF(INDIRECT("'"&amp;A18&amp;"'!H9:H200"),"tested")</f>
        <v/>
      </c>
      <c r="G18" s="40">
        <f>COUNTIF(INDIRECT("'"&amp;A18&amp;"'!H9:H200"),"verified")</f>
        <v/>
      </c>
      <c r="H18" s="40">
        <f>COUNTIF(INDIRECT("'"&amp;A18&amp;"'!H9:H200"),"blocked")</f>
        <v/>
      </c>
      <c r="I18" s="40">
        <f>COUNTIF(INDIRECT("'"&amp;A18&amp;"'!H9:H200"),"not applicable")</f>
        <v/>
      </c>
      <c r="J18" s="41">
        <f>INDIRECT("'"&amp;A18&amp;"'!H4")</f>
        <v/>
      </c>
      <c r="K18" s="40">
        <f>INDIRECT("'"&amp;A18&amp;"'!K4")</f>
        <v/>
      </c>
      <c r="L18" s="40">
        <f>INDIRECT("'"&amp;A18&amp;"'!E5")</f>
        <v/>
      </c>
      <c r="M18" s="40">
        <f>IF(AND(J18=1,K18="complete",L18="complete"),"complete",IF(H18&gt;0,"blocked","open"))</f>
        <v/>
      </c>
    </row>
    <row r="19" ht="24" customHeight="1" s="34">
      <c r="A19" s="40" t="inlineStr">
        <is>
          <t>Fieldset</t>
        </is>
      </c>
      <c r="B19" s="40">
        <f>INDIRECT("'"&amp;A19&amp;"'!B4")</f>
        <v/>
      </c>
      <c r="C19" s="40">
        <f>COUNTIF(INDIRECT("'"&amp;A19&amp;"'!H9:H200"),"not started")</f>
        <v/>
      </c>
      <c r="D19" s="40">
        <f>COUNTIF(INDIRECT("'"&amp;A19&amp;"'!H9:H200"),"partial")</f>
        <v/>
      </c>
      <c r="E19" s="40">
        <f>COUNTIF(INDIRECT("'"&amp;A19&amp;"'!H9:H200"),"implemented")</f>
        <v/>
      </c>
      <c r="F19" s="40">
        <f>COUNTIF(INDIRECT("'"&amp;A19&amp;"'!H9:H200"),"tested")</f>
        <v/>
      </c>
      <c r="G19" s="40">
        <f>COUNTIF(INDIRECT("'"&amp;A19&amp;"'!H9:H200"),"verified")</f>
        <v/>
      </c>
      <c r="H19" s="40">
        <f>COUNTIF(INDIRECT("'"&amp;A19&amp;"'!H9:H200"),"blocked")</f>
        <v/>
      </c>
      <c r="I19" s="40">
        <f>COUNTIF(INDIRECT("'"&amp;A19&amp;"'!H9:H200"),"not applicable")</f>
        <v/>
      </c>
      <c r="J19" s="41">
        <f>INDIRECT("'"&amp;A19&amp;"'!H4")</f>
        <v/>
      </c>
      <c r="K19" s="40">
        <f>INDIRECT("'"&amp;A19&amp;"'!K4")</f>
        <v/>
      </c>
      <c r="L19" s="40">
        <f>INDIRECT("'"&amp;A19&amp;"'!E5")</f>
        <v/>
      </c>
      <c r="M19" s="40">
        <f>IF(AND(J19=1,K19="complete",L19="complete"),"complete",IF(H19&gt;0,"blocked","open"))</f>
        <v/>
      </c>
    </row>
    <row r="20" ht="24" customHeight="1" s="34">
      <c r="A20" s="40" t="inlineStr">
        <is>
          <t>Form</t>
        </is>
      </c>
      <c r="B20" s="40">
        <f>INDIRECT("'"&amp;A20&amp;"'!B4")</f>
        <v/>
      </c>
      <c r="C20" s="40">
        <f>COUNTIF(INDIRECT("'"&amp;A20&amp;"'!H9:H200"),"not started")</f>
        <v/>
      </c>
      <c r="D20" s="40">
        <f>COUNTIF(INDIRECT("'"&amp;A20&amp;"'!H9:H200"),"partial")</f>
        <v/>
      </c>
      <c r="E20" s="40">
        <f>COUNTIF(INDIRECT("'"&amp;A20&amp;"'!H9:H200"),"implemented")</f>
        <v/>
      </c>
      <c r="F20" s="40">
        <f>COUNTIF(INDIRECT("'"&amp;A20&amp;"'!H9:H200"),"tested")</f>
        <v/>
      </c>
      <c r="G20" s="40">
        <f>COUNTIF(INDIRECT("'"&amp;A20&amp;"'!H9:H200"),"verified")</f>
        <v/>
      </c>
      <c r="H20" s="40">
        <f>COUNTIF(INDIRECT("'"&amp;A20&amp;"'!H9:H200"),"blocked")</f>
        <v/>
      </c>
      <c r="I20" s="40">
        <f>COUNTIF(INDIRECT("'"&amp;A20&amp;"'!H9:H200"),"not applicable")</f>
        <v/>
      </c>
      <c r="J20" s="41">
        <f>INDIRECT("'"&amp;A20&amp;"'!H4")</f>
        <v/>
      </c>
      <c r="K20" s="40">
        <f>INDIRECT("'"&amp;A20&amp;"'!K4")</f>
        <v/>
      </c>
      <c r="L20" s="40">
        <f>INDIRECT("'"&amp;A20&amp;"'!E5")</f>
        <v/>
      </c>
      <c r="M20" s="40">
        <f>IF(AND(J20=1,K20="complete",L20="complete"),"complete",IF(H20&gt;0,"blocked","open"))</f>
        <v/>
      </c>
    </row>
    <row r="21" ht="24" customHeight="1" s="34">
      <c r="A21" s="40" t="inlineStr">
        <is>
          <t>Hover Card</t>
        </is>
      </c>
      <c r="B21" s="40">
        <f>INDIRECT("'"&amp;A21&amp;"'!B4")</f>
        <v/>
      </c>
      <c r="C21" s="40">
        <f>COUNTIF(INDIRECT("'"&amp;A21&amp;"'!H9:H200"),"not started")</f>
        <v/>
      </c>
      <c r="D21" s="40">
        <f>COUNTIF(INDIRECT("'"&amp;A21&amp;"'!H9:H200"),"partial")</f>
        <v/>
      </c>
      <c r="E21" s="40">
        <f>COUNTIF(INDIRECT("'"&amp;A21&amp;"'!H9:H200"),"implemented")</f>
        <v/>
      </c>
      <c r="F21" s="40">
        <f>COUNTIF(INDIRECT("'"&amp;A21&amp;"'!H9:H200"),"tested")</f>
        <v/>
      </c>
      <c r="G21" s="40">
        <f>COUNTIF(INDIRECT("'"&amp;A21&amp;"'!H9:H200"),"verified")</f>
        <v/>
      </c>
      <c r="H21" s="40">
        <f>COUNTIF(INDIRECT("'"&amp;A21&amp;"'!H9:H200"),"blocked")</f>
        <v/>
      </c>
      <c r="I21" s="40">
        <f>COUNTIF(INDIRECT("'"&amp;A21&amp;"'!H9:H200"),"not applicable")</f>
        <v/>
      </c>
      <c r="J21" s="41">
        <f>INDIRECT("'"&amp;A21&amp;"'!H4")</f>
        <v/>
      </c>
      <c r="K21" s="40">
        <f>INDIRECT("'"&amp;A21&amp;"'!K4")</f>
        <v/>
      </c>
      <c r="L21" s="40">
        <f>INDIRECT("'"&amp;A21&amp;"'!E5")</f>
        <v/>
      </c>
      <c r="M21" s="40">
        <f>IF(AND(J21=1,K21="complete",L21="complete"),"complete",IF(H21&gt;0,"blocked","open"))</f>
        <v/>
      </c>
    </row>
    <row r="22" ht="24" customHeight="1" s="34">
      <c r="A22" s="40" t="inlineStr">
        <is>
          <t>Icon Button</t>
        </is>
      </c>
      <c r="B22" s="40">
        <f>INDIRECT("'"&amp;A22&amp;"'!B4")</f>
        <v/>
      </c>
      <c r="C22" s="40">
        <f>COUNTIF(INDIRECT("'"&amp;A22&amp;"'!H9:H200"),"not started")</f>
        <v/>
      </c>
      <c r="D22" s="40">
        <f>COUNTIF(INDIRECT("'"&amp;A22&amp;"'!H9:H200"),"partial")</f>
        <v/>
      </c>
      <c r="E22" s="40">
        <f>COUNTIF(INDIRECT("'"&amp;A22&amp;"'!H9:H200"),"implemented")</f>
        <v/>
      </c>
      <c r="F22" s="40">
        <f>COUNTIF(INDIRECT("'"&amp;A22&amp;"'!H9:H200"),"tested")</f>
        <v/>
      </c>
      <c r="G22" s="40">
        <f>COUNTIF(INDIRECT("'"&amp;A22&amp;"'!H9:H200"),"verified")</f>
        <v/>
      </c>
      <c r="H22" s="40">
        <f>COUNTIF(INDIRECT("'"&amp;A22&amp;"'!H9:H200"),"blocked")</f>
        <v/>
      </c>
      <c r="I22" s="40">
        <f>COUNTIF(INDIRECT("'"&amp;A22&amp;"'!H9:H200"),"not applicable")</f>
        <v/>
      </c>
      <c r="J22" s="41">
        <f>INDIRECT("'"&amp;A22&amp;"'!H4")</f>
        <v/>
      </c>
      <c r="K22" s="40">
        <f>INDIRECT("'"&amp;A22&amp;"'!K4")</f>
        <v/>
      </c>
      <c r="L22" s="40">
        <f>INDIRECT("'"&amp;A22&amp;"'!E5")</f>
        <v/>
      </c>
      <c r="M22" s="40">
        <f>IF(AND(J22=1,K22="complete",L22="complete"),"complete",IF(H22&gt;0,"blocked","open"))</f>
        <v/>
      </c>
    </row>
    <row r="23" ht="24" customHeight="1" s="34">
      <c r="A23" s="40" t="inlineStr">
        <is>
          <t>Input</t>
        </is>
      </c>
      <c r="B23" s="40">
        <f>INDIRECT("'"&amp;A23&amp;"'!B4")</f>
        <v/>
      </c>
      <c r="C23" s="40">
        <f>COUNTIF(INDIRECT("'"&amp;A23&amp;"'!H9:H200"),"not started")</f>
        <v/>
      </c>
      <c r="D23" s="40">
        <f>COUNTIF(INDIRECT("'"&amp;A23&amp;"'!H9:H200"),"partial")</f>
        <v/>
      </c>
      <c r="E23" s="40">
        <f>COUNTIF(INDIRECT("'"&amp;A23&amp;"'!H9:H200"),"implemented")</f>
        <v/>
      </c>
      <c r="F23" s="40">
        <f>COUNTIF(INDIRECT("'"&amp;A23&amp;"'!H9:H200"),"tested")</f>
        <v/>
      </c>
      <c r="G23" s="40">
        <f>COUNTIF(INDIRECT("'"&amp;A23&amp;"'!H9:H200"),"verified")</f>
        <v/>
      </c>
      <c r="H23" s="40">
        <f>COUNTIF(INDIRECT("'"&amp;A23&amp;"'!H9:H200"),"blocked")</f>
        <v/>
      </c>
      <c r="I23" s="40">
        <f>COUNTIF(INDIRECT("'"&amp;A23&amp;"'!H9:H200"),"not applicable")</f>
        <v/>
      </c>
      <c r="J23" s="41">
        <f>INDIRECT("'"&amp;A23&amp;"'!H4")</f>
        <v/>
      </c>
      <c r="K23" s="40">
        <f>INDIRECT("'"&amp;A23&amp;"'!K4")</f>
        <v/>
      </c>
      <c r="L23" s="40">
        <f>INDIRECT("'"&amp;A23&amp;"'!E5")</f>
        <v/>
      </c>
      <c r="M23" s="40">
        <f>IF(AND(J23=1,K23="complete",L23="complete"),"complete",IF(H23&gt;0,"blocked","open"))</f>
        <v/>
      </c>
    </row>
    <row r="24" ht="24" customHeight="1" s="34">
      <c r="A24" s="40" t="inlineStr">
        <is>
          <t>Link</t>
        </is>
      </c>
      <c r="B24" s="40">
        <f>INDIRECT("'"&amp;A24&amp;"'!B4")</f>
        <v/>
      </c>
      <c r="C24" s="40">
        <f>COUNTIF(INDIRECT("'"&amp;A24&amp;"'!H9:H200"),"not started")</f>
        <v/>
      </c>
      <c r="D24" s="40">
        <f>COUNTIF(INDIRECT("'"&amp;A24&amp;"'!H9:H200"),"partial")</f>
        <v/>
      </c>
      <c r="E24" s="40">
        <f>COUNTIF(INDIRECT("'"&amp;A24&amp;"'!H9:H200"),"implemented")</f>
        <v/>
      </c>
      <c r="F24" s="40">
        <f>COUNTIF(INDIRECT("'"&amp;A24&amp;"'!H9:H200"),"tested")</f>
        <v/>
      </c>
      <c r="G24" s="40">
        <f>COUNTIF(INDIRECT("'"&amp;A24&amp;"'!H9:H200"),"verified")</f>
        <v/>
      </c>
      <c r="H24" s="40">
        <f>COUNTIF(INDIRECT("'"&amp;A24&amp;"'!H9:H200"),"blocked")</f>
        <v/>
      </c>
      <c r="I24" s="40">
        <f>COUNTIF(INDIRECT("'"&amp;A24&amp;"'!H9:H200"),"not applicable")</f>
        <v/>
      </c>
      <c r="J24" s="41">
        <f>INDIRECT("'"&amp;A24&amp;"'!H4")</f>
        <v/>
      </c>
      <c r="K24" s="40">
        <f>INDIRECT("'"&amp;A24&amp;"'!K4")</f>
        <v/>
      </c>
      <c r="L24" s="40">
        <f>INDIRECT("'"&amp;A24&amp;"'!E5")</f>
        <v/>
      </c>
      <c r="M24" s="40">
        <f>IF(AND(J24=1,K24="complete",L24="complete"),"complete",IF(H24&gt;0,"blocked","open"))</f>
        <v/>
      </c>
    </row>
    <row r="25" ht="24" customHeight="1" s="34">
      <c r="A25" s="40" t="inlineStr">
        <is>
          <t>Notification Badge</t>
        </is>
      </c>
      <c r="B25" s="40">
        <f>INDIRECT("'"&amp;A25&amp;"'!B4")</f>
        <v/>
      </c>
      <c r="C25" s="40">
        <f>COUNTIF(INDIRECT("'"&amp;A25&amp;"'!H9:H200"),"not started")</f>
        <v/>
      </c>
      <c r="D25" s="40">
        <f>COUNTIF(INDIRECT("'"&amp;A25&amp;"'!H9:H200"),"partial")</f>
        <v/>
      </c>
      <c r="E25" s="40">
        <f>COUNTIF(INDIRECT("'"&amp;A25&amp;"'!H9:H200"),"implemented")</f>
        <v/>
      </c>
      <c r="F25" s="40">
        <f>COUNTIF(INDIRECT("'"&amp;A25&amp;"'!H9:H200"),"tested")</f>
        <v/>
      </c>
      <c r="G25" s="40">
        <f>COUNTIF(INDIRECT("'"&amp;A25&amp;"'!H9:H200"),"verified")</f>
        <v/>
      </c>
      <c r="H25" s="40">
        <f>COUNTIF(INDIRECT("'"&amp;A25&amp;"'!H9:H200"),"blocked")</f>
        <v/>
      </c>
      <c r="I25" s="40">
        <f>COUNTIF(INDIRECT("'"&amp;A25&amp;"'!H9:H200"),"not applicable")</f>
        <v/>
      </c>
      <c r="J25" s="41">
        <f>INDIRECT("'"&amp;A25&amp;"'!H4")</f>
        <v/>
      </c>
      <c r="K25" s="40">
        <f>INDIRECT("'"&amp;A25&amp;"'!K4")</f>
        <v/>
      </c>
      <c r="L25" s="40">
        <f>INDIRECT("'"&amp;A25&amp;"'!E5")</f>
        <v/>
      </c>
      <c r="M25" s="40">
        <f>IF(AND(J25=1,K25="complete",L25="complete"),"complete",IF(H25&gt;0,"blocked","open"))</f>
        <v/>
      </c>
    </row>
    <row r="26" ht="24" customHeight="1" s="34">
      <c r="A26" s="40" t="inlineStr">
        <is>
          <t>Popover</t>
        </is>
      </c>
      <c r="B26" s="40">
        <f>INDIRECT("'"&amp;A26&amp;"'!B4")</f>
        <v/>
      </c>
      <c r="C26" s="40">
        <f>COUNTIF(INDIRECT("'"&amp;A26&amp;"'!H9:H200"),"not started")</f>
        <v/>
      </c>
      <c r="D26" s="40">
        <f>COUNTIF(INDIRECT("'"&amp;A26&amp;"'!H9:H200"),"partial")</f>
        <v/>
      </c>
      <c r="E26" s="40">
        <f>COUNTIF(INDIRECT("'"&amp;A26&amp;"'!H9:H200"),"implemented")</f>
        <v/>
      </c>
      <c r="F26" s="40">
        <f>COUNTIF(INDIRECT("'"&amp;A26&amp;"'!H9:H200"),"tested")</f>
        <v/>
      </c>
      <c r="G26" s="40">
        <f>COUNTIF(INDIRECT("'"&amp;A26&amp;"'!H9:H200"),"verified")</f>
        <v/>
      </c>
      <c r="H26" s="40">
        <f>COUNTIF(INDIRECT("'"&amp;A26&amp;"'!H9:H200"),"blocked")</f>
        <v/>
      </c>
      <c r="I26" s="40">
        <f>COUNTIF(INDIRECT("'"&amp;A26&amp;"'!H9:H200"),"not applicable")</f>
        <v/>
      </c>
      <c r="J26" s="41">
        <f>INDIRECT("'"&amp;A26&amp;"'!H4")</f>
        <v/>
      </c>
      <c r="K26" s="40">
        <f>INDIRECT("'"&amp;A26&amp;"'!K4")</f>
        <v/>
      </c>
      <c r="L26" s="40">
        <f>INDIRECT("'"&amp;A26&amp;"'!E5")</f>
        <v/>
      </c>
      <c r="M26" s="40">
        <f>IF(AND(J26=1,K26="complete",L26="complete"),"complete",IF(H26&gt;0,"blocked","open"))</f>
        <v/>
      </c>
    </row>
    <row r="27" ht="24" customHeight="1" s="34">
      <c r="A27" s="40" t="inlineStr">
        <is>
          <t>Toggle</t>
        </is>
      </c>
      <c r="B27" s="40">
        <f>INDIRECT("'"&amp;A27&amp;"'!B4")</f>
        <v/>
      </c>
      <c r="C27" s="40">
        <f>COUNTIF(INDIRECT("'"&amp;A27&amp;"'!H9:H200"),"not started")</f>
        <v/>
      </c>
      <c r="D27" s="40">
        <f>COUNTIF(INDIRECT("'"&amp;A27&amp;"'!H9:H200"),"partial")</f>
        <v/>
      </c>
      <c r="E27" s="40">
        <f>COUNTIF(INDIRECT("'"&amp;A27&amp;"'!H9:H200"),"implemented")</f>
        <v/>
      </c>
      <c r="F27" s="40">
        <f>COUNTIF(INDIRECT("'"&amp;A27&amp;"'!H9:H200"),"tested")</f>
        <v/>
      </c>
      <c r="G27" s="40">
        <f>COUNTIF(INDIRECT("'"&amp;A27&amp;"'!H9:H200"),"verified")</f>
        <v/>
      </c>
      <c r="H27" s="40">
        <f>COUNTIF(INDIRECT("'"&amp;A27&amp;"'!H9:H200"),"blocked")</f>
        <v/>
      </c>
      <c r="I27" s="40">
        <f>COUNTIF(INDIRECT("'"&amp;A27&amp;"'!H9:H200"),"not applicable")</f>
        <v/>
      </c>
      <c r="J27" s="41">
        <f>INDIRECT("'"&amp;A27&amp;"'!H4")</f>
        <v/>
      </c>
      <c r="K27" s="40">
        <f>INDIRECT("'"&amp;A27&amp;"'!K4")</f>
        <v/>
      </c>
      <c r="L27" s="40">
        <f>INDIRECT("'"&amp;A27&amp;"'!E5")</f>
        <v/>
      </c>
      <c r="M27" s="40">
        <f>IF(AND(J27=1,K27="complete",L27="complete"),"complete",IF(H27&gt;0,"blocked","open"))</f>
        <v/>
      </c>
    </row>
    <row r="28" ht="24" customHeight="1" s="34">
      <c r="A28" s="40" t="inlineStr">
        <is>
          <t>Toggle Group</t>
        </is>
      </c>
      <c r="B28" s="40">
        <f>INDIRECT("'"&amp;A28&amp;"'!B4")</f>
        <v/>
      </c>
      <c r="C28" s="40">
        <f>COUNTIF(INDIRECT("'"&amp;A28&amp;"'!H9:H200"),"not started")</f>
        <v/>
      </c>
      <c r="D28" s="40">
        <f>COUNTIF(INDIRECT("'"&amp;A28&amp;"'!H9:H200"),"partial")</f>
        <v/>
      </c>
      <c r="E28" s="40">
        <f>COUNTIF(INDIRECT("'"&amp;A28&amp;"'!H9:H200"),"implemented")</f>
        <v/>
      </c>
      <c r="F28" s="40">
        <f>COUNTIF(INDIRECT("'"&amp;A28&amp;"'!H9:H200"),"tested")</f>
        <v/>
      </c>
      <c r="G28" s="40">
        <f>COUNTIF(INDIRECT("'"&amp;A28&amp;"'!H9:H200"),"verified")</f>
        <v/>
      </c>
      <c r="H28" s="40">
        <f>COUNTIF(INDIRECT("'"&amp;A28&amp;"'!H9:H200"),"blocked")</f>
        <v/>
      </c>
      <c r="I28" s="40">
        <f>COUNTIF(INDIRECT("'"&amp;A28&amp;"'!H9:H200"),"not applicable")</f>
        <v/>
      </c>
      <c r="J28" s="41">
        <f>INDIRECT("'"&amp;A28&amp;"'!H4")</f>
        <v/>
      </c>
      <c r="K28" s="40">
        <f>INDIRECT("'"&amp;A28&amp;"'!K4")</f>
        <v/>
      </c>
      <c r="L28" s="40">
        <f>INDIRECT("'"&amp;A28&amp;"'!E5")</f>
        <v/>
      </c>
      <c r="M28" s="40">
        <f>IF(AND(J28=1,K28="complete",L28="complete"),"complete",IF(H28&gt;0,"blocked","open"))</f>
        <v/>
      </c>
    </row>
    <row r="29" ht="24" customHeight="1" s="34">
      <c r="A29" s="40" t="inlineStr">
        <is>
          <t>Tooltip</t>
        </is>
      </c>
      <c r="B29" s="40">
        <f>INDIRECT("'"&amp;A29&amp;"'!B4")</f>
        <v/>
      </c>
      <c r="C29" s="40">
        <f>COUNTIF(INDIRECT("'"&amp;A29&amp;"'!H9:H200"),"not started")</f>
        <v/>
      </c>
      <c r="D29" s="40">
        <f>COUNTIF(INDIRECT("'"&amp;A29&amp;"'!H9:H200"),"partial")</f>
        <v/>
      </c>
      <c r="E29" s="40">
        <f>COUNTIF(INDIRECT("'"&amp;A29&amp;"'!H9:H200"),"implemented")</f>
        <v/>
      </c>
      <c r="F29" s="40">
        <f>COUNTIF(INDIRECT("'"&amp;A29&amp;"'!H9:H200"),"tested")</f>
        <v/>
      </c>
      <c r="G29" s="40">
        <f>COUNTIF(INDIRECT("'"&amp;A29&amp;"'!H9:H200"),"verified")</f>
        <v/>
      </c>
      <c r="H29" s="40">
        <f>COUNTIF(INDIRECT("'"&amp;A29&amp;"'!H9:H200"),"blocked")</f>
        <v/>
      </c>
      <c r="I29" s="40">
        <f>COUNTIF(INDIRECT("'"&amp;A29&amp;"'!H9:H200"),"not applicable")</f>
        <v/>
      </c>
      <c r="J29" s="41">
        <f>INDIRECT("'"&amp;A29&amp;"'!H4")</f>
        <v/>
      </c>
      <c r="K29" s="40">
        <f>INDIRECT("'"&amp;A29&amp;"'!K4")</f>
        <v/>
      </c>
      <c r="L29" s="40">
        <f>INDIRECT("'"&amp;A29&amp;"'!E5")</f>
        <v/>
      </c>
      <c r="M29" s="40">
        <f>IF(AND(J29=1,K29="complete",L29="complete"),"complete",IF(H29&gt;0,"blocked","open"))</f>
        <v/>
      </c>
    </row>
    <row r="30" ht="24" customHeight="1" s="34">
      <c r="A30" s="40" t="inlineStr">
        <is>
          <t>Stack</t>
        </is>
      </c>
      <c r="B30" s="40">
        <f>INDIRECT("'"&amp;A30&amp;"'!B4")</f>
        <v/>
      </c>
      <c r="C30" s="40">
        <f>COUNTIF(INDIRECT("'"&amp;A30&amp;"'!H9:H200"),"not started")</f>
        <v/>
      </c>
      <c r="D30" s="40">
        <f>COUNTIF(INDIRECT("'"&amp;A30&amp;"'!H9:H200"),"partial")</f>
        <v/>
      </c>
      <c r="E30" s="40">
        <f>COUNTIF(INDIRECT("'"&amp;A30&amp;"'!H9:H200"),"implemented")</f>
        <v/>
      </c>
      <c r="F30" s="40">
        <f>COUNTIF(INDIRECT("'"&amp;A30&amp;"'!H9:H200"),"tested")</f>
        <v/>
      </c>
      <c r="G30" s="40">
        <f>COUNTIF(INDIRECT("'"&amp;A30&amp;"'!H9:H200"),"verified")</f>
        <v/>
      </c>
      <c r="H30" s="40">
        <f>COUNTIF(INDIRECT("'"&amp;A30&amp;"'!H9:H200"),"blocked")</f>
        <v/>
      </c>
      <c r="I30" s="40">
        <f>COUNTIF(INDIRECT("'"&amp;A30&amp;"'!H9:H200"),"not applicable")</f>
        <v/>
      </c>
      <c r="J30" s="41">
        <f>INDIRECT("'"&amp;A30&amp;"'!H4")</f>
        <v/>
      </c>
      <c r="K30" s="40">
        <f>INDIRECT("'"&amp;A30&amp;"'!K4")</f>
        <v/>
      </c>
      <c r="L30" s="40">
        <f>INDIRECT("'"&amp;A30&amp;"'!E5")</f>
        <v/>
      </c>
      <c r="M30" s="40">
        <f>IF(AND(J30=1,K30="complete",L30="complete"),"complete",IF(H30&gt;0,"blocked","open"))</f>
        <v/>
      </c>
    </row>
    <row r="31" ht="24" customHeight="1" s="34">
      <c r="A31" s="40" t="inlineStr">
        <is>
          <t>Text</t>
        </is>
      </c>
      <c r="B31" s="40">
        <f>INDIRECT("'"&amp;A31&amp;"'!B4")</f>
        <v/>
      </c>
      <c r="C31" s="40">
        <f>COUNTIF(INDIRECT("'"&amp;A31&amp;"'!H9:H200"),"not started")</f>
        <v/>
      </c>
      <c r="D31" s="40">
        <f>COUNTIF(INDIRECT("'"&amp;A31&amp;"'!H9:H200"),"partial")</f>
        <v/>
      </c>
      <c r="E31" s="40">
        <f>COUNTIF(INDIRECT("'"&amp;A31&amp;"'!H9:H200"),"implemented")</f>
        <v/>
      </c>
      <c r="F31" s="40">
        <f>COUNTIF(INDIRECT("'"&amp;A31&amp;"'!H9:H200"),"tested")</f>
        <v/>
      </c>
      <c r="G31" s="40">
        <f>COUNTIF(INDIRECT("'"&amp;A31&amp;"'!H9:H200"),"verified")</f>
        <v/>
      </c>
      <c r="H31" s="40">
        <f>COUNTIF(INDIRECT("'"&amp;A31&amp;"'!H9:H200"),"blocked")</f>
        <v/>
      </c>
      <c r="I31" s="40">
        <f>COUNTIF(INDIRECT("'"&amp;A31&amp;"'!H9:H200"),"not applicable")</f>
        <v/>
      </c>
      <c r="J31" s="41">
        <f>INDIRECT("'"&amp;A31&amp;"'!H4")</f>
        <v/>
      </c>
      <c r="K31" s="40">
        <f>INDIRECT("'"&amp;A31&amp;"'!K4")</f>
        <v/>
      </c>
      <c r="L31" s="40">
        <f>INDIRECT("'"&amp;A31&amp;"'!E5")</f>
        <v/>
      </c>
      <c r="M31" s="40">
        <f>IF(AND(J31=1,K31="complete",L31="complete"),"complete",IF(H31&gt;0,"blocked","open"))</f>
        <v/>
      </c>
    </row>
    <row r="32" ht="24" customHeight="1" s="34">
      <c r="A32" s="40" t="inlineStr">
        <is>
          <t>Grid</t>
        </is>
      </c>
      <c r="B32" s="40">
        <f>INDIRECT("'"&amp;A32&amp;"'!B4")</f>
        <v/>
      </c>
      <c r="C32" s="40">
        <f>COUNTIF(INDIRECT("'"&amp;A32&amp;"'!H9:H200"),"not started")</f>
        <v/>
      </c>
      <c r="D32" s="40">
        <f>COUNTIF(INDIRECT("'"&amp;A32&amp;"'!H9:H200"),"partial")</f>
        <v/>
      </c>
      <c r="E32" s="40">
        <f>COUNTIF(INDIRECT("'"&amp;A32&amp;"'!H9:H200"),"implemented")</f>
        <v/>
      </c>
      <c r="F32" s="40">
        <f>COUNTIF(INDIRECT("'"&amp;A32&amp;"'!H9:H200"),"tested")</f>
        <v/>
      </c>
      <c r="G32" s="40">
        <f>COUNTIF(INDIRECT("'"&amp;A32&amp;"'!H9:H200"),"verified")</f>
        <v/>
      </c>
      <c r="H32" s="40">
        <f>COUNTIF(INDIRECT("'"&amp;A32&amp;"'!H9:H200"),"blocked")</f>
        <v/>
      </c>
      <c r="I32" s="40">
        <f>COUNTIF(INDIRECT("'"&amp;A32&amp;"'!H9:H200"),"not applicable")</f>
        <v/>
      </c>
      <c r="J32" s="41">
        <f>INDIRECT("'"&amp;A32&amp;"'!H4")</f>
        <v/>
      </c>
      <c r="K32" s="40">
        <f>INDIRECT("'"&amp;A32&amp;"'!K4")</f>
        <v/>
      </c>
      <c r="L32" s="40">
        <f>INDIRECT("'"&amp;A32&amp;"'!E5")</f>
        <v/>
      </c>
      <c r="M32" s="40">
        <f>IF(AND(J32=1,K32="complete",L32="complete"),"complete",IF(H32&gt;0,"blocked","open"))</f>
        <v/>
      </c>
    </row>
    <row r="33" ht="24" customHeight="1" s="34">
      <c r="A33" s="40" t="inlineStr">
        <is>
          <t>Container</t>
        </is>
      </c>
      <c r="B33" s="40">
        <f>INDIRECT("'"&amp;A33&amp;"'!B4")</f>
        <v/>
      </c>
      <c r="C33" s="40">
        <f>COUNTIF(INDIRECT("'"&amp;A33&amp;"'!H9:H200"),"not started")</f>
        <v/>
      </c>
      <c r="D33" s="40">
        <f>COUNTIF(INDIRECT("'"&amp;A33&amp;"'!H9:H200"),"partial")</f>
        <v/>
      </c>
      <c r="E33" s="40">
        <f>COUNTIF(INDIRECT("'"&amp;A33&amp;"'!H9:H200"),"implemented")</f>
        <v/>
      </c>
      <c r="F33" s="40">
        <f>COUNTIF(INDIRECT("'"&amp;A33&amp;"'!H9:H200"),"tested")</f>
        <v/>
      </c>
      <c r="G33" s="40">
        <f>COUNTIF(INDIRECT("'"&amp;A33&amp;"'!H9:H200"),"verified")</f>
        <v/>
      </c>
      <c r="H33" s="40">
        <f>COUNTIF(INDIRECT("'"&amp;A33&amp;"'!H9:H200"),"blocked")</f>
        <v/>
      </c>
      <c r="I33" s="40">
        <f>COUNTIF(INDIRECT("'"&amp;A33&amp;"'!H9:H200"),"not applicable")</f>
        <v/>
      </c>
      <c r="J33" s="41">
        <f>INDIRECT("'"&amp;A33&amp;"'!H4")</f>
        <v/>
      </c>
      <c r="K33" s="40">
        <f>INDIRECT("'"&amp;A33&amp;"'!K4")</f>
        <v/>
      </c>
      <c r="L33" s="40">
        <f>INDIRECT("'"&amp;A33&amp;"'!E5")</f>
        <v/>
      </c>
      <c r="M33" s="40">
        <f>IF(AND(J33=1,K33="complete",L33="complete"),"complete",IF(H33&gt;0,"blocked","open"))</f>
        <v/>
      </c>
    </row>
    <row r="34" ht="24" customHeight="1" s="34">
      <c r="A34" s="40" t="inlineStr">
        <is>
          <t>Surface</t>
        </is>
      </c>
      <c r="B34" s="40">
        <f>INDIRECT("'"&amp;A34&amp;"'!B4")</f>
        <v/>
      </c>
      <c r="C34" s="40">
        <f>COUNTIF(INDIRECT("'"&amp;A34&amp;"'!H9:H200"),"not started")</f>
        <v/>
      </c>
      <c r="D34" s="40">
        <f>COUNTIF(INDIRECT("'"&amp;A34&amp;"'!H9:H200"),"partial")</f>
        <v/>
      </c>
      <c r="E34" s="40">
        <f>COUNTIF(INDIRECT("'"&amp;A34&amp;"'!H9:H200"),"implemented")</f>
        <v/>
      </c>
      <c r="F34" s="40">
        <f>COUNTIF(INDIRECT("'"&amp;A34&amp;"'!H9:H200"),"tested")</f>
        <v/>
      </c>
      <c r="G34" s="40">
        <f>COUNTIF(INDIRECT("'"&amp;A34&amp;"'!H9:H200"),"verified")</f>
        <v/>
      </c>
      <c r="H34" s="40">
        <f>COUNTIF(INDIRECT("'"&amp;A34&amp;"'!H9:H200"),"blocked")</f>
        <v/>
      </c>
      <c r="I34" s="40">
        <f>COUNTIF(INDIRECT("'"&amp;A34&amp;"'!H9:H200"),"not applicable")</f>
        <v/>
      </c>
      <c r="J34" s="41">
        <f>INDIRECT("'"&amp;A34&amp;"'!H4")</f>
        <v/>
      </c>
      <c r="K34" s="40">
        <f>INDIRECT("'"&amp;A34&amp;"'!K4")</f>
        <v/>
      </c>
      <c r="L34" s="40">
        <f>INDIRECT("'"&amp;A34&amp;"'!E5")</f>
        <v/>
      </c>
      <c r="M34" s="40">
        <f>IF(AND(J34=1,K34="complete",L34="complete"),"complete",IF(H34&gt;0,"blocked","open"))</f>
        <v/>
      </c>
    </row>
    <row r="35" ht="24" customHeight="1" s="34">
      <c r="A35" s="40" t="inlineStr">
        <is>
          <t>Divider</t>
        </is>
      </c>
      <c r="B35" s="40">
        <f>INDIRECT("'"&amp;A35&amp;"'!B4")</f>
        <v/>
      </c>
      <c r="C35" s="40">
        <f>COUNTIF(INDIRECT("'"&amp;A35&amp;"'!H9:H200"),"not started")</f>
        <v/>
      </c>
      <c r="D35" s="40">
        <f>COUNTIF(INDIRECT("'"&amp;A35&amp;"'!H9:H200"),"partial")</f>
        <v/>
      </c>
      <c r="E35" s="40">
        <f>COUNTIF(INDIRECT("'"&amp;A35&amp;"'!H9:H200"),"implemented")</f>
        <v/>
      </c>
      <c r="F35" s="40">
        <f>COUNTIF(INDIRECT("'"&amp;A35&amp;"'!H9:H200"),"tested")</f>
        <v/>
      </c>
      <c r="G35" s="40">
        <f>COUNTIF(INDIRECT("'"&amp;A35&amp;"'!H9:H200"),"verified")</f>
        <v/>
      </c>
      <c r="H35" s="40">
        <f>COUNTIF(INDIRECT("'"&amp;A35&amp;"'!H9:H200"),"blocked")</f>
        <v/>
      </c>
      <c r="I35" s="40">
        <f>COUNTIF(INDIRECT("'"&amp;A35&amp;"'!H9:H200"),"not applicable")</f>
        <v/>
      </c>
      <c r="J35" s="41">
        <f>INDIRECT("'"&amp;A35&amp;"'!H4")</f>
        <v/>
      </c>
      <c r="K35" s="40">
        <f>INDIRECT("'"&amp;A35&amp;"'!K4")</f>
        <v/>
      </c>
      <c r="L35" s="40">
        <f>INDIRECT("'"&amp;A35&amp;"'!E5")</f>
        <v/>
      </c>
      <c r="M35" s="40">
        <f>IF(AND(J35=1,K35="complete",L35="complete"),"complete",IF(H35&gt;0,"blocked","open"))</f>
        <v/>
      </c>
    </row>
    <row r="36" ht="24" customHeight="1" s="34">
      <c r="A36" s="40" t="inlineStr">
        <is>
          <t>Scroll Area</t>
        </is>
      </c>
      <c r="B36" s="40">
        <f>INDIRECT("'"&amp;A36&amp;"'!B4")</f>
        <v/>
      </c>
      <c r="C36" s="40">
        <f>COUNTIF(INDIRECT("'"&amp;A36&amp;"'!H9:H200"),"not started")</f>
        <v/>
      </c>
      <c r="D36" s="40">
        <f>COUNTIF(INDIRECT("'"&amp;A36&amp;"'!H9:H200"),"partial")</f>
        <v/>
      </c>
      <c r="E36" s="40">
        <f>COUNTIF(INDIRECT("'"&amp;A36&amp;"'!H9:H200"),"implemented")</f>
        <v/>
      </c>
      <c r="F36" s="40">
        <f>COUNTIF(INDIRECT("'"&amp;A36&amp;"'!H9:H200"),"tested")</f>
        <v/>
      </c>
      <c r="G36" s="40">
        <f>COUNTIF(INDIRECT("'"&amp;A36&amp;"'!H9:H200"),"verified")</f>
        <v/>
      </c>
      <c r="H36" s="40">
        <f>COUNTIF(INDIRECT("'"&amp;A36&amp;"'!H9:H200"),"blocked")</f>
        <v/>
      </c>
      <c r="I36" s="40">
        <f>COUNTIF(INDIRECT("'"&amp;A36&amp;"'!H9:H200"),"not applicable")</f>
        <v/>
      </c>
      <c r="J36" s="41">
        <f>INDIRECT("'"&amp;A36&amp;"'!H4")</f>
        <v/>
      </c>
      <c r="K36" s="40">
        <f>INDIRECT("'"&amp;A36&amp;"'!K4")</f>
        <v/>
      </c>
      <c r="L36" s="40">
        <f>INDIRECT("'"&amp;A36&amp;"'!E5")</f>
        <v/>
      </c>
      <c r="M36" s="40">
        <f>IF(AND(J36=1,K36="complete",L36="complete"),"complete",IF(H36&gt;0,"blocked","open"))</f>
        <v/>
      </c>
    </row>
    <row r="37" ht="24" customHeight="1" s="34">
      <c r="A37" s="40" t="inlineStr">
        <is>
          <t>Code</t>
        </is>
      </c>
      <c r="B37" s="40">
        <f>INDIRECT("'"&amp;A37&amp;"'!B4")</f>
        <v/>
      </c>
      <c r="C37" s="40">
        <f>COUNTIF(INDIRECT("'"&amp;A37&amp;"'!H9:H200"),"not started")</f>
        <v/>
      </c>
      <c r="D37" s="40">
        <f>COUNTIF(INDIRECT("'"&amp;A37&amp;"'!H9:H200"),"partial")</f>
        <v/>
      </c>
      <c r="E37" s="40">
        <f>COUNTIF(INDIRECT("'"&amp;A37&amp;"'!H9:H200"),"implemented")</f>
        <v/>
      </c>
      <c r="F37" s="40">
        <f>COUNTIF(INDIRECT("'"&amp;A37&amp;"'!H9:H200"),"tested")</f>
        <v/>
      </c>
      <c r="G37" s="40">
        <f>COUNTIF(INDIRECT("'"&amp;A37&amp;"'!H9:H200"),"verified")</f>
        <v/>
      </c>
      <c r="H37" s="40">
        <f>COUNTIF(INDIRECT("'"&amp;A37&amp;"'!H9:H200"),"blocked")</f>
        <v/>
      </c>
      <c r="I37" s="40">
        <f>COUNTIF(INDIRECT("'"&amp;A37&amp;"'!H9:H200"),"not applicable")</f>
        <v/>
      </c>
      <c r="J37" s="41">
        <f>INDIRECT("'"&amp;A37&amp;"'!H4")</f>
        <v/>
      </c>
      <c r="K37" s="40">
        <f>INDIRECT("'"&amp;A37&amp;"'!K4")</f>
        <v/>
      </c>
      <c r="L37" s="40">
        <f>INDIRECT("'"&amp;A37&amp;"'!E5")</f>
        <v/>
      </c>
      <c r="M37" s="40">
        <f>IF(AND(J37=1,K37="complete",L37="complete"),"complete",IF(H37&gt;0,"blocked","open"))</f>
        <v/>
      </c>
    </row>
    <row r="38" ht="24" customHeight="1" s="34">
      <c r="A38" s="40" t="inlineStr">
        <is>
          <t>Code Block</t>
        </is>
      </c>
      <c r="B38" s="40">
        <f>INDIRECT("'"&amp;A38&amp;"'!B4")</f>
        <v/>
      </c>
      <c r="C38" s="40">
        <f>COUNTIF(INDIRECT("'"&amp;A38&amp;"'!H9:H200"),"not started")</f>
        <v/>
      </c>
      <c r="D38" s="40">
        <f>COUNTIF(INDIRECT("'"&amp;A38&amp;"'!H9:H200"),"partial")</f>
        <v/>
      </c>
      <c r="E38" s="40">
        <f>COUNTIF(INDIRECT("'"&amp;A38&amp;"'!H9:H200"),"implemented")</f>
        <v/>
      </c>
      <c r="F38" s="40">
        <f>COUNTIF(INDIRECT("'"&amp;A38&amp;"'!H9:H200"),"tested")</f>
        <v/>
      </c>
      <c r="G38" s="40">
        <f>COUNTIF(INDIRECT("'"&amp;A38&amp;"'!H9:H200"),"verified")</f>
        <v/>
      </c>
      <c r="H38" s="40">
        <f>COUNTIF(INDIRECT("'"&amp;A38&amp;"'!H9:H200"),"blocked")</f>
        <v/>
      </c>
      <c r="I38" s="40">
        <f>COUNTIF(INDIRECT("'"&amp;A38&amp;"'!H9:H200"),"not applicable")</f>
        <v/>
      </c>
      <c r="J38" s="41">
        <f>INDIRECT("'"&amp;A38&amp;"'!H4")</f>
        <v/>
      </c>
      <c r="K38" s="40">
        <f>INDIRECT("'"&amp;A38&amp;"'!K4")</f>
        <v/>
      </c>
      <c r="L38" s="40">
        <f>INDIRECT("'"&amp;A38&amp;"'!E5")</f>
        <v/>
      </c>
      <c r="M38" s="40">
        <f>IF(AND(J38=1,K38="complete",L38="complete"),"complete",IF(H38&gt;0,"blocked","open"))</f>
        <v/>
      </c>
    </row>
    <row r="39" ht="24" customHeight="1" s="34">
      <c r="A39" s="40" t="inlineStr">
        <is>
          <t>Nav List</t>
        </is>
      </c>
      <c r="B39" s="40">
        <f>INDIRECT("'"&amp;A39&amp;"'!B4")</f>
        <v/>
      </c>
      <c r="C39" s="40">
        <f>COUNTIF(INDIRECT("'"&amp;A39&amp;"'!H9:H200"),"not started")</f>
        <v/>
      </c>
      <c r="D39" s="40">
        <f>COUNTIF(INDIRECT("'"&amp;A39&amp;"'!H9:H200"),"partial")</f>
        <v/>
      </c>
      <c r="E39" s="40">
        <f>COUNTIF(INDIRECT("'"&amp;A39&amp;"'!H9:H200"),"implemented")</f>
        <v/>
      </c>
      <c r="F39" s="40">
        <f>COUNTIF(INDIRECT("'"&amp;A39&amp;"'!H9:H200"),"tested")</f>
        <v/>
      </c>
      <c r="G39" s="40">
        <f>COUNTIF(INDIRECT("'"&amp;A39&amp;"'!H9:H200"),"verified")</f>
        <v/>
      </c>
      <c r="H39" s="40">
        <f>COUNTIF(INDIRECT("'"&amp;A39&amp;"'!H9:H200"),"blocked")</f>
        <v/>
      </c>
      <c r="I39" s="40">
        <f>COUNTIF(INDIRECT("'"&amp;A39&amp;"'!H9:H200"),"not applicable")</f>
        <v/>
      </c>
      <c r="J39" s="41">
        <f>INDIRECT("'"&amp;A39&amp;"'!H4")</f>
        <v/>
      </c>
      <c r="K39" s="40">
        <f>INDIRECT("'"&amp;A39&amp;"'!K4")</f>
        <v/>
      </c>
      <c r="L39" s="40">
        <f>INDIRECT("'"&amp;A39&amp;"'!E5")</f>
        <v/>
      </c>
      <c r="M39" s="40">
        <f>IF(AND(J39=1,K39="complete",L39="complete"),"complete",IF(H39&gt;0,"blocked","open"))</f>
        <v/>
      </c>
    </row>
    <row r="40" ht="24" customHeight="1" s="34">
      <c r="A40" s="40" t="inlineStr">
        <is>
          <t>Sidebar</t>
        </is>
      </c>
      <c r="B40" s="40">
        <f>INDIRECT("'"&amp;A40&amp;"'!B4")</f>
        <v/>
      </c>
      <c r="C40" s="40">
        <f>COUNTIF(INDIRECT("'"&amp;A40&amp;"'!H9:H200"),"not started")</f>
        <v/>
      </c>
      <c r="D40" s="40">
        <f>COUNTIF(INDIRECT("'"&amp;A40&amp;"'!H9:H200"),"partial")</f>
        <v/>
      </c>
      <c r="E40" s="40">
        <f>COUNTIF(INDIRECT("'"&amp;A40&amp;"'!H9:H200"),"implemented")</f>
        <v/>
      </c>
      <c r="F40" s="40">
        <f>COUNTIF(INDIRECT("'"&amp;A40&amp;"'!H9:H200"),"tested")</f>
        <v/>
      </c>
      <c r="G40" s="40">
        <f>COUNTIF(INDIRECT("'"&amp;A40&amp;"'!H9:H200"),"verified")</f>
        <v/>
      </c>
      <c r="H40" s="40">
        <f>COUNTIF(INDIRECT("'"&amp;A40&amp;"'!H9:H200"),"blocked")</f>
        <v/>
      </c>
      <c r="I40" s="40">
        <f>COUNTIF(INDIRECT("'"&amp;A40&amp;"'!H9:H200"),"not applicable")</f>
        <v/>
      </c>
      <c r="J40" s="41">
        <f>INDIRECT("'"&amp;A40&amp;"'!H4")</f>
        <v/>
      </c>
      <c r="K40" s="40">
        <f>INDIRECT("'"&amp;A40&amp;"'!K4")</f>
        <v/>
      </c>
      <c r="L40" s="40">
        <f>INDIRECT("'"&amp;A40&amp;"'!E5")</f>
        <v/>
      </c>
      <c r="M40" s="40">
        <f>IF(AND(J40=1,K40="complete",L40="complete"),"complete",IF(H40&gt;0,"blocked","open"))</f>
        <v/>
      </c>
    </row>
    <row r="41" ht="24" customHeight="1" s="34">
      <c r="A41" s="40" t="inlineStr">
        <is>
          <t>Icon</t>
        </is>
      </c>
      <c r="B41" s="40">
        <f>INDIRECT("'"&amp;A41&amp;"'!B4")</f>
        <v/>
      </c>
      <c r="C41" s="40">
        <f>COUNTIF(INDIRECT("'"&amp;A41&amp;"'!H9:H200"),"not started")</f>
        <v/>
      </c>
      <c r="D41" s="40">
        <f>COUNTIF(INDIRECT("'"&amp;A41&amp;"'!H9:H200"),"partial")</f>
        <v/>
      </c>
      <c r="E41" s="40">
        <f>COUNTIF(INDIRECT("'"&amp;A41&amp;"'!H9:H200"),"implemented")</f>
        <v/>
      </c>
      <c r="F41" s="40">
        <f>COUNTIF(INDIRECT("'"&amp;A41&amp;"'!H9:H200"),"tested")</f>
        <v/>
      </c>
      <c r="G41" s="40">
        <f>COUNTIF(INDIRECT("'"&amp;A41&amp;"'!H9:H200"),"verified")</f>
        <v/>
      </c>
      <c r="H41" s="40">
        <f>COUNTIF(INDIRECT("'"&amp;A41&amp;"'!H9:H200"),"blocked")</f>
        <v/>
      </c>
      <c r="I41" s="40">
        <f>COUNTIF(INDIRECT("'"&amp;A41&amp;"'!H9:H200"),"not applicable")</f>
        <v/>
      </c>
      <c r="J41" s="41">
        <f>INDIRECT("'"&amp;A41&amp;"'!H4")</f>
        <v/>
      </c>
      <c r="K41" s="40">
        <f>INDIRECT("'"&amp;A41&amp;"'!K4")</f>
        <v/>
      </c>
      <c r="L41" s="40">
        <f>INDIRECT("'"&amp;A41&amp;"'!E5")</f>
        <v/>
      </c>
      <c r="M41" s="40">
        <f>IF(AND(J41=1,K41="complete",L41="complete"),"complete",IF(H41&gt;0,"blocked","open"))</f>
        <v/>
      </c>
    </row>
    <row r="42" ht="24" customHeight="1" s="34">
      <c r="A42" s="40" t="inlineStr">
        <is>
          <t>Image</t>
        </is>
      </c>
      <c r="B42" s="40">
        <f>INDIRECT("'"&amp;A42&amp;"'!B4")</f>
        <v/>
      </c>
      <c r="C42" s="40">
        <f>COUNTIF(INDIRECT("'"&amp;A42&amp;"'!H9:H200"),"not started")</f>
        <v/>
      </c>
      <c r="D42" s="40">
        <f>COUNTIF(INDIRECT("'"&amp;A42&amp;"'!H9:H200"),"partial")</f>
        <v/>
      </c>
      <c r="E42" s="40">
        <f>COUNTIF(INDIRECT("'"&amp;A42&amp;"'!H9:H200"),"implemented")</f>
        <v/>
      </c>
      <c r="F42" s="40">
        <f>COUNTIF(INDIRECT("'"&amp;A42&amp;"'!H9:H200"),"tested")</f>
        <v/>
      </c>
      <c r="G42" s="40">
        <f>COUNTIF(INDIRECT("'"&amp;A42&amp;"'!H9:H200"),"verified")</f>
        <v/>
      </c>
      <c r="H42" s="40">
        <f>COUNTIF(INDIRECT("'"&amp;A42&amp;"'!H9:H200"),"blocked")</f>
        <v/>
      </c>
      <c r="I42" s="40">
        <f>COUNTIF(INDIRECT("'"&amp;A42&amp;"'!H9:H200"),"not applicable")</f>
        <v/>
      </c>
      <c r="J42" s="41">
        <f>INDIRECT("'"&amp;A42&amp;"'!H4")</f>
        <v/>
      </c>
      <c r="K42" s="40">
        <f>INDIRECT("'"&amp;A42&amp;"'!K4")</f>
        <v/>
      </c>
      <c r="L42" s="40">
        <f>INDIRECT("'"&amp;A42&amp;"'!E5")</f>
        <v/>
      </c>
      <c r="M42" s="40">
        <f>IF(AND(J42=1,K42="complete",L42="complete"),"complete",IF(H42&gt;0,"blocked","open"))</f>
        <v/>
      </c>
    </row>
    <row r="43" ht="24" customHeight="1" s="34">
      <c r="A43" s="40" t="inlineStr">
        <is>
          <t>List</t>
        </is>
      </c>
      <c r="B43" s="40">
        <f>INDIRECT("'"&amp;A43&amp;"'!B4")</f>
        <v/>
      </c>
      <c r="C43" s="40">
        <f>COUNTIF(INDIRECT("'"&amp;A43&amp;"'!H9:H200"),"not started")</f>
        <v/>
      </c>
      <c r="D43" s="40">
        <f>COUNTIF(INDIRECT("'"&amp;A43&amp;"'!H9:H200"),"partial")</f>
        <v/>
      </c>
      <c r="E43" s="40">
        <f>COUNTIF(INDIRECT("'"&amp;A43&amp;"'!H9:H200"),"implemented")</f>
        <v/>
      </c>
      <c r="F43" s="40">
        <f>COUNTIF(INDIRECT("'"&amp;A43&amp;"'!H9:H200"),"tested")</f>
        <v/>
      </c>
      <c r="G43" s="40">
        <f>COUNTIF(INDIRECT("'"&amp;A43&amp;"'!H9:H200"),"verified")</f>
        <v/>
      </c>
      <c r="H43" s="40">
        <f>COUNTIF(INDIRECT("'"&amp;A43&amp;"'!H9:H200"),"blocked")</f>
        <v/>
      </c>
      <c r="I43" s="40">
        <f>COUNTIF(INDIRECT("'"&amp;A43&amp;"'!H9:H200"),"not applicable")</f>
        <v/>
      </c>
      <c r="J43" s="41">
        <f>INDIRECT("'"&amp;A43&amp;"'!H4")</f>
        <v/>
      </c>
      <c r="K43" s="40">
        <f>INDIRECT("'"&amp;A43&amp;"'!K4")</f>
        <v/>
      </c>
      <c r="L43" s="40">
        <f>INDIRECT("'"&amp;A43&amp;"'!E5")</f>
        <v/>
      </c>
      <c r="M43" s="40">
        <f>IF(AND(J43=1,K43="complete",L43="complete"),"complete",IF(H43&gt;0,"blocked","open"))</f>
        <v/>
      </c>
    </row>
    <row r="44" ht="24" customHeight="1" s="34">
      <c r="A44" s="40" t="inlineStr">
        <is>
          <t>Select</t>
        </is>
      </c>
      <c r="B44" s="40">
        <f>INDIRECT("'"&amp;A44&amp;"'!B4")</f>
        <v/>
      </c>
      <c r="C44" s="40">
        <f>COUNTIF(INDIRECT("'"&amp;A44&amp;"'!H9:H200"),"not started")</f>
        <v/>
      </c>
      <c r="D44" s="40">
        <f>COUNTIF(INDIRECT("'"&amp;A44&amp;"'!H9:H200"),"partial")</f>
        <v/>
      </c>
      <c r="E44" s="40">
        <f>COUNTIF(INDIRECT("'"&amp;A44&amp;"'!H9:H200"),"implemented")</f>
        <v/>
      </c>
      <c r="F44" s="40">
        <f>COUNTIF(INDIRECT("'"&amp;A44&amp;"'!H9:H200"),"tested")</f>
        <v/>
      </c>
      <c r="G44" s="40">
        <f>COUNTIF(INDIRECT("'"&amp;A44&amp;"'!H9:H200"),"verified")</f>
        <v/>
      </c>
      <c r="H44" s="40">
        <f>COUNTIF(INDIRECT("'"&amp;A44&amp;"'!H9:H200"),"blocked")</f>
        <v/>
      </c>
      <c r="I44" s="40">
        <f>COUNTIF(INDIRECT("'"&amp;A44&amp;"'!H9:H200"),"not applicable")</f>
        <v/>
      </c>
      <c r="J44" s="41">
        <f>INDIRECT("'"&amp;A44&amp;"'!H4")</f>
        <v/>
      </c>
      <c r="K44" s="40">
        <f>INDIRECT("'"&amp;A44&amp;"'!K4")</f>
        <v/>
      </c>
      <c r="L44" s="40">
        <f>INDIRECT("'"&amp;A44&amp;"'!E5")</f>
        <v/>
      </c>
      <c r="M44" s="40">
        <f>IF(AND(J44=1,K44="complete",L44="complete"),"complete",IF(H44&gt;0,"blocked","open"))</f>
        <v/>
      </c>
    </row>
    <row r="45" ht="24" customHeight="1" s="34">
      <c r="A45" s="40" t="inlineStr">
        <is>
          <t>Multi Select</t>
        </is>
      </c>
      <c r="B45" s="40">
        <f>INDIRECT("'"&amp;A45&amp;"'!B4")</f>
        <v/>
      </c>
      <c r="C45" s="40">
        <f>COUNTIF(INDIRECT("'"&amp;A45&amp;"'!H9:H200"),"not started")</f>
        <v/>
      </c>
      <c r="D45" s="40">
        <f>COUNTIF(INDIRECT("'"&amp;A45&amp;"'!H9:H200"),"partial")</f>
        <v/>
      </c>
      <c r="E45" s="40">
        <f>COUNTIF(INDIRECT("'"&amp;A45&amp;"'!H9:H200"),"implemented")</f>
        <v/>
      </c>
      <c r="F45" s="40">
        <f>COUNTIF(INDIRECT("'"&amp;A45&amp;"'!H9:H200"),"tested")</f>
        <v/>
      </c>
      <c r="G45" s="40">
        <f>COUNTIF(INDIRECT("'"&amp;A45&amp;"'!H9:H200"),"verified")</f>
        <v/>
      </c>
      <c r="H45" s="40">
        <f>COUNTIF(INDIRECT("'"&amp;A45&amp;"'!H9:H200"),"blocked")</f>
        <v/>
      </c>
      <c r="I45" s="40">
        <f>COUNTIF(INDIRECT("'"&amp;A45&amp;"'!H9:H200"),"not applicable")</f>
        <v/>
      </c>
      <c r="J45" s="41">
        <f>INDIRECT("'"&amp;A45&amp;"'!H4")</f>
        <v/>
      </c>
      <c r="K45" s="40">
        <f>INDIRECT("'"&amp;A45&amp;"'!K4")</f>
        <v/>
      </c>
      <c r="L45" s="40">
        <f>INDIRECT("'"&amp;A45&amp;"'!E5")</f>
        <v/>
      </c>
      <c r="M45" s="40">
        <f>IF(AND(J45=1,K45="complete",L45="complete"),"complete",IF(H45&gt;0,"blocked","open"))</f>
        <v/>
      </c>
    </row>
    <row r="46" ht="24" customHeight="1" s="34">
      <c r="A46" s="40" t="inlineStr">
        <is>
          <t>Textarea</t>
        </is>
      </c>
      <c r="B46" s="40">
        <f>INDIRECT("'"&amp;A46&amp;"'!B4")</f>
        <v/>
      </c>
      <c r="C46" s="40">
        <f>COUNTIF(INDIRECT("'"&amp;A46&amp;"'!H9:H200"),"not started")</f>
        <v/>
      </c>
      <c r="D46" s="40">
        <f>COUNTIF(INDIRECT("'"&amp;A46&amp;"'!H9:H200"),"partial")</f>
        <v/>
      </c>
      <c r="E46" s="40">
        <f>COUNTIF(INDIRECT("'"&amp;A46&amp;"'!H9:H200"),"implemented")</f>
        <v/>
      </c>
      <c r="F46" s="40">
        <f>COUNTIF(INDIRECT("'"&amp;A46&amp;"'!H9:H200"),"tested")</f>
        <v/>
      </c>
      <c r="G46" s="40">
        <f>COUNTIF(INDIRECT("'"&amp;A46&amp;"'!H9:H200"),"verified")</f>
        <v/>
      </c>
      <c r="H46" s="40">
        <f>COUNTIF(INDIRECT("'"&amp;A46&amp;"'!H9:H200"),"blocked")</f>
        <v/>
      </c>
      <c r="I46" s="40">
        <f>COUNTIF(INDIRECT("'"&amp;A46&amp;"'!H9:H200"),"not applicable")</f>
        <v/>
      </c>
      <c r="J46" s="41">
        <f>INDIRECT("'"&amp;A46&amp;"'!H4")</f>
        <v/>
      </c>
      <c r="K46" s="40">
        <f>INDIRECT("'"&amp;A46&amp;"'!K4")</f>
        <v/>
      </c>
      <c r="L46" s="40">
        <f>INDIRECT("'"&amp;A46&amp;"'!E5")</f>
        <v/>
      </c>
      <c r="M46" s="40">
        <f>IF(AND(J46=1,K46="complete",L46="complete"),"complete",IF(H46&gt;0,"blocked","open"))</f>
        <v/>
      </c>
    </row>
    <row r="47" ht="24" customHeight="1" s="34">
      <c r="A47" s="40" t="inlineStr">
        <is>
          <t>Radio Group</t>
        </is>
      </c>
      <c r="B47" s="40">
        <f>INDIRECT("'"&amp;A47&amp;"'!B4")</f>
        <v/>
      </c>
      <c r="C47" s="40">
        <f>COUNTIF(INDIRECT("'"&amp;A47&amp;"'!H9:H200"),"not started")</f>
        <v/>
      </c>
      <c r="D47" s="40">
        <f>COUNTIF(INDIRECT("'"&amp;A47&amp;"'!H9:H200"),"partial")</f>
        <v/>
      </c>
      <c r="E47" s="40">
        <f>COUNTIF(INDIRECT("'"&amp;A47&amp;"'!H9:H200"),"implemented")</f>
        <v/>
      </c>
      <c r="F47" s="40">
        <f>COUNTIF(INDIRECT("'"&amp;A47&amp;"'!H9:H200"),"tested")</f>
        <v/>
      </c>
      <c r="G47" s="40">
        <f>COUNTIF(INDIRECT("'"&amp;A47&amp;"'!H9:H200"),"verified")</f>
        <v/>
      </c>
      <c r="H47" s="40">
        <f>COUNTIF(INDIRECT("'"&amp;A47&amp;"'!H9:H200"),"blocked")</f>
        <v/>
      </c>
      <c r="I47" s="40">
        <f>COUNTIF(INDIRECT("'"&amp;A47&amp;"'!H9:H200"),"not applicable")</f>
        <v/>
      </c>
      <c r="J47" s="41">
        <f>INDIRECT("'"&amp;A47&amp;"'!H4")</f>
        <v/>
      </c>
      <c r="K47" s="40">
        <f>INDIRECT("'"&amp;A47&amp;"'!K4")</f>
        <v/>
      </c>
      <c r="L47" s="40">
        <f>INDIRECT("'"&amp;A47&amp;"'!E5")</f>
        <v/>
      </c>
      <c r="M47" s="40">
        <f>IF(AND(J47=1,K47="complete",L47="complete"),"complete",IF(H47&gt;0,"blocked","open"))</f>
        <v/>
      </c>
    </row>
    <row r="48" ht="24" customHeight="1" s="34">
      <c r="A48" s="40" t="inlineStr">
        <is>
          <t>Switch</t>
        </is>
      </c>
      <c r="B48" s="40">
        <f>INDIRECT("'"&amp;A48&amp;"'!B4")</f>
        <v/>
      </c>
      <c r="C48" s="40">
        <f>COUNTIF(INDIRECT("'"&amp;A48&amp;"'!H9:H200"),"not started")</f>
        <v/>
      </c>
      <c r="D48" s="40">
        <f>COUNTIF(INDIRECT("'"&amp;A48&amp;"'!H9:H200"),"partial")</f>
        <v/>
      </c>
      <c r="E48" s="40">
        <f>COUNTIF(INDIRECT("'"&amp;A48&amp;"'!H9:H200"),"implemented")</f>
        <v/>
      </c>
      <c r="F48" s="40">
        <f>COUNTIF(INDIRECT("'"&amp;A48&amp;"'!H9:H200"),"tested")</f>
        <v/>
      </c>
      <c r="G48" s="40">
        <f>COUNTIF(INDIRECT("'"&amp;A48&amp;"'!H9:H200"),"verified")</f>
        <v/>
      </c>
      <c r="H48" s="40">
        <f>COUNTIF(INDIRECT("'"&amp;A48&amp;"'!H9:H200"),"blocked")</f>
        <v/>
      </c>
      <c r="I48" s="40">
        <f>COUNTIF(INDIRECT("'"&amp;A48&amp;"'!H9:H200"),"not applicable")</f>
        <v/>
      </c>
      <c r="J48" s="41">
        <f>INDIRECT("'"&amp;A48&amp;"'!H4")</f>
        <v/>
      </c>
      <c r="K48" s="40">
        <f>INDIRECT("'"&amp;A48&amp;"'!K4")</f>
        <v/>
      </c>
      <c r="L48" s="40">
        <f>INDIRECT("'"&amp;A48&amp;"'!E5")</f>
        <v/>
      </c>
      <c r="M48" s="40">
        <f>IF(AND(J48=1,K48="complete",L48="complete"),"complete",IF(H48&gt;0,"blocked","open"))</f>
        <v/>
      </c>
    </row>
    <row r="49" ht="24" customHeight="1" s="34">
      <c r="A49" s="40" t="inlineStr">
        <is>
          <t>Breadcrumb</t>
        </is>
      </c>
      <c r="B49" s="40">
        <f>INDIRECT("'"&amp;A49&amp;"'!B4")</f>
        <v/>
      </c>
      <c r="C49" s="40">
        <f>COUNTIF(INDIRECT("'"&amp;A49&amp;"'!H9:H200"),"not started")</f>
        <v/>
      </c>
      <c r="D49" s="40">
        <f>COUNTIF(INDIRECT("'"&amp;A49&amp;"'!H9:H200"),"partial")</f>
        <v/>
      </c>
      <c r="E49" s="40">
        <f>COUNTIF(INDIRECT("'"&amp;A49&amp;"'!H9:H200"),"implemented")</f>
        <v/>
      </c>
      <c r="F49" s="40">
        <f>COUNTIF(INDIRECT("'"&amp;A49&amp;"'!H9:H200"),"tested")</f>
        <v/>
      </c>
      <c r="G49" s="40">
        <f>COUNTIF(INDIRECT("'"&amp;A49&amp;"'!H9:H200"),"verified")</f>
        <v/>
      </c>
      <c r="H49" s="40">
        <f>COUNTIF(INDIRECT("'"&amp;A49&amp;"'!H9:H200"),"blocked")</f>
        <v/>
      </c>
      <c r="I49" s="40">
        <f>COUNTIF(INDIRECT("'"&amp;A49&amp;"'!H9:H200"),"not applicable")</f>
        <v/>
      </c>
      <c r="J49" s="41">
        <f>INDIRECT("'"&amp;A49&amp;"'!H4")</f>
        <v/>
      </c>
      <c r="K49" s="40">
        <f>INDIRECT("'"&amp;A49&amp;"'!K4")</f>
        <v/>
      </c>
      <c r="L49" s="40">
        <f>INDIRECT("'"&amp;A49&amp;"'!E5")</f>
        <v/>
      </c>
      <c r="M49" s="40">
        <f>IF(AND(J49=1,K49="complete",L49="complete"),"complete",IF(H49&gt;0,"blocked","open"))</f>
        <v/>
      </c>
    </row>
    <row r="50" ht="24" customHeight="1" s="34">
      <c r="A50" s="40" t="inlineStr">
        <is>
          <t>Tabs</t>
        </is>
      </c>
      <c r="B50" s="40">
        <f>INDIRECT("'"&amp;A50&amp;"'!B4")</f>
        <v/>
      </c>
      <c r="C50" s="40">
        <f>COUNTIF(INDIRECT("'"&amp;A50&amp;"'!H9:H200"),"not started")</f>
        <v/>
      </c>
      <c r="D50" s="40">
        <f>COUNTIF(INDIRECT("'"&amp;A50&amp;"'!H9:H200"),"partial")</f>
        <v/>
      </c>
      <c r="E50" s="40">
        <f>COUNTIF(INDIRECT("'"&amp;A50&amp;"'!H9:H200"),"implemented")</f>
        <v/>
      </c>
      <c r="F50" s="40">
        <f>COUNTIF(INDIRECT("'"&amp;A50&amp;"'!H9:H200"),"tested")</f>
        <v/>
      </c>
      <c r="G50" s="40">
        <f>COUNTIF(INDIRECT("'"&amp;A50&amp;"'!H9:H200"),"verified")</f>
        <v/>
      </c>
      <c r="H50" s="40">
        <f>COUNTIF(INDIRECT("'"&amp;A50&amp;"'!H9:H200"),"blocked")</f>
        <v/>
      </c>
      <c r="I50" s="40">
        <f>COUNTIF(INDIRECT("'"&amp;A50&amp;"'!H9:H200"),"not applicable")</f>
        <v/>
      </c>
      <c r="J50" s="41">
        <f>INDIRECT("'"&amp;A50&amp;"'!H4")</f>
        <v/>
      </c>
      <c r="K50" s="40">
        <f>INDIRECT("'"&amp;A50&amp;"'!K4")</f>
        <v/>
      </c>
      <c r="L50" s="40">
        <f>INDIRECT("'"&amp;A50&amp;"'!E5")</f>
        <v/>
      </c>
      <c r="M50" s="40">
        <f>IF(AND(J50=1,K50="complete",L50="complete"),"complete",IF(H50&gt;0,"blocked","open"))</f>
        <v/>
      </c>
    </row>
    <row r="51" ht="24" customHeight="1" s="34">
      <c r="A51" s="40" t="inlineStr">
        <is>
          <t>Skeleton</t>
        </is>
      </c>
      <c r="B51" s="40">
        <f>INDIRECT("'"&amp;A51&amp;"'!B4")</f>
        <v/>
      </c>
      <c r="C51" s="40">
        <f>COUNTIF(INDIRECT("'"&amp;A51&amp;"'!H9:H200"),"not started")</f>
        <v/>
      </c>
      <c r="D51" s="40">
        <f>COUNTIF(INDIRECT("'"&amp;A51&amp;"'!H9:H200"),"partial")</f>
        <v/>
      </c>
      <c r="E51" s="40">
        <f>COUNTIF(INDIRECT("'"&amp;A51&amp;"'!H9:H200"),"implemented")</f>
        <v/>
      </c>
      <c r="F51" s="40">
        <f>COUNTIF(INDIRECT("'"&amp;A51&amp;"'!H9:H200"),"tested")</f>
        <v/>
      </c>
      <c r="G51" s="40">
        <f>COUNTIF(INDIRECT("'"&amp;A51&amp;"'!H9:H200"),"verified")</f>
        <v/>
      </c>
      <c r="H51" s="40">
        <f>COUNTIF(INDIRECT("'"&amp;A51&amp;"'!H9:H200"),"blocked")</f>
        <v/>
      </c>
      <c r="I51" s="40">
        <f>COUNTIF(INDIRECT("'"&amp;A51&amp;"'!H9:H200"),"not applicable")</f>
        <v/>
      </c>
      <c r="J51" s="41">
        <f>INDIRECT("'"&amp;A51&amp;"'!H4")</f>
        <v/>
      </c>
      <c r="K51" s="40">
        <f>INDIRECT("'"&amp;A51&amp;"'!K4")</f>
        <v/>
      </c>
      <c r="L51" s="40">
        <f>INDIRECT("'"&amp;A51&amp;"'!E5")</f>
        <v/>
      </c>
      <c r="M51" s="40">
        <f>IF(AND(J51=1,K51="complete",L51="complete"),"complete",IF(H51&gt;0,"blocked","open"))</f>
        <v/>
      </c>
    </row>
    <row r="52" ht="24" customHeight="1" s="34">
      <c r="A52" s="40" t="inlineStr">
        <is>
          <t>Dropdown Menu</t>
        </is>
      </c>
      <c r="B52" s="40">
        <f>INDIRECT("'"&amp;A52&amp;"'!B4")</f>
        <v/>
      </c>
      <c r="C52" s="40">
        <f>COUNTIF(INDIRECT("'"&amp;A52&amp;"'!H9:H200"),"not started")</f>
        <v/>
      </c>
      <c r="D52" s="40">
        <f>COUNTIF(INDIRECT("'"&amp;A52&amp;"'!H9:H200"),"partial")</f>
        <v/>
      </c>
      <c r="E52" s="40">
        <f>COUNTIF(INDIRECT("'"&amp;A52&amp;"'!H9:H200"),"implemented")</f>
        <v/>
      </c>
      <c r="F52" s="40">
        <f>COUNTIF(INDIRECT("'"&amp;A52&amp;"'!H9:H200"),"tested")</f>
        <v/>
      </c>
      <c r="G52" s="40">
        <f>COUNTIF(INDIRECT("'"&amp;A52&amp;"'!H9:H200"),"verified")</f>
        <v/>
      </c>
      <c r="H52" s="40">
        <f>COUNTIF(INDIRECT("'"&amp;A52&amp;"'!H9:H200"),"blocked")</f>
        <v/>
      </c>
      <c r="I52" s="40">
        <f>COUNTIF(INDIRECT("'"&amp;A52&amp;"'!H9:H200"),"not applicable")</f>
        <v/>
      </c>
      <c r="J52" s="41">
        <f>INDIRECT("'"&amp;A52&amp;"'!H4")</f>
        <v/>
      </c>
      <c r="K52" s="40">
        <f>INDIRECT("'"&amp;A52&amp;"'!K4")</f>
        <v/>
      </c>
      <c r="L52" s="40">
        <f>INDIRECT("'"&amp;A52&amp;"'!E5")</f>
        <v/>
      </c>
      <c r="M52" s="40">
        <f>IF(AND(J52=1,K52="complete",L52="complete"),"complete",IF(H52&gt;0,"blocked","open"))</f>
        <v/>
      </c>
    </row>
    <row r="53" ht="24" customHeight="1" s="34">
      <c r="A53" s="40" t="inlineStr">
        <is>
          <t>Context Menu</t>
        </is>
      </c>
      <c r="B53" s="40">
        <f>INDIRECT("'"&amp;A53&amp;"'!B4")</f>
        <v/>
      </c>
      <c r="C53" s="40">
        <f>COUNTIF(INDIRECT("'"&amp;A53&amp;"'!H9:H200"),"not started")</f>
        <v/>
      </c>
      <c r="D53" s="40">
        <f>COUNTIF(INDIRECT("'"&amp;A53&amp;"'!H9:H200"),"partial")</f>
        <v/>
      </c>
      <c r="E53" s="40">
        <f>COUNTIF(INDIRECT("'"&amp;A53&amp;"'!H9:H200"),"implemented")</f>
        <v/>
      </c>
      <c r="F53" s="40">
        <f>COUNTIF(INDIRECT("'"&amp;A53&amp;"'!H9:H200"),"tested")</f>
        <v/>
      </c>
      <c r="G53" s="40">
        <f>COUNTIF(INDIRECT("'"&amp;A53&amp;"'!H9:H200"),"verified")</f>
        <v/>
      </c>
      <c r="H53" s="40">
        <f>COUNTIF(INDIRECT("'"&amp;A53&amp;"'!H9:H200"),"blocked")</f>
        <v/>
      </c>
      <c r="I53" s="40">
        <f>COUNTIF(INDIRECT("'"&amp;A53&amp;"'!H9:H200"),"not applicable")</f>
        <v/>
      </c>
      <c r="J53" s="41">
        <f>INDIRECT("'"&amp;A53&amp;"'!H4")</f>
        <v/>
      </c>
      <c r="K53" s="40">
        <f>INDIRECT("'"&amp;A53&amp;"'!K4")</f>
        <v/>
      </c>
      <c r="L53" s="40">
        <f>INDIRECT("'"&amp;A53&amp;"'!E5")</f>
        <v/>
      </c>
      <c r="M53" s="40">
        <f>IF(AND(J53=1,K53="complete",L53="complete"),"complete",IF(H53&gt;0,"blocked","open"))</f>
        <v/>
      </c>
    </row>
    <row r="54" ht="24" customHeight="1" s="34">
      <c r="A54" s="40" t="inlineStr">
        <is>
          <t>Menubar</t>
        </is>
      </c>
      <c r="B54" s="40">
        <f>INDIRECT("'"&amp;A54&amp;"'!B4")</f>
        <v/>
      </c>
      <c r="C54" s="40">
        <f>COUNTIF(INDIRECT("'"&amp;A54&amp;"'!H9:H200"),"not started")</f>
        <v/>
      </c>
      <c r="D54" s="40">
        <f>COUNTIF(INDIRECT("'"&amp;A54&amp;"'!H9:H200"),"partial")</f>
        <v/>
      </c>
      <c r="E54" s="40">
        <f>COUNTIF(INDIRECT("'"&amp;A54&amp;"'!H9:H200"),"implemented")</f>
        <v/>
      </c>
      <c r="F54" s="40">
        <f>COUNTIF(INDIRECT("'"&amp;A54&amp;"'!H9:H200"),"tested")</f>
        <v/>
      </c>
      <c r="G54" s="40">
        <f>COUNTIF(INDIRECT("'"&amp;A54&amp;"'!H9:H200"),"verified")</f>
        <v/>
      </c>
      <c r="H54" s="40">
        <f>COUNTIF(INDIRECT("'"&amp;A54&amp;"'!H9:H200"),"blocked")</f>
        <v/>
      </c>
      <c r="I54" s="40">
        <f>COUNTIF(INDIRECT("'"&amp;A54&amp;"'!H9:H200"),"not applicable")</f>
        <v/>
      </c>
      <c r="J54" s="41">
        <f>INDIRECT("'"&amp;A54&amp;"'!H4")</f>
        <v/>
      </c>
      <c r="K54" s="40">
        <f>INDIRECT("'"&amp;A54&amp;"'!K4")</f>
        <v/>
      </c>
      <c r="L54" s="40">
        <f>INDIRECT("'"&amp;A54&amp;"'!E5")</f>
        <v/>
      </c>
      <c r="M54" s="40">
        <f>IF(AND(J54=1,K54="complete",L54="complete"),"complete",IF(H54&gt;0,"blocked","open"))</f>
        <v/>
      </c>
    </row>
    <row r="55" ht="24" customHeight="1" s="34">
      <c r="A55" s="40" t="inlineStr">
        <is>
          <t>Navigation Menu</t>
        </is>
      </c>
      <c r="B55" s="40">
        <f>INDIRECT("'"&amp;A55&amp;"'!B4")</f>
        <v/>
      </c>
      <c r="C55" s="40">
        <f>COUNTIF(INDIRECT("'"&amp;A55&amp;"'!H9:H200"),"not started")</f>
        <v/>
      </c>
      <c r="D55" s="40">
        <f>COUNTIF(INDIRECT("'"&amp;A55&amp;"'!H9:H200"),"partial")</f>
        <v/>
      </c>
      <c r="E55" s="40">
        <f>COUNTIF(INDIRECT("'"&amp;A55&amp;"'!H9:H200"),"implemented")</f>
        <v/>
      </c>
      <c r="F55" s="40">
        <f>COUNTIF(INDIRECT("'"&amp;A55&amp;"'!H9:H200"),"tested")</f>
        <v/>
      </c>
      <c r="G55" s="40">
        <f>COUNTIF(INDIRECT("'"&amp;A55&amp;"'!H9:H200"),"verified")</f>
        <v/>
      </c>
      <c r="H55" s="40">
        <f>COUNTIF(INDIRECT("'"&amp;A55&amp;"'!H9:H200"),"blocked")</f>
        <v/>
      </c>
      <c r="I55" s="40">
        <f>COUNTIF(INDIRECT("'"&amp;A55&amp;"'!H9:H200"),"not applicable")</f>
        <v/>
      </c>
      <c r="J55" s="41">
        <f>INDIRECT("'"&amp;A55&amp;"'!H4")</f>
        <v/>
      </c>
      <c r="K55" s="40">
        <f>INDIRECT("'"&amp;A55&amp;"'!K4")</f>
        <v/>
      </c>
      <c r="L55" s="40">
        <f>INDIRECT("'"&amp;A55&amp;"'!E5")</f>
        <v/>
      </c>
      <c r="M55" s="40">
        <f>IF(AND(J55=1,K55="complete",L55="complete"),"complete",IF(H55&gt;0,"blocked","open"))</f>
        <v/>
      </c>
    </row>
    <row r="56" ht="24" customHeight="1" s="34">
      <c r="A56" s="40" t="inlineStr">
        <is>
          <t>Bottom Navigation</t>
        </is>
      </c>
      <c r="B56" s="40">
        <f>INDIRECT("'"&amp;A56&amp;"'!B4")</f>
        <v/>
      </c>
      <c r="C56" s="40">
        <f>COUNTIF(INDIRECT("'"&amp;A56&amp;"'!H9:H200"),"not started")</f>
        <v/>
      </c>
      <c r="D56" s="40">
        <f>COUNTIF(INDIRECT("'"&amp;A56&amp;"'!H9:H200"),"partial")</f>
        <v/>
      </c>
      <c r="E56" s="40">
        <f>COUNTIF(INDIRECT("'"&amp;A56&amp;"'!H9:H200"),"implemented")</f>
        <v/>
      </c>
      <c r="F56" s="40">
        <f>COUNTIF(INDIRECT("'"&amp;A56&amp;"'!H9:H200"),"tested")</f>
        <v/>
      </c>
      <c r="G56" s="40">
        <f>COUNTIF(INDIRECT("'"&amp;A56&amp;"'!H9:H200"),"verified")</f>
        <v/>
      </c>
      <c r="H56" s="40">
        <f>COUNTIF(INDIRECT("'"&amp;A56&amp;"'!H9:H200"),"blocked")</f>
        <v/>
      </c>
      <c r="I56" s="40">
        <f>COUNTIF(INDIRECT("'"&amp;A56&amp;"'!H9:H200"),"not applicable")</f>
        <v/>
      </c>
      <c r="J56" s="41">
        <f>INDIRECT("'"&amp;A56&amp;"'!H4")</f>
        <v/>
      </c>
      <c r="K56" s="40">
        <f>INDIRECT("'"&amp;A56&amp;"'!K4")</f>
        <v/>
      </c>
      <c r="L56" s="40">
        <f>INDIRECT("'"&amp;A56&amp;"'!E5")</f>
        <v/>
      </c>
      <c r="M56" s="40">
        <f>IF(AND(J56=1,K56="complete",L56="complete"),"complete",IF(H56&gt;0,"blocked","open"))</f>
        <v/>
      </c>
    </row>
    <row r="57" ht="24" customHeight="1" s="34">
      <c r="A57" s="40" t="inlineStr">
        <is>
          <t>Visually Hidden</t>
        </is>
      </c>
      <c r="B57" s="40">
        <f>INDIRECT("'"&amp;A57&amp;"'!B4")</f>
        <v/>
      </c>
      <c r="C57" s="40">
        <f>COUNTIF(INDIRECT("'"&amp;A57&amp;"'!H9:H200"),"not started")</f>
        <v/>
      </c>
      <c r="D57" s="40">
        <f>COUNTIF(INDIRECT("'"&amp;A57&amp;"'!H9:H200"),"partial")</f>
        <v/>
      </c>
      <c r="E57" s="40">
        <f>COUNTIF(INDIRECT("'"&amp;A57&amp;"'!H9:H200"),"implemented")</f>
        <v/>
      </c>
      <c r="F57" s="40">
        <f>COUNTIF(INDIRECT("'"&amp;A57&amp;"'!H9:H200"),"tested")</f>
        <v/>
      </c>
      <c r="G57" s="40">
        <f>COUNTIF(INDIRECT("'"&amp;A57&amp;"'!H9:H200"),"verified")</f>
        <v/>
      </c>
      <c r="H57" s="40">
        <f>COUNTIF(INDIRECT("'"&amp;A57&amp;"'!H9:H200"),"blocked")</f>
        <v/>
      </c>
      <c r="I57" s="40">
        <f>COUNTIF(INDIRECT("'"&amp;A57&amp;"'!H9:H200"),"not applicable")</f>
        <v/>
      </c>
      <c r="J57" s="41">
        <f>INDIRECT("'"&amp;A57&amp;"'!H4")</f>
        <v/>
      </c>
      <c r="K57" s="40">
        <f>INDIRECT("'"&amp;A57&amp;"'!K4")</f>
        <v/>
      </c>
      <c r="L57" s="40">
        <f>INDIRECT("'"&amp;A57&amp;"'!E5")</f>
        <v/>
      </c>
      <c r="M57" s="40">
        <f>IF(AND(J57=1,K57="complete",L57="complete"),"complete",IF(H57&gt;0,"blocked","open"))</f>
        <v/>
      </c>
    </row>
    <row r="58" ht="24" customHeight="1" s="34">
      <c r="A58" s="40" t="inlineStr">
        <is>
          <t>Collapsible</t>
        </is>
      </c>
      <c r="B58" s="40">
        <f>INDIRECT("'"&amp;A58&amp;"'!B4")</f>
        <v/>
      </c>
      <c r="C58" s="40">
        <f>COUNTIF(INDIRECT("'"&amp;A58&amp;"'!H9:H200"),"not started")</f>
        <v/>
      </c>
      <c r="D58" s="40">
        <f>COUNTIF(INDIRECT("'"&amp;A58&amp;"'!H9:H200"),"partial")</f>
        <v/>
      </c>
      <c r="E58" s="40">
        <f>COUNTIF(INDIRECT("'"&amp;A58&amp;"'!H9:H200"),"implemented")</f>
        <v/>
      </c>
      <c r="F58" s="40">
        <f>COUNTIF(INDIRECT("'"&amp;A58&amp;"'!H9:H200"),"tested")</f>
        <v/>
      </c>
      <c r="G58" s="40">
        <f>COUNTIF(INDIRECT("'"&amp;A58&amp;"'!H9:H200"),"verified")</f>
        <v/>
      </c>
      <c r="H58" s="40">
        <f>COUNTIF(INDIRECT("'"&amp;A58&amp;"'!H9:H200"),"blocked")</f>
        <v/>
      </c>
      <c r="I58" s="40">
        <f>COUNTIF(INDIRECT("'"&amp;A58&amp;"'!H9:H200"),"not applicable")</f>
        <v/>
      </c>
      <c r="J58" s="41">
        <f>INDIRECT("'"&amp;A58&amp;"'!H4")</f>
        <v/>
      </c>
      <c r="K58" s="40">
        <f>INDIRECT("'"&amp;A58&amp;"'!K4")</f>
        <v/>
      </c>
      <c r="L58" s="40">
        <f>INDIRECT("'"&amp;A58&amp;"'!E5")</f>
        <v/>
      </c>
      <c r="M58" s="40">
        <f>IF(AND(J58=1,K58="complete",L58="complete"),"complete",IF(H58&gt;0,"blocked","open"))</f>
        <v/>
      </c>
    </row>
    <row r="59" ht="24" customHeight="1" s="34">
      <c r="A59" s="40" t="inlineStr">
        <is>
          <t>Accordion</t>
        </is>
      </c>
      <c r="B59" s="40">
        <f>INDIRECT("'"&amp;A59&amp;"'!B4")</f>
        <v/>
      </c>
      <c r="C59" s="40">
        <f>COUNTIF(INDIRECT("'"&amp;A59&amp;"'!H9:H200"),"not started")</f>
        <v/>
      </c>
      <c r="D59" s="40">
        <f>COUNTIF(INDIRECT("'"&amp;A59&amp;"'!H9:H200"),"partial")</f>
        <v/>
      </c>
      <c r="E59" s="40">
        <f>COUNTIF(INDIRECT("'"&amp;A59&amp;"'!H9:H200"),"implemented")</f>
        <v/>
      </c>
      <c r="F59" s="40">
        <f>COUNTIF(INDIRECT("'"&amp;A59&amp;"'!H9:H200"),"tested")</f>
        <v/>
      </c>
      <c r="G59" s="40">
        <f>COUNTIF(INDIRECT("'"&amp;A59&amp;"'!H9:H200"),"verified")</f>
        <v/>
      </c>
      <c r="H59" s="40">
        <f>COUNTIF(INDIRECT("'"&amp;A59&amp;"'!H9:H200"),"blocked")</f>
        <v/>
      </c>
      <c r="I59" s="40">
        <f>COUNTIF(INDIRECT("'"&amp;A59&amp;"'!H9:H200"),"not applicable")</f>
        <v/>
      </c>
      <c r="J59" s="41">
        <f>INDIRECT("'"&amp;A59&amp;"'!H4")</f>
        <v/>
      </c>
      <c r="K59" s="40">
        <f>INDIRECT("'"&amp;A59&amp;"'!K4")</f>
        <v/>
      </c>
      <c r="L59" s="40">
        <f>INDIRECT("'"&amp;A59&amp;"'!E5")</f>
        <v/>
      </c>
      <c r="M59" s="40">
        <f>IF(AND(J59=1,K59="complete",L59="complete"),"complete",IF(H59&gt;0,"blocked","open"))</f>
        <v/>
      </c>
    </row>
    <row r="60" ht="24" customHeight="1" s="34">
      <c r="A60" s="40" t="inlineStr">
        <is>
          <t>Toast</t>
        </is>
      </c>
      <c r="B60" s="40">
        <f>INDIRECT("'"&amp;A60&amp;"'!B4")</f>
        <v/>
      </c>
      <c r="C60" s="40">
        <f>COUNTIF(INDIRECT("'"&amp;A60&amp;"'!H9:H200"),"not started")</f>
        <v/>
      </c>
      <c r="D60" s="40">
        <f>COUNTIF(INDIRECT("'"&amp;A60&amp;"'!H9:H200"),"partial")</f>
        <v/>
      </c>
      <c r="E60" s="40">
        <f>COUNTIF(INDIRECT("'"&amp;A60&amp;"'!H9:H200"),"implemented")</f>
        <v/>
      </c>
      <c r="F60" s="40">
        <f>COUNTIF(INDIRECT("'"&amp;A60&amp;"'!H9:H200"),"tested")</f>
        <v/>
      </c>
      <c r="G60" s="40">
        <f>COUNTIF(INDIRECT("'"&amp;A60&amp;"'!H9:H200"),"verified")</f>
        <v/>
      </c>
      <c r="H60" s="40">
        <f>COUNTIF(INDIRECT("'"&amp;A60&amp;"'!H9:H200"),"blocked")</f>
        <v/>
      </c>
      <c r="I60" s="40">
        <f>COUNTIF(INDIRECT("'"&amp;A60&amp;"'!H9:H200"),"not applicable")</f>
        <v/>
      </c>
      <c r="J60" s="41">
        <f>INDIRECT("'"&amp;A60&amp;"'!H4")</f>
        <v/>
      </c>
      <c r="K60" s="40">
        <f>INDIRECT("'"&amp;A60&amp;"'!K4")</f>
        <v/>
      </c>
      <c r="L60" s="40">
        <f>INDIRECT("'"&amp;A60&amp;"'!E5")</f>
        <v/>
      </c>
      <c r="M60" s="40">
        <f>IF(AND(J60=1,K60="complete",L60="complete"),"complete",IF(H60&gt;0,"blocked","open"))</f>
        <v/>
      </c>
    </row>
    <row r="61" ht="24" customHeight="1" s="34">
      <c r="A61" s="40" t="inlineStr">
        <is>
          <t>Pagination</t>
        </is>
      </c>
      <c r="B61" s="40">
        <f>INDIRECT("'"&amp;A61&amp;"'!B4")</f>
        <v/>
      </c>
      <c r="C61" s="40">
        <f>COUNTIF(INDIRECT("'"&amp;A61&amp;"'!H9:H200"),"not started")</f>
        <v/>
      </c>
      <c r="D61" s="40">
        <f>COUNTIF(INDIRECT("'"&amp;A61&amp;"'!H9:H200"),"partial")</f>
        <v/>
      </c>
      <c r="E61" s="40">
        <f>COUNTIF(INDIRECT("'"&amp;A61&amp;"'!H9:H200"),"implemented")</f>
        <v/>
      </c>
      <c r="F61" s="40">
        <f>COUNTIF(INDIRECT("'"&amp;A61&amp;"'!H9:H200"),"tested")</f>
        <v/>
      </c>
      <c r="G61" s="40">
        <f>COUNTIF(INDIRECT("'"&amp;A61&amp;"'!H9:H200"),"verified")</f>
        <v/>
      </c>
      <c r="H61" s="40">
        <f>COUNTIF(INDIRECT("'"&amp;A61&amp;"'!H9:H200"),"blocked")</f>
        <v/>
      </c>
      <c r="I61" s="40">
        <f>COUNTIF(INDIRECT("'"&amp;A61&amp;"'!H9:H200"),"not applicable")</f>
        <v/>
      </c>
      <c r="J61" s="41">
        <f>INDIRECT("'"&amp;A61&amp;"'!H4")</f>
        <v/>
      </c>
      <c r="K61" s="40">
        <f>INDIRECT("'"&amp;A61&amp;"'!K4")</f>
        <v/>
      </c>
      <c r="L61" s="40">
        <f>INDIRECT("'"&amp;A61&amp;"'!E5")</f>
        <v/>
      </c>
      <c r="M61" s="40">
        <f>IF(AND(J61=1,K61="complete",L61="complete"),"complete",IF(H61&gt;0,"blocked","open"))</f>
        <v/>
      </c>
    </row>
    <row r="62" ht="24" customHeight="1" s="34">
      <c r="A62" s="40" t="inlineStr">
        <is>
          <t>Data Grid</t>
        </is>
      </c>
      <c r="B62" s="40">
        <f>INDIRECT("'"&amp;A62&amp;"'!B4")</f>
        <v/>
      </c>
      <c r="C62" s="40">
        <f>COUNTIF(INDIRECT("'"&amp;A62&amp;"'!H9:H200"),"not started")</f>
        <v/>
      </c>
      <c r="D62" s="40">
        <f>COUNTIF(INDIRECT("'"&amp;A62&amp;"'!H9:H200"),"partial")</f>
        <v/>
      </c>
      <c r="E62" s="40">
        <f>COUNTIF(INDIRECT("'"&amp;A62&amp;"'!H9:H200"),"implemented")</f>
        <v/>
      </c>
      <c r="F62" s="40">
        <f>COUNTIF(INDIRECT("'"&amp;A62&amp;"'!H9:H200"),"tested")</f>
        <v/>
      </c>
      <c r="G62" s="40">
        <f>COUNTIF(INDIRECT("'"&amp;A62&amp;"'!H9:H200"),"verified")</f>
        <v/>
      </c>
      <c r="H62" s="40">
        <f>COUNTIF(INDIRECT("'"&amp;A62&amp;"'!H9:H200"),"blocked")</f>
        <v/>
      </c>
      <c r="I62" s="40">
        <f>COUNTIF(INDIRECT("'"&amp;A62&amp;"'!H9:H200"),"not applicable")</f>
        <v/>
      </c>
      <c r="J62" s="41">
        <f>INDIRECT("'"&amp;A62&amp;"'!H4")</f>
        <v/>
      </c>
      <c r="K62" s="40">
        <f>INDIRECT("'"&amp;A62&amp;"'!K4")</f>
        <v/>
      </c>
      <c r="L62" s="40">
        <f>INDIRECT("'"&amp;A62&amp;"'!E5")</f>
        <v/>
      </c>
      <c r="M62" s="40">
        <f>IF(AND(J62=1,K62="complete",L62="complete"),"complete",IF(H62&gt;0,"blocked","open"))</f>
        <v/>
      </c>
    </row>
    <row r="63" ht="24" customHeight="1" s="34">
      <c r="A63" s="40" t="inlineStr">
        <is>
          <t>Tree Grid</t>
        </is>
      </c>
      <c r="B63" s="40">
        <f>INDIRECT("'"&amp;A63&amp;"'!B4")</f>
        <v/>
      </c>
      <c r="C63" s="40">
        <f>COUNTIF(INDIRECT("'"&amp;A63&amp;"'!H9:H200"),"not started")</f>
        <v/>
      </c>
      <c r="D63" s="40">
        <f>COUNTIF(INDIRECT("'"&amp;A63&amp;"'!H9:H200"),"partial")</f>
        <v/>
      </c>
      <c r="E63" s="40">
        <f>COUNTIF(INDIRECT("'"&amp;A63&amp;"'!H9:H200"),"implemented")</f>
        <v/>
      </c>
      <c r="F63" s="40">
        <f>COUNTIF(INDIRECT("'"&amp;A63&amp;"'!H9:H200"),"tested")</f>
        <v/>
      </c>
      <c r="G63" s="40">
        <f>COUNTIF(INDIRECT("'"&amp;A63&amp;"'!H9:H200"),"verified")</f>
        <v/>
      </c>
      <c r="H63" s="40">
        <f>COUNTIF(INDIRECT("'"&amp;A63&amp;"'!H9:H200"),"blocked")</f>
        <v/>
      </c>
      <c r="I63" s="40">
        <f>COUNTIF(INDIRECT("'"&amp;A63&amp;"'!H9:H200"),"not applicable")</f>
        <v/>
      </c>
      <c r="J63" s="41">
        <f>INDIRECT("'"&amp;A63&amp;"'!H4")</f>
        <v/>
      </c>
      <c r="K63" s="40">
        <f>INDIRECT("'"&amp;A63&amp;"'!K4")</f>
        <v/>
      </c>
      <c r="L63" s="40">
        <f>INDIRECT("'"&amp;A63&amp;"'!E5")</f>
        <v/>
      </c>
      <c r="M63" s="40">
        <f>IF(AND(J63=1,K63="complete",L63="complete"),"complete",IF(H63&gt;0,"blocked","open"))</f>
        <v/>
      </c>
    </row>
    <row r="64" ht="24" customHeight="1" s="34">
      <c r="A64" s="40" t="inlineStr">
        <is>
          <t>Tree</t>
        </is>
      </c>
      <c r="B64" s="40">
        <f>INDIRECT("'"&amp;A64&amp;"'!B4")</f>
        <v/>
      </c>
      <c r="C64" s="40">
        <f>COUNTIF(INDIRECT("'"&amp;A64&amp;"'!H9:H200"),"not started")</f>
        <v/>
      </c>
      <c r="D64" s="40">
        <f>COUNTIF(INDIRECT("'"&amp;A64&amp;"'!H9:H200"),"partial")</f>
        <v/>
      </c>
      <c r="E64" s="40">
        <f>COUNTIF(INDIRECT("'"&amp;A64&amp;"'!H9:H200"),"implemented")</f>
        <v/>
      </c>
      <c r="F64" s="40">
        <f>COUNTIF(INDIRECT("'"&amp;A64&amp;"'!H9:H200"),"tested")</f>
        <v/>
      </c>
      <c r="G64" s="40">
        <f>COUNTIF(INDIRECT("'"&amp;A64&amp;"'!H9:H200"),"verified")</f>
        <v/>
      </c>
      <c r="H64" s="40">
        <f>COUNTIF(INDIRECT("'"&amp;A64&amp;"'!H9:H200"),"blocked")</f>
        <v/>
      </c>
      <c r="I64" s="40">
        <f>COUNTIF(INDIRECT("'"&amp;A64&amp;"'!H9:H200"),"not applicable")</f>
        <v/>
      </c>
      <c r="J64" s="41">
        <f>INDIRECT("'"&amp;A64&amp;"'!H4")</f>
        <v/>
      </c>
      <c r="K64" s="40">
        <f>INDIRECT("'"&amp;A64&amp;"'!K4")</f>
        <v/>
      </c>
      <c r="L64" s="40">
        <f>INDIRECT("'"&amp;A64&amp;"'!E5")</f>
        <v/>
      </c>
      <c r="M64" s="40">
        <f>IF(AND(J64=1,K64="complete",L64="complete"),"complete",IF(H64&gt;0,"blocked","open"))</f>
        <v/>
      </c>
    </row>
    <row r="65" ht="24" customHeight="1" s="34">
      <c r="A65" s="40" t="inlineStr">
        <is>
          <t>Feed</t>
        </is>
      </c>
      <c r="B65" s="40">
        <f>INDIRECT("'"&amp;A65&amp;"'!B4")</f>
        <v/>
      </c>
      <c r="C65" s="40">
        <f>COUNTIF(INDIRECT("'"&amp;A65&amp;"'!H9:H200"),"not started")</f>
        <v/>
      </c>
      <c r="D65" s="40">
        <f>COUNTIF(INDIRECT("'"&amp;A65&amp;"'!H9:H200"),"partial")</f>
        <v/>
      </c>
      <c r="E65" s="40">
        <f>COUNTIF(INDIRECT("'"&amp;A65&amp;"'!H9:H200"),"implemented")</f>
        <v/>
      </c>
      <c r="F65" s="40">
        <f>COUNTIF(INDIRECT("'"&amp;A65&amp;"'!H9:H200"),"tested")</f>
        <v/>
      </c>
      <c r="G65" s="40">
        <f>COUNTIF(INDIRECT("'"&amp;A65&amp;"'!H9:H200"),"verified")</f>
        <v/>
      </c>
      <c r="H65" s="40">
        <f>COUNTIF(INDIRECT("'"&amp;A65&amp;"'!H9:H200"),"blocked")</f>
        <v/>
      </c>
      <c r="I65" s="40">
        <f>COUNTIF(INDIRECT("'"&amp;A65&amp;"'!H9:H200"),"not applicable")</f>
        <v/>
      </c>
      <c r="J65" s="41">
        <f>INDIRECT("'"&amp;A65&amp;"'!H4")</f>
        <v/>
      </c>
      <c r="K65" s="40">
        <f>INDIRECT("'"&amp;A65&amp;"'!K4")</f>
        <v/>
      </c>
      <c r="L65" s="40">
        <f>INDIRECT("'"&amp;A65&amp;"'!E5")</f>
        <v/>
      </c>
      <c r="M65" s="40">
        <f>IF(AND(J65=1,K65="complete",L65="complete"),"complete",IF(H65&gt;0,"blocked","open"))</f>
        <v/>
      </c>
    </row>
    <row r="66" ht="24" customHeight="1" s="34">
      <c r="A66" s="40" t="inlineStr">
        <is>
          <t>Aspect Ratio</t>
        </is>
      </c>
      <c r="B66" s="40">
        <f>INDIRECT("'"&amp;A66&amp;"'!B4")</f>
        <v/>
      </c>
      <c r="C66" s="40">
        <f>COUNTIF(INDIRECT("'"&amp;A66&amp;"'!H9:H200"),"not started")</f>
        <v/>
      </c>
      <c r="D66" s="40">
        <f>COUNTIF(INDIRECT("'"&amp;A66&amp;"'!H9:H200"),"partial")</f>
        <v/>
      </c>
      <c r="E66" s="40">
        <f>COUNTIF(INDIRECT("'"&amp;A66&amp;"'!H9:H200"),"implemented")</f>
        <v/>
      </c>
      <c r="F66" s="40">
        <f>COUNTIF(INDIRECT("'"&amp;A66&amp;"'!H9:H200"),"tested")</f>
        <v/>
      </c>
      <c r="G66" s="40">
        <f>COUNTIF(INDIRECT("'"&amp;A66&amp;"'!H9:H200"),"verified")</f>
        <v/>
      </c>
      <c r="H66" s="40">
        <f>COUNTIF(INDIRECT("'"&amp;A66&amp;"'!H9:H200"),"blocked")</f>
        <v/>
      </c>
      <c r="I66" s="40">
        <f>COUNTIF(INDIRECT("'"&amp;A66&amp;"'!H9:H200"),"not applicable")</f>
        <v/>
      </c>
      <c r="J66" s="41">
        <f>INDIRECT("'"&amp;A66&amp;"'!H4")</f>
        <v/>
      </c>
      <c r="K66" s="40">
        <f>INDIRECT("'"&amp;A66&amp;"'!K4")</f>
        <v/>
      </c>
      <c r="L66" s="40">
        <f>INDIRECT("'"&amp;A66&amp;"'!E5")</f>
        <v/>
      </c>
      <c r="M66" s="40">
        <f>IF(AND(J66=1,K66="complete",L66="complete"),"complete",IF(H66&gt;0,"blocked","open"))</f>
        <v/>
      </c>
    </row>
    <row r="67" ht="24" customHeight="1" s="34">
      <c r="A67" s="40" t="inlineStr">
        <is>
          <t>Toolbar</t>
        </is>
      </c>
      <c r="B67" s="40">
        <f>INDIRECT("'"&amp;A67&amp;"'!B4")</f>
        <v/>
      </c>
      <c r="C67" s="40">
        <f>COUNTIF(INDIRECT("'"&amp;A67&amp;"'!H9:H200"),"not started")</f>
        <v/>
      </c>
      <c r="D67" s="40">
        <f>COUNTIF(INDIRECT("'"&amp;A67&amp;"'!H9:H200"),"partial")</f>
        <v/>
      </c>
      <c r="E67" s="40">
        <f>COUNTIF(INDIRECT("'"&amp;A67&amp;"'!H9:H200"),"implemented")</f>
        <v/>
      </c>
      <c r="F67" s="40">
        <f>COUNTIF(INDIRECT("'"&amp;A67&amp;"'!H9:H200"),"tested")</f>
        <v/>
      </c>
      <c r="G67" s="40">
        <f>COUNTIF(INDIRECT("'"&amp;A67&amp;"'!H9:H200"),"verified")</f>
        <v/>
      </c>
      <c r="H67" s="40">
        <f>COUNTIF(INDIRECT("'"&amp;A67&amp;"'!H9:H200"),"blocked")</f>
        <v/>
      </c>
      <c r="I67" s="40">
        <f>COUNTIF(INDIRECT("'"&amp;A67&amp;"'!H9:H200"),"not applicable")</f>
        <v/>
      </c>
      <c r="J67" s="41">
        <f>INDIRECT("'"&amp;A67&amp;"'!H4")</f>
        <v/>
      </c>
      <c r="K67" s="40">
        <f>INDIRECT("'"&amp;A67&amp;"'!K4")</f>
        <v/>
      </c>
      <c r="L67" s="40">
        <f>INDIRECT("'"&amp;A67&amp;"'!E5")</f>
        <v/>
      </c>
      <c r="M67" s="40">
        <f>IF(AND(J67=1,K67="complete",L67="complete"),"complete",IF(H67&gt;0,"blocked","open"))</f>
        <v/>
      </c>
    </row>
    <row r="68" ht="24" customHeight="1" s="34">
      <c r="A68" s="40" t="inlineStr">
        <is>
          <t>Chip</t>
        </is>
      </c>
      <c r="B68" s="40">
        <f>INDIRECT("'"&amp;A68&amp;"'!B4")</f>
        <v/>
      </c>
      <c r="C68" s="40">
        <f>COUNTIF(INDIRECT("'"&amp;A68&amp;"'!H9:H200"),"not started")</f>
        <v/>
      </c>
      <c r="D68" s="40">
        <f>COUNTIF(INDIRECT("'"&amp;A68&amp;"'!H9:H200"),"partial")</f>
        <v/>
      </c>
      <c r="E68" s="40">
        <f>COUNTIF(INDIRECT("'"&amp;A68&amp;"'!H9:H200"),"implemented")</f>
        <v/>
      </c>
      <c r="F68" s="40">
        <f>COUNTIF(INDIRECT("'"&amp;A68&amp;"'!H9:H200"),"tested")</f>
        <v/>
      </c>
      <c r="G68" s="40">
        <f>COUNTIF(INDIRECT("'"&amp;A68&amp;"'!H9:H200"),"verified")</f>
        <v/>
      </c>
      <c r="H68" s="40">
        <f>COUNTIF(INDIRECT("'"&amp;A68&amp;"'!H9:H200"),"blocked")</f>
        <v/>
      </c>
      <c r="I68" s="40">
        <f>COUNTIF(INDIRECT("'"&amp;A68&amp;"'!H9:H200"),"not applicable")</f>
        <v/>
      </c>
      <c r="J68" s="41">
        <f>INDIRECT("'"&amp;A68&amp;"'!H4")</f>
        <v/>
      </c>
      <c r="K68" s="40">
        <f>INDIRECT("'"&amp;A68&amp;"'!K4")</f>
        <v/>
      </c>
      <c r="L68" s="40">
        <f>INDIRECT("'"&amp;A68&amp;"'!E5")</f>
        <v/>
      </c>
      <c r="M68" s="40">
        <f>IF(AND(J68=1,K68="complete",L68="complete"),"complete",IF(H68&gt;0,"blocked","open"))</f>
        <v/>
      </c>
    </row>
    <row r="69" ht="24" customHeight="1" s="34">
      <c r="A69" s="40" t="inlineStr">
        <is>
          <t>Combobox</t>
        </is>
      </c>
      <c r="B69" s="40">
        <f>INDIRECT("'"&amp;A69&amp;"'!B4")</f>
        <v/>
      </c>
      <c r="C69" s="40">
        <f>COUNTIF(INDIRECT("'"&amp;A69&amp;"'!H9:H200"),"not started")</f>
        <v/>
      </c>
      <c r="D69" s="40">
        <f>COUNTIF(INDIRECT("'"&amp;A69&amp;"'!H9:H200"),"partial")</f>
        <v/>
      </c>
      <c r="E69" s="40">
        <f>COUNTIF(INDIRECT("'"&amp;A69&amp;"'!H9:H200"),"implemented")</f>
        <v/>
      </c>
      <c r="F69" s="40">
        <f>COUNTIF(INDIRECT("'"&amp;A69&amp;"'!H9:H200"),"tested")</f>
        <v/>
      </c>
      <c r="G69" s="40">
        <f>COUNTIF(INDIRECT("'"&amp;A69&amp;"'!H9:H200"),"verified")</f>
        <v/>
      </c>
      <c r="H69" s="40">
        <f>COUNTIF(INDIRECT("'"&amp;A69&amp;"'!H9:H200"),"blocked")</f>
        <v/>
      </c>
      <c r="I69" s="40">
        <f>COUNTIF(INDIRECT("'"&amp;A69&amp;"'!H9:H200"),"not applicable")</f>
        <v/>
      </c>
      <c r="J69" s="41">
        <f>INDIRECT("'"&amp;A69&amp;"'!H4")</f>
        <v/>
      </c>
      <c r="K69" s="40">
        <f>INDIRECT("'"&amp;A69&amp;"'!K4")</f>
        <v/>
      </c>
      <c r="L69" s="40">
        <f>INDIRECT("'"&amp;A69&amp;"'!E5")</f>
        <v/>
      </c>
      <c r="M69" s="40">
        <f>IF(AND(J69=1,K69="complete",L69="complete"),"complete",IF(H69&gt;0,"blocked","open"))</f>
        <v/>
      </c>
    </row>
    <row r="70" ht="24" customHeight="1" s="34">
      <c r="A70" s="40" t="inlineStr">
        <is>
          <t>Number Input</t>
        </is>
      </c>
      <c r="B70" s="40">
        <f>INDIRECT("'"&amp;A70&amp;"'!B4")</f>
        <v/>
      </c>
      <c r="C70" s="40">
        <f>COUNTIF(INDIRECT("'"&amp;A70&amp;"'!H9:H200"),"not started")</f>
        <v/>
      </c>
      <c r="D70" s="40">
        <f>COUNTIF(INDIRECT("'"&amp;A70&amp;"'!H9:H200"),"partial")</f>
        <v/>
      </c>
      <c r="E70" s="40">
        <f>COUNTIF(INDIRECT("'"&amp;A70&amp;"'!H9:H200"),"implemented")</f>
        <v/>
      </c>
      <c r="F70" s="40">
        <f>COUNTIF(INDIRECT("'"&amp;A70&amp;"'!H9:H200"),"tested")</f>
        <v/>
      </c>
      <c r="G70" s="40">
        <f>COUNTIF(INDIRECT("'"&amp;A70&amp;"'!H9:H200"),"verified")</f>
        <v/>
      </c>
      <c r="H70" s="40">
        <f>COUNTIF(INDIRECT("'"&amp;A70&amp;"'!H9:H200"),"blocked")</f>
        <v/>
      </c>
      <c r="I70" s="40">
        <f>COUNTIF(INDIRECT("'"&amp;A70&amp;"'!H9:H200"),"not applicable")</f>
        <v/>
      </c>
      <c r="J70" s="41">
        <f>INDIRECT("'"&amp;A70&amp;"'!H4")</f>
        <v/>
      </c>
      <c r="K70" s="40">
        <f>INDIRECT("'"&amp;A70&amp;"'!K4")</f>
        <v/>
      </c>
      <c r="L70" s="40">
        <f>INDIRECT("'"&amp;A70&amp;"'!E5")</f>
        <v/>
      </c>
      <c r="M70" s="40">
        <f>IF(AND(J70=1,K70="complete",L70="complete"),"complete",IF(H70&gt;0,"blocked","open"))</f>
        <v/>
      </c>
    </row>
    <row r="71" ht="24" customHeight="1" s="34">
      <c r="A71" s="40" t="inlineStr">
        <is>
          <t>OTP Field</t>
        </is>
      </c>
      <c r="B71" s="40">
        <f>INDIRECT("'"&amp;A71&amp;"'!B4")</f>
        <v/>
      </c>
      <c r="C71" s="40">
        <f>COUNTIF(INDIRECT("'"&amp;A71&amp;"'!H9:H200"),"not started")</f>
        <v/>
      </c>
      <c r="D71" s="40">
        <f>COUNTIF(INDIRECT("'"&amp;A71&amp;"'!H9:H200"),"partial")</f>
        <v/>
      </c>
      <c r="E71" s="40">
        <f>COUNTIF(INDIRECT("'"&amp;A71&amp;"'!H9:H200"),"implemented")</f>
        <v/>
      </c>
      <c r="F71" s="40">
        <f>COUNTIF(INDIRECT("'"&amp;A71&amp;"'!H9:H200"),"tested")</f>
        <v/>
      </c>
      <c r="G71" s="40">
        <f>COUNTIF(INDIRECT("'"&amp;A71&amp;"'!H9:H200"),"verified")</f>
        <v/>
      </c>
      <c r="H71" s="40">
        <f>COUNTIF(INDIRECT("'"&amp;A71&amp;"'!H9:H200"),"blocked")</f>
        <v/>
      </c>
      <c r="I71" s="40">
        <f>COUNTIF(INDIRECT("'"&amp;A71&amp;"'!H9:H200"),"not applicable")</f>
        <v/>
      </c>
      <c r="J71" s="41">
        <f>INDIRECT("'"&amp;A71&amp;"'!H4")</f>
        <v/>
      </c>
      <c r="K71" s="40">
        <f>INDIRECT("'"&amp;A71&amp;"'!K4")</f>
        <v/>
      </c>
      <c r="L71" s="40">
        <f>INDIRECT("'"&amp;A71&amp;"'!E5")</f>
        <v/>
      </c>
      <c r="M71" s="40">
        <f>IF(AND(J71=1,K71="complete",L71="complete"),"complete",IF(H71&gt;0,"blocked","open"))</f>
        <v/>
      </c>
    </row>
    <row r="72" ht="24" customHeight="1" s="34">
      <c r="A72" s="40" t="inlineStr">
        <is>
          <t>Password Toggle Field</t>
        </is>
      </c>
      <c r="B72" s="40">
        <f>INDIRECT("'"&amp;A72&amp;"'!B4")</f>
        <v/>
      </c>
      <c r="C72" s="40">
        <f>COUNTIF(INDIRECT("'"&amp;A72&amp;"'!H9:H200"),"not started")</f>
        <v/>
      </c>
      <c r="D72" s="40">
        <f>COUNTIF(INDIRECT("'"&amp;A72&amp;"'!H9:H200"),"partial")</f>
        <v/>
      </c>
      <c r="E72" s="40">
        <f>COUNTIF(INDIRECT("'"&amp;A72&amp;"'!H9:H200"),"implemented")</f>
        <v/>
      </c>
      <c r="F72" s="40">
        <f>COUNTIF(INDIRECT("'"&amp;A72&amp;"'!H9:H200"),"tested")</f>
        <v/>
      </c>
      <c r="G72" s="40">
        <f>COUNTIF(INDIRECT("'"&amp;A72&amp;"'!H9:H200"),"verified")</f>
        <v/>
      </c>
      <c r="H72" s="40">
        <f>COUNTIF(INDIRECT("'"&amp;A72&amp;"'!H9:H200"),"blocked")</f>
        <v/>
      </c>
      <c r="I72" s="40">
        <f>COUNTIF(INDIRECT("'"&amp;A72&amp;"'!H9:H200"),"not applicable")</f>
        <v/>
      </c>
      <c r="J72" s="41">
        <f>INDIRECT("'"&amp;A72&amp;"'!H4")</f>
        <v/>
      </c>
      <c r="K72" s="40">
        <f>INDIRECT("'"&amp;A72&amp;"'!K4")</f>
        <v/>
      </c>
      <c r="L72" s="40">
        <f>INDIRECT("'"&amp;A72&amp;"'!E5")</f>
        <v/>
      </c>
      <c r="M72" s="40">
        <f>IF(AND(J72=1,K72="complete",L72="complete"),"complete",IF(H72&gt;0,"blocked","open"))</f>
        <v/>
      </c>
    </row>
    <row r="73" ht="24" customHeight="1" s="34">
      <c r="A73" s="40" t="inlineStr">
        <is>
          <t>Slider</t>
        </is>
      </c>
      <c r="B73" s="40">
        <f>INDIRECT("'"&amp;A73&amp;"'!B4")</f>
        <v/>
      </c>
      <c r="C73" s="40">
        <f>COUNTIF(INDIRECT("'"&amp;A73&amp;"'!H9:H200"),"not started")</f>
        <v/>
      </c>
      <c r="D73" s="40">
        <f>COUNTIF(INDIRECT("'"&amp;A73&amp;"'!H9:H200"),"partial")</f>
        <v/>
      </c>
      <c r="E73" s="40">
        <f>COUNTIF(INDIRECT("'"&amp;A73&amp;"'!H9:H200"),"implemented")</f>
        <v/>
      </c>
      <c r="F73" s="40">
        <f>COUNTIF(INDIRECT("'"&amp;A73&amp;"'!H9:H200"),"tested")</f>
        <v/>
      </c>
      <c r="G73" s="40">
        <f>COUNTIF(INDIRECT("'"&amp;A73&amp;"'!H9:H200"),"verified")</f>
        <v/>
      </c>
      <c r="H73" s="40">
        <f>COUNTIF(INDIRECT("'"&amp;A73&amp;"'!H9:H200"),"blocked")</f>
        <v/>
      </c>
      <c r="I73" s="40">
        <f>COUNTIF(INDIRECT("'"&amp;A73&amp;"'!H9:H200"),"not applicable")</f>
        <v/>
      </c>
      <c r="J73" s="41">
        <f>INDIRECT("'"&amp;A73&amp;"'!H4")</f>
        <v/>
      </c>
      <c r="K73" s="40">
        <f>INDIRECT("'"&amp;A73&amp;"'!K4")</f>
        <v/>
      </c>
      <c r="L73" s="40">
        <f>INDIRECT("'"&amp;A73&amp;"'!E5")</f>
        <v/>
      </c>
      <c r="M73" s="40">
        <f>IF(AND(J73=1,K73="complete",L73="complete"),"complete",IF(H73&gt;0,"blocked","open"))</f>
        <v/>
      </c>
    </row>
    <row r="74" ht="24" customHeight="1" s="34">
      <c r="A74" s="40" t="inlineStr">
        <is>
          <t>Rating</t>
        </is>
      </c>
      <c r="B74" s="40">
        <f>INDIRECT("'"&amp;A74&amp;"'!B4")</f>
        <v/>
      </c>
      <c r="C74" s="40">
        <f>COUNTIF(INDIRECT("'"&amp;A74&amp;"'!H9:H200"),"not started")</f>
        <v/>
      </c>
      <c r="D74" s="40">
        <f>COUNTIF(INDIRECT("'"&amp;A74&amp;"'!H9:H200"),"partial")</f>
        <v/>
      </c>
      <c r="E74" s="40">
        <f>COUNTIF(INDIRECT("'"&amp;A74&amp;"'!H9:H200"),"implemented")</f>
        <v/>
      </c>
      <c r="F74" s="40">
        <f>COUNTIF(INDIRECT("'"&amp;A74&amp;"'!H9:H200"),"tested")</f>
        <v/>
      </c>
      <c r="G74" s="40">
        <f>COUNTIF(INDIRECT("'"&amp;A74&amp;"'!H9:H200"),"verified")</f>
        <v/>
      </c>
      <c r="H74" s="40">
        <f>COUNTIF(INDIRECT("'"&amp;A74&amp;"'!H9:H200"),"blocked")</f>
        <v/>
      </c>
      <c r="I74" s="40">
        <f>COUNTIF(INDIRECT("'"&amp;A74&amp;"'!H9:H200"),"not applicable")</f>
        <v/>
      </c>
      <c r="J74" s="41">
        <f>INDIRECT("'"&amp;A74&amp;"'!H4")</f>
        <v/>
      </c>
      <c r="K74" s="40">
        <f>INDIRECT("'"&amp;A74&amp;"'!K4")</f>
        <v/>
      </c>
      <c r="L74" s="40">
        <f>INDIRECT("'"&amp;A74&amp;"'!E5")</f>
        <v/>
      </c>
      <c r="M74" s="40">
        <f>IF(AND(J74=1,K74="complete",L74="complete"),"complete",IF(H74&gt;0,"blocked","open"))</f>
        <v/>
      </c>
    </row>
    <row r="75" ht="24" customHeight="1" s="34">
      <c r="A75" s="40" t="inlineStr">
        <is>
          <t>File Upload</t>
        </is>
      </c>
      <c r="B75" s="40">
        <f>INDIRECT("'"&amp;A75&amp;"'!B4")</f>
        <v/>
      </c>
      <c r="C75" s="40">
        <f>COUNTIF(INDIRECT("'"&amp;A75&amp;"'!H9:H200"),"not started")</f>
        <v/>
      </c>
      <c r="D75" s="40">
        <f>COUNTIF(INDIRECT("'"&amp;A75&amp;"'!H9:H200"),"partial")</f>
        <v/>
      </c>
      <c r="E75" s="40">
        <f>COUNTIF(INDIRECT("'"&amp;A75&amp;"'!H9:H200"),"implemented")</f>
        <v/>
      </c>
      <c r="F75" s="40">
        <f>COUNTIF(INDIRECT("'"&amp;A75&amp;"'!H9:H200"),"tested")</f>
        <v/>
      </c>
      <c r="G75" s="40">
        <f>COUNTIF(INDIRECT("'"&amp;A75&amp;"'!H9:H200"),"verified")</f>
        <v/>
      </c>
      <c r="H75" s="40">
        <f>COUNTIF(INDIRECT("'"&amp;A75&amp;"'!H9:H200"),"blocked")</f>
        <v/>
      </c>
      <c r="I75" s="40">
        <f>COUNTIF(INDIRECT("'"&amp;A75&amp;"'!H9:H200"),"not applicable")</f>
        <v/>
      </c>
      <c r="J75" s="41">
        <f>INDIRECT("'"&amp;A75&amp;"'!H4")</f>
        <v/>
      </c>
      <c r="K75" s="40">
        <f>INDIRECT("'"&amp;A75&amp;"'!K4")</f>
        <v/>
      </c>
      <c r="L75" s="40">
        <f>INDIRECT("'"&amp;A75&amp;"'!E5")</f>
        <v/>
      </c>
      <c r="M75" s="40">
        <f>IF(AND(J75=1,K75="complete",L75="complete"),"complete",IF(H75&gt;0,"blocked","open"))</f>
        <v/>
      </c>
    </row>
    <row r="76" ht="24" customHeight="1" s="34">
      <c r="A76" s="40" t="inlineStr">
        <is>
          <t>Skip Link</t>
        </is>
      </c>
      <c r="B76" s="40">
        <f>INDIRECT("'"&amp;A76&amp;"'!B4")</f>
        <v/>
      </c>
      <c r="C76" s="40">
        <f>COUNTIF(INDIRECT("'"&amp;A76&amp;"'!H9:H200"),"not started")</f>
        <v/>
      </c>
      <c r="D76" s="40">
        <f>COUNTIF(INDIRECT("'"&amp;A76&amp;"'!H9:H200"),"partial")</f>
        <v/>
      </c>
      <c r="E76" s="40">
        <f>COUNTIF(INDIRECT("'"&amp;A76&amp;"'!H9:H200"),"implemented")</f>
        <v/>
      </c>
      <c r="F76" s="40">
        <f>COUNTIF(INDIRECT("'"&amp;A76&amp;"'!H9:H200"),"tested")</f>
        <v/>
      </c>
      <c r="G76" s="40">
        <f>COUNTIF(INDIRECT("'"&amp;A76&amp;"'!H9:H200"),"verified")</f>
        <v/>
      </c>
      <c r="H76" s="40">
        <f>COUNTIF(INDIRECT("'"&amp;A76&amp;"'!H9:H200"),"blocked")</f>
        <v/>
      </c>
      <c r="I76" s="40">
        <f>COUNTIF(INDIRECT("'"&amp;A76&amp;"'!H9:H200"),"not applicable")</f>
        <v/>
      </c>
      <c r="J76" s="41">
        <f>INDIRECT("'"&amp;A76&amp;"'!H4")</f>
        <v/>
      </c>
      <c r="K76" s="40">
        <f>INDIRECT("'"&amp;A76&amp;"'!K4")</f>
        <v/>
      </c>
      <c r="L76" s="40">
        <f>INDIRECT("'"&amp;A76&amp;"'!E5")</f>
        <v/>
      </c>
      <c r="M76" s="40">
        <f>IF(AND(J76=1,K76="complete",L76="complete"),"complete",IF(H76&gt;0,"blocked","open"))</f>
        <v/>
      </c>
    </row>
    <row r="77" ht="24" customHeight="1" s="34">
      <c r="A77" s="40" t="inlineStr">
        <is>
          <t>Show</t>
        </is>
      </c>
      <c r="B77" s="40">
        <f>INDIRECT("'"&amp;A77&amp;"'!B4")</f>
        <v/>
      </c>
      <c r="C77" s="40">
        <f>COUNTIF(INDIRECT("'"&amp;A77&amp;"'!H9:H200"),"not started")</f>
        <v/>
      </c>
      <c r="D77" s="40">
        <f>COUNTIF(INDIRECT("'"&amp;A77&amp;"'!H9:H200"),"partial")</f>
        <v/>
      </c>
      <c r="E77" s="40">
        <f>COUNTIF(INDIRECT("'"&amp;A77&amp;"'!H9:H200"),"implemented")</f>
        <v/>
      </c>
      <c r="F77" s="40">
        <f>COUNTIF(INDIRECT("'"&amp;A77&amp;"'!H9:H200"),"tested")</f>
        <v/>
      </c>
      <c r="G77" s="40">
        <f>COUNTIF(INDIRECT("'"&amp;A77&amp;"'!H9:H200"),"verified")</f>
        <v/>
      </c>
      <c r="H77" s="40">
        <f>COUNTIF(INDIRECT("'"&amp;A77&amp;"'!H9:H200"),"blocked")</f>
        <v/>
      </c>
      <c r="I77" s="40">
        <f>COUNTIF(INDIRECT("'"&amp;A77&amp;"'!H9:H200"),"not applicable")</f>
        <v/>
      </c>
      <c r="J77" s="41">
        <f>INDIRECT("'"&amp;A77&amp;"'!H4")</f>
        <v/>
      </c>
      <c r="K77" s="40">
        <f>INDIRECT("'"&amp;A77&amp;"'!K4")</f>
        <v/>
      </c>
      <c r="L77" s="40">
        <f>INDIRECT("'"&amp;A77&amp;"'!E5")</f>
        <v/>
      </c>
      <c r="M77" s="40">
        <f>IF(AND(J77=1,K77="complete",L77="complete"),"complete",IF(H77&gt;0,"blocked","open"))</f>
        <v/>
      </c>
    </row>
    <row r="78" ht="24" customHeight="1" s="34">
      <c r="A78" s="40" t="inlineStr">
        <is>
          <t>Hide</t>
        </is>
      </c>
      <c r="B78" s="40">
        <f>INDIRECT("'"&amp;A78&amp;"'!B4")</f>
        <v/>
      </c>
      <c r="C78" s="40">
        <f>COUNTIF(INDIRECT("'"&amp;A78&amp;"'!H9:H200"),"not started")</f>
        <v/>
      </c>
      <c r="D78" s="40">
        <f>COUNTIF(INDIRECT("'"&amp;A78&amp;"'!H9:H200"),"partial")</f>
        <v/>
      </c>
      <c r="E78" s="40">
        <f>COUNTIF(INDIRECT("'"&amp;A78&amp;"'!H9:H200"),"implemented")</f>
        <v/>
      </c>
      <c r="F78" s="40">
        <f>COUNTIF(INDIRECT("'"&amp;A78&amp;"'!H9:H200"),"tested")</f>
        <v/>
      </c>
      <c r="G78" s="40">
        <f>COUNTIF(INDIRECT("'"&amp;A78&amp;"'!H9:H200"),"verified")</f>
        <v/>
      </c>
      <c r="H78" s="40">
        <f>COUNTIF(INDIRECT("'"&amp;A78&amp;"'!H9:H200"),"blocked")</f>
        <v/>
      </c>
      <c r="I78" s="40">
        <f>COUNTIF(INDIRECT("'"&amp;A78&amp;"'!H9:H200"),"not applicable")</f>
        <v/>
      </c>
      <c r="J78" s="41">
        <f>INDIRECT("'"&amp;A78&amp;"'!H4")</f>
        <v/>
      </c>
      <c r="K78" s="40">
        <f>INDIRECT("'"&amp;A78&amp;"'!K4")</f>
        <v/>
      </c>
      <c r="L78" s="40">
        <f>INDIRECT("'"&amp;A78&amp;"'!E5")</f>
        <v/>
      </c>
      <c r="M78" s="40">
        <f>IF(AND(J78=1,K78="complete",L78="complete"),"complete",IF(H78&gt;0,"blocked","open"))</f>
        <v/>
      </c>
    </row>
    <row r="79" ht="24" customHeight="1" s="34">
      <c r="A79" s="40" t="inlineStr">
        <is>
          <t>Swipeable Item</t>
        </is>
      </c>
      <c r="B79" s="40">
        <f>INDIRECT("'"&amp;A79&amp;"'!B4")</f>
        <v/>
      </c>
      <c r="C79" s="40">
        <f>COUNTIF(INDIRECT("'"&amp;A79&amp;"'!H9:H200"),"not started")</f>
        <v/>
      </c>
      <c r="D79" s="40">
        <f>COUNTIF(INDIRECT("'"&amp;A79&amp;"'!H9:H200"),"partial")</f>
        <v/>
      </c>
      <c r="E79" s="40">
        <f>COUNTIF(INDIRECT("'"&amp;A79&amp;"'!H9:H200"),"implemented")</f>
        <v/>
      </c>
      <c r="F79" s="40">
        <f>COUNTIF(INDIRECT("'"&amp;A79&amp;"'!H9:H200"),"tested")</f>
        <v/>
      </c>
      <c r="G79" s="40">
        <f>COUNTIF(INDIRECT("'"&amp;A79&amp;"'!H9:H200"),"verified")</f>
        <v/>
      </c>
      <c r="H79" s="40">
        <f>COUNTIF(INDIRECT("'"&amp;A79&amp;"'!H9:H200"),"blocked")</f>
        <v/>
      </c>
      <c r="I79" s="40">
        <f>COUNTIF(INDIRECT("'"&amp;A79&amp;"'!H9:H200"),"not applicable")</f>
        <v/>
      </c>
      <c r="J79" s="41">
        <f>INDIRECT("'"&amp;A79&amp;"'!H4")</f>
        <v/>
      </c>
      <c r="K79" s="40">
        <f>INDIRECT("'"&amp;A79&amp;"'!K4")</f>
        <v/>
      </c>
      <c r="L79" s="40">
        <f>INDIRECT("'"&amp;A79&amp;"'!E5")</f>
        <v/>
      </c>
      <c r="M79" s="40">
        <f>IF(AND(J79=1,K79="complete",L79="complete"),"complete",IF(H79&gt;0,"blocked","open"))</f>
        <v/>
      </c>
    </row>
    <row r="80" ht="24" customHeight="1" s="34">
      <c r="A80" s="40" t="inlineStr">
        <is>
          <t>Table</t>
        </is>
      </c>
      <c r="B80" s="40">
        <f>INDIRECT("'"&amp;A80&amp;"'!B4")</f>
        <v/>
      </c>
      <c r="C80" s="40">
        <f>COUNTIF(INDIRECT("'"&amp;A80&amp;"'!H9:H200"),"not started")</f>
        <v/>
      </c>
      <c r="D80" s="40">
        <f>COUNTIF(INDIRECT("'"&amp;A80&amp;"'!H9:H200"),"partial")</f>
        <v/>
      </c>
      <c r="E80" s="40">
        <f>COUNTIF(INDIRECT("'"&amp;A80&amp;"'!H9:H200"),"implemented")</f>
        <v/>
      </c>
      <c r="F80" s="40">
        <f>COUNTIF(INDIRECT("'"&amp;A80&amp;"'!H9:H200"),"tested")</f>
        <v/>
      </c>
      <c r="G80" s="40">
        <f>COUNTIF(INDIRECT("'"&amp;A80&amp;"'!H9:H200"),"verified")</f>
        <v/>
      </c>
      <c r="H80" s="40">
        <f>COUNTIF(INDIRECT("'"&amp;A80&amp;"'!H9:H200"),"blocked")</f>
        <v/>
      </c>
      <c r="I80" s="40">
        <f>COUNTIF(INDIRECT("'"&amp;A80&amp;"'!H9:H200"),"not applicable")</f>
        <v/>
      </c>
      <c r="J80" s="41">
        <f>INDIRECT("'"&amp;A80&amp;"'!H4")</f>
        <v/>
      </c>
      <c r="K80" s="40">
        <f>INDIRECT("'"&amp;A80&amp;"'!K4")</f>
        <v/>
      </c>
      <c r="L80" s="40">
        <f>INDIRECT("'"&amp;A80&amp;"'!E5")</f>
        <v/>
      </c>
      <c r="M80" s="40">
        <f>IF(AND(J80=1,K80="complete",L80="complete"),"complete",IF(H80&gt;0,"blocked","open"))</f>
        <v/>
      </c>
    </row>
    <row r="81" ht="24" customHeight="1" s="34">
      <c r="A81" s="40" t="inlineStr">
        <is>
          <t>Progress</t>
        </is>
      </c>
      <c r="B81" s="40">
        <f>INDIRECT("'"&amp;A81&amp;"'!B4")</f>
        <v/>
      </c>
      <c r="C81" s="40">
        <f>COUNTIF(INDIRECT("'"&amp;A81&amp;"'!H9:H200"),"not started")</f>
        <v/>
      </c>
      <c r="D81" s="40">
        <f>COUNTIF(INDIRECT("'"&amp;A81&amp;"'!H9:H200"),"partial")</f>
        <v/>
      </c>
      <c r="E81" s="40">
        <f>COUNTIF(INDIRECT("'"&amp;A81&amp;"'!H9:H200"),"implemented")</f>
        <v/>
      </c>
      <c r="F81" s="40">
        <f>COUNTIF(INDIRECT("'"&amp;A81&amp;"'!H9:H200"),"tested")</f>
        <v/>
      </c>
      <c r="G81" s="40">
        <f>COUNTIF(INDIRECT("'"&amp;A81&amp;"'!H9:H200"),"verified")</f>
        <v/>
      </c>
      <c r="H81" s="40">
        <f>COUNTIF(INDIRECT("'"&amp;A81&amp;"'!H9:H200"),"blocked")</f>
        <v/>
      </c>
      <c r="I81" s="40">
        <f>COUNTIF(INDIRECT("'"&amp;A81&amp;"'!H9:H200"),"not applicable")</f>
        <v/>
      </c>
      <c r="J81" s="41">
        <f>INDIRECT("'"&amp;A81&amp;"'!H4")</f>
        <v/>
      </c>
      <c r="K81" s="40">
        <f>INDIRECT("'"&amp;A81&amp;"'!K4")</f>
        <v/>
      </c>
      <c r="L81" s="40">
        <f>INDIRECT("'"&amp;A81&amp;"'!E5")</f>
        <v/>
      </c>
      <c r="M81" s="40">
        <f>IF(AND(J81=1,K81="complete",L81="complete"),"complete",IF(H81&gt;0,"blocked","open"))</f>
        <v/>
      </c>
    </row>
    <row r="82" ht="24" customHeight="1" s="34">
      <c r="A82" s="40" t="inlineStr">
        <is>
          <t>Progress Circle</t>
        </is>
      </c>
      <c r="B82" s="40">
        <f>INDIRECT("'"&amp;A82&amp;"'!B4")</f>
        <v/>
      </c>
      <c r="C82" s="40">
        <f>COUNTIF(INDIRECT("'"&amp;A82&amp;"'!H9:H200"),"not started")</f>
        <v/>
      </c>
      <c r="D82" s="40">
        <f>COUNTIF(INDIRECT("'"&amp;A82&amp;"'!H9:H200"),"partial")</f>
        <v/>
      </c>
      <c r="E82" s="40">
        <f>COUNTIF(INDIRECT("'"&amp;A82&amp;"'!H9:H200"),"implemented")</f>
        <v/>
      </c>
      <c r="F82" s="40">
        <f>COUNTIF(INDIRECT("'"&amp;A82&amp;"'!H9:H200"),"tested")</f>
        <v/>
      </c>
      <c r="G82" s="40">
        <f>COUNTIF(INDIRECT("'"&amp;A82&amp;"'!H9:H200"),"verified")</f>
        <v/>
      </c>
      <c r="H82" s="40">
        <f>COUNTIF(INDIRECT("'"&amp;A82&amp;"'!H9:H200"),"blocked")</f>
        <v/>
      </c>
      <c r="I82" s="40">
        <f>COUNTIF(INDIRECT("'"&amp;A82&amp;"'!H9:H200"),"not applicable")</f>
        <v/>
      </c>
      <c r="J82" s="41">
        <f>INDIRECT("'"&amp;A82&amp;"'!H4")</f>
        <v/>
      </c>
      <c r="K82" s="40">
        <f>INDIRECT("'"&amp;A82&amp;"'!K4")</f>
        <v/>
      </c>
      <c r="L82" s="40">
        <f>INDIRECT("'"&amp;A82&amp;"'!E5")</f>
        <v/>
      </c>
      <c r="M82" s="40">
        <f>IF(AND(J82=1,K82="complete",L82="complete"),"complete",IF(H82&gt;0,"blocked","open"))</f>
        <v/>
      </c>
    </row>
    <row r="83" ht="24" customHeight="1" s="34">
      <c r="A83" s="40" t="inlineStr">
        <is>
          <t>Carousel</t>
        </is>
      </c>
      <c r="B83" s="40">
        <f>INDIRECT("'"&amp;A83&amp;"'!B4")</f>
        <v/>
      </c>
      <c r="C83" s="40">
        <f>COUNTIF(INDIRECT("'"&amp;A83&amp;"'!H9:H200"),"not started")</f>
        <v/>
      </c>
      <c r="D83" s="40">
        <f>COUNTIF(INDIRECT("'"&amp;A83&amp;"'!H9:H200"),"partial")</f>
        <v/>
      </c>
      <c r="E83" s="40">
        <f>COUNTIF(INDIRECT("'"&amp;A83&amp;"'!H9:H200"),"implemented")</f>
        <v/>
      </c>
      <c r="F83" s="40">
        <f>COUNTIF(INDIRECT("'"&amp;A83&amp;"'!H9:H200"),"tested")</f>
        <v/>
      </c>
      <c r="G83" s="40">
        <f>COUNTIF(INDIRECT("'"&amp;A83&amp;"'!H9:H200"),"verified")</f>
        <v/>
      </c>
      <c r="H83" s="40">
        <f>COUNTIF(INDIRECT("'"&amp;A83&amp;"'!H9:H200"),"blocked")</f>
        <v/>
      </c>
      <c r="I83" s="40">
        <f>COUNTIF(INDIRECT("'"&amp;A83&amp;"'!H9:H200"),"not applicable")</f>
        <v/>
      </c>
      <c r="J83" s="41">
        <f>INDIRECT("'"&amp;A83&amp;"'!H4")</f>
        <v/>
      </c>
      <c r="K83" s="40">
        <f>INDIRECT("'"&amp;A83&amp;"'!K4")</f>
        <v/>
      </c>
      <c r="L83" s="40">
        <f>INDIRECT("'"&amp;A83&amp;"'!E5")</f>
        <v/>
      </c>
      <c r="M83" s="40">
        <f>IF(AND(J83=1,K83="complete",L83="complete"),"complete",IF(H83&gt;0,"blocked","open"))</f>
        <v/>
      </c>
    </row>
    <row r="84" ht="24" customHeight="1" s="34">
      <c r="A84" s="40" t="inlineStr">
        <is>
          <t>ZStack</t>
        </is>
      </c>
      <c r="B84" s="40">
        <f>INDIRECT("'"&amp;A84&amp;"'!B4")</f>
        <v/>
      </c>
      <c r="C84" s="40">
        <f>COUNTIF(INDIRECT("'"&amp;A84&amp;"'!H9:H200"),"not started")</f>
        <v/>
      </c>
      <c r="D84" s="40">
        <f>COUNTIF(INDIRECT("'"&amp;A84&amp;"'!H9:H200"),"partial")</f>
        <v/>
      </c>
      <c r="E84" s="40">
        <f>COUNTIF(INDIRECT("'"&amp;A84&amp;"'!H9:H200"),"implemented")</f>
        <v/>
      </c>
      <c r="F84" s="40">
        <f>COUNTIF(INDIRECT("'"&amp;A84&amp;"'!H9:H200"),"tested")</f>
        <v/>
      </c>
      <c r="G84" s="40">
        <f>COUNTIF(INDIRECT("'"&amp;A84&amp;"'!H9:H200"),"verified")</f>
        <v/>
      </c>
      <c r="H84" s="40">
        <f>COUNTIF(INDIRECT("'"&amp;A84&amp;"'!H9:H200"),"blocked")</f>
        <v/>
      </c>
      <c r="I84" s="40">
        <f>COUNTIF(INDIRECT("'"&amp;A84&amp;"'!H9:H200"),"not applicable")</f>
        <v/>
      </c>
      <c r="J84" s="41">
        <f>INDIRECT("'"&amp;A84&amp;"'!H4")</f>
        <v/>
      </c>
      <c r="K84" s="40">
        <f>INDIRECT("'"&amp;A84&amp;"'!K4")</f>
        <v/>
      </c>
      <c r="L84" s="40">
        <f>INDIRECT("'"&amp;A84&amp;"'!E5")</f>
        <v/>
      </c>
      <c r="M84" s="40">
        <f>IF(AND(J84=1,K84="complete",L84="complete"),"complete",IF(H84&gt;0,"blocked","open"))</f>
        <v/>
      </c>
    </row>
    <row r="85" ht="24" customHeight="1" s="34">
      <c r="A85" s="40" t="inlineStr">
        <is>
          <t>Appearance</t>
        </is>
      </c>
      <c r="B85" s="40">
        <f>INDIRECT("'"&amp;A85&amp;"'!B4")</f>
        <v/>
      </c>
      <c r="C85" s="40">
        <f>COUNTIF(INDIRECT("'"&amp;A85&amp;"'!H9:H200"),"not started")</f>
        <v/>
      </c>
      <c r="D85" s="40">
        <f>COUNTIF(INDIRECT("'"&amp;A85&amp;"'!H9:H200"),"partial")</f>
        <v/>
      </c>
      <c r="E85" s="40">
        <f>COUNTIF(INDIRECT("'"&amp;A85&amp;"'!H9:H200"),"implemented")</f>
        <v/>
      </c>
      <c r="F85" s="40">
        <f>COUNTIF(INDIRECT("'"&amp;A85&amp;"'!H9:H200"),"tested")</f>
        <v/>
      </c>
      <c r="G85" s="40">
        <f>COUNTIF(INDIRECT("'"&amp;A85&amp;"'!H9:H200"),"verified")</f>
        <v/>
      </c>
      <c r="H85" s="40">
        <f>COUNTIF(INDIRECT("'"&amp;A85&amp;"'!H9:H200"),"blocked")</f>
        <v/>
      </c>
      <c r="I85" s="40">
        <f>COUNTIF(INDIRECT("'"&amp;A85&amp;"'!H9:H200"),"not applicable")</f>
        <v/>
      </c>
      <c r="J85" s="41">
        <f>INDIRECT("'"&amp;A85&amp;"'!H4")</f>
        <v/>
      </c>
      <c r="K85" s="40">
        <f>INDIRECT("'"&amp;A85&amp;"'!K4")</f>
        <v/>
      </c>
      <c r="L85" s="40">
        <f>INDIRECT("'"&amp;A85&amp;"'!E5")</f>
        <v/>
      </c>
      <c r="M85" s="40">
        <f>IF(AND(J85=1,K85="complete",L85="complete"),"complete",IF(H85&gt;0,"blocked","open"))</f>
        <v/>
      </c>
    </row>
    <row r="86" ht="24" customHeight="1" s="34">
      <c r="A86" s="40" t="inlineStr">
        <is>
          <t>Frame</t>
        </is>
      </c>
      <c r="B86" s="40">
        <f>INDIRECT("'"&amp;A86&amp;"'!B4")</f>
        <v/>
      </c>
      <c r="C86" s="40">
        <f>COUNTIF(INDIRECT("'"&amp;A86&amp;"'!H9:H200"),"not started")</f>
        <v/>
      </c>
      <c r="D86" s="40">
        <f>COUNTIF(INDIRECT("'"&amp;A86&amp;"'!H9:H200"),"partial")</f>
        <v/>
      </c>
      <c r="E86" s="40">
        <f>COUNTIF(INDIRECT("'"&amp;A86&amp;"'!H9:H200"),"implemented")</f>
        <v/>
      </c>
      <c r="F86" s="40">
        <f>COUNTIF(INDIRECT("'"&amp;A86&amp;"'!H9:H200"),"tested")</f>
        <v/>
      </c>
      <c r="G86" s="40">
        <f>COUNTIF(INDIRECT("'"&amp;A86&amp;"'!H9:H200"),"verified")</f>
        <v/>
      </c>
      <c r="H86" s="40">
        <f>COUNTIF(INDIRECT("'"&amp;A86&amp;"'!H9:H200"),"blocked")</f>
        <v/>
      </c>
      <c r="I86" s="40">
        <f>COUNTIF(INDIRECT("'"&amp;A86&amp;"'!H9:H200"),"not applicable")</f>
        <v/>
      </c>
      <c r="J86" s="41">
        <f>INDIRECT("'"&amp;A86&amp;"'!H4")</f>
        <v/>
      </c>
      <c r="K86" s="40">
        <f>INDIRECT("'"&amp;A86&amp;"'!K4")</f>
        <v/>
      </c>
      <c r="L86" s="40">
        <f>INDIRECT("'"&amp;A86&amp;"'!E5")</f>
        <v/>
      </c>
      <c r="M86" s="40">
        <f>IF(AND(J86=1,K86="complete",L86="complete"),"complete",IF(H86&gt;0,"blocked","open"))</f>
        <v/>
      </c>
    </row>
    <row r="87" ht="24" customHeight="1" s="34">
      <c r="A87" s="40" t="inlineStr">
        <is>
          <t>Section</t>
        </is>
      </c>
      <c r="B87" s="40">
        <f>INDIRECT("'"&amp;A87&amp;"'!B4")</f>
        <v/>
      </c>
      <c r="C87" s="40">
        <f>COUNTIF(INDIRECT("'"&amp;A87&amp;"'!H9:H200"),"not started")</f>
        <v/>
      </c>
      <c r="D87" s="40">
        <f>COUNTIF(INDIRECT("'"&amp;A87&amp;"'!H9:H200"),"partial")</f>
        <v/>
      </c>
      <c r="E87" s="40">
        <f>COUNTIF(INDIRECT("'"&amp;A87&amp;"'!H9:H200"),"implemented")</f>
        <v/>
      </c>
      <c r="F87" s="40">
        <f>COUNTIF(INDIRECT("'"&amp;A87&amp;"'!H9:H200"),"tested")</f>
        <v/>
      </c>
      <c r="G87" s="40">
        <f>COUNTIF(INDIRECT("'"&amp;A87&amp;"'!H9:H200"),"verified")</f>
        <v/>
      </c>
      <c r="H87" s="40">
        <f>COUNTIF(INDIRECT("'"&amp;A87&amp;"'!H9:H200"),"blocked")</f>
        <v/>
      </c>
      <c r="I87" s="40">
        <f>COUNTIF(INDIRECT("'"&amp;A87&amp;"'!H9:H200"),"not applicable")</f>
        <v/>
      </c>
      <c r="J87" s="41">
        <f>INDIRECT("'"&amp;A87&amp;"'!H4")</f>
        <v/>
      </c>
      <c r="K87" s="40">
        <f>INDIRECT("'"&amp;A87&amp;"'!K4")</f>
        <v/>
      </c>
      <c r="L87" s="40">
        <f>INDIRECT("'"&amp;A87&amp;"'!E5")</f>
        <v/>
      </c>
      <c r="M87" s="40">
        <f>IF(AND(J87=1,K87="complete",L87="complete"),"complete",IF(H87&gt;0,"blocked","open"))</f>
        <v/>
      </c>
    </row>
    <row r="88" ht="24" customHeight="1" s="34">
      <c r="A88" s="40" t="inlineStr">
        <is>
          <t>Reorderable List</t>
        </is>
      </c>
      <c r="B88" s="40">
        <f>INDIRECT("'"&amp;A88&amp;"'!B4")</f>
        <v/>
      </c>
      <c r="C88" s="40">
        <f>COUNTIF(INDIRECT("'"&amp;A88&amp;"'!H9:H200"),"not started")</f>
        <v/>
      </c>
      <c r="D88" s="40">
        <f>COUNTIF(INDIRECT("'"&amp;A88&amp;"'!H9:H200"),"partial")</f>
        <v/>
      </c>
      <c r="E88" s="40">
        <f>COUNTIF(INDIRECT("'"&amp;A88&amp;"'!H9:H200"),"implemented")</f>
        <v/>
      </c>
      <c r="F88" s="40">
        <f>COUNTIF(INDIRECT("'"&amp;A88&amp;"'!H9:H200"),"tested")</f>
        <v/>
      </c>
      <c r="G88" s="40">
        <f>COUNTIF(INDIRECT("'"&amp;A88&amp;"'!H9:H200"),"verified")</f>
        <v/>
      </c>
      <c r="H88" s="40">
        <f>COUNTIF(INDIRECT("'"&amp;A88&amp;"'!H9:H200"),"blocked")</f>
        <v/>
      </c>
      <c r="I88" s="40">
        <f>COUNTIF(INDIRECT("'"&amp;A88&amp;"'!H9:H200"),"not applicable")</f>
        <v/>
      </c>
      <c r="J88" s="41">
        <f>INDIRECT("'"&amp;A88&amp;"'!H4")</f>
        <v/>
      </c>
      <c r="K88" s="40">
        <f>INDIRECT("'"&amp;A88&amp;"'!K4")</f>
        <v/>
      </c>
      <c r="L88" s="40">
        <f>INDIRECT("'"&amp;A88&amp;"'!E5")</f>
        <v/>
      </c>
      <c r="M88" s="40">
        <f>IF(AND(J88=1,K88="complete",L88="complete"),"complete",IF(H88&gt;0,"blocked","open"))</f>
        <v/>
      </c>
    </row>
    <row r="89" ht="24" customHeight="1" s="34">
      <c r="A89" s="40" t="inlineStr">
        <is>
          <t>Group</t>
        </is>
      </c>
      <c r="B89" s="40">
        <f>INDIRECT("'"&amp;A89&amp;"'!B4")</f>
        <v/>
      </c>
      <c r="C89" s="40">
        <f>COUNTIF(INDIRECT("'"&amp;A89&amp;"'!H9:H200"),"not started")</f>
        <v/>
      </c>
      <c r="D89" s="40">
        <f>COUNTIF(INDIRECT("'"&amp;A89&amp;"'!H9:H200"),"partial")</f>
        <v/>
      </c>
      <c r="E89" s="40">
        <f>COUNTIF(INDIRECT("'"&amp;A89&amp;"'!H9:H200"),"implemented")</f>
        <v/>
      </c>
      <c r="F89" s="40">
        <f>COUNTIF(INDIRECT("'"&amp;A89&amp;"'!H9:H200"),"tested")</f>
        <v/>
      </c>
      <c r="G89" s="40">
        <f>COUNTIF(INDIRECT("'"&amp;A89&amp;"'!H9:H200"),"verified")</f>
        <v/>
      </c>
      <c r="H89" s="40">
        <f>COUNTIF(INDIRECT("'"&amp;A89&amp;"'!H9:H200"),"blocked")</f>
        <v/>
      </c>
      <c r="I89" s="40">
        <f>COUNTIF(INDIRECT("'"&amp;A89&amp;"'!H9:H200"),"not applicable")</f>
        <v/>
      </c>
      <c r="J89" s="41">
        <f>INDIRECT("'"&amp;A89&amp;"'!H4")</f>
        <v/>
      </c>
      <c r="K89" s="40">
        <f>INDIRECT("'"&amp;A89&amp;"'!K4")</f>
        <v/>
      </c>
      <c r="L89" s="40">
        <f>INDIRECT("'"&amp;A89&amp;"'!E5")</f>
        <v/>
      </c>
      <c r="M89" s="40">
        <f>IF(AND(J89=1,K89="complete",L89="complete"),"complete",IF(H89&gt;0,"blocked","open"))</f>
        <v/>
      </c>
    </row>
    <row r="90" ht="24" customHeight="1" s="34">
      <c r="A90" s="40" t="inlineStr">
        <is>
          <t>Color Swatch</t>
        </is>
      </c>
      <c r="B90" s="40">
        <f>INDIRECT("'"&amp;A90&amp;"'!B4")</f>
        <v/>
      </c>
      <c r="C90" s="40">
        <f>COUNTIF(INDIRECT("'"&amp;A90&amp;"'!H9:H200"),"not started")</f>
        <v/>
      </c>
      <c r="D90" s="40">
        <f>COUNTIF(INDIRECT("'"&amp;A90&amp;"'!H9:H200"),"partial")</f>
        <v/>
      </c>
      <c r="E90" s="40">
        <f>COUNTIF(INDIRECT("'"&amp;A90&amp;"'!H9:H200"),"implemented")</f>
        <v/>
      </c>
      <c r="F90" s="40">
        <f>COUNTIF(INDIRECT("'"&amp;A90&amp;"'!H9:H200"),"tested")</f>
        <v/>
      </c>
      <c r="G90" s="40">
        <f>COUNTIF(INDIRECT("'"&amp;A90&amp;"'!H9:H200"),"verified")</f>
        <v/>
      </c>
      <c r="H90" s="40">
        <f>COUNTIF(INDIRECT("'"&amp;A90&amp;"'!H9:H200"),"blocked")</f>
        <v/>
      </c>
      <c r="I90" s="40">
        <f>COUNTIF(INDIRECT("'"&amp;A90&amp;"'!H9:H200"),"not applicable")</f>
        <v/>
      </c>
      <c r="J90" s="41">
        <f>INDIRECT("'"&amp;A90&amp;"'!H4")</f>
        <v/>
      </c>
      <c r="K90" s="40">
        <f>INDIRECT("'"&amp;A90&amp;"'!K4")</f>
        <v/>
      </c>
      <c r="L90" s="40">
        <f>INDIRECT("'"&amp;A90&amp;"'!E5")</f>
        <v/>
      </c>
      <c r="M90" s="40">
        <f>IF(AND(J90=1,K90="complete",L90="complete"),"complete",IF(H90&gt;0,"blocked","open"))</f>
        <v/>
      </c>
    </row>
    <row r="91" ht="24" customHeight="1" s="34">
      <c r="A91" s="40" t="inlineStr">
        <is>
          <t>Bleed</t>
        </is>
      </c>
      <c r="B91" s="40">
        <f>INDIRECT("'"&amp;A91&amp;"'!B4")</f>
        <v/>
      </c>
      <c r="C91" s="40">
        <f>COUNTIF(INDIRECT("'"&amp;A91&amp;"'!H9:H200"),"not started")</f>
        <v/>
      </c>
      <c r="D91" s="40">
        <f>COUNTIF(INDIRECT("'"&amp;A91&amp;"'!H9:H200"),"partial")</f>
        <v/>
      </c>
      <c r="E91" s="40">
        <f>COUNTIF(INDIRECT("'"&amp;A91&amp;"'!H9:H200"),"implemented")</f>
        <v/>
      </c>
      <c r="F91" s="40">
        <f>COUNTIF(INDIRECT("'"&amp;A91&amp;"'!H9:H200"),"tested")</f>
        <v/>
      </c>
      <c r="G91" s="40">
        <f>COUNTIF(INDIRECT("'"&amp;A91&amp;"'!H9:H200"),"verified")</f>
        <v/>
      </c>
      <c r="H91" s="40">
        <f>COUNTIF(INDIRECT("'"&amp;A91&amp;"'!H9:H200"),"blocked")</f>
        <v/>
      </c>
      <c r="I91" s="40">
        <f>COUNTIF(INDIRECT("'"&amp;A91&amp;"'!H9:H200"),"not applicable")</f>
        <v/>
      </c>
      <c r="J91" s="41">
        <f>INDIRECT("'"&amp;A91&amp;"'!H4")</f>
        <v/>
      </c>
      <c r="K91" s="40">
        <f>INDIRECT("'"&amp;A91&amp;"'!K4")</f>
        <v/>
      </c>
      <c r="L91" s="40">
        <f>INDIRECT("'"&amp;A91&amp;"'!E5")</f>
        <v/>
      </c>
      <c r="M91" s="40">
        <f>IF(AND(J91=1,K91="complete",L91="complete"),"complete",IF(H91&gt;0,"blocked","open"))</f>
        <v/>
      </c>
    </row>
    <row r="92" ht="24" customHeight="1" s="34">
      <c r="A92" s="40" t="inlineStr">
        <is>
          <t>Data List</t>
        </is>
      </c>
      <c r="B92" s="40">
        <f>INDIRECT("'"&amp;A92&amp;"'!B4")</f>
        <v/>
      </c>
      <c r="C92" s="40">
        <f>COUNTIF(INDIRECT("'"&amp;A92&amp;"'!H9:H200"),"not started")</f>
        <v/>
      </c>
      <c r="D92" s="40">
        <f>COUNTIF(INDIRECT("'"&amp;A92&amp;"'!H9:H200"),"partial")</f>
        <v/>
      </c>
      <c r="E92" s="40">
        <f>COUNTIF(INDIRECT("'"&amp;A92&amp;"'!H9:H200"),"implemented")</f>
        <v/>
      </c>
      <c r="F92" s="40">
        <f>COUNTIF(INDIRECT("'"&amp;A92&amp;"'!H9:H200"),"tested")</f>
        <v/>
      </c>
      <c r="G92" s="40">
        <f>COUNTIF(INDIRECT("'"&amp;A92&amp;"'!H9:H200"),"verified")</f>
        <v/>
      </c>
      <c r="H92" s="40">
        <f>COUNTIF(INDIRECT("'"&amp;A92&amp;"'!H9:H200"),"blocked")</f>
        <v/>
      </c>
      <c r="I92" s="40">
        <f>COUNTIF(INDIRECT("'"&amp;A92&amp;"'!H9:H200"),"not applicable")</f>
        <v/>
      </c>
      <c r="J92" s="41">
        <f>INDIRECT("'"&amp;A92&amp;"'!H4")</f>
        <v/>
      </c>
      <c r="K92" s="40">
        <f>INDIRECT("'"&amp;A92&amp;"'!K4")</f>
        <v/>
      </c>
      <c r="L92" s="40">
        <f>INDIRECT("'"&amp;A92&amp;"'!E5")</f>
        <v/>
      </c>
      <c r="M92" s="40">
        <f>IF(AND(J92=1,K92="complete",L92="complete"),"complete",IF(H92&gt;0,"blocked","open"))</f>
        <v/>
      </c>
    </row>
    <row r="93" ht="24" customHeight="1" s="34">
      <c r="A93" s="40" t="inlineStr">
        <is>
          <t>Link Box</t>
        </is>
      </c>
      <c r="B93" s="40">
        <f>INDIRECT("'"&amp;A93&amp;"'!B4")</f>
        <v/>
      </c>
      <c r="C93" s="40">
        <f>COUNTIF(INDIRECT("'"&amp;A93&amp;"'!H9:H200"),"not started")</f>
        <v/>
      </c>
      <c r="D93" s="40">
        <f>COUNTIF(INDIRECT("'"&amp;A93&amp;"'!H9:H200"),"partial")</f>
        <v/>
      </c>
      <c r="E93" s="40">
        <f>COUNTIF(INDIRECT("'"&amp;A93&amp;"'!H9:H200"),"implemented")</f>
        <v/>
      </c>
      <c r="F93" s="40">
        <f>COUNTIF(INDIRECT("'"&amp;A93&amp;"'!H9:H200"),"tested")</f>
        <v/>
      </c>
      <c r="G93" s="40">
        <f>COUNTIF(INDIRECT("'"&amp;A93&amp;"'!H9:H200"),"verified")</f>
        <v/>
      </c>
      <c r="H93" s="40">
        <f>COUNTIF(INDIRECT("'"&amp;A93&amp;"'!H9:H200"),"blocked")</f>
        <v/>
      </c>
      <c r="I93" s="40">
        <f>COUNTIF(INDIRECT("'"&amp;A93&amp;"'!H9:H200"),"not applicable")</f>
        <v/>
      </c>
      <c r="J93" s="41">
        <f>INDIRECT("'"&amp;A93&amp;"'!H4")</f>
        <v/>
      </c>
      <c r="K93" s="40">
        <f>INDIRECT("'"&amp;A93&amp;"'!K4")</f>
        <v/>
      </c>
      <c r="L93" s="40">
        <f>INDIRECT("'"&amp;A93&amp;"'!E5")</f>
        <v/>
      </c>
      <c r="M93" s="40">
        <f>IF(AND(J93=1,K93="complete",L93="complete"),"complete",IF(H93&gt;0,"blocked","open"))</f>
        <v/>
      </c>
    </row>
    <row r="94" ht="24" customHeight="1" s="34">
      <c r="A94" s="40" t="inlineStr">
        <is>
          <t>Segment Group</t>
        </is>
      </c>
      <c r="B94" s="40">
        <f>INDIRECT("'"&amp;A94&amp;"'!B4")</f>
        <v/>
      </c>
      <c r="C94" s="40">
        <f>COUNTIF(INDIRECT("'"&amp;A94&amp;"'!H9:H200"),"not started")</f>
        <v/>
      </c>
      <c r="D94" s="40">
        <f>COUNTIF(INDIRECT("'"&amp;A94&amp;"'!H9:H200"),"partial")</f>
        <v/>
      </c>
      <c r="E94" s="40">
        <f>COUNTIF(INDIRECT("'"&amp;A94&amp;"'!H9:H200"),"implemented")</f>
        <v/>
      </c>
      <c r="F94" s="40">
        <f>COUNTIF(INDIRECT("'"&amp;A94&amp;"'!H9:H200"),"tested")</f>
        <v/>
      </c>
      <c r="G94" s="40">
        <f>COUNTIF(INDIRECT("'"&amp;A94&amp;"'!H9:H200"),"verified")</f>
        <v/>
      </c>
      <c r="H94" s="40">
        <f>COUNTIF(INDIRECT("'"&amp;A94&amp;"'!H9:H200"),"blocked")</f>
        <v/>
      </c>
      <c r="I94" s="40">
        <f>COUNTIF(INDIRECT("'"&amp;A94&amp;"'!H9:H200"),"not applicable")</f>
        <v/>
      </c>
      <c r="J94" s="41">
        <f>INDIRECT("'"&amp;A94&amp;"'!H4")</f>
        <v/>
      </c>
      <c r="K94" s="40">
        <f>INDIRECT("'"&amp;A94&amp;"'!K4")</f>
        <v/>
      </c>
      <c r="L94" s="40">
        <f>INDIRECT("'"&amp;A94&amp;"'!E5")</f>
        <v/>
      </c>
      <c r="M94" s="40">
        <f>IF(AND(J94=1,K94="complete",L94="complete"),"complete",IF(H94&gt;0,"blocked","open"))</f>
        <v/>
      </c>
    </row>
    <row r="95" ht="24" customHeight="1" s="34">
      <c r="A95" s="40" t="inlineStr">
        <is>
          <t>Status</t>
        </is>
      </c>
      <c r="B95" s="40">
        <f>INDIRECT("'"&amp;A95&amp;"'!B4")</f>
        <v/>
      </c>
      <c r="C95" s="40">
        <f>COUNTIF(INDIRECT("'"&amp;A95&amp;"'!H9:H200"),"not started")</f>
        <v/>
      </c>
      <c r="D95" s="40">
        <f>COUNTIF(INDIRECT("'"&amp;A95&amp;"'!H9:H200"),"partial")</f>
        <v/>
      </c>
      <c r="E95" s="40">
        <f>COUNTIF(INDIRECT("'"&amp;A95&amp;"'!H9:H200"),"implemented")</f>
        <v/>
      </c>
      <c r="F95" s="40">
        <f>COUNTIF(INDIRECT("'"&amp;A95&amp;"'!H9:H200"),"tested")</f>
        <v/>
      </c>
      <c r="G95" s="40">
        <f>COUNTIF(INDIRECT("'"&amp;A95&amp;"'!H9:H200"),"verified")</f>
        <v/>
      </c>
      <c r="H95" s="40">
        <f>COUNTIF(INDIRECT("'"&amp;A95&amp;"'!H9:H200"),"blocked")</f>
        <v/>
      </c>
      <c r="I95" s="40">
        <f>COUNTIF(INDIRECT("'"&amp;A95&amp;"'!H9:H200"),"not applicable")</f>
        <v/>
      </c>
      <c r="J95" s="41">
        <f>INDIRECT("'"&amp;A95&amp;"'!H4")</f>
        <v/>
      </c>
      <c r="K95" s="40">
        <f>INDIRECT("'"&amp;A95&amp;"'!K4")</f>
        <v/>
      </c>
      <c r="L95" s="40">
        <f>INDIRECT("'"&amp;A95&amp;"'!E5")</f>
        <v/>
      </c>
      <c r="M95" s="40">
        <f>IF(AND(J95=1,K95="complete",L95="complete"),"complete",IF(H95&gt;0,"blocked","open"))</f>
        <v/>
      </c>
    </row>
    <row r="96" ht="24" customHeight="1" s="34">
      <c r="A96" s="40" t="inlineStr">
        <is>
          <t>Color Picker</t>
        </is>
      </c>
      <c r="B96" s="40">
        <f>INDIRECT("'"&amp;A96&amp;"'!B4")</f>
        <v/>
      </c>
      <c r="C96" s="40">
        <f>COUNTIF(INDIRECT("'"&amp;A96&amp;"'!H9:H200"),"not started")</f>
        <v/>
      </c>
      <c r="D96" s="40">
        <f>COUNTIF(INDIRECT("'"&amp;A96&amp;"'!H9:H200"),"partial")</f>
        <v/>
      </c>
      <c r="E96" s="40">
        <f>COUNTIF(INDIRECT("'"&amp;A96&amp;"'!H9:H200"),"implemented")</f>
        <v/>
      </c>
      <c r="F96" s="40">
        <f>COUNTIF(INDIRECT("'"&amp;A96&amp;"'!H9:H200"),"tested")</f>
        <v/>
      </c>
      <c r="G96" s="40">
        <f>COUNTIF(INDIRECT("'"&amp;A96&amp;"'!H9:H200"),"verified")</f>
        <v/>
      </c>
      <c r="H96" s="40">
        <f>COUNTIF(INDIRECT("'"&amp;A96&amp;"'!H9:H200"),"blocked")</f>
        <v/>
      </c>
      <c r="I96" s="40">
        <f>COUNTIF(INDIRECT("'"&amp;A96&amp;"'!H9:H200"),"not applicable")</f>
        <v/>
      </c>
      <c r="J96" s="41">
        <f>INDIRECT("'"&amp;A96&amp;"'!H4")</f>
        <v/>
      </c>
      <c r="K96" s="40">
        <f>INDIRECT("'"&amp;A96&amp;"'!K4")</f>
        <v/>
      </c>
      <c r="L96" s="40">
        <f>INDIRECT("'"&amp;A96&amp;"'!E5")</f>
        <v/>
      </c>
      <c r="M96" s="40">
        <f>IF(AND(J96=1,K96="complete",L96="complete"),"complete",IF(H96&gt;0,"blocked","open"))</f>
        <v/>
      </c>
    </row>
    <row r="97" ht="24" customHeight="1" s="34">
      <c r="A97" s="40" t="inlineStr">
        <is>
          <t>Em</t>
        </is>
      </c>
      <c r="B97" s="40">
        <f>INDIRECT("'"&amp;A97&amp;"'!B4")</f>
        <v/>
      </c>
      <c r="C97" s="40">
        <f>COUNTIF(INDIRECT("'"&amp;A97&amp;"'!H9:H200"),"not started")</f>
        <v/>
      </c>
      <c r="D97" s="40">
        <f>COUNTIF(INDIRECT("'"&amp;A97&amp;"'!H9:H200"),"partial")</f>
        <v/>
      </c>
      <c r="E97" s="40">
        <f>COUNTIF(INDIRECT("'"&amp;A97&amp;"'!H9:H200"),"implemented")</f>
        <v/>
      </c>
      <c r="F97" s="40">
        <f>COUNTIF(INDIRECT("'"&amp;A97&amp;"'!H9:H200"),"tested")</f>
        <v/>
      </c>
      <c r="G97" s="40">
        <f>COUNTIF(INDIRECT("'"&amp;A97&amp;"'!H9:H200"),"verified")</f>
        <v/>
      </c>
      <c r="H97" s="40">
        <f>COUNTIF(INDIRECT("'"&amp;A97&amp;"'!H9:H200"),"blocked")</f>
        <v/>
      </c>
      <c r="I97" s="40">
        <f>COUNTIF(INDIRECT("'"&amp;A97&amp;"'!H9:H200"),"not applicable")</f>
        <v/>
      </c>
      <c r="J97" s="40">
        <f>INDIRECT("'"&amp;A97&amp;"'!H4")</f>
        <v/>
      </c>
      <c r="K97" s="40">
        <f>INDIRECT("'"&amp;A97&amp;"'!K4")</f>
        <v/>
      </c>
      <c r="L97" s="40">
        <f>INDIRECT("'"&amp;A97&amp;"'!E5")</f>
        <v/>
      </c>
      <c r="M97" s="40">
        <f>IF(AND(J97=1,K97="complete",L97="complete"),"complete",IF(H97&gt;0,"blocked","open"))</f>
        <v/>
      </c>
    </row>
    <row r="98" ht="24" customHeight="1" s="34">
      <c r="A98" s="40" t="inlineStr">
        <is>
          <t>Mark</t>
        </is>
      </c>
      <c r="B98" s="40">
        <f>INDIRECT("'"&amp;A98&amp;"'!B4")</f>
        <v/>
      </c>
      <c r="C98" s="40">
        <f>COUNTIF(INDIRECT("'"&amp;A98&amp;"'!H9:H200"),"not started")</f>
        <v/>
      </c>
      <c r="D98" s="40">
        <f>COUNTIF(INDIRECT("'"&amp;A98&amp;"'!H9:H200"),"partial")</f>
        <v/>
      </c>
      <c r="E98" s="40">
        <f>COUNTIF(INDIRECT("'"&amp;A98&amp;"'!H9:H200"),"implemented")</f>
        <v/>
      </c>
      <c r="F98" s="40">
        <f>COUNTIF(INDIRECT("'"&amp;A98&amp;"'!H9:H200"),"tested")</f>
        <v/>
      </c>
      <c r="G98" s="40">
        <f>COUNTIF(INDIRECT("'"&amp;A98&amp;"'!H9:H200"),"verified")</f>
        <v/>
      </c>
      <c r="H98" s="40">
        <f>COUNTIF(INDIRECT("'"&amp;A98&amp;"'!H9:H200"),"blocked")</f>
        <v/>
      </c>
      <c r="I98" s="40">
        <f>COUNTIF(INDIRECT("'"&amp;A98&amp;"'!H9:H200"),"not applicable")</f>
        <v/>
      </c>
      <c r="J98" s="40">
        <f>INDIRECT("'"&amp;A98&amp;"'!H4")</f>
        <v/>
      </c>
      <c r="K98" s="40">
        <f>INDIRECT("'"&amp;A98&amp;"'!K4")</f>
        <v/>
      </c>
      <c r="L98" s="40">
        <f>INDIRECT("'"&amp;A98&amp;"'!E5")</f>
        <v/>
      </c>
      <c r="M98" s="40">
        <f>IF(AND(J98=1,K98="complete",L98="complete"),"complete",IF(H98&gt;0,"blocked","open"))</f>
        <v/>
      </c>
    </row>
    <row r="99" ht="24" customHeight="1" s="34">
      <c r="A99" s="40" t="inlineStr">
        <is>
          <t>Kbd</t>
        </is>
      </c>
      <c r="B99" s="40">
        <f>INDIRECT("'"&amp;A99&amp;"'!B4")</f>
        <v/>
      </c>
      <c r="C99" s="40">
        <f>COUNTIF(INDIRECT("'"&amp;A99&amp;"'!H9:H200"),"not started")</f>
        <v/>
      </c>
      <c r="D99" s="40">
        <f>COUNTIF(INDIRECT("'"&amp;A99&amp;"'!H9:H200"),"partial")</f>
        <v/>
      </c>
      <c r="E99" s="40">
        <f>COUNTIF(INDIRECT("'"&amp;A99&amp;"'!H9:H200"),"implemented")</f>
        <v/>
      </c>
      <c r="F99" s="40">
        <f>COUNTIF(INDIRECT("'"&amp;A99&amp;"'!H9:H200"),"tested")</f>
        <v/>
      </c>
      <c r="G99" s="40">
        <f>COUNTIF(INDIRECT("'"&amp;A99&amp;"'!H9:H200"),"verified")</f>
        <v/>
      </c>
      <c r="H99" s="40">
        <f>COUNTIF(INDIRECT("'"&amp;A99&amp;"'!H9:H200"),"blocked")</f>
        <v/>
      </c>
      <c r="I99" s="40">
        <f>COUNTIF(INDIRECT("'"&amp;A99&amp;"'!H9:H200"),"not applicable")</f>
        <v/>
      </c>
      <c r="J99" s="40">
        <f>INDIRECT("'"&amp;A99&amp;"'!H4")</f>
        <v/>
      </c>
      <c r="K99" s="40">
        <f>INDIRECT("'"&amp;A99&amp;"'!K4")</f>
        <v/>
      </c>
      <c r="L99" s="40">
        <f>INDIRECT("'"&amp;A99&amp;"'!E5")</f>
        <v/>
      </c>
      <c r="M99" s="40">
        <f>IF(AND(J99=1,K99="complete",L99="complete"),"complete",IF(H99&gt;0,"blocked","open"))</f>
        <v/>
      </c>
    </row>
    <row r="100" ht="24" customHeight="1" s="34">
      <c r="A100" s="40" t="inlineStr">
        <is>
          <t>Blockquote</t>
        </is>
      </c>
      <c r="B100" s="40">
        <f>INDIRECT("'"&amp;A100&amp;"'!B4")</f>
        <v/>
      </c>
      <c r="C100" s="40">
        <f>COUNTIF(INDIRECT("'"&amp;A100&amp;"'!H9:H200"),"not started")</f>
        <v/>
      </c>
      <c r="D100" s="40">
        <f>COUNTIF(INDIRECT("'"&amp;A100&amp;"'!H9:H200"),"partial")</f>
        <v/>
      </c>
      <c r="E100" s="40">
        <f>COUNTIF(INDIRECT("'"&amp;A100&amp;"'!H9:H200"),"implemented")</f>
        <v/>
      </c>
      <c r="F100" s="40">
        <f>COUNTIF(INDIRECT("'"&amp;A100&amp;"'!H9:H200"),"tested")</f>
        <v/>
      </c>
      <c r="G100" s="40">
        <f>COUNTIF(INDIRECT("'"&amp;A100&amp;"'!H9:H200"),"verified")</f>
        <v/>
      </c>
      <c r="H100" s="40">
        <f>COUNTIF(INDIRECT("'"&amp;A100&amp;"'!H9:H200"),"blocked")</f>
        <v/>
      </c>
      <c r="I100" s="40">
        <f>COUNTIF(INDIRECT("'"&amp;A100&amp;"'!H9:H200"),"not applicable")</f>
        <v/>
      </c>
      <c r="J100" s="40">
        <f>INDIRECT("'"&amp;A100&amp;"'!H4")</f>
        <v/>
      </c>
      <c r="K100" s="40">
        <f>INDIRECT("'"&amp;A100&amp;"'!K4")</f>
        <v/>
      </c>
      <c r="L100" s="40">
        <f>INDIRECT("'"&amp;A100&amp;"'!E5")</f>
        <v/>
      </c>
      <c r="M100" s="40">
        <f>IF(AND(J100=1,K100="complete",L100="complete"),"complete",IF(H100&gt;0,"blocked","open"))</f>
        <v/>
      </c>
    </row>
    <row r="101" ht="24" customHeight="1" s="34">
      <c r="A101" s="40" t="inlineStr">
        <is>
          <t>Highlight</t>
        </is>
      </c>
      <c r="B101" s="40">
        <f>INDIRECT("'"&amp;A101&amp;"'!B4")</f>
        <v/>
      </c>
      <c r="C101" s="40">
        <f>COUNTIF(INDIRECT("'"&amp;A101&amp;"'!H9:H200"),"not started")</f>
        <v/>
      </c>
      <c r="D101" s="40">
        <f>COUNTIF(INDIRECT("'"&amp;A101&amp;"'!H9:H200"),"partial")</f>
        <v/>
      </c>
      <c r="E101" s="40">
        <f>COUNTIF(INDIRECT("'"&amp;A101&amp;"'!H9:H200"),"implemented")</f>
        <v/>
      </c>
      <c r="F101" s="40">
        <f>COUNTIF(INDIRECT("'"&amp;A101&amp;"'!H9:H200"),"tested")</f>
        <v/>
      </c>
      <c r="G101" s="40">
        <f>COUNTIF(INDIRECT("'"&amp;A101&amp;"'!H9:H200"),"verified")</f>
        <v/>
      </c>
      <c r="H101" s="40">
        <f>COUNTIF(INDIRECT("'"&amp;A101&amp;"'!H9:H200"),"blocked")</f>
        <v/>
      </c>
      <c r="I101" s="40">
        <f>COUNTIF(INDIRECT("'"&amp;A101&amp;"'!H9:H200"),"not applicable")</f>
        <v/>
      </c>
      <c r="J101" s="40">
        <f>INDIRECT("'"&amp;A101&amp;"'!H4")</f>
        <v/>
      </c>
      <c r="K101" s="40">
        <f>INDIRECT("'"&amp;A101&amp;"'!K4")</f>
        <v/>
      </c>
      <c r="L101" s="40">
        <f>INDIRECT("'"&amp;A101&amp;"'!E5")</f>
        <v/>
      </c>
      <c r="M101" s="40">
        <f>IF(AND(J101=1,K101="complete",L101="complete"),"complete",IF(H101&gt;0,"blocked","open"))</f>
        <v/>
      </c>
    </row>
    <row r="102" ht="24" customHeight="1" s="34">
      <c r="A102" s="40" t="inlineStr">
        <is>
          <t>Prose</t>
        </is>
      </c>
      <c r="B102" s="40">
        <f>INDIRECT("'"&amp;A102&amp;"'!B4")</f>
        <v/>
      </c>
      <c r="C102" s="40">
        <f>COUNTIF(INDIRECT("'"&amp;A102&amp;"'!H9:H200"),"not started")</f>
        <v/>
      </c>
      <c r="D102" s="40">
        <f>COUNTIF(INDIRECT("'"&amp;A102&amp;"'!H9:H200"),"partial")</f>
        <v/>
      </c>
      <c r="E102" s="40">
        <f>COUNTIF(INDIRECT("'"&amp;A102&amp;"'!H9:H200"),"implemented")</f>
        <v/>
      </c>
      <c r="F102" s="40">
        <f>COUNTIF(INDIRECT("'"&amp;A102&amp;"'!H9:H200"),"tested")</f>
        <v/>
      </c>
      <c r="G102" s="40">
        <f>COUNTIF(INDIRECT("'"&amp;A102&amp;"'!H9:H200"),"verified")</f>
        <v/>
      </c>
      <c r="H102" s="40">
        <f>COUNTIF(INDIRECT("'"&amp;A102&amp;"'!H9:H200"),"blocked")</f>
        <v/>
      </c>
      <c r="I102" s="40">
        <f>COUNTIF(INDIRECT("'"&amp;A102&amp;"'!H9:H200"),"not applicable")</f>
        <v/>
      </c>
      <c r="J102" s="40">
        <f>INDIRECT("'"&amp;A102&amp;"'!H4")</f>
        <v/>
      </c>
      <c r="K102" s="40">
        <f>INDIRECT("'"&amp;A102&amp;"'!K4")</f>
        <v/>
      </c>
      <c r="L102" s="40">
        <f>INDIRECT("'"&amp;A102&amp;"'!E5")</f>
        <v/>
      </c>
      <c r="M102" s="40">
        <f>IF(AND(J102=1,K102="complete",L102="complete"),"complete",IF(H102&gt;0,"blocked","open"))</f>
        <v/>
      </c>
    </row>
  </sheetData>
  <mergeCells count="2">
    <mergeCell ref="A2:M2"/>
    <mergeCell ref="A1:M1"/>
  </mergeCells>
  <conditionalFormatting sqref="M8:M82">
    <cfRule type="containsText" rank="0" priority="2" equalAverage="0" operator="containsText" aboveAverage="0" dxfId="4" text="complete" percent="0" bottom="0">
      <formula>NOT(ISERROR(SEARCH("complete",M8)))</formula>
    </cfRule>
  </conditionalFormatting>
  <conditionalFormatting sqref="M83:M95">
    <cfRule type="containsText" rank="0" priority="3" equalAverage="0" operator="containsText" aboveAverage="0" dxfId="4" text="complete" percent="0" bottom="0">
      <formula>NOT(ISERROR(SEARCH("complete",M83)))</formula>
    </cfRule>
    <cfRule type="containsText" rank="0" priority="4" equalAverage="0" operator="containsText" aboveAverage="0" dxfId="4" text="complete" percent="0" bottom="0">
      <formula>NOT(ISERROR(SEARCH("complete",M83)))</formula>
    </cfRule>
    <cfRule type="containsText" rank="0" priority="5" equalAverage="0" operator="containsText" aboveAverage="0" dxfId="4" text="complete" percent="0" bottom="0">
      <formula>NOT(ISERROR(SEARCH("complete",M83)))</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D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71" customWidth="1" style="32" min="1" max="1"/>
    <col width="105.71" customWidth="1" style="32" min="2" max="2"/>
  </cols>
  <sheetData>
    <row r="1" ht="37.5" customHeight="1" s="34">
      <c r="A1" s="35" t="inlineStr">
        <is>
          <t>Coverage Workbook Guide</t>
        </is>
      </c>
    </row>
    <row r="2" ht="27.75" customHeight="1" s="34">
      <c r="A2" s="36" t="inlineStr">
        <is>
          <t>How to interpret, maintain, and verify this evidence tracker.</t>
        </is>
      </c>
    </row>
    <row r="3" ht="15" customHeight="1" s="34">
      <c r="A3" s="32" t="inlineStr">
        <is>
          <t>Topic</t>
        </is>
      </c>
      <c r="B3" s="32" t="inlineStr">
        <is>
          <t>Rule</t>
        </is>
      </c>
    </row>
    <row r="4" ht="30" customHeight="1" s="34">
      <c r="A4" s="32" t="inlineStr">
        <is>
          <t>Purpose</t>
        </is>
      </c>
      <c r="B4" s="32" t="inlineStr">
        <is>
          <t>This workbook summarizes evidence; source, tests, protocols, and public documentation remain authoritative.</t>
        </is>
      </c>
    </row>
    <row r="5" ht="30" customHeight="1" s="34">
      <c r="A5" s="32" t="inlineStr">
        <is>
          <t>Ownership</t>
        </is>
      </c>
      <c r="B5" s="32" t="inlineStr">
        <is>
          <t>Every independently documented public component owner owns one sheet. Shared subpaths and family integration never replace component ownership.</t>
        </is>
      </c>
    </row>
    <row r="6" ht="30" customHeight="1" s="34">
      <c r="A6" s="32" t="inlineStr">
        <is>
          <t>not started</t>
        </is>
      </c>
      <c r="B6" s="32" t="inlineStr">
        <is>
          <t>Required implementation or evidence does not exist.</t>
        </is>
      </c>
    </row>
    <row r="7" ht="30" customHeight="1" s="34">
      <c r="A7" s="32" t="inlineStr">
        <is>
          <t>partial</t>
        </is>
      </c>
      <c r="B7" s="32" t="inlineStr">
        <is>
          <t>Some evidence exists, but the assertion is incomplete.</t>
        </is>
      </c>
    </row>
    <row r="8" ht="30" customHeight="1" s="34">
      <c r="A8" s="32" t="inlineStr">
        <is>
          <t>implemented</t>
        </is>
      </c>
      <c r="B8" s="32" t="inlineStr">
        <is>
          <t>The implementation or evidence exists but has not passed its repeatable check.</t>
        </is>
      </c>
    </row>
    <row r="9" ht="30" customHeight="1" s="34">
      <c r="A9" s="32" t="inlineStr">
        <is>
          <t>tested</t>
        </is>
      </c>
      <c r="B9" s="32" t="inlineStr">
        <is>
          <t>The automated or repeatable check passes.</t>
        </is>
      </c>
    </row>
    <row r="10" ht="30" customHeight="1" s="34">
      <c r="A10" s="32" t="inlineStr">
        <is>
          <t>verified</t>
        </is>
      </c>
      <c r="B10" s="32" t="inlineStr">
        <is>
          <t>Required human review passed.</t>
        </is>
      </c>
    </row>
    <row r="11" ht="30" customHeight="1" s="34">
      <c r="A11" s="32" t="inlineStr">
        <is>
          <t>blocked</t>
        </is>
      </c>
      <c r="B11" s="32" t="inlineStr">
        <is>
          <t>A blocker or follow-up is recorded.</t>
        </is>
      </c>
    </row>
    <row r="12" ht="30" customHeight="1" s="34">
      <c r="A12" s="32" t="inlineStr">
        <is>
          <t>not applicable</t>
        </is>
      </c>
      <c r="B12" s="32" t="inlineStr">
        <is>
          <t>The reason is recorded in Blocker / N/A reason.</t>
        </is>
      </c>
    </row>
    <row r="13" ht="30" customHeight="1" s="34">
      <c r="A13" s="32" t="inlineStr">
        <is>
          <t>Manual completion</t>
        </is>
      </c>
      <c r="B13" s="32" t="inlineStr">
        <is>
          <t>Human completion is recorded only after the owner executes the current component protocol; unrun profiles remain open or not run.</t>
        </is>
      </c>
    </row>
    <row r="14" ht="30" customHeight="1" s="34">
      <c r="A14" s="32" t="inlineStr">
        <is>
          <t>Maintenance</t>
        </is>
      </c>
      <c r="B14" s="32" t="inlineStr">
        <is>
          <t>Update exact evidence paths and statuses in the same workstream as component changes.</t>
        </is>
      </c>
    </row>
    <row r="15" ht="30" customHeight="1" s="34">
      <c r="A15" s="32" t="inlineStr">
        <is>
          <t>Release</t>
        </is>
      </c>
      <c r="B15" s="32" t="inlineStr">
        <is>
          <t>Recalculate formulas, scan errors, and visually inspect changed sheets before release.</t>
        </is>
      </c>
    </row>
  </sheetData>
  <mergeCells count="2">
    <mergeCell ref="A1:D1"/>
    <mergeCell ref="A2:D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B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sheetData>
    <row r="1" ht="15" customHeight="1" s="34">
      <c r="A1" s="32" t="inlineStr">
        <is>
          <t>not started</t>
        </is>
      </c>
      <c r="B1" s="32" t="inlineStr">
        <is>
          <t>yes</t>
        </is>
      </c>
    </row>
    <row r="2" ht="15" customHeight="1" s="34">
      <c r="A2" s="32" t="inlineStr">
        <is>
          <t>partial</t>
        </is>
      </c>
      <c r="B2" s="32" t="inlineStr">
        <is>
          <t>no</t>
        </is>
      </c>
    </row>
    <row r="3" ht="15" customHeight="1" s="34">
      <c r="A3" s="32" t="inlineStr">
        <is>
          <t>implemented</t>
        </is>
      </c>
    </row>
    <row r="4" ht="15" customHeight="1" s="34">
      <c r="A4" s="32" t="inlineStr">
        <is>
          <t>tested</t>
        </is>
      </c>
    </row>
    <row r="5" ht="15" customHeight="1" s="34">
      <c r="A5" s="32" t="inlineStr">
        <is>
          <t>verified</t>
        </is>
      </c>
    </row>
    <row r="6" ht="15" customHeight="1" s="34">
      <c r="A6" s="32" t="inlineStr">
        <is>
          <t>blocked</t>
        </is>
      </c>
    </row>
    <row r="7" ht="15" customHeight="1" s="34">
      <c r="A7" s="32" t="inlineStr">
        <is>
          <t>not applicable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Alert Dialog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AD-01</t>
        </is>
      </c>
      <c r="B9" s="32" t="inlineStr">
        <is>
          <t>Implementation</t>
        </is>
      </c>
      <c r="C9" s="32" t="inlineStr">
        <is>
          <t>AlertDialog</t>
        </is>
      </c>
      <c r="D9" s="32" t="inlineStr">
        <is>
          <t>Public component implementation and Atom adapter exist.</t>
        </is>
      </c>
      <c r="E9" s="32" t="inlineStr">
        <is>
          <t>package</t>
        </is>
      </c>
      <c r="F9" s="32" t="inlineStr">
        <is>
          <t>source</t>
        </is>
      </c>
      <c r="G9" s="32" t="inlineStr">
        <is>
          <t>../src/components/alert-dialog</t>
        </is>
      </c>
      <c r="H9" s="32" t="inlineStr">
        <is>
          <t>tested</t>
        </is>
      </c>
      <c r="I9" s="32" t="inlineStr">
        <is>
          <t>no</t>
        </is>
      </c>
      <c r="J9" s="42" t="n">
        <v>46227</v>
      </c>
      <c r="L9" s="32" t="n">
        <v>1</v>
      </c>
      <c r="M9" s="32" t="n">
        <v>1</v>
      </c>
    </row>
    <row r="10" ht="42" customHeight="1" s="34">
      <c r="A10" s="32" t="inlineStr">
        <is>
          <t>AD-02</t>
        </is>
      </c>
      <c r="B10" s="32" t="inlineStr">
        <is>
          <t>Exports</t>
        </is>
      </c>
      <c r="C10" s="32" t="inlineStr">
        <is>
          <t>AlertDialog</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AD-03</t>
        </is>
      </c>
      <c r="B11" s="32" t="inlineStr">
        <is>
          <t>Types</t>
        </is>
      </c>
      <c r="C11" s="32" t="inlineStr">
        <is>
          <t>AlertDialog</t>
        </is>
      </c>
      <c r="D11" s="32" t="inlineStr">
        <is>
          <t>Public props, refs, composition branches, and invalid cases type-check.</t>
        </is>
      </c>
      <c r="E11" s="32" t="inlineStr">
        <is>
          <t>package</t>
        </is>
      </c>
      <c r="F11" s="32" t="inlineStr">
        <is>
          <t>types</t>
        </is>
      </c>
      <c r="G11" s="32" t="inlineStr">
        <is>
          <t>../test/types/components/alert-dialog.test.ts</t>
        </is>
      </c>
      <c r="H11" s="32" t="inlineStr">
        <is>
          <t>tested</t>
        </is>
      </c>
      <c r="I11" s="32" t="inlineStr">
        <is>
          <t>no</t>
        </is>
      </c>
      <c r="J11" s="42" t="n">
        <v>46227</v>
      </c>
      <c r="L11" s="32" t="n">
        <v>1</v>
      </c>
      <c r="M11" s="32" t="n">
        <v>1</v>
      </c>
    </row>
    <row r="12" ht="42" customHeight="1" s="34">
      <c r="A12" s="32" t="inlineStr">
        <is>
          <t>AD-04</t>
        </is>
      </c>
      <c r="B12" s="32" t="inlineStr">
        <is>
          <t>CSS</t>
        </is>
      </c>
      <c r="C12" s="32" t="inlineStr">
        <is>
          <t>AlertDialog</t>
        </is>
      </c>
      <c r="D12" s="32" t="inlineStr">
        <is>
          <t>Static public CSS, classes, slots, recipes, states, and tokens are present.</t>
        </is>
      </c>
      <c r="E12" s="32" t="inlineStr">
        <is>
          <t>package</t>
        </is>
      </c>
      <c r="F12" s="32" t="inlineStr">
        <is>
          <t>css</t>
        </is>
      </c>
      <c r="G12" s="32" t="inlineStr">
        <is>
          <t>../src/components/alert-dialog/alert-dialog.css</t>
        </is>
      </c>
      <c r="H12" s="32" t="inlineStr">
        <is>
          <t>tested</t>
        </is>
      </c>
      <c r="I12" s="32" t="inlineStr">
        <is>
          <t>no</t>
        </is>
      </c>
      <c r="J12" s="42" t="n">
        <v>46227</v>
      </c>
      <c r="L12" s="32" t="n">
        <v>1</v>
      </c>
      <c r="M12" s="32" t="n">
        <v>1</v>
      </c>
    </row>
    <row r="13" ht="42" customHeight="1" s="34">
      <c r="A13" s="32" t="inlineStr">
        <is>
          <t>AD-05</t>
        </is>
      </c>
      <c r="B13" s="32" t="inlineStr">
        <is>
          <t>Unit</t>
        </is>
      </c>
      <c r="C13" s="32" t="inlineStr">
        <is>
          <t>AlertDialog</t>
        </is>
      </c>
      <c r="D13" s="32" t="inlineStr">
        <is>
          <t>Brick-owned DOM, recipes, adapters, and public hooks pass focused tests.</t>
        </is>
      </c>
      <c r="E13" s="32" t="inlineStr">
        <is>
          <t>package</t>
        </is>
      </c>
      <c r="F13" s="32" t="inlineStr">
        <is>
          <t>component</t>
        </is>
      </c>
      <c r="G13" s="32" t="inlineStr">
        <is>
          <t>../test/components/alert-dialog/alert-dialog.test.tsx</t>
        </is>
      </c>
      <c r="H13" s="32" t="inlineStr">
        <is>
          <t>tested</t>
        </is>
      </c>
      <c r="I13" s="32" t="inlineStr">
        <is>
          <t>no</t>
        </is>
      </c>
      <c r="J13" s="42" t="n">
        <v>46227</v>
      </c>
      <c r="L13" s="32" t="n">
        <v>1</v>
      </c>
      <c r="M13" s="32" t="n">
        <v>1</v>
      </c>
    </row>
    <row r="14" ht="42" customHeight="1" s="34">
      <c r="A14" s="32" t="inlineStr">
        <is>
          <t>AD-06</t>
        </is>
      </c>
      <c r="B14" s="32" t="inlineStr">
        <is>
          <t>Browser</t>
        </is>
      </c>
      <c r="C14" s="32" t="inlineStr">
        <is>
          <t>AlertDialog</t>
        </is>
      </c>
      <c r="D14" s="32" t="inlineStr">
        <is>
          <t>Real-browser behavior and component contract checks pass.</t>
        </is>
      </c>
      <c r="E14" s="32" t="inlineStr">
        <is>
          <t>package</t>
        </is>
      </c>
      <c r="F14" s="32" t="inlineStr">
        <is>
          <t>browser</t>
        </is>
      </c>
      <c r="G14" s="32" t="inlineStr">
        <is>
          <t>tests/components/alert-dialog/behavior.spec.ts</t>
        </is>
      </c>
      <c r="H14" s="32" t="inlineStr">
        <is>
          <t>tested</t>
        </is>
      </c>
      <c r="I14" s="32" t="inlineStr">
        <is>
          <t>no</t>
        </is>
      </c>
      <c r="J14" s="42" t="n">
        <v>46227</v>
      </c>
      <c r="L14" s="32" t="n">
        <v>1</v>
      </c>
      <c r="M14" s="32" t="n">
        <v>1</v>
      </c>
    </row>
    <row r="15" ht="42" customHeight="1" s="34">
      <c r="A15" s="32" t="inlineStr">
        <is>
          <t>AD-07</t>
        </is>
      </c>
      <c r="B15" s="32" t="inlineStr">
        <is>
          <t>Accessibility</t>
        </is>
      </c>
      <c r="C15" s="32" t="inlineStr">
        <is>
          <t>AlertDialog</t>
        </is>
      </c>
      <c r="D15" s="32" t="inlineStr">
        <is>
          <t>Automated semantics and accessibility checks pass in the browser evidence suite.</t>
        </is>
      </c>
      <c r="E15" s="32" t="inlineStr">
        <is>
          <t>package</t>
        </is>
      </c>
      <c r="F15" s="32" t="inlineStr">
        <is>
          <t>axe</t>
        </is>
      </c>
      <c r="G15" s="32" t="inlineStr">
        <is>
          <t>tests/components/alert-dialog/behavior.spec.ts; tests/integration</t>
        </is>
      </c>
      <c r="H15" s="32" t="inlineStr">
        <is>
          <t>tested</t>
        </is>
      </c>
      <c r="I15" s="32" t="inlineStr">
        <is>
          <t>no</t>
        </is>
      </c>
      <c r="J15" s="42" t="n">
        <v>46227</v>
      </c>
      <c r="L15" s="32" t="n">
        <v>1</v>
      </c>
      <c r="M15" s="32" t="n">
        <v>1</v>
      </c>
    </row>
    <row r="16" ht="42" customHeight="1" s="34">
      <c r="A16" s="32" t="inlineStr">
        <is>
          <t>AD-08</t>
        </is>
      </c>
      <c r="B16" s="32" t="inlineStr">
        <is>
          <t>Visual</t>
        </is>
      </c>
      <c r="C16" s="32" t="inlineStr">
        <is>
          <t>AlertDialog</t>
        </is>
      </c>
      <c r="D16" s="32" t="inlineStr">
        <is>
          <t>Reviewed baselines cover the component's risk-selected recipes and states.</t>
        </is>
      </c>
      <c r="E16" s="32" t="inlineStr">
        <is>
          <t>package</t>
        </is>
      </c>
      <c r="F16" s="32" t="inlineStr">
        <is>
          <t>visual</t>
        </is>
      </c>
      <c r="G16" s="32" t="inlineStr">
        <is>
          <t>tests/components/alert-dialog/visual.spec.ts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AD-09</t>
        </is>
      </c>
      <c r="B17" s="32" t="inlineStr">
        <is>
          <t>Responsive</t>
        </is>
      </c>
      <c r="C17" s="32" t="inlineStr">
        <is>
          <t>AlertDialog</t>
        </is>
      </c>
      <c r="D17" s="32" t="inlineStr">
        <is>
          <t>Mobile, zoom/reflow, content stress, and RTL remain usable and contained.</t>
        </is>
      </c>
      <c r="E17" s="32" t="inlineStr">
        <is>
          <t>package</t>
        </is>
      </c>
      <c r="F17" s="32" t="inlineStr">
        <is>
          <t>manual</t>
        </is>
      </c>
      <c r="G17" s="32" t="inlineStr">
        <is>
          <t>manual-tests/alert-dialog.md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AD-10</t>
        </is>
      </c>
      <c r="B18" s="32" t="inlineStr">
        <is>
          <t>Theme</t>
        </is>
      </c>
      <c r="C18" s="32" t="inlineStr">
        <is>
          <t>AlertDialog</t>
        </is>
      </c>
      <c r="D18" s="32" t="inlineStr">
        <is>
          <t>Light, dark, focus, forced-colors, and relevant motion behavior remain perceivable.</t>
        </is>
      </c>
      <c r="E18" s="32" t="inlineStr">
        <is>
          <t>package</t>
        </is>
      </c>
      <c r="F18" s="32" t="inlineStr">
        <is>
          <t>manual</t>
        </is>
      </c>
      <c r="G18" s="32" t="inlineStr">
        <is>
          <t>manual-tests/alert-dialog.md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AD-11</t>
        </is>
      </c>
      <c r="B19" s="32" t="inlineStr">
        <is>
          <t>Composition</t>
        </is>
      </c>
      <c r="C19" s="32" t="inlineStr">
        <is>
          <t>AlertDialog</t>
        </is>
      </c>
      <c r="D19" s="32" t="inlineStr">
        <is>
          <t>Default, render, and asChild output preserve the intended element, slots, state, and relationships.</t>
        </is>
      </c>
      <c r="E19" s="32" t="inlineStr">
        <is>
          <t>package</t>
        </is>
      </c>
      <c r="F19" s="32" t="inlineStr">
        <is>
          <t>manual</t>
        </is>
      </c>
      <c r="G19" s="32" t="inlineStr">
        <is>
          <t>manual-tests/alert-dialog.md; tests/components/alert-dialog/behavior.spec.ts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AD-12</t>
        </is>
      </c>
      <c r="B20" s="32" t="inlineStr">
        <is>
          <t>Manual</t>
        </is>
      </c>
      <c r="C20" s="32" t="inlineStr">
        <is>
          <t>AlertDialog</t>
        </is>
      </c>
      <c r="D20" s="32" t="inlineStr">
        <is>
          <t>The complete component-owned manual protocol passed against every playground scenario.</t>
        </is>
      </c>
      <c r="E20" s="32" t="inlineStr">
        <is>
          <t>package</t>
        </is>
      </c>
      <c r="F20" s="32" t="inlineStr">
        <is>
          <t>manual</t>
        </is>
      </c>
      <c r="G20" s="32" t="inlineStr">
        <is>
          <t>manual-tests/alert-dialog.md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AD-13</t>
        </is>
      </c>
      <c r="B21" s="32" t="inlineStr">
        <is>
          <t>Docs</t>
        </is>
      </c>
      <c r="C21" s="32" t="inlineStr">
        <is>
          <t>AlertDialog</t>
        </is>
      </c>
      <c r="D21" s="32" t="inlineStr">
        <is>
          <t>Public usage documentation exists at the component-owned path.</t>
        </is>
      </c>
      <c r="E21" s="32" t="inlineStr">
        <is>
          <t>package</t>
        </is>
      </c>
      <c r="F21" s="32" t="inlineStr">
        <is>
          <t>docs</t>
        </is>
      </c>
      <c r="G21" s="32" t="inlineStr">
        <is>
          <t>../docs/components/alert-dialog/README.md</t>
        </is>
      </c>
      <c r="H21" s="32" t="inlineStr">
        <is>
          <t>tested</t>
        </is>
      </c>
      <c r="I21" s="32" t="inlineStr">
        <is>
          <t>no</t>
        </is>
      </c>
      <c r="J21" s="42" t="n">
        <v>46227</v>
      </c>
      <c r="L21" s="32" t="n">
        <v>1</v>
      </c>
      <c r="M21" s="32" t="n">
        <v>1</v>
      </c>
    </row>
    <row r="22" ht="42" customHeight="1" s="34">
      <c r="A22" s="32" t="inlineStr">
        <is>
          <t>AD-14</t>
        </is>
      </c>
      <c r="B22" s="32" t="inlineStr">
        <is>
          <t>Changelog</t>
        </is>
      </c>
      <c r="C22" s="32" t="inlineStr">
        <is>
          <t>AlertDialog</t>
        </is>
      </c>
      <c r="D22" s="32" t="inlineStr">
        <is>
          <t>The component owns a public changelog.</t>
        </is>
      </c>
      <c r="E22" s="32" t="inlineStr">
        <is>
          <t>package</t>
        </is>
      </c>
      <c r="F22" s="32" t="inlineStr">
        <is>
          <t>docs</t>
        </is>
      </c>
      <c r="G22" s="32" t="inlineStr">
        <is>
          <t>../docs/components/alert-dialog/CHANGELOG.md</t>
        </is>
      </c>
      <c r="H22" s="32" t="inlineStr">
        <is>
          <t>tested</t>
        </is>
      </c>
      <c r="I22" s="32" t="inlineStr">
        <is>
          <t>no</t>
        </is>
      </c>
      <c r="J22" s="42" t="n">
        <v>46227</v>
      </c>
      <c r="L22" s="32" t="n">
        <v>1</v>
      </c>
      <c r="M22" s="32" t="n">
        <v>1</v>
      </c>
    </row>
    <row r="23" ht="42" customHeight="1" s="34">
      <c r="A23" s="32" t="inlineStr">
        <is>
          <t>AD-15</t>
        </is>
      </c>
      <c r="B23" s="32" t="inlineStr">
        <is>
          <t>Consumer</t>
        </is>
      </c>
      <c r="C23" s="32" t="inlineStr">
        <is>
          <t>AlertDialog</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AD-16</t>
        </is>
      </c>
      <c r="B24" s="32" t="inlineStr">
        <is>
          <t>Package</t>
        </is>
      </c>
      <c r="C24" s="32" t="inlineStr">
        <is>
          <t>AlertDialog</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App Bar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AB-01</t>
        </is>
      </c>
      <c r="B9" s="32" t="inlineStr">
        <is>
          <t>Implementation</t>
        </is>
      </c>
      <c r="C9" s="32" t="inlineStr">
        <is>
          <t>AppBar</t>
        </is>
      </c>
      <c r="D9" s="32" t="inlineStr">
        <is>
          <t>Public component implementation and Atom adapter exist.</t>
        </is>
      </c>
      <c r="E9" s="32" t="inlineStr">
        <is>
          <t>package</t>
        </is>
      </c>
      <c r="F9" s="32" t="inlineStr">
        <is>
          <t>source</t>
        </is>
      </c>
      <c r="G9" s="32" t="inlineStr">
        <is>
          <t>../src/components/app-bar</t>
        </is>
      </c>
      <c r="H9" s="32" t="inlineStr">
        <is>
          <t>tested</t>
        </is>
      </c>
      <c r="I9" s="32" t="inlineStr">
        <is>
          <t>no</t>
        </is>
      </c>
      <c r="J9" s="42" t="n">
        <v>46227</v>
      </c>
      <c r="L9" s="32" t="n">
        <v>1</v>
      </c>
      <c r="M9" s="32" t="n">
        <v>1</v>
      </c>
    </row>
    <row r="10" ht="42" customHeight="1" s="34">
      <c r="A10" s="32" t="inlineStr">
        <is>
          <t>AB-02</t>
        </is>
      </c>
      <c r="B10" s="32" t="inlineStr">
        <is>
          <t>Exports</t>
        </is>
      </c>
      <c r="C10" s="32" t="inlineStr">
        <is>
          <t>AppBar</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AB-03</t>
        </is>
      </c>
      <c r="B11" s="32" t="inlineStr">
        <is>
          <t>Types</t>
        </is>
      </c>
      <c r="C11" s="32" t="inlineStr">
        <is>
          <t>AppBar</t>
        </is>
      </c>
      <c r="D11" s="32" t="inlineStr">
        <is>
          <t>Public props, refs, composition branches, and invalid cases type-check.</t>
        </is>
      </c>
      <c r="E11" s="32" t="inlineStr">
        <is>
          <t>package</t>
        </is>
      </c>
      <c r="F11" s="32" t="inlineStr">
        <is>
          <t>types</t>
        </is>
      </c>
      <c r="G11" s="32" t="inlineStr">
        <is>
          <t>../test/types/components/app-bar.test.ts</t>
        </is>
      </c>
      <c r="H11" s="32" t="inlineStr">
        <is>
          <t>tested</t>
        </is>
      </c>
      <c r="I11" s="32" t="inlineStr">
        <is>
          <t>no</t>
        </is>
      </c>
      <c r="J11" s="42" t="n">
        <v>46227</v>
      </c>
      <c r="L11" s="32" t="n">
        <v>1</v>
      </c>
      <c r="M11" s="32" t="n">
        <v>1</v>
      </c>
    </row>
    <row r="12" ht="42" customHeight="1" s="34">
      <c r="A12" s="32" t="inlineStr">
        <is>
          <t>AB-04</t>
        </is>
      </c>
      <c r="B12" s="32" t="inlineStr">
        <is>
          <t>CSS</t>
        </is>
      </c>
      <c r="C12" s="32" t="inlineStr">
        <is>
          <t>AppBar</t>
        </is>
      </c>
      <c r="D12" s="32" t="inlineStr">
        <is>
          <t>Static public CSS, classes, slots, recipes, states, and tokens are present.</t>
        </is>
      </c>
      <c r="E12" s="32" t="inlineStr">
        <is>
          <t>package</t>
        </is>
      </c>
      <c r="F12" s="32" t="inlineStr">
        <is>
          <t>css</t>
        </is>
      </c>
      <c r="G12" s="32" t="inlineStr">
        <is>
          <t>../src/components/app-bar/app-bar.css</t>
        </is>
      </c>
      <c r="H12" s="32" t="inlineStr">
        <is>
          <t>tested</t>
        </is>
      </c>
      <c r="I12" s="32" t="inlineStr">
        <is>
          <t>no</t>
        </is>
      </c>
      <c r="J12" s="42" t="n">
        <v>46227</v>
      </c>
      <c r="L12" s="32" t="n">
        <v>1</v>
      </c>
      <c r="M12" s="32" t="n">
        <v>1</v>
      </c>
    </row>
    <row r="13" ht="42" customHeight="1" s="34">
      <c r="A13" s="32" t="inlineStr">
        <is>
          <t>AB-05</t>
        </is>
      </c>
      <c r="B13" s="32" t="inlineStr">
        <is>
          <t>Unit</t>
        </is>
      </c>
      <c r="C13" s="32" t="inlineStr">
        <is>
          <t>AppBar</t>
        </is>
      </c>
      <c r="D13" s="32" t="inlineStr">
        <is>
          <t>Brick-owned DOM, recipes, adapters, and public hooks pass focused tests.</t>
        </is>
      </c>
      <c r="E13" s="32" t="inlineStr">
        <is>
          <t>package</t>
        </is>
      </c>
      <c r="F13" s="32" t="inlineStr">
        <is>
          <t>component</t>
        </is>
      </c>
      <c r="G13" s="32" t="inlineStr">
        <is>
          <t>../test/components/app-bar/app-bar.test.tsx</t>
        </is>
      </c>
      <c r="H13" s="32" t="inlineStr">
        <is>
          <t>tested</t>
        </is>
      </c>
      <c r="I13" s="32" t="inlineStr">
        <is>
          <t>no</t>
        </is>
      </c>
      <c r="J13" s="42" t="n">
        <v>46227</v>
      </c>
      <c r="L13" s="32" t="n">
        <v>1</v>
      </c>
      <c r="M13" s="32" t="n">
        <v>1</v>
      </c>
    </row>
    <row r="14" ht="42" customHeight="1" s="34">
      <c r="A14" s="32" t="inlineStr">
        <is>
          <t>AB-06</t>
        </is>
      </c>
      <c r="B14" s="32" t="inlineStr">
        <is>
          <t>Browser</t>
        </is>
      </c>
      <c r="C14" s="32" t="inlineStr">
        <is>
          <t>AppBar</t>
        </is>
      </c>
      <c r="D14" s="32" t="inlineStr">
        <is>
          <t>Real-browser behavior and component contract checks pass.</t>
        </is>
      </c>
      <c r="E14" s="32" t="inlineStr">
        <is>
          <t>package</t>
        </is>
      </c>
      <c r="F14" s="32" t="inlineStr">
        <is>
          <t>browser</t>
        </is>
      </c>
      <c r="G14" s="32" t="inlineStr">
        <is>
          <t>tests/components/app-bar/behavior.spec.ts</t>
        </is>
      </c>
      <c r="H14" s="32" t="inlineStr">
        <is>
          <t>tested</t>
        </is>
      </c>
      <c r="I14" s="32" t="inlineStr">
        <is>
          <t>no</t>
        </is>
      </c>
      <c r="J14" s="42" t="n">
        <v>46227</v>
      </c>
      <c r="L14" s="32" t="n">
        <v>1</v>
      </c>
      <c r="M14" s="32" t="n">
        <v>1</v>
      </c>
    </row>
    <row r="15" ht="42" customHeight="1" s="34">
      <c r="A15" s="32" t="inlineStr">
        <is>
          <t>AB-07</t>
        </is>
      </c>
      <c r="B15" s="32" t="inlineStr">
        <is>
          <t>Accessibility</t>
        </is>
      </c>
      <c r="C15" s="32" t="inlineStr">
        <is>
          <t>AppBar</t>
        </is>
      </c>
      <c r="D15" s="32" t="inlineStr">
        <is>
          <t>Automated semantics and accessibility checks pass in the browser evidence suite.</t>
        </is>
      </c>
      <c r="E15" s="32" t="inlineStr">
        <is>
          <t>package</t>
        </is>
      </c>
      <c r="F15" s="32" t="inlineStr">
        <is>
          <t>axe</t>
        </is>
      </c>
      <c r="G15" s="32" t="inlineStr">
        <is>
          <t>tests/components/app-bar/behavior.spec.ts; tests/integration</t>
        </is>
      </c>
      <c r="H15" s="32" t="inlineStr">
        <is>
          <t>tested</t>
        </is>
      </c>
      <c r="I15" s="32" t="inlineStr">
        <is>
          <t>no</t>
        </is>
      </c>
      <c r="J15" s="42" t="n">
        <v>46227</v>
      </c>
      <c r="L15" s="32" t="n">
        <v>1</v>
      </c>
      <c r="M15" s="32" t="n">
        <v>1</v>
      </c>
    </row>
    <row r="16" ht="42" customHeight="1" s="34">
      <c r="A16" s="32" t="inlineStr">
        <is>
          <t>AB-08</t>
        </is>
      </c>
      <c r="B16" s="32" t="inlineStr">
        <is>
          <t>Visual</t>
        </is>
      </c>
      <c r="C16" s="32" t="inlineStr">
        <is>
          <t>AppBar</t>
        </is>
      </c>
      <c r="D16" s="32" t="inlineStr">
        <is>
          <t>Reviewed baselines cover the component's risk-selected recipes and states.</t>
        </is>
      </c>
      <c r="E16" s="32" t="inlineStr">
        <is>
          <t>package</t>
        </is>
      </c>
      <c r="F16" s="32" t="inlineStr">
        <is>
          <t>visual</t>
        </is>
      </c>
      <c r="G16" s="32" t="inlineStr">
        <is>
          <t>tests/components/app-bar/visual.spec.ts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AB-09</t>
        </is>
      </c>
      <c r="B17" s="32" t="inlineStr">
        <is>
          <t>Responsive</t>
        </is>
      </c>
      <c r="C17" s="32" t="inlineStr">
        <is>
          <t>AppBar</t>
        </is>
      </c>
      <c r="D17" s="32" t="inlineStr">
        <is>
          <t>Mobile, zoom/reflow, content stress, and RTL remain usable and contained.</t>
        </is>
      </c>
      <c r="E17" s="32" t="inlineStr">
        <is>
          <t>package</t>
        </is>
      </c>
      <c r="F17" s="32" t="inlineStr">
        <is>
          <t>manual</t>
        </is>
      </c>
      <c r="G17" s="32" t="inlineStr">
        <is>
          <t>manual-tests/app-bar.md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AB-10</t>
        </is>
      </c>
      <c r="B18" s="32" t="inlineStr">
        <is>
          <t>Theme</t>
        </is>
      </c>
      <c r="C18" s="32" t="inlineStr">
        <is>
          <t>AppBar</t>
        </is>
      </c>
      <c r="D18" s="32" t="inlineStr">
        <is>
          <t>Light, dark, focus, forced-colors, and relevant motion behavior remain perceivable.</t>
        </is>
      </c>
      <c r="E18" s="32" t="inlineStr">
        <is>
          <t>package</t>
        </is>
      </c>
      <c r="F18" s="32" t="inlineStr">
        <is>
          <t>manual</t>
        </is>
      </c>
      <c r="G18" s="32" t="inlineStr">
        <is>
          <t>manual-tests/app-bar.md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AB-11</t>
        </is>
      </c>
      <c r="B19" s="32" t="inlineStr">
        <is>
          <t>Composition</t>
        </is>
      </c>
      <c r="C19" s="32" t="inlineStr">
        <is>
          <t>AppBar</t>
        </is>
      </c>
      <c r="D19" s="32" t="inlineStr">
        <is>
          <t>Default, render, and asChild output preserve the intended element, slots, state, and relationships.</t>
        </is>
      </c>
      <c r="E19" s="32" t="inlineStr">
        <is>
          <t>package</t>
        </is>
      </c>
      <c r="F19" s="32" t="inlineStr">
        <is>
          <t>manual</t>
        </is>
      </c>
      <c r="G19" s="32" t="inlineStr">
        <is>
          <t>manual-tests/app-bar.md; tests/components/app-bar/behavior.spec.ts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AB-12</t>
        </is>
      </c>
      <c r="B20" s="32" t="inlineStr">
        <is>
          <t>Manual</t>
        </is>
      </c>
      <c r="C20" s="32" t="inlineStr">
        <is>
          <t>AppBar</t>
        </is>
      </c>
      <c r="D20" s="32" t="inlineStr">
        <is>
          <t>The complete component-owned manual protocol passed against every playground scenario.</t>
        </is>
      </c>
      <c r="E20" s="32" t="inlineStr">
        <is>
          <t>package</t>
        </is>
      </c>
      <c r="F20" s="32" t="inlineStr">
        <is>
          <t>manual</t>
        </is>
      </c>
      <c r="G20" s="32" t="inlineStr">
        <is>
          <t>manual-tests/app-bar.md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AB-13</t>
        </is>
      </c>
      <c r="B21" s="32" t="inlineStr">
        <is>
          <t>Docs</t>
        </is>
      </c>
      <c r="C21" s="32" t="inlineStr">
        <is>
          <t>AppBar</t>
        </is>
      </c>
      <c r="D21" s="32" t="inlineStr">
        <is>
          <t>Public usage documentation exists at the component-owned path.</t>
        </is>
      </c>
      <c r="E21" s="32" t="inlineStr">
        <is>
          <t>package</t>
        </is>
      </c>
      <c r="F21" s="32" t="inlineStr">
        <is>
          <t>docs</t>
        </is>
      </c>
      <c r="G21" s="32" t="inlineStr">
        <is>
          <t>../docs/components/app-bar/README.md</t>
        </is>
      </c>
      <c r="H21" s="32" t="inlineStr">
        <is>
          <t>tested</t>
        </is>
      </c>
      <c r="I21" s="32" t="inlineStr">
        <is>
          <t>no</t>
        </is>
      </c>
      <c r="J21" s="42" t="n">
        <v>46227</v>
      </c>
      <c r="L21" s="32" t="n">
        <v>1</v>
      </c>
      <c r="M21" s="32" t="n">
        <v>1</v>
      </c>
    </row>
    <row r="22" ht="42" customHeight="1" s="34">
      <c r="A22" s="32" t="inlineStr">
        <is>
          <t>AB-14</t>
        </is>
      </c>
      <c r="B22" s="32" t="inlineStr">
        <is>
          <t>Changelog</t>
        </is>
      </c>
      <c r="C22" s="32" t="inlineStr">
        <is>
          <t>AppBar</t>
        </is>
      </c>
      <c r="D22" s="32" t="inlineStr">
        <is>
          <t>The component owns a public changelog.</t>
        </is>
      </c>
      <c r="E22" s="32" t="inlineStr">
        <is>
          <t>package</t>
        </is>
      </c>
      <c r="F22" s="32" t="inlineStr">
        <is>
          <t>docs</t>
        </is>
      </c>
      <c r="G22" s="32" t="inlineStr">
        <is>
          <t>../docs/components/app-bar/CHANGELOG.md</t>
        </is>
      </c>
      <c r="H22" s="32" t="inlineStr">
        <is>
          <t>tested</t>
        </is>
      </c>
      <c r="I22" s="32" t="inlineStr">
        <is>
          <t>no</t>
        </is>
      </c>
      <c r="J22" s="42" t="n">
        <v>46227</v>
      </c>
      <c r="L22" s="32" t="n">
        <v>1</v>
      </c>
      <c r="M22" s="32" t="n">
        <v>1</v>
      </c>
    </row>
    <row r="23" ht="42" customHeight="1" s="34">
      <c r="A23" s="32" t="inlineStr">
        <is>
          <t>AB-15</t>
        </is>
      </c>
      <c r="B23" s="32" t="inlineStr">
        <is>
          <t>Consumer</t>
        </is>
      </c>
      <c r="C23" s="32" t="inlineStr">
        <is>
          <t>AppBar</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AB-16</t>
        </is>
      </c>
      <c r="B24" s="32" t="inlineStr">
        <is>
          <t>Package</t>
        </is>
      </c>
      <c r="C24" s="32" t="inlineStr">
        <is>
          <t>AppBar</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Avatar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A-01</t>
        </is>
      </c>
      <c r="B9" s="32" t="inlineStr">
        <is>
          <t>Implementation</t>
        </is>
      </c>
      <c r="C9" s="32" t="inlineStr">
        <is>
          <t>Avatar</t>
        </is>
      </c>
      <c r="D9" s="32" t="inlineStr">
        <is>
          <t>Public component implementation and Atom adapter exist.</t>
        </is>
      </c>
      <c r="E9" s="32" t="inlineStr">
        <is>
          <t>package</t>
        </is>
      </c>
      <c r="F9" s="32" t="inlineStr">
        <is>
          <t>source</t>
        </is>
      </c>
      <c r="G9" s="32" t="inlineStr">
        <is>
          <t>../src/components/avatar</t>
        </is>
      </c>
      <c r="H9" s="32" t="inlineStr">
        <is>
          <t>tested</t>
        </is>
      </c>
      <c r="I9" s="32" t="inlineStr">
        <is>
          <t>no</t>
        </is>
      </c>
      <c r="J9" s="42" t="n">
        <v>46227</v>
      </c>
      <c r="L9" s="32" t="n">
        <v>1</v>
      </c>
      <c r="M9" s="32" t="n">
        <v>1</v>
      </c>
    </row>
    <row r="10" ht="42" customHeight="1" s="34">
      <c r="A10" s="32" t="inlineStr">
        <is>
          <t>A-02</t>
        </is>
      </c>
      <c r="B10" s="32" t="inlineStr">
        <is>
          <t>Exports</t>
        </is>
      </c>
      <c r="C10" s="32" t="inlineStr">
        <is>
          <t>Avatar</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A-03</t>
        </is>
      </c>
      <c r="B11" s="32" t="inlineStr">
        <is>
          <t>Types</t>
        </is>
      </c>
      <c r="C11" s="32" t="inlineStr">
        <is>
          <t>Avatar</t>
        </is>
      </c>
      <c r="D11" s="32" t="inlineStr">
        <is>
          <t>Public props, refs, composition branches, and invalid cases type-check.</t>
        </is>
      </c>
      <c r="E11" s="32" t="inlineStr">
        <is>
          <t>package</t>
        </is>
      </c>
      <c r="F11" s="32" t="inlineStr">
        <is>
          <t>types</t>
        </is>
      </c>
      <c r="G11" s="32" t="inlineStr">
        <is>
          <t>../test/types/components/avatar.test.ts</t>
        </is>
      </c>
      <c r="H11" s="32" t="inlineStr">
        <is>
          <t>tested</t>
        </is>
      </c>
      <c r="I11" s="32" t="inlineStr">
        <is>
          <t>no</t>
        </is>
      </c>
      <c r="J11" s="42" t="n">
        <v>46227</v>
      </c>
      <c r="L11" s="32" t="n">
        <v>1</v>
      </c>
      <c r="M11" s="32" t="n">
        <v>1</v>
      </c>
    </row>
    <row r="12" ht="42" customHeight="1" s="34">
      <c r="A12" s="32" t="inlineStr">
        <is>
          <t>A-04</t>
        </is>
      </c>
      <c r="B12" s="32" t="inlineStr">
        <is>
          <t>CSS</t>
        </is>
      </c>
      <c r="C12" s="32" t="inlineStr">
        <is>
          <t>Avatar</t>
        </is>
      </c>
      <c r="D12" s="32" t="inlineStr">
        <is>
          <t>Static public CSS, classes, slots, recipes, states, and tokens are present.</t>
        </is>
      </c>
      <c r="E12" s="32" t="inlineStr">
        <is>
          <t>package</t>
        </is>
      </c>
      <c r="F12" s="32" t="inlineStr">
        <is>
          <t>css</t>
        </is>
      </c>
      <c r="G12" s="32" t="inlineStr">
        <is>
          <t>../src/components/avatar/avatar.css</t>
        </is>
      </c>
      <c r="H12" s="32" t="inlineStr">
        <is>
          <t>tested</t>
        </is>
      </c>
      <c r="I12" s="32" t="inlineStr">
        <is>
          <t>no</t>
        </is>
      </c>
      <c r="J12" s="42" t="n">
        <v>46227</v>
      </c>
      <c r="L12" s="32" t="n">
        <v>1</v>
      </c>
      <c r="M12" s="32" t="n">
        <v>1</v>
      </c>
    </row>
    <row r="13" ht="42" customHeight="1" s="34">
      <c r="A13" s="32" t="inlineStr">
        <is>
          <t>A-05</t>
        </is>
      </c>
      <c r="B13" s="32" t="inlineStr">
        <is>
          <t>Unit</t>
        </is>
      </c>
      <c r="C13" s="32" t="inlineStr">
        <is>
          <t>Avatar</t>
        </is>
      </c>
      <c r="D13" s="32" t="inlineStr">
        <is>
          <t>Brick-owned DOM, recipes, adapters, and public hooks pass focused tests.</t>
        </is>
      </c>
      <c r="E13" s="32" t="inlineStr">
        <is>
          <t>package</t>
        </is>
      </c>
      <c r="F13" s="32" t="inlineStr">
        <is>
          <t>component</t>
        </is>
      </c>
      <c r="G13" s="32" t="inlineStr">
        <is>
          <t>../test/components/avatar/avatar.test.tsx</t>
        </is>
      </c>
      <c r="H13" s="32" t="inlineStr">
        <is>
          <t>tested</t>
        </is>
      </c>
      <c r="I13" s="32" t="inlineStr">
        <is>
          <t>no</t>
        </is>
      </c>
      <c r="J13" s="42" t="n">
        <v>46227</v>
      </c>
      <c r="L13" s="32" t="n">
        <v>1</v>
      </c>
      <c r="M13" s="32" t="n">
        <v>1</v>
      </c>
    </row>
    <row r="14" ht="42" customHeight="1" s="34">
      <c r="A14" s="32" t="inlineStr">
        <is>
          <t>A-06</t>
        </is>
      </c>
      <c r="B14" s="32" t="inlineStr">
        <is>
          <t>Browser</t>
        </is>
      </c>
      <c r="C14" s="32" t="inlineStr">
        <is>
          <t>Avatar</t>
        </is>
      </c>
      <c r="D14" s="32" t="inlineStr">
        <is>
          <t>Real-browser behavior and component contract checks pass.</t>
        </is>
      </c>
      <c r="E14" s="32" t="inlineStr">
        <is>
          <t>package</t>
        </is>
      </c>
      <c r="F14" s="32" t="inlineStr">
        <is>
          <t>browser</t>
        </is>
      </c>
      <c r="G14" s="32" t="inlineStr">
        <is>
          <t>tests/components/avatar/behavior.spec.ts</t>
        </is>
      </c>
      <c r="H14" s="32" t="inlineStr">
        <is>
          <t>tested</t>
        </is>
      </c>
      <c r="I14" s="32" t="inlineStr">
        <is>
          <t>no</t>
        </is>
      </c>
      <c r="J14" s="42" t="n">
        <v>46227</v>
      </c>
      <c r="L14" s="32" t="n">
        <v>1</v>
      </c>
      <c r="M14" s="32" t="n">
        <v>1</v>
      </c>
    </row>
    <row r="15" ht="42" customHeight="1" s="34">
      <c r="A15" s="32" t="inlineStr">
        <is>
          <t>A-07</t>
        </is>
      </c>
      <c r="B15" s="32" t="inlineStr">
        <is>
          <t>Accessibility</t>
        </is>
      </c>
      <c r="C15" s="32" t="inlineStr">
        <is>
          <t>Avatar</t>
        </is>
      </c>
      <c r="D15" s="32" t="inlineStr">
        <is>
          <t>Automated semantics and accessibility checks pass in the browser evidence suite.</t>
        </is>
      </c>
      <c r="E15" s="32" t="inlineStr">
        <is>
          <t>package</t>
        </is>
      </c>
      <c r="F15" s="32" t="inlineStr">
        <is>
          <t>axe</t>
        </is>
      </c>
      <c r="G15" s="32" t="inlineStr">
        <is>
          <t>tests/components/avatar/behavior.spec.ts; tests/integration</t>
        </is>
      </c>
      <c r="H15" s="32" t="inlineStr">
        <is>
          <t>tested</t>
        </is>
      </c>
      <c r="I15" s="32" t="inlineStr">
        <is>
          <t>no</t>
        </is>
      </c>
      <c r="J15" s="42" t="n">
        <v>46227</v>
      </c>
      <c r="L15" s="32" t="n">
        <v>1</v>
      </c>
      <c r="M15" s="32" t="n">
        <v>1</v>
      </c>
    </row>
    <row r="16" ht="42" customHeight="1" s="34">
      <c r="A16" s="32" t="inlineStr">
        <is>
          <t>A-08</t>
        </is>
      </c>
      <c r="B16" s="32" t="inlineStr">
        <is>
          <t>Visual</t>
        </is>
      </c>
      <c r="C16" s="32" t="inlineStr">
        <is>
          <t>Avatar</t>
        </is>
      </c>
      <c r="D16" s="32" t="inlineStr">
        <is>
          <t>Reviewed baselines cover the component's risk-selected recipes and states.</t>
        </is>
      </c>
      <c r="E16" s="32" t="inlineStr">
        <is>
          <t>package</t>
        </is>
      </c>
      <c r="F16" s="32" t="inlineStr">
        <is>
          <t>visual</t>
        </is>
      </c>
      <c r="G16" s="32" t="inlineStr">
        <is>
          <t>tests/components/avatar/visual.spec.ts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A-09</t>
        </is>
      </c>
      <c r="B17" s="32" t="inlineStr">
        <is>
          <t>Responsive</t>
        </is>
      </c>
      <c r="C17" s="32" t="inlineStr">
        <is>
          <t>Avatar</t>
        </is>
      </c>
      <c r="D17" s="32" t="inlineStr">
        <is>
          <t>Mobile, zoom/reflow, content stress, and RTL remain usable and contained.</t>
        </is>
      </c>
      <c r="E17" s="32" t="inlineStr">
        <is>
          <t>package</t>
        </is>
      </c>
      <c r="F17" s="32" t="inlineStr">
        <is>
          <t>manual</t>
        </is>
      </c>
      <c r="G17" s="32" t="inlineStr">
        <is>
          <t>manual-tests/avatar.md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A-10</t>
        </is>
      </c>
      <c r="B18" s="32" t="inlineStr">
        <is>
          <t>Theme</t>
        </is>
      </c>
      <c r="C18" s="32" t="inlineStr">
        <is>
          <t>Avatar</t>
        </is>
      </c>
      <c r="D18" s="32" t="inlineStr">
        <is>
          <t>Light, dark, focus, forced-colors, and relevant motion behavior remain perceivable.</t>
        </is>
      </c>
      <c r="E18" s="32" t="inlineStr">
        <is>
          <t>package</t>
        </is>
      </c>
      <c r="F18" s="32" t="inlineStr">
        <is>
          <t>manual</t>
        </is>
      </c>
      <c r="G18" s="32" t="inlineStr">
        <is>
          <t>manual-tests/avatar.md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A-11</t>
        </is>
      </c>
      <c r="B19" s="32" t="inlineStr">
        <is>
          <t>Composition</t>
        </is>
      </c>
      <c r="C19" s="32" t="inlineStr">
        <is>
          <t>Avatar</t>
        </is>
      </c>
      <c r="D19" s="32" t="inlineStr">
        <is>
          <t>Default, render, and asChild output preserve the intended element, slots, state, and relationships.</t>
        </is>
      </c>
      <c r="E19" s="32" t="inlineStr">
        <is>
          <t>package</t>
        </is>
      </c>
      <c r="F19" s="32" t="inlineStr">
        <is>
          <t>manual</t>
        </is>
      </c>
      <c r="G19" s="32" t="inlineStr">
        <is>
          <t>manual-tests/avatar.md; tests/components/avatar/behavior.spec.ts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A-12</t>
        </is>
      </c>
      <c r="B20" s="32" t="inlineStr">
        <is>
          <t>Manual</t>
        </is>
      </c>
      <c r="C20" s="32" t="inlineStr">
        <is>
          <t>Avatar</t>
        </is>
      </c>
      <c r="D20" s="32" t="inlineStr">
        <is>
          <t>The complete component-owned manual protocol passed against every playground scenario.</t>
        </is>
      </c>
      <c r="E20" s="32" t="inlineStr">
        <is>
          <t>package</t>
        </is>
      </c>
      <c r="F20" s="32" t="inlineStr">
        <is>
          <t>manual</t>
        </is>
      </c>
      <c r="G20" s="32" t="inlineStr">
        <is>
          <t>manual-tests/avatar.md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A-13</t>
        </is>
      </c>
      <c r="B21" s="32" t="inlineStr">
        <is>
          <t>Docs</t>
        </is>
      </c>
      <c r="C21" s="32" t="inlineStr">
        <is>
          <t>Avatar</t>
        </is>
      </c>
      <c r="D21" s="32" t="inlineStr">
        <is>
          <t>Public usage documentation exists at the component-owned path.</t>
        </is>
      </c>
      <c r="E21" s="32" t="inlineStr">
        <is>
          <t>package</t>
        </is>
      </c>
      <c r="F21" s="32" t="inlineStr">
        <is>
          <t>docs</t>
        </is>
      </c>
      <c r="G21" s="32" t="inlineStr">
        <is>
          <t>../docs/components/avatar/README.md</t>
        </is>
      </c>
      <c r="H21" s="32" t="inlineStr">
        <is>
          <t>tested</t>
        </is>
      </c>
      <c r="I21" s="32" t="inlineStr">
        <is>
          <t>no</t>
        </is>
      </c>
      <c r="J21" s="42" t="n">
        <v>46227</v>
      </c>
      <c r="L21" s="32" t="n">
        <v>1</v>
      </c>
      <c r="M21" s="32" t="n">
        <v>1</v>
      </c>
    </row>
    <row r="22" ht="42" customHeight="1" s="34">
      <c r="A22" s="32" t="inlineStr">
        <is>
          <t>A-14</t>
        </is>
      </c>
      <c r="B22" s="32" t="inlineStr">
        <is>
          <t>Changelog</t>
        </is>
      </c>
      <c r="C22" s="32" t="inlineStr">
        <is>
          <t>Avatar</t>
        </is>
      </c>
      <c r="D22" s="32" t="inlineStr">
        <is>
          <t>The component owns a public changelog.</t>
        </is>
      </c>
      <c r="E22" s="32" t="inlineStr">
        <is>
          <t>package</t>
        </is>
      </c>
      <c r="F22" s="32" t="inlineStr">
        <is>
          <t>docs</t>
        </is>
      </c>
      <c r="G22" s="32" t="inlineStr">
        <is>
          <t>../docs/components/avatar/CHANGELOG.md</t>
        </is>
      </c>
      <c r="H22" s="32" t="inlineStr">
        <is>
          <t>tested</t>
        </is>
      </c>
      <c r="I22" s="32" t="inlineStr">
        <is>
          <t>no</t>
        </is>
      </c>
      <c r="J22" s="42" t="n">
        <v>46227</v>
      </c>
      <c r="L22" s="32" t="n">
        <v>1</v>
      </c>
      <c r="M22" s="32" t="n">
        <v>1</v>
      </c>
    </row>
    <row r="23" ht="42" customHeight="1" s="34">
      <c r="A23" s="32" t="inlineStr">
        <is>
          <t>A-15</t>
        </is>
      </c>
      <c r="B23" s="32" t="inlineStr">
        <is>
          <t>Consumer</t>
        </is>
      </c>
      <c r="C23" s="32" t="inlineStr">
        <is>
          <t>Avatar</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A-16</t>
        </is>
      </c>
      <c r="B24" s="32" t="inlineStr">
        <is>
          <t>Package</t>
        </is>
      </c>
      <c r="C24" s="32" t="inlineStr">
        <is>
          <t>Avatar</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Badge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B-01</t>
        </is>
      </c>
      <c r="B9" s="32" t="inlineStr">
        <is>
          <t>Implementation</t>
        </is>
      </c>
      <c r="C9" s="32" t="inlineStr">
        <is>
          <t>Badge</t>
        </is>
      </c>
      <c r="D9" s="32" t="inlineStr">
        <is>
          <t>Public component implementation and Atom adapter exist.</t>
        </is>
      </c>
      <c r="E9" s="32" t="inlineStr">
        <is>
          <t>package</t>
        </is>
      </c>
      <c r="F9" s="32" t="inlineStr">
        <is>
          <t>source</t>
        </is>
      </c>
      <c r="G9" s="32" t="inlineStr">
        <is>
          <t>../src/components/badge</t>
        </is>
      </c>
      <c r="H9" s="32" t="inlineStr">
        <is>
          <t>tested</t>
        </is>
      </c>
      <c r="I9" s="32" t="inlineStr">
        <is>
          <t>no</t>
        </is>
      </c>
      <c r="J9" s="42" t="n">
        <v>46227</v>
      </c>
      <c r="L9" s="32" t="n">
        <v>1</v>
      </c>
      <c r="M9" s="32" t="n">
        <v>1</v>
      </c>
    </row>
    <row r="10" ht="42" customHeight="1" s="34">
      <c r="A10" s="32" t="inlineStr">
        <is>
          <t>B-02</t>
        </is>
      </c>
      <c r="B10" s="32" t="inlineStr">
        <is>
          <t>Exports</t>
        </is>
      </c>
      <c r="C10" s="32" t="inlineStr">
        <is>
          <t>Badge</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B-03</t>
        </is>
      </c>
      <c r="B11" s="32" t="inlineStr">
        <is>
          <t>Types</t>
        </is>
      </c>
      <c r="C11" s="32" t="inlineStr">
        <is>
          <t>Badge</t>
        </is>
      </c>
      <c r="D11" s="32" t="inlineStr">
        <is>
          <t>Public props, refs, composition branches, and invalid cases type-check.</t>
        </is>
      </c>
      <c r="E11" s="32" t="inlineStr">
        <is>
          <t>package</t>
        </is>
      </c>
      <c r="F11" s="32" t="inlineStr">
        <is>
          <t>types</t>
        </is>
      </c>
      <c r="G11" s="32" t="inlineStr">
        <is>
          <t>../test/types/components/badge.test.ts</t>
        </is>
      </c>
      <c r="H11" s="32" t="inlineStr">
        <is>
          <t>tested</t>
        </is>
      </c>
      <c r="I11" s="32" t="inlineStr">
        <is>
          <t>no</t>
        </is>
      </c>
      <c r="J11" s="42" t="n">
        <v>46227</v>
      </c>
      <c r="L11" s="32" t="n">
        <v>1</v>
      </c>
      <c r="M11" s="32" t="n">
        <v>1</v>
      </c>
    </row>
    <row r="12" ht="42" customHeight="1" s="34">
      <c r="A12" s="32" t="inlineStr">
        <is>
          <t>B-04</t>
        </is>
      </c>
      <c r="B12" s="32" t="inlineStr">
        <is>
          <t>CSS</t>
        </is>
      </c>
      <c r="C12" s="32" t="inlineStr">
        <is>
          <t>Badge</t>
        </is>
      </c>
      <c r="D12" s="32" t="inlineStr">
        <is>
          <t>Static public CSS, classes, slots, recipes, states, and tokens are present.</t>
        </is>
      </c>
      <c r="E12" s="32" t="inlineStr">
        <is>
          <t>package</t>
        </is>
      </c>
      <c r="F12" s="32" t="inlineStr">
        <is>
          <t>css</t>
        </is>
      </c>
      <c r="G12" s="32" t="inlineStr">
        <is>
          <t>../src/components/badge/badge.css</t>
        </is>
      </c>
      <c r="H12" s="32" t="inlineStr">
        <is>
          <t>tested</t>
        </is>
      </c>
      <c r="I12" s="32" t="inlineStr">
        <is>
          <t>no</t>
        </is>
      </c>
      <c r="J12" s="42" t="n">
        <v>46227</v>
      </c>
      <c r="L12" s="32" t="n">
        <v>1</v>
      </c>
      <c r="M12" s="32" t="n">
        <v>1</v>
      </c>
    </row>
    <row r="13" ht="42" customHeight="1" s="34">
      <c r="A13" s="32" t="inlineStr">
        <is>
          <t>B-05</t>
        </is>
      </c>
      <c r="B13" s="32" t="inlineStr">
        <is>
          <t>Unit</t>
        </is>
      </c>
      <c r="C13" s="32" t="inlineStr">
        <is>
          <t>Badge</t>
        </is>
      </c>
      <c r="D13" s="32" t="inlineStr">
        <is>
          <t>Brick-owned DOM, recipes, adapters, and public hooks pass focused tests.</t>
        </is>
      </c>
      <c r="E13" s="32" t="inlineStr">
        <is>
          <t>package</t>
        </is>
      </c>
      <c r="F13" s="32" t="inlineStr">
        <is>
          <t>component</t>
        </is>
      </c>
      <c r="G13" s="32" t="inlineStr">
        <is>
          <t>../test/components/badge/badge.test.tsx</t>
        </is>
      </c>
      <c r="H13" s="32" t="inlineStr">
        <is>
          <t>tested</t>
        </is>
      </c>
      <c r="I13" s="32" t="inlineStr">
        <is>
          <t>no</t>
        </is>
      </c>
      <c r="J13" s="42" t="n">
        <v>46227</v>
      </c>
      <c r="L13" s="32" t="n">
        <v>1</v>
      </c>
      <c r="M13" s="32" t="n">
        <v>1</v>
      </c>
    </row>
    <row r="14" ht="42" customHeight="1" s="34">
      <c r="A14" s="32" t="inlineStr">
        <is>
          <t>B-06</t>
        </is>
      </c>
      <c r="B14" s="32" t="inlineStr">
        <is>
          <t>Browser</t>
        </is>
      </c>
      <c r="C14" s="32" t="inlineStr">
        <is>
          <t>Badge</t>
        </is>
      </c>
      <c r="D14" s="32" t="inlineStr">
        <is>
          <t>Real-browser behavior and component contract checks pass.</t>
        </is>
      </c>
      <c r="E14" s="32" t="inlineStr">
        <is>
          <t>package</t>
        </is>
      </c>
      <c r="F14" s="32" t="inlineStr">
        <is>
          <t>browser</t>
        </is>
      </c>
      <c r="G14" s="32" t="inlineStr">
        <is>
          <t>tests/components/badge/behavior.spec.ts</t>
        </is>
      </c>
      <c r="H14" s="32" t="inlineStr">
        <is>
          <t>tested</t>
        </is>
      </c>
      <c r="I14" s="32" t="inlineStr">
        <is>
          <t>no</t>
        </is>
      </c>
      <c r="J14" s="42" t="n">
        <v>46227</v>
      </c>
      <c r="L14" s="32" t="n">
        <v>1</v>
      </c>
      <c r="M14" s="32" t="n">
        <v>1</v>
      </c>
    </row>
    <row r="15" ht="42" customHeight="1" s="34">
      <c r="A15" s="32" t="inlineStr">
        <is>
          <t>B-07</t>
        </is>
      </c>
      <c r="B15" s="32" t="inlineStr">
        <is>
          <t>Accessibility</t>
        </is>
      </c>
      <c r="C15" s="32" t="inlineStr">
        <is>
          <t>Badge</t>
        </is>
      </c>
      <c r="D15" s="32" t="inlineStr">
        <is>
          <t>Automated semantics and accessibility checks pass in the browser evidence suite.</t>
        </is>
      </c>
      <c r="E15" s="32" t="inlineStr">
        <is>
          <t>package</t>
        </is>
      </c>
      <c r="F15" s="32" t="inlineStr">
        <is>
          <t>axe</t>
        </is>
      </c>
      <c r="G15" s="32" t="inlineStr">
        <is>
          <t>tests/components/badge/behavior.spec.ts; tests/integration</t>
        </is>
      </c>
      <c r="H15" s="32" t="inlineStr">
        <is>
          <t>tested</t>
        </is>
      </c>
      <c r="I15" s="32" t="inlineStr">
        <is>
          <t>no</t>
        </is>
      </c>
      <c r="J15" s="42" t="n">
        <v>46227</v>
      </c>
      <c r="L15" s="32" t="n">
        <v>1</v>
      </c>
      <c r="M15" s="32" t="n">
        <v>1</v>
      </c>
    </row>
    <row r="16" ht="42" customHeight="1" s="34">
      <c r="A16" s="32" t="inlineStr">
        <is>
          <t>B-08</t>
        </is>
      </c>
      <c r="B16" s="32" t="inlineStr">
        <is>
          <t>Visual</t>
        </is>
      </c>
      <c r="C16" s="32" t="inlineStr">
        <is>
          <t>Badge</t>
        </is>
      </c>
      <c r="D16" s="32" t="inlineStr">
        <is>
          <t>Reviewed baselines cover the component's risk-selected recipes and states.</t>
        </is>
      </c>
      <c r="E16" s="32" t="inlineStr">
        <is>
          <t>package</t>
        </is>
      </c>
      <c r="F16" s="32" t="inlineStr">
        <is>
          <t>visual</t>
        </is>
      </c>
      <c r="G16" s="32" t="inlineStr">
        <is>
          <t>tests/components/badge/visual.spec.ts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B-09</t>
        </is>
      </c>
      <c r="B17" s="32" t="inlineStr">
        <is>
          <t>Responsive</t>
        </is>
      </c>
      <c r="C17" s="32" t="inlineStr">
        <is>
          <t>Badge</t>
        </is>
      </c>
      <c r="D17" s="32" t="inlineStr">
        <is>
          <t>Mobile, zoom/reflow, content stress, and RTL remain usable and contained.</t>
        </is>
      </c>
      <c r="E17" s="32" t="inlineStr">
        <is>
          <t>package</t>
        </is>
      </c>
      <c r="F17" s="32" t="inlineStr">
        <is>
          <t>manual</t>
        </is>
      </c>
      <c r="G17" s="32" t="inlineStr">
        <is>
          <t>manual-tests/badge.md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B-10</t>
        </is>
      </c>
      <c r="B18" s="32" t="inlineStr">
        <is>
          <t>Theme</t>
        </is>
      </c>
      <c r="C18" s="32" t="inlineStr">
        <is>
          <t>Badge</t>
        </is>
      </c>
      <c r="D18" s="32" t="inlineStr">
        <is>
          <t>Light, dark, focus, forced-colors, and relevant motion behavior remain perceivable.</t>
        </is>
      </c>
      <c r="E18" s="32" t="inlineStr">
        <is>
          <t>package</t>
        </is>
      </c>
      <c r="F18" s="32" t="inlineStr">
        <is>
          <t>manual</t>
        </is>
      </c>
      <c r="G18" s="32" t="inlineStr">
        <is>
          <t>manual-tests/badge.md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B-11</t>
        </is>
      </c>
      <c r="B19" s="32" t="inlineStr">
        <is>
          <t>Composition</t>
        </is>
      </c>
      <c r="C19" s="32" t="inlineStr">
        <is>
          <t>Badge</t>
        </is>
      </c>
      <c r="D19" s="32" t="inlineStr">
        <is>
          <t>Default, render, and asChild output preserve the intended element, slots, state, and relationships.</t>
        </is>
      </c>
      <c r="E19" s="32" t="inlineStr">
        <is>
          <t>package</t>
        </is>
      </c>
      <c r="F19" s="32" t="inlineStr">
        <is>
          <t>manual</t>
        </is>
      </c>
      <c r="G19" s="32" t="inlineStr">
        <is>
          <t>manual-tests/badge.md; tests/components/badge/behavior.spec.ts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B-12</t>
        </is>
      </c>
      <c r="B20" s="32" t="inlineStr">
        <is>
          <t>Manual</t>
        </is>
      </c>
      <c r="C20" s="32" t="inlineStr">
        <is>
          <t>Badge</t>
        </is>
      </c>
      <c r="D20" s="32" t="inlineStr">
        <is>
          <t>The complete component-owned manual protocol passed against every playground scenario.</t>
        </is>
      </c>
      <c r="E20" s="32" t="inlineStr">
        <is>
          <t>package</t>
        </is>
      </c>
      <c r="F20" s="32" t="inlineStr">
        <is>
          <t>manual</t>
        </is>
      </c>
      <c r="G20" s="32" t="inlineStr">
        <is>
          <t>manual-tests/badge.md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B-13</t>
        </is>
      </c>
      <c r="B21" s="32" t="inlineStr">
        <is>
          <t>Docs</t>
        </is>
      </c>
      <c r="C21" s="32" t="inlineStr">
        <is>
          <t>Badge</t>
        </is>
      </c>
      <c r="D21" s="32" t="inlineStr">
        <is>
          <t>Public usage documentation exists at the component-owned path.</t>
        </is>
      </c>
      <c r="E21" s="32" t="inlineStr">
        <is>
          <t>package</t>
        </is>
      </c>
      <c r="F21" s="32" t="inlineStr">
        <is>
          <t>docs</t>
        </is>
      </c>
      <c r="G21" s="32" t="inlineStr">
        <is>
          <t>../docs/components/badge/README.md</t>
        </is>
      </c>
      <c r="H21" s="32" t="inlineStr">
        <is>
          <t>tested</t>
        </is>
      </c>
      <c r="I21" s="32" t="inlineStr">
        <is>
          <t>no</t>
        </is>
      </c>
      <c r="J21" s="42" t="n">
        <v>46227</v>
      </c>
      <c r="L21" s="32" t="n">
        <v>1</v>
      </c>
      <c r="M21" s="32" t="n">
        <v>1</v>
      </c>
    </row>
    <row r="22" ht="42" customHeight="1" s="34">
      <c r="A22" s="32" t="inlineStr">
        <is>
          <t>B-14</t>
        </is>
      </c>
      <c r="B22" s="32" t="inlineStr">
        <is>
          <t>Changelog</t>
        </is>
      </c>
      <c r="C22" s="32" t="inlineStr">
        <is>
          <t>Badge</t>
        </is>
      </c>
      <c r="D22" s="32" t="inlineStr">
        <is>
          <t>The component owns a public changelog.</t>
        </is>
      </c>
      <c r="E22" s="32" t="inlineStr">
        <is>
          <t>package</t>
        </is>
      </c>
      <c r="F22" s="32" t="inlineStr">
        <is>
          <t>docs</t>
        </is>
      </c>
      <c r="G22" s="32" t="inlineStr">
        <is>
          <t>../docs/components/badge/CHANGELOG.md</t>
        </is>
      </c>
      <c r="H22" s="32" t="inlineStr">
        <is>
          <t>tested</t>
        </is>
      </c>
      <c r="I22" s="32" t="inlineStr">
        <is>
          <t>no</t>
        </is>
      </c>
      <c r="J22" s="42" t="n">
        <v>46227</v>
      </c>
      <c r="L22" s="32" t="n">
        <v>1</v>
      </c>
      <c r="M22" s="32" t="n">
        <v>1</v>
      </c>
    </row>
    <row r="23" ht="42" customHeight="1" s="34">
      <c r="A23" s="32" t="inlineStr">
        <is>
          <t>B-15</t>
        </is>
      </c>
      <c r="B23" s="32" t="inlineStr">
        <is>
          <t>Consumer</t>
        </is>
      </c>
      <c r="C23" s="32" t="inlineStr">
        <is>
          <t>Badge</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B-16</t>
        </is>
      </c>
      <c r="B24" s="32" t="inlineStr">
        <is>
          <t>Package</t>
        </is>
      </c>
      <c r="C24" s="32" t="inlineStr">
        <is>
          <t>Badge</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Button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B-01</t>
        </is>
      </c>
      <c r="B9" s="32" t="inlineStr">
        <is>
          <t>Implementation</t>
        </is>
      </c>
      <c r="C9" s="32" t="inlineStr">
        <is>
          <t>Button</t>
        </is>
      </c>
      <c r="D9" s="32" t="inlineStr">
        <is>
          <t>Public component implementation and Atom adapter exist.</t>
        </is>
      </c>
      <c r="E9" s="32" t="inlineStr">
        <is>
          <t>package</t>
        </is>
      </c>
      <c r="F9" s="32" t="inlineStr">
        <is>
          <t>source</t>
        </is>
      </c>
      <c r="G9" s="32" t="inlineStr">
        <is>
          <t>../src/components/button</t>
        </is>
      </c>
      <c r="H9" s="32" t="inlineStr">
        <is>
          <t>tested</t>
        </is>
      </c>
      <c r="I9" s="32" t="inlineStr">
        <is>
          <t>no</t>
        </is>
      </c>
      <c r="J9" s="42" t="n">
        <v>46227</v>
      </c>
      <c r="L9" s="32" t="n">
        <v>1</v>
      </c>
      <c r="M9" s="32" t="n">
        <v>1</v>
      </c>
    </row>
    <row r="10" ht="42" customHeight="1" s="34">
      <c r="A10" s="32" t="inlineStr">
        <is>
          <t>B-02</t>
        </is>
      </c>
      <c r="B10" s="32" t="inlineStr">
        <is>
          <t>Exports</t>
        </is>
      </c>
      <c r="C10" s="32" t="inlineStr">
        <is>
          <t>Button</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B-03</t>
        </is>
      </c>
      <c r="B11" s="32" t="inlineStr">
        <is>
          <t>Types</t>
        </is>
      </c>
      <c r="C11" s="32" t="inlineStr">
        <is>
          <t>Button</t>
        </is>
      </c>
      <c r="D11" s="32" t="inlineStr">
        <is>
          <t>Public props, refs, composition branches, and invalid cases type-check.</t>
        </is>
      </c>
      <c r="E11" s="32" t="inlineStr">
        <is>
          <t>package</t>
        </is>
      </c>
      <c r="F11" s="32" t="inlineStr">
        <is>
          <t>types</t>
        </is>
      </c>
      <c r="G11" s="32" t="inlineStr">
        <is>
          <t>../test/types/components/button.test.ts</t>
        </is>
      </c>
      <c r="H11" s="32" t="inlineStr">
        <is>
          <t>tested</t>
        </is>
      </c>
      <c r="I11" s="32" t="inlineStr">
        <is>
          <t>no</t>
        </is>
      </c>
      <c r="J11" s="42" t="n">
        <v>46227</v>
      </c>
      <c r="L11" s="32" t="n">
        <v>1</v>
      </c>
      <c r="M11" s="32" t="n">
        <v>1</v>
      </c>
    </row>
    <row r="12" ht="42" customHeight="1" s="34">
      <c r="A12" s="32" t="inlineStr">
        <is>
          <t>B-04</t>
        </is>
      </c>
      <c r="B12" s="32" t="inlineStr">
        <is>
          <t>CSS</t>
        </is>
      </c>
      <c r="C12" s="32" t="inlineStr">
        <is>
          <t>Button</t>
        </is>
      </c>
      <c r="D12" s="32" t="inlineStr">
        <is>
          <t>Static public CSS, classes, slots, recipes, states, and tokens are present.</t>
        </is>
      </c>
      <c r="E12" s="32" t="inlineStr">
        <is>
          <t>package</t>
        </is>
      </c>
      <c r="F12" s="32" t="inlineStr">
        <is>
          <t>css</t>
        </is>
      </c>
      <c r="G12" s="32" t="inlineStr">
        <is>
          <t>../src/components/button/button.css</t>
        </is>
      </c>
      <c r="H12" s="32" t="inlineStr">
        <is>
          <t>tested</t>
        </is>
      </c>
      <c r="I12" s="32" t="inlineStr">
        <is>
          <t>no</t>
        </is>
      </c>
      <c r="J12" s="42" t="n">
        <v>46227</v>
      </c>
      <c r="L12" s="32" t="n">
        <v>1</v>
      </c>
      <c r="M12" s="32" t="n">
        <v>1</v>
      </c>
    </row>
    <row r="13" ht="42" customHeight="1" s="34">
      <c r="A13" s="32" t="inlineStr">
        <is>
          <t>B-05</t>
        </is>
      </c>
      <c r="B13" s="32" t="inlineStr">
        <is>
          <t>Unit</t>
        </is>
      </c>
      <c r="C13" s="32" t="inlineStr">
        <is>
          <t>Button</t>
        </is>
      </c>
      <c r="D13" s="32" t="inlineStr">
        <is>
          <t>Brick-owned DOM, recipes, adapters, and public hooks pass focused tests.</t>
        </is>
      </c>
      <c r="E13" s="32" t="inlineStr">
        <is>
          <t>package</t>
        </is>
      </c>
      <c r="F13" s="32" t="inlineStr">
        <is>
          <t>component</t>
        </is>
      </c>
      <c r="G13" s="32" t="inlineStr">
        <is>
          <t>../test/components/button/button.test.tsx</t>
        </is>
      </c>
      <c r="H13" s="32" t="inlineStr">
        <is>
          <t>tested</t>
        </is>
      </c>
      <c r="I13" s="32" t="inlineStr">
        <is>
          <t>no</t>
        </is>
      </c>
      <c r="J13" s="42" t="n">
        <v>46227</v>
      </c>
      <c r="L13" s="32" t="n">
        <v>1</v>
      </c>
      <c r="M13" s="32" t="n">
        <v>1</v>
      </c>
    </row>
    <row r="14" ht="42" customHeight="1" s="34">
      <c r="A14" s="32" t="inlineStr">
        <is>
          <t>B-06</t>
        </is>
      </c>
      <c r="B14" s="32" t="inlineStr">
        <is>
          <t>Browser</t>
        </is>
      </c>
      <c r="C14" s="32" t="inlineStr">
        <is>
          <t>Button</t>
        </is>
      </c>
      <c r="D14" s="32" t="inlineStr">
        <is>
          <t>Real-browser behavior and component contract checks pass.</t>
        </is>
      </c>
      <c r="E14" s="32" t="inlineStr">
        <is>
          <t>package</t>
        </is>
      </c>
      <c r="F14" s="32" t="inlineStr">
        <is>
          <t>browser</t>
        </is>
      </c>
      <c r="G14" s="32" t="inlineStr">
        <is>
          <t>tests/components/button/behavior.spec.ts</t>
        </is>
      </c>
      <c r="H14" s="32" t="inlineStr">
        <is>
          <t>tested</t>
        </is>
      </c>
      <c r="I14" s="32" t="inlineStr">
        <is>
          <t>no</t>
        </is>
      </c>
      <c r="J14" s="42" t="n">
        <v>46227</v>
      </c>
      <c r="L14" s="32" t="n">
        <v>1</v>
      </c>
      <c r="M14" s="32" t="n">
        <v>1</v>
      </c>
    </row>
    <row r="15" ht="42" customHeight="1" s="34">
      <c r="A15" s="32" t="inlineStr">
        <is>
          <t>B-07</t>
        </is>
      </c>
      <c r="B15" s="32" t="inlineStr">
        <is>
          <t>Accessibility</t>
        </is>
      </c>
      <c r="C15" s="32" t="inlineStr">
        <is>
          <t>Button</t>
        </is>
      </c>
      <c r="D15" s="32" t="inlineStr">
        <is>
          <t>Automated semantics and accessibility checks pass in the browser evidence suite.</t>
        </is>
      </c>
      <c r="E15" s="32" t="inlineStr">
        <is>
          <t>package</t>
        </is>
      </c>
      <c r="F15" s="32" t="inlineStr">
        <is>
          <t>axe</t>
        </is>
      </c>
      <c r="G15" s="32" t="inlineStr">
        <is>
          <t>tests/components/button/behavior.spec.ts; tests/integration</t>
        </is>
      </c>
      <c r="H15" s="32" t="inlineStr">
        <is>
          <t>tested</t>
        </is>
      </c>
      <c r="I15" s="32" t="inlineStr">
        <is>
          <t>no</t>
        </is>
      </c>
      <c r="J15" s="42" t="n">
        <v>46227</v>
      </c>
      <c r="L15" s="32" t="n">
        <v>1</v>
      </c>
      <c r="M15" s="32" t="n">
        <v>1</v>
      </c>
    </row>
    <row r="16" ht="42" customHeight="1" s="34">
      <c r="A16" s="32" t="inlineStr">
        <is>
          <t>B-08</t>
        </is>
      </c>
      <c r="B16" s="32" t="inlineStr">
        <is>
          <t>Visual</t>
        </is>
      </c>
      <c r="C16" s="32" t="inlineStr">
        <is>
          <t>Button</t>
        </is>
      </c>
      <c r="D16" s="32" t="inlineStr">
        <is>
          <t>Reviewed baselines cover the component's risk-selected recipes and states.</t>
        </is>
      </c>
      <c r="E16" s="32" t="inlineStr">
        <is>
          <t>package</t>
        </is>
      </c>
      <c r="F16" s="32" t="inlineStr">
        <is>
          <t>visual</t>
        </is>
      </c>
      <c r="G16" s="32" t="inlineStr">
        <is>
          <t>tests/components/button/visual.spec.ts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B-09</t>
        </is>
      </c>
      <c r="B17" s="32" t="inlineStr">
        <is>
          <t>Responsive</t>
        </is>
      </c>
      <c r="C17" s="32" t="inlineStr">
        <is>
          <t>Button</t>
        </is>
      </c>
      <c r="D17" s="32" t="inlineStr">
        <is>
          <t>Mobile, zoom/reflow, content stress, and RTL remain usable and contained.</t>
        </is>
      </c>
      <c r="E17" s="32" t="inlineStr">
        <is>
          <t>package</t>
        </is>
      </c>
      <c r="F17" s="32" t="inlineStr">
        <is>
          <t>manual</t>
        </is>
      </c>
      <c r="G17" s="32" t="inlineStr">
        <is>
          <t>manual-tests/button.md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B-10</t>
        </is>
      </c>
      <c r="B18" s="32" t="inlineStr">
        <is>
          <t>Theme</t>
        </is>
      </c>
      <c r="C18" s="32" t="inlineStr">
        <is>
          <t>Button</t>
        </is>
      </c>
      <c r="D18" s="32" t="inlineStr">
        <is>
          <t>Light, dark, focus, forced-colors, and relevant motion behavior remain perceivable.</t>
        </is>
      </c>
      <c r="E18" s="32" t="inlineStr">
        <is>
          <t>package</t>
        </is>
      </c>
      <c r="F18" s="32" t="inlineStr">
        <is>
          <t>manual</t>
        </is>
      </c>
      <c r="G18" s="32" t="inlineStr">
        <is>
          <t>manual-tests/button.md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B-11</t>
        </is>
      </c>
      <c r="B19" s="32" t="inlineStr">
        <is>
          <t>Composition</t>
        </is>
      </c>
      <c r="C19" s="32" t="inlineStr">
        <is>
          <t>Button</t>
        </is>
      </c>
      <c r="D19" s="32" t="inlineStr">
        <is>
          <t>Default, render, and asChild output preserve the intended element, slots, state, and relationships.</t>
        </is>
      </c>
      <c r="E19" s="32" t="inlineStr">
        <is>
          <t>package</t>
        </is>
      </c>
      <c r="F19" s="32" t="inlineStr">
        <is>
          <t>manual</t>
        </is>
      </c>
      <c r="G19" s="32" t="inlineStr">
        <is>
          <t>manual-tests/button.md; tests/components/button/behavior.spec.ts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B-12</t>
        </is>
      </c>
      <c r="B20" s="32" t="inlineStr">
        <is>
          <t>Manual</t>
        </is>
      </c>
      <c r="C20" s="32" t="inlineStr">
        <is>
          <t>Button</t>
        </is>
      </c>
      <c r="D20" s="32" t="inlineStr">
        <is>
          <t>The complete component-owned manual protocol passed against every playground scenario.</t>
        </is>
      </c>
      <c r="E20" s="32" t="inlineStr">
        <is>
          <t>package</t>
        </is>
      </c>
      <c r="F20" s="32" t="inlineStr">
        <is>
          <t>manual</t>
        </is>
      </c>
      <c r="G20" s="32" t="inlineStr">
        <is>
          <t>manual-tests/button.md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B-13</t>
        </is>
      </c>
      <c r="B21" s="32" t="inlineStr">
        <is>
          <t>Docs</t>
        </is>
      </c>
      <c r="C21" s="32" t="inlineStr">
        <is>
          <t>Button</t>
        </is>
      </c>
      <c r="D21" s="32" t="inlineStr">
        <is>
          <t>Public usage documentation exists at the component-owned path.</t>
        </is>
      </c>
      <c r="E21" s="32" t="inlineStr">
        <is>
          <t>package</t>
        </is>
      </c>
      <c r="F21" s="32" t="inlineStr">
        <is>
          <t>docs</t>
        </is>
      </c>
      <c r="G21" s="32" t="inlineStr">
        <is>
          <t>../docs/components/button/README.md</t>
        </is>
      </c>
      <c r="H21" s="32" t="inlineStr">
        <is>
          <t>tested</t>
        </is>
      </c>
      <c r="I21" s="32" t="inlineStr">
        <is>
          <t>no</t>
        </is>
      </c>
      <c r="J21" s="42" t="n">
        <v>46227</v>
      </c>
      <c r="L21" s="32" t="n">
        <v>1</v>
      </c>
      <c r="M21" s="32" t="n">
        <v>1</v>
      </c>
    </row>
    <row r="22" ht="42" customHeight="1" s="34">
      <c r="A22" s="32" t="inlineStr">
        <is>
          <t>B-14</t>
        </is>
      </c>
      <c r="B22" s="32" t="inlineStr">
        <is>
          <t>Changelog</t>
        </is>
      </c>
      <c r="C22" s="32" t="inlineStr">
        <is>
          <t>Button</t>
        </is>
      </c>
      <c r="D22" s="32" t="inlineStr">
        <is>
          <t>The component owns a public changelog.</t>
        </is>
      </c>
      <c r="E22" s="32" t="inlineStr">
        <is>
          <t>package</t>
        </is>
      </c>
      <c r="F22" s="32" t="inlineStr">
        <is>
          <t>docs</t>
        </is>
      </c>
      <c r="G22" s="32" t="inlineStr">
        <is>
          <t>../docs/components/button/CHANGELOG.md</t>
        </is>
      </c>
      <c r="H22" s="32" t="inlineStr">
        <is>
          <t>tested</t>
        </is>
      </c>
      <c r="I22" s="32" t="inlineStr">
        <is>
          <t>no</t>
        </is>
      </c>
      <c r="J22" s="42" t="n">
        <v>46227</v>
      </c>
      <c r="L22" s="32" t="n">
        <v>1</v>
      </c>
      <c r="M22" s="32" t="n">
        <v>1</v>
      </c>
    </row>
    <row r="23" ht="42" customHeight="1" s="34">
      <c r="A23" s="32" t="inlineStr">
        <is>
          <t>B-15</t>
        </is>
      </c>
      <c r="B23" s="32" t="inlineStr">
        <is>
          <t>Consumer</t>
        </is>
      </c>
      <c r="C23" s="32" t="inlineStr">
        <is>
          <t>Button</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B-16</t>
        </is>
      </c>
      <c r="B24" s="32" t="inlineStr">
        <is>
          <t>Package</t>
        </is>
      </c>
      <c r="C24" s="32" t="inlineStr">
        <is>
          <t>Button</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Card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C-01</t>
        </is>
      </c>
      <c r="B9" s="32" t="inlineStr">
        <is>
          <t>Implementation</t>
        </is>
      </c>
      <c r="C9" s="32" t="inlineStr">
        <is>
          <t>Card</t>
        </is>
      </c>
      <c r="D9" s="32" t="inlineStr">
        <is>
          <t>Public component implementation and Atom adapter exist.</t>
        </is>
      </c>
      <c r="E9" s="32" t="inlineStr">
        <is>
          <t>package</t>
        </is>
      </c>
      <c r="F9" s="32" t="inlineStr">
        <is>
          <t>source</t>
        </is>
      </c>
      <c r="G9" s="32" t="inlineStr">
        <is>
          <t>../src/components/card</t>
        </is>
      </c>
      <c r="H9" s="32" t="inlineStr">
        <is>
          <t>tested</t>
        </is>
      </c>
      <c r="I9" s="32" t="inlineStr">
        <is>
          <t>no</t>
        </is>
      </c>
      <c r="J9" s="42" t="n">
        <v>46227</v>
      </c>
      <c r="L9" s="32" t="n">
        <v>1</v>
      </c>
      <c r="M9" s="32" t="n">
        <v>1</v>
      </c>
    </row>
    <row r="10" ht="42" customHeight="1" s="34">
      <c r="A10" s="32" t="inlineStr">
        <is>
          <t>C-02</t>
        </is>
      </c>
      <c r="B10" s="32" t="inlineStr">
        <is>
          <t>Exports</t>
        </is>
      </c>
      <c r="C10" s="32" t="inlineStr">
        <is>
          <t>Card</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C-03</t>
        </is>
      </c>
      <c r="B11" s="32" t="inlineStr">
        <is>
          <t>Types</t>
        </is>
      </c>
      <c r="C11" s="32" t="inlineStr">
        <is>
          <t>Card</t>
        </is>
      </c>
      <c r="D11" s="32" t="inlineStr">
        <is>
          <t>Public props, refs, composition branches, and invalid cases type-check.</t>
        </is>
      </c>
      <c r="E11" s="32" t="inlineStr">
        <is>
          <t>package</t>
        </is>
      </c>
      <c r="F11" s="32" t="inlineStr">
        <is>
          <t>types</t>
        </is>
      </c>
      <c r="G11" s="32" t="inlineStr">
        <is>
          <t>../test/types/components/card.test.ts</t>
        </is>
      </c>
      <c r="H11" s="32" t="inlineStr">
        <is>
          <t>tested</t>
        </is>
      </c>
      <c r="I11" s="32" t="inlineStr">
        <is>
          <t>no</t>
        </is>
      </c>
      <c r="J11" s="42" t="n">
        <v>46227</v>
      </c>
      <c r="L11" s="32" t="n">
        <v>1</v>
      </c>
      <c r="M11" s="32" t="n">
        <v>1</v>
      </c>
    </row>
    <row r="12" ht="42" customHeight="1" s="34">
      <c r="A12" s="32" t="inlineStr">
        <is>
          <t>C-04</t>
        </is>
      </c>
      <c r="B12" s="32" t="inlineStr">
        <is>
          <t>CSS</t>
        </is>
      </c>
      <c r="C12" s="32" t="inlineStr">
        <is>
          <t>Card</t>
        </is>
      </c>
      <c r="D12" s="32" t="inlineStr">
        <is>
          <t>Static public CSS, classes, slots, recipes, states, and tokens are present.</t>
        </is>
      </c>
      <c r="E12" s="32" t="inlineStr">
        <is>
          <t>package</t>
        </is>
      </c>
      <c r="F12" s="32" t="inlineStr">
        <is>
          <t>css</t>
        </is>
      </c>
      <c r="G12" s="32" t="inlineStr">
        <is>
          <t>../src/components/card/card.css</t>
        </is>
      </c>
      <c r="H12" s="32" t="inlineStr">
        <is>
          <t>tested</t>
        </is>
      </c>
      <c r="I12" s="32" t="inlineStr">
        <is>
          <t>no</t>
        </is>
      </c>
      <c r="J12" s="42" t="n">
        <v>46227</v>
      </c>
      <c r="L12" s="32" t="n">
        <v>1</v>
      </c>
      <c r="M12" s="32" t="n">
        <v>1</v>
      </c>
    </row>
    <row r="13" ht="42" customHeight="1" s="34">
      <c r="A13" s="32" t="inlineStr">
        <is>
          <t>C-05</t>
        </is>
      </c>
      <c r="B13" s="32" t="inlineStr">
        <is>
          <t>Unit</t>
        </is>
      </c>
      <c r="C13" s="32" t="inlineStr">
        <is>
          <t>Card</t>
        </is>
      </c>
      <c r="D13" s="32" t="inlineStr">
        <is>
          <t>Brick-owned DOM, recipes, adapters, and public hooks pass focused tests.</t>
        </is>
      </c>
      <c r="E13" s="32" t="inlineStr">
        <is>
          <t>package</t>
        </is>
      </c>
      <c r="F13" s="32" t="inlineStr">
        <is>
          <t>component</t>
        </is>
      </c>
      <c r="G13" s="32" t="inlineStr">
        <is>
          <t>../test/components/card/card.test.tsx</t>
        </is>
      </c>
      <c r="H13" s="32" t="inlineStr">
        <is>
          <t>tested</t>
        </is>
      </c>
      <c r="I13" s="32" t="inlineStr">
        <is>
          <t>no</t>
        </is>
      </c>
      <c r="J13" s="42" t="n">
        <v>46227</v>
      </c>
      <c r="L13" s="32" t="n">
        <v>1</v>
      </c>
      <c r="M13" s="32" t="n">
        <v>1</v>
      </c>
    </row>
    <row r="14" ht="42" customHeight="1" s="34">
      <c r="A14" s="32" t="inlineStr">
        <is>
          <t>C-06</t>
        </is>
      </c>
      <c r="B14" s="32" t="inlineStr">
        <is>
          <t>Browser</t>
        </is>
      </c>
      <c r="C14" s="32" t="inlineStr">
        <is>
          <t>Card</t>
        </is>
      </c>
      <c r="D14" s="32" t="inlineStr">
        <is>
          <t>Real-browser behavior and component contract checks pass.</t>
        </is>
      </c>
      <c r="E14" s="32" t="inlineStr">
        <is>
          <t>package</t>
        </is>
      </c>
      <c r="F14" s="32" t="inlineStr">
        <is>
          <t>browser</t>
        </is>
      </c>
      <c r="G14" s="32" t="inlineStr">
        <is>
          <t>tests/components/card/behavior.spec.ts</t>
        </is>
      </c>
      <c r="H14" s="32" t="inlineStr">
        <is>
          <t>tested</t>
        </is>
      </c>
      <c r="I14" s="32" t="inlineStr">
        <is>
          <t>no</t>
        </is>
      </c>
      <c r="J14" s="42" t="n">
        <v>46227</v>
      </c>
      <c r="L14" s="32" t="n">
        <v>1</v>
      </c>
      <c r="M14" s="32" t="n">
        <v>1</v>
      </c>
    </row>
    <row r="15" ht="42" customHeight="1" s="34">
      <c r="A15" s="32" t="inlineStr">
        <is>
          <t>C-07</t>
        </is>
      </c>
      <c r="B15" s="32" t="inlineStr">
        <is>
          <t>Accessibility</t>
        </is>
      </c>
      <c r="C15" s="32" t="inlineStr">
        <is>
          <t>Card</t>
        </is>
      </c>
      <c r="D15" s="32" t="inlineStr">
        <is>
          <t>Automated semantics and accessibility checks pass in the browser evidence suite.</t>
        </is>
      </c>
      <c r="E15" s="32" t="inlineStr">
        <is>
          <t>package</t>
        </is>
      </c>
      <c r="F15" s="32" t="inlineStr">
        <is>
          <t>axe</t>
        </is>
      </c>
      <c r="G15" s="32" t="inlineStr">
        <is>
          <t>tests/components/card/behavior.spec.ts; tests/integration</t>
        </is>
      </c>
      <c r="H15" s="32" t="inlineStr">
        <is>
          <t>tested</t>
        </is>
      </c>
      <c r="I15" s="32" t="inlineStr">
        <is>
          <t>no</t>
        </is>
      </c>
      <c r="J15" s="42" t="n">
        <v>46227</v>
      </c>
      <c r="L15" s="32" t="n">
        <v>1</v>
      </c>
      <c r="M15" s="32" t="n">
        <v>1</v>
      </c>
    </row>
    <row r="16" ht="42" customHeight="1" s="34">
      <c r="A16" s="32" t="inlineStr">
        <is>
          <t>C-08</t>
        </is>
      </c>
      <c r="B16" s="32" t="inlineStr">
        <is>
          <t>Visual</t>
        </is>
      </c>
      <c r="C16" s="32" t="inlineStr">
        <is>
          <t>Card</t>
        </is>
      </c>
      <c r="D16" s="32" t="inlineStr">
        <is>
          <t>Reviewed baselines cover the component's risk-selected recipes and states.</t>
        </is>
      </c>
      <c r="E16" s="32" t="inlineStr">
        <is>
          <t>package</t>
        </is>
      </c>
      <c r="F16" s="32" t="inlineStr">
        <is>
          <t>visual</t>
        </is>
      </c>
      <c r="G16" s="32" t="inlineStr">
        <is>
          <t>tests/components/card/visual.spec.ts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C-09</t>
        </is>
      </c>
      <c r="B17" s="32" t="inlineStr">
        <is>
          <t>Responsive</t>
        </is>
      </c>
      <c r="C17" s="32" t="inlineStr">
        <is>
          <t>Card</t>
        </is>
      </c>
      <c r="D17" s="32" t="inlineStr">
        <is>
          <t>Mobile, zoom/reflow, content stress, and RTL remain usable and contained.</t>
        </is>
      </c>
      <c r="E17" s="32" t="inlineStr">
        <is>
          <t>package</t>
        </is>
      </c>
      <c r="F17" s="32" t="inlineStr">
        <is>
          <t>manual</t>
        </is>
      </c>
      <c r="G17" s="32" t="inlineStr">
        <is>
          <t>manual-tests/card.md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C-10</t>
        </is>
      </c>
      <c r="B18" s="32" t="inlineStr">
        <is>
          <t>Theme</t>
        </is>
      </c>
      <c r="C18" s="32" t="inlineStr">
        <is>
          <t>Card</t>
        </is>
      </c>
      <c r="D18" s="32" t="inlineStr">
        <is>
          <t>Light, dark, focus, forced-colors, and relevant motion behavior remain perceivable.</t>
        </is>
      </c>
      <c r="E18" s="32" t="inlineStr">
        <is>
          <t>package</t>
        </is>
      </c>
      <c r="F18" s="32" t="inlineStr">
        <is>
          <t>manual</t>
        </is>
      </c>
      <c r="G18" s="32" t="inlineStr">
        <is>
          <t>manual-tests/card.md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C-11</t>
        </is>
      </c>
      <c r="B19" s="32" t="inlineStr">
        <is>
          <t>Composition</t>
        </is>
      </c>
      <c r="C19" s="32" t="inlineStr">
        <is>
          <t>Card</t>
        </is>
      </c>
      <c r="D19" s="32" t="inlineStr">
        <is>
          <t>Default, render, and asChild output preserve the intended element, slots, state, and relationships.</t>
        </is>
      </c>
      <c r="E19" s="32" t="inlineStr">
        <is>
          <t>package</t>
        </is>
      </c>
      <c r="F19" s="32" t="inlineStr">
        <is>
          <t>manual</t>
        </is>
      </c>
      <c r="G19" s="32" t="inlineStr">
        <is>
          <t>manual-tests/card.md; tests/components/card/behavior.spec.ts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C-12</t>
        </is>
      </c>
      <c r="B20" s="32" t="inlineStr">
        <is>
          <t>Manual</t>
        </is>
      </c>
      <c r="C20" s="32" t="inlineStr">
        <is>
          <t>Card</t>
        </is>
      </c>
      <c r="D20" s="32" t="inlineStr">
        <is>
          <t>The complete component-owned manual protocol passed against every playground scenario.</t>
        </is>
      </c>
      <c r="E20" s="32" t="inlineStr">
        <is>
          <t>package</t>
        </is>
      </c>
      <c r="F20" s="32" t="inlineStr">
        <is>
          <t>manual</t>
        </is>
      </c>
      <c r="G20" s="32" t="inlineStr">
        <is>
          <t>manual-tests/card.md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C-13</t>
        </is>
      </c>
      <c r="B21" s="32" t="inlineStr">
        <is>
          <t>Docs</t>
        </is>
      </c>
      <c r="C21" s="32" t="inlineStr">
        <is>
          <t>Card</t>
        </is>
      </c>
      <c r="D21" s="32" t="inlineStr">
        <is>
          <t>Public usage documentation exists at the component-owned path.</t>
        </is>
      </c>
      <c r="E21" s="32" t="inlineStr">
        <is>
          <t>package</t>
        </is>
      </c>
      <c r="F21" s="32" t="inlineStr">
        <is>
          <t>docs</t>
        </is>
      </c>
      <c r="G21" s="32" t="inlineStr">
        <is>
          <t>../docs/components/card/README.md</t>
        </is>
      </c>
      <c r="H21" s="32" t="inlineStr">
        <is>
          <t>tested</t>
        </is>
      </c>
      <c r="I21" s="32" t="inlineStr">
        <is>
          <t>no</t>
        </is>
      </c>
      <c r="J21" s="42" t="n">
        <v>46227</v>
      </c>
      <c r="L21" s="32" t="n">
        <v>1</v>
      </c>
      <c r="M21" s="32" t="n">
        <v>1</v>
      </c>
    </row>
    <row r="22" ht="42" customHeight="1" s="34">
      <c r="A22" s="32" t="inlineStr">
        <is>
          <t>C-14</t>
        </is>
      </c>
      <c r="B22" s="32" t="inlineStr">
        <is>
          <t>Changelog</t>
        </is>
      </c>
      <c r="C22" s="32" t="inlineStr">
        <is>
          <t>Card</t>
        </is>
      </c>
      <c r="D22" s="32" t="inlineStr">
        <is>
          <t>The component owns a public changelog.</t>
        </is>
      </c>
      <c r="E22" s="32" t="inlineStr">
        <is>
          <t>package</t>
        </is>
      </c>
      <c r="F22" s="32" t="inlineStr">
        <is>
          <t>docs</t>
        </is>
      </c>
      <c r="G22" s="32" t="inlineStr">
        <is>
          <t>../docs/components/card/CHANGELOG.md</t>
        </is>
      </c>
      <c r="H22" s="32" t="inlineStr">
        <is>
          <t>tested</t>
        </is>
      </c>
      <c r="I22" s="32" t="inlineStr">
        <is>
          <t>no</t>
        </is>
      </c>
      <c r="J22" s="42" t="n">
        <v>46227</v>
      </c>
      <c r="L22" s="32" t="n">
        <v>1</v>
      </c>
      <c r="M22" s="32" t="n">
        <v>1</v>
      </c>
    </row>
    <row r="23" ht="42" customHeight="1" s="34">
      <c r="A23" s="32" t="inlineStr">
        <is>
          <t>C-15</t>
        </is>
      </c>
      <c r="B23" s="32" t="inlineStr">
        <is>
          <t>Consumer</t>
        </is>
      </c>
      <c r="C23" s="32" t="inlineStr">
        <is>
          <t>Card</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C-16</t>
        </is>
      </c>
      <c r="B24" s="32" t="inlineStr">
        <is>
          <t>Package</t>
        </is>
      </c>
      <c r="C24" s="32" t="inlineStr">
        <is>
          <t>Card</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Checkbox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C-01</t>
        </is>
      </c>
      <c r="B9" s="32" t="inlineStr">
        <is>
          <t>Implementation</t>
        </is>
      </c>
      <c r="C9" s="32" t="inlineStr">
        <is>
          <t>Checkbox</t>
        </is>
      </c>
      <c r="D9" s="32" t="inlineStr">
        <is>
          <t>Public component implementation and Atom adapter exist.</t>
        </is>
      </c>
      <c r="E9" s="32" t="inlineStr">
        <is>
          <t>package</t>
        </is>
      </c>
      <c r="F9" s="32" t="inlineStr">
        <is>
          <t>source</t>
        </is>
      </c>
      <c r="G9" s="32" t="inlineStr">
        <is>
          <t>../src/components/checkbox</t>
        </is>
      </c>
      <c r="H9" s="32" t="inlineStr">
        <is>
          <t>tested</t>
        </is>
      </c>
      <c r="I9" s="32" t="inlineStr">
        <is>
          <t>no</t>
        </is>
      </c>
      <c r="J9" s="42" t="n">
        <v>46227</v>
      </c>
      <c r="L9" s="32" t="n">
        <v>1</v>
      </c>
      <c r="M9" s="32" t="n">
        <v>1</v>
      </c>
    </row>
    <row r="10" ht="42" customHeight="1" s="34">
      <c r="A10" s="32" t="inlineStr">
        <is>
          <t>C-02</t>
        </is>
      </c>
      <c r="B10" s="32" t="inlineStr">
        <is>
          <t>Exports</t>
        </is>
      </c>
      <c r="C10" s="32" t="inlineStr">
        <is>
          <t>Checkbox</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C-03</t>
        </is>
      </c>
      <c r="B11" s="32" t="inlineStr">
        <is>
          <t>Types</t>
        </is>
      </c>
      <c r="C11" s="32" t="inlineStr">
        <is>
          <t>Checkbox</t>
        </is>
      </c>
      <c r="D11" s="32" t="inlineStr">
        <is>
          <t>Public props, refs, composition branches, and invalid cases type-check.</t>
        </is>
      </c>
      <c r="E11" s="32" t="inlineStr">
        <is>
          <t>package</t>
        </is>
      </c>
      <c r="F11" s="32" t="inlineStr">
        <is>
          <t>types</t>
        </is>
      </c>
      <c r="G11" s="32" t="inlineStr">
        <is>
          <t>../test/types/components/checkbox.test.ts</t>
        </is>
      </c>
      <c r="H11" s="32" t="inlineStr">
        <is>
          <t>tested</t>
        </is>
      </c>
      <c r="I11" s="32" t="inlineStr">
        <is>
          <t>no</t>
        </is>
      </c>
      <c r="J11" s="42" t="n">
        <v>46227</v>
      </c>
      <c r="L11" s="32" t="n">
        <v>1</v>
      </c>
      <c r="M11" s="32" t="n">
        <v>1</v>
      </c>
    </row>
    <row r="12" ht="42" customHeight="1" s="34">
      <c r="A12" s="32" t="inlineStr">
        <is>
          <t>C-04</t>
        </is>
      </c>
      <c r="B12" s="32" t="inlineStr">
        <is>
          <t>CSS</t>
        </is>
      </c>
      <c r="C12" s="32" t="inlineStr">
        <is>
          <t>Checkbox</t>
        </is>
      </c>
      <c r="D12" s="32" t="inlineStr">
        <is>
          <t>Static public CSS, classes, slots, recipes, states, and tokens are present.</t>
        </is>
      </c>
      <c r="E12" s="32" t="inlineStr">
        <is>
          <t>package</t>
        </is>
      </c>
      <c r="F12" s="32" t="inlineStr">
        <is>
          <t>css</t>
        </is>
      </c>
      <c r="G12" s="32" t="inlineStr">
        <is>
          <t>../src/components/checkbox/checkbox.css</t>
        </is>
      </c>
      <c r="H12" s="32" t="inlineStr">
        <is>
          <t>tested</t>
        </is>
      </c>
      <c r="I12" s="32" t="inlineStr">
        <is>
          <t>no</t>
        </is>
      </c>
      <c r="J12" s="42" t="n">
        <v>46227</v>
      </c>
      <c r="L12" s="32" t="n">
        <v>1</v>
      </c>
      <c r="M12" s="32" t="n">
        <v>1</v>
      </c>
    </row>
    <row r="13" ht="42" customHeight="1" s="34">
      <c r="A13" s="32" t="inlineStr">
        <is>
          <t>C-05</t>
        </is>
      </c>
      <c r="B13" s="32" t="inlineStr">
        <is>
          <t>Unit</t>
        </is>
      </c>
      <c r="C13" s="32" t="inlineStr">
        <is>
          <t>Checkbox</t>
        </is>
      </c>
      <c r="D13" s="32" t="inlineStr">
        <is>
          <t>Brick-owned DOM, recipes, adapters, and public hooks pass focused tests.</t>
        </is>
      </c>
      <c r="E13" s="32" t="inlineStr">
        <is>
          <t>package</t>
        </is>
      </c>
      <c r="F13" s="32" t="inlineStr">
        <is>
          <t>component</t>
        </is>
      </c>
      <c r="G13" s="32" t="inlineStr">
        <is>
          <t>../test/components/checkbox/checkbox.test.tsx</t>
        </is>
      </c>
      <c r="H13" s="32" t="inlineStr">
        <is>
          <t>tested</t>
        </is>
      </c>
      <c r="I13" s="32" t="inlineStr">
        <is>
          <t>no</t>
        </is>
      </c>
      <c r="J13" s="42" t="n">
        <v>46227</v>
      </c>
      <c r="L13" s="32" t="n">
        <v>1</v>
      </c>
      <c r="M13" s="32" t="n">
        <v>1</v>
      </c>
    </row>
    <row r="14" ht="42" customHeight="1" s="34">
      <c r="A14" s="32" t="inlineStr">
        <is>
          <t>C-06</t>
        </is>
      </c>
      <c r="B14" s="32" t="inlineStr">
        <is>
          <t>Browser</t>
        </is>
      </c>
      <c r="C14" s="32" t="inlineStr">
        <is>
          <t>Checkbox</t>
        </is>
      </c>
      <c r="D14" s="32" t="inlineStr">
        <is>
          <t>Real-browser behavior and component contract checks pass.</t>
        </is>
      </c>
      <c r="E14" s="32" t="inlineStr">
        <is>
          <t>package</t>
        </is>
      </c>
      <c r="F14" s="32" t="inlineStr">
        <is>
          <t>browser</t>
        </is>
      </c>
      <c r="G14" s="32" t="inlineStr">
        <is>
          <t>tests/components/checkbox/behavior.spec.ts</t>
        </is>
      </c>
      <c r="H14" s="32" t="inlineStr">
        <is>
          <t>tested</t>
        </is>
      </c>
      <c r="I14" s="32" t="inlineStr">
        <is>
          <t>no</t>
        </is>
      </c>
      <c r="J14" s="42" t="n">
        <v>46227</v>
      </c>
      <c r="L14" s="32" t="n">
        <v>1</v>
      </c>
      <c r="M14" s="32" t="n">
        <v>1</v>
      </c>
    </row>
    <row r="15" ht="42" customHeight="1" s="34">
      <c r="A15" s="32" t="inlineStr">
        <is>
          <t>C-07</t>
        </is>
      </c>
      <c r="B15" s="32" t="inlineStr">
        <is>
          <t>Accessibility</t>
        </is>
      </c>
      <c r="C15" s="32" t="inlineStr">
        <is>
          <t>Checkbox</t>
        </is>
      </c>
      <c r="D15" s="32" t="inlineStr">
        <is>
          <t>Automated semantics and accessibility checks pass in the browser evidence suite.</t>
        </is>
      </c>
      <c r="E15" s="32" t="inlineStr">
        <is>
          <t>package</t>
        </is>
      </c>
      <c r="F15" s="32" t="inlineStr">
        <is>
          <t>axe</t>
        </is>
      </c>
      <c r="G15" s="32" t="inlineStr">
        <is>
          <t>tests/components/checkbox/behavior.spec.ts; tests/integration</t>
        </is>
      </c>
      <c r="H15" s="32" t="inlineStr">
        <is>
          <t>tested</t>
        </is>
      </c>
      <c r="I15" s="32" t="inlineStr">
        <is>
          <t>no</t>
        </is>
      </c>
      <c r="J15" s="42" t="n">
        <v>46227</v>
      </c>
      <c r="L15" s="32" t="n">
        <v>1</v>
      </c>
      <c r="M15" s="32" t="n">
        <v>1</v>
      </c>
    </row>
    <row r="16" ht="42" customHeight="1" s="34">
      <c r="A16" s="32" t="inlineStr">
        <is>
          <t>C-08</t>
        </is>
      </c>
      <c r="B16" s="32" t="inlineStr">
        <is>
          <t>Visual</t>
        </is>
      </c>
      <c r="C16" s="32" t="inlineStr">
        <is>
          <t>Checkbox</t>
        </is>
      </c>
      <c r="D16" s="32" t="inlineStr">
        <is>
          <t>Reviewed baselines cover the component's risk-selected recipes and states.</t>
        </is>
      </c>
      <c r="E16" s="32" t="inlineStr">
        <is>
          <t>package</t>
        </is>
      </c>
      <c r="F16" s="32" t="inlineStr">
        <is>
          <t>visual</t>
        </is>
      </c>
      <c r="G16" s="32" t="inlineStr">
        <is>
          <t>tests/components/checkbox/visual.spec.ts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C-09</t>
        </is>
      </c>
      <c r="B17" s="32" t="inlineStr">
        <is>
          <t>Responsive</t>
        </is>
      </c>
      <c r="C17" s="32" t="inlineStr">
        <is>
          <t>Checkbox</t>
        </is>
      </c>
      <c r="D17" s="32" t="inlineStr">
        <is>
          <t>Mobile, zoom/reflow, content stress, and RTL remain usable and contained.</t>
        </is>
      </c>
      <c r="E17" s="32" t="inlineStr">
        <is>
          <t>package</t>
        </is>
      </c>
      <c r="F17" s="32" t="inlineStr">
        <is>
          <t>manual</t>
        </is>
      </c>
      <c r="G17" s="32" t="inlineStr">
        <is>
          <t>manual-tests/checkbox.md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C-10</t>
        </is>
      </c>
      <c r="B18" s="32" t="inlineStr">
        <is>
          <t>Theme</t>
        </is>
      </c>
      <c r="C18" s="32" t="inlineStr">
        <is>
          <t>Checkbox</t>
        </is>
      </c>
      <c r="D18" s="32" t="inlineStr">
        <is>
          <t>Light, dark, focus, forced-colors, and relevant motion behavior remain perceivable.</t>
        </is>
      </c>
      <c r="E18" s="32" t="inlineStr">
        <is>
          <t>package</t>
        </is>
      </c>
      <c r="F18" s="32" t="inlineStr">
        <is>
          <t>manual</t>
        </is>
      </c>
      <c r="G18" s="32" t="inlineStr">
        <is>
          <t>manual-tests/checkbox.md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C-11</t>
        </is>
      </c>
      <c r="B19" s="32" t="inlineStr">
        <is>
          <t>Composition</t>
        </is>
      </c>
      <c r="C19" s="32" t="inlineStr">
        <is>
          <t>Checkbox</t>
        </is>
      </c>
      <c r="D19" s="32" t="inlineStr">
        <is>
          <t>Default, render, and asChild output preserve the intended element, slots, state, and relationships.</t>
        </is>
      </c>
      <c r="E19" s="32" t="inlineStr">
        <is>
          <t>package</t>
        </is>
      </c>
      <c r="F19" s="32" t="inlineStr">
        <is>
          <t>manual</t>
        </is>
      </c>
      <c r="G19" s="32" t="inlineStr">
        <is>
          <t>manual-tests/checkbox.md; tests/components/checkbox/behavior.spec.ts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C-12</t>
        </is>
      </c>
      <c r="B20" s="32" t="inlineStr">
        <is>
          <t>Manual</t>
        </is>
      </c>
      <c r="C20" s="32" t="inlineStr">
        <is>
          <t>Checkbox</t>
        </is>
      </c>
      <c r="D20" s="32" t="inlineStr">
        <is>
          <t>The complete component-owned manual protocol passed against every playground scenario.</t>
        </is>
      </c>
      <c r="E20" s="32" t="inlineStr">
        <is>
          <t>package</t>
        </is>
      </c>
      <c r="F20" s="32" t="inlineStr">
        <is>
          <t>manual</t>
        </is>
      </c>
      <c r="G20" s="32" t="inlineStr">
        <is>
          <t>manual-tests/checkbox.md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C-13</t>
        </is>
      </c>
      <c r="B21" s="32" t="inlineStr">
        <is>
          <t>Docs</t>
        </is>
      </c>
      <c r="C21" s="32" t="inlineStr">
        <is>
          <t>Checkbox</t>
        </is>
      </c>
      <c r="D21" s="32" t="inlineStr">
        <is>
          <t>Public usage documentation exists at the component-owned path.</t>
        </is>
      </c>
      <c r="E21" s="32" t="inlineStr">
        <is>
          <t>package</t>
        </is>
      </c>
      <c r="F21" s="32" t="inlineStr">
        <is>
          <t>docs</t>
        </is>
      </c>
      <c r="G21" s="32" t="inlineStr">
        <is>
          <t>../docs/components/checkbox/README.md</t>
        </is>
      </c>
      <c r="H21" s="32" t="inlineStr">
        <is>
          <t>tested</t>
        </is>
      </c>
      <c r="I21" s="32" t="inlineStr">
        <is>
          <t>no</t>
        </is>
      </c>
      <c r="J21" s="42" t="n">
        <v>46227</v>
      </c>
      <c r="L21" s="32" t="n">
        <v>1</v>
      </c>
      <c r="M21" s="32" t="n">
        <v>1</v>
      </c>
    </row>
    <row r="22" ht="42" customHeight="1" s="34">
      <c r="A22" s="32" t="inlineStr">
        <is>
          <t>C-14</t>
        </is>
      </c>
      <c r="B22" s="32" t="inlineStr">
        <is>
          <t>Changelog</t>
        </is>
      </c>
      <c r="C22" s="32" t="inlineStr">
        <is>
          <t>Checkbox</t>
        </is>
      </c>
      <c r="D22" s="32" t="inlineStr">
        <is>
          <t>The component owns a public changelog.</t>
        </is>
      </c>
      <c r="E22" s="32" t="inlineStr">
        <is>
          <t>package</t>
        </is>
      </c>
      <c r="F22" s="32" t="inlineStr">
        <is>
          <t>docs</t>
        </is>
      </c>
      <c r="G22" s="32" t="inlineStr">
        <is>
          <t>../docs/components/checkbox/CHANGELOG.md</t>
        </is>
      </c>
      <c r="H22" s="32" t="inlineStr">
        <is>
          <t>tested</t>
        </is>
      </c>
      <c r="I22" s="32" t="inlineStr">
        <is>
          <t>no</t>
        </is>
      </c>
      <c r="J22" s="42" t="n">
        <v>46227</v>
      </c>
      <c r="L22" s="32" t="n">
        <v>1</v>
      </c>
      <c r="M22" s="32" t="n">
        <v>1</v>
      </c>
    </row>
    <row r="23" ht="42" customHeight="1" s="34">
      <c r="A23" s="32" t="inlineStr">
        <is>
          <t>C-15</t>
        </is>
      </c>
      <c r="B23" s="32" t="inlineStr">
        <is>
          <t>Consumer</t>
        </is>
      </c>
      <c r="C23" s="32" t="inlineStr">
        <is>
          <t>Checkbox</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C-16</t>
        </is>
      </c>
      <c r="B24" s="32" t="inlineStr">
        <is>
          <t>Package</t>
        </is>
      </c>
      <c r="C24" s="32" t="inlineStr">
        <is>
          <t>Checkbox</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Checkbox Group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CG-01</t>
        </is>
      </c>
      <c r="B9" s="32" t="inlineStr">
        <is>
          <t>Implementation</t>
        </is>
      </c>
      <c r="C9" s="32" t="inlineStr">
        <is>
          <t>CheckboxGroup</t>
        </is>
      </c>
      <c r="D9" s="32" t="inlineStr">
        <is>
          <t>Public component implementation and Atom adapter exist.</t>
        </is>
      </c>
      <c r="E9" s="32" t="inlineStr">
        <is>
          <t>package</t>
        </is>
      </c>
      <c r="F9" s="32" t="inlineStr">
        <is>
          <t>source</t>
        </is>
      </c>
      <c r="G9" s="32" t="inlineStr">
        <is>
          <t>../src/components/checkbox-group</t>
        </is>
      </c>
      <c r="H9" s="32" t="inlineStr">
        <is>
          <t>tested</t>
        </is>
      </c>
      <c r="I9" s="32" t="inlineStr">
        <is>
          <t>no</t>
        </is>
      </c>
      <c r="J9" s="42" t="n">
        <v>46227</v>
      </c>
      <c r="L9" s="32" t="n">
        <v>1</v>
      </c>
      <c r="M9" s="32" t="n">
        <v>1</v>
      </c>
    </row>
    <row r="10" ht="42" customHeight="1" s="34">
      <c r="A10" s="32" t="inlineStr">
        <is>
          <t>CG-02</t>
        </is>
      </c>
      <c r="B10" s="32" t="inlineStr">
        <is>
          <t>Exports</t>
        </is>
      </c>
      <c r="C10" s="32" t="inlineStr">
        <is>
          <t>CheckboxGroup</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CG-03</t>
        </is>
      </c>
      <c r="B11" s="32" t="inlineStr">
        <is>
          <t>Types</t>
        </is>
      </c>
      <c r="C11" s="32" t="inlineStr">
        <is>
          <t>CheckboxGroup</t>
        </is>
      </c>
      <c r="D11" s="32" t="inlineStr">
        <is>
          <t>Public props, refs, composition branches, and invalid cases type-check.</t>
        </is>
      </c>
      <c r="E11" s="32" t="inlineStr">
        <is>
          <t>package</t>
        </is>
      </c>
      <c r="F11" s="32" t="inlineStr">
        <is>
          <t>types</t>
        </is>
      </c>
      <c r="G11" s="32" t="inlineStr">
        <is>
          <t>../test/types/components/checkbox-group.test.ts</t>
        </is>
      </c>
      <c r="H11" s="32" t="inlineStr">
        <is>
          <t>tested</t>
        </is>
      </c>
      <c r="I11" s="32" t="inlineStr">
        <is>
          <t>no</t>
        </is>
      </c>
      <c r="J11" s="42" t="n">
        <v>46227</v>
      </c>
      <c r="L11" s="32" t="n">
        <v>1</v>
      </c>
      <c r="M11" s="32" t="n">
        <v>1</v>
      </c>
    </row>
    <row r="12" ht="42" customHeight="1" s="34">
      <c r="A12" s="32" t="inlineStr">
        <is>
          <t>CG-04</t>
        </is>
      </c>
      <c r="B12" s="32" t="inlineStr">
        <is>
          <t>CSS</t>
        </is>
      </c>
      <c r="C12" s="32" t="inlineStr">
        <is>
          <t>CheckboxGroup</t>
        </is>
      </c>
      <c r="D12" s="32" t="inlineStr">
        <is>
          <t>Static public CSS, classes, slots, recipes, states, and tokens are present.</t>
        </is>
      </c>
      <c r="E12" s="32" t="inlineStr">
        <is>
          <t>package</t>
        </is>
      </c>
      <c r="F12" s="32" t="inlineStr">
        <is>
          <t>css</t>
        </is>
      </c>
      <c r="G12" s="32" t="inlineStr">
        <is>
          <t>../src/components/checkbox-group/checkbox-group.css</t>
        </is>
      </c>
      <c r="H12" s="32" t="inlineStr">
        <is>
          <t>tested</t>
        </is>
      </c>
      <c r="I12" s="32" t="inlineStr">
        <is>
          <t>no</t>
        </is>
      </c>
      <c r="J12" s="42" t="n">
        <v>46227</v>
      </c>
      <c r="L12" s="32" t="n">
        <v>1</v>
      </c>
      <c r="M12" s="32" t="n">
        <v>1</v>
      </c>
    </row>
    <row r="13" ht="42" customHeight="1" s="34">
      <c r="A13" s="32" t="inlineStr">
        <is>
          <t>CG-05</t>
        </is>
      </c>
      <c r="B13" s="32" t="inlineStr">
        <is>
          <t>Unit</t>
        </is>
      </c>
      <c r="C13" s="32" t="inlineStr">
        <is>
          <t>CheckboxGroup</t>
        </is>
      </c>
      <c r="D13" s="32" t="inlineStr">
        <is>
          <t>Brick-owned DOM, recipes, adapters, and public hooks pass focused tests.</t>
        </is>
      </c>
      <c r="E13" s="32" t="inlineStr">
        <is>
          <t>package</t>
        </is>
      </c>
      <c r="F13" s="32" t="inlineStr">
        <is>
          <t>component</t>
        </is>
      </c>
      <c r="G13" s="32" t="inlineStr">
        <is>
          <t>../test/components/checkbox-group/checkbox-group.test.tsx</t>
        </is>
      </c>
      <c r="H13" s="32" t="inlineStr">
        <is>
          <t>tested</t>
        </is>
      </c>
      <c r="I13" s="32" t="inlineStr">
        <is>
          <t>no</t>
        </is>
      </c>
      <c r="J13" s="42" t="n">
        <v>46227</v>
      </c>
      <c r="L13" s="32" t="n">
        <v>1</v>
      </c>
      <c r="M13" s="32" t="n">
        <v>1</v>
      </c>
    </row>
    <row r="14" ht="42" customHeight="1" s="34">
      <c r="A14" s="32" t="inlineStr">
        <is>
          <t>CG-06</t>
        </is>
      </c>
      <c r="B14" s="32" t="inlineStr">
        <is>
          <t>Browser</t>
        </is>
      </c>
      <c r="C14" s="32" t="inlineStr">
        <is>
          <t>CheckboxGroup</t>
        </is>
      </c>
      <c r="D14" s="32" t="inlineStr">
        <is>
          <t>Real-browser behavior and component contract checks pass.</t>
        </is>
      </c>
      <c r="E14" s="32" t="inlineStr">
        <is>
          <t>package</t>
        </is>
      </c>
      <c r="F14" s="32" t="inlineStr">
        <is>
          <t>browser</t>
        </is>
      </c>
      <c r="G14" s="32" t="inlineStr">
        <is>
          <t>tests/components/checkbox-group/behavior.spec.ts</t>
        </is>
      </c>
      <c r="H14" s="32" t="inlineStr">
        <is>
          <t>tested</t>
        </is>
      </c>
      <c r="I14" s="32" t="inlineStr">
        <is>
          <t>no</t>
        </is>
      </c>
      <c r="J14" s="42" t="n">
        <v>46227</v>
      </c>
      <c r="L14" s="32" t="n">
        <v>1</v>
      </c>
      <c r="M14" s="32" t="n">
        <v>1</v>
      </c>
    </row>
    <row r="15" ht="42" customHeight="1" s="34">
      <c r="A15" s="32" t="inlineStr">
        <is>
          <t>CG-07</t>
        </is>
      </c>
      <c r="B15" s="32" t="inlineStr">
        <is>
          <t>Accessibility</t>
        </is>
      </c>
      <c r="C15" s="32" t="inlineStr">
        <is>
          <t>CheckboxGroup</t>
        </is>
      </c>
      <c r="D15" s="32" t="inlineStr">
        <is>
          <t>Automated semantics and accessibility checks pass in the browser evidence suite.</t>
        </is>
      </c>
      <c r="E15" s="32" t="inlineStr">
        <is>
          <t>package</t>
        </is>
      </c>
      <c r="F15" s="32" t="inlineStr">
        <is>
          <t>axe</t>
        </is>
      </c>
      <c r="G15" s="32" t="inlineStr">
        <is>
          <t>tests/components/checkbox-group/behavior.spec.ts; tests/integration</t>
        </is>
      </c>
      <c r="H15" s="32" t="inlineStr">
        <is>
          <t>tested</t>
        </is>
      </c>
      <c r="I15" s="32" t="inlineStr">
        <is>
          <t>no</t>
        </is>
      </c>
      <c r="J15" s="42" t="n">
        <v>46227</v>
      </c>
      <c r="L15" s="32" t="n">
        <v>1</v>
      </c>
      <c r="M15" s="32" t="n">
        <v>1</v>
      </c>
    </row>
    <row r="16" ht="42" customHeight="1" s="34">
      <c r="A16" s="32" t="inlineStr">
        <is>
          <t>CG-08</t>
        </is>
      </c>
      <c r="B16" s="32" t="inlineStr">
        <is>
          <t>Visual</t>
        </is>
      </c>
      <c r="C16" s="32" t="inlineStr">
        <is>
          <t>CheckboxGroup</t>
        </is>
      </c>
      <c r="D16" s="32" t="inlineStr">
        <is>
          <t>Reviewed baselines cover the component's risk-selected recipes and states.</t>
        </is>
      </c>
      <c r="E16" s="32" t="inlineStr">
        <is>
          <t>package</t>
        </is>
      </c>
      <c r="F16" s="32" t="inlineStr">
        <is>
          <t>visual</t>
        </is>
      </c>
      <c r="G16" s="32" t="inlineStr">
        <is>
          <t>tests/components/checkbox-group/visual.spec.ts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CG-09</t>
        </is>
      </c>
      <c r="B17" s="32" t="inlineStr">
        <is>
          <t>Responsive</t>
        </is>
      </c>
      <c r="C17" s="32" t="inlineStr">
        <is>
          <t>CheckboxGroup</t>
        </is>
      </c>
      <c r="D17" s="32" t="inlineStr">
        <is>
          <t>Mobile, zoom/reflow, content stress, and RTL remain usable and contained.</t>
        </is>
      </c>
      <c r="E17" s="32" t="inlineStr">
        <is>
          <t>package</t>
        </is>
      </c>
      <c r="F17" s="32" t="inlineStr">
        <is>
          <t>manual</t>
        </is>
      </c>
      <c r="G17" s="32" t="inlineStr">
        <is>
          <t>manual-tests/checkbox-group.md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CG-10</t>
        </is>
      </c>
      <c r="B18" s="32" t="inlineStr">
        <is>
          <t>Theme</t>
        </is>
      </c>
      <c r="C18" s="32" t="inlineStr">
        <is>
          <t>CheckboxGroup</t>
        </is>
      </c>
      <c r="D18" s="32" t="inlineStr">
        <is>
          <t>Light, dark, focus, forced-colors, and relevant motion behavior remain perceivable.</t>
        </is>
      </c>
      <c r="E18" s="32" t="inlineStr">
        <is>
          <t>package</t>
        </is>
      </c>
      <c r="F18" s="32" t="inlineStr">
        <is>
          <t>manual</t>
        </is>
      </c>
      <c r="G18" s="32" t="inlineStr">
        <is>
          <t>manual-tests/checkbox-group.md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CG-11</t>
        </is>
      </c>
      <c r="B19" s="32" t="inlineStr">
        <is>
          <t>Composition</t>
        </is>
      </c>
      <c r="C19" s="32" t="inlineStr">
        <is>
          <t>CheckboxGroup</t>
        </is>
      </c>
      <c r="D19" s="32" t="inlineStr">
        <is>
          <t>Default, render, and asChild output preserve the intended element, slots, state, and relationships.</t>
        </is>
      </c>
      <c r="E19" s="32" t="inlineStr">
        <is>
          <t>package</t>
        </is>
      </c>
      <c r="F19" s="32" t="inlineStr">
        <is>
          <t>manual</t>
        </is>
      </c>
      <c r="G19" s="32" t="inlineStr">
        <is>
          <t>manual-tests/checkbox-group.md; tests/components/checkbox-group/behavior.spec.ts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CG-12</t>
        </is>
      </c>
      <c r="B20" s="32" t="inlineStr">
        <is>
          <t>Manual</t>
        </is>
      </c>
      <c r="C20" s="32" t="inlineStr">
        <is>
          <t>CheckboxGroup</t>
        </is>
      </c>
      <c r="D20" s="32" t="inlineStr">
        <is>
          <t>The complete component-owned manual protocol passed against every playground scenario.</t>
        </is>
      </c>
      <c r="E20" s="32" t="inlineStr">
        <is>
          <t>package</t>
        </is>
      </c>
      <c r="F20" s="32" t="inlineStr">
        <is>
          <t>manual</t>
        </is>
      </c>
      <c r="G20" s="32" t="inlineStr">
        <is>
          <t>manual-tests/checkbox-group.md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CG-13</t>
        </is>
      </c>
      <c r="B21" s="32" t="inlineStr">
        <is>
          <t>Docs</t>
        </is>
      </c>
      <c r="C21" s="32" t="inlineStr">
        <is>
          <t>CheckboxGroup</t>
        </is>
      </c>
      <c r="D21" s="32" t="inlineStr">
        <is>
          <t>Public usage documentation exists at the component-owned path.</t>
        </is>
      </c>
      <c r="E21" s="32" t="inlineStr">
        <is>
          <t>package</t>
        </is>
      </c>
      <c r="F21" s="32" t="inlineStr">
        <is>
          <t>docs</t>
        </is>
      </c>
      <c r="G21" s="32" t="inlineStr">
        <is>
          <t>../docs/components/checkbox-group/README.md</t>
        </is>
      </c>
      <c r="H21" s="32" t="inlineStr">
        <is>
          <t>tested</t>
        </is>
      </c>
      <c r="I21" s="32" t="inlineStr">
        <is>
          <t>no</t>
        </is>
      </c>
      <c r="J21" s="42" t="n">
        <v>46227</v>
      </c>
      <c r="L21" s="32" t="n">
        <v>1</v>
      </c>
      <c r="M21" s="32" t="n">
        <v>1</v>
      </c>
    </row>
    <row r="22" ht="42" customHeight="1" s="34">
      <c r="A22" s="32" t="inlineStr">
        <is>
          <t>CG-14</t>
        </is>
      </c>
      <c r="B22" s="32" t="inlineStr">
        <is>
          <t>Changelog</t>
        </is>
      </c>
      <c r="C22" s="32" t="inlineStr">
        <is>
          <t>CheckboxGroup</t>
        </is>
      </c>
      <c r="D22" s="32" t="inlineStr">
        <is>
          <t>The component owns a public changelog.</t>
        </is>
      </c>
      <c r="E22" s="32" t="inlineStr">
        <is>
          <t>package</t>
        </is>
      </c>
      <c r="F22" s="32" t="inlineStr">
        <is>
          <t>docs</t>
        </is>
      </c>
      <c r="G22" s="32" t="inlineStr">
        <is>
          <t>../docs/components/checkbox-group/CHANGELOG.md</t>
        </is>
      </c>
      <c r="H22" s="32" t="inlineStr">
        <is>
          <t>tested</t>
        </is>
      </c>
      <c r="I22" s="32" t="inlineStr">
        <is>
          <t>no</t>
        </is>
      </c>
      <c r="J22" s="42" t="n">
        <v>46227</v>
      </c>
      <c r="L22" s="32" t="n">
        <v>1</v>
      </c>
      <c r="M22" s="32" t="n">
        <v>1</v>
      </c>
    </row>
    <row r="23" ht="42" customHeight="1" s="34">
      <c r="A23" s="32" t="inlineStr">
        <is>
          <t>CG-15</t>
        </is>
      </c>
      <c r="B23" s="32" t="inlineStr">
        <is>
          <t>Consumer</t>
        </is>
      </c>
      <c r="C23" s="32" t="inlineStr">
        <is>
          <t>CheckboxGroup</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CG-16</t>
        </is>
      </c>
      <c r="B24" s="32" t="inlineStr">
        <is>
          <t>Package</t>
        </is>
      </c>
      <c r="C24" s="32" t="inlineStr">
        <is>
          <t>CheckboxGroup</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Dialog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D-01</t>
        </is>
      </c>
      <c r="B9" s="32" t="inlineStr">
        <is>
          <t>Implementation</t>
        </is>
      </c>
      <c r="C9" s="32" t="inlineStr">
        <is>
          <t>Dialog</t>
        </is>
      </c>
      <c r="D9" s="32" t="inlineStr">
        <is>
          <t>Public component implementation and Atom adapter exist.</t>
        </is>
      </c>
      <c r="E9" s="32" t="inlineStr">
        <is>
          <t>package</t>
        </is>
      </c>
      <c r="F9" s="32" t="inlineStr">
        <is>
          <t>source</t>
        </is>
      </c>
      <c r="G9" s="32" t="inlineStr">
        <is>
          <t>../src/components/dialog</t>
        </is>
      </c>
      <c r="H9" s="32" t="inlineStr">
        <is>
          <t>tested</t>
        </is>
      </c>
      <c r="I9" s="32" t="inlineStr">
        <is>
          <t>no</t>
        </is>
      </c>
      <c r="J9" s="42" t="n">
        <v>46227</v>
      </c>
      <c r="L9" s="32" t="n">
        <v>1</v>
      </c>
      <c r="M9" s="32" t="n">
        <v>1</v>
      </c>
    </row>
    <row r="10" ht="42" customHeight="1" s="34">
      <c r="A10" s="32" t="inlineStr">
        <is>
          <t>D-02</t>
        </is>
      </c>
      <c r="B10" s="32" t="inlineStr">
        <is>
          <t>Exports</t>
        </is>
      </c>
      <c r="C10" s="32" t="inlineStr">
        <is>
          <t>Dialog</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D-03</t>
        </is>
      </c>
      <c r="B11" s="32" t="inlineStr">
        <is>
          <t>Types</t>
        </is>
      </c>
      <c r="C11" s="32" t="inlineStr">
        <is>
          <t>Dialog</t>
        </is>
      </c>
      <c r="D11" s="32" t="inlineStr">
        <is>
          <t>Public props, refs, composition branches, and invalid cases type-check.</t>
        </is>
      </c>
      <c r="E11" s="32" t="inlineStr">
        <is>
          <t>package</t>
        </is>
      </c>
      <c r="F11" s="32" t="inlineStr">
        <is>
          <t>types</t>
        </is>
      </c>
      <c r="G11" s="32" t="inlineStr">
        <is>
          <t>../test/types/components/dialog.test.ts</t>
        </is>
      </c>
      <c r="H11" s="32" t="inlineStr">
        <is>
          <t>tested</t>
        </is>
      </c>
      <c r="I11" s="32" t="inlineStr">
        <is>
          <t>no</t>
        </is>
      </c>
      <c r="J11" s="42" t="n">
        <v>46227</v>
      </c>
      <c r="L11" s="32" t="n">
        <v>1</v>
      </c>
      <c r="M11" s="32" t="n">
        <v>1</v>
      </c>
    </row>
    <row r="12" ht="42" customHeight="1" s="34">
      <c r="A12" s="32" t="inlineStr">
        <is>
          <t>D-04</t>
        </is>
      </c>
      <c r="B12" s="32" t="inlineStr">
        <is>
          <t>CSS</t>
        </is>
      </c>
      <c r="C12" s="32" t="inlineStr">
        <is>
          <t>Dialog</t>
        </is>
      </c>
      <c r="D12" s="32" t="inlineStr">
        <is>
          <t>Static public CSS, classes, slots, recipes, states, and tokens are present.</t>
        </is>
      </c>
      <c r="E12" s="32" t="inlineStr">
        <is>
          <t>package</t>
        </is>
      </c>
      <c r="F12" s="32" t="inlineStr">
        <is>
          <t>css</t>
        </is>
      </c>
      <c r="G12" s="32" t="inlineStr">
        <is>
          <t>../src/components/dialog/dialog.css</t>
        </is>
      </c>
      <c r="H12" s="32" t="inlineStr">
        <is>
          <t>tested</t>
        </is>
      </c>
      <c r="I12" s="32" t="inlineStr">
        <is>
          <t>no</t>
        </is>
      </c>
      <c r="J12" s="42" t="n">
        <v>46227</v>
      </c>
      <c r="L12" s="32" t="n">
        <v>1</v>
      </c>
      <c r="M12" s="32" t="n">
        <v>1</v>
      </c>
    </row>
    <row r="13" ht="42" customHeight="1" s="34">
      <c r="A13" s="32" t="inlineStr">
        <is>
          <t>D-05</t>
        </is>
      </c>
      <c r="B13" s="32" t="inlineStr">
        <is>
          <t>Unit</t>
        </is>
      </c>
      <c r="C13" s="32" t="inlineStr">
        <is>
          <t>Dialog</t>
        </is>
      </c>
      <c r="D13" s="32" t="inlineStr">
        <is>
          <t>Brick-owned DOM, recipes, adapters, and public hooks pass focused tests.</t>
        </is>
      </c>
      <c r="E13" s="32" t="inlineStr">
        <is>
          <t>package</t>
        </is>
      </c>
      <c r="F13" s="32" t="inlineStr">
        <is>
          <t>component</t>
        </is>
      </c>
      <c r="G13" s="32" t="inlineStr">
        <is>
          <t>../test/components/dialog/dialog.test.tsx</t>
        </is>
      </c>
      <c r="H13" s="32" t="inlineStr">
        <is>
          <t>tested</t>
        </is>
      </c>
      <c r="I13" s="32" t="inlineStr">
        <is>
          <t>no</t>
        </is>
      </c>
      <c r="J13" s="42" t="n">
        <v>46227</v>
      </c>
      <c r="L13" s="32" t="n">
        <v>1</v>
      </c>
      <c r="M13" s="32" t="n">
        <v>1</v>
      </c>
    </row>
    <row r="14" ht="42" customHeight="1" s="34">
      <c r="A14" s="32" t="inlineStr">
        <is>
          <t>D-06</t>
        </is>
      </c>
      <c r="B14" s="32" t="inlineStr">
        <is>
          <t>Browser</t>
        </is>
      </c>
      <c r="C14" s="32" t="inlineStr">
        <is>
          <t>Dialog</t>
        </is>
      </c>
      <c r="D14" s="32" t="inlineStr">
        <is>
          <t>Real-browser behavior and component contract checks pass.</t>
        </is>
      </c>
      <c r="E14" s="32" t="inlineStr">
        <is>
          <t>package</t>
        </is>
      </c>
      <c r="F14" s="32" t="inlineStr">
        <is>
          <t>browser</t>
        </is>
      </c>
      <c r="G14" s="32" t="inlineStr">
        <is>
          <t>tests/components/dialog/behavior.spec.ts</t>
        </is>
      </c>
      <c r="H14" s="32" t="inlineStr">
        <is>
          <t>tested</t>
        </is>
      </c>
      <c r="I14" s="32" t="inlineStr">
        <is>
          <t>no</t>
        </is>
      </c>
      <c r="J14" s="42" t="n">
        <v>46227</v>
      </c>
      <c r="L14" s="32" t="n">
        <v>1</v>
      </c>
      <c r="M14" s="32" t="n">
        <v>1</v>
      </c>
    </row>
    <row r="15" ht="42" customHeight="1" s="34">
      <c r="A15" s="32" t="inlineStr">
        <is>
          <t>D-07</t>
        </is>
      </c>
      <c r="B15" s="32" t="inlineStr">
        <is>
          <t>Accessibility</t>
        </is>
      </c>
      <c r="C15" s="32" t="inlineStr">
        <is>
          <t>Dialog</t>
        </is>
      </c>
      <c r="D15" s="32" t="inlineStr">
        <is>
          <t>Automated semantics and accessibility checks pass in the browser evidence suite.</t>
        </is>
      </c>
      <c r="E15" s="32" t="inlineStr">
        <is>
          <t>package</t>
        </is>
      </c>
      <c r="F15" s="32" t="inlineStr">
        <is>
          <t>axe</t>
        </is>
      </c>
      <c r="G15" s="32" t="inlineStr">
        <is>
          <t>tests/components/dialog/behavior.spec.ts; tests/integration</t>
        </is>
      </c>
      <c r="H15" s="32" t="inlineStr">
        <is>
          <t>tested</t>
        </is>
      </c>
      <c r="I15" s="32" t="inlineStr">
        <is>
          <t>no</t>
        </is>
      </c>
      <c r="J15" s="42" t="n">
        <v>46227</v>
      </c>
      <c r="L15" s="32" t="n">
        <v>1</v>
      </c>
      <c r="M15" s="32" t="n">
        <v>1</v>
      </c>
    </row>
    <row r="16" ht="42" customHeight="1" s="34">
      <c r="A16" s="32" t="inlineStr">
        <is>
          <t>D-08</t>
        </is>
      </c>
      <c r="B16" s="32" t="inlineStr">
        <is>
          <t>Visual</t>
        </is>
      </c>
      <c r="C16" s="32" t="inlineStr">
        <is>
          <t>Dialog</t>
        </is>
      </c>
      <c r="D16" s="32" t="inlineStr">
        <is>
          <t>Reviewed baselines cover the component's risk-selected recipes and states.</t>
        </is>
      </c>
      <c r="E16" s="32" t="inlineStr">
        <is>
          <t>package</t>
        </is>
      </c>
      <c r="F16" s="32" t="inlineStr">
        <is>
          <t>visual</t>
        </is>
      </c>
      <c r="G16" s="32" t="inlineStr">
        <is>
          <t>tests/components/dialog/visual.spec.ts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D-09</t>
        </is>
      </c>
      <c r="B17" s="32" t="inlineStr">
        <is>
          <t>Responsive</t>
        </is>
      </c>
      <c r="C17" s="32" t="inlineStr">
        <is>
          <t>Dialog</t>
        </is>
      </c>
      <c r="D17" s="32" t="inlineStr">
        <is>
          <t>Mobile, zoom/reflow, content stress, and RTL remain usable and contained.</t>
        </is>
      </c>
      <c r="E17" s="32" t="inlineStr">
        <is>
          <t>package</t>
        </is>
      </c>
      <c r="F17" s="32" t="inlineStr">
        <is>
          <t>manual</t>
        </is>
      </c>
      <c r="G17" s="32" t="inlineStr">
        <is>
          <t>manual-tests/dialog.md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D-10</t>
        </is>
      </c>
      <c r="B18" s="32" t="inlineStr">
        <is>
          <t>Theme</t>
        </is>
      </c>
      <c r="C18" s="32" t="inlineStr">
        <is>
          <t>Dialog</t>
        </is>
      </c>
      <c r="D18" s="32" t="inlineStr">
        <is>
          <t>Light, dark, focus, forced-colors, and relevant motion behavior remain perceivable.</t>
        </is>
      </c>
      <c r="E18" s="32" t="inlineStr">
        <is>
          <t>package</t>
        </is>
      </c>
      <c r="F18" s="32" t="inlineStr">
        <is>
          <t>manual</t>
        </is>
      </c>
      <c r="G18" s="32" t="inlineStr">
        <is>
          <t>manual-tests/dialog.md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D-11</t>
        </is>
      </c>
      <c r="B19" s="32" t="inlineStr">
        <is>
          <t>Composition</t>
        </is>
      </c>
      <c r="C19" s="32" t="inlineStr">
        <is>
          <t>Dialog</t>
        </is>
      </c>
      <c r="D19" s="32" t="inlineStr">
        <is>
          <t>Default, render, and asChild output preserve the intended element, slots, state, and relationships.</t>
        </is>
      </c>
      <c r="E19" s="32" t="inlineStr">
        <is>
          <t>package</t>
        </is>
      </c>
      <c r="F19" s="32" t="inlineStr">
        <is>
          <t>manual</t>
        </is>
      </c>
      <c r="G19" s="32" t="inlineStr">
        <is>
          <t>manual-tests/dialog.md; tests/components/dialog/behavior.spec.ts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D-12</t>
        </is>
      </c>
      <c r="B20" s="32" t="inlineStr">
        <is>
          <t>Manual</t>
        </is>
      </c>
      <c r="C20" s="32" t="inlineStr">
        <is>
          <t>Dialog</t>
        </is>
      </c>
      <c r="D20" s="32" t="inlineStr">
        <is>
          <t>The complete component-owned manual protocol passed against every playground scenario.</t>
        </is>
      </c>
      <c r="E20" s="32" t="inlineStr">
        <is>
          <t>package</t>
        </is>
      </c>
      <c r="F20" s="32" t="inlineStr">
        <is>
          <t>manual</t>
        </is>
      </c>
      <c r="G20" s="32" t="inlineStr">
        <is>
          <t>manual-tests/dialog.md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D-13</t>
        </is>
      </c>
      <c r="B21" s="32" t="inlineStr">
        <is>
          <t>Docs</t>
        </is>
      </c>
      <c r="C21" s="32" t="inlineStr">
        <is>
          <t>Dialog</t>
        </is>
      </c>
      <c r="D21" s="32" t="inlineStr">
        <is>
          <t>Public usage documentation exists at the component-owned path.</t>
        </is>
      </c>
      <c r="E21" s="32" t="inlineStr">
        <is>
          <t>package</t>
        </is>
      </c>
      <c r="F21" s="32" t="inlineStr">
        <is>
          <t>docs</t>
        </is>
      </c>
      <c r="G21" s="32" t="inlineStr">
        <is>
          <t>../docs/components/dialog/README.md</t>
        </is>
      </c>
      <c r="H21" s="32" t="inlineStr">
        <is>
          <t>tested</t>
        </is>
      </c>
      <c r="I21" s="32" t="inlineStr">
        <is>
          <t>no</t>
        </is>
      </c>
      <c r="J21" s="42" t="n">
        <v>46227</v>
      </c>
      <c r="L21" s="32" t="n">
        <v>1</v>
      </c>
      <c r="M21" s="32" t="n">
        <v>1</v>
      </c>
    </row>
    <row r="22" ht="42" customHeight="1" s="34">
      <c r="A22" s="32" t="inlineStr">
        <is>
          <t>D-14</t>
        </is>
      </c>
      <c r="B22" s="32" t="inlineStr">
        <is>
          <t>Changelog</t>
        </is>
      </c>
      <c r="C22" s="32" t="inlineStr">
        <is>
          <t>Dialog</t>
        </is>
      </c>
      <c r="D22" s="32" t="inlineStr">
        <is>
          <t>The component owns a public changelog.</t>
        </is>
      </c>
      <c r="E22" s="32" t="inlineStr">
        <is>
          <t>package</t>
        </is>
      </c>
      <c r="F22" s="32" t="inlineStr">
        <is>
          <t>docs</t>
        </is>
      </c>
      <c r="G22" s="32" t="inlineStr">
        <is>
          <t>../docs/components/dialog/CHANGELOG.md</t>
        </is>
      </c>
      <c r="H22" s="32" t="inlineStr">
        <is>
          <t>tested</t>
        </is>
      </c>
      <c r="I22" s="32" t="inlineStr">
        <is>
          <t>no</t>
        </is>
      </c>
      <c r="J22" s="42" t="n">
        <v>46227</v>
      </c>
      <c r="L22" s="32" t="n">
        <v>1</v>
      </c>
      <c r="M22" s="32" t="n">
        <v>1</v>
      </c>
    </row>
    <row r="23" ht="42" customHeight="1" s="34">
      <c r="A23" s="32" t="inlineStr">
        <is>
          <t>D-15</t>
        </is>
      </c>
      <c r="B23" s="32" t="inlineStr">
        <is>
          <t>Consumer</t>
        </is>
      </c>
      <c r="C23" s="32" t="inlineStr">
        <is>
          <t>Dialog</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D-16</t>
        </is>
      </c>
      <c r="B24" s="32" t="inlineStr">
        <is>
          <t>Package</t>
        </is>
      </c>
      <c r="C24" s="32" t="inlineStr">
        <is>
          <t>Dialog</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Drawer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D-01</t>
        </is>
      </c>
      <c r="B9" s="32" t="inlineStr">
        <is>
          <t>Implementation</t>
        </is>
      </c>
      <c r="C9" s="32" t="inlineStr">
        <is>
          <t>Drawer</t>
        </is>
      </c>
      <c r="D9" s="32" t="inlineStr">
        <is>
          <t>Public component implementation and Atom adapter exist.</t>
        </is>
      </c>
      <c r="E9" s="32" t="inlineStr">
        <is>
          <t>package</t>
        </is>
      </c>
      <c r="F9" s="32" t="inlineStr">
        <is>
          <t>source</t>
        </is>
      </c>
      <c r="G9" s="32" t="inlineStr">
        <is>
          <t>../src/components/drawer</t>
        </is>
      </c>
      <c r="H9" s="32" t="inlineStr">
        <is>
          <t>tested</t>
        </is>
      </c>
      <c r="I9" s="32" t="inlineStr">
        <is>
          <t>no</t>
        </is>
      </c>
      <c r="J9" s="42" t="n">
        <v>46227</v>
      </c>
      <c r="L9" s="32" t="n">
        <v>1</v>
      </c>
      <c r="M9" s="32" t="n">
        <v>1</v>
      </c>
    </row>
    <row r="10" ht="42" customHeight="1" s="34">
      <c r="A10" s="32" t="inlineStr">
        <is>
          <t>D-02</t>
        </is>
      </c>
      <c r="B10" s="32" t="inlineStr">
        <is>
          <t>Exports</t>
        </is>
      </c>
      <c r="C10" s="32" t="inlineStr">
        <is>
          <t>Drawer</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D-03</t>
        </is>
      </c>
      <c r="B11" s="32" t="inlineStr">
        <is>
          <t>Types</t>
        </is>
      </c>
      <c r="C11" s="32" t="inlineStr">
        <is>
          <t>Drawer</t>
        </is>
      </c>
      <c r="D11" s="32" t="inlineStr">
        <is>
          <t>Public props, refs, composition branches, and invalid cases type-check.</t>
        </is>
      </c>
      <c r="E11" s="32" t="inlineStr">
        <is>
          <t>package</t>
        </is>
      </c>
      <c r="F11" s="32" t="inlineStr">
        <is>
          <t>types</t>
        </is>
      </c>
      <c r="G11" s="32" t="inlineStr">
        <is>
          <t>../test/types/components/drawer.test.ts</t>
        </is>
      </c>
      <c r="H11" s="32" t="inlineStr">
        <is>
          <t>tested</t>
        </is>
      </c>
      <c r="I11" s="32" t="inlineStr">
        <is>
          <t>no</t>
        </is>
      </c>
      <c r="J11" s="42" t="n">
        <v>46227</v>
      </c>
      <c r="L11" s="32" t="n">
        <v>1</v>
      </c>
      <c r="M11" s="32" t="n">
        <v>1</v>
      </c>
    </row>
    <row r="12" ht="42" customHeight="1" s="34">
      <c r="A12" s="32" t="inlineStr">
        <is>
          <t>D-04</t>
        </is>
      </c>
      <c r="B12" s="32" t="inlineStr">
        <is>
          <t>CSS</t>
        </is>
      </c>
      <c r="C12" s="32" t="inlineStr">
        <is>
          <t>Drawer</t>
        </is>
      </c>
      <c r="D12" s="32" t="inlineStr">
        <is>
          <t>Static public CSS, classes, slots, recipes, states, and tokens are present.</t>
        </is>
      </c>
      <c r="E12" s="32" t="inlineStr">
        <is>
          <t>package</t>
        </is>
      </c>
      <c r="F12" s="32" t="inlineStr">
        <is>
          <t>css</t>
        </is>
      </c>
      <c r="G12" s="32" t="inlineStr">
        <is>
          <t>../src/components/drawer/drawer.css</t>
        </is>
      </c>
      <c r="H12" s="32" t="inlineStr">
        <is>
          <t>tested</t>
        </is>
      </c>
      <c r="I12" s="32" t="inlineStr">
        <is>
          <t>no</t>
        </is>
      </c>
      <c r="J12" s="42" t="n">
        <v>46227</v>
      </c>
      <c r="L12" s="32" t="n">
        <v>1</v>
      </c>
      <c r="M12" s="32" t="n">
        <v>1</v>
      </c>
    </row>
    <row r="13" ht="42" customHeight="1" s="34">
      <c r="A13" s="32" t="inlineStr">
        <is>
          <t>D-05</t>
        </is>
      </c>
      <c r="B13" s="32" t="inlineStr">
        <is>
          <t>Unit</t>
        </is>
      </c>
      <c r="C13" s="32" t="inlineStr">
        <is>
          <t>Drawer</t>
        </is>
      </c>
      <c r="D13" s="32" t="inlineStr">
        <is>
          <t>Brick-owned DOM, recipes, adapters, and public hooks pass focused tests.</t>
        </is>
      </c>
      <c r="E13" s="32" t="inlineStr">
        <is>
          <t>package</t>
        </is>
      </c>
      <c r="F13" s="32" t="inlineStr">
        <is>
          <t>component</t>
        </is>
      </c>
      <c r="G13" s="32" t="inlineStr">
        <is>
          <t>../test/components/drawer/drawer.test.tsx</t>
        </is>
      </c>
      <c r="H13" s="32" t="inlineStr">
        <is>
          <t>tested</t>
        </is>
      </c>
      <c r="I13" s="32" t="inlineStr">
        <is>
          <t>no</t>
        </is>
      </c>
      <c r="J13" s="42" t="n">
        <v>46227</v>
      </c>
      <c r="L13" s="32" t="n">
        <v>1</v>
      </c>
      <c r="M13" s="32" t="n">
        <v>1</v>
      </c>
    </row>
    <row r="14" ht="42" customHeight="1" s="34">
      <c r="A14" s="32" t="inlineStr">
        <is>
          <t>D-06</t>
        </is>
      </c>
      <c r="B14" s="32" t="inlineStr">
        <is>
          <t>Browser</t>
        </is>
      </c>
      <c r="C14" s="32" t="inlineStr">
        <is>
          <t>Drawer</t>
        </is>
      </c>
      <c r="D14" s="32" t="inlineStr">
        <is>
          <t>Real-browser behavior and component contract checks pass.</t>
        </is>
      </c>
      <c r="E14" s="32" t="inlineStr">
        <is>
          <t>package</t>
        </is>
      </c>
      <c r="F14" s="32" t="inlineStr">
        <is>
          <t>browser</t>
        </is>
      </c>
      <c r="G14" s="32" t="inlineStr">
        <is>
          <t>tests/components/drawer/behavior.spec.ts</t>
        </is>
      </c>
      <c r="H14" s="32" t="inlineStr">
        <is>
          <t>tested</t>
        </is>
      </c>
      <c r="I14" s="32" t="inlineStr">
        <is>
          <t>no</t>
        </is>
      </c>
      <c r="J14" s="42" t="n">
        <v>46227</v>
      </c>
      <c r="L14" s="32" t="n">
        <v>1</v>
      </c>
      <c r="M14" s="32" t="n">
        <v>1</v>
      </c>
    </row>
    <row r="15" ht="42" customHeight="1" s="34">
      <c r="A15" s="32" t="inlineStr">
        <is>
          <t>D-07</t>
        </is>
      </c>
      <c r="B15" s="32" t="inlineStr">
        <is>
          <t>Accessibility</t>
        </is>
      </c>
      <c r="C15" s="32" t="inlineStr">
        <is>
          <t>Drawer</t>
        </is>
      </c>
      <c r="D15" s="32" t="inlineStr">
        <is>
          <t>Automated semantics and accessibility checks pass in the browser evidence suite.</t>
        </is>
      </c>
      <c r="E15" s="32" t="inlineStr">
        <is>
          <t>package</t>
        </is>
      </c>
      <c r="F15" s="32" t="inlineStr">
        <is>
          <t>axe</t>
        </is>
      </c>
      <c r="G15" s="32" t="inlineStr">
        <is>
          <t>tests/components/drawer/behavior.spec.ts; tests/integration</t>
        </is>
      </c>
      <c r="H15" s="32" t="inlineStr">
        <is>
          <t>tested</t>
        </is>
      </c>
      <c r="I15" s="32" t="inlineStr">
        <is>
          <t>no</t>
        </is>
      </c>
      <c r="J15" s="42" t="n">
        <v>46227</v>
      </c>
      <c r="L15" s="32" t="n">
        <v>1</v>
      </c>
      <c r="M15" s="32" t="n">
        <v>1</v>
      </c>
    </row>
    <row r="16" ht="42" customHeight="1" s="34">
      <c r="A16" s="32" t="inlineStr">
        <is>
          <t>D-08</t>
        </is>
      </c>
      <c r="B16" s="32" t="inlineStr">
        <is>
          <t>Visual</t>
        </is>
      </c>
      <c r="C16" s="32" t="inlineStr">
        <is>
          <t>Drawer</t>
        </is>
      </c>
      <c r="D16" s="32" t="inlineStr">
        <is>
          <t>Reviewed baselines cover the component's risk-selected recipes and states.</t>
        </is>
      </c>
      <c r="E16" s="32" t="inlineStr">
        <is>
          <t>package</t>
        </is>
      </c>
      <c r="F16" s="32" t="inlineStr">
        <is>
          <t>visual</t>
        </is>
      </c>
      <c r="G16" s="32" t="inlineStr">
        <is>
          <t>tests/components/drawer/visual.spec.ts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D-09</t>
        </is>
      </c>
      <c r="B17" s="32" t="inlineStr">
        <is>
          <t>Responsive</t>
        </is>
      </c>
      <c r="C17" s="32" t="inlineStr">
        <is>
          <t>Drawer</t>
        </is>
      </c>
      <c r="D17" s="32" t="inlineStr">
        <is>
          <t>Mobile, zoom/reflow, content stress, and RTL remain usable and contained.</t>
        </is>
      </c>
      <c r="E17" s="32" t="inlineStr">
        <is>
          <t>package</t>
        </is>
      </c>
      <c r="F17" s="32" t="inlineStr">
        <is>
          <t>manual</t>
        </is>
      </c>
      <c r="G17" s="32" t="inlineStr">
        <is>
          <t>manual-tests/drawer.md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D-10</t>
        </is>
      </c>
      <c r="B18" s="32" t="inlineStr">
        <is>
          <t>Theme</t>
        </is>
      </c>
      <c r="C18" s="32" t="inlineStr">
        <is>
          <t>Drawer</t>
        </is>
      </c>
      <c r="D18" s="32" t="inlineStr">
        <is>
          <t>Light, dark, focus, forced-colors, and relevant motion behavior remain perceivable.</t>
        </is>
      </c>
      <c r="E18" s="32" t="inlineStr">
        <is>
          <t>package</t>
        </is>
      </c>
      <c r="F18" s="32" t="inlineStr">
        <is>
          <t>manual</t>
        </is>
      </c>
      <c r="G18" s="32" t="inlineStr">
        <is>
          <t>manual-tests/drawer.md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D-11</t>
        </is>
      </c>
      <c r="B19" s="32" t="inlineStr">
        <is>
          <t>Composition</t>
        </is>
      </c>
      <c r="C19" s="32" t="inlineStr">
        <is>
          <t>Drawer</t>
        </is>
      </c>
      <c r="D19" s="32" t="inlineStr">
        <is>
          <t>Default, render, and asChild output preserve the intended element, slots, state, and relationships.</t>
        </is>
      </c>
      <c r="E19" s="32" t="inlineStr">
        <is>
          <t>package</t>
        </is>
      </c>
      <c r="F19" s="32" t="inlineStr">
        <is>
          <t>manual</t>
        </is>
      </c>
      <c r="G19" s="32" t="inlineStr">
        <is>
          <t>manual-tests/drawer.md; tests/components/drawer/behavior.spec.ts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D-12</t>
        </is>
      </c>
      <c r="B20" s="32" t="inlineStr">
        <is>
          <t>Manual</t>
        </is>
      </c>
      <c r="C20" s="32" t="inlineStr">
        <is>
          <t>Drawer</t>
        </is>
      </c>
      <c r="D20" s="32" t="inlineStr">
        <is>
          <t>The complete component-owned manual protocol passed against every playground scenario.</t>
        </is>
      </c>
      <c r="E20" s="32" t="inlineStr">
        <is>
          <t>package</t>
        </is>
      </c>
      <c r="F20" s="32" t="inlineStr">
        <is>
          <t>manual</t>
        </is>
      </c>
      <c r="G20" s="32" t="inlineStr">
        <is>
          <t>manual-tests/drawer.md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D-13</t>
        </is>
      </c>
      <c r="B21" s="32" t="inlineStr">
        <is>
          <t>Docs</t>
        </is>
      </c>
      <c r="C21" s="32" t="inlineStr">
        <is>
          <t>Drawer</t>
        </is>
      </c>
      <c r="D21" s="32" t="inlineStr">
        <is>
          <t>Public usage documentation exists at the component-owned path.</t>
        </is>
      </c>
      <c r="E21" s="32" t="inlineStr">
        <is>
          <t>package</t>
        </is>
      </c>
      <c r="F21" s="32" t="inlineStr">
        <is>
          <t>docs</t>
        </is>
      </c>
      <c r="G21" s="32" t="inlineStr">
        <is>
          <t>../docs/components/drawer/README.md</t>
        </is>
      </c>
      <c r="H21" s="32" t="inlineStr">
        <is>
          <t>tested</t>
        </is>
      </c>
      <c r="I21" s="32" t="inlineStr">
        <is>
          <t>no</t>
        </is>
      </c>
      <c r="J21" s="42" t="n">
        <v>46227</v>
      </c>
      <c r="L21" s="32" t="n">
        <v>1</v>
      </c>
      <c r="M21" s="32" t="n">
        <v>1</v>
      </c>
    </row>
    <row r="22" ht="42" customHeight="1" s="34">
      <c r="A22" s="32" t="inlineStr">
        <is>
          <t>D-14</t>
        </is>
      </c>
      <c r="B22" s="32" t="inlineStr">
        <is>
          <t>Changelog</t>
        </is>
      </c>
      <c r="C22" s="32" t="inlineStr">
        <is>
          <t>Drawer</t>
        </is>
      </c>
      <c r="D22" s="32" t="inlineStr">
        <is>
          <t>The component owns a public changelog.</t>
        </is>
      </c>
      <c r="E22" s="32" t="inlineStr">
        <is>
          <t>package</t>
        </is>
      </c>
      <c r="F22" s="32" t="inlineStr">
        <is>
          <t>docs</t>
        </is>
      </c>
      <c r="G22" s="32" t="inlineStr">
        <is>
          <t>../docs/components/drawer/CHANGELOG.md</t>
        </is>
      </c>
      <c r="H22" s="32" t="inlineStr">
        <is>
          <t>tested</t>
        </is>
      </c>
      <c r="I22" s="32" t="inlineStr">
        <is>
          <t>no</t>
        </is>
      </c>
      <c r="J22" s="42" t="n">
        <v>46227</v>
      </c>
      <c r="L22" s="32" t="n">
        <v>1</v>
      </c>
      <c r="M22" s="32" t="n">
        <v>1</v>
      </c>
    </row>
    <row r="23" ht="42" customHeight="1" s="34">
      <c r="A23" s="32" t="inlineStr">
        <is>
          <t>D-15</t>
        </is>
      </c>
      <c r="B23" s="32" t="inlineStr">
        <is>
          <t>Consumer</t>
        </is>
      </c>
      <c r="C23" s="32" t="inlineStr">
        <is>
          <t>Drawer</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D-16</t>
        </is>
      </c>
      <c r="B24" s="32" t="inlineStr">
        <is>
          <t>Package</t>
        </is>
      </c>
      <c r="C24" s="32" t="inlineStr">
        <is>
          <t>Drawer</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Field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F-01</t>
        </is>
      </c>
      <c r="B9" s="32" t="inlineStr">
        <is>
          <t>Implementation</t>
        </is>
      </c>
      <c r="C9" s="32" t="inlineStr">
        <is>
          <t>Field</t>
        </is>
      </c>
      <c r="D9" s="32" t="inlineStr">
        <is>
          <t>Public component implementation and Atom adapter exist.</t>
        </is>
      </c>
      <c r="E9" s="32" t="inlineStr">
        <is>
          <t>package</t>
        </is>
      </c>
      <c r="F9" s="32" t="inlineStr">
        <is>
          <t>source</t>
        </is>
      </c>
      <c r="G9" s="32" t="inlineStr">
        <is>
          <t>../src/components/field</t>
        </is>
      </c>
      <c r="H9" s="32" t="inlineStr">
        <is>
          <t>tested</t>
        </is>
      </c>
      <c r="I9" s="32" t="inlineStr">
        <is>
          <t>no</t>
        </is>
      </c>
      <c r="J9" s="42" t="n">
        <v>46227</v>
      </c>
      <c r="L9" s="32" t="n">
        <v>1</v>
      </c>
      <c r="M9" s="32" t="n">
        <v>1</v>
      </c>
    </row>
    <row r="10" ht="42" customHeight="1" s="34">
      <c r="A10" s="32" t="inlineStr">
        <is>
          <t>F-02</t>
        </is>
      </c>
      <c r="B10" s="32" t="inlineStr">
        <is>
          <t>Exports</t>
        </is>
      </c>
      <c r="C10" s="32" t="inlineStr">
        <is>
          <t>Field</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F-03</t>
        </is>
      </c>
      <c r="B11" s="32" t="inlineStr">
        <is>
          <t>Types</t>
        </is>
      </c>
      <c r="C11" s="32" t="inlineStr">
        <is>
          <t>Field</t>
        </is>
      </c>
      <c r="D11" s="32" t="inlineStr">
        <is>
          <t>Public props, refs, composition branches, and invalid cases type-check.</t>
        </is>
      </c>
      <c r="E11" s="32" t="inlineStr">
        <is>
          <t>package</t>
        </is>
      </c>
      <c r="F11" s="32" t="inlineStr">
        <is>
          <t>types</t>
        </is>
      </c>
      <c r="G11" s="32" t="inlineStr">
        <is>
          <t>../test/types/components/field.test.ts</t>
        </is>
      </c>
      <c r="H11" s="32" t="inlineStr">
        <is>
          <t>tested</t>
        </is>
      </c>
      <c r="I11" s="32" t="inlineStr">
        <is>
          <t>no</t>
        </is>
      </c>
      <c r="J11" s="42" t="n">
        <v>46227</v>
      </c>
      <c r="L11" s="32" t="n">
        <v>1</v>
      </c>
      <c r="M11" s="32" t="n">
        <v>1</v>
      </c>
    </row>
    <row r="12" ht="42" customHeight="1" s="34">
      <c r="A12" s="32" t="inlineStr">
        <is>
          <t>F-04</t>
        </is>
      </c>
      <c r="B12" s="32" t="inlineStr">
        <is>
          <t>CSS</t>
        </is>
      </c>
      <c r="C12" s="32" t="inlineStr">
        <is>
          <t>Field</t>
        </is>
      </c>
      <c r="D12" s="32" t="inlineStr">
        <is>
          <t>Static public CSS, classes, slots, recipes, states, and tokens are present.</t>
        </is>
      </c>
      <c r="E12" s="32" t="inlineStr">
        <is>
          <t>package</t>
        </is>
      </c>
      <c r="F12" s="32" t="inlineStr">
        <is>
          <t>css</t>
        </is>
      </c>
      <c r="G12" s="32" t="inlineStr">
        <is>
          <t>../src/components/field/field.css</t>
        </is>
      </c>
      <c r="H12" s="32" t="inlineStr">
        <is>
          <t>tested</t>
        </is>
      </c>
      <c r="I12" s="32" t="inlineStr">
        <is>
          <t>no</t>
        </is>
      </c>
      <c r="J12" s="42" t="n">
        <v>46227</v>
      </c>
      <c r="L12" s="32" t="n">
        <v>1</v>
      </c>
      <c r="M12" s="32" t="n">
        <v>1</v>
      </c>
    </row>
    <row r="13" ht="42" customHeight="1" s="34">
      <c r="A13" s="32" t="inlineStr">
        <is>
          <t>F-05</t>
        </is>
      </c>
      <c r="B13" s="32" t="inlineStr">
        <is>
          <t>Unit</t>
        </is>
      </c>
      <c r="C13" s="32" t="inlineStr">
        <is>
          <t>Field</t>
        </is>
      </c>
      <c r="D13" s="32" t="inlineStr">
        <is>
          <t>Brick-owned DOM, recipes, adapters, and public hooks pass focused tests.</t>
        </is>
      </c>
      <c r="E13" s="32" t="inlineStr">
        <is>
          <t>package</t>
        </is>
      </c>
      <c r="F13" s="32" t="inlineStr">
        <is>
          <t>component</t>
        </is>
      </c>
      <c r="G13" s="32" t="inlineStr">
        <is>
          <t>../test/components/field/field.test.tsx</t>
        </is>
      </c>
      <c r="H13" s="32" t="inlineStr">
        <is>
          <t>tested</t>
        </is>
      </c>
      <c r="I13" s="32" t="inlineStr">
        <is>
          <t>no</t>
        </is>
      </c>
      <c r="J13" s="42" t="n">
        <v>46227</v>
      </c>
      <c r="L13" s="32" t="n">
        <v>1</v>
      </c>
      <c r="M13" s="32" t="n">
        <v>1</v>
      </c>
    </row>
    <row r="14" ht="42" customHeight="1" s="34">
      <c r="A14" s="32" t="inlineStr">
        <is>
          <t>F-06</t>
        </is>
      </c>
      <c r="B14" s="32" t="inlineStr">
        <is>
          <t>Browser</t>
        </is>
      </c>
      <c r="C14" s="32" t="inlineStr">
        <is>
          <t>Field</t>
        </is>
      </c>
      <c r="D14" s="32" t="inlineStr">
        <is>
          <t>Real-browser behavior and component contract checks pass.</t>
        </is>
      </c>
      <c r="E14" s="32" t="inlineStr">
        <is>
          <t>package</t>
        </is>
      </c>
      <c r="F14" s="32" t="inlineStr">
        <is>
          <t>browser</t>
        </is>
      </c>
      <c r="G14" s="32" t="inlineStr">
        <is>
          <t>tests/components/field/behavior.spec.ts</t>
        </is>
      </c>
      <c r="H14" s="32" t="inlineStr">
        <is>
          <t>tested</t>
        </is>
      </c>
      <c r="I14" s="32" t="inlineStr">
        <is>
          <t>no</t>
        </is>
      </c>
      <c r="J14" s="42" t="n">
        <v>46227</v>
      </c>
      <c r="L14" s="32" t="n">
        <v>1</v>
      </c>
      <c r="M14" s="32" t="n">
        <v>1</v>
      </c>
    </row>
    <row r="15" ht="42" customHeight="1" s="34">
      <c r="A15" s="32" t="inlineStr">
        <is>
          <t>F-07</t>
        </is>
      </c>
      <c r="B15" s="32" t="inlineStr">
        <is>
          <t>Accessibility</t>
        </is>
      </c>
      <c r="C15" s="32" t="inlineStr">
        <is>
          <t>Field</t>
        </is>
      </c>
      <c r="D15" s="32" t="inlineStr">
        <is>
          <t>Automated semantics and accessibility checks pass in the browser evidence suite.</t>
        </is>
      </c>
      <c r="E15" s="32" t="inlineStr">
        <is>
          <t>package</t>
        </is>
      </c>
      <c r="F15" s="32" t="inlineStr">
        <is>
          <t>axe</t>
        </is>
      </c>
      <c r="G15" s="32" t="inlineStr">
        <is>
          <t>tests/components/field/behavior.spec.ts; tests/integration</t>
        </is>
      </c>
      <c r="H15" s="32" t="inlineStr">
        <is>
          <t>tested</t>
        </is>
      </c>
      <c r="I15" s="32" t="inlineStr">
        <is>
          <t>no</t>
        </is>
      </c>
      <c r="J15" s="42" t="n">
        <v>46227</v>
      </c>
      <c r="L15" s="32" t="n">
        <v>1</v>
      </c>
      <c r="M15" s="32" t="n">
        <v>1</v>
      </c>
    </row>
    <row r="16" ht="42" customHeight="1" s="34">
      <c r="A16" s="32" t="inlineStr">
        <is>
          <t>F-08</t>
        </is>
      </c>
      <c r="B16" s="32" t="inlineStr">
        <is>
          <t>Visual</t>
        </is>
      </c>
      <c r="C16" s="32" t="inlineStr">
        <is>
          <t>Field</t>
        </is>
      </c>
      <c r="D16" s="32" t="inlineStr">
        <is>
          <t>Reviewed baselines cover the component's risk-selected recipes and states.</t>
        </is>
      </c>
      <c r="E16" s="32" t="inlineStr">
        <is>
          <t>package</t>
        </is>
      </c>
      <c r="F16" s="32" t="inlineStr">
        <is>
          <t>visual</t>
        </is>
      </c>
      <c r="G16" s="32" t="inlineStr">
        <is>
          <t>tests/components/field/visual.spec.ts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F-09</t>
        </is>
      </c>
      <c r="B17" s="32" t="inlineStr">
        <is>
          <t>Responsive</t>
        </is>
      </c>
      <c r="C17" s="32" t="inlineStr">
        <is>
          <t>Field</t>
        </is>
      </c>
      <c r="D17" s="32" t="inlineStr">
        <is>
          <t>Mobile, zoom/reflow, content stress, and RTL remain usable and contained.</t>
        </is>
      </c>
      <c r="E17" s="32" t="inlineStr">
        <is>
          <t>package</t>
        </is>
      </c>
      <c r="F17" s="32" t="inlineStr">
        <is>
          <t>manual</t>
        </is>
      </c>
      <c r="G17" s="32" t="inlineStr">
        <is>
          <t>manual-tests/field.md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F-10</t>
        </is>
      </c>
      <c r="B18" s="32" t="inlineStr">
        <is>
          <t>Theme</t>
        </is>
      </c>
      <c r="C18" s="32" t="inlineStr">
        <is>
          <t>Field</t>
        </is>
      </c>
      <c r="D18" s="32" t="inlineStr">
        <is>
          <t>Light, dark, focus, forced-colors, and relevant motion behavior remain perceivable.</t>
        </is>
      </c>
      <c r="E18" s="32" t="inlineStr">
        <is>
          <t>package</t>
        </is>
      </c>
      <c r="F18" s="32" t="inlineStr">
        <is>
          <t>manual</t>
        </is>
      </c>
      <c r="G18" s="32" t="inlineStr">
        <is>
          <t>manual-tests/field.md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F-11</t>
        </is>
      </c>
      <c r="B19" s="32" t="inlineStr">
        <is>
          <t>Composition</t>
        </is>
      </c>
      <c r="C19" s="32" t="inlineStr">
        <is>
          <t>Field</t>
        </is>
      </c>
      <c r="D19" s="32" t="inlineStr">
        <is>
          <t>Default, render, and asChild output preserve the intended element, slots, state, and relationships.</t>
        </is>
      </c>
      <c r="E19" s="32" t="inlineStr">
        <is>
          <t>package</t>
        </is>
      </c>
      <c r="F19" s="32" t="inlineStr">
        <is>
          <t>manual</t>
        </is>
      </c>
      <c r="G19" s="32" t="inlineStr">
        <is>
          <t>manual-tests/field.md; tests/components/field/behavior.spec.ts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F-12</t>
        </is>
      </c>
      <c r="B20" s="32" t="inlineStr">
        <is>
          <t>Manual</t>
        </is>
      </c>
      <c r="C20" s="32" t="inlineStr">
        <is>
          <t>Field</t>
        </is>
      </c>
      <c r="D20" s="32" t="inlineStr">
        <is>
          <t>The complete component-owned manual protocol passed against every playground scenario.</t>
        </is>
      </c>
      <c r="E20" s="32" t="inlineStr">
        <is>
          <t>package</t>
        </is>
      </c>
      <c r="F20" s="32" t="inlineStr">
        <is>
          <t>manual</t>
        </is>
      </c>
      <c r="G20" s="32" t="inlineStr">
        <is>
          <t>manual-tests/field.md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F-13</t>
        </is>
      </c>
      <c r="B21" s="32" t="inlineStr">
        <is>
          <t>Docs</t>
        </is>
      </c>
      <c r="C21" s="32" t="inlineStr">
        <is>
          <t>Field</t>
        </is>
      </c>
      <c r="D21" s="32" t="inlineStr">
        <is>
          <t>Public usage documentation exists at the component-owned path.</t>
        </is>
      </c>
      <c r="E21" s="32" t="inlineStr">
        <is>
          <t>package</t>
        </is>
      </c>
      <c r="F21" s="32" t="inlineStr">
        <is>
          <t>docs</t>
        </is>
      </c>
      <c r="G21" s="32" t="inlineStr">
        <is>
          <t>../docs/components/field/README.md</t>
        </is>
      </c>
      <c r="H21" s="32" t="inlineStr">
        <is>
          <t>tested</t>
        </is>
      </c>
      <c r="I21" s="32" t="inlineStr">
        <is>
          <t>no</t>
        </is>
      </c>
      <c r="J21" s="42" t="n">
        <v>46227</v>
      </c>
      <c r="L21" s="32" t="n">
        <v>1</v>
      </c>
      <c r="M21" s="32" t="n">
        <v>1</v>
      </c>
    </row>
    <row r="22" ht="42" customHeight="1" s="34">
      <c r="A22" s="32" t="inlineStr">
        <is>
          <t>F-14</t>
        </is>
      </c>
      <c r="B22" s="32" t="inlineStr">
        <is>
          <t>Changelog</t>
        </is>
      </c>
      <c r="C22" s="32" t="inlineStr">
        <is>
          <t>Field</t>
        </is>
      </c>
      <c r="D22" s="32" t="inlineStr">
        <is>
          <t>The component owns a public changelog.</t>
        </is>
      </c>
      <c r="E22" s="32" t="inlineStr">
        <is>
          <t>package</t>
        </is>
      </c>
      <c r="F22" s="32" t="inlineStr">
        <is>
          <t>docs</t>
        </is>
      </c>
      <c r="G22" s="32" t="inlineStr">
        <is>
          <t>../docs/components/field/CHANGELOG.md</t>
        </is>
      </c>
      <c r="H22" s="32" t="inlineStr">
        <is>
          <t>tested</t>
        </is>
      </c>
      <c r="I22" s="32" t="inlineStr">
        <is>
          <t>no</t>
        </is>
      </c>
      <c r="J22" s="42" t="n">
        <v>46227</v>
      </c>
      <c r="L22" s="32" t="n">
        <v>1</v>
      </c>
      <c r="M22" s="32" t="n">
        <v>1</v>
      </c>
    </row>
    <row r="23" ht="42" customHeight="1" s="34">
      <c r="A23" s="32" t="inlineStr">
        <is>
          <t>F-15</t>
        </is>
      </c>
      <c r="B23" s="32" t="inlineStr">
        <is>
          <t>Consumer</t>
        </is>
      </c>
      <c r="C23" s="32" t="inlineStr">
        <is>
          <t>Field</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F-16</t>
        </is>
      </c>
      <c r="B24" s="32" t="inlineStr">
        <is>
          <t>Package</t>
        </is>
      </c>
      <c r="C24" s="32" t="inlineStr">
        <is>
          <t>Field</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Fieldset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F-01</t>
        </is>
      </c>
      <c r="B9" s="32" t="inlineStr">
        <is>
          <t>Implementation</t>
        </is>
      </c>
      <c r="C9" s="32" t="inlineStr">
        <is>
          <t>Fieldset</t>
        </is>
      </c>
      <c r="D9" s="32" t="inlineStr">
        <is>
          <t>Public component implementation and Atom adapter exist.</t>
        </is>
      </c>
      <c r="E9" s="32" t="inlineStr">
        <is>
          <t>package</t>
        </is>
      </c>
      <c r="F9" s="32" t="inlineStr">
        <is>
          <t>source</t>
        </is>
      </c>
      <c r="G9" s="32" t="inlineStr">
        <is>
          <t>../src/components/fieldset</t>
        </is>
      </c>
      <c r="H9" s="32" t="inlineStr">
        <is>
          <t>tested</t>
        </is>
      </c>
      <c r="I9" s="32" t="inlineStr">
        <is>
          <t>no</t>
        </is>
      </c>
      <c r="J9" s="42" t="n">
        <v>46227</v>
      </c>
      <c r="L9" s="32" t="n">
        <v>1</v>
      </c>
      <c r="M9" s="32" t="n">
        <v>1</v>
      </c>
    </row>
    <row r="10" ht="42" customHeight="1" s="34">
      <c r="A10" s="32" t="inlineStr">
        <is>
          <t>F-02</t>
        </is>
      </c>
      <c r="B10" s="32" t="inlineStr">
        <is>
          <t>Exports</t>
        </is>
      </c>
      <c r="C10" s="32" t="inlineStr">
        <is>
          <t>Fieldset</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F-03</t>
        </is>
      </c>
      <c r="B11" s="32" t="inlineStr">
        <is>
          <t>Types</t>
        </is>
      </c>
      <c r="C11" s="32" t="inlineStr">
        <is>
          <t>Fieldset</t>
        </is>
      </c>
      <c r="D11" s="32" t="inlineStr">
        <is>
          <t>Public props, refs, composition branches, and invalid cases type-check.</t>
        </is>
      </c>
      <c r="E11" s="32" t="inlineStr">
        <is>
          <t>package</t>
        </is>
      </c>
      <c r="F11" s="32" t="inlineStr">
        <is>
          <t>types</t>
        </is>
      </c>
      <c r="G11" s="32" t="inlineStr">
        <is>
          <t>../test/types/components/fieldset.test.ts</t>
        </is>
      </c>
      <c r="H11" s="32" t="inlineStr">
        <is>
          <t>tested</t>
        </is>
      </c>
      <c r="I11" s="32" t="inlineStr">
        <is>
          <t>no</t>
        </is>
      </c>
      <c r="J11" s="42" t="n">
        <v>46227</v>
      </c>
      <c r="L11" s="32" t="n">
        <v>1</v>
      </c>
      <c r="M11" s="32" t="n">
        <v>1</v>
      </c>
    </row>
    <row r="12" ht="42" customHeight="1" s="34">
      <c r="A12" s="32" t="inlineStr">
        <is>
          <t>F-04</t>
        </is>
      </c>
      <c r="B12" s="32" t="inlineStr">
        <is>
          <t>CSS</t>
        </is>
      </c>
      <c r="C12" s="32" t="inlineStr">
        <is>
          <t>Fieldset</t>
        </is>
      </c>
      <c r="D12" s="32" t="inlineStr">
        <is>
          <t>Static public CSS, classes, slots, recipes, states, and tokens are present.</t>
        </is>
      </c>
      <c r="E12" s="32" t="inlineStr">
        <is>
          <t>package</t>
        </is>
      </c>
      <c r="F12" s="32" t="inlineStr">
        <is>
          <t>css</t>
        </is>
      </c>
      <c r="G12" s="32" t="inlineStr">
        <is>
          <t>../src/components/fieldset/fieldset.css</t>
        </is>
      </c>
      <c r="H12" s="32" t="inlineStr">
        <is>
          <t>tested</t>
        </is>
      </c>
      <c r="I12" s="32" t="inlineStr">
        <is>
          <t>no</t>
        </is>
      </c>
      <c r="J12" s="42" t="n">
        <v>46227</v>
      </c>
      <c r="L12" s="32" t="n">
        <v>1</v>
      </c>
      <c r="M12" s="32" t="n">
        <v>1</v>
      </c>
    </row>
    <row r="13" ht="42" customHeight="1" s="34">
      <c r="A13" s="32" t="inlineStr">
        <is>
          <t>F-05</t>
        </is>
      </c>
      <c r="B13" s="32" t="inlineStr">
        <is>
          <t>Unit</t>
        </is>
      </c>
      <c r="C13" s="32" t="inlineStr">
        <is>
          <t>Fieldset</t>
        </is>
      </c>
      <c r="D13" s="32" t="inlineStr">
        <is>
          <t>Brick-owned DOM, recipes, adapters, and public hooks pass focused tests.</t>
        </is>
      </c>
      <c r="E13" s="32" t="inlineStr">
        <is>
          <t>package</t>
        </is>
      </c>
      <c r="F13" s="32" t="inlineStr">
        <is>
          <t>component</t>
        </is>
      </c>
      <c r="G13" s="32" t="inlineStr">
        <is>
          <t>../test/components/fieldset/fieldset.test.tsx</t>
        </is>
      </c>
      <c r="H13" s="32" t="inlineStr">
        <is>
          <t>tested</t>
        </is>
      </c>
      <c r="I13" s="32" t="inlineStr">
        <is>
          <t>no</t>
        </is>
      </c>
      <c r="J13" s="42" t="n">
        <v>46227</v>
      </c>
      <c r="L13" s="32" t="n">
        <v>1</v>
      </c>
      <c r="M13" s="32" t="n">
        <v>1</v>
      </c>
    </row>
    <row r="14" ht="42" customHeight="1" s="34">
      <c r="A14" s="32" t="inlineStr">
        <is>
          <t>F-06</t>
        </is>
      </c>
      <c r="B14" s="32" t="inlineStr">
        <is>
          <t>Browser</t>
        </is>
      </c>
      <c r="C14" s="32" t="inlineStr">
        <is>
          <t>Fieldset</t>
        </is>
      </c>
      <c r="D14" s="32" t="inlineStr">
        <is>
          <t>Real-browser behavior and component contract checks pass.</t>
        </is>
      </c>
      <c r="E14" s="32" t="inlineStr">
        <is>
          <t>package</t>
        </is>
      </c>
      <c r="F14" s="32" t="inlineStr">
        <is>
          <t>browser</t>
        </is>
      </c>
      <c r="G14" s="32" t="inlineStr">
        <is>
          <t>tests/components/fieldset/behavior.spec.ts</t>
        </is>
      </c>
      <c r="H14" s="32" t="inlineStr">
        <is>
          <t>tested</t>
        </is>
      </c>
      <c r="I14" s="32" t="inlineStr">
        <is>
          <t>no</t>
        </is>
      </c>
      <c r="J14" s="42" t="n">
        <v>46227</v>
      </c>
      <c r="L14" s="32" t="n">
        <v>1</v>
      </c>
      <c r="M14" s="32" t="n">
        <v>1</v>
      </c>
    </row>
    <row r="15" ht="42" customHeight="1" s="34">
      <c r="A15" s="32" t="inlineStr">
        <is>
          <t>F-07</t>
        </is>
      </c>
      <c r="B15" s="32" t="inlineStr">
        <is>
          <t>Accessibility</t>
        </is>
      </c>
      <c r="C15" s="32" t="inlineStr">
        <is>
          <t>Fieldset</t>
        </is>
      </c>
      <c r="D15" s="32" t="inlineStr">
        <is>
          <t>Automated semantics and accessibility checks pass in the browser evidence suite.</t>
        </is>
      </c>
      <c r="E15" s="32" t="inlineStr">
        <is>
          <t>package</t>
        </is>
      </c>
      <c r="F15" s="32" t="inlineStr">
        <is>
          <t>axe</t>
        </is>
      </c>
      <c r="G15" s="32" t="inlineStr">
        <is>
          <t>tests/components/fieldset/behavior.spec.ts; tests/integration</t>
        </is>
      </c>
      <c r="H15" s="32" t="inlineStr">
        <is>
          <t>tested</t>
        </is>
      </c>
      <c r="I15" s="32" t="inlineStr">
        <is>
          <t>no</t>
        </is>
      </c>
      <c r="J15" s="42" t="n">
        <v>46227</v>
      </c>
      <c r="L15" s="32" t="n">
        <v>1</v>
      </c>
      <c r="M15" s="32" t="n">
        <v>1</v>
      </c>
    </row>
    <row r="16" ht="42" customHeight="1" s="34">
      <c r="A16" s="32" t="inlineStr">
        <is>
          <t>F-08</t>
        </is>
      </c>
      <c r="B16" s="32" t="inlineStr">
        <is>
          <t>Visual</t>
        </is>
      </c>
      <c r="C16" s="32" t="inlineStr">
        <is>
          <t>Fieldset</t>
        </is>
      </c>
      <c r="D16" s="32" t="inlineStr">
        <is>
          <t>Reviewed baselines cover the component's risk-selected recipes and states.</t>
        </is>
      </c>
      <c r="E16" s="32" t="inlineStr">
        <is>
          <t>package</t>
        </is>
      </c>
      <c r="F16" s="32" t="inlineStr">
        <is>
          <t>visual</t>
        </is>
      </c>
      <c r="G16" s="32" t="inlineStr">
        <is>
          <t>tests/components/fieldset/visual.spec.ts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F-09</t>
        </is>
      </c>
      <c r="B17" s="32" t="inlineStr">
        <is>
          <t>Responsive</t>
        </is>
      </c>
      <c r="C17" s="32" t="inlineStr">
        <is>
          <t>Fieldset</t>
        </is>
      </c>
      <c r="D17" s="32" t="inlineStr">
        <is>
          <t>Mobile, zoom/reflow, content stress, and RTL remain usable and contained.</t>
        </is>
      </c>
      <c r="E17" s="32" t="inlineStr">
        <is>
          <t>package</t>
        </is>
      </c>
      <c r="F17" s="32" t="inlineStr">
        <is>
          <t>manual</t>
        </is>
      </c>
      <c r="G17" s="32" t="inlineStr">
        <is>
          <t>manual-tests/fieldset.md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F-10</t>
        </is>
      </c>
      <c r="B18" s="32" t="inlineStr">
        <is>
          <t>Theme</t>
        </is>
      </c>
      <c r="C18" s="32" t="inlineStr">
        <is>
          <t>Fieldset</t>
        </is>
      </c>
      <c r="D18" s="32" t="inlineStr">
        <is>
          <t>Light, dark, focus, forced-colors, and relevant motion behavior remain perceivable.</t>
        </is>
      </c>
      <c r="E18" s="32" t="inlineStr">
        <is>
          <t>package</t>
        </is>
      </c>
      <c r="F18" s="32" t="inlineStr">
        <is>
          <t>manual</t>
        </is>
      </c>
      <c r="G18" s="32" t="inlineStr">
        <is>
          <t>manual-tests/fieldset.md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F-11</t>
        </is>
      </c>
      <c r="B19" s="32" t="inlineStr">
        <is>
          <t>Composition</t>
        </is>
      </c>
      <c r="C19" s="32" t="inlineStr">
        <is>
          <t>Fieldset</t>
        </is>
      </c>
      <c r="D19" s="32" t="inlineStr">
        <is>
          <t>Default, render, and asChild output preserve the intended element, slots, state, and relationships.</t>
        </is>
      </c>
      <c r="E19" s="32" t="inlineStr">
        <is>
          <t>package</t>
        </is>
      </c>
      <c r="F19" s="32" t="inlineStr">
        <is>
          <t>manual</t>
        </is>
      </c>
      <c r="G19" s="32" t="inlineStr">
        <is>
          <t>manual-tests/fieldset.md; tests/components/fieldset/behavior.spec.ts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F-12</t>
        </is>
      </c>
      <c r="B20" s="32" t="inlineStr">
        <is>
          <t>Manual</t>
        </is>
      </c>
      <c r="C20" s="32" t="inlineStr">
        <is>
          <t>Fieldset</t>
        </is>
      </c>
      <c r="D20" s="32" t="inlineStr">
        <is>
          <t>The complete component-owned manual protocol passed against every playground scenario.</t>
        </is>
      </c>
      <c r="E20" s="32" t="inlineStr">
        <is>
          <t>package</t>
        </is>
      </c>
      <c r="F20" s="32" t="inlineStr">
        <is>
          <t>manual</t>
        </is>
      </c>
      <c r="G20" s="32" t="inlineStr">
        <is>
          <t>manual-tests/fieldset.md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F-13</t>
        </is>
      </c>
      <c r="B21" s="32" t="inlineStr">
        <is>
          <t>Docs</t>
        </is>
      </c>
      <c r="C21" s="32" t="inlineStr">
        <is>
          <t>Fieldset</t>
        </is>
      </c>
      <c r="D21" s="32" t="inlineStr">
        <is>
          <t>Public usage documentation exists at the component-owned path.</t>
        </is>
      </c>
      <c r="E21" s="32" t="inlineStr">
        <is>
          <t>package</t>
        </is>
      </c>
      <c r="F21" s="32" t="inlineStr">
        <is>
          <t>docs</t>
        </is>
      </c>
      <c r="G21" s="32" t="inlineStr">
        <is>
          <t>../docs/components/fieldset/README.md</t>
        </is>
      </c>
      <c r="H21" s="32" t="inlineStr">
        <is>
          <t>tested</t>
        </is>
      </c>
      <c r="I21" s="32" t="inlineStr">
        <is>
          <t>no</t>
        </is>
      </c>
      <c r="J21" s="42" t="n">
        <v>46227</v>
      </c>
      <c r="L21" s="32" t="n">
        <v>1</v>
      </c>
      <c r="M21" s="32" t="n">
        <v>1</v>
      </c>
    </row>
    <row r="22" ht="42" customHeight="1" s="34">
      <c r="A22" s="32" t="inlineStr">
        <is>
          <t>F-14</t>
        </is>
      </c>
      <c r="B22" s="32" t="inlineStr">
        <is>
          <t>Changelog</t>
        </is>
      </c>
      <c r="C22" s="32" t="inlineStr">
        <is>
          <t>Fieldset</t>
        </is>
      </c>
      <c r="D22" s="32" t="inlineStr">
        <is>
          <t>The component owns a public changelog.</t>
        </is>
      </c>
      <c r="E22" s="32" t="inlineStr">
        <is>
          <t>package</t>
        </is>
      </c>
      <c r="F22" s="32" t="inlineStr">
        <is>
          <t>docs</t>
        </is>
      </c>
      <c r="G22" s="32" t="inlineStr">
        <is>
          <t>../docs/components/fieldset/CHANGELOG.md</t>
        </is>
      </c>
      <c r="H22" s="32" t="inlineStr">
        <is>
          <t>tested</t>
        </is>
      </c>
      <c r="I22" s="32" t="inlineStr">
        <is>
          <t>no</t>
        </is>
      </c>
      <c r="J22" s="42" t="n">
        <v>46227</v>
      </c>
      <c r="L22" s="32" t="n">
        <v>1</v>
      </c>
      <c r="M22" s="32" t="n">
        <v>1</v>
      </c>
    </row>
    <row r="23" ht="42" customHeight="1" s="34">
      <c r="A23" s="32" t="inlineStr">
        <is>
          <t>F-15</t>
        </is>
      </c>
      <c r="B23" s="32" t="inlineStr">
        <is>
          <t>Consumer</t>
        </is>
      </c>
      <c r="C23" s="32" t="inlineStr">
        <is>
          <t>Fieldset</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F-16</t>
        </is>
      </c>
      <c r="B24" s="32" t="inlineStr">
        <is>
          <t>Package</t>
        </is>
      </c>
      <c r="C24" s="32" t="inlineStr">
        <is>
          <t>Fieldset</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Form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F-01</t>
        </is>
      </c>
      <c r="B9" s="32" t="inlineStr">
        <is>
          <t>Implementation</t>
        </is>
      </c>
      <c r="C9" s="32" t="inlineStr">
        <is>
          <t>Form</t>
        </is>
      </c>
      <c r="D9" s="32" t="inlineStr">
        <is>
          <t>Public component implementation and Atom adapter exist.</t>
        </is>
      </c>
      <c r="E9" s="32" t="inlineStr">
        <is>
          <t>package</t>
        </is>
      </c>
      <c r="F9" s="32" t="inlineStr">
        <is>
          <t>source</t>
        </is>
      </c>
      <c r="G9" s="32" t="inlineStr">
        <is>
          <t>../src/components/form</t>
        </is>
      </c>
      <c r="H9" s="32" t="inlineStr">
        <is>
          <t>tested</t>
        </is>
      </c>
      <c r="I9" s="32" t="inlineStr">
        <is>
          <t>no</t>
        </is>
      </c>
      <c r="J9" s="42" t="n">
        <v>46227</v>
      </c>
      <c r="L9" s="32" t="n">
        <v>1</v>
      </c>
      <c r="M9" s="32" t="n">
        <v>1</v>
      </c>
    </row>
    <row r="10" ht="42" customHeight="1" s="34">
      <c r="A10" s="32" t="inlineStr">
        <is>
          <t>F-02</t>
        </is>
      </c>
      <c r="B10" s="32" t="inlineStr">
        <is>
          <t>Exports</t>
        </is>
      </c>
      <c r="C10" s="32" t="inlineStr">
        <is>
          <t>Form</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F-03</t>
        </is>
      </c>
      <c r="B11" s="32" t="inlineStr">
        <is>
          <t>Types</t>
        </is>
      </c>
      <c r="C11" s="32" t="inlineStr">
        <is>
          <t>Form</t>
        </is>
      </c>
      <c r="D11" s="32" t="inlineStr">
        <is>
          <t>Public props, refs, composition branches, and invalid cases type-check.</t>
        </is>
      </c>
      <c r="E11" s="32" t="inlineStr">
        <is>
          <t>package</t>
        </is>
      </c>
      <c r="F11" s="32" t="inlineStr">
        <is>
          <t>types</t>
        </is>
      </c>
      <c r="G11" s="32" t="inlineStr">
        <is>
          <t>../test/types/components/form.test.ts</t>
        </is>
      </c>
      <c r="H11" s="32" t="inlineStr">
        <is>
          <t>tested</t>
        </is>
      </c>
      <c r="I11" s="32" t="inlineStr">
        <is>
          <t>no</t>
        </is>
      </c>
      <c r="J11" s="42" t="n">
        <v>46227</v>
      </c>
      <c r="L11" s="32" t="n">
        <v>1</v>
      </c>
      <c r="M11" s="32" t="n">
        <v>1</v>
      </c>
    </row>
    <row r="12" ht="42" customHeight="1" s="34">
      <c r="A12" s="32" t="inlineStr">
        <is>
          <t>F-04</t>
        </is>
      </c>
      <c r="B12" s="32" t="inlineStr">
        <is>
          <t>CSS</t>
        </is>
      </c>
      <c r="C12" s="32" t="inlineStr">
        <is>
          <t>Form</t>
        </is>
      </c>
      <c r="D12" s="32" t="inlineStr">
        <is>
          <t>Static public CSS, classes, slots, recipes, states, and tokens are present.</t>
        </is>
      </c>
      <c r="E12" s="32" t="inlineStr">
        <is>
          <t>package</t>
        </is>
      </c>
      <c r="F12" s="32" t="inlineStr">
        <is>
          <t>css</t>
        </is>
      </c>
      <c r="G12" s="32" t="inlineStr">
        <is>
          <t>../src/components/form/form.css</t>
        </is>
      </c>
      <c r="H12" s="32" t="inlineStr">
        <is>
          <t>tested</t>
        </is>
      </c>
      <c r="I12" s="32" t="inlineStr">
        <is>
          <t>no</t>
        </is>
      </c>
      <c r="J12" s="42" t="n">
        <v>46227</v>
      </c>
      <c r="L12" s="32" t="n">
        <v>1</v>
      </c>
      <c r="M12" s="32" t="n">
        <v>1</v>
      </c>
    </row>
    <row r="13" ht="42" customHeight="1" s="34">
      <c r="A13" s="32" t="inlineStr">
        <is>
          <t>F-05</t>
        </is>
      </c>
      <c r="B13" s="32" t="inlineStr">
        <is>
          <t>Unit</t>
        </is>
      </c>
      <c r="C13" s="32" t="inlineStr">
        <is>
          <t>Form</t>
        </is>
      </c>
      <c r="D13" s="32" t="inlineStr">
        <is>
          <t>Brick-owned DOM, recipes, adapters, and public hooks pass focused tests.</t>
        </is>
      </c>
      <c r="E13" s="32" t="inlineStr">
        <is>
          <t>package</t>
        </is>
      </c>
      <c r="F13" s="32" t="inlineStr">
        <is>
          <t>component</t>
        </is>
      </c>
      <c r="G13" s="32" t="inlineStr">
        <is>
          <t>../test/components/form/form.test.tsx</t>
        </is>
      </c>
      <c r="H13" s="32" t="inlineStr">
        <is>
          <t>tested</t>
        </is>
      </c>
      <c r="I13" s="32" t="inlineStr">
        <is>
          <t>no</t>
        </is>
      </c>
      <c r="J13" s="42" t="n">
        <v>46227</v>
      </c>
      <c r="L13" s="32" t="n">
        <v>1</v>
      </c>
      <c r="M13" s="32" t="n">
        <v>1</v>
      </c>
    </row>
    <row r="14" ht="42" customHeight="1" s="34">
      <c r="A14" s="32" t="inlineStr">
        <is>
          <t>F-06</t>
        </is>
      </c>
      <c r="B14" s="32" t="inlineStr">
        <is>
          <t>Browser</t>
        </is>
      </c>
      <c r="C14" s="32" t="inlineStr">
        <is>
          <t>Form</t>
        </is>
      </c>
      <c r="D14" s="32" t="inlineStr">
        <is>
          <t>Real-browser behavior and component contract checks pass.</t>
        </is>
      </c>
      <c r="E14" s="32" t="inlineStr">
        <is>
          <t>package</t>
        </is>
      </c>
      <c r="F14" s="32" t="inlineStr">
        <is>
          <t>browser</t>
        </is>
      </c>
      <c r="G14" s="32" t="inlineStr">
        <is>
          <t>tests/components/form/behavior.spec.ts</t>
        </is>
      </c>
      <c r="H14" s="32" t="inlineStr">
        <is>
          <t>tested</t>
        </is>
      </c>
      <c r="I14" s="32" t="inlineStr">
        <is>
          <t>no</t>
        </is>
      </c>
      <c r="J14" s="42" t="n">
        <v>46227</v>
      </c>
      <c r="L14" s="32" t="n">
        <v>1</v>
      </c>
      <c r="M14" s="32" t="n">
        <v>1</v>
      </c>
    </row>
    <row r="15" ht="42" customHeight="1" s="34">
      <c r="A15" s="32" t="inlineStr">
        <is>
          <t>F-07</t>
        </is>
      </c>
      <c r="B15" s="32" t="inlineStr">
        <is>
          <t>Accessibility</t>
        </is>
      </c>
      <c r="C15" s="32" t="inlineStr">
        <is>
          <t>Form</t>
        </is>
      </c>
      <c r="D15" s="32" t="inlineStr">
        <is>
          <t>Automated semantics and accessibility checks pass in the browser evidence suite.</t>
        </is>
      </c>
      <c r="E15" s="32" t="inlineStr">
        <is>
          <t>package</t>
        </is>
      </c>
      <c r="F15" s="32" t="inlineStr">
        <is>
          <t>axe</t>
        </is>
      </c>
      <c r="G15" s="32" t="inlineStr">
        <is>
          <t>tests/components/form/behavior.spec.ts; tests/integration</t>
        </is>
      </c>
      <c r="H15" s="32" t="inlineStr">
        <is>
          <t>tested</t>
        </is>
      </c>
      <c r="I15" s="32" t="inlineStr">
        <is>
          <t>no</t>
        </is>
      </c>
      <c r="J15" s="42" t="n">
        <v>46227</v>
      </c>
      <c r="L15" s="32" t="n">
        <v>1</v>
      </c>
      <c r="M15" s="32" t="n">
        <v>1</v>
      </c>
    </row>
    <row r="16" ht="42" customHeight="1" s="34">
      <c r="A16" s="32" t="inlineStr">
        <is>
          <t>F-08</t>
        </is>
      </c>
      <c r="B16" s="32" t="inlineStr">
        <is>
          <t>Visual</t>
        </is>
      </c>
      <c r="C16" s="32" t="inlineStr">
        <is>
          <t>Form</t>
        </is>
      </c>
      <c r="D16" s="32" t="inlineStr">
        <is>
          <t>Reviewed baselines cover the component's risk-selected recipes and states.</t>
        </is>
      </c>
      <c r="E16" s="32" t="inlineStr">
        <is>
          <t>package</t>
        </is>
      </c>
      <c r="F16" s="32" t="inlineStr">
        <is>
          <t>visual</t>
        </is>
      </c>
      <c r="G16" s="32" t="inlineStr">
        <is>
          <t>tests/components/form/visual.spec.ts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F-09</t>
        </is>
      </c>
      <c r="B17" s="32" t="inlineStr">
        <is>
          <t>Responsive</t>
        </is>
      </c>
      <c r="C17" s="32" t="inlineStr">
        <is>
          <t>Form</t>
        </is>
      </c>
      <c r="D17" s="32" t="inlineStr">
        <is>
          <t>Mobile, zoom/reflow, content stress, and RTL remain usable and contained.</t>
        </is>
      </c>
      <c r="E17" s="32" t="inlineStr">
        <is>
          <t>package</t>
        </is>
      </c>
      <c r="F17" s="32" t="inlineStr">
        <is>
          <t>manual</t>
        </is>
      </c>
      <c r="G17" s="32" t="inlineStr">
        <is>
          <t>manual-tests/form.md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F-10</t>
        </is>
      </c>
      <c r="B18" s="32" t="inlineStr">
        <is>
          <t>Theme</t>
        </is>
      </c>
      <c r="C18" s="32" t="inlineStr">
        <is>
          <t>Form</t>
        </is>
      </c>
      <c r="D18" s="32" t="inlineStr">
        <is>
          <t>Light, dark, focus, forced-colors, and relevant motion behavior remain perceivable.</t>
        </is>
      </c>
      <c r="E18" s="32" t="inlineStr">
        <is>
          <t>package</t>
        </is>
      </c>
      <c r="F18" s="32" t="inlineStr">
        <is>
          <t>manual</t>
        </is>
      </c>
      <c r="G18" s="32" t="inlineStr">
        <is>
          <t>manual-tests/form.md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F-11</t>
        </is>
      </c>
      <c r="B19" s="32" t="inlineStr">
        <is>
          <t>Composition</t>
        </is>
      </c>
      <c r="C19" s="32" t="inlineStr">
        <is>
          <t>Form</t>
        </is>
      </c>
      <c r="D19" s="32" t="inlineStr">
        <is>
          <t>Default, render, and asChild output preserve the intended element, slots, state, and relationships.</t>
        </is>
      </c>
      <c r="E19" s="32" t="inlineStr">
        <is>
          <t>package</t>
        </is>
      </c>
      <c r="F19" s="32" t="inlineStr">
        <is>
          <t>manual</t>
        </is>
      </c>
      <c r="G19" s="32" t="inlineStr">
        <is>
          <t>manual-tests/form.md; tests/components/form/behavior.spec.ts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F-12</t>
        </is>
      </c>
      <c r="B20" s="32" t="inlineStr">
        <is>
          <t>Manual</t>
        </is>
      </c>
      <c r="C20" s="32" t="inlineStr">
        <is>
          <t>Form</t>
        </is>
      </c>
      <c r="D20" s="32" t="inlineStr">
        <is>
          <t>The complete component-owned manual protocol passed against every playground scenario.</t>
        </is>
      </c>
      <c r="E20" s="32" t="inlineStr">
        <is>
          <t>package</t>
        </is>
      </c>
      <c r="F20" s="32" t="inlineStr">
        <is>
          <t>manual</t>
        </is>
      </c>
      <c r="G20" s="32" t="inlineStr">
        <is>
          <t>manual-tests/form.md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F-13</t>
        </is>
      </c>
      <c r="B21" s="32" t="inlineStr">
        <is>
          <t>Docs</t>
        </is>
      </c>
      <c r="C21" s="32" t="inlineStr">
        <is>
          <t>Form</t>
        </is>
      </c>
      <c r="D21" s="32" t="inlineStr">
        <is>
          <t>Public usage documentation exists at the component-owned path.</t>
        </is>
      </c>
      <c r="E21" s="32" t="inlineStr">
        <is>
          <t>package</t>
        </is>
      </c>
      <c r="F21" s="32" t="inlineStr">
        <is>
          <t>docs</t>
        </is>
      </c>
      <c r="G21" s="32" t="inlineStr">
        <is>
          <t>../docs/components/form/README.md</t>
        </is>
      </c>
      <c r="H21" s="32" t="inlineStr">
        <is>
          <t>tested</t>
        </is>
      </c>
      <c r="I21" s="32" t="inlineStr">
        <is>
          <t>no</t>
        </is>
      </c>
      <c r="J21" s="42" t="n">
        <v>46227</v>
      </c>
      <c r="L21" s="32" t="n">
        <v>1</v>
      </c>
      <c r="M21" s="32" t="n">
        <v>1</v>
      </c>
    </row>
    <row r="22" ht="42" customHeight="1" s="34">
      <c r="A22" s="32" t="inlineStr">
        <is>
          <t>F-14</t>
        </is>
      </c>
      <c r="B22" s="32" t="inlineStr">
        <is>
          <t>Changelog</t>
        </is>
      </c>
      <c r="C22" s="32" t="inlineStr">
        <is>
          <t>Form</t>
        </is>
      </c>
      <c r="D22" s="32" t="inlineStr">
        <is>
          <t>The component owns a public changelog.</t>
        </is>
      </c>
      <c r="E22" s="32" t="inlineStr">
        <is>
          <t>package</t>
        </is>
      </c>
      <c r="F22" s="32" t="inlineStr">
        <is>
          <t>docs</t>
        </is>
      </c>
      <c r="G22" s="32" t="inlineStr">
        <is>
          <t>../docs/components/form/CHANGELOG.md</t>
        </is>
      </c>
      <c r="H22" s="32" t="inlineStr">
        <is>
          <t>tested</t>
        </is>
      </c>
      <c r="I22" s="32" t="inlineStr">
        <is>
          <t>no</t>
        </is>
      </c>
      <c r="J22" s="42" t="n">
        <v>46227</v>
      </c>
      <c r="L22" s="32" t="n">
        <v>1</v>
      </c>
      <c r="M22" s="32" t="n">
        <v>1</v>
      </c>
    </row>
    <row r="23" ht="42" customHeight="1" s="34">
      <c r="A23" s="32" t="inlineStr">
        <is>
          <t>F-15</t>
        </is>
      </c>
      <c r="B23" s="32" t="inlineStr">
        <is>
          <t>Consumer</t>
        </is>
      </c>
      <c r="C23" s="32" t="inlineStr">
        <is>
          <t>Form</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F-16</t>
        </is>
      </c>
      <c r="B24" s="32" t="inlineStr">
        <is>
          <t>Package</t>
        </is>
      </c>
      <c r="C24" s="32" t="inlineStr">
        <is>
          <t>Form</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Hover Card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HC-01</t>
        </is>
      </c>
      <c r="B9" s="32" t="inlineStr">
        <is>
          <t>Implementation</t>
        </is>
      </c>
      <c r="C9" s="32" t="inlineStr">
        <is>
          <t>HoverCard</t>
        </is>
      </c>
      <c r="D9" s="32" t="inlineStr">
        <is>
          <t>Public component implementation and Atom adapter exist.</t>
        </is>
      </c>
      <c r="E9" s="32" t="inlineStr">
        <is>
          <t>package</t>
        </is>
      </c>
      <c r="F9" s="32" t="inlineStr">
        <is>
          <t>source</t>
        </is>
      </c>
      <c r="G9" s="32" t="inlineStr">
        <is>
          <t>../src/components/hover-card</t>
        </is>
      </c>
      <c r="H9" s="32" t="inlineStr">
        <is>
          <t>tested</t>
        </is>
      </c>
      <c r="I9" s="32" t="inlineStr">
        <is>
          <t>no</t>
        </is>
      </c>
      <c r="J9" s="42" t="n">
        <v>46227</v>
      </c>
      <c r="L9" s="32" t="n">
        <v>1</v>
      </c>
      <c r="M9" s="32" t="n">
        <v>1</v>
      </c>
    </row>
    <row r="10" ht="42" customHeight="1" s="34">
      <c r="A10" s="32" t="inlineStr">
        <is>
          <t>HC-02</t>
        </is>
      </c>
      <c r="B10" s="32" t="inlineStr">
        <is>
          <t>Exports</t>
        </is>
      </c>
      <c r="C10" s="32" t="inlineStr">
        <is>
          <t>HoverCard</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HC-03</t>
        </is>
      </c>
      <c r="B11" s="32" t="inlineStr">
        <is>
          <t>Types</t>
        </is>
      </c>
      <c r="C11" s="32" t="inlineStr">
        <is>
          <t>HoverCard</t>
        </is>
      </c>
      <c r="D11" s="32" t="inlineStr">
        <is>
          <t>Public props, refs, composition branches, and invalid cases type-check.</t>
        </is>
      </c>
      <c r="E11" s="32" t="inlineStr">
        <is>
          <t>package</t>
        </is>
      </c>
      <c r="F11" s="32" t="inlineStr">
        <is>
          <t>types</t>
        </is>
      </c>
      <c r="G11" s="32" t="inlineStr">
        <is>
          <t>../test/types/components/hover-card.test.ts</t>
        </is>
      </c>
      <c r="H11" s="32" t="inlineStr">
        <is>
          <t>tested</t>
        </is>
      </c>
      <c r="I11" s="32" t="inlineStr">
        <is>
          <t>no</t>
        </is>
      </c>
      <c r="J11" s="42" t="n">
        <v>46227</v>
      </c>
      <c r="L11" s="32" t="n">
        <v>1</v>
      </c>
      <c r="M11" s="32" t="n">
        <v>1</v>
      </c>
    </row>
    <row r="12" ht="42" customHeight="1" s="34">
      <c r="A12" s="32" t="inlineStr">
        <is>
          <t>HC-04</t>
        </is>
      </c>
      <c r="B12" s="32" t="inlineStr">
        <is>
          <t>CSS</t>
        </is>
      </c>
      <c r="C12" s="32" t="inlineStr">
        <is>
          <t>HoverCard</t>
        </is>
      </c>
      <c r="D12" s="32" t="inlineStr">
        <is>
          <t>Static public CSS, classes, slots, recipes, states, and tokens are present.</t>
        </is>
      </c>
      <c r="E12" s="32" t="inlineStr">
        <is>
          <t>package</t>
        </is>
      </c>
      <c r="F12" s="32" t="inlineStr">
        <is>
          <t>css</t>
        </is>
      </c>
      <c r="G12" s="32" t="inlineStr">
        <is>
          <t>../src/components/hover-card/hover-card.css</t>
        </is>
      </c>
      <c r="H12" s="32" t="inlineStr">
        <is>
          <t>tested</t>
        </is>
      </c>
      <c r="I12" s="32" t="inlineStr">
        <is>
          <t>no</t>
        </is>
      </c>
      <c r="J12" s="42" t="n">
        <v>46227</v>
      </c>
      <c r="L12" s="32" t="n">
        <v>1</v>
      </c>
      <c r="M12" s="32" t="n">
        <v>1</v>
      </c>
    </row>
    <row r="13" ht="42" customHeight="1" s="34">
      <c r="A13" s="32" t="inlineStr">
        <is>
          <t>HC-05</t>
        </is>
      </c>
      <c r="B13" s="32" t="inlineStr">
        <is>
          <t>Unit</t>
        </is>
      </c>
      <c r="C13" s="32" t="inlineStr">
        <is>
          <t>HoverCard</t>
        </is>
      </c>
      <c r="D13" s="32" t="inlineStr">
        <is>
          <t>Brick-owned DOM, recipes, adapters, and public hooks pass focused tests.</t>
        </is>
      </c>
      <c r="E13" s="32" t="inlineStr">
        <is>
          <t>package</t>
        </is>
      </c>
      <c r="F13" s="32" t="inlineStr">
        <is>
          <t>component</t>
        </is>
      </c>
      <c r="G13" s="32" t="inlineStr">
        <is>
          <t>../test/components/hover-card/hover-card.test.tsx</t>
        </is>
      </c>
      <c r="H13" s="32" t="inlineStr">
        <is>
          <t>tested</t>
        </is>
      </c>
      <c r="I13" s="32" t="inlineStr">
        <is>
          <t>no</t>
        </is>
      </c>
      <c r="J13" s="42" t="n">
        <v>46227</v>
      </c>
      <c r="L13" s="32" t="n">
        <v>1</v>
      </c>
      <c r="M13" s="32" t="n">
        <v>1</v>
      </c>
    </row>
    <row r="14" ht="42" customHeight="1" s="34">
      <c r="A14" s="32" t="inlineStr">
        <is>
          <t>HC-06</t>
        </is>
      </c>
      <c r="B14" s="32" t="inlineStr">
        <is>
          <t>Browser</t>
        </is>
      </c>
      <c r="C14" s="32" t="inlineStr">
        <is>
          <t>HoverCard</t>
        </is>
      </c>
      <c r="D14" s="32" t="inlineStr">
        <is>
          <t>Real-browser behavior and component contract checks pass.</t>
        </is>
      </c>
      <c r="E14" s="32" t="inlineStr">
        <is>
          <t>package</t>
        </is>
      </c>
      <c r="F14" s="32" t="inlineStr">
        <is>
          <t>browser</t>
        </is>
      </c>
      <c r="G14" s="32" t="inlineStr">
        <is>
          <t>tests/components/hover-card/behavior.spec.ts</t>
        </is>
      </c>
      <c r="H14" s="32" t="inlineStr">
        <is>
          <t>tested</t>
        </is>
      </c>
      <c r="I14" s="32" t="inlineStr">
        <is>
          <t>no</t>
        </is>
      </c>
      <c r="J14" s="42" t="n">
        <v>46227</v>
      </c>
      <c r="L14" s="32" t="n">
        <v>1</v>
      </c>
      <c r="M14" s="32" t="n">
        <v>1</v>
      </c>
    </row>
    <row r="15" ht="42" customHeight="1" s="34">
      <c r="A15" s="32" t="inlineStr">
        <is>
          <t>HC-07</t>
        </is>
      </c>
      <c r="B15" s="32" t="inlineStr">
        <is>
          <t>Accessibility</t>
        </is>
      </c>
      <c r="C15" s="32" t="inlineStr">
        <is>
          <t>HoverCard</t>
        </is>
      </c>
      <c r="D15" s="32" t="inlineStr">
        <is>
          <t>Automated semantics and accessibility checks pass in the browser evidence suite.</t>
        </is>
      </c>
      <c r="E15" s="32" t="inlineStr">
        <is>
          <t>package</t>
        </is>
      </c>
      <c r="F15" s="32" t="inlineStr">
        <is>
          <t>axe</t>
        </is>
      </c>
      <c r="G15" s="32" t="inlineStr">
        <is>
          <t>tests/components/hover-card/behavior.spec.ts; tests/integration</t>
        </is>
      </c>
      <c r="H15" s="32" t="inlineStr">
        <is>
          <t>tested</t>
        </is>
      </c>
      <c r="I15" s="32" t="inlineStr">
        <is>
          <t>no</t>
        </is>
      </c>
      <c r="J15" s="42" t="n">
        <v>46227</v>
      </c>
      <c r="L15" s="32" t="n">
        <v>1</v>
      </c>
      <c r="M15" s="32" t="n">
        <v>1</v>
      </c>
    </row>
    <row r="16" ht="42" customHeight="1" s="34">
      <c r="A16" s="32" t="inlineStr">
        <is>
          <t>HC-08</t>
        </is>
      </c>
      <c r="B16" s="32" t="inlineStr">
        <is>
          <t>Visual</t>
        </is>
      </c>
      <c r="C16" s="32" t="inlineStr">
        <is>
          <t>HoverCard</t>
        </is>
      </c>
      <c r="D16" s="32" t="inlineStr">
        <is>
          <t>Reviewed baselines cover the component's risk-selected recipes and states.</t>
        </is>
      </c>
      <c r="E16" s="32" t="inlineStr">
        <is>
          <t>package</t>
        </is>
      </c>
      <c r="F16" s="32" t="inlineStr">
        <is>
          <t>visual</t>
        </is>
      </c>
      <c r="G16" s="32" t="inlineStr">
        <is>
          <t>tests/components/hover-card/visual.spec.ts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HC-09</t>
        </is>
      </c>
      <c r="B17" s="32" t="inlineStr">
        <is>
          <t>Responsive</t>
        </is>
      </c>
      <c r="C17" s="32" t="inlineStr">
        <is>
          <t>HoverCard</t>
        </is>
      </c>
      <c r="D17" s="32" t="inlineStr">
        <is>
          <t>Mobile, zoom/reflow, content stress, and RTL remain usable and contained.</t>
        </is>
      </c>
      <c r="E17" s="32" t="inlineStr">
        <is>
          <t>package</t>
        </is>
      </c>
      <c r="F17" s="32" t="inlineStr">
        <is>
          <t>manual</t>
        </is>
      </c>
      <c r="G17" s="32" t="inlineStr">
        <is>
          <t>manual-tests/hover-card.md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HC-10</t>
        </is>
      </c>
      <c r="B18" s="32" t="inlineStr">
        <is>
          <t>Theme</t>
        </is>
      </c>
      <c r="C18" s="32" t="inlineStr">
        <is>
          <t>HoverCard</t>
        </is>
      </c>
      <c r="D18" s="32" t="inlineStr">
        <is>
          <t>Light, dark, focus, forced-colors, and relevant motion behavior remain perceivable.</t>
        </is>
      </c>
      <c r="E18" s="32" t="inlineStr">
        <is>
          <t>package</t>
        </is>
      </c>
      <c r="F18" s="32" t="inlineStr">
        <is>
          <t>manual</t>
        </is>
      </c>
      <c r="G18" s="32" t="inlineStr">
        <is>
          <t>manual-tests/hover-card.md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HC-11</t>
        </is>
      </c>
      <c r="B19" s="32" t="inlineStr">
        <is>
          <t>Composition</t>
        </is>
      </c>
      <c r="C19" s="32" t="inlineStr">
        <is>
          <t>HoverCard</t>
        </is>
      </c>
      <c r="D19" s="32" t="inlineStr">
        <is>
          <t>Default, render, and asChild output preserve the intended element, slots, state, and relationships.</t>
        </is>
      </c>
      <c r="E19" s="32" t="inlineStr">
        <is>
          <t>package</t>
        </is>
      </c>
      <c r="F19" s="32" t="inlineStr">
        <is>
          <t>manual</t>
        </is>
      </c>
      <c r="G19" s="32" t="inlineStr">
        <is>
          <t>manual-tests/hover-card.md; tests/components/hover-card/behavior.spec.ts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HC-12</t>
        </is>
      </c>
      <c r="B20" s="32" t="inlineStr">
        <is>
          <t>Manual</t>
        </is>
      </c>
      <c r="C20" s="32" t="inlineStr">
        <is>
          <t>HoverCard</t>
        </is>
      </c>
      <c r="D20" s="32" t="inlineStr">
        <is>
          <t>The complete component-owned manual protocol passed against every playground scenario.</t>
        </is>
      </c>
      <c r="E20" s="32" t="inlineStr">
        <is>
          <t>package</t>
        </is>
      </c>
      <c r="F20" s="32" t="inlineStr">
        <is>
          <t>manual</t>
        </is>
      </c>
      <c r="G20" s="32" t="inlineStr">
        <is>
          <t>manual-tests/hover-card.md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HC-13</t>
        </is>
      </c>
      <c r="B21" s="32" t="inlineStr">
        <is>
          <t>Docs</t>
        </is>
      </c>
      <c r="C21" s="32" t="inlineStr">
        <is>
          <t>HoverCard</t>
        </is>
      </c>
      <c r="D21" s="32" t="inlineStr">
        <is>
          <t>Public usage documentation exists at the component-owned path.</t>
        </is>
      </c>
      <c r="E21" s="32" t="inlineStr">
        <is>
          <t>package</t>
        </is>
      </c>
      <c r="F21" s="32" t="inlineStr">
        <is>
          <t>docs</t>
        </is>
      </c>
      <c r="G21" s="32" t="inlineStr">
        <is>
          <t>../docs/components/hover-card/README.md</t>
        </is>
      </c>
      <c r="H21" s="32" t="inlineStr">
        <is>
          <t>tested</t>
        </is>
      </c>
      <c r="I21" s="32" t="inlineStr">
        <is>
          <t>no</t>
        </is>
      </c>
      <c r="J21" s="42" t="n">
        <v>46227</v>
      </c>
      <c r="L21" s="32" t="n">
        <v>1</v>
      </c>
      <c r="M21" s="32" t="n">
        <v>1</v>
      </c>
    </row>
    <row r="22" ht="42" customHeight="1" s="34">
      <c r="A22" s="32" t="inlineStr">
        <is>
          <t>HC-14</t>
        </is>
      </c>
      <c r="B22" s="32" t="inlineStr">
        <is>
          <t>Changelog</t>
        </is>
      </c>
      <c r="C22" s="32" t="inlineStr">
        <is>
          <t>HoverCard</t>
        </is>
      </c>
      <c r="D22" s="32" t="inlineStr">
        <is>
          <t>The component owns a public changelog.</t>
        </is>
      </c>
      <c r="E22" s="32" t="inlineStr">
        <is>
          <t>package</t>
        </is>
      </c>
      <c r="F22" s="32" t="inlineStr">
        <is>
          <t>docs</t>
        </is>
      </c>
      <c r="G22" s="32" t="inlineStr">
        <is>
          <t>../docs/components/hover-card/CHANGELOG.md</t>
        </is>
      </c>
      <c r="H22" s="32" t="inlineStr">
        <is>
          <t>tested</t>
        </is>
      </c>
      <c r="I22" s="32" t="inlineStr">
        <is>
          <t>no</t>
        </is>
      </c>
      <c r="J22" s="42" t="n">
        <v>46227</v>
      </c>
      <c r="L22" s="32" t="n">
        <v>1</v>
      </c>
      <c r="M22" s="32" t="n">
        <v>1</v>
      </c>
    </row>
    <row r="23" ht="42" customHeight="1" s="34">
      <c r="A23" s="32" t="inlineStr">
        <is>
          <t>HC-15</t>
        </is>
      </c>
      <c r="B23" s="32" t="inlineStr">
        <is>
          <t>Consumer</t>
        </is>
      </c>
      <c r="C23" s="32" t="inlineStr">
        <is>
          <t>HoverCard</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HC-16</t>
        </is>
      </c>
      <c r="B24" s="32" t="inlineStr">
        <is>
          <t>Package</t>
        </is>
      </c>
      <c r="C24" s="32" t="inlineStr">
        <is>
          <t>HoverCard</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Icon Button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IB-01</t>
        </is>
      </c>
      <c r="B9" s="32" t="inlineStr">
        <is>
          <t>Implementation</t>
        </is>
      </c>
      <c r="C9" s="32" t="inlineStr">
        <is>
          <t>IconButton</t>
        </is>
      </c>
      <c r="D9" s="32" t="inlineStr">
        <is>
          <t>Public component implementation and Atom adapter exist.</t>
        </is>
      </c>
      <c r="E9" s="32" t="inlineStr">
        <is>
          <t>package</t>
        </is>
      </c>
      <c r="F9" s="32" t="inlineStr">
        <is>
          <t>source</t>
        </is>
      </c>
      <c r="G9" s="32" t="inlineStr">
        <is>
          <t>../src/components/icon-button</t>
        </is>
      </c>
      <c r="H9" s="32" t="inlineStr">
        <is>
          <t>tested</t>
        </is>
      </c>
      <c r="I9" s="32" t="inlineStr">
        <is>
          <t>no</t>
        </is>
      </c>
      <c r="J9" s="42" t="n">
        <v>46227</v>
      </c>
      <c r="L9" s="32" t="n">
        <v>1</v>
      </c>
      <c r="M9" s="32" t="n">
        <v>1</v>
      </c>
    </row>
    <row r="10" ht="42" customHeight="1" s="34">
      <c r="A10" s="32" t="inlineStr">
        <is>
          <t>IB-02</t>
        </is>
      </c>
      <c r="B10" s="32" t="inlineStr">
        <is>
          <t>Exports</t>
        </is>
      </c>
      <c r="C10" s="32" t="inlineStr">
        <is>
          <t>IconButton</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IB-03</t>
        </is>
      </c>
      <c r="B11" s="32" t="inlineStr">
        <is>
          <t>Types</t>
        </is>
      </c>
      <c r="C11" s="32" t="inlineStr">
        <is>
          <t>IconButton</t>
        </is>
      </c>
      <c r="D11" s="32" t="inlineStr">
        <is>
          <t>Public props, refs, composition branches, and invalid cases type-check.</t>
        </is>
      </c>
      <c r="E11" s="32" t="inlineStr">
        <is>
          <t>package</t>
        </is>
      </c>
      <c r="F11" s="32" t="inlineStr">
        <is>
          <t>types</t>
        </is>
      </c>
      <c r="G11" s="32" t="inlineStr">
        <is>
          <t>../test/types/components/icon-button.test.ts</t>
        </is>
      </c>
      <c r="H11" s="32" t="inlineStr">
        <is>
          <t>tested</t>
        </is>
      </c>
      <c r="I11" s="32" t="inlineStr">
        <is>
          <t>no</t>
        </is>
      </c>
      <c r="J11" s="42" t="n">
        <v>46227</v>
      </c>
      <c r="L11" s="32" t="n">
        <v>1</v>
      </c>
      <c r="M11" s="32" t="n">
        <v>1</v>
      </c>
    </row>
    <row r="12" ht="42" customHeight="1" s="34">
      <c r="A12" s="32" t="inlineStr">
        <is>
          <t>IB-04</t>
        </is>
      </c>
      <c r="B12" s="32" t="inlineStr">
        <is>
          <t>CSS</t>
        </is>
      </c>
      <c r="C12" s="32" t="inlineStr">
        <is>
          <t>IconButton</t>
        </is>
      </c>
      <c r="D12" s="32" t="inlineStr">
        <is>
          <t>Static public CSS, classes, slots, recipes, states, and tokens are present.</t>
        </is>
      </c>
      <c r="E12" s="32" t="inlineStr">
        <is>
          <t>package</t>
        </is>
      </c>
      <c r="F12" s="32" t="inlineStr">
        <is>
          <t>css</t>
        </is>
      </c>
      <c r="G12" s="32" t="inlineStr">
        <is>
          <t>../src/components/icon-button/icon-button.css</t>
        </is>
      </c>
      <c r="H12" s="32" t="inlineStr">
        <is>
          <t>tested</t>
        </is>
      </c>
      <c r="I12" s="32" t="inlineStr">
        <is>
          <t>no</t>
        </is>
      </c>
      <c r="J12" s="42" t="n">
        <v>46227</v>
      </c>
      <c r="L12" s="32" t="n">
        <v>1</v>
      </c>
      <c r="M12" s="32" t="n">
        <v>1</v>
      </c>
    </row>
    <row r="13" ht="42" customHeight="1" s="34">
      <c r="A13" s="32" t="inlineStr">
        <is>
          <t>IB-05</t>
        </is>
      </c>
      <c r="B13" s="32" t="inlineStr">
        <is>
          <t>Unit</t>
        </is>
      </c>
      <c r="C13" s="32" t="inlineStr">
        <is>
          <t>IconButton</t>
        </is>
      </c>
      <c r="D13" s="32" t="inlineStr">
        <is>
          <t>Brick-owned DOM, recipes, adapters, and public hooks pass focused tests.</t>
        </is>
      </c>
      <c r="E13" s="32" t="inlineStr">
        <is>
          <t>package</t>
        </is>
      </c>
      <c r="F13" s="32" t="inlineStr">
        <is>
          <t>component</t>
        </is>
      </c>
      <c r="G13" s="32" t="inlineStr">
        <is>
          <t>../test/components/icon-button/icon-button.test.tsx</t>
        </is>
      </c>
      <c r="H13" s="32" t="inlineStr">
        <is>
          <t>tested</t>
        </is>
      </c>
      <c r="I13" s="32" t="inlineStr">
        <is>
          <t>no</t>
        </is>
      </c>
      <c r="J13" s="42" t="n">
        <v>46227</v>
      </c>
      <c r="L13" s="32" t="n">
        <v>1</v>
      </c>
      <c r="M13" s="32" t="n">
        <v>1</v>
      </c>
    </row>
    <row r="14" ht="42" customHeight="1" s="34">
      <c r="A14" s="32" t="inlineStr">
        <is>
          <t>IB-06</t>
        </is>
      </c>
      <c r="B14" s="32" t="inlineStr">
        <is>
          <t>Browser</t>
        </is>
      </c>
      <c r="C14" s="32" t="inlineStr">
        <is>
          <t>IconButton</t>
        </is>
      </c>
      <c r="D14" s="32" t="inlineStr">
        <is>
          <t>Real-browser behavior and component contract checks pass.</t>
        </is>
      </c>
      <c r="E14" s="32" t="inlineStr">
        <is>
          <t>package</t>
        </is>
      </c>
      <c r="F14" s="32" t="inlineStr">
        <is>
          <t>browser</t>
        </is>
      </c>
      <c r="G14" s="32" t="inlineStr">
        <is>
          <t>tests/components/icon-button/behavior.spec.ts</t>
        </is>
      </c>
      <c r="H14" s="32" t="inlineStr">
        <is>
          <t>tested</t>
        </is>
      </c>
      <c r="I14" s="32" t="inlineStr">
        <is>
          <t>no</t>
        </is>
      </c>
      <c r="J14" s="42" t="n">
        <v>46227</v>
      </c>
      <c r="L14" s="32" t="n">
        <v>1</v>
      </c>
      <c r="M14" s="32" t="n">
        <v>1</v>
      </c>
    </row>
    <row r="15" ht="42" customHeight="1" s="34">
      <c r="A15" s="32" t="inlineStr">
        <is>
          <t>IB-07</t>
        </is>
      </c>
      <c r="B15" s="32" t="inlineStr">
        <is>
          <t>Accessibility</t>
        </is>
      </c>
      <c r="C15" s="32" t="inlineStr">
        <is>
          <t>IconButton</t>
        </is>
      </c>
      <c r="D15" s="32" t="inlineStr">
        <is>
          <t>Automated semantics and accessibility checks pass in the browser evidence suite.</t>
        </is>
      </c>
      <c r="E15" s="32" t="inlineStr">
        <is>
          <t>package</t>
        </is>
      </c>
      <c r="F15" s="32" t="inlineStr">
        <is>
          <t>axe</t>
        </is>
      </c>
      <c r="G15" s="32" t="inlineStr">
        <is>
          <t>tests/components/icon-button/behavior.spec.ts; tests/integration</t>
        </is>
      </c>
      <c r="H15" s="32" t="inlineStr">
        <is>
          <t>tested</t>
        </is>
      </c>
      <c r="I15" s="32" t="inlineStr">
        <is>
          <t>no</t>
        </is>
      </c>
      <c r="J15" s="42" t="n">
        <v>46227</v>
      </c>
      <c r="L15" s="32" t="n">
        <v>1</v>
      </c>
      <c r="M15" s="32" t="n">
        <v>1</v>
      </c>
    </row>
    <row r="16" ht="42" customHeight="1" s="34">
      <c r="A16" s="32" t="inlineStr">
        <is>
          <t>IB-08</t>
        </is>
      </c>
      <c r="B16" s="32" t="inlineStr">
        <is>
          <t>Visual</t>
        </is>
      </c>
      <c r="C16" s="32" t="inlineStr">
        <is>
          <t>IconButton</t>
        </is>
      </c>
      <c r="D16" s="32" t="inlineStr">
        <is>
          <t>Reviewed baselines cover the component's risk-selected recipes and states.</t>
        </is>
      </c>
      <c r="E16" s="32" t="inlineStr">
        <is>
          <t>package</t>
        </is>
      </c>
      <c r="F16" s="32" t="inlineStr">
        <is>
          <t>visual</t>
        </is>
      </c>
      <c r="G16" s="32" t="inlineStr">
        <is>
          <t>tests/components/icon-button/visual.spec.ts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IB-09</t>
        </is>
      </c>
      <c r="B17" s="32" t="inlineStr">
        <is>
          <t>Responsive</t>
        </is>
      </c>
      <c r="C17" s="32" t="inlineStr">
        <is>
          <t>IconButton</t>
        </is>
      </c>
      <c r="D17" s="32" t="inlineStr">
        <is>
          <t>Mobile, zoom/reflow, content stress, and RTL remain usable and contained.</t>
        </is>
      </c>
      <c r="E17" s="32" t="inlineStr">
        <is>
          <t>package</t>
        </is>
      </c>
      <c r="F17" s="32" t="inlineStr">
        <is>
          <t>manual</t>
        </is>
      </c>
      <c r="G17" s="32" t="inlineStr">
        <is>
          <t>manual-tests/icon-button.md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IB-10</t>
        </is>
      </c>
      <c r="B18" s="32" t="inlineStr">
        <is>
          <t>Theme</t>
        </is>
      </c>
      <c r="C18" s="32" t="inlineStr">
        <is>
          <t>IconButton</t>
        </is>
      </c>
      <c r="D18" s="32" t="inlineStr">
        <is>
          <t>Light, dark, focus, forced-colors, and relevant motion behavior remain perceivable.</t>
        </is>
      </c>
      <c r="E18" s="32" t="inlineStr">
        <is>
          <t>package</t>
        </is>
      </c>
      <c r="F18" s="32" t="inlineStr">
        <is>
          <t>manual</t>
        </is>
      </c>
      <c r="G18" s="32" t="inlineStr">
        <is>
          <t>manual-tests/icon-button.md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IB-11</t>
        </is>
      </c>
      <c r="B19" s="32" t="inlineStr">
        <is>
          <t>Composition</t>
        </is>
      </c>
      <c r="C19" s="32" t="inlineStr">
        <is>
          <t>IconButton</t>
        </is>
      </c>
      <c r="D19" s="32" t="inlineStr">
        <is>
          <t>Default, render, and asChild output preserve the intended element, slots, state, and relationships.</t>
        </is>
      </c>
      <c r="E19" s="32" t="inlineStr">
        <is>
          <t>package</t>
        </is>
      </c>
      <c r="F19" s="32" t="inlineStr">
        <is>
          <t>manual</t>
        </is>
      </c>
      <c r="G19" s="32" t="inlineStr">
        <is>
          <t>manual-tests/icon-button.md; tests/components/icon-button/behavior.spec.ts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IB-12</t>
        </is>
      </c>
      <c r="B20" s="32" t="inlineStr">
        <is>
          <t>Manual</t>
        </is>
      </c>
      <c r="C20" s="32" t="inlineStr">
        <is>
          <t>IconButton</t>
        </is>
      </c>
      <c r="D20" s="32" t="inlineStr">
        <is>
          <t>The complete component-owned manual protocol passed against every playground scenario.</t>
        </is>
      </c>
      <c r="E20" s="32" t="inlineStr">
        <is>
          <t>package</t>
        </is>
      </c>
      <c r="F20" s="32" t="inlineStr">
        <is>
          <t>manual</t>
        </is>
      </c>
      <c r="G20" s="32" t="inlineStr">
        <is>
          <t>manual-tests/icon-button.md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IB-13</t>
        </is>
      </c>
      <c r="B21" s="32" t="inlineStr">
        <is>
          <t>Docs</t>
        </is>
      </c>
      <c r="C21" s="32" t="inlineStr">
        <is>
          <t>IconButton</t>
        </is>
      </c>
      <c r="D21" s="32" t="inlineStr">
        <is>
          <t>Public usage documentation exists at the component-owned path.</t>
        </is>
      </c>
      <c r="E21" s="32" t="inlineStr">
        <is>
          <t>package</t>
        </is>
      </c>
      <c r="F21" s="32" t="inlineStr">
        <is>
          <t>docs</t>
        </is>
      </c>
      <c r="G21" s="32" t="inlineStr">
        <is>
          <t>../docs/components/icon-button/README.md</t>
        </is>
      </c>
      <c r="H21" s="32" t="inlineStr">
        <is>
          <t>tested</t>
        </is>
      </c>
      <c r="I21" s="32" t="inlineStr">
        <is>
          <t>no</t>
        </is>
      </c>
      <c r="J21" s="42" t="n">
        <v>46227</v>
      </c>
      <c r="L21" s="32" t="n">
        <v>1</v>
      </c>
      <c r="M21" s="32" t="n">
        <v>1</v>
      </c>
    </row>
    <row r="22" ht="42" customHeight="1" s="34">
      <c r="A22" s="32" t="inlineStr">
        <is>
          <t>IB-14</t>
        </is>
      </c>
      <c r="B22" s="32" t="inlineStr">
        <is>
          <t>Changelog</t>
        </is>
      </c>
      <c r="C22" s="32" t="inlineStr">
        <is>
          <t>IconButton</t>
        </is>
      </c>
      <c r="D22" s="32" t="inlineStr">
        <is>
          <t>The component owns a public changelog.</t>
        </is>
      </c>
      <c r="E22" s="32" t="inlineStr">
        <is>
          <t>package</t>
        </is>
      </c>
      <c r="F22" s="32" t="inlineStr">
        <is>
          <t>docs</t>
        </is>
      </c>
      <c r="G22" s="32" t="inlineStr">
        <is>
          <t>../docs/components/icon-button/CHANGELOG.md</t>
        </is>
      </c>
      <c r="H22" s="32" t="inlineStr">
        <is>
          <t>tested</t>
        </is>
      </c>
      <c r="I22" s="32" t="inlineStr">
        <is>
          <t>no</t>
        </is>
      </c>
      <c r="J22" s="42" t="n">
        <v>46227</v>
      </c>
      <c r="L22" s="32" t="n">
        <v>1</v>
      </c>
      <c r="M22" s="32" t="n">
        <v>1</v>
      </c>
    </row>
    <row r="23" ht="42" customHeight="1" s="34">
      <c r="A23" s="32" t="inlineStr">
        <is>
          <t>IB-15</t>
        </is>
      </c>
      <c r="B23" s="32" t="inlineStr">
        <is>
          <t>Consumer</t>
        </is>
      </c>
      <c r="C23" s="32" t="inlineStr">
        <is>
          <t>IconButton</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IB-16</t>
        </is>
      </c>
      <c r="B24" s="32" t="inlineStr">
        <is>
          <t>Package</t>
        </is>
      </c>
      <c r="C24" s="32" t="inlineStr">
        <is>
          <t>IconButton</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Input Evidence</t>
        </is>
      </c>
    </row>
    <row r="2" ht="27.75" customHeight="1" s="34">
      <c r="A2" s="36" t="inlineStr">
        <is>
          <t>Assertion-level package, browser, human-review, documentation, and consumer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I-01</t>
        </is>
      </c>
      <c r="B9" s="43" t="inlineStr">
        <is>
          <t>Implementation</t>
        </is>
      </c>
      <c r="C9" s="43" t="inlineStr">
        <is>
          <t>Input</t>
        </is>
      </c>
      <c r="D9" s="44" t="inlineStr">
        <is>
          <t>Brick wrapper, native input ref, adornments, and Atom-powered Clear are implemented.</t>
        </is>
      </c>
      <c r="E9" s="43" t="inlineStr">
        <is>
          <t>package</t>
        </is>
      </c>
      <c r="F9" s="43" t="inlineStr">
        <is>
          <t>source</t>
        </is>
      </c>
      <c r="G9" s="44" t="inlineStr">
        <is>
          <t>../src/components/input</t>
        </is>
      </c>
      <c r="H9" s="43" t="inlineStr">
        <is>
          <t>tested</t>
        </is>
      </c>
      <c r="I9" s="43" t="inlineStr">
        <is>
          <t>no</t>
        </is>
      </c>
      <c r="J9" s="45" t="n">
        <v>46227</v>
      </c>
      <c r="K9" s="44" t="n"/>
      <c r="L9" s="43" t="n">
        <v>1</v>
      </c>
      <c r="M9" s="43">
        <f>IF(OR(AND(I9="yes",H9="verified"),AND(I9="no",OR(H9="tested",H9="verified")),AND(H9="not applicable",K9&lt;&gt;"")),1,0)</f>
        <v/>
      </c>
    </row>
    <row r="10" ht="54" customHeight="1" s="34">
      <c r="A10" s="43" t="inlineStr">
        <is>
          <t>I-02</t>
        </is>
      </c>
      <c r="B10" s="43" t="inlineStr">
        <is>
          <t>Exports</t>
        </is>
      </c>
      <c r="C10" s="43" t="inlineStr">
        <is>
          <t>Input</t>
        </is>
      </c>
      <c r="D10" s="44" t="inlineStr">
        <is>
          <t>Root and public Input subpath exports expose runtime and type surfaces.</t>
        </is>
      </c>
      <c r="E10" s="43" t="inlineStr">
        <is>
          <t>package</t>
        </is>
      </c>
      <c r="F10" s="43" t="inlineStr">
        <is>
          <t>package</t>
        </is>
      </c>
      <c r="G10" s="44" t="inlineStr">
        <is>
          <t>../test/package/package.test.mjs</t>
        </is>
      </c>
      <c r="H10" s="43" t="inlineStr">
        <is>
          <t>tested</t>
        </is>
      </c>
      <c r="I10" s="43" t="inlineStr">
        <is>
          <t>no</t>
        </is>
      </c>
      <c r="J10" s="45" t="n">
        <v>46227</v>
      </c>
      <c r="K10" s="44" t="n"/>
      <c r="L10" s="43" t="n">
        <v>1</v>
      </c>
      <c r="M10" s="43">
        <f>IF(OR(AND(I10="yes",H10="verified"),AND(I10="no",OR(H10="tested",H10="verified")),AND(H10="not applicable",K10&lt;&gt;"")),1,0)</f>
        <v/>
      </c>
    </row>
    <row r="11" ht="54" customHeight="1" s="34">
      <c r="A11" s="43" t="inlineStr">
        <is>
          <t>I-03</t>
        </is>
      </c>
      <c r="B11" s="43" t="inlineStr">
        <is>
          <t>Types</t>
        </is>
      </c>
      <c r="C11" s="43" t="inlineStr">
        <is>
          <t>Input</t>
        </is>
      </c>
      <c r="D11" s="44" t="inlineStr">
        <is>
          <t>Recipes, native text types, ref, underline shape exclusion, and native size collision type-check.</t>
        </is>
      </c>
      <c r="E11" s="43" t="inlineStr">
        <is>
          <t>package</t>
        </is>
      </c>
      <c r="F11" s="43" t="inlineStr">
        <is>
          <t>types</t>
        </is>
      </c>
      <c r="G11" s="44" t="inlineStr">
        <is>
          <t>../test/types/components/input.test.ts</t>
        </is>
      </c>
      <c r="H11" s="43" t="inlineStr">
        <is>
          <t>tested</t>
        </is>
      </c>
      <c r="I11" s="43" t="inlineStr">
        <is>
          <t>no</t>
        </is>
      </c>
      <c r="J11" s="45" t="n">
        <v>46227</v>
      </c>
      <c r="K11" s="44" t="n"/>
      <c r="L11" s="43" t="n">
        <v>1</v>
      </c>
      <c r="M11" s="43">
        <f>IF(OR(AND(I11="yes",H11="verified"),AND(I11="no",OR(H11="tested",H11="verified")),AND(H11="not applicable",K11&lt;&gt;"")),1,0)</f>
        <v/>
      </c>
    </row>
    <row r="12" ht="54" customHeight="1" s="34">
      <c r="A12" s="43" t="inlineStr">
        <is>
          <t>I-04</t>
        </is>
      </c>
      <c r="B12" s="43" t="inlineStr">
        <is>
          <t>CSS</t>
        </is>
      </c>
      <c r="C12" s="43" t="inlineStr">
        <is>
          <t>Input</t>
        </is>
      </c>
      <c r="D12" s="44" t="inlineStr">
        <is>
          <t>Recipes, sizes, shapes, states, adornment geometry, logical layout, and public tokens ship as static CSS.</t>
        </is>
      </c>
      <c r="E12" s="43" t="inlineStr">
        <is>
          <t>package</t>
        </is>
      </c>
      <c r="F12" s="43" t="inlineStr">
        <is>
          <t>css</t>
        </is>
      </c>
      <c r="G12" s="44" t="inlineStr">
        <is>
          <t>../src/components/input/input.css</t>
        </is>
      </c>
      <c r="H12" s="43" t="inlineStr">
        <is>
          <t>tested</t>
        </is>
      </c>
      <c r="I12" s="43" t="inlineStr">
        <is>
          <t>no</t>
        </is>
      </c>
      <c r="J12" s="45" t="n">
        <v>46227</v>
      </c>
      <c r="K12" s="44" t="n"/>
      <c r="L12" s="43" t="n">
        <v>1</v>
      </c>
      <c r="M12" s="43">
        <f>IF(OR(AND(I12="yes",H12="verified"),AND(I12="no",OR(H12="tested",H12="verified")),AND(H12="not applicable",K12&lt;&gt;"")),1,0)</f>
        <v/>
      </c>
    </row>
    <row r="13" ht="54" customHeight="1" s="34">
      <c r="A13" s="43" t="inlineStr">
        <is>
          <t>I-05</t>
        </is>
      </c>
      <c r="B13" s="43" t="inlineStr">
        <is>
          <t>Unit</t>
        </is>
      </c>
      <c r="C13" s="43" t="inlineStr">
        <is>
          <t>Input</t>
        </is>
      </c>
      <c r="D13" s="44" t="inlineStr">
        <is>
          <t>Defaults, DOM order, refs, hooks, Clear delegation, prop filtering, and state adaptation pass focused tests.</t>
        </is>
      </c>
      <c r="E13" s="43" t="inlineStr">
        <is>
          <t>package</t>
        </is>
      </c>
      <c r="F13" s="43" t="inlineStr">
        <is>
          <t>component</t>
        </is>
      </c>
      <c r="G13" s="44" t="inlineStr">
        <is>
          <t>../test/components/input/input.test.tsx</t>
        </is>
      </c>
      <c r="H13" s="43" t="inlineStr">
        <is>
          <t>tested</t>
        </is>
      </c>
      <c r="I13" s="43" t="inlineStr">
        <is>
          <t>no</t>
        </is>
      </c>
      <c r="J13" s="45" t="n">
        <v>46227</v>
      </c>
      <c r="K13" s="44" t="n"/>
      <c r="L13" s="43" t="n">
        <v>1</v>
      </c>
      <c r="M13" s="43">
        <f>IF(OR(AND(I13="yes",H13="verified"),AND(I13="no",OR(H13="tested",H13="verified")),AND(H13="not applicable",K13&lt;&gt;"")),1,0)</f>
        <v/>
      </c>
    </row>
    <row r="14" ht="54" customHeight="1" s="34">
      <c r="A14" s="43" t="inlineStr">
        <is>
          <t>I-06</t>
        </is>
      </c>
      <c r="B14" s="43" t="inlineStr">
        <is>
          <t>Browser</t>
        </is>
      </c>
      <c r="C14" s="43" t="inlineStr">
        <is>
          <t>Input</t>
        </is>
      </c>
      <c r="D14" s="44" t="inlineStr">
        <is>
          <t>Real-browser recipes, geometry, ownership, native form behavior, output, adornments, and Clear checks pass.</t>
        </is>
      </c>
      <c r="E14" s="43" t="inlineStr">
        <is>
          <t>package</t>
        </is>
      </c>
      <c r="F14" s="43" t="inlineStr">
        <is>
          <t>browser</t>
        </is>
      </c>
      <c r="G14" s="44" t="inlineStr">
        <is>
          <t>tests/components/input/behavior.spec.ts</t>
        </is>
      </c>
      <c r="H14" s="43" t="inlineStr">
        <is>
          <t>tested</t>
        </is>
      </c>
      <c r="I14" s="43" t="inlineStr">
        <is>
          <t>no</t>
        </is>
      </c>
      <c r="J14" s="45" t="n">
        <v>46227</v>
      </c>
      <c r="K14" s="44" t="n"/>
      <c r="L14" s="43" t="n">
        <v>1</v>
      </c>
      <c r="M14" s="43">
        <f>IF(OR(AND(I14="yes",H14="verified"),AND(I14="no",OR(H14="tested",H14="verified")),AND(H14="not applicable",K14&lt;&gt;"")),1,0)</f>
        <v/>
      </c>
    </row>
    <row r="15" ht="54" customHeight="1" s="34">
      <c r="A15" s="43" t="inlineStr">
        <is>
          <t>I-07</t>
        </is>
      </c>
      <c r="B15" s="43" t="inlineStr">
        <is>
          <t>Accessibility</t>
        </is>
      </c>
      <c r="C15" s="43" t="inlineStr">
        <is>
          <t>Input</t>
        </is>
      </c>
      <c r="D15" s="44" t="inlineStr">
        <is>
          <t>Field naming and relationships, native availability states, focus restoration, and axe checks pass.</t>
        </is>
      </c>
      <c r="E15" s="43" t="inlineStr">
        <is>
          <t>package</t>
        </is>
      </c>
      <c r="F15" s="43" t="inlineStr">
        <is>
          <t>axe</t>
        </is>
      </c>
      <c r="G15" s="44" t="inlineStr">
        <is>
          <t>tests/components/input/behavior.spec.ts; tests/integration/form-foundation.spec.ts</t>
        </is>
      </c>
      <c r="H15" s="43" t="inlineStr">
        <is>
          <t>tested</t>
        </is>
      </c>
      <c r="I15" s="43" t="inlineStr">
        <is>
          <t>no</t>
        </is>
      </c>
      <c r="J15" s="45" t="n">
        <v>46227</v>
      </c>
      <c r="K15" s="44" t="n"/>
      <c r="L15" s="43" t="n">
        <v>1</v>
      </c>
      <c r="M15" s="43">
        <f>IF(OR(AND(I15="yes",H15="verified"),AND(I15="no",OR(H15="tested",H15="verified")),AND(H15="not applicable",K15&lt;&gt;"")),1,0)</f>
        <v/>
      </c>
    </row>
    <row r="16" ht="54" customHeight="1" s="34">
      <c r="A16" s="43" t="inlineStr">
        <is>
          <t>I-08</t>
        </is>
      </c>
      <c r="B16" s="43" t="inlineStr">
        <is>
          <t>Visual</t>
        </is>
      </c>
      <c r="C16" s="43" t="inlineStr">
        <is>
          <t>Input</t>
        </is>
      </c>
      <c r="D16" s="44" t="inlineStr">
        <is>
          <t>Reviewed baselines cover defaults, recipes, geometry, adornments, states, appearance, RTL, and forced colors.</t>
        </is>
      </c>
      <c r="E16" s="43" t="inlineStr">
        <is>
          <t>package</t>
        </is>
      </c>
      <c r="F16" s="43" t="inlineStr">
        <is>
          <t>visual</t>
        </is>
      </c>
      <c r="G16" s="44" t="inlineStr">
        <is>
          <t>tests/components/input/visual.spec.ts</t>
        </is>
      </c>
      <c r="H16" s="43" t="inlineStr">
        <is>
          <t>verified</t>
        </is>
      </c>
      <c r="I16" s="43" t="inlineStr">
        <is>
          <t>yes</t>
        </is>
      </c>
      <c r="J16" s="45" t="n">
        <v>46227</v>
      </c>
      <c r="K16" s="44" t="inlineStr">
        <is>
          <t>Owner reviewed and corrected the current Input playground evidence.</t>
        </is>
      </c>
      <c r="L16" s="43" t="n">
        <v>1</v>
      </c>
      <c r="M16" s="43">
        <f>IF(OR(AND(I16="yes",H16="verified"),AND(I16="no",OR(H16="tested",H16="verified")),AND(H16="not applicable",K16&lt;&gt;"")),1,0)</f>
        <v/>
      </c>
    </row>
    <row r="17" ht="54" customHeight="1" s="34">
      <c r="A17" s="43" t="inlineStr">
        <is>
          <t>I-09</t>
        </is>
      </c>
      <c r="B17" s="43" t="inlineStr">
        <is>
          <t>Responsive</t>
        </is>
      </c>
      <c r="C17" s="43" t="inlineStr">
        <is>
          <t>Input</t>
        </is>
      </c>
      <c r="D17" s="44" t="inlineStr">
        <is>
          <t>Physical mobile, 200%/400% zoom, long-value stress, and RTL remain usable and contained.</t>
        </is>
      </c>
      <c r="E17" s="43" t="inlineStr">
        <is>
          <t>package</t>
        </is>
      </c>
      <c r="F17" s="43" t="inlineStr">
        <is>
          <t>manual</t>
        </is>
      </c>
      <c r="G17" s="44" t="inlineStr">
        <is>
          <t>manual-tests/input.md</t>
        </is>
      </c>
      <c r="H17" s="43" t="inlineStr">
        <is>
          <t>implemented</t>
        </is>
      </c>
      <c r="I17" s="43" t="inlineStr">
        <is>
          <t>yes</t>
        </is>
      </c>
      <c r="J17" s="45" t="n"/>
      <c r="K17" s="44" t="inlineStr">
        <is>
          <t>Manual protocol exists; physical device and zoom review have not been recorded.</t>
        </is>
      </c>
      <c r="L17" s="43" t="n">
        <v>1</v>
      </c>
      <c r="M17" s="43">
        <f>IF(OR(AND(I17="yes",H17="verified"),AND(I17="no",OR(H17="tested",H17="verified")),AND(H17="not applicable",K17&lt;&gt;"")),1,0)</f>
        <v/>
      </c>
    </row>
    <row r="18" ht="54" customHeight="1" s="34">
      <c r="A18" s="43" t="inlineStr">
        <is>
          <t>I-10</t>
        </is>
      </c>
      <c r="B18" s="43" t="inlineStr">
        <is>
          <t>Theme</t>
        </is>
      </c>
      <c r="C18" s="43" t="inlineStr">
        <is>
          <t>Input</t>
        </is>
      </c>
      <c r="D18" s="44" t="inlineStr">
        <is>
          <t>Light, dark, focus, invalid, forced-colors, and reduced-motion treatment remain perceivable.</t>
        </is>
      </c>
      <c r="E18" s="43" t="inlineStr">
        <is>
          <t>package</t>
        </is>
      </c>
      <c r="F18" s="43" t="inlineStr">
        <is>
          <t>manual</t>
        </is>
      </c>
      <c r="G18" s="44" t="inlineStr">
        <is>
          <t>manual-tests/input.md; tests/components/input/visual.spec.ts</t>
        </is>
      </c>
      <c r="H18" s="43" t="inlineStr">
        <is>
          <t>implemented</t>
        </is>
      </c>
      <c r="I18" s="43" t="inlineStr">
        <is>
          <t>yes</t>
        </is>
      </c>
      <c r="J18" s="45" t="n"/>
      <c r="K18" s="44" t="inlineStr">
        <is>
          <t>Automated evidence passes; human appearance review is not fully recorded.</t>
        </is>
      </c>
      <c r="L18" s="43" t="n">
        <v>1</v>
      </c>
      <c r="M18" s="43">
        <f>IF(OR(AND(I18="yes",H18="verified"),AND(I18="no",OR(H18="tested",H18="verified")),AND(H18="not applicable",K18&lt;&gt;"")),1,0)</f>
        <v/>
      </c>
    </row>
    <row r="19" ht="54" customHeight="1" s="34">
      <c r="A19" s="43" t="inlineStr">
        <is>
          <t>I-11</t>
        </is>
      </c>
      <c r="B19" s="43" t="inlineStr">
        <is>
          <t>Composition</t>
        </is>
      </c>
      <c r="C19" s="43" t="inlineStr">
        <is>
          <t>Input</t>
        </is>
      </c>
      <c r="D19" s="44" t="inlineStr">
        <is>
          <t>Field/Form labels, descriptions, errors, external ownership, generated IDs, and rendered HTML match.</t>
        </is>
      </c>
      <c r="E19" s="43" t="inlineStr">
        <is>
          <t>package</t>
        </is>
      </c>
      <c r="F19" s="43" t="inlineStr">
        <is>
          <t>manual</t>
        </is>
      </c>
      <c r="G19" s="44" t="inlineStr">
        <is>
          <t>manual-tests/input.md; tests/components/input/behavior.spec.ts</t>
        </is>
      </c>
      <c r="H19" s="43" t="inlineStr">
        <is>
          <t>implemented</t>
        </is>
      </c>
      <c r="I19" s="43" t="inlineStr">
        <is>
          <t>yes</t>
        </is>
      </c>
      <c r="J19" s="45" t="n"/>
      <c r="K19" s="44" t="inlineStr">
        <is>
          <t>Automated relationships pass; the complete human output review is pending.</t>
        </is>
      </c>
      <c r="L19" s="43" t="n">
        <v>1</v>
      </c>
      <c r="M19" s="43">
        <f>IF(OR(AND(I19="yes",H19="verified"),AND(I19="no",OR(H19="tested",H19="verified")),AND(H19="not applicable",K19&lt;&gt;"")),1,0)</f>
        <v/>
      </c>
    </row>
    <row r="20" ht="54" customHeight="1" s="34">
      <c r="A20" s="43" t="inlineStr">
        <is>
          <t>I-12</t>
        </is>
      </c>
      <c r="B20" s="43" t="inlineStr">
        <is>
          <t>Manual</t>
        </is>
      </c>
      <c r="C20" s="43" t="inlineStr">
        <is>
          <t>Input</t>
        </is>
      </c>
      <c r="D20" s="44" t="inlineStr">
        <is>
          <t>The component-owned manual protocol passes every Input playground scenario.</t>
        </is>
      </c>
      <c r="E20" s="43" t="inlineStr">
        <is>
          <t>package</t>
        </is>
      </c>
      <c r="F20" s="43" t="inlineStr">
        <is>
          <t>manual</t>
        </is>
      </c>
      <c r="G20" s="44" t="inlineStr">
        <is>
          <t>manual-tests/input.md</t>
        </is>
      </c>
      <c r="H20" s="43" t="inlineStr">
        <is>
          <t>implemented</t>
        </is>
      </c>
      <c r="I20" s="43" t="inlineStr">
        <is>
          <t>yes</t>
        </is>
      </c>
      <c r="J20" s="45" t="n"/>
      <c r="K20" s="44" t="inlineStr">
        <is>
          <t>Protocol is intentionally unrun and contains no claimed result.</t>
        </is>
      </c>
      <c r="L20" s="43" t="n">
        <v>1</v>
      </c>
      <c r="M20" s="43">
        <f>IF(OR(AND(I20="yes",H20="verified"),AND(I20="no",OR(H20="tested",H20="verified")),AND(H20="not applicable",K20&lt;&gt;"")),1,0)</f>
        <v/>
      </c>
    </row>
    <row r="21" ht="54" customHeight="1" s="34">
      <c r="A21" s="43" t="inlineStr">
        <is>
          <t>I-13</t>
        </is>
      </c>
      <c r="B21" s="43" t="inlineStr">
        <is>
          <t>Docs</t>
        </is>
      </c>
      <c r="C21" s="43" t="inlineStr">
        <is>
          <t>Input</t>
        </is>
      </c>
      <c r="D21" s="44" t="inlineStr">
        <is>
          <t>Source-backed public usage and API documentation passes component documentation checks.</t>
        </is>
      </c>
      <c r="E21" s="43" t="inlineStr">
        <is>
          <t>package</t>
        </is>
      </c>
      <c r="F21" s="43" t="inlineStr">
        <is>
          <t>docs</t>
        </is>
      </c>
      <c r="G21" s="44" t="inlineStr">
        <is>
          <t>../docs/components/input/README.md</t>
        </is>
      </c>
      <c r="H21" s="43" t="inlineStr">
        <is>
          <t>tested</t>
        </is>
      </c>
      <c r="I21" s="43" t="inlineStr">
        <is>
          <t>no</t>
        </is>
      </c>
      <c r="J21" s="45" t="n">
        <v>46227</v>
      </c>
      <c r="K21" s="44" t="n"/>
      <c r="L21" s="43" t="n">
        <v>1</v>
      </c>
      <c r="M21" s="43">
        <f>IF(OR(AND(I21="yes",H21="verified"),AND(I21="no",OR(H21="tested",H21="verified")),AND(H21="not applicable",K21&lt;&gt;"")),1,0)</f>
        <v/>
      </c>
    </row>
    <row r="22" ht="54" customHeight="1" s="34">
      <c r="A22" s="43" t="inlineStr">
        <is>
          <t>I-14</t>
        </is>
      </c>
      <c r="B22" s="43" t="inlineStr">
        <is>
          <t>Changelog</t>
        </is>
      </c>
      <c r="C22" s="43" t="inlineStr">
        <is>
          <t>Input</t>
        </is>
      </c>
      <c r="D22" s="44" t="inlineStr">
        <is>
          <t>Input owns a public component changelog and the package changelog records its addition.</t>
        </is>
      </c>
      <c r="E22" s="43" t="inlineStr">
        <is>
          <t>package</t>
        </is>
      </c>
      <c r="F22" s="43" t="inlineStr">
        <is>
          <t>docs</t>
        </is>
      </c>
      <c r="G22" s="44" t="inlineStr">
        <is>
          <t>../docs/components/input/CHANGELOG.md; ../CHANGELOG.md</t>
        </is>
      </c>
      <c r="H22" s="43" t="inlineStr">
        <is>
          <t>tested</t>
        </is>
      </c>
      <c r="I22" s="43" t="inlineStr">
        <is>
          <t>no</t>
        </is>
      </c>
      <c r="J22" s="45" t="n">
        <v>46227</v>
      </c>
      <c r="K22" s="44" t="n"/>
      <c r="L22" s="43" t="n">
        <v>1</v>
      </c>
      <c r="M22" s="43">
        <f>IF(OR(AND(I22="yes",H22="verified"),AND(I22="no",OR(H22="tested",H22="verified")),AND(H22="not applicable",K22&lt;&gt;"")),1,0)</f>
        <v/>
      </c>
    </row>
    <row r="23" ht="54" customHeight="1" s="34">
      <c r="A23" s="43" t="inlineStr">
        <is>
          <t>I-15</t>
        </is>
      </c>
      <c r="B23" s="43" t="inlineStr">
        <is>
          <t>Consumer</t>
        </is>
      </c>
      <c r="C23" s="43" t="inlineStr">
        <is>
          <t>Input</t>
        </is>
      </c>
      <c r="D23" s="44" t="inlineStr">
        <is>
          <t>The packed Consumer proves Field, adornment, Clear, validation, submit, and reset through public imports.</t>
        </is>
      </c>
      <c r="E23" s="43" t="inlineStr">
        <is>
          <t>consumer</t>
        </is>
      </c>
      <c r="F23" s="43" t="inlineStr">
        <is>
          <t>consumer</t>
        </is>
      </c>
      <c r="G23" s="44" t="inlineStr">
        <is>
          <t>../apps/consumer/src/App.tsx; ../apps/consumer/tests/consumer.spec.ts</t>
        </is>
      </c>
      <c r="H23" s="43" t="inlineStr">
        <is>
          <t>tested</t>
        </is>
      </c>
      <c r="I23" s="43" t="inlineStr">
        <is>
          <t>no</t>
        </is>
      </c>
      <c r="J23" s="45" t="n">
        <v>46227</v>
      </c>
      <c r="K23" s="44" t="n"/>
      <c r="L23" s="43" t="n">
        <v>1</v>
      </c>
      <c r="M23" s="43">
        <f>IF(OR(AND(I23="yes",H23="verified"),AND(I23="no",OR(H23="tested",H23="verified")),AND(H23="not applicable",K23&lt;&gt;"")),1,0)</f>
        <v/>
      </c>
    </row>
    <row r="24" ht="54" customHeight="1" s="34">
      <c r="A24" s="43" t="inlineStr">
        <is>
          <t>I-16</t>
        </is>
      </c>
      <c r="B24" s="43" t="inlineStr">
        <is>
          <t>Package</t>
        </is>
      </c>
      <c r="C24" s="43" t="inlineStr">
        <is>
          <t>Input</t>
        </is>
      </c>
      <c r="D24" s="44" t="inlineStr">
        <is>
          <t>Build, SSR, exports, CSS, tarball, React 18/19, and packed-consumer verification pass.</t>
        </is>
      </c>
      <c r="E24" s="43" t="inlineStr">
        <is>
          <t>package</t>
        </is>
      </c>
      <c r="F24" s="43" t="inlineStr">
        <is>
          <t>package</t>
        </is>
      </c>
      <c r="G24" s="44" t="inlineStr">
        <is>
          <t>../test/package; ../scripts/verify-package.mjs; ../scripts/verify-consumers.mjs</t>
        </is>
      </c>
      <c r="H24" s="43" t="inlineStr">
        <is>
          <t>tested</t>
        </is>
      </c>
      <c r="I24" s="43" t="inlineStr">
        <is>
          <t>no</t>
        </is>
      </c>
      <c r="J24" s="45" t="n">
        <v>46227</v>
      </c>
      <c r="K24" s="44" t="n"/>
      <c r="L24" s="43" t="n">
        <v>1</v>
      </c>
      <c r="M24" s="43">
        <f>IF(OR(AND(I24="yes",H24="verified"),AND(I24="no",OR(H24="tested",H24="verified")),AND(H24="not applicable",K24&lt;&gt;"")),1,0)</f>
        <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Link Evidence</t>
        </is>
      </c>
    </row>
    <row r="2" ht="27.75" customHeight="1" s="34">
      <c r="A2" s="36" t="inlineStr">
        <is>
          <t>Assertion-level Atom-backed package, browser, human-review, documentation, Consumer, and composition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L-01</t>
        </is>
      </c>
      <c r="B9" s="43" t="inlineStr">
        <is>
          <t>Implementation</t>
        </is>
      </c>
      <c r="C9" s="43" t="inlineStr">
        <is>
          <t>Link</t>
        </is>
      </c>
      <c r="D9" s="44" t="inlineStr">
        <is>
          <t>Atom-backed anchor, visual recipes, content anatomy, native props, and HTMLAnchorElement ref are implemented.</t>
        </is>
      </c>
      <c r="E9" s="43" t="inlineStr">
        <is>
          <t>package</t>
        </is>
      </c>
      <c r="F9" s="43" t="inlineStr">
        <is>
          <t>source</t>
        </is>
      </c>
      <c r="G9" s="44" t="inlineStr">
        <is>
          <t>../src/components/link</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L-02</t>
        </is>
      </c>
      <c r="B10" s="43" t="inlineStr">
        <is>
          <t>Exports</t>
        </is>
      </c>
      <c r="C10" s="43" t="inlineStr">
        <is>
          <t>Link</t>
        </is>
      </c>
      <c r="D10" s="44" t="inlineStr">
        <is>
          <t>Root and public Link subpath exports expose runtime and complete public types.</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L-03</t>
        </is>
      </c>
      <c r="B11" s="43" t="inlineStr">
        <is>
          <t>Types</t>
        </is>
      </c>
      <c r="C11" s="43" t="inlineStr">
        <is>
          <t>Link</t>
        </is>
      </c>
      <c r="D11" s="44" t="inlineStr">
        <is>
          <t>Required native href, router composition, recipes, icon exclusion, native props, and ref contracts type-check.</t>
        </is>
      </c>
      <c r="E11" s="43" t="inlineStr">
        <is>
          <t>package</t>
        </is>
      </c>
      <c r="F11" s="43" t="inlineStr">
        <is>
          <t>types</t>
        </is>
      </c>
      <c r="G11" s="44" t="inlineStr">
        <is>
          <t>../test/types/components/link.test.ts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L-04</t>
        </is>
      </c>
      <c r="B12" s="43" t="inlineStr">
        <is>
          <t>CSS</t>
        </is>
      </c>
      <c r="C12" s="43" t="inlineStr">
        <is>
          <t>Link</t>
        </is>
      </c>
      <c r="D12" s="44" t="inlineStr">
        <is>
          <t>Static CSS ships decoration, tones, typography, focus, current, icon, appearance, and forced-color behavior.</t>
        </is>
      </c>
      <c r="E12" s="43" t="inlineStr">
        <is>
          <t>package</t>
        </is>
      </c>
      <c r="F12" s="43" t="inlineStr">
        <is>
          <t>css</t>
        </is>
      </c>
      <c r="G12" s="44" t="inlineStr">
        <is>
          <t>../src/components/link/link.css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L-05</t>
        </is>
      </c>
      <c r="B13" s="43" t="inlineStr">
        <is>
          <t>Unit</t>
        </is>
      </c>
      <c r="C13" s="43" t="inlineStr">
        <is>
          <t>Link</t>
        </is>
      </c>
      <c r="D13" s="44" t="inlineStr">
        <is>
          <t>Defaults, recipes, icon anatomy, native forwarding, refs, render, and asChild pass focused tests.</t>
        </is>
      </c>
      <c r="E13" s="43" t="inlineStr">
        <is>
          <t>package</t>
        </is>
      </c>
      <c r="F13" s="43" t="inlineStr">
        <is>
          <t>component</t>
        </is>
      </c>
      <c r="G13" s="44" t="inlineStr">
        <is>
          <t>../test/components/link/link.test.tsx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L-06</t>
        </is>
      </c>
      <c r="B14" s="43" t="inlineStr">
        <is>
          <t>Browser</t>
        </is>
      </c>
      <c r="C14" s="43" t="inlineStr">
        <is>
          <t>Link</t>
        </is>
      </c>
      <c r="D14" s="44" t="inlineStr">
        <is>
          <t>Native output, focus, controlled recipes, typography, icon geometry, RTL, composition, and customization pass.</t>
        </is>
      </c>
      <c r="E14" s="43" t="inlineStr">
        <is>
          <t>package</t>
        </is>
      </c>
      <c r="F14" s="43" t="inlineStr">
        <is>
          <t>browser</t>
        </is>
      </c>
      <c r="G14" s="44" t="inlineStr">
        <is>
          <t>tests/components/link/behavior.spec.ts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L-07</t>
        </is>
      </c>
      <c r="B15" s="43" t="inlineStr">
        <is>
          <t>Accessibility</t>
        </is>
      </c>
      <c r="C15" s="43" t="inlineStr">
        <is>
          <t>Link</t>
        </is>
      </c>
      <c r="D15" s="44" t="inlineStr">
        <is>
          <t>Native role/name/current state, focus affordance, responsive containment, decorative icons, and axe pass.</t>
        </is>
      </c>
      <c r="E15" s="43" t="inlineStr">
        <is>
          <t>package</t>
        </is>
      </c>
      <c r="F15" s="43" t="inlineStr">
        <is>
          <t>axe</t>
        </is>
      </c>
      <c r="G15" s="44" t="inlineStr">
        <is>
          <t>tests/components/link/behavior.spec.ts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L-08</t>
        </is>
      </c>
      <c r="B16" s="43" t="inlineStr">
        <is>
          <t>Visual</t>
        </is>
      </c>
      <c r="C16" s="43" t="inlineStr">
        <is>
          <t>Link</t>
        </is>
      </c>
      <c r="D16" s="44" t="inlineStr">
        <is>
          <t>Baselines cover default, recipes, content, composition, dark appearance, mobile RTL, and forced colors.</t>
        </is>
      </c>
      <c r="E16" s="43" t="inlineStr">
        <is>
          <t>package</t>
        </is>
      </c>
      <c r="F16" s="43" t="inlineStr">
        <is>
          <t>visual</t>
        </is>
      </c>
      <c r="G16" s="44" t="inlineStr">
        <is>
          <t>tests/components/link/visual.spec.ts</t>
        </is>
      </c>
      <c r="H16" s="43" t="inlineStr">
        <is>
          <t>verified</t>
        </is>
      </c>
      <c r="I16" s="43" t="inlineStr">
        <is>
          <t>yes</t>
        </is>
      </c>
      <c r="J16" s="45" t="n"/>
      <c r="K16" s="44" t="n"/>
      <c r="L16" s="43" t="n">
        <v>1</v>
      </c>
      <c r="M16" s="43">
        <f>IF(OR(AND(I16="yes",H16="verified"),AND(I16="no",OR(H16="tested",H16="verified")),AND(H16="not applicable",K16&lt;&gt;"")),1,0)</f>
        <v/>
      </c>
    </row>
    <row r="17" ht="54" customHeight="1" s="34">
      <c r="A17" s="43" t="inlineStr">
        <is>
          <t>L-09</t>
        </is>
      </c>
      <c r="B17" s="43" t="inlineStr">
        <is>
          <t>Responsive</t>
        </is>
      </c>
      <c r="C17" s="43" t="inlineStr">
        <is>
          <t>Link</t>
        </is>
      </c>
      <c r="D17" s="44" t="inlineStr">
        <is>
          <t>Physical mobile, 200%/400% zoom, text spacing, long content, and RTL remain readable and contained.</t>
        </is>
      </c>
      <c r="E17" s="43" t="inlineStr">
        <is>
          <t>package</t>
        </is>
      </c>
      <c r="F17" s="43" t="inlineStr">
        <is>
          <t>manual</t>
        </is>
      </c>
      <c r="G17" s="44" t="inlineStr">
        <is>
          <t>manual-tests/link.md</t>
        </is>
      </c>
      <c r="H17" s="43" t="inlineStr">
        <is>
          <t>implemented</t>
        </is>
      </c>
      <c r="I17" s="43" t="inlineStr">
        <is>
          <t>yes</t>
        </is>
      </c>
      <c r="J17" s="45" t="n"/>
      <c r="K17" s="44" t="inlineStr">
        <is>
          <t>Automated reflow passes; human device and zoom review is pending.</t>
        </is>
      </c>
      <c r="L17" s="43" t="n">
        <v>1</v>
      </c>
      <c r="M17" s="43">
        <f>IF(OR(AND(I17="yes",H17="verified"),AND(I17="no",OR(H17="tested",H17="verified")),AND(H17="not applicable",K17&lt;&gt;"")),1,0)</f>
        <v/>
      </c>
    </row>
    <row r="18" ht="54" customHeight="1" s="34">
      <c r="A18" s="43" t="inlineStr">
        <is>
          <t>L-10</t>
        </is>
      </c>
      <c r="B18" s="43" t="inlineStr">
        <is>
          <t>Theme</t>
        </is>
      </c>
      <c r="C18" s="43" t="inlineStr">
        <is>
          <t>Link</t>
        </is>
      </c>
      <c r="D18" s="44" t="inlineStr">
        <is>
          <t>Light, dark, forced colors, focus, decoration, and customized variables remain perceivable.</t>
        </is>
      </c>
      <c r="E18" s="43" t="inlineStr">
        <is>
          <t>package</t>
        </is>
      </c>
      <c r="F18" s="43" t="inlineStr">
        <is>
          <t>manual</t>
        </is>
      </c>
      <c r="G18" s="44" t="inlineStr">
        <is>
          <t>manual-tests/link.md; tests/components/link/visual.spec.ts</t>
        </is>
      </c>
      <c r="H18" s="43" t="inlineStr">
        <is>
          <t>implemented</t>
        </is>
      </c>
      <c r="I18" s="43" t="inlineStr">
        <is>
          <t>yes</t>
        </is>
      </c>
      <c r="J18" s="45" t="n"/>
      <c r="K18" s="44" t="inlineStr">
        <is>
          <t>Automated appearance evidence exists; human appearance review is pending.</t>
        </is>
      </c>
      <c r="L18" s="43" t="n">
        <v>1</v>
      </c>
      <c r="M18" s="43">
        <f>IF(OR(AND(I18="yes",H18="verified"),AND(I18="no",OR(H18="tested",H18="verified")),AND(H18="not applicable",K18&lt;&gt;"")),1,0)</f>
        <v/>
      </c>
    </row>
    <row r="19" ht="54" customHeight="1" s="34">
      <c r="A19" s="43" t="inlineStr">
        <is>
          <t>L-11</t>
        </is>
      </c>
      <c r="B19" s="43" t="inlineStr">
        <is>
          <t>Composition</t>
        </is>
      </c>
      <c r="C19" s="43" t="inlineStr">
        <is>
          <t>Link</t>
        </is>
      </c>
      <c r="D19" s="44" t="inlineStr">
        <is>
          <t>Native, current, download, render, and asChild examples produce one inspectable final anchor.</t>
        </is>
      </c>
      <c r="E19" s="43" t="inlineStr">
        <is>
          <t>package</t>
        </is>
      </c>
      <c r="F19" s="43" t="inlineStr">
        <is>
          <t>browser</t>
        </is>
      </c>
      <c r="G19" s="44" t="inlineStr">
        <is>
          <t>tests/components/link/behavior.spec.ts</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L-12</t>
        </is>
      </c>
      <c r="B20" s="43" t="inlineStr">
        <is>
          <t>Manual</t>
        </is>
      </c>
      <c r="C20" s="43" t="inlineStr">
        <is>
          <t>Link</t>
        </is>
      </c>
      <c r="D20" s="44" t="inlineStr">
        <is>
          <t>The concise component-owned protocol passes every Link playground scenario.</t>
        </is>
      </c>
      <c r="E20" s="43" t="inlineStr">
        <is>
          <t>package</t>
        </is>
      </c>
      <c r="F20" s="43" t="inlineStr">
        <is>
          <t>manual</t>
        </is>
      </c>
      <c r="G20" s="44" t="inlineStr">
        <is>
          <t>manual-tests/link.md</t>
        </is>
      </c>
      <c r="H20" s="43" t="inlineStr">
        <is>
          <t>implemented</t>
        </is>
      </c>
      <c r="I20" s="43" t="inlineStr">
        <is>
          <t>yes</t>
        </is>
      </c>
      <c r="J20" s="45" t="n"/>
      <c r="K20" s="44" t="inlineStr">
        <is>
          <t>Protocol exists; the owner has not run it.</t>
        </is>
      </c>
      <c r="L20" s="43" t="n">
        <v>1</v>
      </c>
      <c r="M20" s="43">
        <f>IF(OR(AND(I20="yes",H20="verified"),AND(I20="no",OR(H20="tested",H20="verified")),AND(H20="not applicable",K20&lt;&gt;"")),1,0)</f>
        <v/>
      </c>
    </row>
    <row r="21" ht="54" customHeight="1" s="34">
      <c r="A21" s="43" t="inlineStr">
        <is>
          <t>L-13</t>
        </is>
      </c>
      <c r="B21" s="43" t="inlineStr">
        <is>
          <t>Docs</t>
        </is>
      </c>
      <c r="C21" s="43" t="inlineStr">
        <is>
          <t>Link</t>
        </is>
      </c>
      <c r="D21" s="44" t="inlineStr">
        <is>
          <t>Source-backed use, exclusions, recipes, anatomy, accessibility, native props, composition, and API docs pass.</t>
        </is>
      </c>
      <c r="E21" s="43" t="inlineStr">
        <is>
          <t>package</t>
        </is>
      </c>
      <c r="F21" s="43" t="inlineStr">
        <is>
          <t>docs</t>
        </is>
      </c>
      <c r="G21" s="44" t="inlineStr">
        <is>
          <t>../docs/components/link/README.md</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L-14</t>
        </is>
      </c>
      <c r="B22" s="43" t="inlineStr">
        <is>
          <t>Changelog</t>
        </is>
      </c>
      <c r="C22" s="43" t="inlineStr">
        <is>
          <t>Link</t>
        </is>
      </c>
      <c r="D22" s="44" t="inlineStr">
        <is>
          <t>Link owns a public changelog and the package changelog records its addition.</t>
        </is>
      </c>
      <c r="E22" s="43" t="inlineStr">
        <is>
          <t>package</t>
        </is>
      </c>
      <c r="F22" s="43" t="inlineStr">
        <is>
          <t>docs</t>
        </is>
      </c>
      <c r="G22" s="44" t="inlineStr">
        <is>
          <t>../docs/components/link/CHANGELOG.md; ../CHANGELOG.md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L-15</t>
        </is>
      </c>
      <c r="B23" s="43" t="inlineStr">
        <is>
          <t>Consumer</t>
        </is>
      </c>
      <c r="C23" s="43" t="inlineStr">
        <is>
          <t>Link</t>
        </is>
      </c>
      <c r="D23" s="44" t="inlineStr">
        <is>
          <t>The Consumer uses the public Link subpath for site navigation and a standalone destination.</t>
        </is>
      </c>
      <c r="E23" s="43" t="inlineStr">
        <is>
          <t>consumer</t>
        </is>
      </c>
      <c r="F23" s="43" t="inlineStr">
        <is>
          <t>consumer</t>
        </is>
      </c>
      <c r="G23" s="44" t="inlineStr">
        <is>
          <t>../apps/consumer/src/App.tsx; ../apps/consumer/tests/consumer.spec.ts</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L-16</t>
        </is>
      </c>
      <c r="B24" s="43" t="inlineStr">
        <is>
          <t>Playground</t>
        </is>
      </c>
      <c r="C24" s="43" t="inlineStr">
        <is>
          <t>Link</t>
        </is>
      </c>
      <c r="D24" s="44" t="inlineStr">
        <is>
          <t>One navigable component route exposes every adopted recipe, content, composition, appearance, and stress scenario.</t>
        </is>
      </c>
      <c r="E24" s="43" t="inlineStr">
        <is>
          <t>package</t>
        </is>
      </c>
      <c r="F24" s="43" t="inlineStr">
        <is>
          <t>playground</t>
        </is>
      </c>
      <c r="G24" s="44" t="inlineStr">
        <is>
          <t>src/components/link/LinkPage.tsx</t>
        </is>
      </c>
      <c r="H24" s="43" t="inlineStr">
        <is>
          <t>tested</t>
        </is>
      </c>
      <c r="I24" s="43" t="inlineStr">
        <is>
          <t>no</t>
        </is>
      </c>
      <c r="J24" s="45" t="n">
        <v>46228</v>
      </c>
      <c r="K24" s="44" t="n"/>
      <c r="L24" s="43" t="n">
        <v>1</v>
      </c>
      <c r="M24" s="43">
        <f>IF(OR(AND(I24="yes",H24="verified"),AND(I24="no",OR(H24="tested",H24="verified")),AND(H24="not applicable",K24&lt;&gt;"")),1,0)</f>
        <v/>
      </c>
    </row>
    <row r="25" ht="54" customHeight="1" s="34">
      <c r="A25" s="43" t="inlineStr">
        <is>
          <t>L-17</t>
        </is>
      </c>
      <c r="B25" s="43" t="inlineStr">
        <is>
          <t>Package</t>
        </is>
      </c>
      <c r="C25" s="43" t="inlineStr">
        <is>
          <t>Link</t>
        </is>
      </c>
      <c r="D25" s="44" t="inlineStr">
        <is>
          <t>Build, SSR, exports, CSS, tarball, consumers, browser matrix, and exact Atom 0.20.11 dependency pass.</t>
        </is>
      </c>
      <c r="E25" s="43" t="inlineStr">
        <is>
          <t>package</t>
        </is>
      </c>
      <c r="F25" s="43" t="inlineStr">
        <is>
          <t>package</t>
        </is>
      </c>
      <c r="G25" s="44" t="inlineStr">
        <is>
          <t>../test/package; ../scripts/verify-consumers.mjs</t>
        </is>
      </c>
      <c r="H25" s="43" t="inlineStr">
        <is>
          <t>tested</t>
        </is>
      </c>
      <c r="I25" s="43" t="inlineStr">
        <is>
          <t>no</t>
        </is>
      </c>
      <c r="J25" s="45" t="n">
        <v>46264</v>
      </c>
      <c r="K25" s="4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43" t="n">
        <v>1</v>
      </c>
      <c r="M25" s="43">
        <f>IF(OR(AND(I25="yes",H25="verified"),AND(I25="no",OR(H25="tested",H25="verified")),AND(H25="not applicable",K25&lt;&gt;"")),1,0)</f>
        <v/>
      </c>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1" showErrorMessage="1" allowBlank="1" type="list" errorStyle="stop" operator="between">
      <formula1>"not started,partial,implemented,tested,verified,blocked,not applicable"</formula1>
      <formula2>0</formula2>
    </dataValidation>
    <dataValidation sqref="I9:I25"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Text Evidence</t>
        </is>
      </c>
    </row>
    <row r="2" ht="27.75" customHeight="1" s="34">
      <c r="A2" s="36" t="inlineStr">
        <is>
          <t>Assertion-level package, browser, human-review, documentation, and consumer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T-01</t>
        </is>
      </c>
      <c r="B9" s="43" t="inlineStr">
        <is>
          <t>Implementation</t>
        </is>
      </c>
      <c r="C9" s="43" t="inlineStr">
        <is>
          <t>Text</t>
        </is>
      </c>
      <c r="D9" s="44" t="inlineStr">
        <is>
          <t>Semantic hosts, recipes, native props, and HTMLElement refs are implemented.</t>
        </is>
      </c>
      <c r="E9" s="43" t="inlineStr">
        <is>
          <t>package</t>
        </is>
      </c>
      <c r="F9" s="43" t="inlineStr">
        <is>
          <t>source</t>
        </is>
      </c>
      <c r="G9" s="44" t="inlineStr">
        <is>
          <t>../src/components/text</t>
        </is>
      </c>
      <c r="H9" s="43" t="inlineStr">
        <is>
          <t>tested</t>
        </is>
      </c>
      <c r="I9" s="43" t="inlineStr">
        <is>
          <t>no</t>
        </is>
      </c>
      <c r="J9" s="45" t="n">
        <v>46227</v>
      </c>
      <c r="K9" s="44" t="n"/>
      <c r="L9" s="43" t="n">
        <v>1</v>
      </c>
      <c r="M9" s="43">
        <f>IF(OR(AND(I9="yes",H9="verified"),AND(I9="no",OR(H9="tested",H9="verified")),AND(H9="not applicable",K9&lt;&gt;"")),1,0)</f>
        <v/>
      </c>
    </row>
    <row r="10" ht="54" customHeight="1" s="34">
      <c r="A10" s="43" t="inlineStr">
        <is>
          <t>T-02</t>
        </is>
      </c>
      <c r="B10" s="43" t="inlineStr">
        <is>
          <t>Exports</t>
        </is>
      </c>
      <c r="C10" s="43" t="inlineStr">
        <is>
          <t>Text</t>
        </is>
      </c>
      <c r="D10" s="44" t="inlineStr">
        <is>
          <t>Root and public Text subpath exports expose runtime and type surfaces.</t>
        </is>
      </c>
      <c r="E10" s="43" t="inlineStr">
        <is>
          <t>package</t>
        </is>
      </c>
      <c r="F10" s="43" t="inlineStr">
        <is>
          <t>package</t>
        </is>
      </c>
      <c r="G10" s="44" t="inlineStr">
        <is>
          <t>../test/package/package.test.mjs</t>
        </is>
      </c>
      <c r="H10" s="43" t="inlineStr">
        <is>
          <t>tested</t>
        </is>
      </c>
      <c r="I10" s="43" t="inlineStr">
        <is>
          <t>no</t>
        </is>
      </c>
      <c r="J10" s="45" t="n">
        <v>46227</v>
      </c>
      <c r="K10" s="44" t="n"/>
      <c r="L10" s="43" t="n">
        <v>1</v>
      </c>
      <c r="M10" s="43">
        <f>IF(OR(AND(I10="yes",H10="verified"),AND(I10="no",OR(H10="tested",H10="verified")),AND(H10="not applicable",K10&lt;&gt;"")),1,0)</f>
        <v/>
      </c>
    </row>
    <row r="11" ht="54" customHeight="1" s="34">
      <c r="A11" s="43" t="inlineStr">
        <is>
          <t>T-03</t>
        </is>
      </c>
      <c r="B11" s="43" t="inlineStr">
        <is>
          <t>Types</t>
        </is>
      </c>
      <c r="C11" s="43" t="inlineStr">
        <is>
          <t>Text</t>
        </is>
      </c>
      <c r="D11" s="44" t="inlineStr">
        <is>
          <t>Hosts, variants, tones, weights, alignment, wrapping, overflow rules, props, and refs type-check.</t>
        </is>
      </c>
      <c r="E11" s="43" t="inlineStr">
        <is>
          <t>package</t>
        </is>
      </c>
      <c r="F11" s="43" t="inlineStr">
        <is>
          <t>types</t>
        </is>
      </c>
      <c r="G11" s="44" t="inlineStr">
        <is>
          <t>../test/types/components/text.test.ts</t>
        </is>
      </c>
      <c r="H11" s="43" t="inlineStr">
        <is>
          <t>tested</t>
        </is>
      </c>
      <c r="I11" s="43" t="inlineStr">
        <is>
          <t>no</t>
        </is>
      </c>
      <c r="J11" s="45" t="n">
        <v>46227</v>
      </c>
      <c r="K11" s="44" t="n"/>
      <c r="L11" s="43" t="n">
        <v>1</v>
      </c>
      <c r="M11" s="43">
        <f>IF(OR(AND(I11="yes",H11="verified"),AND(I11="no",OR(H11="tested",H11="verified")),AND(H11="not applicable",K11&lt;&gt;"")),1,0)</f>
        <v/>
      </c>
    </row>
    <row r="12" ht="54" customHeight="1" s="34">
      <c r="A12" s="43" t="inlineStr">
        <is>
          <t>T-04</t>
        </is>
      </c>
      <c r="B12" s="43" t="inlineStr">
        <is>
          <t>CSS</t>
        </is>
      </c>
      <c r="C12" s="43" t="inlineStr">
        <is>
          <t>Text</t>
        </is>
      </c>
      <c r="D12" s="44" t="inlineStr">
        <is>
          <t>Static CSS ships recipe, tone, alignment, wrapping, truncation, clamp, and preference behavior.</t>
        </is>
      </c>
      <c r="E12" s="43" t="inlineStr">
        <is>
          <t>package</t>
        </is>
      </c>
      <c r="F12" s="43" t="inlineStr">
        <is>
          <t>css</t>
        </is>
      </c>
      <c r="G12" s="44" t="inlineStr">
        <is>
          <t>../src/components/text/text.css</t>
        </is>
      </c>
      <c r="H12" s="43" t="inlineStr">
        <is>
          <t>tested</t>
        </is>
      </c>
      <c r="I12" s="43" t="inlineStr">
        <is>
          <t>no</t>
        </is>
      </c>
      <c r="J12" s="45" t="n">
        <v>46227</v>
      </c>
      <c r="K12" s="44" t="n"/>
      <c r="L12" s="43" t="n">
        <v>1</v>
      </c>
      <c r="M12" s="43">
        <f>IF(OR(AND(I12="yes",H12="verified"),AND(I12="no",OR(H12="tested",H12="verified")),AND(H12="not applicable",K12&lt;&gt;"")),1,0)</f>
        <v/>
      </c>
    </row>
    <row r="13" ht="54" customHeight="1" s="34">
      <c r="A13" s="43" t="inlineStr">
        <is>
          <t>T-05</t>
        </is>
      </c>
      <c r="B13" s="43" t="inlineStr">
        <is>
          <t>Unit</t>
        </is>
      </c>
      <c r="C13" s="43" t="inlineStr">
        <is>
          <t>Text</t>
        </is>
      </c>
      <c r="D13" s="44" t="inlineStr">
        <is>
          <t>Defaults, host selection, hooks, refs, native props, and overflow precedence pass focused tests.</t>
        </is>
      </c>
      <c r="E13" s="43" t="inlineStr">
        <is>
          <t>package</t>
        </is>
      </c>
      <c r="F13" s="43" t="inlineStr">
        <is>
          <t>component</t>
        </is>
      </c>
      <c r="G13" s="44" t="inlineStr">
        <is>
          <t>../test/components/text/text.test.tsx</t>
        </is>
      </c>
      <c r="H13" s="43" t="inlineStr">
        <is>
          <t>tested</t>
        </is>
      </c>
      <c r="I13" s="43" t="inlineStr">
        <is>
          <t>no</t>
        </is>
      </c>
      <c r="J13" s="45" t="n">
        <v>46227</v>
      </c>
      <c r="K13" s="44" t="n"/>
      <c r="L13" s="43" t="n">
        <v>1</v>
      </c>
      <c r="M13" s="43">
        <f>IF(OR(AND(I13="yes",H13="verified"),AND(I13="no",OR(H13="tested",H13="verified")),AND(H13="not applicable",K13&lt;&gt;"")),1,0)</f>
        <v/>
      </c>
    </row>
    <row r="14" ht="54" customHeight="1" s="34">
      <c r="A14" s="43" t="inlineStr">
        <is>
          <t>T-06</t>
        </is>
      </c>
      <c r="B14" s="43" t="inlineStr">
        <is>
          <t>Browser</t>
        </is>
      </c>
      <c r="C14" s="43" t="inlineStr">
        <is>
          <t>Text</t>
        </is>
      </c>
      <c r="D14" s="44" t="inlineStr">
        <is>
          <t>Real-browser defaults, scale, tones, geometry, semantics, output, refs, and overflow checks pass.</t>
        </is>
      </c>
      <c r="E14" s="43" t="inlineStr">
        <is>
          <t>package</t>
        </is>
      </c>
      <c r="F14" s="43" t="inlineStr">
        <is>
          <t>browser</t>
        </is>
      </c>
      <c r="G14" s="44" t="inlineStr">
        <is>
          <t>tests/components/text/behavior.spec.ts</t>
        </is>
      </c>
      <c r="H14" s="43" t="inlineStr">
        <is>
          <t>tested</t>
        </is>
      </c>
      <c r="I14" s="43" t="inlineStr">
        <is>
          <t>no</t>
        </is>
      </c>
      <c r="J14" s="45" t="n">
        <v>46227</v>
      </c>
      <c r="K14" s="44" t="n"/>
      <c r="L14" s="43" t="n">
        <v>1</v>
      </c>
      <c r="M14" s="43">
        <f>IF(OR(AND(I14="yes",H14="verified"),AND(I14="no",OR(H14="tested",H14="verified")),AND(H14="not applicable",K14&lt;&gt;"")),1,0)</f>
        <v/>
      </c>
    </row>
    <row r="15" ht="54" customHeight="1" s="34">
      <c r="A15" s="43" t="inlineStr">
        <is>
          <t>T-07</t>
        </is>
      </c>
      <c r="B15" s="43" t="inlineStr">
        <is>
          <t>Accessibility</t>
        </is>
      </c>
      <c r="C15" s="43" t="inlineStr">
        <is>
          <t>Text</t>
        </is>
      </c>
      <c r="D15" s="44" t="inlineStr">
        <is>
          <t>Semantic host output, contrast, text spacing, zoom resilience, and axe checks pass.</t>
        </is>
      </c>
      <c r="E15" s="43" t="inlineStr">
        <is>
          <t>package</t>
        </is>
      </c>
      <c r="F15" s="43" t="inlineStr">
        <is>
          <t>axe</t>
        </is>
      </c>
      <c r="G15" s="44" t="inlineStr">
        <is>
          <t>tests/components/text/behavior.spec.ts</t>
        </is>
      </c>
      <c r="H15" s="43" t="inlineStr">
        <is>
          <t>tested</t>
        </is>
      </c>
      <c r="I15" s="43" t="inlineStr">
        <is>
          <t>no</t>
        </is>
      </c>
      <c r="J15" s="45" t="n">
        <v>46227</v>
      </c>
      <c r="K15" s="44" t="n"/>
      <c r="L15" s="43" t="n">
        <v>1</v>
      </c>
      <c r="M15" s="43">
        <f>IF(OR(AND(I15="yes",H15="verified"),AND(I15="no",OR(H15="tested",H15="verified")),AND(H15="not applicable",K15&lt;&gt;"")),1,0)</f>
        <v/>
      </c>
    </row>
    <row r="16" ht="54" customHeight="1" s="34">
      <c r="A16" s="43" t="inlineStr">
        <is>
          <t>T-08</t>
        </is>
      </c>
      <c r="B16" s="43" t="inlineStr">
        <is>
          <t>Visual</t>
        </is>
      </c>
      <c r="C16" s="43" t="inlineStr">
        <is>
          <t>Text</t>
        </is>
      </c>
      <c r="D16" s="44" t="inlineStr">
        <is>
          <t>Reviewed baselines cover recipes, tones, semantics, overflow, customization, dark mode, RTL, and mobile stress.</t>
        </is>
      </c>
      <c r="E16" s="43" t="inlineStr">
        <is>
          <t>package</t>
        </is>
      </c>
      <c r="F16" s="43" t="inlineStr">
        <is>
          <t>visual</t>
        </is>
      </c>
      <c r="G16" s="44" t="inlineStr">
        <is>
          <t>tests/components/text/visual.spec.ts</t>
        </is>
      </c>
      <c r="H16" s="43" t="inlineStr">
        <is>
          <t>verified</t>
        </is>
      </c>
      <c r="I16" s="43" t="inlineStr">
        <is>
          <t>yes</t>
        </is>
      </c>
      <c r="J16" s="45" t="n">
        <v>46227</v>
      </c>
      <c r="K16" s="44" t="inlineStr">
        <is>
          <t>Agent-reviewed baselines; owner acceptance remains available during manual review.</t>
        </is>
      </c>
      <c r="L16" s="43" t="n">
        <v>1</v>
      </c>
      <c r="M16" s="43">
        <f>IF(OR(AND(I16="yes",H16="verified"),AND(I16="no",OR(H16="tested",H16="verified")),AND(H16="not applicable",K16&lt;&gt;"")),1,0)</f>
        <v/>
      </c>
    </row>
    <row r="17" ht="54" customHeight="1" s="34">
      <c r="A17" s="43" t="inlineStr">
        <is>
          <t>T-09</t>
        </is>
      </c>
      <c r="B17" s="43" t="inlineStr">
        <is>
          <t>Responsive</t>
        </is>
      </c>
      <c r="C17" s="43" t="inlineStr">
        <is>
          <t>Text</t>
        </is>
      </c>
      <c r="D17" s="44" t="inlineStr">
        <is>
          <t>Narrow layout, long localized content, 200%/400% zoom, and RTL remain contained and readable.</t>
        </is>
      </c>
      <c r="E17" s="43" t="inlineStr">
        <is>
          <t>package</t>
        </is>
      </c>
      <c r="F17" s="43" t="inlineStr">
        <is>
          <t>manual</t>
        </is>
      </c>
      <c r="G17" s="44" t="inlineStr">
        <is>
          <t>manual-tests/text.md</t>
        </is>
      </c>
      <c r="H17" s="43" t="inlineStr">
        <is>
          <t>implemented</t>
        </is>
      </c>
      <c r="I17" s="43" t="inlineStr">
        <is>
          <t>yes</t>
        </is>
      </c>
      <c r="J17" s="45" t="n"/>
      <c r="K17" s="44" t="inlineStr">
        <is>
          <t>Automated evidence passes; physical-device and human zoom review are not recorded.</t>
        </is>
      </c>
      <c r="L17" s="43" t="n">
        <v>1</v>
      </c>
      <c r="M17" s="43">
        <f>IF(OR(AND(I17="yes",H17="verified"),AND(I17="no",OR(H17="tested",H17="verified")),AND(H17="not applicable",K17&lt;&gt;"")),1,0)</f>
        <v/>
      </c>
    </row>
    <row r="18" ht="54" customHeight="1" s="34">
      <c r="A18" s="43" t="inlineStr">
        <is>
          <t>T-10</t>
        </is>
      </c>
      <c r="B18" s="43" t="inlineStr">
        <is>
          <t>Theme</t>
        </is>
      </c>
      <c r="C18" s="43" t="inlineStr">
        <is>
          <t>Text</t>
        </is>
      </c>
      <c r="D18" s="44" t="inlineStr">
        <is>
          <t>Light, dark, semantic tones, forced colors, and reduced motion retain readable output.</t>
        </is>
      </c>
      <c r="E18" s="43" t="inlineStr">
        <is>
          <t>package</t>
        </is>
      </c>
      <c r="F18" s="43" t="inlineStr">
        <is>
          <t>manual</t>
        </is>
      </c>
      <c r="G18" s="44" t="inlineStr">
        <is>
          <t>manual-tests/text.md; tests/components/text/visual.spec.ts</t>
        </is>
      </c>
      <c r="H18" s="43" t="inlineStr">
        <is>
          <t>implemented</t>
        </is>
      </c>
      <c r="I18" s="43" t="inlineStr">
        <is>
          <t>yes</t>
        </is>
      </c>
      <c r="J18" s="45" t="n"/>
      <c r="K18" s="44" t="inlineStr">
        <is>
          <t>Automated evidence passes; complete human appearance review is pending.</t>
        </is>
      </c>
      <c r="L18" s="43" t="n">
        <v>1</v>
      </c>
      <c r="M18" s="43">
        <f>IF(OR(AND(I18="yes",H18="verified"),AND(I18="no",OR(H18="tested",H18="verified")),AND(H18="not applicable",K18&lt;&gt;"")),1,0)</f>
        <v/>
      </c>
    </row>
    <row r="19" ht="54" customHeight="1" s="34">
      <c r="A19" s="43" t="inlineStr">
        <is>
          <t>T-11</t>
        </is>
      </c>
      <c r="B19" s="43" t="inlineStr">
        <is>
          <t>Semantics</t>
        </is>
      </c>
      <c r="C19" s="43" t="inlineStr">
        <is>
          <t>Text</t>
        </is>
      </c>
      <c r="D19" s="44" t="inlineStr">
        <is>
          <t>Every supported semantic host and rendered output example match the public contract.</t>
        </is>
      </c>
      <c r="E19" s="43" t="inlineStr">
        <is>
          <t>package</t>
        </is>
      </c>
      <c r="F19" s="43" t="inlineStr">
        <is>
          <t>browser</t>
        </is>
      </c>
      <c r="G19" s="44" t="inlineStr">
        <is>
          <t>tests/components/text/behavior.spec.ts</t>
        </is>
      </c>
      <c r="H19" s="43" t="inlineStr">
        <is>
          <t>tested</t>
        </is>
      </c>
      <c r="I19" s="43" t="inlineStr">
        <is>
          <t>no</t>
        </is>
      </c>
      <c r="J19" s="45" t="n">
        <v>46227</v>
      </c>
      <c r="K19" s="44" t="inlineStr">
        <is>
          <t>Automated relationships pass; the complete human output review is pending.</t>
        </is>
      </c>
      <c r="L19" s="43" t="n">
        <v>1</v>
      </c>
      <c r="M19" s="43">
        <f>IF(OR(AND(I19="yes",H19="verified"),AND(I19="no",OR(H19="tested",H19="verified")),AND(H19="not applicable",K19&lt;&gt;"")),1,0)</f>
        <v/>
      </c>
    </row>
    <row r="20" ht="54" customHeight="1" s="34">
      <c r="A20" s="43" t="inlineStr">
        <is>
          <t>T-12</t>
        </is>
      </c>
      <c r="B20" s="43" t="inlineStr">
        <is>
          <t>Manual</t>
        </is>
      </c>
      <c r="C20" s="43" t="inlineStr">
        <is>
          <t>Text</t>
        </is>
      </c>
      <c r="D20" s="44" t="inlineStr">
        <is>
          <t>The component-owned manual protocol passes every Text playground scenario.</t>
        </is>
      </c>
      <c r="E20" s="43" t="inlineStr">
        <is>
          <t>package</t>
        </is>
      </c>
      <c r="F20" s="43" t="inlineStr">
        <is>
          <t>manual</t>
        </is>
      </c>
      <c r="G20" s="44" t="inlineStr">
        <is>
          <t>manual-tests/text.md</t>
        </is>
      </c>
      <c r="H20" s="43" t="inlineStr">
        <is>
          <t>implemented</t>
        </is>
      </c>
      <c r="I20" s="43" t="inlineStr">
        <is>
          <t>yes</t>
        </is>
      </c>
      <c r="J20" s="45" t="n"/>
      <c r="K20" s="44" t="inlineStr">
        <is>
          <t>Protocol is intentionally unrun and contains no claimed result.</t>
        </is>
      </c>
      <c r="L20" s="43" t="n">
        <v>1</v>
      </c>
      <c r="M20" s="43">
        <f>IF(OR(AND(I20="yes",H20="verified"),AND(I20="no",OR(H20="tested",H20="verified")),AND(H20="not applicable",K20&lt;&gt;"")),1,0)</f>
        <v/>
      </c>
    </row>
    <row r="21" ht="54" customHeight="1" s="34">
      <c r="A21" s="43" t="inlineStr">
        <is>
          <t>T-13</t>
        </is>
      </c>
      <c r="B21" s="43" t="inlineStr">
        <is>
          <t>Docs</t>
        </is>
      </c>
      <c r="C21" s="43" t="inlineStr">
        <is>
          <t>Text</t>
        </is>
      </c>
      <c r="D21" s="44" t="inlineStr">
        <is>
          <t>Source-backed public usage and API documentation passes component documentation checks.</t>
        </is>
      </c>
      <c r="E21" s="43" t="inlineStr">
        <is>
          <t>package</t>
        </is>
      </c>
      <c r="F21" s="43" t="inlineStr">
        <is>
          <t>docs</t>
        </is>
      </c>
      <c r="G21" s="44" t="inlineStr">
        <is>
          <t>../docs/components/text/README.md</t>
        </is>
      </c>
      <c r="H21" s="43" t="inlineStr">
        <is>
          <t>tested</t>
        </is>
      </c>
      <c r="I21" s="43" t="inlineStr">
        <is>
          <t>no</t>
        </is>
      </c>
      <c r="J21" s="45" t="n">
        <v>46227</v>
      </c>
      <c r="K21" s="44" t="n"/>
      <c r="L21" s="43" t="n">
        <v>1</v>
      </c>
      <c r="M21" s="43">
        <f>IF(OR(AND(I21="yes",H21="verified"),AND(I21="no",OR(H21="tested",H21="verified")),AND(H21="not applicable",K21&lt;&gt;"")),1,0)</f>
        <v/>
      </c>
    </row>
    <row r="22" ht="54" customHeight="1" s="34">
      <c r="A22" s="43" t="inlineStr">
        <is>
          <t>T-14</t>
        </is>
      </c>
      <c r="B22" s="43" t="inlineStr">
        <is>
          <t>Changelog</t>
        </is>
      </c>
      <c r="C22" s="43" t="inlineStr">
        <is>
          <t>Text</t>
        </is>
      </c>
      <c r="D22" s="44" t="inlineStr">
        <is>
          <t>Text owns a public component changelog and the package changelog records its addition.</t>
        </is>
      </c>
      <c r="E22" s="43" t="inlineStr">
        <is>
          <t>package</t>
        </is>
      </c>
      <c r="F22" s="43" t="inlineStr">
        <is>
          <t>docs</t>
        </is>
      </c>
      <c r="G22" s="44" t="inlineStr">
        <is>
          <t>../docs/components/text/CHANGELOG.md; ../CHANGELOG.md</t>
        </is>
      </c>
      <c r="H22" s="43" t="inlineStr">
        <is>
          <t>tested</t>
        </is>
      </c>
      <c r="I22" s="43" t="inlineStr">
        <is>
          <t>no</t>
        </is>
      </c>
      <c r="J22" s="45" t="n">
        <v>46227</v>
      </c>
      <c r="K22" s="44" t="n"/>
      <c r="L22" s="43" t="n">
        <v>1</v>
      </c>
      <c r="M22" s="43">
        <f>IF(OR(AND(I22="yes",H22="verified"),AND(I22="no",OR(H22="tested",H22="verified")),AND(H22="not applicable",K22&lt;&gt;"")),1,0)</f>
        <v/>
      </c>
    </row>
    <row r="23" ht="54" customHeight="1" s="34">
      <c r="A23" s="43" t="inlineStr">
        <is>
          <t>T-15</t>
        </is>
      </c>
      <c r="B23" s="43" t="inlineStr">
        <is>
          <t>Consumer</t>
        </is>
      </c>
      <c r="C23" s="43" t="inlineStr">
        <is>
          <t>Text</t>
        </is>
      </c>
      <c r="D23" s="44" t="inlineStr">
        <is>
          <t>The packed Consumer proves root and subpath Text usage through public imports.</t>
        </is>
      </c>
      <c r="E23" s="43" t="inlineStr">
        <is>
          <t>consumer</t>
        </is>
      </c>
      <c r="F23" s="43" t="inlineStr">
        <is>
          <t>consumer</t>
        </is>
      </c>
      <c r="G23" s="44" t="inlineStr">
        <is>
          <t>../apps/consumer/src/App.tsx; ../apps/consumer/tests/consumer.spec.ts</t>
        </is>
      </c>
      <c r="H23" s="43" t="inlineStr">
        <is>
          <t>tested</t>
        </is>
      </c>
      <c r="I23" s="43" t="inlineStr">
        <is>
          <t>no</t>
        </is>
      </c>
      <c r="J23" s="45" t="n">
        <v>46227</v>
      </c>
      <c r="K23" s="44" t="n"/>
      <c r="L23" s="43" t="n">
        <v>1</v>
      </c>
      <c r="M23" s="43">
        <f>IF(OR(AND(I23="yes",H23="verified"),AND(I23="no",OR(H23="tested",H23="verified")),AND(H23="not applicable",K23&lt;&gt;"")),1,0)</f>
        <v/>
      </c>
    </row>
    <row r="24" ht="54" customHeight="1" s="34">
      <c r="A24" s="43" t="inlineStr">
        <is>
          <t>T-16</t>
        </is>
      </c>
      <c r="B24" s="43" t="inlineStr">
        <is>
          <t>Package</t>
        </is>
      </c>
      <c r="C24" s="43" t="inlineStr">
        <is>
          <t>Text</t>
        </is>
      </c>
      <c r="D24" s="44" t="inlineStr">
        <is>
          <t>Build, SSR, exports, CSS, tarball, React 18/19, and packed-consumer verification pass.</t>
        </is>
      </c>
      <c r="E24" s="43" t="inlineStr">
        <is>
          <t>package</t>
        </is>
      </c>
      <c r="F24" s="43" t="inlineStr">
        <is>
          <t>package</t>
        </is>
      </c>
      <c r="G24" s="44" t="inlineStr">
        <is>
          <t>../test/package; ../scripts/verify-package.mjs; ../scripts/verify-consumers.mjs</t>
        </is>
      </c>
      <c r="H24" s="43" t="inlineStr">
        <is>
          <t>verified</t>
        </is>
      </c>
      <c r="I24" s="43" t="inlineStr">
        <is>
          <t>yes</t>
        </is>
      </c>
      <c r="J24" s="45" t="n">
        <v>46264</v>
      </c>
      <c r="K24" s="4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4" s="43" t="n">
        <v>1</v>
      </c>
      <c r="M24" s="43">
        <f>IF(OR(AND(I24="yes",H24="verified"),AND(I24="no",OR(H24="tested",H24="verified")),AND(H24="not applicable",K24&lt;&gt;"")),1,0)</f>
        <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Notification Badge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NB-01</t>
        </is>
      </c>
      <c r="B9" s="32" t="inlineStr">
        <is>
          <t>Implementation</t>
        </is>
      </c>
      <c r="C9" s="32" t="inlineStr">
        <is>
          <t>NotificationBadge</t>
        </is>
      </c>
      <c r="D9" s="32" t="inlineStr">
        <is>
          <t>Public component implementation and Atom adapter exist.</t>
        </is>
      </c>
      <c r="E9" s="32" t="inlineStr">
        <is>
          <t>package</t>
        </is>
      </c>
      <c r="F9" s="32" t="inlineStr">
        <is>
          <t>source</t>
        </is>
      </c>
      <c r="G9" s="32" t="inlineStr">
        <is>
          <t>../src/components/badge</t>
        </is>
      </c>
      <c r="H9" s="32" t="inlineStr">
        <is>
          <t>tested</t>
        </is>
      </c>
      <c r="I9" s="32" t="inlineStr">
        <is>
          <t>no</t>
        </is>
      </c>
      <c r="J9" s="42" t="n">
        <v>46227</v>
      </c>
      <c r="L9" s="32" t="n">
        <v>1</v>
      </c>
      <c r="M9" s="32" t="n">
        <v>1</v>
      </c>
    </row>
    <row r="10" ht="42" customHeight="1" s="34">
      <c r="A10" s="32" t="inlineStr">
        <is>
          <t>NB-02</t>
        </is>
      </c>
      <c r="B10" s="32" t="inlineStr">
        <is>
          <t>Exports</t>
        </is>
      </c>
      <c r="C10" s="32" t="inlineStr">
        <is>
          <t>NotificationBadge</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NB-03</t>
        </is>
      </c>
      <c r="B11" s="32" t="inlineStr">
        <is>
          <t>Types</t>
        </is>
      </c>
      <c r="C11" s="32" t="inlineStr">
        <is>
          <t>NotificationBadge</t>
        </is>
      </c>
      <c r="D11" s="32" t="inlineStr">
        <is>
          <t>Public props, refs, composition branches, and invalid cases type-check.</t>
        </is>
      </c>
      <c r="E11" s="32" t="inlineStr">
        <is>
          <t>package</t>
        </is>
      </c>
      <c r="F11" s="32" t="inlineStr">
        <is>
          <t>types</t>
        </is>
      </c>
      <c r="G11" s="32" t="inlineStr">
        <is>
          <t>../test/types/components/notification-badge.test.ts</t>
        </is>
      </c>
      <c r="H11" s="32" t="inlineStr">
        <is>
          <t>tested</t>
        </is>
      </c>
      <c r="I11" s="32" t="inlineStr">
        <is>
          <t>no</t>
        </is>
      </c>
      <c r="J11" s="42" t="n">
        <v>46227</v>
      </c>
      <c r="L11" s="32" t="n">
        <v>1</v>
      </c>
      <c r="M11" s="32" t="n">
        <v>1</v>
      </c>
    </row>
    <row r="12" ht="42" customHeight="1" s="34">
      <c r="A12" s="32" t="inlineStr">
        <is>
          <t>NB-04</t>
        </is>
      </c>
      <c r="B12" s="32" t="inlineStr">
        <is>
          <t>CSS</t>
        </is>
      </c>
      <c r="C12" s="32" t="inlineStr">
        <is>
          <t>NotificationBadge</t>
        </is>
      </c>
      <c r="D12" s="32" t="inlineStr">
        <is>
          <t>Static public CSS, classes, slots, recipes, states, and tokens are present.</t>
        </is>
      </c>
      <c r="E12" s="32" t="inlineStr">
        <is>
          <t>package</t>
        </is>
      </c>
      <c r="F12" s="32" t="inlineStr">
        <is>
          <t>css</t>
        </is>
      </c>
      <c r="G12" s="32" t="inlineStr">
        <is>
          <t>../src/components/badge/badge.css</t>
        </is>
      </c>
      <c r="H12" s="32" t="inlineStr">
        <is>
          <t>tested</t>
        </is>
      </c>
      <c r="I12" s="32" t="inlineStr">
        <is>
          <t>no</t>
        </is>
      </c>
      <c r="J12" s="42" t="n">
        <v>46227</v>
      </c>
      <c r="L12" s="32" t="n">
        <v>1</v>
      </c>
      <c r="M12" s="32" t="n">
        <v>1</v>
      </c>
    </row>
    <row r="13" ht="42" customHeight="1" s="34">
      <c r="A13" s="32" t="inlineStr">
        <is>
          <t>NB-05</t>
        </is>
      </c>
      <c r="B13" s="32" t="inlineStr">
        <is>
          <t>Unit</t>
        </is>
      </c>
      <c r="C13" s="32" t="inlineStr">
        <is>
          <t>NotificationBadge</t>
        </is>
      </c>
      <c r="D13" s="32" t="inlineStr">
        <is>
          <t>Brick-owned DOM, recipes, adapters, and public hooks pass focused tests.</t>
        </is>
      </c>
      <c r="E13" s="32" t="inlineStr">
        <is>
          <t>package</t>
        </is>
      </c>
      <c r="F13" s="32" t="inlineStr">
        <is>
          <t>component</t>
        </is>
      </c>
      <c r="G13" s="32" t="inlineStr">
        <is>
          <t>../test/components/notification-badge/notification-badge.test.tsx</t>
        </is>
      </c>
      <c r="H13" s="32" t="inlineStr">
        <is>
          <t>tested</t>
        </is>
      </c>
      <c r="I13" s="32" t="inlineStr">
        <is>
          <t>no</t>
        </is>
      </c>
      <c r="J13" s="42" t="n">
        <v>46227</v>
      </c>
      <c r="L13" s="32" t="n">
        <v>1</v>
      </c>
      <c r="M13" s="32" t="n">
        <v>1</v>
      </c>
    </row>
    <row r="14" ht="42" customHeight="1" s="34">
      <c r="A14" s="32" t="inlineStr">
        <is>
          <t>NB-06</t>
        </is>
      </c>
      <c r="B14" s="32" t="inlineStr">
        <is>
          <t>Browser</t>
        </is>
      </c>
      <c r="C14" s="32" t="inlineStr">
        <is>
          <t>NotificationBadge</t>
        </is>
      </c>
      <c r="D14" s="32" t="inlineStr">
        <is>
          <t>Real-browser behavior and component contract checks pass.</t>
        </is>
      </c>
      <c r="E14" s="32" t="inlineStr">
        <is>
          <t>package</t>
        </is>
      </c>
      <c r="F14" s="32" t="inlineStr">
        <is>
          <t>browser</t>
        </is>
      </c>
      <c r="G14" s="32" t="inlineStr">
        <is>
          <t>tests/components/notification-badge/behavior.spec.ts</t>
        </is>
      </c>
      <c r="H14" s="32" t="inlineStr">
        <is>
          <t>tested</t>
        </is>
      </c>
      <c r="I14" s="32" t="inlineStr">
        <is>
          <t>no</t>
        </is>
      </c>
      <c r="J14" s="42" t="n">
        <v>46227</v>
      </c>
      <c r="L14" s="32" t="n">
        <v>1</v>
      </c>
      <c r="M14" s="32" t="n">
        <v>1</v>
      </c>
    </row>
    <row r="15" ht="42" customHeight="1" s="34">
      <c r="A15" s="32" t="inlineStr">
        <is>
          <t>NB-07</t>
        </is>
      </c>
      <c r="B15" s="32" t="inlineStr">
        <is>
          <t>Accessibility</t>
        </is>
      </c>
      <c r="C15" s="32" t="inlineStr">
        <is>
          <t>NotificationBadge</t>
        </is>
      </c>
      <c r="D15" s="32" t="inlineStr">
        <is>
          <t>Automated semantics and accessibility checks pass in the browser evidence suite.</t>
        </is>
      </c>
      <c r="E15" s="32" t="inlineStr">
        <is>
          <t>package</t>
        </is>
      </c>
      <c r="F15" s="32" t="inlineStr">
        <is>
          <t>axe</t>
        </is>
      </c>
      <c r="G15" s="32" t="inlineStr">
        <is>
          <t>tests/components/notification-badge/behavior.spec.ts; tests/integration</t>
        </is>
      </c>
      <c r="H15" s="32" t="inlineStr">
        <is>
          <t>tested</t>
        </is>
      </c>
      <c r="I15" s="32" t="inlineStr">
        <is>
          <t>no</t>
        </is>
      </c>
      <c r="J15" s="42" t="n">
        <v>46227</v>
      </c>
      <c r="L15" s="32" t="n">
        <v>1</v>
      </c>
      <c r="M15" s="32" t="n">
        <v>1</v>
      </c>
    </row>
    <row r="16" ht="42" customHeight="1" s="34">
      <c r="A16" s="32" t="inlineStr">
        <is>
          <t>NB-08</t>
        </is>
      </c>
      <c r="B16" s="32" t="inlineStr">
        <is>
          <t>Visual</t>
        </is>
      </c>
      <c r="C16" s="32" t="inlineStr">
        <is>
          <t>NotificationBadge</t>
        </is>
      </c>
      <c r="D16" s="32" t="inlineStr">
        <is>
          <t>Reviewed baselines cover the component's risk-selected recipes and states.</t>
        </is>
      </c>
      <c r="E16" s="32" t="inlineStr">
        <is>
          <t>package</t>
        </is>
      </c>
      <c r="F16" s="32" t="inlineStr">
        <is>
          <t>visual</t>
        </is>
      </c>
      <c r="G16" s="32" t="inlineStr">
        <is>
          <t>tests/components/notification-badge/visual.spec.ts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NB-09</t>
        </is>
      </c>
      <c r="B17" s="32" t="inlineStr">
        <is>
          <t>Responsive</t>
        </is>
      </c>
      <c r="C17" s="32" t="inlineStr">
        <is>
          <t>NotificationBadge</t>
        </is>
      </c>
      <c r="D17" s="32" t="inlineStr">
        <is>
          <t>Mobile, zoom/reflow, content stress, and RTL remain usable and contained.</t>
        </is>
      </c>
      <c r="E17" s="32" t="inlineStr">
        <is>
          <t>package</t>
        </is>
      </c>
      <c r="F17" s="32" t="inlineStr">
        <is>
          <t>manual</t>
        </is>
      </c>
      <c r="G17" s="32" t="inlineStr">
        <is>
          <t>manual-tests/notification-badge.md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NB-10</t>
        </is>
      </c>
      <c r="B18" s="32" t="inlineStr">
        <is>
          <t>Theme</t>
        </is>
      </c>
      <c r="C18" s="32" t="inlineStr">
        <is>
          <t>NotificationBadge</t>
        </is>
      </c>
      <c r="D18" s="32" t="inlineStr">
        <is>
          <t>Light, dark, focus, forced-colors, and relevant motion behavior remain perceivable.</t>
        </is>
      </c>
      <c r="E18" s="32" t="inlineStr">
        <is>
          <t>package</t>
        </is>
      </c>
      <c r="F18" s="32" t="inlineStr">
        <is>
          <t>manual</t>
        </is>
      </c>
      <c r="G18" s="32" t="inlineStr">
        <is>
          <t>manual-tests/notification-badge.md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NB-11</t>
        </is>
      </c>
      <c r="B19" s="32" t="inlineStr">
        <is>
          <t>Composition</t>
        </is>
      </c>
      <c r="C19" s="32" t="inlineStr">
        <is>
          <t>NotificationBadge</t>
        </is>
      </c>
      <c r="D19" s="32" t="inlineStr">
        <is>
          <t>Default, render, and asChild output preserve the intended element, slots, state, and relationships.</t>
        </is>
      </c>
      <c r="E19" s="32" t="inlineStr">
        <is>
          <t>package</t>
        </is>
      </c>
      <c r="F19" s="32" t="inlineStr">
        <is>
          <t>manual</t>
        </is>
      </c>
      <c r="G19" s="32" t="inlineStr">
        <is>
          <t>manual-tests/notification-badge.md; tests/components/notification-badge/behavior.spec.ts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NB-12</t>
        </is>
      </c>
      <c r="B20" s="32" t="inlineStr">
        <is>
          <t>Manual</t>
        </is>
      </c>
      <c r="C20" s="32" t="inlineStr">
        <is>
          <t>NotificationBadge</t>
        </is>
      </c>
      <c r="D20" s="32" t="inlineStr">
        <is>
          <t>The complete component-owned manual protocol passed against every playground scenario.</t>
        </is>
      </c>
      <c r="E20" s="32" t="inlineStr">
        <is>
          <t>package</t>
        </is>
      </c>
      <c r="F20" s="32" t="inlineStr">
        <is>
          <t>manual</t>
        </is>
      </c>
      <c r="G20" s="32" t="inlineStr">
        <is>
          <t>manual-tests/notification-badge.md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NB-13</t>
        </is>
      </c>
      <c r="B21" s="32" t="inlineStr">
        <is>
          <t>Docs</t>
        </is>
      </c>
      <c r="C21" s="32" t="inlineStr">
        <is>
          <t>NotificationBadge</t>
        </is>
      </c>
      <c r="D21" s="32" t="inlineStr">
        <is>
          <t>Public usage documentation exists at the component-owned path.</t>
        </is>
      </c>
      <c r="E21" s="32" t="inlineStr">
        <is>
          <t>package</t>
        </is>
      </c>
      <c r="F21" s="32" t="inlineStr">
        <is>
          <t>docs</t>
        </is>
      </c>
      <c r="G21" s="32" t="inlineStr">
        <is>
          <t>../docs/components/notification-badge/README.md</t>
        </is>
      </c>
      <c r="H21" s="32" t="inlineStr">
        <is>
          <t>tested</t>
        </is>
      </c>
      <c r="I21" s="32" t="inlineStr">
        <is>
          <t>no</t>
        </is>
      </c>
      <c r="J21" s="42" t="n">
        <v>46227</v>
      </c>
      <c r="L21" s="32" t="n">
        <v>1</v>
      </c>
      <c r="M21" s="32" t="n">
        <v>1</v>
      </c>
    </row>
    <row r="22" ht="42" customHeight="1" s="34">
      <c r="A22" s="32" t="inlineStr">
        <is>
          <t>NB-14</t>
        </is>
      </c>
      <c r="B22" s="32" t="inlineStr">
        <is>
          <t>Changelog</t>
        </is>
      </c>
      <c r="C22" s="32" t="inlineStr">
        <is>
          <t>NotificationBadge</t>
        </is>
      </c>
      <c r="D22" s="32" t="inlineStr">
        <is>
          <t>The component owns a public changelog.</t>
        </is>
      </c>
      <c r="E22" s="32" t="inlineStr">
        <is>
          <t>package</t>
        </is>
      </c>
      <c r="F22" s="32" t="inlineStr">
        <is>
          <t>docs</t>
        </is>
      </c>
      <c r="G22" s="32" t="inlineStr">
        <is>
          <t>../docs/components/notification-badge/CHANGELOG.md</t>
        </is>
      </c>
      <c r="H22" s="32" t="inlineStr">
        <is>
          <t>tested</t>
        </is>
      </c>
      <c r="I22" s="32" t="inlineStr">
        <is>
          <t>no</t>
        </is>
      </c>
      <c r="J22" s="42" t="n">
        <v>46227</v>
      </c>
      <c r="L22" s="32" t="n">
        <v>1</v>
      </c>
      <c r="M22" s="32" t="n">
        <v>1</v>
      </c>
    </row>
    <row r="23" ht="42" customHeight="1" s="34">
      <c r="A23" s="32" t="inlineStr">
        <is>
          <t>NB-15</t>
        </is>
      </c>
      <c r="B23" s="32" t="inlineStr">
        <is>
          <t>Consumer</t>
        </is>
      </c>
      <c r="C23" s="32" t="inlineStr">
        <is>
          <t>NotificationBadge</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NB-16</t>
        </is>
      </c>
      <c r="B24" s="32" t="inlineStr">
        <is>
          <t>Package</t>
        </is>
      </c>
      <c r="C24" s="32" t="inlineStr">
        <is>
          <t>NotificationBadge</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Popover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P-01</t>
        </is>
      </c>
      <c r="B9" s="32" t="inlineStr">
        <is>
          <t>Implementation</t>
        </is>
      </c>
      <c r="C9" s="32" t="inlineStr">
        <is>
          <t>Popover</t>
        </is>
      </c>
      <c r="D9" s="32" t="inlineStr">
        <is>
          <t>Public component implementation and Atom adapter exist.</t>
        </is>
      </c>
      <c r="E9" s="32" t="inlineStr">
        <is>
          <t>package</t>
        </is>
      </c>
      <c r="F9" s="32" t="inlineStr">
        <is>
          <t>source</t>
        </is>
      </c>
      <c r="G9" s="32" t="inlineStr">
        <is>
          <t>../src/components/popover</t>
        </is>
      </c>
      <c r="H9" s="32" t="inlineStr">
        <is>
          <t>tested</t>
        </is>
      </c>
      <c r="I9" s="32" t="inlineStr">
        <is>
          <t>no</t>
        </is>
      </c>
      <c r="J9" s="42" t="n">
        <v>46227</v>
      </c>
      <c r="L9" s="32" t="n">
        <v>1</v>
      </c>
      <c r="M9" s="32" t="n">
        <v>1</v>
      </c>
    </row>
    <row r="10" ht="42" customHeight="1" s="34">
      <c r="A10" s="32" t="inlineStr">
        <is>
          <t>P-02</t>
        </is>
      </c>
      <c r="B10" s="32" t="inlineStr">
        <is>
          <t>Exports</t>
        </is>
      </c>
      <c r="C10" s="32" t="inlineStr">
        <is>
          <t>Popover</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P-03</t>
        </is>
      </c>
      <c r="B11" s="32" t="inlineStr">
        <is>
          <t>Types</t>
        </is>
      </c>
      <c r="C11" s="32" t="inlineStr">
        <is>
          <t>Popover</t>
        </is>
      </c>
      <c r="D11" s="32" t="inlineStr">
        <is>
          <t>Public props, refs, composition branches, and invalid cases type-check.</t>
        </is>
      </c>
      <c r="E11" s="32" t="inlineStr">
        <is>
          <t>package</t>
        </is>
      </c>
      <c r="F11" s="32" t="inlineStr">
        <is>
          <t>types</t>
        </is>
      </c>
      <c r="G11" s="32" t="inlineStr">
        <is>
          <t>../test/types/components/popover.test.ts</t>
        </is>
      </c>
      <c r="H11" s="32" t="inlineStr">
        <is>
          <t>tested</t>
        </is>
      </c>
      <c r="I11" s="32" t="inlineStr">
        <is>
          <t>no</t>
        </is>
      </c>
      <c r="J11" s="42" t="n">
        <v>46227</v>
      </c>
      <c r="L11" s="32" t="n">
        <v>1</v>
      </c>
      <c r="M11" s="32" t="n">
        <v>1</v>
      </c>
    </row>
    <row r="12" ht="42" customHeight="1" s="34">
      <c r="A12" s="32" t="inlineStr">
        <is>
          <t>P-04</t>
        </is>
      </c>
      <c r="B12" s="32" t="inlineStr">
        <is>
          <t>CSS</t>
        </is>
      </c>
      <c r="C12" s="32" t="inlineStr">
        <is>
          <t>Popover</t>
        </is>
      </c>
      <c r="D12" s="32" t="inlineStr">
        <is>
          <t>Static public CSS, classes, slots, recipes, states, and tokens are present.</t>
        </is>
      </c>
      <c r="E12" s="32" t="inlineStr">
        <is>
          <t>package</t>
        </is>
      </c>
      <c r="F12" s="32" t="inlineStr">
        <is>
          <t>css</t>
        </is>
      </c>
      <c r="G12" s="32" t="inlineStr">
        <is>
          <t>../src/components/popover/popover.css</t>
        </is>
      </c>
      <c r="H12" s="32" t="inlineStr">
        <is>
          <t>tested</t>
        </is>
      </c>
      <c r="I12" s="32" t="inlineStr">
        <is>
          <t>no</t>
        </is>
      </c>
      <c r="J12" s="42" t="n">
        <v>46227</v>
      </c>
      <c r="L12" s="32" t="n">
        <v>1</v>
      </c>
      <c r="M12" s="32" t="n">
        <v>1</v>
      </c>
    </row>
    <row r="13" ht="42" customHeight="1" s="34">
      <c r="A13" s="32" t="inlineStr">
        <is>
          <t>P-05</t>
        </is>
      </c>
      <c r="B13" s="32" t="inlineStr">
        <is>
          <t>Unit</t>
        </is>
      </c>
      <c r="C13" s="32" t="inlineStr">
        <is>
          <t>Popover</t>
        </is>
      </c>
      <c r="D13" s="32" t="inlineStr">
        <is>
          <t>Brick-owned DOM, recipes, adapters, and public hooks pass focused tests.</t>
        </is>
      </c>
      <c r="E13" s="32" t="inlineStr">
        <is>
          <t>package</t>
        </is>
      </c>
      <c r="F13" s="32" t="inlineStr">
        <is>
          <t>component</t>
        </is>
      </c>
      <c r="G13" s="32" t="inlineStr">
        <is>
          <t>../test/components/popover/popover.test.tsx</t>
        </is>
      </c>
      <c r="H13" s="32" t="inlineStr">
        <is>
          <t>tested</t>
        </is>
      </c>
      <c r="I13" s="32" t="inlineStr">
        <is>
          <t>no</t>
        </is>
      </c>
      <c r="J13" s="42" t="n">
        <v>46227</v>
      </c>
      <c r="L13" s="32" t="n">
        <v>1</v>
      </c>
      <c r="M13" s="32" t="n">
        <v>1</v>
      </c>
    </row>
    <row r="14" ht="42" customHeight="1" s="34">
      <c r="A14" s="32" t="inlineStr">
        <is>
          <t>P-06</t>
        </is>
      </c>
      <c r="B14" s="32" t="inlineStr">
        <is>
          <t>Browser</t>
        </is>
      </c>
      <c r="C14" s="32" t="inlineStr">
        <is>
          <t>Popover</t>
        </is>
      </c>
      <c r="D14" s="32" t="inlineStr">
        <is>
          <t>Real-browser behavior and component contract checks pass.</t>
        </is>
      </c>
      <c r="E14" s="32" t="inlineStr">
        <is>
          <t>package</t>
        </is>
      </c>
      <c r="F14" s="32" t="inlineStr">
        <is>
          <t>browser</t>
        </is>
      </c>
      <c r="G14" s="32" t="inlineStr">
        <is>
          <t>tests/components/popover/behavior.spec.ts</t>
        </is>
      </c>
      <c r="H14" s="32" t="inlineStr">
        <is>
          <t>tested</t>
        </is>
      </c>
      <c r="I14" s="32" t="inlineStr">
        <is>
          <t>no</t>
        </is>
      </c>
      <c r="J14" s="42" t="n">
        <v>46227</v>
      </c>
      <c r="L14" s="32" t="n">
        <v>1</v>
      </c>
      <c r="M14" s="32" t="n">
        <v>1</v>
      </c>
    </row>
    <row r="15" ht="42" customHeight="1" s="34">
      <c r="A15" s="32" t="inlineStr">
        <is>
          <t>P-07</t>
        </is>
      </c>
      <c r="B15" s="32" t="inlineStr">
        <is>
          <t>Accessibility</t>
        </is>
      </c>
      <c r="C15" s="32" t="inlineStr">
        <is>
          <t>Popover</t>
        </is>
      </c>
      <c r="D15" s="32" t="inlineStr">
        <is>
          <t>Automated semantics and accessibility checks pass in the browser evidence suite.</t>
        </is>
      </c>
      <c r="E15" s="32" t="inlineStr">
        <is>
          <t>package</t>
        </is>
      </c>
      <c r="F15" s="32" t="inlineStr">
        <is>
          <t>axe</t>
        </is>
      </c>
      <c r="G15" s="32" t="inlineStr">
        <is>
          <t>tests/components/popover/behavior.spec.ts; tests/integration</t>
        </is>
      </c>
      <c r="H15" s="32" t="inlineStr">
        <is>
          <t>tested</t>
        </is>
      </c>
      <c r="I15" s="32" t="inlineStr">
        <is>
          <t>no</t>
        </is>
      </c>
      <c r="J15" s="42" t="n">
        <v>46227</v>
      </c>
      <c r="L15" s="32" t="n">
        <v>1</v>
      </c>
      <c r="M15" s="32" t="n">
        <v>1</v>
      </c>
    </row>
    <row r="16" ht="42" customHeight="1" s="34">
      <c r="A16" s="32" t="inlineStr">
        <is>
          <t>P-08</t>
        </is>
      </c>
      <c r="B16" s="32" t="inlineStr">
        <is>
          <t>Visual</t>
        </is>
      </c>
      <c r="C16" s="32" t="inlineStr">
        <is>
          <t>Popover</t>
        </is>
      </c>
      <c r="D16" s="32" t="inlineStr">
        <is>
          <t>Reviewed baselines cover the component's risk-selected recipes and states.</t>
        </is>
      </c>
      <c r="E16" s="32" t="inlineStr">
        <is>
          <t>package</t>
        </is>
      </c>
      <c r="F16" s="32" t="inlineStr">
        <is>
          <t>visual</t>
        </is>
      </c>
      <c r="G16" s="32" t="inlineStr">
        <is>
          <t>tests/components/popover/visual.spec.ts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P-09</t>
        </is>
      </c>
      <c r="B17" s="32" t="inlineStr">
        <is>
          <t>Responsive</t>
        </is>
      </c>
      <c r="C17" s="32" t="inlineStr">
        <is>
          <t>Popover</t>
        </is>
      </c>
      <c r="D17" s="32" t="inlineStr">
        <is>
          <t>Mobile, zoom/reflow, content stress, and RTL remain usable and contained.</t>
        </is>
      </c>
      <c r="E17" s="32" t="inlineStr">
        <is>
          <t>package</t>
        </is>
      </c>
      <c r="F17" s="32" t="inlineStr">
        <is>
          <t>manual</t>
        </is>
      </c>
      <c r="G17" s="32" t="inlineStr">
        <is>
          <t>manual-tests/popover.md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P-10</t>
        </is>
      </c>
      <c r="B18" s="32" t="inlineStr">
        <is>
          <t>Theme</t>
        </is>
      </c>
      <c r="C18" s="32" t="inlineStr">
        <is>
          <t>Popover</t>
        </is>
      </c>
      <c r="D18" s="32" t="inlineStr">
        <is>
          <t>Light, dark, focus, forced-colors, and relevant motion behavior remain perceivable.</t>
        </is>
      </c>
      <c r="E18" s="32" t="inlineStr">
        <is>
          <t>package</t>
        </is>
      </c>
      <c r="F18" s="32" t="inlineStr">
        <is>
          <t>manual</t>
        </is>
      </c>
      <c r="G18" s="32" t="inlineStr">
        <is>
          <t>manual-tests/popover.md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P-11</t>
        </is>
      </c>
      <c r="B19" s="32" t="inlineStr">
        <is>
          <t>Composition</t>
        </is>
      </c>
      <c r="C19" s="32" t="inlineStr">
        <is>
          <t>Popover</t>
        </is>
      </c>
      <c r="D19" s="32" t="inlineStr">
        <is>
          <t>Default, render, and asChild output preserve the intended element, slots, state, and relationships.</t>
        </is>
      </c>
      <c r="E19" s="32" t="inlineStr">
        <is>
          <t>package</t>
        </is>
      </c>
      <c r="F19" s="32" t="inlineStr">
        <is>
          <t>manual</t>
        </is>
      </c>
      <c r="G19" s="32" t="inlineStr">
        <is>
          <t>manual-tests/popover.md; tests/components/popover/behavior.spec.ts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P-12</t>
        </is>
      </c>
      <c r="B20" s="32" t="inlineStr">
        <is>
          <t>Manual</t>
        </is>
      </c>
      <c r="C20" s="32" t="inlineStr">
        <is>
          <t>Popover</t>
        </is>
      </c>
      <c r="D20" s="32" t="inlineStr">
        <is>
          <t>The complete component-owned manual protocol passed against every playground scenario.</t>
        </is>
      </c>
      <c r="E20" s="32" t="inlineStr">
        <is>
          <t>package</t>
        </is>
      </c>
      <c r="F20" s="32" t="inlineStr">
        <is>
          <t>manual</t>
        </is>
      </c>
      <c r="G20" s="32" t="inlineStr">
        <is>
          <t>manual-tests/popover.md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P-13</t>
        </is>
      </c>
      <c r="B21" s="32" t="inlineStr">
        <is>
          <t>Docs</t>
        </is>
      </c>
      <c r="C21" s="32" t="inlineStr">
        <is>
          <t>Popover</t>
        </is>
      </c>
      <c r="D21" s="32" t="inlineStr">
        <is>
          <t>Public usage documentation exists at the component-owned path.</t>
        </is>
      </c>
      <c r="E21" s="32" t="inlineStr">
        <is>
          <t>package</t>
        </is>
      </c>
      <c r="F21" s="32" t="inlineStr">
        <is>
          <t>docs</t>
        </is>
      </c>
      <c r="G21" s="32" t="inlineStr">
        <is>
          <t>../docs/components/popover/README.md</t>
        </is>
      </c>
      <c r="H21" s="32" t="inlineStr">
        <is>
          <t>tested</t>
        </is>
      </c>
      <c r="I21" s="32" t="inlineStr">
        <is>
          <t>no</t>
        </is>
      </c>
      <c r="J21" s="42" t="n">
        <v>46227</v>
      </c>
      <c r="L21" s="32" t="n">
        <v>1</v>
      </c>
      <c r="M21" s="32" t="n">
        <v>1</v>
      </c>
    </row>
    <row r="22" ht="42" customHeight="1" s="34">
      <c r="A22" s="32" t="inlineStr">
        <is>
          <t>P-14</t>
        </is>
      </c>
      <c r="B22" s="32" t="inlineStr">
        <is>
          <t>Changelog</t>
        </is>
      </c>
      <c r="C22" s="32" t="inlineStr">
        <is>
          <t>Popover</t>
        </is>
      </c>
      <c r="D22" s="32" t="inlineStr">
        <is>
          <t>The component owns a public changelog.</t>
        </is>
      </c>
      <c r="E22" s="32" t="inlineStr">
        <is>
          <t>package</t>
        </is>
      </c>
      <c r="F22" s="32" t="inlineStr">
        <is>
          <t>docs</t>
        </is>
      </c>
      <c r="G22" s="32" t="inlineStr">
        <is>
          <t>../docs/components/popover/CHANGELOG.md</t>
        </is>
      </c>
      <c r="H22" s="32" t="inlineStr">
        <is>
          <t>tested</t>
        </is>
      </c>
      <c r="I22" s="32" t="inlineStr">
        <is>
          <t>no</t>
        </is>
      </c>
      <c r="J22" s="42" t="n">
        <v>46227</v>
      </c>
      <c r="L22" s="32" t="n">
        <v>1</v>
      </c>
      <c r="M22" s="32" t="n">
        <v>1</v>
      </c>
    </row>
    <row r="23" ht="42" customHeight="1" s="34">
      <c r="A23" s="32" t="inlineStr">
        <is>
          <t>P-15</t>
        </is>
      </c>
      <c r="B23" s="32" t="inlineStr">
        <is>
          <t>Consumer</t>
        </is>
      </c>
      <c r="C23" s="32" t="inlineStr">
        <is>
          <t>Popover</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P-16</t>
        </is>
      </c>
      <c r="B24" s="32" t="inlineStr">
        <is>
          <t>Package</t>
        </is>
      </c>
      <c r="C24" s="32" t="inlineStr">
        <is>
          <t>Popover</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Toggle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T-01</t>
        </is>
      </c>
      <c r="B9" s="32" t="inlineStr">
        <is>
          <t>Implementation</t>
        </is>
      </c>
      <c r="C9" s="32" t="inlineStr">
        <is>
          <t>Toggle</t>
        </is>
      </c>
      <c r="D9" s="32" t="inlineStr">
        <is>
          <t>Public component implementation and Atom adapter exist.</t>
        </is>
      </c>
      <c r="E9" s="32" t="inlineStr">
        <is>
          <t>package</t>
        </is>
      </c>
      <c r="F9" s="32" t="inlineStr">
        <is>
          <t>source</t>
        </is>
      </c>
      <c r="G9" s="32" t="inlineStr">
        <is>
          <t>../src/components/toggle</t>
        </is>
      </c>
      <c r="H9" s="32" t="inlineStr">
        <is>
          <t>tested</t>
        </is>
      </c>
      <c r="I9" s="32" t="inlineStr">
        <is>
          <t>no</t>
        </is>
      </c>
      <c r="J9" s="42" t="n">
        <v>46227</v>
      </c>
      <c r="L9" s="32" t="n">
        <v>1</v>
      </c>
      <c r="M9" s="32" t="n">
        <v>1</v>
      </c>
    </row>
    <row r="10" ht="42" customHeight="1" s="34">
      <c r="A10" s="32" t="inlineStr">
        <is>
          <t>T-02</t>
        </is>
      </c>
      <c r="B10" s="32" t="inlineStr">
        <is>
          <t>Exports</t>
        </is>
      </c>
      <c r="C10" s="32" t="inlineStr">
        <is>
          <t>Toggle</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T-03</t>
        </is>
      </c>
      <c r="B11" s="32" t="inlineStr">
        <is>
          <t>Types</t>
        </is>
      </c>
      <c r="C11" s="32" t="inlineStr">
        <is>
          <t>Toggle</t>
        </is>
      </c>
      <c r="D11" s="32" t="inlineStr">
        <is>
          <t>Public props, refs, composition branches, and invalid cases type-check.</t>
        </is>
      </c>
      <c r="E11" s="32" t="inlineStr">
        <is>
          <t>package</t>
        </is>
      </c>
      <c r="F11" s="32" t="inlineStr">
        <is>
          <t>types</t>
        </is>
      </c>
      <c r="G11" s="32" t="inlineStr">
        <is>
          <t>../test/types/components/toggle.test.ts</t>
        </is>
      </c>
      <c r="H11" s="32" t="inlineStr">
        <is>
          <t>tested</t>
        </is>
      </c>
      <c r="I11" s="32" t="inlineStr">
        <is>
          <t>no</t>
        </is>
      </c>
      <c r="J11" s="42" t="n">
        <v>46227</v>
      </c>
      <c r="L11" s="32" t="n">
        <v>1</v>
      </c>
      <c r="M11" s="32" t="n">
        <v>1</v>
      </c>
    </row>
    <row r="12" ht="42" customHeight="1" s="34">
      <c r="A12" s="32" t="inlineStr">
        <is>
          <t>T-04</t>
        </is>
      </c>
      <c r="B12" s="32" t="inlineStr">
        <is>
          <t>CSS</t>
        </is>
      </c>
      <c r="C12" s="32" t="inlineStr">
        <is>
          <t>Toggle</t>
        </is>
      </c>
      <c r="D12" s="32" t="inlineStr">
        <is>
          <t>Static public CSS, classes, slots, recipes, states, and tokens are present.</t>
        </is>
      </c>
      <c r="E12" s="32" t="inlineStr">
        <is>
          <t>package</t>
        </is>
      </c>
      <c r="F12" s="32" t="inlineStr">
        <is>
          <t>css</t>
        </is>
      </c>
      <c r="G12" s="32" t="inlineStr">
        <is>
          <t>../src/components/toggle/toggle.css</t>
        </is>
      </c>
      <c r="H12" s="32" t="inlineStr">
        <is>
          <t>tested</t>
        </is>
      </c>
      <c r="I12" s="32" t="inlineStr">
        <is>
          <t>no</t>
        </is>
      </c>
      <c r="J12" s="42" t="n">
        <v>46227</v>
      </c>
      <c r="L12" s="32" t="n">
        <v>1</v>
      </c>
      <c r="M12" s="32" t="n">
        <v>1</v>
      </c>
    </row>
    <row r="13" ht="42" customHeight="1" s="34">
      <c r="A13" s="32" t="inlineStr">
        <is>
          <t>T-05</t>
        </is>
      </c>
      <c r="B13" s="32" t="inlineStr">
        <is>
          <t>Unit</t>
        </is>
      </c>
      <c r="C13" s="32" t="inlineStr">
        <is>
          <t>Toggle</t>
        </is>
      </c>
      <c r="D13" s="32" t="inlineStr">
        <is>
          <t>Brick-owned DOM, recipes, adapters, and public hooks pass focused tests.</t>
        </is>
      </c>
      <c r="E13" s="32" t="inlineStr">
        <is>
          <t>package</t>
        </is>
      </c>
      <c r="F13" s="32" t="inlineStr">
        <is>
          <t>component</t>
        </is>
      </c>
      <c r="G13" s="32" t="inlineStr">
        <is>
          <t>../test/components/toggle/toggle.test.tsx</t>
        </is>
      </c>
      <c r="H13" s="32" t="inlineStr">
        <is>
          <t>tested</t>
        </is>
      </c>
      <c r="I13" s="32" t="inlineStr">
        <is>
          <t>no</t>
        </is>
      </c>
      <c r="J13" s="42" t="n">
        <v>46227</v>
      </c>
      <c r="L13" s="32" t="n">
        <v>1</v>
      </c>
      <c r="M13" s="32" t="n">
        <v>1</v>
      </c>
    </row>
    <row r="14" ht="42" customHeight="1" s="34">
      <c r="A14" s="32" t="inlineStr">
        <is>
          <t>T-06</t>
        </is>
      </c>
      <c r="B14" s="32" t="inlineStr">
        <is>
          <t>Browser</t>
        </is>
      </c>
      <c r="C14" s="32" t="inlineStr">
        <is>
          <t>Toggle</t>
        </is>
      </c>
      <c r="D14" s="32" t="inlineStr">
        <is>
          <t>Real-browser behavior and component contract checks pass.</t>
        </is>
      </c>
      <c r="E14" s="32" t="inlineStr">
        <is>
          <t>package</t>
        </is>
      </c>
      <c r="F14" s="32" t="inlineStr">
        <is>
          <t>browser</t>
        </is>
      </c>
      <c r="G14" s="32" t="inlineStr">
        <is>
          <t>tests/components/toggle/behavior.spec.ts</t>
        </is>
      </c>
      <c r="H14" s="32" t="inlineStr">
        <is>
          <t>tested</t>
        </is>
      </c>
      <c r="I14" s="32" t="inlineStr">
        <is>
          <t>no</t>
        </is>
      </c>
      <c r="J14" s="42" t="n">
        <v>46227</v>
      </c>
      <c r="L14" s="32" t="n">
        <v>1</v>
      </c>
      <c r="M14" s="32" t="n">
        <v>1</v>
      </c>
    </row>
    <row r="15" ht="42" customHeight="1" s="34">
      <c r="A15" s="32" t="inlineStr">
        <is>
          <t>T-07</t>
        </is>
      </c>
      <c r="B15" s="32" t="inlineStr">
        <is>
          <t>Accessibility</t>
        </is>
      </c>
      <c r="C15" s="32" t="inlineStr">
        <is>
          <t>Toggle</t>
        </is>
      </c>
      <c r="D15" s="32" t="inlineStr">
        <is>
          <t>Automated semantics and accessibility checks pass in the browser evidence suite.</t>
        </is>
      </c>
      <c r="E15" s="32" t="inlineStr">
        <is>
          <t>package</t>
        </is>
      </c>
      <c r="F15" s="32" t="inlineStr">
        <is>
          <t>axe</t>
        </is>
      </c>
      <c r="G15" s="32" t="inlineStr">
        <is>
          <t>tests/components/toggle/behavior.spec.ts; tests/integration</t>
        </is>
      </c>
      <c r="H15" s="32" t="inlineStr">
        <is>
          <t>tested</t>
        </is>
      </c>
      <c r="I15" s="32" t="inlineStr">
        <is>
          <t>no</t>
        </is>
      </c>
      <c r="J15" s="42" t="n">
        <v>46227</v>
      </c>
      <c r="L15" s="32" t="n">
        <v>1</v>
      </c>
      <c r="M15" s="32" t="n">
        <v>1</v>
      </c>
    </row>
    <row r="16" ht="42" customHeight="1" s="34">
      <c r="A16" s="32" t="inlineStr">
        <is>
          <t>T-08</t>
        </is>
      </c>
      <c r="B16" s="32" t="inlineStr">
        <is>
          <t>Visual</t>
        </is>
      </c>
      <c r="C16" s="32" t="inlineStr">
        <is>
          <t>Toggle</t>
        </is>
      </c>
      <c r="D16" s="32" t="inlineStr">
        <is>
          <t>Reviewed baselines cover the component's risk-selected recipes and states.</t>
        </is>
      </c>
      <c r="E16" s="32" t="inlineStr">
        <is>
          <t>package</t>
        </is>
      </c>
      <c r="F16" s="32" t="inlineStr">
        <is>
          <t>visual</t>
        </is>
      </c>
      <c r="G16" s="32" t="inlineStr">
        <is>
          <t>tests/components/toggle/visual.spec.ts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T-09</t>
        </is>
      </c>
      <c r="B17" s="32" t="inlineStr">
        <is>
          <t>Responsive</t>
        </is>
      </c>
      <c r="C17" s="32" t="inlineStr">
        <is>
          <t>Toggle</t>
        </is>
      </c>
      <c r="D17" s="32" t="inlineStr">
        <is>
          <t>Mobile, zoom/reflow, content stress, and RTL remain usable and contained.</t>
        </is>
      </c>
      <c r="E17" s="32" t="inlineStr">
        <is>
          <t>package</t>
        </is>
      </c>
      <c r="F17" s="32" t="inlineStr">
        <is>
          <t>manual</t>
        </is>
      </c>
      <c r="G17" s="32" t="inlineStr">
        <is>
          <t>manual-tests/toggle.md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T-10</t>
        </is>
      </c>
      <c r="B18" s="32" t="inlineStr">
        <is>
          <t>Theme</t>
        </is>
      </c>
      <c r="C18" s="32" t="inlineStr">
        <is>
          <t>Toggle</t>
        </is>
      </c>
      <c r="D18" s="32" t="inlineStr">
        <is>
          <t>Light, dark, focus, forced-colors, and relevant motion behavior remain perceivable.</t>
        </is>
      </c>
      <c r="E18" s="32" t="inlineStr">
        <is>
          <t>package</t>
        </is>
      </c>
      <c r="F18" s="32" t="inlineStr">
        <is>
          <t>manual</t>
        </is>
      </c>
      <c r="G18" s="32" t="inlineStr">
        <is>
          <t>manual-tests/toggle.md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T-11</t>
        </is>
      </c>
      <c r="B19" s="32" t="inlineStr">
        <is>
          <t>Composition</t>
        </is>
      </c>
      <c r="C19" s="32" t="inlineStr">
        <is>
          <t>Toggle</t>
        </is>
      </c>
      <c r="D19" s="32" t="inlineStr">
        <is>
          <t>Default, render, and asChild output preserve the intended element, slots, state, and relationships.</t>
        </is>
      </c>
      <c r="E19" s="32" t="inlineStr">
        <is>
          <t>package</t>
        </is>
      </c>
      <c r="F19" s="32" t="inlineStr">
        <is>
          <t>manual</t>
        </is>
      </c>
      <c r="G19" s="32" t="inlineStr">
        <is>
          <t>manual-tests/toggle.md; tests/components/toggle/behavior.spec.ts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T-12</t>
        </is>
      </c>
      <c r="B20" s="32" t="inlineStr">
        <is>
          <t>Manual</t>
        </is>
      </c>
      <c r="C20" s="32" t="inlineStr">
        <is>
          <t>Toggle</t>
        </is>
      </c>
      <c r="D20" s="32" t="inlineStr">
        <is>
          <t>The complete component-owned manual protocol passed against every playground scenario.</t>
        </is>
      </c>
      <c r="E20" s="32" t="inlineStr">
        <is>
          <t>package</t>
        </is>
      </c>
      <c r="F20" s="32" t="inlineStr">
        <is>
          <t>manual</t>
        </is>
      </c>
      <c r="G20" s="32" t="inlineStr">
        <is>
          <t>manual-tests/toggle.md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T-13</t>
        </is>
      </c>
      <c r="B21" s="32" t="inlineStr">
        <is>
          <t>Docs</t>
        </is>
      </c>
      <c r="C21" s="32" t="inlineStr">
        <is>
          <t>Toggle</t>
        </is>
      </c>
      <c r="D21" s="32" t="inlineStr">
        <is>
          <t>Public usage documentation exists at the component-owned path.</t>
        </is>
      </c>
      <c r="E21" s="32" t="inlineStr">
        <is>
          <t>package</t>
        </is>
      </c>
      <c r="F21" s="32" t="inlineStr">
        <is>
          <t>docs</t>
        </is>
      </c>
      <c r="G21" s="32" t="inlineStr">
        <is>
          <t>../docs/components/toggle/README.md</t>
        </is>
      </c>
      <c r="H21" s="32" t="inlineStr">
        <is>
          <t>tested</t>
        </is>
      </c>
      <c r="I21" s="32" t="inlineStr">
        <is>
          <t>no</t>
        </is>
      </c>
      <c r="J21" s="42" t="n">
        <v>46227</v>
      </c>
      <c r="L21" s="32" t="n">
        <v>1</v>
      </c>
      <c r="M21" s="32" t="n">
        <v>1</v>
      </c>
    </row>
    <row r="22" ht="42" customHeight="1" s="34">
      <c r="A22" s="32" t="inlineStr">
        <is>
          <t>T-14</t>
        </is>
      </c>
      <c r="B22" s="32" t="inlineStr">
        <is>
          <t>Changelog</t>
        </is>
      </c>
      <c r="C22" s="32" t="inlineStr">
        <is>
          <t>Toggle</t>
        </is>
      </c>
      <c r="D22" s="32" t="inlineStr">
        <is>
          <t>The component owns a public changelog.</t>
        </is>
      </c>
      <c r="E22" s="32" t="inlineStr">
        <is>
          <t>package</t>
        </is>
      </c>
      <c r="F22" s="32" t="inlineStr">
        <is>
          <t>docs</t>
        </is>
      </c>
      <c r="G22" s="32" t="inlineStr">
        <is>
          <t>../docs/components/toggle/CHANGELOG.md</t>
        </is>
      </c>
      <c r="H22" s="32" t="inlineStr">
        <is>
          <t>tested</t>
        </is>
      </c>
      <c r="I22" s="32" t="inlineStr">
        <is>
          <t>no</t>
        </is>
      </c>
      <c r="J22" s="42" t="n">
        <v>46227</v>
      </c>
      <c r="L22" s="32" t="n">
        <v>1</v>
      </c>
      <c r="M22" s="32" t="n">
        <v>1</v>
      </c>
    </row>
    <row r="23" ht="42" customHeight="1" s="34">
      <c r="A23" s="32" t="inlineStr">
        <is>
          <t>T-15</t>
        </is>
      </c>
      <c r="B23" s="32" t="inlineStr">
        <is>
          <t>Consumer</t>
        </is>
      </c>
      <c r="C23" s="32" t="inlineStr">
        <is>
          <t>Toggle</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T-16</t>
        </is>
      </c>
      <c r="B24" s="32" t="inlineStr">
        <is>
          <t>Package</t>
        </is>
      </c>
      <c r="C24" s="32" t="inlineStr">
        <is>
          <t>Toggle</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Toggle Group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TG-01</t>
        </is>
      </c>
      <c r="B9" s="32" t="inlineStr">
        <is>
          <t>Implementation</t>
        </is>
      </c>
      <c r="C9" s="32" t="inlineStr">
        <is>
          <t>ToggleGroup</t>
        </is>
      </c>
      <c r="D9" s="32" t="inlineStr">
        <is>
          <t>Public component implementation and Atom adapter exist.</t>
        </is>
      </c>
      <c r="E9" s="32" t="inlineStr">
        <is>
          <t>package</t>
        </is>
      </c>
      <c r="F9" s="32" t="inlineStr">
        <is>
          <t>source</t>
        </is>
      </c>
      <c r="G9" s="32" t="inlineStr">
        <is>
          <t>../src/components/toggle-group</t>
        </is>
      </c>
      <c r="H9" s="32" t="inlineStr">
        <is>
          <t>tested</t>
        </is>
      </c>
      <c r="I9" s="32" t="inlineStr">
        <is>
          <t>no</t>
        </is>
      </c>
      <c r="J9" s="42" t="n">
        <v>46227</v>
      </c>
      <c r="L9" s="32" t="n">
        <v>1</v>
      </c>
      <c r="M9" s="32" t="n">
        <v>1</v>
      </c>
    </row>
    <row r="10" ht="42" customHeight="1" s="34">
      <c r="A10" s="32" t="inlineStr">
        <is>
          <t>TG-02</t>
        </is>
      </c>
      <c r="B10" s="32" t="inlineStr">
        <is>
          <t>Exports</t>
        </is>
      </c>
      <c r="C10" s="32" t="inlineStr">
        <is>
          <t>ToggleGroup</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TG-03</t>
        </is>
      </c>
      <c r="B11" s="32" t="inlineStr">
        <is>
          <t>Types</t>
        </is>
      </c>
      <c r="C11" s="32" t="inlineStr">
        <is>
          <t>ToggleGroup</t>
        </is>
      </c>
      <c r="D11" s="32" t="inlineStr">
        <is>
          <t>Public props, refs, composition branches, and invalid cases type-check.</t>
        </is>
      </c>
      <c r="E11" s="32" t="inlineStr">
        <is>
          <t>package</t>
        </is>
      </c>
      <c r="F11" s="32" t="inlineStr">
        <is>
          <t>types</t>
        </is>
      </c>
      <c r="G11" s="32" t="inlineStr">
        <is>
          <t>../test/types/components/toggle-group.test.ts</t>
        </is>
      </c>
      <c r="H11" s="32" t="inlineStr">
        <is>
          <t>tested</t>
        </is>
      </c>
      <c r="I11" s="32" t="inlineStr">
        <is>
          <t>no</t>
        </is>
      </c>
      <c r="J11" s="42" t="n">
        <v>46227</v>
      </c>
      <c r="L11" s="32" t="n">
        <v>1</v>
      </c>
      <c r="M11" s="32" t="n">
        <v>1</v>
      </c>
    </row>
    <row r="12" ht="42" customHeight="1" s="34">
      <c r="A12" s="32" t="inlineStr">
        <is>
          <t>TG-04</t>
        </is>
      </c>
      <c r="B12" s="32" t="inlineStr">
        <is>
          <t>CSS</t>
        </is>
      </c>
      <c r="C12" s="32" t="inlineStr">
        <is>
          <t>ToggleGroup</t>
        </is>
      </c>
      <c r="D12" s="32" t="inlineStr">
        <is>
          <t>Static public CSS, classes, slots, recipes, states, and tokens are present.</t>
        </is>
      </c>
      <c r="E12" s="32" t="inlineStr">
        <is>
          <t>package</t>
        </is>
      </c>
      <c r="F12" s="32" t="inlineStr">
        <is>
          <t>css</t>
        </is>
      </c>
      <c r="G12" s="32" t="inlineStr">
        <is>
          <t>../src/components/toggle-group/toggle-group.css</t>
        </is>
      </c>
      <c r="H12" s="32" t="inlineStr">
        <is>
          <t>tested</t>
        </is>
      </c>
      <c r="I12" s="32" t="inlineStr">
        <is>
          <t>no</t>
        </is>
      </c>
      <c r="J12" s="42" t="n">
        <v>46227</v>
      </c>
      <c r="L12" s="32" t="n">
        <v>1</v>
      </c>
      <c r="M12" s="32" t="n">
        <v>1</v>
      </c>
    </row>
    <row r="13" ht="42" customHeight="1" s="34">
      <c r="A13" s="32" t="inlineStr">
        <is>
          <t>TG-05</t>
        </is>
      </c>
      <c r="B13" s="32" t="inlineStr">
        <is>
          <t>Unit</t>
        </is>
      </c>
      <c r="C13" s="32" t="inlineStr">
        <is>
          <t>ToggleGroup</t>
        </is>
      </c>
      <c r="D13" s="32" t="inlineStr">
        <is>
          <t>Brick-owned DOM, recipes, adapters, and public hooks pass focused tests.</t>
        </is>
      </c>
      <c r="E13" s="32" t="inlineStr">
        <is>
          <t>package</t>
        </is>
      </c>
      <c r="F13" s="32" t="inlineStr">
        <is>
          <t>component</t>
        </is>
      </c>
      <c r="G13" s="32" t="inlineStr">
        <is>
          <t>../test/components/toggle-group/toggle-group.test.tsx</t>
        </is>
      </c>
      <c r="H13" s="32" t="inlineStr">
        <is>
          <t>tested</t>
        </is>
      </c>
      <c r="I13" s="32" t="inlineStr">
        <is>
          <t>no</t>
        </is>
      </c>
      <c r="J13" s="42" t="n">
        <v>46227</v>
      </c>
      <c r="L13" s="32" t="n">
        <v>1</v>
      </c>
      <c r="M13" s="32" t="n">
        <v>1</v>
      </c>
    </row>
    <row r="14" ht="42" customHeight="1" s="34">
      <c r="A14" s="32" t="inlineStr">
        <is>
          <t>TG-06</t>
        </is>
      </c>
      <c r="B14" s="32" t="inlineStr">
        <is>
          <t>Browser</t>
        </is>
      </c>
      <c r="C14" s="32" t="inlineStr">
        <is>
          <t>ToggleGroup</t>
        </is>
      </c>
      <c r="D14" s="32" t="inlineStr">
        <is>
          <t>Real-browser behavior and component contract checks pass.</t>
        </is>
      </c>
      <c r="E14" s="32" t="inlineStr">
        <is>
          <t>package</t>
        </is>
      </c>
      <c r="F14" s="32" t="inlineStr">
        <is>
          <t>browser</t>
        </is>
      </c>
      <c r="G14" s="32" t="inlineStr">
        <is>
          <t>tests/components/toggle-group/behavior.spec.ts</t>
        </is>
      </c>
      <c r="H14" s="32" t="inlineStr">
        <is>
          <t>tested</t>
        </is>
      </c>
      <c r="I14" s="32" t="inlineStr">
        <is>
          <t>no</t>
        </is>
      </c>
      <c r="J14" s="42" t="n">
        <v>46227</v>
      </c>
      <c r="L14" s="32" t="n">
        <v>1</v>
      </c>
      <c r="M14" s="32" t="n">
        <v>1</v>
      </c>
    </row>
    <row r="15" ht="42" customHeight="1" s="34">
      <c r="A15" s="32" t="inlineStr">
        <is>
          <t>TG-07</t>
        </is>
      </c>
      <c r="B15" s="32" t="inlineStr">
        <is>
          <t>Accessibility</t>
        </is>
      </c>
      <c r="C15" s="32" t="inlineStr">
        <is>
          <t>ToggleGroup</t>
        </is>
      </c>
      <c r="D15" s="32" t="inlineStr">
        <is>
          <t>Automated semantics and accessibility checks pass in the browser evidence suite.</t>
        </is>
      </c>
      <c r="E15" s="32" t="inlineStr">
        <is>
          <t>package</t>
        </is>
      </c>
      <c r="F15" s="32" t="inlineStr">
        <is>
          <t>axe</t>
        </is>
      </c>
      <c r="G15" s="32" t="inlineStr">
        <is>
          <t>tests/components/toggle-group/behavior.spec.ts; tests/integration</t>
        </is>
      </c>
      <c r="H15" s="32" t="inlineStr">
        <is>
          <t>tested</t>
        </is>
      </c>
      <c r="I15" s="32" t="inlineStr">
        <is>
          <t>no</t>
        </is>
      </c>
      <c r="J15" s="42" t="n">
        <v>46227</v>
      </c>
      <c r="L15" s="32" t="n">
        <v>1</v>
      </c>
      <c r="M15" s="32" t="n">
        <v>1</v>
      </c>
    </row>
    <row r="16" ht="42" customHeight="1" s="34">
      <c r="A16" s="32" t="inlineStr">
        <is>
          <t>TG-08</t>
        </is>
      </c>
      <c r="B16" s="32" t="inlineStr">
        <is>
          <t>Visual</t>
        </is>
      </c>
      <c r="C16" s="32" t="inlineStr">
        <is>
          <t>ToggleGroup</t>
        </is>
      </c>
      <c r="D16" s="32" t="inlineStr">
        <is>
          <t>Reviewed baselines cover the component's risk-selected recipes and states.</t>
        </is>
      </c>
      <c r="E16" s="32" t="inlineStr">
        <is>
          <t>package</t>
        </is>
      </c>
      <c r="F16" s="32" t="inlineStr">
        <is>
          <t>visual</t>
        </is>
      </c>
      <c r="G16" s="32" t="inlineStr">
        <is>
          <t>tests/components/toggle-group/visual.spec.ts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TG-09</t>
        </is>
      </c>
      <c r="B17" s="32" t="inlineStr">
        <is>
          <t>Responsive</t>
        </is>
      </c>
      <c r="C17" s="32" t="inlineStr">
        <is>
          <t>ToggleGroup</t>
        </is>
      </c>
      <c r="D17" s="32" t="inlineStr">
        <is>
          <t>Mobile, zoom/reflow, content stress, and RTL remain usable and contained.</t>
        </is>
      </c>
      <c r="E17" s="32" t="inlineStr">
        <is>
          <t>package</t>
        </is>
      </c>
      <c r="F17" s="32" t="inlineStr">
        <is>
          <t>manual</t>
        </is>
      </c>
      <c r="G17" s="32" t="inlineStr">
        <is>
          <t>manual-tests/toggle-group.md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TG-10</t>
        </is>
      </c>
      <c r="B18" s="32" t="inlineStr">
        <is>
          <t>Theme</t>
        </is>
      </c>
      <c r="C18" s="32" t="inlineStr">
        <is>
          <t>ToggleGroup</t>
        </is>
      </c>
      <c r="D18" s="32" t="inlineStr">
        <is>
          <t>Light, dark, focus, forced-colors, and relevant motion behavior remain perceivable.</t>
        </is>
      </c>
      <c r="E18" s="32" t="inlineStr">
        <is>
          <t>package</t>
        </is>
      </c>
      <c r="F18" s="32" t="inlineStr">
        <is>
          <t>manual</t>
        </is>
      </c>
      <c r="G18" s="32" t="inlineStr">
        <is>
          <t>manual-tests/toggle-group.md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TG-11</t>
        </is>
      </c>
      <c r="B19" s="32" t="inlineStr">
        <is>
          <t>Composition</t>
        </is>
      </c>
      <c r="C19" s="32" t="inlineStr">
        <is>
          <t>ToggleGroup</t>
        </is>
      </c>
      <c r="D19" s="32" t="inlineStr">
        <is>
          <t>Default, render, and asChild output preserve the intended element, slots, state, and relationships.</t>
        </is>
      </c>
      <c r="E19" s="32" t="inlineStr">
        <is>
          <t>package</t>
        </is>
      </c>
      <c r="F19" s="32" t="inlineStr">
        <is>
          <t>manual</t>
        </is>
      </c>
      <c r="G19" s="32" t="inlineStr">
        <is>
          <t>manual-tests/toggle-group.md; tests/components/toggle-group/behavior.spec.ts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TG-12</t>
        </is>
      </c>
      <c r="B20" s="32" t="inlineStr">
        <is>
          <t>Manual</t>
        </is>
      </c>
      <c r="C20" s="32" t="inlineStr">
        <is>
          <t>ToggleGroup</t>
        </is>
      </c>
      <c r="D20" s="32" t="inlineStr">
        <is>
          <t>The complete component-owned manual protocol passed against every playground scenario.</t>
        </is>
      </c>
      <c r="E20" s="32" t="inlineStr">
        <is>
          <t>package</t>
        </is>
      </c>
      <c r="F20" s="32" t="inlineStr">
        <is>
          <t>manual</t>
        </is>
      </c>
      <c r="G20" s="32" t="inlineStr">
        <is>
          <t>manual-tests/toggle-group.md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TG-13</t>
        </is>
      </c>
      <c r="B21" s="32" t="inlineStr">
        <is>
          <t>Docs</t>
        </is>
      </c>
      <c r="C21" s="32" t="inlineStr">
        <is>
          <t>ToggleGroup</t>
        </is>
      </c>
      <c r="D21" s="32" t="inlineStr">
        <is>
          <t>Public usage documentation exists at the component-owned path.</t>
        </is>
      </c>
      <c r="E21" s="32" t="inlineStr">
        <is>
          <t>package</t>
        </is>
      </c>
      <c r="F21" s="32" t="inlineStr">
        <is>
          <t>docs</t>
        </is>
      </c>
      <c r="G21" s="32" t="inlineStr">
        <is>
          <t>../docs/components/toggle-group/README.md</t>
        </is>
      </c>
      <c r="H21" s="32" t="inlineStr">
        <is>
          <t>tested</t>
        </is>
      </c>
      <c r="I21" s="32" t="inlineStr">
        <is>
          <t>no</t>
        </is>
      </c>
      <c r="J21" s="42" t="n">
        <v>46227</v>
      </c>
      <c r="L21" s="32" t="n">
        <v>1</v>
      </c>
      <c r="M21" s="32" t="n">
        <v>1</v>
      </c>
    </row>
    <row r="22" ht="42" customHeight="1" s="34">
      <c r="A22" s="32" t="inlineStr">
        <is>
          <t>TG-14</t>
        </is>
      </c>
      <c r="B22" s="32" t="inlineStr">
        <is>
          <t>Changelog</t>
        </is>
      </c>
      <c r="C22" s="32" t="inlineStr">
        <is>
          <t>ToggleGroup</t>
        </is>
      </c>
      <c r="D22" s="32" t="inlineStr">
        <is>
          <t>The component owns a public changelog.</t>
        </is>
      </c>
      <c r="E22" s="32" t="inlineStr">
        <is>
          <t>package</t>
        </is>
      </c>
      <c r="F22" s="32" t="inlineStr">
        <is>
          <t>docs</t>
        </is>
      </c>
      <c r="G22" s="32" t="inlineStr">
        <is>
          <t>../docs/components/toggle-group/CHANGELOG.md</t>
        </is>
      </c>
      <c r="H22" s="32" t="inlineStr">
        <is>
          <t>tested</t>
        </is>
      </c>
      <c r="I22" s="32" t="inlineStr">
        <is>
          <t>no</t>
        </is>
      </c>
      <c r="J22" s="42" t="n">
        <v>46227</v>
      </c>
      <c r="L22" s="32" t="n">
        <v>1</v>
      </c>
      <c r="M22" s="32" t="n">
        <v>1</v>
      </c>
    </row>
    <row r="23" ht="42" customHeight="1" s="34">
      <c r="A23" s="32" t="inlineStr">
        <is>
          <t>TG-15</t>
        </is>
      </c>
      <c r="B23" s="32" t="inlineStr">
        <is>
          <t>Consumer</t>
        </is>
      </c>
      <c r="C23" s="32" t="inlineStr">
        <is>
          <t>ToggleGroup</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TG-16</t>
        </is>
      </c>
      <c r="B24" s="32" t="inlineStr">
        <is>
          <t>Package</t>
        </is>
      </c>
      <c r="C24" s="32" t="inlineStr">
        <is>
          <t>ToggleGroup</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Stack Evidence</t>
        </is>
      </c>
    </row>
    <row r="2" ht="27.75" customHeight="1" s="34">
      <c r="A2" s="36" t="inlineStr">
        <is>
          <t>Assertion-level package, browser, human-review, documentation, and consumer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S-01</t>
        </is>
      </c>
      <c r="B9" s="43" t="inlineStr">
        <is>
          <t>Implementation</t>
        </is>
      </c>
      <c r="C9" s="43" t="inlineStr">
        <is>
          <t>Stack</t>
        </is>
      </c>
      <c r="D9" s="44" t="inlineStr">
        <is>
          <t>Stack, HStack, and VStack share one semantic root implementation with stable hooks and refs.</t>
        </is>
      </c>
      <c r="E9" s="43" t="inlineStr">
        <is>
          <t>package</t>
        </is>
      </c>
      <c r="F9" s="43" t="inlineStr">
        <is>
          <t>source</t>
        </is>
      </c>
      <c r="G9" s="44" t="inlineStr">
        <is>
          <t>../src/components/stack</t>
        </is>
      </c>
      <c r="H9" s="43" t="inlineStr">
        <is>
          <t>tested</t>
        </is>
      </c>
      <c r="I9" s="43" t="inlineStr">
        <is>
          <t>no</t>
        </is>
      </c>
      <c r="J9" s="45" t="n">
        <v>46227</v>
      </c>
      <c r="K9" s="44" t="n"/>
      <c r="L9" s="43" t="n">
        <v>1</v>
      </c>
      <c r="M9" s="43">
        <f>IF(OR(AND(I9="yes",H9="verified"),AND(I9="no",OR(H9="tested",H9="verified")),AND(H9="not applicable",K9&lt;&gt;"")),1,0)</f>
        <v/>
      </c>
    </row>
    <row r="10" ht="54" customHeight="1" s="34">
      <c r="A10" s="43" t="inlineStr">
        <is>
          <t>S-02</t>
        </is>
      </c>
      <c r="B10" s="43" t="inlineStr">
        <is>
          <t>Exports</t>
        </is>
      </c>
      <c r="C10" s="43" t="inlineStr">
        <is>
          <t>Stack family</t>
        </is>
      </c>
      <c r="D10" s="44" t="inlineStr">
        <is>
          <t>Root and public Stack subpath exports expose all three runtimes and public types.</t>
        </is>
      </c>
      <c r="E10" s="43" t="inlineStr">
        <is>
          <t>package</t>
        </is>
      </c>
      <c r="F10" s="43" t="inlineStr">
        <is>
          <t>package</t>
        </is>
      </c>
      <c r="G10" s="44" t="inlineStr">
        <is>
          <t>../test/package/package.test.mjs</t>
        </is>
      </c>
      <c r="H10" s="43" t="inlineStr">
        <is>
          <t>tested</t>
        </is>
      </c>
      <c r="I10" s="43" t="inlineStr">
        <is>
          <t>no</t>
        </is>
      </c>
      <c r="J10" s="45" t="n">
        <v>46227</v>
      </c>
      <c r="K10" s="44" t="n"/>
      <c r="L10" s="43" t="n">
        <v>1</v>
      </c>
      <c r="M10" s="43">
        <f>IF(OR(AND(I10="yes",H10="verified"),AND(I10="no",OR(H10="tested",H10="verified")),AND(H10="not applicable",K10&lt;&gt;"")),1,0)</f>
        <v/>
      </c>
    </row>
    <row r="11" ht="54" customHeight="1" s="34">
      <c r="A11" s="43" t="inlineStr">
        <is>
          <t>S-03</t>
        </is>
      </c>
      <c r="B11" s="43" t="inlineStr">
        <is>
          <t>Types</t>
        </is>
      </c>
      <c r="C11" s="43" t="inlineStr">
        <is>
          <t>Stack family and Item</t>
        </is>
      </c>
      <c r="D11" s="44" t="inlineStr">
        <is>
          <t>Hosts, responsive direction/gap/alignment/distribution/wrapping/edge spacing, Item flex/alignment, native props, refs, and exclusions type-check.</t>
        </is>
      </c>
      <c r="E11" s="43" t="inlineStr">
        <is>
          <t>package</t>
        </is>
      </c>
      <c r="F11" s="43" t="inlineStr">
        <is>
          <t>types</t>
        </is>
      </c>
      <c r="G11" s="44" t="inlineStr">
        <is>
          <t>../test/types/components/stack.test.ts</t>
        </is>
      </c>
      <c r="H11" s="43" t="inlineStr">
        <is>
          <t>tested</t>
        </is>
      </c>
      <c r="I11" s="43" t="inlineStr">
        <is>
          <t>no</t>
        </is>
      </c>
      <c r="J11" s="45" t="n">
        <v>46244</v>
      </c>
      <c r="K11" s="44" t="n"/>
      <c r="L11" s="43" t="n">
        <v>1</v>
      </c>
      <c r="M11" s="43">
        <f>IF(OR(AND(I11="yes",H11="verified"),AND(I11="no",OR(H11="tested",H11="verified")),AND(H11="not applicable",K11&lt;&gt;"")),1,0)</f>
        <v/>
      </c>
    </row>
    <row r="12" ht="54" customHeight="1" s="34">
      <c r="A12" s="43" t="inlineStr">
        <is>
          <t>S-04</t>
        </is>
      </c>
      <c r="B12" s="43" t="inlineStr">
        <is>
          <t>CSS</t>
        </is>
      </c>
      <c r="C12" s="43" t="inlineStr">
        <is>
          <t>Root and Item</t>
        </is>
      </c>
      <c r="D12" s="44" t="inlineStr">
        <is>
          <t>Static CSS ships flex layout, canonical responsive recipes, tokenized gaps, logical edge spacing, Item flex/alignment, wrapping, and containment.</t>
        </is>
      </c>
      <c r="E12" s="43" t="inlineStr">
        <is>
          <t>package</t>
        </is>
      </c>
      <c r="F12" s="43" t="inlineStr">
        <is>
          <t>css</t>
        </is>
      </c>
      <c r="G12" s="44" t="inlineStr">
        <is>
          <t>../src/components/stack/stack.css; ../src/styles/tokens.tokens.json</t>
        </is>
      </c>
      <c r="H12" s="43" t="inlineStr">
        <is>
          <t>tested</t>
        </is>
      </c>
      <c r="I12" s="43" t="inlineStr">
        <is>
          <t>no</t>
        </is>
      </c>
      <c r="J12" s="45" t="n">
        <v>46244</v>
      </c>
      <c r="K12" s="44" t="n"/>
      <c r="L12" s="43" t="n">
        <v>1</v>
      </c>
      <c r="M12" s="43">
        <f>IF(OR(AND(I12="yes",H12="verified"),AND(I12="no",OR(H12="tested",H12="verified")),AND(H12="not applicable",K12&lt;&gt;"")),1,0)</f>
        <v/>
      </c>
    </row>
    <row r="13" ht="54" customHeight="1" s="34">
      <c r="A13" s="43" t="inlineStr">
        <is>
          <t>S-05</t>
        </is>
      </c>
      <c r="B13" s="43" t="inlineStr">
        <is>
          <t>Unit</t>
        </is>
      </c>
      <c r="C13" s="43" t="inlineStr">
        <is>
          <t>Stack family and Item</t>
        </is>
      </c>
      <c r="D13" s="44" t="inlineStr">
        <is>
          <t>Defaults, responsive data contracts, family direction locks, Item recipes, semantic hosts, composition, hooks, events, and refs pass focused tests.</t>
        </is>
      </c>
      <c r="E13" s="43" t="inlineStr">
        <is>
          <t>package</t>
        </is>
      </c>
      <c r="F13" s="43" t="inlineStr">
        <is>
          <t>component</t>
        </is>
      </c>
      <c r="G13" s="44" t="inlineStr">
        <is>
          <t>../test/components/stack/stack.test.tsx</t>
        </is>
      </c>
      <c r="H13" s="43" t="inlineStr">
        <is>
          <t>tested</t>
        </is>
      </c>
      <c r="I13" s="43" t="inlineStr">
        <is>
          <t>no</t>
        </is>
      </c>
      <c r="J13" s="45" t="n">
        <v>46244</v>
      </c>
      <c r="K13" s="44" t="n"/>
      <c r="L13" s="43" t="n">
        <v>1</v>
      </c>
      <c r="M13" s="43">
        <f>IF(OR(AND(I13="yes",H13="verified"),AND(I13="no",OR(H13="tested",H13="verified")),AND(H13="not applicable",K13&lt;&gt;"")),1,0)</f>
        <v/>
      </c>
    </row>
    <row r="14" ht="54" customHeight="1" s="34">
      <c r="A14" s="43" t="inlineStr">
        <is>
          <t>S-06</t>
        </is>
      </c>
      <c r="B14" s="43" t="inlineStr">
        <is>
          <t>Browser</t>
        </is>
      </c>
      <c r="C14" s="43" t="inlineStr">
        <is>
          <t>Stack family and Item</t>
        </is>
      </c>
      <c r="D14" s="44" t="inlineStr">
        <is>
          <t>Real-browser axes, exact gaps, responsive arrangement and Item flex, wrapping, containment, semantics, refs, output, and customization pass.</t>
        </is>
      </c>
      <c r="E14" s="43" t="inlineStr">
        <is>
          <t>package</t>
        </is>
      </c>
      <c r="F14" s="43" t="inlineStr">
        <is>
          <t>browser</t>
        </is>
      </c>
      <c r="G14" s="44" t="inlineStr">
        <is>
          <t>tests/components/stack/behavior.spec.ts</t>
        </is>
      </c>
      <c r="H14" s="43" t="inlineStr">
        <is>
          <t>tested</t>
        </is>
      </c>
      <c r="I14" s="43" t="inlineStr">
        <is>
          <t>no</t>
        </is>
      </c>
      <c r="J14" s="45" t="n">
        <v>46244</v>
      </c>
      <c r="K14" s="44" t="n"/>
      <c r="L14" s="43" t="n">
        <v>1</v>
      </c>
      <c r="M14" s="43">
        <f>IF(OR(AND(I14="yes",H14="verified"),AND(I14="no",OR(H14="tested",H14="verified")),AND(H14="not applicable",K14&lt;&gt;"")),1,0)</f>
        <v/>
      </c>
    </row>
    <row r="15" ht="54" customHeight="1" s="34">
      <c r="A15" s="43" t="inlineStr">
        <is>
          <t>S-07</t>
        </is>
      </c>
      <c r="B15" s="43" t="inlineStr">
        <is>
          <t>Accessibility</t>
        </is>
      </c>
      <c r="C15" s="43" t="inlineStr">
        <is>
          <t>Root and Item</t>
        </is>
      </c>
      <c r="D15" s="44" t="inlineStr">
        <is>
          <t>Responsive reflow preserves source order, semantic hosts, RTL logic, containment, and axe checks without adding roles or names.</t>
        </is>
      </c>
      <c r="E15" s="43" t="inlineStr">
        <is>
          <t>package</t>
        </is>
      </c>
      <c r="F15" s="43" t="inlineStr">
        <is>
          <t>axe</t>
        </is>
      </c>
      <c r="G15" s="44" t="inlineStr">
        <is>
          <t>tests/components/stack/behavior.spec.ts</t>
        </is>
      </c>
      <c r="H15" s="43" t="inlineStr">
        <is>
          <t>tested</t>
        </is>
      </c>
      <c r="I15" s="43" t="inlineStr">
        <is>
          <t>no</t>
        </is>
      </c>
      <c r="J15" s="45" t="n">
        <v>46244</v>
      </c>
      <c r="K15" s="44" t="n"/>
      <c r="L15" s="43" t="n">
        <v>1</v>
      </c>
      <c r="M15" s="43">
        <f>IF(OR(AND(I15="yes",H15="verified"),AND(I15="no",OR(H15="tested",H15="verified")),AND(H15="not applicable",K15&lt;&gt;"")),1,0)</f>
        <v/>
      </c>
    </row>
    <row r="16" ht="54" customHeight="1" s="34">
      <c r="A16" s="43" t="inlineStr">
        <is>
          <t>S-08</t>
        </is>
      </c>
      <c r="B16" s="43" t="inlineStr">
        <is>
          <t>Visual</t>
        </is>
      </c>
      <c r="C16" s="43" t="inlineStr">
        <is>
          <t>Stack family</t>
        </is>
      </c>
      <c r="D16" s="44" t="inlineStr">
        <is>
          <t>Reviewed baselines cover defaults, family directions, gaps, alignment, wrapping, dark appearance, mobile RTL, and forced colors.</t>
        </is>
      </c>
      <c r="E16" s="43" t="inlineStr">
        <is>
          <t>package</t>
        </is>
      </c>
      <c r="F16" s="43" t="inlineStr">
        <is>
          <t>visual</t>
        </is>
      </c>
      <c r="G16" s="44" t="inlineStr">
        <is>
          <t>tests/components/stack/visual.spec.ts</t>
        </is>
      </c>
      <c r="H16" s="43" t="inlineStr">
        <is>
          <t>verified</t>
        </is>
      </c>
      <c r="I16" s="43" t="inlineStr">
        <is>
          <t>yes</t>
        </is>
      </c>
      <c r="J16" s="45" t="n">
        <v>46227</v>
      </c>
      <c r="K16" s="44" t="inlineStr">
        <is>
          <t>Current Stack playground and visual baselines were reviewed during implementation.</t>
        </is>
      </c>
      <c r="L16" s="43" t="n">
        <v>1</v>
      </c>
      <c r="M16" s="43">
        <f>IF(OR(AND(I16="yes",H16="verified"),AND(I16="no",OR(H16="tested",H16="verified")),AND(H16="not applicable",K16&lt;&gt;"")),1,0)</f>
        <v/>
      </c>
    </row>
    <row r="17" ht="54" customHeight="1" s="34">
      <c r="A17" s="43" t="inlineStr">
        <is>
          <t>S-09</t>
        </is>
      </c>
      <c r="B17" s="43" t="inlineStr">
        <is>
          <t>Responsive</t>
        </is>
      </c>
      <c r="C17" s="43" t="inlineStr">
        <is>
          <t>Stack family</t>
        </is>
      </c>
      <c r="D17" s="44" t="inlineStr">
        <is>
          <t>Physical mobile, 200%/400% zoom, constrained wrapping, long content, and RTL remain readable and contained.</t>
        </is>
      </c>
      <c r="E17" s="43" t="inlineStr">
        <is>
          <t>package</t>
        </is>
      </c>
      <c r="F17" s="43" t="inlineStr">
        <is>
          <t>manual</t>
        </is>
      </c>
      <c r="G17" s="44" t="inlineStr">
        <is>
          <t>manual-tests/stack.md</t>
        </is>
      </c>
      <c r="H17" s="43" t="inlineStr">
        <is>
          <t>implemented</t>
        </is>
      </c>
      <c r="I17" s="43" t="inlineStr">
        <is>
          <t>yes</t>
        </is>
      </c>
      <c r="J17" s="45" t="n"/>
      <c r="K17" s="44" t="inlineStr">
        <is>
          <t>Automated reflow and RTL evidence passes; the human manual run is intentionally pending.</t>
        </is>
      </c>
      <c r="L17" s="43" t="n">
        <v>1</v>
      </c>
      <c r="M17" s="43">
        <f>IF(OR(AND(I17="yes",H17="verified"),AND(I17="no",OR(H17="tested",H17="verified")),AND(H17="not applicable",K17&lt;&gt;"")),1,0)</f>
        <v/>
      </c>
    </row>
    <row r="18" ht="54" customHeight="1" s="34">
      <c r="A18" s="43" t="inlineStr">
        <is>
          <t>S-10</t>
        </is>
      </c>
      <c r="B18" s="43" t="inlineStr">
        <is>
          <t>Theme</t>
        </is>
      </c>
      <c r="C18" s="43" t="inlineStr">
        <is>
          <t>Root</t>
        </is>
      </c>
      <c r="D18" s="44" t="inlineStr">
        <is>
          <t>Light, dark, forced-colors, focus-bearing children, and text-spacing stress retain understandable layout.</t>
        </is>
      </c>
      <c r="E18" s="43" t="inlineStr">
        <is>
          <t>package</t>
        </is>
      </c>
      <c r="F18" s="43" t="inlineStr">
        <is>
          <t>manual</t>
        </is>
      </c>
      <c r="G18" s="44" t="inlineStr">
        <is>
          <t>manual-tests/stack.md; tests/components/stack/visual.spec.ts</t>
        </is>
      </c>
      <c r="H18" s="43" t="inlineStr">
        <is>
          <t>implemented</t>
        </is>
      </c>
      <c r="I18" s="43" t="inlineStr">
        <is>
          <t>yes</t>
        </is>
      </c>
      <c r="J18" s="45" t="n"/>
      <c r="K18" s="44" t="inlineStr">
        <is>
          <t>Automated appearance evidence passes; complete human appearance review is pending.</t>
        </is>
      </c>
      <c r="L18" s="43" t="n">
        <v>1</v>
      </c>
      <c r="M18" s="43">
        <f>IF(OR(AND(I18="yes",H18="verified"),AND(I18="no",OR(H18="tested",H18="verified")),AND(H18="not applicable",K18&lt;&gt;"")),1,0)</f>
        <v/>
      </c>
    </row>
    <row r="19" ht="54" customHeight="1" s="34">
      <c r="A19" s="43" t="inlineStr">
        <is>
          <t>S-11</t>
        </is>
      </c>
      <c r="B19" s="43" t="inlineStr">
        <is>
          <t>Semantics</t>
        </is>
      </c>
      <c r="C19" s="43" t="inlineStr">
        <is>
          <t>Root and Item</t>
        </is>
      </c>
      <c r="D19" s="44" t="inlineStr">
        <is>
          <t>Every supported host, authored native attribute, DOM order, composed Item host, and rendered-output example match the public contract.</t>
        </is>
      </c>
      <c r="E19" s="43" t="inlineStr">
        <is>
          <t>package</t>
        </is>
      </c>
      <c r="F19" s="43" t="inlineStr">
        <is>
          <t>browser</t>
        </is>
      </c>
      <c r="G19" s="44" t="inlineStr">
        <is>
          <t>../test/components/stack/stack.test.tsx; tests/components/stack/behavior.spec.ts</t>
        </is>
      </c>
      <c r="H19" s="43" t="inlineStr">
        <is>
          <t>tested</t>
        </is>
      </c>
      <c r="I19" s="43" t="inlineStr">
        <is>
          <t>no</t>
        </is>
      </c>
      <c r="J19" s="45" t="n">
        <v>46244</v>
      </c>
      <c r="K19" s="44" t="n"/>
      <c r="L19" s="43" t="n">
        <v>1</v>
      </c>
      <c r="M19" s="43">
        <f>IF(OR(AND(I19="yes",H19="verified"),AND(I19="no",OR(H19="tested",H19="verified")),AND(H19="not applicable",K19&lt;&gt;"")),1,0)</f>
        <v/>
      </c>
    </row>
    <row r="20" ht="54" customHeight="1" s="34">
      <c r="A20" s="43" t="inlineStr">
        <is>
          <t>S-12</t>
        </is>
      </c>
      <c r="B20" s="43" t="inlineStr">
        <is>
          <t>Manual</t>
        </is>
      </c>
      <c r="C20" s="43" t="inlineStr">
        <is>
          <t>Stack family</t>
        </is>
      </c>
      <c r="D20" s="44" t="inlineStr">
        <is>
          <t>The component-owned manual protocol passes every Stack playground scenario.</t>
        </is>
      </c>
      <c r="E20" s="43" t="inlineStr">
        <is>
          <t>package</t>
        </is>
      </c>
      <c r="F20" s="43" t="inlineStr">
        <is>
          <t>manual</t>
        </is>
      </c>
      <c r="G20" s="44" t="inlineStr">
        <is>
          <t>manual-tests/stack.md</t>
        </is>
      </c>
      <c r="H20" s="43" t="inlineStr">
        <is>
          <t>implemented</t>
        </is>
      </c>
      <c r="I20" s="43" t="inlineStr">
        <is>
          <t>yes</t>
        </is>
      </c>
      <c r="J20" s="45" t="n"/>
      <c r="K20" s="44" t="inlineStr">
        <is>
          <t>Protocol exists but the owner has deferred the human run.</t>
        </is>
      </c>
      <c r="L20" s="43" t="n">
        <v>1</v>
      </c>
      <c r="M20" s="43">
        <f>IF(OR(AND(I20="yes",H20="verified"),AND(I20="no",OR(H20="tested",H20="verified")),AND(H20="not applicable",K20&lt;&gt;"")),1,0)</f>
        <v/>
      </c>
    </row>
    <row r="21" ht="54" customHeight="1" s="34">
      <c r="A21" s="43" t="inlineStr">
        <is>
          <t>S-13</t>
        </is>
      </c>
      <c r="B21" s="43" t="inlineStr">
        <is>
          <t>Docs</t>
        </is>
      </c>
      <c r="C21" s="43" t="inlineStr">
        <is>
          <t>Stack family and Item</t>
        </is>
      </c>
      <c r="D21" s="44" t="inlineStr">
        <is>
          <t>Source-backed public usage, responsive values, Item sizing, semantics, accessibility, CSS, API, and agent guidance pass component checks.</t>
        </is>
      </c>
      <c r="E21" s="43" t="inlineStr">
        <is>
          <t>package</t>
        </is>
      </c>
      <c r="F21" s="43" t="inlineStr">
        <is>
          <t>docs</t>
        </is>
      </c>
      <c r="G21" s="44" t="inlineStr">
        <is>
          <t>../docs/components/stack/README.md; ../src/components/stack/agent.md</t>
        </is>
      </c>
      <c r="H21" s="43" t="inlineStr">
        <is>
          <t>tested</t>
        </is>
      </c>
      <c r="I21" s="43" t="inlineStr">
        <is>
          <t>no</t>
        </is>
      </c>
      <c r="J21" s="45" t="n">
        <v>46244</v>
      </c>
      <c r="K21" s="44" t="n"/>
      <c r="L21" s="43" t="n">
        <v>1</v>
      </c>
      <c r="M21" s="43">
        <f>IF(OR(AND(I21="yes",H21="verified"),AND(I21="no",OR(H21="tested",H21="verified")),AND(H21="not applicable",K21&lt;&gt;"")),1,0)</f>
        <v/>
      </c>
    </row>
    <row r="22" ht="54" customHeight="1" s="34">
      <c r="A22" s="43" t="inlineStr">
        <is>
          <t>S-14</t>
        </is>
      </c>
      <c r="B22" s="43" t="inlineStr">
        <is>
          <t>Changelog</t>
        </is>
      </c>
      <c r="C22" s="43" t="inlineStr">
        <is>
          <t>Stack family and Item</t>
        </is>
      </c>
      <c r="D22" s="44" t="inlineStr">
        <is>
          <t>Stack owns a public component changelog and the package changelog records responsive layout and Item additions.</t>
        </is>
      </c>
      <c r="E22" s="43" t="inlineStr">
        <is>
          <t>package</t>
        </is>
      </c>
      <c r="F22" s="43" t="inlineStr">
        <is>
          <t>docs</t>
        </is>
      </c>
      <c r="G22" s="44" t="inlineStr">
        <is>
          <t>../docs/components/stack/CHANGELOG.md; ../CHANGELOG.md</t>
        </is>
      </c>
      <c r="H22" s="43" t="inlineStr">
        <is>
          <t>tested</t>
        </is>
      </c>
      <c r="I22" s="43" t="inlineStr">
        <is>
          <t>no</t>
        </is>
      </c>
      <c r="J22" s="45" t="n">
        <v>46244</v>
      </c>
      <c r="K22" s="44" t="n"/>
      <c r="L22" s="43" t="n">
        <v>1</v>
      </c>
      <c r="M22" s="43">
        <f>IF(OR(AND(I22="yes",H22="verified"),AND(I22="no",OR(H22="tested",H22="verified")),AND(H22="not applicable",K22&lt;&gt;"")),1,0)</f>
        <v/>
      </c>
    </row>
    <row r="23" ht="54" customHeight="1" s="34">
      <c r="A23" s="43" t="inlineStr">
        <is>
          <t>S-15</t>
        </is>
      </c>
      <c r="B23" s="43" t="inlineStr">
        <is>
          <t>Consumer</t>
        </is>
      </c>
      <c r="C23" s="43" t="inlineStr">
        <is>
          <t>HStack / VStack</t>
        </is>
      </c>
      <c r="D23" s="44" t="inlineStr">
        <is>
          <t>The packed Consumer proves realistic content and action composition through the public Stack subpath.</t>
        </is>
      </c>
      <c r="E23" s="43" t="inlineStr">
        <is>
          <t>consumer</t>
        </is>
      </c>
      <c r="F23" s="43" t="inlineStr">
        <is>
          <t>consumer</t>
        </is>
      </c>
      <c r="G23" s="44" t="inlineStr">
        <is>
          <t>../apps/consumer/src/App.tsx; ../apps/consumer/tests/consumer.spec.ts</t>
        </is>
      </c>
      <c r="H23" s="43" t="inlineStr">
        <is>
          <t>tested</t>
        </is>
      </c>
      <c r="I23" s="43" t="inlineStr">
        <is>
          <t>no</t>
        </is>
      </c>
      <c r="J23" s="45" t="n">
        <v>46227</v>
      </c>
      <c r="K23" s="44" t="n"/>
      <c r="L23" s="43" t="n">
        <v>1</v>
      </c>
      <c r="M23" s="43">
        <f>IF(OR(AND(I23="yes",H23="verified"),AND(I23="no",OR(H23="tested",H23="verified")),AND(H23="not applicable",K23&lt;&gt;"")),1,0)</f>
        <v/>
      </c>
    </row>
    <row r="24" ht="54" customHeight="1" s="34">
      <c r="A24" s="43" t="inlineStr">
        <is>
          <t>S-16</t>
        </is>
      </c>
      <c r="B24" s="43" t="inlineStr">
        <is>
          <t>Package</t>
        </is>
      </c>
      <c r="C24" s="43" t="inlineStr">
        <is>
          <t>Stack family and Item</t>
        </is>
      </c>
      <c r="D24" s="44" t="inlineStr">
        <is>
          <t>Build, SSR, exports, CSS, tarball, React 18/19, packed consumers, browser evidence, and playground Stack-adoption checks pass.</t>
        </is>
      </c>
      <c r="E24" s="43" t="inlineStr">
        <is>
          <t>package</t>
        </is>
      </c>
      <c r="F24" s="43" t="inlineStr">
        <is>
          <t>package</t>
        </is>
      </c>
      <c r="G24" s="44" t="inlineStr">
        <is>
          <t>../test/package; ../scripts/verify-package.mjs; ../scripts/verify-consumers.mjs; ../scripts/verify-playground-stack.mjs</t>
        </is>
      </c>
      <c r="H24" s="43" t="inlineStr">
        <is>
          <t>implemented</t>
        </is>
      </c>
      <c r="I24" s="43" t="inlineStr">
        <is>
          <t>yes</t>
        </is>
      </c>
      <c r="J24" s="45" t="n">
        <v>46227</v>
      </c>
      <c r="K24" s="44" t="inlineStr">
        <is>
          <t>Automated package gates pass; complete status waits for the component-owned human manual run.</t>
        </is>
      </c>
      <c r="L24" s="43" t="n">
        <v>1</v>
      </c>
      <c r="M24" s="43">
        <f>IF(OR(AND(I24="yes",H24="verified"),AND(I24="no",OR(H24="tested",H24="verified")),AND(H24="not applicable",K24&lt;&gt;"")),1,0)</f>
        <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Group Evidence</t>
        </is>
      </c>
    </row>
    <row r="2" ht="27.75" customHeight="1" s="34">
      <c r="A2" s="36" t="inlineStr">
        <is>
          <t>Assertion-level package, browser, human-review, documentation, and consumer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G-01</t>
        </is>
      </c>
      <c r="B9" s="43" t="inlineStr">
        <is>
          <t>Implementation</t>
        </is>
      </c>
      <c r="C9" s="43" t="inlineStr">
        <is>
          <t>Group</t>
        </is>
      </c>
      <c r="D9" s="44" t="inlineStr">
        <is>
          <t>One native role-free host preserves authored direct children, native attributes, events, class, style, slot, and ref.</t>
        </is>
      </c>
      <c r="E9" s="43" t="inlineStr">
        <is>
          <t>package</t>
        </is>
      </c>
      <c r="F9" s="43" t="inlineStr">
        <is>
          <t>source</t>
        </is>
      </c>
      <c r="G9" s="44" t="inlineStr">
        <is>
          <t>../src/components/group/Group.tsx</t>
        </is>
      </c>
      <c r="H9" s="43" t="inlineStr">
        <is>
          <t>tested</t>
        </is>
      </c>
      <c r="I9" s="43" t="inlineStr">
        <is>
          <t>no</t>
        </is>
      </c>
      <c r="J9" s="45" t="n">
        <v>46260</v>
      </c>
      <c r="K9" s="44" t="n"/>
      <c r="L9" s="43" t="n">
        <v>1</v>
      </c>
      <c r="M9" s="43">
        <f>IF(OR(AND(I9="yes",H9="verified"),AND(I9="no",OR(H9="tested",H9="verified")),AND(H9="not applicable",K9&lt;&gt;"")),1,0)</f>
        <v/>
      </c>
    </row>
    <row r="10" ht="54" customHeight="1" s="34">
      <c r="A10" s="43" t="inlineStr">
        <is>
          <t>G-02</t>
        </is>
      </c>
      <c r="B10" s="43" t="inlineStr">
        <is>
          <t>Exports</t>
        </is>
      </c>
      <c r="C10" s="43" t="inlineStr">
        <is>
          <t>Group</t>
        </is>
      </c>
      <c r="D10" s="44" t="inlineStr">
        <is>
          <t>Root and public group subpath exports expose the runtime and public types.</t>
        </is>
      </c>
      <c r="E10" s="43" t="inlineStr">
        <is>
          <t>package</t>
        </is>
      </c>
      <c r="F10" s="43" t="inlineStr">
        <is>
          <t>package</t>
        </is>
      </c>
      <c r="G10" s="44" t="inlineStr">
        <is>
          <t>../src/group.ts; ../src/index.ts; ../package.json</t>
        </is>
      </c>
      <c r="H10" s="43" t="inlineStr">
        <is>
          <t>tested</t>
        </is>
      </c>
      <c r="I10" s="43" t="inlineStr">
        <is>
          <t>no</t>
        </is>
      </c>
      <c r="J10" s="45" t="n">
        <v>46260</v>
      </c>
      <c r="K10" s="44" t="n"/>
      <c r="L10" s="43" t="n">
        <v>1</v>
      </c>
      <c r="M10" s="43">
        <f>IF(OR(AND(I10="yes",H10="verified"),AND(I10="no",OR(H10="tested",H10="verified")),AND(H10="not applicable",K10&lt;&gt;"")),1,0)</f>
        <v/>
      </c>
    </row>
    <row r="11" ht="54" customHeight="1" s="34">
      <c r="A11" s="43" t="inlineStr">
        <is>
          <t>G-03</t>
        </is>
      </c>
      <c r="B11" s="43" t="inlineStr">
        <is>
          <t>Types</t>
        </is>
      </c>
      <c r="C11" s="43" t="inlineStr">
        <is>
          <t>Group</t>
        </is>
      </c>
      <c r="D11" s="44" t="inlineStr">
        <is>
          <t>Closed hosts and orientations, spacing, attachment, growth, native props, refs, and exclusions type-check.</t>
        </is>
      </c>
      <c r="E11" s="43" t="inlineStr">
        <is>
          <t>package</t>
        </is>
      </c>
      <c r="F11" s="43" t="inlineStr">
        <is>
          <t>types</t>
        </is>
      </c>
      <c r="G11" s="44" t="inlineStr">
        <is>
          <t>../test/types/components/group.test.ts</t>
        </is>
      </c>
      <c r="H11" s="43" t="inlineStr">
        <is>
          <t>tested</t>
        </is>
      </c>
      <c r="I11" s="43" t="inlineStr">
        <is>
          <t>no</t>
        </is>
      </c>
      <c r="J11" s="45" t="n">
        <v>46260</v>
      </c>
      <c r="K11" s="44" t="n"/>
      <c r="L11" s="43" t="n">
        <v>1</v>
      </c>
      <c r="M11" s="43">
        <f>IF(OR(AND(I11="yes",H11="verified"),AND(I11="no",OR(H11="tested",H11="verified")),AND(H11="not applicable",K11&lt;&gt;"")),1,0)</f>
        <v/>
      </c>
    </row>
    <row r="12" ht="54" customHeight="1" s="34">
      <c r="A12" s="43" t="inlineStr">
        <is>
          <t>G-04</t>
        </is>
      </c>
      <c r="B12" s="43" t="inlineStr">
        <is>
          <t>CSS</t>
        </is>
      </c>
      <c r="C12" s="43" t="inlineStr">
        <is>
          <t>Group and direct children</t>
        </is>
      </c>
      <c r="D12" s="44" t="inlineStr">
        <is>
          <t>Static CSS ships inline layout, tokenized gaps, attached logical corners, border overlap, equal growth, and local hover/focus stacking.</t>
        </is>
      </c>
      <c r="E12" s="43" t="inlineStr">
        <is>
          <t>package</t>
        </is>
      </c>
      <c r="F12" s="43" t="inlineStr">
        <is>
          <t>css</t>
        </is>
      </c>
      <c r="G12" s="44" t="inlineStr">
        <is>
          <t>../src/components/group/group.css</t>
        </is>
      </c>
      <c r="H12" s="43" t="inlineStr">
        <is>
          <t>tested</t>
        </is>
      </c>
      <c r="I12" s="43" t="inlineStr">
        <is>
          <t>no</t>
        </is>
      </c>
      <c r="J12" s="45" t="n">
        <v>46260</v>
      </c>
      <c r="K12" s="44" t="n"/>
      <c r="L12" s="43" t="n">
        <v>1</v>
      </c>
      <c r="M12" s="43">
        <f>IF(OR(AND(I12="yes",H12="verified"),AND(I12="no",OR(H12="tested",H12="verified")),AND(H12="not applicable",K12&lt;&gt;"")),1,0)</f>
        <v/>
      </c>
    </row>
    <row r="13" ht="54" customHeight="1" s="34">
      <c r="A13" s="43" t="inlineStr">
        <is>
          <t>G-05</t>
        </is>
      </c>
      <c r="B13" s="43" t="inlineStr">
        <is>
          <t>Unit</t>
        </is>
      </c>
      <c r="C13" s="43" t="inlineStr">
        <is>
          <t>Group</t>
        </is>
      </c>
      <c r="D13" s="44" t="inlineStr">
        <is>
          <t>Defaults, host choice, orientations, attachment, growth, spacing, semantics, native props, hooks, events, and refs pass focused tests.</t>
        </is>
      </c>
      <c r="E13" s="43" t="inlineStr">
        <is>
          <t>package</t>
        </is>
      </c>
      <c r="F13" s="43" t="inlineStr">
        <is>
          <t>component</t>
        </is>
      </c>
      <c r="G13" s="44" t="inlineStr">
        <is>
          <t>../test/components/group/group.test.tsx</t>
        </is>
      </c>
      <c r="H13" s="43" t="inlineStr">
        <is>
          <t>tested</t>
        </is>
      </c>
      <c r="I13" s="43" t="inlineStr">
        <is>
          <t>no</t>
        </is>
      </c>
      <c r="J13" s="45" t="n">
        <v>46260</v>
      </c>
      <c r="K13" s="44" t="n"/>
      <c r="L13" s="43" t="n">
        <v>1</v>
      </c>
      <c r="M13" s="43">
        <f>IF(OR(AND(I13="yes",H13="verified"),AND(I13="no",OR(H13="tested",H13="verified")),AND(H13="not applicable",K13&lt;&gt;"")),1,0)</f>
        <v/>
      </c>
    </row>
    <row r="14" ht="54" customHeight="1" s="34">
      <c r="A14" s="43" t="inlineStr">
        <is>
          <t>G-06</t>
        </is>
      </c>
      <c r="B14" s="43" t="inlineStr">
        <is>
          <t>Browser</t>
        </is>
      </c>
      <c r="C14" s="43" t="inlineStr">
        <is>
          <t>Group and direct children</t>
        </is>
      </c>
      <c r="D14" s="44" t="inlineStr">
        <is>
          <t>Real-browser gap, shared borders, outside corners, focus stacking, vertical attachment, equal growth, and narrow containment pass.</t>
        </is>
      </c>
      <c r="E14" s="43" t="inlineStr">
        <is>
          <t>package</t>
        </is>
      </c>
      <c r="F14" s="43" t="inlineStr">
        <is>
          <t>browser</t>
        </is>
      </c>
      <c r="G14" s="44" t="inlineStr">
        <is>
          <t>tests/components/group/behavior.spec.ts</t>
        </is>
      </c>
      <c r="H14" s="43" t="inlineStr">
        <is>
          <t>tested</t>
        </is>
      </c>
      <c r="I14" s="43" t="inlineStr">
        <is>
          <t>no</t>
        </is>
      </c>
      <c r="J14" s="45" t="n">
        <v>46260</v>
      </c>
      <c r="K14" s="44" t="n"/>
      <c r="L14" s="43" t="n">
        <v>1</v>
      </c>
      <c r="M14" s="43">
        <f>IF(OR(AND(I14="yes",H14="verified"),AND(I14="no",OR(H14="tested",H14="verified")),AND(H14="not applicable",K14&lt;&gt;"")),1,0)</f>
        <v/>
      </c>
    </row>
    <row r="15" ht="54" customHeight="1" s="34">
      <c r="A15" s="43" t="inlineStr">
        <is>
          <t>G-07</t>
        </is>
      </c>
      <c r="B15" s="43" t="inlineStr">
        <is>
          <t>Accessibility</t>
        </is>
      </c>
      <c r="C15" s="43" t="inlineStr">
        <is>
          <t>Group and controls</t>
        </is>
      </c>
      <c r="D15" s="44" t="inlineStr">
        <is>
          <t>Authored roles and names, independent Tab stops, source order, RTL logic, visible focus, containment, and axe pass without implicit semantics.</t>
        </is>
      </c>
      <c r="E15" s="43" t="inlineStr">
        <is>
          <t>package</t>
        </is>
      </c>
      <c r="F15" s="43" t="inlineStr">
        <is>
          <t>axe</t>
        </is>
      </c>
      <c r="G15" s="44" t="inlineStr">
        <is>
          <t>tests/components/group/behavior.spec.ts</t>
        </is>
      </c>
      <c r="H15" s="43" t="inlineStr">
        <is>
          <t>tested</t>
        </is>
      </c>
      <c r="I15" s="43" t="inlineStr">
        <is>
          <t>no</t>
        </is>
      </c>
      <c r="J15" s="45" t="n">
        <v>46260</v>
      </c>
      <c r="K15" s="44" t="n"/>
      <c r="L15" s="43" t="n">
        <v>1</v>
      </c>
      <c r="M15" s="43">
        <f>IF(OR(AND(I15="yes",H15="verified"),AND(I15="no",OR(H15="tested",H15="verified")),AND(H15="not applicable",K15&lt;&gt;"")),1,0)</f>
        <v/>
      </c>
    </row>
    <row r="16" ht="54" customHeight="1" s="34">
      <c r="A16" s="43" t="inlineStr">
        <is>
          <t>G-08</t>
        </is>
      </c>
      <c r="B16" s="43" t="inlineStr">
        <is>
          <t>Visual</t>
        </is>
      </c>
      <c r="C16" s="43" t="inlineStr">
        <is>
          <t>Group and direct children</t>
        </is>
      </c>
      <c r="D16" s="44" t="inlineStr">
        <is>
          <t>Reviewed baselines cover default, attached, mixed composition, dark customization, mobile stress, and RTL.</t>
        </is>
      </c>
      <c r="E16" s="43" t="inlineStr">
        <is>
          <t>package</t>
        </is>
      </c>
      <c r="F16" s="43" t="inlineStr">
        <is>
          <t>visual</t>
        </is>
      </c>
      <c r="G16" s="44" t="inlineStr">
        <is>
          <t>tests/components/group/visual.spec.ts</t>
        </is>
      </c>
      <c r="H16" s="43" t="inlineStr">
        <is>
          <t>implemented</t>
        </is>
      </c>
      <c r="I16" s="43" t="inlineStr">
        <is>
          <t>yes</t>
        </is>
      </c>
      <c r="J16" s="45" t="n"/>
      <c r="K16" s="44" t="inlineStr">
        <is>
          <t>Visual baselines and owner review are pending.</t>
        </is>
      </c>
      <c r="L16" s="43" t="n">
        <v>1</v>
      </c>
      <c r="M16" s="43">
        <f>IF(OR(AND(I16="yes",H16="verified"),AND(I16="no",OR(H16="tested",H16="verified")),AND(H16="not applicable",K16&lt;&gt;"")),1,0)</f>
        <v/>
      </c>
    </row>
    <row r="17" ht="54" customHeight="1" s="34">
      <c r="A17" s="43" t="inlineStr">
        <is>
          <t>G-09</t>
        </is>
      </c>
      <c r="B17" s="43" t="inlineStr">
        <is>
          <t>Responsive</t>
        </is>
      </c>
      <c r="C17" s="43" t="inlineStr">
        <is>
          <t>Group</t>
        </is>
      </c>
      <c r="D17" s="44" t="inlineStr">
        <is>
          <t>Physical mobile, 200%/400% zoom, constrained long content, and RTL remain cohesive and reachable.</t>
        </is>
      </c>
      <c r="E17" s="43" t="inlineStr">
        <is>
          <t>package</t>
        </is>
      </c>
      <c r="F17" s="43" t="inlineStr">
        <is>
          <t>manual</t>
        </is>
      </c>
      <c r="G17" s="44" t="inlineStr">
        <is>
          <t>manual-tests/group.md</t>
        </is>
      </c>
      <c r="H17" s="43" t="inlineStr">
        <is>
          <t>implemented</t>
        </is>
      </c>
      <c r="I17" s="43" t="inlineStr">
        <is>
          <t>yes</t>
        </is>
      </c>
      <c r="J17" s="45" t="n"/>
      <c r="K17" s="44" t="inlineStr">
        <is>
          <t>Automated narrow and RTL evidence passes; the human manual run is pending.</t>
        </is>
      </c>
      <c r="L17" s="43" t="n">
        <v>1</v>
      </c>
      <c r="M17" s="43">
        <f>IF(OR(AND(I17="yes",H17="verified"),AND(I17="no",OR(H17="tested",H17="verified")),AND(H17="not applicable",K17&lt;&gt;"")),1,0)</f>
        <v/>
      </c>
    </row>
    <row r="18" ht="54" customHeight="1" s="34">
      <c r="A18" s="43" t="inlineStr">
        <is>
          <t>G-10</t>
        </is>
      </c>
      <c r="B18" s="43" t="inlineStr">
        <is>
          <t>Theme</t>
        </is>
      </c>
      <c r="C18" s="43" t="inlineStr">
        <is>
          <t>Group and children</t>
        </is>
      </c>
      <c r="D18" s="44" t="inlineStr">
        <is>
          <t>Light, dark, accent, radius, font, forced-colors, focus, disabled, and text-spacing stress retain child-owned paint and Group geometry.</t>
        </is>
      </c>
      <c r="E18" s="43" t="inlineStr">
        <is>
          <t>package</t>
        </is>
      </c>
      <c r="F18" s="43" t="inlineStr">
        <is>
          <t>manual</t>
        </is>
      </c>
      <c r="G18" s="44" t="inlineStr">
        <is>
          <t>manual-tests/group.md; tests/components/group/visual.spec.ts</t>
        </is>
      </c>
      <c r="H18" s="43" t="inlineStr">
        <is>
          <t>implemented</t>
        </is>
      </c>
      <c r="I18" s="43" t="inlineStr">
        <is>
          <t>yes</t>
        </is>
      </c>
      <c r="J18" s="45" t="n"/>
      <c r="K18" s="44" t="inlineStr">
        <is>
          <t>Automated geometry evidence passes; complete human appearance review is pending.</t>
        </is>
      </c>
      <c r="L18" s="43" t="n">
        <v>1</v>
      </c>
      <c r="M18" s="43">
        <f>IF(OR(AND(I18="yes",H18="verified"),AND(I18="no",OR(H18="tested",H18="verified")),AND(H18="not applicable",K18&lt;&gt;"")),1,0)</f>
        <v/>
      </c>
    </row>
    <row r="19" ht="54" customHeight="1" s="34">
      <c r="A19" s="43" t="inlineStr">
        <is>
          <t>G-11</t>
        </is>
      </c>
      <c r="B19" s="43" t="inlineStr">
        <is>
          <t>Semantics</t>
        </is>
      </c>
      <c r="C19" s="43" t="inlineStr">
        <is>
          <t>Group</t>
        </is>
      </c>
      <c r="D19" s="44" t="inlineStr">
        <is>
          <t>Both hosts, authored native attributes, DOM order, role-free default, and explicitly named group output match the public contract.</t>
        </is>
      </c>
      <c r="E19" s="43" t="inlineStr">
        <is>
          <t>package</t>
        </is>
      </c>
      <c r="F19" s="43" t="inlineStr">
        <is>
          <t>browser</t>
        </is>
      </c>
      <c r="G19" s="44" t="inlineStr">
        <is>
          <t>../test/components/group/group.test.tsx; tests/components/group/behavior.spec.ts</t>
        </is>
      </c>
      <c r="H19" s="43" t="inlineStr">
        <is>
          <t>tested</t>
        </is>
      </c>
      <c r="I19" s="43" t="inlineStr">
        <is>
          <t>no</t>
        </is>
      </c>
      <c r="J19" s="45" t="n">
        <v>46260</v>
      </c>
      <c r="K19" s="44" t="n"/>
      <c r="L19" s="43" t="n">
        <v>1</v>
      </c>
      <c r="M19" s="43">
        <f>IF(OR(AND(I19="yes",H19="verified"),AND(I19="no",OR(H19="tested",H19="verified")),AND(H19="not applicable",K19&lt;&gt;"")),1,0)</f>
        <v/>
      </c>
    </row>
    <row r="20" ht="54" customHeight="1" s="34">
      <c r="A20" s="43" t="inlineStr">
        <is>
          <t>G-12</t>
        </is>
      </c>
      <c r="B20" s="43" t="inlineStr">
        <is>
          <t>Manual</t>
        </is>
      </c>
      <c r="C20" s="43" t="inlineStr">
        <is>
          <t>Group</t>
        </is>
      </c>
      <c r="D20" s="44" t="inlineStr">
        <is>
          <t>The component-owned manual protocol passes every Group scenario.</t>
        </is>
      </c>
      <c r="E20" s="43" t="inlineStr">
        <is>
          <t>package</t>
        </is>
      </c>
      <c r="F20" s="43" t="inlineStr">
        <is>
          <t>manual</t>
        </is>
      </c>
      <c r="G20" s="44" t="inlineStr">
        <is>
          <t>manual-tests/group.md</t>
        </is>
      </c>
      <c r="H20" s="43" t="inlineStr">
        <is>
          <t>implemented</t>
        </is>
      </c>
      <c r="I20" s="43" t="inlineStr">
        <is>
          <t>yes</t>
        </is>
      </c>
      <c r="J20" s="45" t="n"/>
      <c r="K20" s="44" t="inlineStr">
        <is>
          <t>Protocol exists; owner review is pending.</t>
        </is>
      </c>
      <c r="L20" s="43" t="n">
        <v>1</v>
      </c>
      <c r="M20" s="43">
        <f>IF(OR(AND(I20="yes",H20="verified"),AND(I20="no",OR(H20="tested",H20="verified")),AND(H20="not applicable",K20&lt;&gt;"")),1,0)</f>
        <v/>
      </c>
    </row>
    <row r="21" ht="54" customHeight="1" s="34">
      <c r="A21" s="43" t="inlineStr">
        <is>
          <t>G-13</t>
        </is>
      </c>
      <c r="B21" s="43" t="inlineStr">
        <is>
          <t>Docs</t>
        </is>
      </c>
      <c r="C21" s="43" t="inlineStr">
        <is>
          <t>Group</t>
        </is>
      </c>
      <c r="D21" s="44" t="inlineStr">
        <is>
          <t>Source-backed public usage, boundaries, direct-child rules, accessibility, CSS, API, and Agent Knowledge pass component checks.</t>
        </is>
      </c>
      <c r="E21" s="43" t="inlineStr">
        <is>
          <t>package</t>
        </is>
      </c>
      <c r="F21" s="43" t="inlineStr">
        <is>
          <t>docs</t>
        </is>
      </c>
      <c r="G21" s="44" t="inlineStr">
        <is>
          <t>../docs/components/group/README.md; ../src/components/group/agent.md</t>
        </is>
      </c>
      <c r="H21" s="43" t="inlineStr">
        <is>
          <t>tested</t>
        </is>
      </c>
      <c r="I21" s="43" t="inlineStr">
        <is>
          <t>no</t>
        </is>
      </c>
      <c r="J21" s="45" t="n">
        <v>46260</v>
      </c>
      <c r="K21" s="44" t="n"/>
      <c r="L21" s="43" t="n">
        <v>1</v>
      </c>
      <c r="M21" s="43">
        <f>IF(OR(AND(I21="yes",H21="verified"),AND(I21="no",OR(H21="tested",H21="verified")),AND(H21="not applicable",K21&lt;&gt;"")),1,0)</f>
        <v/>
      </c>
    </row>
    <row r="22" ht="54" customHeight="1" s="34">
      <c r="A22" s="43" t="inlineStr">
        <is>
          <t>G-14</t>
        </is>
      </c>
      <c r="B22" s="43" t="inlineStr">
        <is>
          <t>Changelog</t>
        </is>
      </c>
      <c r="C22" s="43" t="inlineStr">
        <is>
          <t>Group</t>
        </is>
      </c>
      <c r="D22" s="44" t="inlineStr">
        <is>
          <t>Group owns a public changelog and the package changelog records the consumer-visible layout addition.</t>
        </is>
      </c>
      <c r="E22" s="43" t="inlineStr">
        <is>
          <t>package</t>
        </is>
      </c>
      <c r="F22" s="43" t="inlineStr">
        <is>
          <t>docs</t>
        </is>
      </c>
      <c r="G22" s="44" t="inlineStr">
        <is>
          <t>../docs/components/group/CHANGELOG.md; ../CHANGELOG.md</t>
        </is>
      </c>
      <c r="H22" s="43" t="inlineStr">
        <is>
          <t>tested</t>
        </is>
      </c>
      <c r="I22" s="43" t="inlineStr">
        <is>
          <t>no</t>
        </is>
      </c>
      <c r="J22" s="45" t="n">
        <v>46260</v>
      </c>
      <c r="K22" s="44" t="n"/>
      <c r="L22" s="43" t="n">
        <v>1</v>
      </c>
      <c r="M22" s="43">
        <f>IF(OR(AND(I22="yes",H22="verified"),AND(I22="no",OR(H22="tested",H22="verified")),AND(H22="not applicable",K22&lt;&gt;"")),1,0)</f>
        <v/>
      </c>
    </row>
    <row r="23" ht="54" customHeight="1" s="34">
      <c r="A23" s="43" t="inlineStr">
        <is>
          <t>G-15</t>
        </is>
      </c>
      <c r="B23" s="43" t="inlineStr">
        <is>
          <t>Consumer</t>
        </is>
      </c>
      <c r="C23" s="43" t="inlineStr">
        <is>
          <t>Attached Group</t>
        </is>
      </c>
      <c r="D23" s="44" t="inlineStr">
        <is>
          <t>The packed Consumer composes a named attached action cluster through the public group subpath.</t>
        </is>
      </c>
      <c r="E23" s="43" t="inlineStr">
        <is>
          <t>consumer</t>
        </is>
      </c>
      <c r="F23" s="43" t="inlineStr">
        <is>
          <t>consumer</t>
        </is>
      </c>
      <c r="G23" s="44" t="inlineStr">
        <is>
          <t>../apps/consumer/src/App.tsx; ../apps/consumer/tests/consumer.spec.ts</t>
        </is>
      </c>
      <c r="H23" s="43" t="inlineStr">
        <is>
          <t>implemented</t>
        </is>
      </c>
      <c r="I23" s="43" t="inlineStr">
        <is>
          <t>no</t>
        </is>
      </c>
      <c r="J23" s="45" t="n"/>
      <c r="K23" s="44" t="inlineStr">
        <is>
          <t>Consumer build passes; packed browser verification is pending.</t>
        </is>
      </c>
      <c r="L23" s="43" t="n">
        <v>1</v>
      </c>
      <c r="M23" s="43">
        <f>IF(OR(AND(I23="yes",H23="verified"),AND(I23="no",OR(H23="tested",H23="verified")),AND(H23="not applicable",K23&lt;&gt;"")),1,0)</f>
        <v/>
      </c>
    </row>
    <row r="24" ht="54" customHeight="1" s="34">
      <c r="A24" s="43" t="inlineStr">
        <is>
          <t>G-16</t>
        </is>
      </c>
      <c r="B24" s="43" t="inlineStr">
        <is>
          <t>Package</t>
        </is>
      </c>
      <c r="C24" s="43" t="inlineStr">
        <is>
          <t>Group</t>
        </is>
      </c>
      <c r="D24" s="44" t="inlineStr">
        <is>
          <t>Build, SSR, exports, CSS, tarball, React 18/19, packed consumers, and component browser checks pass.</t>
        </is>
      </c>
      <c r="E24" s="43" t="inlineStr">
        <is>
          <t>package</t>
        </is>
      </c>
      <c r="F24" s="43" t="inlineStr">
        <is>
          <t>package</t>
        </is>
      </c>
      <c r="G24" s="44" t="inlineStr">
        <is>
          <t>../test/package; ../scripts/verify-package.mjs; ../scripts/verify-consumers.mjs</t>
        </is>
      </c>
      <c r="H24" s="43" t="inlineStr">
        <is>
          <t>implemented</t>
        </is>
      </c>
      <c r="I24" s="43" t="inlineStr">
        <is>
          <t>yes</t>
        </is>
      </c>
      <c r="J24" s="45" t="n"/>
      <c r="K24" s="44" t="inlineStr">
        <is>
          <t>Focused gates pass; full package and human review remain pending.</t>
        </is>
      </c>
      <c r="L24" s="43" t="n">
        <v>1</v>
      </c>
      <c r="M24" s="43">
        <f>IF(OR(AND(I24="yes",H24="verified"),AND(I24="no",OR(H24="tested",H24="verified")),AND(H24="not applicable",K24&lt;&gt;"")),1,0)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Tooltip Evidence</t>
        </is>
      </c>
    </row>
    <row r="2" ht="27.75" customHeight="1" s="34">
      <c r="A2" s="36" t="inlineStr">
        <is>
          <t>Assertion-level package, browser, human-review, documentation, and consumer evidence.</t>
        </is>
      </c>
    </row>
    <row r="4" ht="17.25" customHeight="1" s="34">
      <c r="A4" s="37" t="inlineStr">
        <is>
          <t>Requirements</t>
        </is>
      </c>
      <c r="B4" s="38" t="n">
        <v>16</v>
      </c>
      <c r="D4" s="37" t="inlineStr">
        <is>
          <t>Resolved</t>
        </is>
      </c>
      <c r="E4" s="38" t="n">
        <v>16</v>
      </c>
      <c r="G4" s="37" t="inlineStr">
        <is>
          <t>Completion</t>
        </is>
      </c>
      <c r="H4" s="39" t="n">
        <v>1</v>
      </c>
      <c r="J4" s="37" t="inlineStr">
        <is>
          <t>Package gate</t>
        </is>
      </c>
      <c r="K4" s="38" t="n"/>
    </row>
    <row r="5" ht="17.25" customHeight="1" s="34">
      <c r="A5" s="37" t="inlineStr">
        <is>
          <t>Manual review</t>
        </is>
      </c>
      <c r="B5" s="38" t="n"/>
      <c r="D5" s="37" t="inlineStr">
        <is>
          <t>Consumer gate</t>
        </is>
      </c>
      <c r="E5" s="38" t="n"/>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T-01</t>
        </is>
      </c>
      <c r="B9" s="32" t="inlineStr">
        <is>
          <t>Implementation</t>
        </is>
      </c>
      <c r="C9" s="32" t="inlineStr">
        <is>
          <t>Tooltip</t>
        </is>
      </c>
      <c r="D9" s="32" t="inlineStr">
        <is>
          <t>Public component implementation and Atom adapter exist.</t>
        </is>
      </c>
      <c r="E9" s="32" t="inlineStr">
        <is>
          <t>package</t>
        </is>
      </c>
      <c r="F9" s="32" t="inlineStr">
        <is>
          <t>source</t>
        </is>
      </c>
      <c r="G9" s="32" t="inlineStr">
        <is>
          <t>../src/components/tooltip</t>
        </is>
      </c>
      <c r="H9" s="32" t="inlineStr">
        <is>
          <t>tested</t>
        </is>
      </c>
      <c r="I9" s="32" t="inlineStr">
        <is>
          <t>no</t>
        </is>
      </c>
      <c r="J9" s="42" t="n">
        <v>46227</v>
      </c>
      <c r="L9" s="32" t="n">
        <v>1</v>
      </c>
      <c r="M9" s="32" t="n">
        <v>1</v>
      </c>
    </row>
    <row r="10" ht="42" customHeight="1" s="34">
      <c r="A10" s="32" t="inlineStr">
        <is>
          <t>T-02</t>
        </is>
      </c>
      <c r="B10" s="32" t="inlineStr">
        <is>
          <t>Exports</t>
        </is>
      </c>
      <c r="C10" s="32" t="inlineStr">
        <is>
          <t>Tooltip</t>
        </is>
      </c>
      <c r="D10" s="32" t="inlineStr">
        <is>
          <t>Root and public subpath exports expose the component.</t>
        </is>
      </c>
      <c r="E10" s="32" t="inlineStr">
        <is>
          <t>package</t>
        </is>
      </c>
      <c r="F10" s="32" t="inlineStr">
        <is>
          <t>package</t>
        </is>
      </c>
      <c r="G10" s="32" t="inlineStr">
        <is>
          <t>../test/package/package.test.mjs</t>
        </is>
      </c>
      <c r="H10" s="32" t="inlineStr">
        <is>
          <t>tested</t>
        </is>
      </c>
      <c r="I10" s="32" t="inlineStr">
        <is>
          <t>no</t>
        </is>
      </c>
      <c r="J10" s="42" t="n">
        <v>46227</v>
      </c>
      <c r="L10" s="32" t="n">
        <v>1</v>
      </c>
      <c r="M10" s="32" t="n">
        <v>1</v>
      </c>
    </row>
    <row r="11" ht="42" customHeight="1" s="34">
      <c r="A11" s="32" t="inlineStr">
        <is>
          <t>T-03</t>
        </is>
      </c>
      <c r="B11" s="32" t="inlineStr">
        <is>
          <t>Types</t>
        </is>
      </c>
      <c r="C11" s="32" t="inlineStr">
        <is>
          <t>Tooltip</t>
        </is>
      </c>
      <c r="D11" s="32" t="inlineStr">
        <is>
          <t>Public props, refs, composition branches, and invalid cases type-check.</t>
        </is>
      </c>
      <c r="E11" s="32" t="inlineStr">
        <is>
          <t>package</t>
        </is>
      </c>
      <c r="F11" s="32" t="inlineStr">
        <is>
          <t>types</t>
        </is>
      </c>
      <c r="G11" s="32" t="inlineStr">
        <is>
          <t>../test/types/components/tooltip.test.ts</t>
        </is>
      </c>
      <c r="H11" s="32" t="inlineStr">
        <is>
          <t>tested</t>
        </is>
      </c>
      <c r="I11" s="32" t="inlineStr">
        <is>
          <t>no</t>
        </is>
      </c>
      <c r="J11" s="42" t="n">
        <v>46227</v>
      </c>
      <c r="L11" s="32" t="n">
        <v>1</v>
      </c>
      <c r="M11" s="32" t="n">
        <v>1</v>
      </c>
    </row>
    <row r="12" ht="42" customHeight="1" s="34">
      <c r="A12" s="32" t="inlineStr">
        <is>
          <t>T-04</t>
        </is>
      </c>
      <c r="B12" s="32" t="inlineStr">
        <is>
          <t>CSS</t>
        </is>
      </c>
      <c r="C12" s="32" t="inlineStr">
        <is>
          <t>Tooltip</t>
        </is>
      </c>
      <c r="D12" s="32" t="inlineStr">
        <is>
          <t>Static public CSS, classes, slots, recipes, states, and tokens are present.</t>
        </is>
      </c>
      <c r="E12" s="32" t="inlineStr">
        <is>
          <t>package</t>
        </is>
      </c>
      <c r="F12" s="32" t="inlineStr">
        <is>
          <t>css</t>
        </is>
      </c>
      <c r="G12" s="32" t="inlineStr">
        <is>
          <t>../src/components/tooltip/tooltip.css</t>
        </is>
      </c>
      <c r="H12" s="32" t="inlineStr">
        <is>
          <t>tested</t>
        </is>
      </c>
      <c r="I12" s="32" t="inlineStr">
        <is>
          <t>no</t>
        </is>
      </c>
      <c r="J12" s="42" t="n">
        <v>46227</v>
      </c>
      <c r="L12" s="32" t="n">
        <v>1</v>
      </c>
      <c r="M12" s="32" t="n">
        <v>1</v>
      </c>
    </row>
    <row r="13" ht="42" customHeight="1" s="34">
      <c r="A13" s="32" t="inlineStr">
        <is>
          <t>T-05</t>
        </is>
      </c>
      <c r="B13" s="32" t="inlineStr">
        <is>
          <t>Unit</t>
        </is>
      </c>
      <c r="C13" s="32" t="inlineStr">
        <is>
          <t>Tooltip</t>
        </is>
      </c>
      <c r="D13" s="32" t="inlineStr">
        <is>
          <t>Brick-owned DOM, recipes, adapters, and public hooks pass focused tests.</t>
        </is>
      </c>
      <c r="E13" s="32" t="inlineStr">
        <is>
          <t>package</t>
        </is>
      </c>
      <c r="F13" s="32" t="inlineStr">
        <is>
          <t>component</t>
        </is>
      </c>
      <c r="G13" s="32" t="inlineStr">
        <is>
          <t>../test/components/tooltip/tooltip.test.tsx</t>
        </is>
      </c>
      <c r="H13" s="32" t="inlineStr">
        <is>
          <t>tested</t>
        </is>
      </c>
      <c r="I13" s="32" t="inlineStr">
        <is>
          <t>no</t>
        </is>
      </c>
      <c r="J13" s="42" t="n">
        <v>46227</v>
      </c>
      <c r="L13" s="32" t="n">
        <v>1</v>
      </c>
      <c r="M13" s="32" t="n">
        <v>1</v>
      </c>
    </row>
    <row r="14" ht="42" customHeight="1" s="34">
      <c r="A14" s="32" t="inlineStr">
        <is>
          <t>T-06</t>
        </is>
      </c>
      <c r="B14" s="32" t="inlineStr">
        <is>
          <t>Browser</t>
        </is>
      </c>
      <c r="C14" s="32" t="inlineStr">
        <is>
          <t>Tooltip</t>
        </is>
      </c>
      <c r="D14" s="32" t="inlineStr">
        <is>
          <t>Real-browser behavior and component contract checks pass.</t>
        </is>
      </c>
      <c r="E14" s="32" t="inlineStr">
        <is>
          <t>package</t>
        </is>
      </c>
      <c r="F14" s="32" t="inlineStr">
        <is>
          <t>browser</t>
        </is>
      </c>
      <c r="G14" s="32" t="inlineStr">
        <is>
          <t>tests/components/tooltip/behavior.spec.ts</t>
        </is>
      </c>
      <c r="H14" s="32" t="inlineStr">
        <is>
          <t>tested</t>
        </is>
      </c>
      <c r="I14" s="32" t="inlineStr">
        <is>
          <t>no</t>
        </is>
      </c>
      <c r="J14" s="42" t="n">
        <v>46227</v>
      </c>
      <c r="L14" s="32" t="n">
        <v>1</v>
      </c>
      <c r="M14" s="32" t="n">
        <v>1</v>
      </c>
    </row>
    <row r="15" ht="42" customHeight="1" s="34">
      <c r="A15" s="32" t="inlineStr">
        <is>
          <t>T-07</t>
        </is>
      </c>
      <c r="B15" s="32" t="inlineStr">
        <is>
          <t>Accessibility</t>
        </is>
      </c>
      <c r="C15" s="32" t="inlineStr">
        <is>
          <t>Tooltip</t>
        </is>
      </c>
      <c r="D15" s="32" t="inlineStr">
        <is>
          <t>Automated semantics and accessibility checks pass in the browser evidence suite.</t>
        </is>
      </c>
      <c r="E15" s="32" t="inlineStr">
        <is>
          <t>package</t>
        </is>
      </c>
      <c r="F15" s="32" t="inlineStr">
        <is>
          <t>axe</t>
        </is>
      </c>
      <c r="G15" s="32" t="inlineStr">
        <is>
          <t>tests/components/tooltip/behavior.spec.ts; tests/integration</t>
        </is>
      </c>
      <c r="H15" s="32" t="inlineStr">
        <is>
          <t>tested</t>
        </is>
      </c>
      <c r="I15" s="32" t="inlineStr">
        <is>
          <t>no</t>
        </is>
      </c>
      <c r="J15" s="42" t="n">
        <v>46227</v>
      </c>
      <c r="L15" s="32" t="n">
        <v>1</v>
      </c>
      <c r="M15" s="32" t="n">
        <v>1</v>
      </c>
    </row>
    <row r="16" ht="42" customHeight="1" s="34">
      <c r="A16" s="32" t="inlineStr">
        <is>
          <t>T-08</t>
        </is>
      </c>
      <c r="B16" s="32" t="inlineStr">
        <is>
          <t>Visual</t>
        </is>
      </c>
      <c r="C16" s="32" t="inlineStr">
        <is>
          <t>Tooltip</t>
        </is>
      </c>
      <c r="D16" s="32" t="inlineStr">
        <is>
          <t>Reviewed baselines cover the component's risk-selected recipes and states.</t>
        </is>
      </c>
      <c r="E16" s="32" t="inlineStr">
        <is>
          <t>package</t>
        </is>
      </c>
      <c r="F16" s="32" t="inlineStr">
        <is>
          <t>visual</t>
        </is>
      </c>
      <c r="G16" s="32" t="inlineStr">
        <is>
          <t>tests/components/tooltip/visual.spec.ts</t>
        </is>
      </c>
      <c r="H16" s="32" t="inlineStr">
        <is>
          <t>verified</t>
        </is>
      </c>
      <c r="I16" s="32" t="inlineStr">
        <is>
          <t>yes</t>
        </is>
      </c>
      <c r="J16" s="42" t="n">
        <v>46227</v>
      </c>
      <c r="K16" s="32" t="inlineStr">
        <is>
          <t>Owner reviewed the current playground evidence.</t>
        </is>
      </c>
      <c r="L16" s="32" t="n">
        <v>1</v>
      </c>
      <c r="M16" s="32" t="n">
        <v>1</v>
      </c>
    </row>
    <row r="17" ht="42" customHeight="1" s="34">
      <c r="A17" s="32" t="inlineStr">
        <is>
          <t>T-09</t>
        </is>
      </c>
      <c r="B17" s="32" t="inlineStr">
        <is>
          <t>Responsive</t>
        </is>
      </c>
      <c r="C17" s="32" t="inlineStr">
        <is>
          <t>Tooltip</t>
        </is>
      </c>
      <c r="D17" s="32" t="inlineStr">
        <is>
          <t>Mobile, zoom/reflow, content stress, and RTL remain usable and contained.</t>
        </is>
      </c>
      <c r="E17" s="32" t="inlineStr">
        <is>
          <t>package</t>
        </is>
      </c>
      <c r="F17" s="32" t="inlineStr">
        <is>
          <t>manual</t>
        </is>
      </c>
      <c r="G17" s="32" t="inlineStr">
        <is>
          <t>manual-tests/tooltip.md</t>
        </is>
      </c>
      <c r="H17" s="32" t="inlineStr">
        <is>
          <t>verified</t>
        </is>
      </c>
      <c r="I17" s="32" t="inlineStr">
        <is>
          <t>yes</t>
        </is>
      </c>
      <c r="J17" s="42" t="n">
        <v>46227</v>
      </c>
      <c r="K17" s="32" t="inlineStr">
        <is>
          <t>Owner completed the current manual protocol.</t>
        </is>
      </c>
      <c r="L17" s="32" t="n">
        <v>1</v>
      </c>
      <c r="M17" s="32" t="n">
        <v>1</v>
      </c>
    </row>
    <row r="18" ht="42" customHeight="1" s="34">
      <c r="A18" s="32" t="inlineStr">
        <is>
          <t>T-10</t>
        </is>
      </c>
      <c r="B18" s="32" t="inlineStr">
        <is>
          <t>Theme</t>
        </is>
      </c>
      <c r="C18" s="32" t="inlineStr">
        <is>
          <t>Tooltip</t>
        </is>
      </c>
      <c r="D18" s="32" t="inlineStr">
        <is>
          <t>Light, dark, focus, forced-colors, and relevant motion behavior remain perceivable.</t>
        </is>
      </c>
      <c r="E18" s="32" t="inlineStr">
        <is>
          <t>package</t>
        </is>
      </c>
      <c r="F18" s="32" t="inlineStr">
        <is>
          <t>manual</t>
        </is>
      </c>
      <c r="G18" s="32" t="inlineStr">
        <is>
          <t>manual-tests/tooltip.md</t>
        </is>
      </c>
      <c r="H18" s="32" t="inlineStr">
        <is>
          <t>verified</t>
        </is>
      </c>
      <c r="I18" s="32" t="inlineStr">
        <is>
          <t>yes</t>
        </is>
      </c>
      <c r="J18" s="42" t="n">
        <v>46227</v>
      </c>
      <c r="K18" s="32" t="inlineStr">
        <is>
          <t>Owner completed the current manual protocol.</t>
        </is>
      </c>
      <c r="L18" s="32" t="n">
        <v>1</v>
      </c>
      <c r="M18" s="32" t="n">
        <v>1</v>
      </c>
    </row>
    <row r="19" ht="42" customHeight="1" s="34">
      <c r="A19" s="32" t="inlineStr">
        <is>
          <t>T-11</t>
        </is>
      </c>
      <c r="B19" s="32" t="inlineStr">
        <is>
          <t>Composition</t>
        </is>
      </c>
      <c r="C19" s="32" t="inlineStr">
        <is>
          <t>Tooltip</t>
        </is>
      </c>
      <c r="D19" s="32" t="inlineStr">
        <is>
          <t>Default, render, and asChild output preserve the intended element, slots, state, and relationships.</t>
        </is>
      </c>
      <c r="E19" s="32" t="inlineStr">
        <is>
          <t>package</t>
        </is>
      </c>
      <c r="F19" s="32" t="inlineStr">
        <is>
          <t>manual</t>
        </is>
      </c>
      <c r="G19" s="32" t="inlineStr">
        <is>
          <t>manual-tests/tooltip.md; tests/components/tooltip/behavior.spec.ts</t>
        </is>
      </c>
      <c r="H19" s="32" t="inlineStr">
        <is>
          <t>verified</t>
        </is>
      </c>
      <c r="I19" s="32" t="inlineStr">
        <is>
          <t>yes</t>
        </is>
      </c>
      <c r="J19" s="42" t="n">
        <v>46227</v>
      </c>
      <c r="K19" s="32" t="inlineStr">
        <is>
          <t>Owner reviewed the live and rendered output evidence.</t>
        </is>
      </c>
      <c r="L19" s="32" t="n">
        <v>1</v>
      </c>
      <c r="M19" s="32" t="n">
        <v>1</v>
      </c>
    </row>
    <row r="20" ht="42" customHeight="1" s="34">
      <c r="A20" s="32" t="inlineStr">
        <is>
          <t>T-12</t>
        </is>
      </c>
      <c r="B20" s="32" t="inlineStr">
        <is>
          <t>Manual</t>
        </is>
      </c>
      <c r="C20" s="32" t="inlineStr">
        <is>
          <t>Tooltip</t>
        </is>
      </c>
      <c r="D20" s="32" t="inlineStr">
        <is>
          <t>The complete component-owned manual protocol passed against every playground scenario.</t>
        </is>
      </c>
      <c r="E20" s="32" t="inlineStr">
        <is>
          <t>package</t>
        </is>
      </c>
      <c r="F20" s="32" t="inlineStr">
        <is>
          <t>manual</t>
        </is>
      </c>
      <c r="G20" s="32" t="inlineStr">
        <is>
          <t>manual-tests/tooltip.md</t>
        </is>
      </c>
      <c r="H20" s="32" t="inlineStr">
        <is>
          <t>verified</t>
        </is>
      </c>
      <c r="I20" s="32" t="inlineStr">
        <is>
          <t>yes</t>
        </is>
      </c>
      <c r="J20" s="42" t="n">
        <v>46227</v>
      </c>
      <c r="K20" s="32" t="inlineStr">
        <is>
          <t>Owner confirmed completion on 2026-07-24.</t>
        </is>
      </c>
      <c r="L20" s="32" t="n">
        <v>1</v>
      </c>
      <c r="M20" s="32" t="n">
        <v>1</v>
      </c>
    </row>
    <row r="21" ht="42" customHeight="1" s="34">
      <c r="A21" s="32" t="inlineStr">
        <is>
          <t>T-13</t>
        </is>
      </c>
      <c r="B21" s="32" t="inlineStr">
        <is>
          <t>Docs</t>
        </is>
      </c>
      <c r="C21" s="32" t="inlineStr">
        <is>
          <t>Tooltip</t>
        </is>
      </c>
      <c r="D21" s="32" t="inlineStr">
        <is>
          <t>Public usage documentation exists at the component-owned path.</t>
        </is>
      </c>
      <c r="E21" s="32" t="inlineStr">
        <is>
          <t>package</t>
        </is>
      </c>
      <c r="F21" s="32" t="inlineStr">
        <is>
          <t>docs</t>
        </is>
      </c>
      <c r="G21" s="32" t="inlineStr">
        <is>
          <t>../docs/components/tooltip/README.md</t>
        </is>
      </c>
      <c r="H21" s="32" t="inlineStr">
        <is>
          <t>tested</t>
        </is>
      </c>
      <c r="I21" s="32" t="inlineStr">
        <is>
          <t>no</t>
        </is>
      </c>
      <c r="J21" s="42" t="n">
        <v>46227</v>
      </c>
      <c r="L21" s="32" t="n">
        <v>1</v>
      </c>
      <c r="M21" s="32" t="n">
        <v>1</v>
      </c>
    </row>
    <row r="22" ht="42" customHeight="1" s="34">
      <c r="A22" s="32" t="inlineStr">
        <is>
          <t>T-14</t>
        </is>
      </c>
      <c r="B22" s="32" t="inlineStr">
        <is>
          <t>Changelog</t>
        </is>
      </c>
      <c r="C22" s="32" t="inlineStr">
        <is>
          <t>Tooltip</t>
        </is>
      </c>
      <c r="D22" s="32" t="inlineStr">
        <is>
          <t>The component owns a public changelog.</t>
        </is>
      </c>
      <c r="E22" s="32" t="inlineStr">
        <is>
          <t>package</t>
        </is>
      </c>
      <c r="F22" s="32" t="inlineStr">
        <is>
          <t>docs</t>
        </is>
      </c>
      <c r="G22" s="32" t="inlineStr">
        <is>
          <t>../docs/components/tooltip/CHANGELOG.md</t>
        </is>
      </c>
      <c r="H22" s="32" t="inlineStr">
        <is>
          <t>tested</t>
        </is>
      </c>
      <c r="I22" s="32" t="inlineStr">
        <is>
          <t>no</t>
        </is>
      </c>
      <c r="J22" s="42" t="n">
        <v>46227</v>
      </c>
      <c r="L22" s="32" t="n">
        <v>1</v>
      </c>
      <c r="M22" s="32" t="n">
        <v>1</v>
      </c>
    </row>
    <row r="23" ht="42" customHeight="1" s="34">
      <c r="A23" s="32" t="inlineStr">
        <is>
          <t>T-15</t>
        </is>
      </c>
      <c r="B23" s="32" t="inlineStr">
        <is>
          <t>Consumer</t>
        </is>
      </c>
      <c r="C23" s="32" t="inlineStr">
        <is>
          <t>Tooltip</t>
        </is>
      </c>
      <c r="D23" s="32" t="inlineStr">
        <is>
          <t>The standalone consumer imports and exercises the public package component.</t>
        </is>
      </c>
      <c r="E23" s="32" t="inlineStr">
        <is>
          <t>consumer</t>
        </is>
      </c>
      <c r="F23" s="32" t="inlineStr">
        <is>
          <t>consumer</t>
        </is>
      </c>
      <c r="G23" s="32" t="inlineStr">
        <is>
          <t>../apps/consumer/src/App.tsx; ../apps/consumer/tests/consumer.spec.ts</t>
        </is>
      </c>
      <c r="H23" s="32" t="inlineStr">
        <is>
          <t>tested</t>
        </is>
      </c>
      <c r="I23" s="32" t="inlineStr">
        <is>
          <t>no</t>
        </is>
      </c>
      <c r="J23" s="42" t="n">
        <v>46227</v>
      </c>
      <c r="L23" s="32" t="n">
        <v>1</v>
      </c>
      <c r="M23" s="32" t="n">
        <v>1</v>
      </c>
    </row>
    <row r="24" ht="42" customHeight="1" s="34">
      <c r="A24" s="32" t="inlineStr">
        <is>
          <t>T-16</t>
        </is>
      </c>
      <c r="B24" s="32" t="inlineStr">
        <is>
          <t>Package</t>
        </is>
      </c>
      <c r="C24" s="32" t="inlineStr">
        <is>
          <t>Tooltip</t>
        </is>
      </c>
      <c r="D24" s="32" t="inlineStr">
        <is>
          <t>Build, exports, tarball, CSS, and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46227</v>
      </c>
      <c r="L24" s="32" t="n">
        <v>1</v>
      </c>
      <c r="M24" s="32" t="n">
        <v>1</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Grid Evidence</t>
        </is>
      </c>
    </row>
    <row r="2" ht="27.75" customHeight="1" s="34">
      <c r="A2" s="36" t="inlineStr">
        <is>
          <t>Assertion-level package, browser, human-review, documentation, and consumer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G-01</t>
        </is>
      </c>
      <c r="B9" s="43" t="inlineStr">
        <is>
          <t>Implementation</t>
        </is>
      </c>
      <c r="C9" s="43" t="inlineStr">
        <is>
          <t>Root / Item</t>
        </is>
      </c>
      <c r="D9" s="44" t="inlineStr">
        <is>
          <t>Grid.Root and optional Grid.Item render the approved native hosts, stable hooks, forwarded refs, and authored native attributes.</t>
        </is>
      </c>
      <c r="E9" s="43" t="inlineStr">
        <is>
          <t>package</t>
        </is>
      </c>
      <c r="F9" s="43" t="inlineStr">
        <is>
          <t>source</t>
        </is>
      </c>
      <c r="G9" s="44" t="inlineStr">
        <is>
          <t>../src/components/grid</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G-02</t>
        </is>
      </c>
      <c r="B10" s="43" t="inlineStr">
        <is>
          <t>Exports</t>
        </is>
      </c>
      <c r="C10" s="43" t="inlineStr">
        <is>
          <t>Grid</t>
        </is>
      </c>
      <c r="D10" s="44" t="inlineStr">
        <is>
          <t>Root exports and the public Grid subpath expose the frozen compound runtime and all public Grid types.</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G-03</t>
        </is>
      </c>
      <c r="B11" s="43" t="inlineStr">
        <is>
          <t>Types</t>
        </is>
      </c>
      <c r="C11" s="43" t="inlineStr">
        <is>
          <t>Root / Item</t>
        </is>
      </c>
      <c r="D11" s="44" t="inlineStr">
        <is>
          <t>Closed hosts, explicit and intrinsic modes, gaps, alignment, placement, native props, refs, and invalid combinations type-check.</t>
        </is>
      </c>
      <c r="E11" s="43" t="inlineStr">
        <is>
          <t>package</t>
        </is>
      </c>
      <c r="F11" s="43" t="inlineStr">
        <is>
          <t>types</t>
        </is>
      </c>
      <c r="G11" s="44" t="inlineStr">
        <is>
          <t>../test/types/components/grid.test.ts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G-04</t>
        </is>
      </c>
      <c r="B12" s="43" t="inlineStr">
        <is>
          <t>CSS</t>
        </is>
      </c>
      <c r="C12" s="43" t="inlineStr">
        <is>
          <t>Root / Item</t>
        </is>
      </c>
      <c r="D12" s="44" t="inlineStr">
        <is>
          <t>Static CSS ships equal and intrinsic tracks, zero-through-six gaps, logical alignment, placement, containment, and public variable overrides.</t>
        </is>
      </c>
      <c r="E12" s="43" t="inlineStr">
        <is>
          <t>package</t>
        </is>
      </c>
      <c r="F12" s="43" t="inlineStr">
        <is>
          <t>css</t>
        </is>
      </c>
      <c r="G12" s="44" t="inlineStr">
        <is>
          <t>../src/components/grid/grid.css; ../src/styles/tokens.tokens.json</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G-05</t>
        </is>
      </c>
      <c r="B13" s="43" t="inlineStr">
        <is>
          <t>Unit</t>
        </is>
      </c>
      <c r="C13" s="43" t="inlineStr">
        <is>
          <t>Root / Item</t>
        </is>
      </c>
      <c r="D13" s="44" t="inlineStr">
        <is>
          <t>Defaults, modes, recipes, placement, semantic hosts, native pass-through, hooks, events, refs, and exclusions pass focused tests.</t>
        </is>
      </c>
      <c r="E13" s="43" t="inlineStr">
        <is>
          <t>package</t>
        </is>
      </c>
      <c r="F13" s="43" t="inlineStr">
        <is>
          <t>component</t>
        </is>
      </c>
      <c r="G13" s="44" t="inlineStr">
        <is>
          <t>../test/components/grid/grid.test.tsx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G-06</t>
        </is>
      </c>
      <c r="B14" s="43" t="inlineStr">
        <is>
          <t>Browser</t>
        </is>
      </c>
      <c r="C14" s="43" t="inlineStr">
        <is>
          <t>Root</t>
        </is>
      </c>
      <c r="D14" s="44" t="inlineStr">
        <is>
          <t>Real-browser exact columns, intrinsic reflow, gaps, alignment, output, refs, and customization pass across the supported browser matrix.</t>
        </is>
      </c>
      <c r="E14" s="43" t="inlineStr">
        <is>
          <t>package</t>
        </is>
      </c>
      <c r="F14" s="43" t="inlineStr">
        <is>
          <t>browser</t>
        </is>
      </c>
      <c r="G14" s="44" t="inlineStr">
        <is>
          <t>tests/components/grid/behavior.spec.ts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G-07</t>
        </is>
      </c>
      <c r="B15" s="43" t="inlineStr">
        <is>
          <t>Browser</t>
        </is>
      </c>
      <c r="C15" s="43" t="inlineStr">
        <is>
          <t>Item</t>
        </is>
      </c>
      <c r="D15" s="44" t="inlineStr">
        <is>
          <t>Real-browser spans, line placement, full width, self-alignment, containment, and source order pass across the supported browser matrix.</t>
        </is>
      </c>
      <c r="E15" s="43" t="inlineStr">
        <is>
          <t>package</t>
        </is>
      </c>
      <c r="F15" s="43" t="inlineStr">
        <is>
          <t>browser</t>
        </is>
      </c>
      <c r="G15" s="44" t="inlineStr">
        <is>
          <t>tests/components/grid/behavior.spec.ts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G-08</t>
        </is>
      </c>
      <c r="B16" s="43" t="inlineStr">
        <is>
          <t>Accessibility</t>
        </is>
      </c>
      <c r="C16" s="43" t="inlineStr">
        <is>
          <t>Root / Item</t>
        </is>
      </c>
      <c r="D16" s="44" t="inlineStr">
        <is>
          <t>Authored semantics, DOM and focus order, RTL logic, reflow containment, and axe pass without Grid inventing interactive grid semantics.</t>
        </is>
      </c>
      <c r="E16" s="43" t="inlineStr">
        <is>
          <t>package</t>
        </is>
      </c>
      <c r="F16" s="43" t="inlineStr">
        <is>
          <t>axe</t>
        </is>
      </c>
      <c r="G16" s="44" t="inlineStr">
        <is>
          <t>tests/components/grid/behavior.spec.ts</t>
        </is>
      </c>
      <c r="H16" s="43" t="inlineStr">
        <is>
          <t>tested</t>
        </is>
      </c>
      <c r="I16" s="43" t="inlineStr">
        <is>
          <t>no</t>
        </is>
      </c>
      <c r="J16" s="45" t="n">
        <v>46228</v>
      </c>
      <c r="K16" s="44" t="inlineStr">
        <is>
          <t>Current Stack playground and visual baselines were reviewed during implementation.</t>
        </is>
      </c>
      <c r="L16" s="43" t="n">
        <v>1</v>
      </c>
      <c r="M16" s="43">
        <f>IF(OR(AND(I16="yes",H16="verified"),AND(I16="no",OR(H16="tested",H16="verified")),AND(H16="not applicable",K16&lt;&gt;"")),1,0)</f>
        <v/>
      </c>
    </row>
    <row r="17" ht="54" customHeight="1" s="34">
      <c r="A17" s="43" t="inlineStr">
        <is>
          <t>G-09</t>
        </is>
      </c>
      <c r="B17" s="43" t="inlineStr">
        <is>
          <t>Visual</t>
        </is>
      </c>
      <c r="C17" s="43" t="inlineStr">
        <is>
          <t>Root / Item</t>
        </is>
      </c>
      <c r="D17" s="44" t="inlineStr">
        <is>
          <t>Reviewed baselines cover defaults, modes, gaps, placement, dark appearance, mobile RTL, and forced colors.</t>
        </is>
      </c>
      <c r="E17" s="43" t="inlineStr">
        <is>
          <t>package</t>
        </is>
      </c>
      <c r="F17" s="43" t="inlineStr">
        <is>
          <t>visual</t>
        </is>
      </c>
      <c r="G17" s="44" t="inlineStr">
        <is>
          <t>tests/components/grid/visual.spec.ts</t>
        </is>
      </c>
      <c r="H17" s="43" t="inlineStr">
        <is>
          <t>verified</t>
        </is>
      </c>
      <c r="I17" s="43" t="inlineStr">
        <is>
          <t>yes</t>
        </is>
      </c>
      <c r="J17" s="45" t="n">
        <v>46228</v>
      </c>
      <c r="K17" s="44" t="inlineStr">
        <is>
          <t>Current Grid playground and visual baselines were reviewed during implementation.</t>
        </is>
      </c>
      <c r="L17" s="43" t="n">
        <v>1</v>
      </c>
      <c r="M17" s="43">
        <f>IF(OR(AND(I17="yes",H17="verified"),AND(I17="no",OR(H17="tested",H17="verified")),AND(H17="not applicable",K17&lt;&gt;"")),1,0)</f>
        <v/>
      </c>
    </row>
    <row r="18" ht="54" customHeight="1" s="34">
      <c r="A18" s="43" t="inlineStr">
        <is>
          <t>G-10</t>
        </is>
      </c>
      <c r="B18" s="43" t="inlineStr">
        <is>
          <t>Responsive</t>
        </is>
      </c>
      <c r="C18" s="43" t="inlineStr">
        <is>
          <t>Root / Item</t>
        </is>
      </c>
      <c r="D18" s="44" t="inlineStr">
        <is>
          <t>Physical mobile, 200%/400% zoom, intrinsic reflow, constrained placement, long content, and RTL remain readable and contained.</t>
        </is>
      </c>
      <c r="E18" s="43" t="inlineStr">
        <is>
          <t>package</t>
        </is>
      </c>
      <c r="F18" s="43" t="inlineStr">
        <is>
          <t>manual</t>
        </is>
      </c>
      <c r="G18" s="44" t="inlineStr">
        <is>
          <t>manual-tests/grid.md</t>
        </is>
      </c>
      <c r="H18" s="43" t="inlineStr">
        <is>
          <t>implemented</t>
        </is>
      </c>
      <c r="I18" s="43" t="inlineStr">
        <is>
          <t>yes</t>
        </is>
      </c>
      <c r="J18" s="45" t="n"/>
      <c r="K18" s="44" t="inlineStr">
        <is>
          <t>Automated reflow and RTL evidence passes; the human manual run is intentionally pending.</t>
        </is>
      </c>
      <c r="L18" s="43" t="n">
        <v>1</v>
      </c>
      <c r="M18" s="43">
        <f>IF(OR(AND(I18="yes",H18="verified"),AND(I18="no",OR(H18="tested",H18="verified")),AND(H18="not applicable",K18&lt;&gt;"")),1,0)</f>
        <v/>
      </c>
    </row>
    <row r="19" ht="54" customHeight="1" s="34">
      <c r="A19" s="43" t="inlineStr">
        <is>
          <t>G-11</t>
        </is>
      </c>
      <c r="B19" s="43" t="inlineStr">
        <is>
          <t>Theme</t>
        </is>
      </c>
      <c r="C19" s="43" t="inlineStr">
        <is>
          <t>Root / Item</t>
        </is>
      </c>
      <c r="D19" s="44" t="inlineStr">
        <is>
          <t>Light, dark, forced-colors, focus-bearing children, and text-spacing stress retain understandable layout and source order.</t>
        </is>
      </c>
      <c r="E19" s="43" t="inlineStr">
        <is>
          <t>package</t>
        </is>
      </c>
      <c r="F19" s="43" t="inlineStr">
        <is>
          <t>manual</t>
        </is>
      </c>
      <c r="G19" s="44" t="inlineStr">
        <is>
          <t>manual-tests/grid.md; tests/components/grid/visual.spec.ts</t>
        </is>
      </c>
      <c r="H19" s="43" t="inlineStr">
        <is>
          <t>implemented</t>
        </is>
      </c>
      <c r="I19" s="43" t="inlineStr">
        <is>
          <t>yes</t>
        </is>
      </c>
      <c r="J19" s="45" t="n">
        <v>46227</v>
      </c>
      <c r="K19" s="44" t="inlineStr">
        <is>
          <t>Automated appearance evidence passes; complete human appearance review is pending.</t>
        </is>
      </c>
      <c r="L19" s="43" t="n">
        <v>1</v>
      </c>
      <c r="M19" s="43">
        <f>IF(OR(AND(I19="yes",H19="verified"),AND(I19="no",OR(H19="tested",H19="verified")),AND(H19="not applicable",K19&lt;&gt;"")),1,0)</f>
        <v/>
      </c>
    </row>
    <row r="20" ht="54" customHeight="1" s="34">
      <c r="A20" s="43" t="inlineStr">
        <is>
          <t>G-12</t>
        </is>
      </c>
      <c r="B20" s="43" t="inlineStr">
        <is>
          <t>Semantics</t>
        </is>
      </c>
      <c r="C20" s="43" t="inlineStr">
        <is>
          <t>Root / Item</t>
        </is>
      </c>
      <c r="D20" s="44" t="inlineStr">
        <is>
          <t>Supported semantic hosts, authored attributes, source order, rendered output, slots, and data hooks match the public contract.</t>
        </is>
      </c>
      <c r="E20" s="43" t="inlineStr">
        <is>
          <t>package</t>
        </is>
      </c>
      <c r="F20" s="43" t="inlineStr">
        <is>
          <t>browser</t>
        </is>
      </c>
      <c r="G20" s="44" t="inlineStr">
        <is>
          <t>tests/components/grid/behavior.spec.ts</t>
        </is>
      </c>
      <c r="H20" s="43" t="inlineStr">
        <is>
          <t>tested</t>
        </is>
      </c>
      <c r="I20" s="43" t="inlineStr">
        <is>
          <t>no</t>
        </is>
      </c>
      <c r="J20" s="45" t="n">
        <v>46228</v>
      </c>
      <c r="K20" s="44" t="inlineStr">
        <is>
          <t>Protocol exists but the owner has deferred the human run.</t>
        </is>
      </c>
      <c r="L20" s="43" t="n">
        <v>1</v>
      </c>
      <c r="M20" s="43">
        <f>IF(OR(AND(I20="yes",H20="verified"),AND(I20="no",OR(H20="tested",H20="verified")),AND(H20="not applicable",K20&lt;&gt;"")),1,0)</f>
        <v/>
      </c>
    </row>
    <row r="21" ht="54" customHeight="1" s="34">
      <c r="A21" s="43" t="inlineStr">
        <is>
          <t>G-13</t>
        </is>
      </c>
      <c r="B21" s="43" t="inlineStr">
        <is>
          <t>Manual</t>
        </is>
      </c>
      <c r="C21" s="43" t="inlineStr">
        <is>
          <t>Root / Item</t>
        </is>
      </c>
      <c r="D21" s="44" t="inlineStr">
        <is>
          <t>The component-owned manual protocol passes every Grid playground scenario.</t>
        </is>
      </c>
      <c r="E21" s="43" t="inlineStr">
        <is>
          <t>package</t>
        </is>
      </c>
      <c r="F21" s="43" t="inlineStr">
        <is>
          <t>manual</t>
        </is>
      </c>
      <c r="G21" s="44" t="inlineStr">
        <is>
          <t>manual-tests/grid.md</t>
        </is>
      </c>
      <c r="H21" s="43" t="inlineStr">
        <is>
          <t>implemented</t>
        </is>
      </c>
      <c r="I21" s="43" t="inlineStr">
        <is>
          <t>yes</t>
        </is>
      </c>
      <c r="J21" s="45" t="n">
        <v>46227</v>
      </c>
      <c r="K21" s="44" t="inlineStr">
        <is>
          <t>Protocol exists but the owner has deferred the human run.</t>
        </is>
      </c>
      <c r="L21" s="43" t="n">
        <v>1</v>
      </c>
      <c r="M21" s="43">
        <f>IF(OR(AND(I21="yes",H21="verified"),AND(I21="no",OR(H21="tested",H21="verified")),AND(H21="not applicable",K21&lt;&gt;"")),1,0)</f>
        <v/>
      </c>
    </row>
    <row r="22" ht="54" customHeight="1" s="34">
      <c r="A22" s="43" t="inlineStr">
        <is>
          <t>G-14</t>
        </is>
      </c>
      <c r="B22" s="43" t="inlineStr">
        <is>
          <t>Docs</t>
        </is>
      </c>
      <c r="C22" s="43" t="inlineStr">
        <is>
          <t>Grid</t>
        </is>
      </c>
      <c r="D22" s="44" t="inlineStr">
        <is>
          <t>Source-backed public usage, defaults, modes, placement, semantics, accessibility, CSS, and API documentation pass component checks.</t>
        </is>
      </c>
      <c r="E22" s="43" t="inlineStr">
        <is>
          <t>package</t>
        </is>
      </c>
      <c r="F22" s="43" t="inlineStr">
        <is>
          <t>docs</t>
        </is>
      </c>
      <c r="G22" s="44" t="inlineStr">
        <is>
          <t>../docs/components/grid/README.md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G-15</t>
        </is>
      </c>
      <c r="B23" s="43" t="inlineStr">
        <is>
          <t>Changelog</t>
        </is>
      </c>
      <c r="C23" s="43" t="inlineStr">
        <is>
          <t>Grid</t>
        </is>
      </c>
      <c r="D23" s="44" t="inlineStr">
        <is>
          <t>Grid owns a public component changelog and the package changelog records the component addition.</t>
        </is>
      </c>
      <c r="E23" s="43" t="inlineStr">
        <is>
          <t>package</t>
        </is>
      </c>
      <c r="F23" s="43" t="inlineStr">
        <is>
          <t>docs</t>
        </is>
      </c>
      <c r="G23" s="44" t="inlineStr">
        <is>
          <t>../docs/components/grid/CHANGELOG.md; ../CHANGELOG.md</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G-16</t>
        </is>
      </c>
      <c r="B24" s="43" t="inlineStr">
        <is>
          <t>Consumer</t>
        </is>
      </c>
      <c r="C24" s="43" t="inlineStr">
        <is>
          <t>Root / Item</t>
        </is>
      </c>
      <c r="D24" s="44" t="inlineStr">
        <is>
          <t>The packed Consumer proves realistic equal-track composition, intentional item span, and responsive public-variable overrides through the Grid subpath.</t>
        </is>
      </c>
      <c r="E24" s="43" t="inlineStr">
        <is>
          <t>consumer</t>
        </is>
      </c>
      <c r="F24" s="43" t="inlineStr">
        <is>
          <t>consumer</t>
        </is>
      </c>
      <c r="G24" s="44" t="inlineStr">
        <is>
          <t>../apps/consumer/src/App.tsx; ../apps/consumer/tests/consumer.spec.ts</t>
        </is>
      </c>
      <c r="H24" s="43" t="inlineStr">
        <is>
          <t>tested</t>
        </is>
      </c>
      <c r="I24" s="43" t="inlineStr">
        <is>
          <t>no</t>
        </is>
      </c>
      <c r="J24" s="45" t="n">
        <v>46228</v>
      </c>
      <c r="K24" s="44" t="inlineStr">
        <is>
          <t>Automated package gates pass; complete status waits for the component-owned human manual run.</t>
        </is>
      </c>
      <c r="L24" s="43" t="n">
        <v>1</v>
      </c>
      <c r="M24" s="43">
        <f>IF(OR(AND(I24="yes",H24="verified"),AND(I24="no",OR(H24="tested",H24="verified")),AND(H24="not applicable",K24&lt;&gt;"")),1,0)</f>
        <v/>
      </c>
    </row>
    <row r="25" ht="54" customHeight="1" s="34">
      <c r="A25" s="43" t="inlineStr">
        <is>
          <t>G-17</t>
        </is>
      </c>
      <c r="B25" s="43" t="inlineStr">
        <is>
          <t>Package</t>
        </is>
      </c>
      <c r="C25" s="43" t="inlineStr">
        <is>
          <t>Grid</t>
        </is>
      </c>
      <c r="D25" s="44" t="inlineStr">
        <is>
          <t>Build, SSR, exports, CSS, tarball, React 18/19, packed Consumer, browser matrix, and playground Grid-adoption checks pass.</t>
        </is>
      </c>
      <c r="E25" s="43" t="inlineStr">
        <is>
          <t>package</t>
        </is>
      </c>
      <c r="F25" s="43" t="inlineStr">
        <is>
          <t>package</t>
        </is>
      </c>
      <c r="G25" s="44" t="inlineStr">
        <is>
          <t>../test/package; ../scripts/verify-package.mjs; ../scripts/verify-consumers.mjs; ../scripts/verify-playground-grid.mjs</t>
        </is>
      </c>
      <c r="H25" s="43" t="inlineStr">
        <is>
          <t>implemented</t>
        </is>
      </c>
      <c r="I25" s="43" t="inlineStr">
        <is>
          <t>yes</t>
        </is>
      </c>
      <c r="J25" s="45" t="n">
        <v>46228</v>
      </c>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0" showErrorMessage="0" allowBlank="0" type="list" errorStyle="stop" operator="between">
      <formula1>"not started,partial,implemented,tested,verified,blocked,not applicable"</formula1>
      <formula2>0</formula2>
    </dataValidation>
    <dataValidation sqref="I9:I25"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Container Evidence</t>
        </is>
      </c>
    </row>
    <row r="2" ht="27.75" customHeight="1" s="34">
      <c r="A2" s="36" t="inlineStr">
        <is>
          <t>Assertion-level package, browser, human-review, documentation, Consumer, and playground-boundary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C-01</t>
        </is>
      </c>
      <c r="B9" s="43" t="inlineStr">
        <is>
          <t>Implementation</t>
        </is>
      </c>
      <c r="C9" s="43" t="inlineStr">
        <is>
          <t>Container</t>
        </is>
      </c>
      <c r="D9" s="44" t="inlineStr">
        <is>
          <t>Container renders one approved native host with stable hooks, forwarded ref, authored children, and native attributes.</t>
        </is>
      </c>
      <c r="E9" s="43" t="inlineStr">
        <is>
          <t>package</t>
        </is>
      </c>
      <c r="F9" s="43" t="inlineStr">
        <is>
          <t>source</t>
        </is>
      </c>
      <c r="G9" s="44" t="inlineStr">
        <is>
          <t>../src/components/container</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C-02</t>
        </is>
      </c>
      <c r="B10" s="43" t="inlineStr">
        <is>
          <t>Exports</t>
        </is>
      </c>
      <c r="C10" s="43" t="inlineStr">
        <is>
          <t>Container</t>
        </is>
      </c>
      <c r="D10" s="44" t="inlineStr">
        <is>
          <t>Root exports and the public Container subpath expose the runtime component and every public Container type.</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C-03</t>
        </is>
      </c>
      <c r="B11" s="43" t="inlineStr">
        <is>
          <t>Types</t>
        </is>
      </c>
      <c r="C11" s="43" t="inlineStr">
        <is>
          <t>Container</t>
        </is>
      </c>
      <c r="D11" s="44" t="inlineStr">
        <is>
          <t>Closed hosts, measures, gutters, native props, refs, and rejected arbitrary, responsive, viewport, and composition props type-check.</t>
        </is>
      </c>
      <c r="E11" s="43" t="inlineStr">
        <is>
          <t>package</t>
        </is>
      </c>
      <c r="F11" s="43" t="inlineStr">
        <is>
          <t>types</t>
        </is>
      </c>
      <c r="G11" s="44" t="inlineStr">
        <is>
          <t>../test/types/components/container.test.ts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C-04</t>
        </is>
      </c>
      <c r="B12" s="43" t="inlineStr">
        <is>
          <t>CSS</t>
        </is>
      </c>
      <c r="C12" s="43" t="inlineStr">
        <is>
          <t>Container</t>
        </is>
      </c>
      <c r="D12" s="44" t="inlineStr">
        <is>
          <t>Static CSS ships border-box fluid sizing, five measures, four logical gutters, centering, containment, and public variable overrides.</t>
        </is>
      </c>
      <c r="E12" s="43" t="inlineStr">
        <is>
          <t>package</t>
        </is>
      </c>
      <c r="F12" s="43" t="inlineStr">
        <is>
          <t>css</t>
        </is>
      </c>
      <c r="G12" s="44" t="inlineStr">
        <is>
          <t>../src/components/container/container.css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C-05</t>
        </is>
      </c>
      <c r="B13" s="43" t="inlineStr">
        <is>
          <t>Unit</t>
        </is>
      </c>
      <c r="C13" s="43" t="inlineStr">
        <is>
          <t>Container</t>
        </is>
      </c>
      <c r="D13" s="44" t="inlineStr">
        <is>
          <t>Defaults, every recipe, semantic hosts, one-root anatomy, pass-through, hooks, events, refs, and exclusions pass focused tests.</t>
        </is>
      </c>
      <c r="E13" s="43" t="inlineStr">
        <is>
          <t>package</t>
        </is>
      </c>
      <c r="F13" s="43" t="inlineStr">
        <is>
          <t>component</t>
        </is>
      </c>
      <c r="G13" s="44" t="inlineStr">
        <is>
          <t>../test/components/container/container.test.tsx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C-06</t>
        </is>
      </c>
      <c r="B14" s="43" t="inlineStr">
        <is>
          <t>Browser</t>
        </is>
      </c>
      <c r="C14" s="43" t="inlineStr">
        <is>
          <t>Container</t>
        </is>
      </c>
      <c r="D14" s="44" t="inlineStr">
        <is>
          <t>Real-browser maximums, full width, gutters, border-box containment, output, refs, and exact customization pass across the supported matrix.</t>
        </is>
      </c>
      <c r="E14" s="43" t="inlineStr">
        <is>
          <t>package</t>
        </is>
      </c>
      <c r="F14" s="43" t="inlineStr">
        <is>
          <t>browser</t>
        </is>
      </c>
      <c r="G14" s="44" t="inlineStr">
        <is>
          <t>tests/components/container/behavior.spec.ts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C-07</t>
        </is>
      </c>
      <c r="B15" s="43" t="inlineStr">
        <is>
          <t>Accessibility</t>
        </is>
      </c>
      <c r="C15" s="43" t="inlineStr">
        <is>
          <t>Container</t>
        </is>
      </c>
      <c r="D15" s="44" t="inlineStr">
        <is>
          <t>Authored semantics, source/focus order, RTL and vertical logical sizing, reflow, focus visibility, and axe pass without invented roles.</t>
        </is>
      </c>
      <c r="E15" s="43" t="inlineStr">
        <is>
          <t>package</t>
        </is>
      </c>
      <c r="F15" s="43" t="inlineStr">
        <is>
          <t>axe</t>
        </is>
      </c>
      <c r="G15" s="44" t="inlineStr">
        <is>
          <t>tests/components/container/behavior.spec.ts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C-08</t>
        </is>
      </c>
      <c r="B16" s="43" t="inlineStr">
        <is>
          <t>Visual</t>
        </is>
      </c>
      <c r="C16" s="43" t="inlineStr">
        <is>
          <t>Container</t>
        </is>
      </c>
      <c r="D16" s="44" t="inlineStr">
        <is>
          <t>Reviewed baselines cover defaults, measures, gutters, dark customization, narrow RTL, and vertical writing.</t>
        </is>
      </c>
      <c r="E16" s="43" t="inlineStr">
        <is>
          <t>package</t>
        </is>
      </c>
      <c r="F16" s="43" t="inlineStr">
        <is>
          <t>visual</t>
        </is>
      </c>
      <c r="G16" s="44" t="inlineStr">
        <is>
          <t>tests/components/container/visual.spec.ts</t>
        </is>
      </c>
      <c r="H16" s="43" t="inlineStr">
        <is>
          <t>verified</t>
        </is>
      </c>
      <c r="I16" s="43" t="inlineStr">
        <is>
          <t>yes</t>
        </is>
      </c>
      <c r="J16" s="45" t="n">
        <v>46228</v>
      </c>
      <c r="K16" s="44" t="inlineStr">
        <is>
          <t>Current Container playground and visual baselines were reviewed during implementation.</t>
        </is>
      </c>
      <c r="L16" s="43" t="n">
        <v>1</v>
      </c>
      <c r="M16" s="43">
        <f>IF(OR(AND(I16="yes",H16="verified"),AND(I16="no",OR(H16="tested",H16="verified")),AND(H16="not applicable",K16&lt;&gt;"")),1,0)</f>
        <v/>
      </c>
    </row>
    <row r="17" ht="54" customHeight="1" s="34">
      <c r="A17" s="43" t="inlineStr">
        <is>
          <t>C-09</t>
        </is>
      </c>
      <c r="B17" s="43" t="inlineStr">
        <is>
          <t>Responsive</t>
        </is>
      </c>
      <c r="C17" s="43" t="inlineStr">
        <is>
          <t>Container</t>
        </is>
      </c>
      <c r="D17" s="44" t="inlineStr">
        <is>
          <t>Physical mobile, 200%/400% zoom, 320/256 CSS-pixel reflow, long content, RTL, and vertical writing remain usable and contained.</t>
        </is>
      </c>
      <c r="E17" s="43" t="inlineStr">
        <is>
          <t>package</t>
        </is>
      </c>
      <c r="F17" s="43" t="inlineStr">
        <is>
          <t>manual</t>
        </is>
      </c>
      <c r="G17" s="44" t="inlineStr">
        <is>
          <t>manual-tests/container.md</t>
        </is>
      </c>
      <c r="H17" s="43" t="inlineStr">
        <is>
          <t>implemented</t>
        </is>
      </c>
      <c r="I17" s="43" t="inlineStr">
        <is>
          <t>yes</t>
        </is>
      </c>
      <c r="J17" s="45" t="n"/>
      <c r="K17" s="44" t="inlineStr">
        <is>
          <t>Automated reflow evidence passes; the human manual run is intentionally pending.</t>
        </is>
      </c>
      <c r="L17" s="43" t="n">
        <v>1</v>
      </c>
      <c r="M17" s="43">
        <f>IF(OR(AND(I17="yes",H17="verified"),AND(I17="no",OR(H17="tested",H17="verified")),AND(H17="not applicable",K17&lt;&gt;"")),1,0)</f>
        <v/>
      </c>
    </row>
    <row r="18" ht="54" customHeight="1" s="34">
      <c r="A18" s="43" t="inlineStr">
        <is>
          <t>C-10</t>
        </is>
      </c>
      <c r="B18" s="43" t="inlineStr">
        <is>
          <t>Theme</t>
        </is>
      </c>
      <c r="C18" s="43" t="inlineStr">
        <is>
          <t>Container</t>
        </is>
      </c>
      <c r="D18" s="44" t="inlineStr">
        <is>
          <t>Light, dark, forced colors, text spacing, and focus-bearing descendants preserve geometry and visibility.</t>
        </is>
      </c>
      <c r="E18" s="43" t="inlineStr">
        <is>
          <t>package</t>
        </is>
      </c>
      <c r="F18" s="43" t="inlineStr">
        <is>
          <t>manual</t>
        </is>
      </c>
      <c r="G18" s="44" t="inlineStr">
        <is>
          <t>manual-tests/container.md; tests/components/container/visual.spec.ts</t>
        </is>
      </c>
      <c r="H18" s="43" t="inlineStr">
        <is>
          <t>implemented</t>
        </is>
      </c>
      <c r="I18" s="43" t="inlineStr">
        <is>
          <t>yes</t>
        </is>
      </c>
      <c r="J18" s="45" t="n"/>
      <c r="K18" s="44" t="inlineStr">
        <is>
          <t>Automated appearance evidence passes; complete human appearance review is pending.</t>
        </is>
      </c>
      <c r="L18" s="43" t="n">
        <v>1</v>
      </c>
      <c r="M18" s="43">
        <f>IF(OR(AND(I18="yes",H18="verified"),AND(I18="no",OR(H18="tested",H18="verified")),AND(H18="not applicable",K18&lt;&gt;"")),1,0)</f>
        <v/>
      </c>
    </row>
    <row r="19" ht="54" customHeight="1" s="34">
      <c r="A19" s="43" t="inlineStr">
        <is>
          <t>C-11</t>
        </is>
      </c>
      <c r="B19" s="43" t="inlineStr">
        <is>
          <t>Semantics</t>
        </is>
      </c>
      <c r="C19" s="43" t="inlineStr">
        <is>
          <t>Container</t>
        </is>
      </c>
      <c r="D19" s="44" t="inlineStr">
        <is>
          <t>Supported semantic hosts, authored attributes, one-root output, slot, measure, and gutter hooks match the public contract.</t>
        </is>
      </c>
      <c r="E19" s="43" t="inlineStr">
        <is>
          <t>package</t>
        </is>
      </c>
      <c r="F19" s="43" t="inlineStr">
        <is>
          <t>browser</t>
        </is>
      </c>
      <c r="G19" s="44" t="inlineStr">
        <is>
          <t>tests/components/container/behavior.spec.ts</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C-12</t>
        </is>
      </c>
      <c r="B20" s="43" t="inlineStr">
        <is>
          <t>Manual</t>
        </is>
      </c>
      <c r="C20" s="43" t="inlineStr">
        <is>
          <t>Container</t>
        </is>
      </c>
      <c r="D20" s="44" t="inlineStr">
        <is>
          <t>The component-owned manual protocol passes every Container playground scenario.</t>
        </is>
      </c>
      <c r="E20" s="43" t="inlineStr">
        <is>
          <t>package</t>
        </is>
      </c>
      <c r="F20" s="43" t="inlineStr">
        <is>
          <t>manual</t>
        </is>
      </c>
      <c r="G20" s="44" t="inlineStr">
        <is>
          <t>manual-tests/container.md</t>
        </is>
      </c>
      <c r="H20" s="43" t="inlineStr">
        <is>
          <t>implemented</t>
        </is>
      </c>
      <c r="I20" s="43" t="inlineStr">
        <is>
          <t>yes</t>
        </is>
      </c>
      <c r="J20" s="45" t="n"/>
      <c r="K20" s="44" t="inlineStr">
        <is>
          <t>Protocol exists; the owner deferred the human run.</t>
        </is>
      </c>
      <c r="L20" s="43" t="n">
        <v>1</v>
      </c>
      <c r="M20" s="43">
        <f>IF(OR(AND(I20="yes",H20="verified"),AND(I20="no",OR(H20="tested",H20="verified")),AND(H20="not applicable",K20&lt;&gt;"")),1,0)</f>
        <v/>
      </c>
    </row>
    <row r="21" ht="54" customHeight="1" s="34">
      <c r="A21" s="43" t="inlineStr">
        <is>
          <t>C-13</t>
        </is>
      </c>
      <c r="B21" s="43" t="inlineStr">
        <is>
          <t>Docs</t>
        </is>
      </c>
      <c r="C21" s="43" t="inlineStr">
        <is>
          <t>Container</t>
        </is>
      </c>
      <c r="D21" s="44" t="inlineStr">
        <is>
          <t>Source-backed usage, defaults, geometry, semantics, accessibility, composition, CSS, customization, and API documentation pass checks.</t>
        </is>
      </c>
      <c r="E21" s="43" t="inlineStr">
        <is>
          <t>package</t>
        </is>
      </c>
      <c r="F21" s="43" t="inlineStr">
        <is>
          <t>docs</t>
        </is>
      </c>
      <c r="G21" s="44" t="inlineStr">
        <is>
          <t>../docs/components/container/README.md</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C-14</t>
        </is>
      </c>
      <c r="B22" s="43" t="inlineStr">
        <is>
          <t>Changelog</t>
        </is>
      </c>
      <c r="C22" s="43" t="inlineStr">
        <is>
          <t>Container</t>
        </is>
      </c>
      <c r="D22" s="44" t="inlineStr">
        <is>
          <t>Container owns a public component changelog and the package changelog records the component addition.</t>
        </is>
      </c>
      <c r="E22" s="43" t="inlineStr">
        <is>
          <t>package</t>
        </is>
      </c>
      <c r="F22" s="43" t="inlineStr">
        <is>
          <t>docs</t>
        </is>
      </c>
      <c r="G22" s="44" t="inlineStr">
        <is>
          <t>../docs/components/container/CHANGELOG.md; ../CHANGELOG.md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C-15</t>
        </is>
      </c>
      <c r="B23" s="43" t="inlineStr">
        <is>
          <t>Consumer</t>
        </is>
      </c>
      <c r="C23" s="43" t="inlineStr">
        <is>
          <t>Container</t>
        </is>
      </c>
      <c r="D23" s="44" t="inlineStr">
        <is>
          <t>The packed Consumer proves the public Container subpath as a realistic page boundary containing Stack and Grid with responsive gutters.</t>
        </is>
      </c>
      <c r="E23" s="43" t="inlineStr">
        <is>
          <t>consumer</t>
        </is>
      </c>
      <c r="F23" s="43" t="inlineStr">
        <is>
          <t>consumer</t>
        </is>
      </c>
      <c r="G23" s="44" t="inlineStr">
        <is>
          <t>../apps/consumer/src/App.tsx; ../apps/consumer/tests/consumer.spec.ts</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C-16</t>
        </is>
      </c>
      <c r="B24" s="43" t="inlineStr">
        <is>
          <t>Playground</t>
        </is>
      </c>
      <c r="C24" s="43" t="inlineStr">
        <is>
          <t>Container</t>
        </is>
      </c>
      <c r="D24" s="44" t="inlineStr">
        <is>
          <t>Shared main, header, scenario navigation, route-content, and footer boundaries use Container while App Bar and component-specific constraints remain excluded.</t>
        </is>
      </c>
      <c r="E24" s="43" t="inlineStr">
        <is>
          <t>package</t>
        </is>
      </c>
      <c r="F24" s="43" t="inlineStr">
        <is>
          <t>package</t>
        </is>
      </c>
      <c r="G24" s="44" t="inlineStr">
        <is>
          <t>../playground/src/shell/PlaygroundShell.tsx; ../scripts/verify-playground-container.mjs</t>
        </is>
      </c>
      <c r="H24" s="43" t="inlineStr">
        <is>
          <t>tested</t>
        </is>
      </c>
      <c r="I24" s="43" t="inlineStr">
        <is>
          <t>no</t>
        </is>
      </c>
      <c r="J24" s="45" t="n">
        <v>46228</v>
      </c>
      <c r="K24" s="44" t="n"/>
      <c r="L24" s="43" t="n">
        <v>1</v>
      </c>
      <c r="M24" s="43">
        <f>IF(OR(AND(I24="yes",H24="verified"),AND(I24="no",OR(H24="tested",H24="verified")),AND(H24="not applicable",K24&lt;&gt;"")),1,0)</f>
        <v/>
      </c>
    </row>
    <row r="25" ht="54" customHeight="1" s="34">
      <c r="A25" s="43" t="inlineStr">
        <is>
          <t>C-17</t>
        </is>
      </c>
      <c r="B25" s="43" t="inlineStr">
        <is>
          <t>Package</t>
        </is>
      </c>
      <c r="C25" s="43" t="inlineStr">
        <is>
          <t>Container</t>
        </is>
      </c>
      <c r="D25" s="44" t="inlineStr">
        <is>
          <t>Build, SSR, exports, CSS, tarball, React 18/19, packed Consumer, browser matrix, and Container-adoption checks pass.</t>
        </is>
      </c>
      <c r="E25" s="43" t="inlineStr">
        <is>
          <t>package</t>
        </is>
      </c>
      <c r="F25" s="43" t="inlineStr">
        <is>
          <t>package</t>
        </is>
      </c>
      <c r="G25" s="44" t="inlineStr">
        <is>
          <t>../test/package; ../scripts/verify-package.mjs; ../scripts/verify-consumers.mjs; ../scripts/verify-playground-container.mjs</t>
        </is>
      </c>
      <c r="H25" s="43" t="inlineStr">
        <is>
          <t>implemented</t>
        </is>
      </c>
      <c r="I25" s="43" t="inlineStr">
        <is>
          <t>yes</t>
        </is>
      </c>
      <c r="J25" s="45" t="n"/>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0" showErrorMessage="0" allowBlank="0" type="list" errorStyle="stop" operator="between">
      <formula1>"not started,partial,implemented,tested,verified,blocked,not applicable"</formula1>
      <formula2>0</formula2>
    </dataValidation>
    <dataValidation sqref="I9:I25"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Surface Evidence</t>
        </is>
      </c>
    </row>
    <row r="2" ht="27.75" customHeight="1" s="34">
      <c r="A2" s="36" t="inlineStr">
        <is>
          <t>Assertion-level package, browser, human-review, documentation, Consumer, and playground-ownership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S-01</t>
        </is>
      </c>
      <c r="B9" s="43" t="inlineStr">
        <is>
          <t>Implementation</t>
        </is>
      </c>
      <c r="C9" s="43" t="inlineStr">
        <is>
          <t>Surface</t>
        </is>
      </c>
      <c r="D9" s="44" t="inlineStr">
        <is>
          <t>Surface renders one approved semantic host with stable hooks, forwarded ref, authored children, and native attributes.</t>
        </is>
      </c>
      <c r="E9" s="43" t="inlineStr">
        <is>
          <t>package</t>
        </is>
      </c>
      <c r="F9" s="43" t="inlineStr">
        <is>
          <t>source</t>
        </is>
      </c>
      <c r="G9" s="44" t="inlineStr">
        <is>
          <t>../src/components/surface</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S-02</t>
        </is>
      </c>
      <c r="B10" s="43" t="inlineStr">
        <is>
          <t>Exports</t>
        </is>
      </c>
      <c r="C10" s="43" t="inlineStr">
        <is>
          <t>Surface</t>
        </is>
      </c>
      <c r="D10" s="44" t="inlineStr">
        <is>
          <t>Root exports and the public Surface subpath expose the runtime component and every public Surface type.</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S-03</t>
        </is>
      </c>
      <c r="B11" s="43" t="inlineStr">
        <is>
          <t>Types</t>
        </is>
      </c>
      <c r="C11" s="43" t="inlineStr">
        <is>
          <t>Surface</t>
        </is>
      </c>
      <c r="D11" s="44" t="inlineStr">
        <is>
          <t>Closed semantic hosts, levels, elevations, radii, six inset values, responsive inset grammar, native props, refs, and rejected composition props type-check.</t>
        </is>
      </c>
      <c r="E11" s="43" t="inlineStr">
        <is>
          <t>package</t>
        </is>
      </c>
      <c r="F11" s="43" t="inlineStr">
        <is>
          <t>types</t>
        </is>
      </c>
      <c r="G11" s="44" t="inlineStr">
        <is>
          <t>../test/types/components/surface.test.ts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S-04</t>
        </is>
      </c>
      <c r="B12" s="43" t="inlineStr">
        <is>
          <t>CSS</t>
        </is>
      </c>
      <c r="C12" s="43" t="inlineStr">
        <is>
          <t>Surface</t>
        </is>
      </c>
      <c r="D12" s="44" t="inlineStr">
        <is>
          <t>Static CSS ships semantic levels, independent border, elevation, radius, six theme-derived inset recipes, responsive inset breakpoints, forced-color handling, and public variable overrides.</t>
        </is>
      </c>
      <c r="E12" s="43" t="inlineStr">
        <is>
          <t>package</t>
        </is>
      </c>
      <c r="F12" s="43" t="inlineStr">
        <is>
          <t>css</t>
        </is>
      </c>
      <c r="G12" s="44" t="inlineStr">
        <is>
          <t>../src/components/surface/surface.css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S-05</t>
        </is>
      </c>
      <c r="B13" s="43" t="inlineStr">
        <is>
          <t>Unit</t>
        </is>
      </c>
      <c r="C13" s="43" t="inlineStr">
        <is>
          <t>Surface</t>
        </is>
      </c>
      <c r="D13" s="44" t="inlineStr">
        <is>
          <t>Defaults, every recipe, responsive inset serialization, semantic hosts, pass-through, hooks, events, refs, and exclusions pass focused tests.</t>
        </is>
      </c>
      <c r="E13" s="43" t="inlineStr">
        <is>
          <t>package</t>
        </is>
      </c>
      <c r="F13" s="43" t="inlineStr">
        <is>
          <t>component</t>
        </is>
      </c>
      <c r="G13" s="44" t="inlineStr">
        <is>
          <t>../test/components/surface/surface.test.tsx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S-06</t>
        </is>
      </c>
      <c r="B14" s="43" t="inlineStr">
        <is>
          <t>Browser</t>
        </is>
      </c>
      <c r="C14" s="43" t="inlineStr">
        <is>
          <t>Surface</t>
        </is>
      </c>
      <c r="D14" s="44" t="inlineStr">
        <is>
          <t>Real-browser levels, borders, elevations, radii, six insets, responsive inset breakpoints, nesting, semantic output, refs, and exact customization pass.</t>
        </is>
      </c>
      <c r="E14" s="43" t="inlineStr">
        <is>
          <t>package</t>
        </is>
      </c>
      <c r="F14" s="43" t="inlineStr">
        <is>
          <t>browser</t>
        </is>
      </c>
      <c r="G14" s="44" t="inlineStr">
        <is>
          <t>tests/components/surface/behavior.spec.ts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S-07</t>
        </is>
      </c>
      <c r="B15" s="43" t="inlineStr">
        <is>
          <t>Accessibility</t>
        </is>
      </c>
      <c r="C15" s="43" t="inlineStr">
        <is>
          <t>Surface</t>
        </is>
      </c>
      <c r="D15" s="44" t="inlineStr">
        <is>
          <t>Authored semantics, focus-bearing descendants, RTL/reflow containment, and axe pass without invented roles or interaction.</t>
        </is>
      </c>
      <c r="E15" s="43" t="inlineStr">
        <is>
          <t>package</t>
        </is>
      </c>
      <c r="F15" s="43" t="inlineStr">
        <is>
          <t>axe</t>
        </is>
      </c>
      <c r="G15" s="44" t="inlineStr">
        <is>
          <t>tests/components/surface/behavior.spec.ts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S-08</t>
        </is>
      </c>
      <c r="B16" s="43" t="inlineStr">
        <is>
          <t>Visual</t>
        </is>
      </c>
      <c r="C16" s="43" t="inlineStr">
        <is>
          <t>Surface</t>
        </is>
      </c>
      <c r="D16" s="44" t="inlineStr">
        <is>
          <t>Reviewed baselines cover defaults, levels, borders, elevation, the complete six-value inset ladder, nesting, dark customization, mobile RTL, and forced colors.</t>
        </is>
      </c>
      <c r="E16" s="43" t="inlineStr">
        <is>
          <t>package</t>
        </is>
      </c>
      <c r="F16" s="43" t="inlineStr">
        <is>
          <t>visual</t>
        </is>
      </c>
      <c r="G16" s="44" t="inlineStr">
        <is>
          <t>tests/components/surface/visual.spec.ts</t>
        </is>
      </c>
      <c r="H16" s="43" t="inlineStr">
        <is>
          <t>verified</t>
        </is>
      </c>
      <c r="I16" s="43" t="inlineStr">
        <is>
          <t>yes</t>
        </is>
      </c>
      <c r="J16" s="45" t="n">
        <v>46228</v>
      </c>
      <c r="K16" s="44" t="inlineStr">
        <is>
          <t>Current Surface playground and visual baselines were reviewed during implementation.</t>
        </is>
      </c>
      <c r="L16" s="43" t="n">
        <v>1</v>
      </c>
      <c r="M16" s="43">
        <f>IF(OR(AND(I16="yes",H16="verified"),AND(I16="no",OR(H16="tested",H16="verified")),AND(H16="not applicable",K16&lt;&gt;"")),1,0)</f>
        <v/>
      </c>
    </row>
    <row r="17" ht="54" customHeight="1" s="34">
      <c r="A17" s="43" t="inlineStr">
        <is>
          <t>S-09</t>
        </is>
      </c>
      <c r="B17" s="43" t="inlineStr">
        <is>
          <t>Responsive</t>
        </is>
      </c>
      <c r="C17" s="43" t="inlineStr">
        <is>
          <t>Surface</t>
        </is>
      </c>
      <c r="D17" s="44" t="inlineStr">
        <is>
          <t>The manual protocol covers physical mobile, 200%/400% zoom, responsive inset transitions, constrained content, long copy, nesting, and RTL containment.</t>
        </is>
      </c>
      <c r="E17" s="43" t="inlineStr">
        <is>
          <t>package</t>
        </is>
      </c>
      <c r="F17" s="43" t="inlineStr">
        <is>
          <t>manual</t>
        </is>
      </c>
      <c r="G17" s="44" t="inlineStr">
        <is>
          <t>manual-tests/surface.md</t>
        </is>
      </c>
      <c r="H17" s="43" t="inlineStr">
        <is>
          <t>implemented</t>
        </is>
      </c>
      <c r="I17" s="43" t="inlineStr">
        <is>
          <t>yes</t>
        </is>
      </c>
      <c r="J17" s="45" t="n"/>
      <c r="K17" s="44" t="inlineStr">
        <is>
          <t>Automated reflow evidence passes; the human manual run is intentionally pending.</t>
        </is>
      </c>
      <c r="L17" s="43" t="n">
        <v>1</v>
      </c>
      <c r="M17" s="43">
        <f>IF(OR(AND(I17="yes",H17="verified"),AND(I17="no",OR(H17="tested",H17="verified")),AND(H17="not applicable",K17&lt;&gt;"")),1,0)</f>
        <v/>
      </c>
    </row>
    <row r="18" ht="54" customHeight="1" s="34">
      <c r="A18" s="43" t="inlineStr">
        <is>
          <t>S-10</t>
        </is>
      </c>
      <c r="B18" s="43" t="inlineStr">
        <is>
          <t>Theme</t>
        </is>
      </c>
      <c r="C18" s="43" t="inlineStr">
        <is>
          <t>Surface</t>
        </is>
      </c>
      <c r="D18" s="44" t="inlineStr">
        <is>
          <t>Light, dark, forced colors, text spacing, and focus-bearing descendants preserve boundaries, hierarchy, and contrast.</t>
        </is>
      </c>
      <c r="E18" s="43" t="inlineStr">
        <is>
          <t>package</t>
        </is>
      </c>
      <c r="F18" s="43" t="inlineStr">
        <is>
          <t>manual</t>
        </is>
      </c>
      <c r="G18" s="44" t="inlineStr">
        <is>
          <t>manual-tests/surface.md; tests/components/surface/visual.spec.ts</t>
        </is>
      </c>
      <c r="H18" s="43" t="inlineStr">
        <is>
          <t>implemented</t>
        </is>
      </c>
      <c r="I18" s="43" t="inlineStr">
        <is>
          <t>yes</t>
        </is>
      </c>
      <c r="J18" s="45" t="n"/>
      <c r="K18" s="44" t="inlineStr">
        <is>
          <t>Automated appearance evidence passes; complete human appearance review is pending.</t>
        </is>
      </c>
      <c r="L18" s="43" t="n">
        <v>1</v>
      </c>
      <c r="M18" s="43">
        <f>IF(OR(AND(I18="yes",H18="verified"),AND(I18="no",OR(H18="tested",H18="verified")),AND(H18="not applicable",K18&lt;&gt;"")),1,0)</f>
        <v/>
      </c>
    </row>
    <row r="19" ht="54" customHeight="1" s="34">
      <c r="A19" s="43" t="inlineStr">
        <is>
          <t>S-11</t>
        </is>
      </c>
      <c r="B19" s="43" t="inlineStr">
        <is>
          <t>Semantics</t>
        </is>
      </c>
      <c r="C19" s="43" t="inlineStr">
        <is>
          <t>Surface</t>
        </is>
      </c>
      <c r="D19" s="44" t="inlineStr">
        <is>
          <t>Supported semantic hosts, authored attributes, one-root output, slot, and recipe hooks match the public contract.</t>
        </is>
      </c>
      <c r="E19" s="43" t="inlineStr">
        <is>
          <t>package</t>
        </is>
      </c>
      <c r="F19" s="43" t="inlineStr">
        <is>
          <t>browser</t>
        </is>
      </c>
      <c r="G19" s="44" t="inlineStr">
        <is>
          <t>tests/components/surface/behavior.spec.ts</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S-12</t>
        </is>
      </c>
      <c r="B20" s="43" t="inlineStr">
        <is>
          <t>Manual</t>
        </is>
      </c>
      <c r="C20" s="43" t="inlineStr">
        <is>
          <t>Surface</t>
        </is>
      </c>
      <c r="D20" s="44" t="inlineStr">
        <is>
          <t>The component-owned manual protocol passes every Surface playground scenario.</t>
        </is>
      </c>
      <c r="E20" s="43" t="inlineStr">
        <is>
          <t>package</t>
        </is>
      </c>
      <c r="F20" s="43" t="inlineStr">
        <is>
          <t>manual</t>
        </is>
      </c>
      <c r="G20" s="44" t="inlineStr">
        <is>
          <t>manual-tests/surface.md</t>
        </is>
      </c>
      <c r="H20" s="43" t="inlineStr">
        <is>
          <t>implemented</t>
        </is>
      </c>
      <c r="I20" s="43" t="inlineStr">
        <is>
          <t>yes</t>
        </is>
      </c>
      <c r="J20" s="45" t="n"/>
      <c r="K20" s="44" t="inlineStr">
        <is>
          <t>Protocol exists; the owner deferred the human run.</t>
        </is>
      </c>
      <c r="L20" s="43" t="n">
        <v>1</v>
      </c>
      <c r="M20" s="43">
        <f>IF(OR(AND(I20="yes",H20="verified"),AND(I20="no",OR(H20="tested",H20="verified")),AND(H20="not applicable",K20&lt;&gt;"")),1,0)</f>
        <v/>
      </c>
    </row>
    <row r="21" ht="54" customHeight="1" s="34">
      <c r="A21" s="43" t="inlineStr">
        <is>
          <t>S-13</t>
        </is>
      </c>
      <c r="B21" s="43" t="inlineStr">
        <is>
          <t>Docs</t>
        </is>
      </c>
      <c r="C21" s="43" t="inlineStr">
        <is>
          <t>Surface</t>
        </is>
      </c>
      <c r="D21" s="44" t="inlineStr">
        <is>
          <t>Source-backed public and Agent Knowledge guidance covers defaults, recipes, responsive inset selection, semantics, accessibility, composition, CSS, customization, and API details.</t>
        </is>
      </c>
      <c r="E21" s="43" t="inlineStr">
        <is>
          <t>package</t>
        </is>
      </c>
      <c r="F21" s="43" t="inlineStr">
        <is>
          <t>docs</t>
        </is>
      </c>
      <c r="G21" s="44" t="inlineStr">
        <is>
          <t>../docs/components/surface/README.md; ../src/components/surface/agent.json; ../src/components/surface/agent.md</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S-14</t>
        </is>
      </c>
      <c r="B22" s="43" t="inlineStr">
        <is>
          <t>Changelog</t>
        </is>
      </c>
      <c r="C22" s="43" t="inlineStr">
        <is>
          <t>Surface</t>
        </is>
      </c>
      <c r="D22" s="44" t="inlineStr">
        <is>
          <t>Surface and package changelogs record the larger responsive inset API and its evidence.</t>
        </is>
      </c>
      <c r="E22" s="43" t="inlineStr">
        <is>
          <t>package</t>
        </is>
      </c>
      <c r="F22" s="43" t="inlineStr">
        <is>
          <t>docs</t>
        </is>
      </c>
      <c r="G22" s="44" t="inlineStr">
        <is>
          <t>../docs/components/surface/CHANGELOG.md; ../CHANGELOG.md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S-15</t>
        </is>
      </c>
      <c r="B23" s="43" t="inlineStr">
        <is>
          <t>Consumer</t>
        </is>
      </c>
      <c r="C23" s="43" t="inlineStr">
        <is>
          <t>Surface</t>
        </is>
      </c>
      <c r="D23" s="44" t="inlineStr">
        <is>
          <t>The packed Consumer proves the public Surface subpath as a realistic painted workspace region with independent layout ownership.</t>
        </is>
      </c>
      <c r="E23" s="43" t="inlineStr">
        <is>
          <t>consumer</t>
        </is>
      </c>
      <c r="F23" s="43" t="inlineStr">
        <is>
          <t>consumer</t>
        </is>
      </c>
      <c r="G23" s="44" t="inlineStr">
        <is>
          <t>../apps/consumer/src/App.tsx; ../apps/consumer/tests/consumer.spec.ts</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S-16</t>
        </is>
      </c>
      <c r="B24" s="43" t="inlineStr">
        <is>
          <t>Playground</t>
        </is>
      </c>
      <c r="C24" s="43" t="inlineStr">
        <is>
          <t>Surface</t>
        </is>
      </c>
      <c r="D24" s="44" t="inlineStr">
        <is>
          <t>Shared generic evidence regions use Surface while component paint, diagnostics, layout, overlays, and native evidence retain their classified owners.</t>
        </is>
      </c>
      <c r="E24" s="43" t="inlineStr">
        <is>
          <t>package</t>
        </is>
      </c>
      <c r="F24" s="43" t="inlineStr">
        <is>
          <t>package</t>
        </is>
      </c>
      <c r="G24" s="44" t="inlineStr">
        <is>
          <t>../playground/docs/surface-adoption-audit.md; ../scripts/verify-playground-surface.mjs</t>
        </is>
      </c>
      <c r="H24" s="43" t="inlineStr">
        <is>
          <t>tested</t>
        </is>
      </c>
      <c r="I24" s="43" t="inlineStr">
        <is>
          <t>no</t>
        </is>
      </c>
      <c r="J24" s="45" t="n">
        <v>46228</v>
      </c>
      <c r="K24" s="44" t="n"/>
      <c r="L24" s="43" t="n">
        <v>1</v>
      </c>
      <c r="M24" s="43">
        <f>IF(OR(AND(I24="yes",H24="verified"),AND(I24="no",OR(H24="tested",H24="verified")),AND(H24="not applicable",K24&lt;&gt;"")),1,0)</f>
        <v/>
      </c>
    </row>
    <row r="25" ht="54" customHeight="1" s="34">
      <c r="A25" s="43" t="inlineStr">
        <is>
          <t>S-17</t>
        </is>
      </c>
      <c r="B25" s="43" t="inlineStr">
        <is>
          <t>Package</t>
        </is>
      </c>
      <c r="C25" s="43" t="inlineStr">
        <is>
          <t>Surface</t>
        </is>
      </c>
      <c r="D25" s="44" t="inlineStr">
        <is>
          <t>Build, SSR, exports, CSS, tarball, React 18/19, packed Consumer, browser matrix, and Surface-adoption checks pass.</t>
        </is>
      </c>
      <c r="E25" s="43" t="inlineStr">
        <is>
          <t>package</t>
        </is>
      </c>
      <c r="F25" s="43" t="inlineStr">
        <is>
          <t>package</t>
        </is>
      </c>
      <c r="G25" s="44" t="inlineStr">
        <is>
          <t>../test/package; ../scripts/verify-package.mjs; ../scripts/verify-consumers.mjs; ../scripts/verify-playground-surface.mjs</t>
        </is>
      </c>
      <c r="H25" s="43" t="inlineStr">
        <is>
          <t>implemented</t>
        </is>
      </c>
      <c r="I25" s="43" t="inlineStr">
        <is>
          <t>yes</t>
        </is>
      </c>
      <c r="J25" s="45" t="n"/>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Divider Evidence</t>
        </is>
      </c>
    </row>
    <row r="2" ht="27.75" customHeight="1" s="34">
      <c r="A2" s="36" t="inlineStr">
        <is>
          <t>Assertion-level Atom-backed package, browser, human-review, documentation, Consumer, and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D-01</t>
        </is>
      </c>
      <c r="B9" s="43" t="inlineStr">
        <is>
          <t>Implementation</t>
        </is>
      </c>
      <c r="C9" s="43" t="inlineStr">
        <is>
          <t>Divider</t>
        </is>
      </c>
      <c r="D9" s="44" t="inlineStr">
        <is>
          <t>Divider renders the adopted Atom-backed line, labeled anatomy, and composed-root mode with stable hooks and forwarded refs.</t>
        </is>
      </c>
      <c r="E9" s="43" t="inlineStr">
        <is>
          <t>package</t>
        </is>
      </c>
      <c r="F9" s="43" t="inlineStr">
        <is>
          <t>source</t>
        </is>
      </c>
      <c r="G9" s="44" t="inlineStr">
        <is>
          <t>../src/components/divider</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D-02</t>
        </is>
      </c>
      <c r="B10" s="43" t="inlineStr">
        <is>
          <t>Exports</t>
        </is>
      </c>
      <c r="C10" s="43" t="inlineStr">
        <is>
          <t>Divider</t>
        </is>
      </c>
      <c r="D10" s="44" t="inlineStr">
        <is>
          <t>Root exports and the public Divider subpath expose the runtime component and every public Divider type.</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D-03</t>
        </is>
      </c>
      <c r="B11" s="43" t="inlineStr">
        <is>
          <t>Types</t>
        </is>
      </c>
      <c r="C11" s="43" t="inlineStr">
        <is>
          <t>Divider</t>
        </is>
      </c>
      <c r="D11" s="44" t="inlineStr">
        <is>
          <t>Line, label, composition, orientation, recipe, native attribute, ref, and invalid combination contracts type-check.</t>
        </is>
      </c>
      <c r="E11" s="43" t="inlineStr">
        <is>
          <t>package</t>
        </is>
      </c>
      <c r="F11" s="43" t="inlineStr">
        <is>
          <t>types</t>
        </is>
      </c>
      <c r="G11" s="44" t="inlineStr">
        <is>
          <t>../test/types/components/divider.test.ts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D-04</t>
        </is>
      </c>
      <c r="B12" s="43" t="inlineStr">
        <is>
          <t>CSS</t>
        </is>
      </c>
      <c r="C12" s="43" t="inlineStr">
        <is>
          <t>Divider</t>
        </is>
      </c>
      <c r="D12" s="44" t="inlineStr">
        <is>
          <t>Static CSS ships logical horizontal/vertical geometry, variants, thickness, inset, labels, stretch, RTL, and forced-color handling.</t>
        </is>
      </c>
      <c r="E12" s="43" t="inlineStr">
        <is>
          <t>package</t>
        </is>
      </c>
      <c r="F12" s="43" t="inlineStr">
        <is>
          <t>css</t>
        </is>
      </c>
      <c r="G12" s="44" t="inlineStr">
        <is>
          <t>../src/components/divider/divider.css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D-05</t>
        </is>
      </c>
      <c r="B13" s="43" t="inlineStr">
        <is>
          <t>Unit</t>
        </is>
      </c>
      <c r="C13" s="43" t="inlineStr">
        <is>
          <t>Divider</t>
        </is>
      </c>
      <c r="D13" s="44" t="inlineStr">
        <is>
          <t>Defaults, semantic ownership, every recipe, labeled anatomy, composition, pass-through, hooks, refs, and exclusions pass focused tests.</t>
        </is>
      </c>
      <c r="E13" s="43" t="inlineStr">
        <is>
          <t>package</t>
        </is>
      </c>
      <c r="F13" s="43" t="inlineStr">
        <is>
          <t>component</t>
        </is>
      </c>
      <c r="G13" s="44" t="inlineStr">
        <is>
          <t>../test/components/divider/divider.test.tsx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D-06</t>
        </is>
      </c>
      <c r="B14" s="43" t="inlineStr">
        <is>
          <t>Browser</t>
        </is>
      </c>
      <c r="C14" s="43" t="inlineStr">
        <is>
          <t>Divider</t>
        </is>
      </c>
      <c r="D14" s="44" t="inlineStr">
        <is>
          <t>Real-browser orientation, variants, thickness, inset, labels, stretch, output, refs, customization, RTL, and reflow pass.</t>
        </is>
      </c>
      <c r="E14" s="43" t="inlineStr">
        <is>
          <t>package</t>
        </is>
      </c>
      <c r="F14" s="43" t="inlineStr">
        <is>
          <t>browser</t>
        </is>
      </c>
      <c r="G14" s="44" t="inlineStr">
        <is>
          <t>tests/components/divider/behavior.spec.ts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D-07</t>
        </is>
      </c>
      <c r="B15" s="43" t="inlineStr">
        <is>
          <t>Accessibility</t>
        </is>
      </c>
      <c r="C15" s="43" t="inlineStr">
        <is>
          <t>Divider</t>
        </is>
      </c>
      <c r="D15" s="44" t="inlineStr">
        <is>
          <t>Decorative and semantic separators, labeling, source order, RTL/reflow containment, focus visibility, and axe pass without splitter behavior.</t>
        </is>
      </c>
      <c r="E15" s="43" t="inlineStr">
        <is>
          <t>package</t>
        </is>
      </c>
      <c r="F15" s="43" t="inlineStr">
        <is>
          <t>axe</t>
        </is>
      </c>
      <c r="G15" s="44" t="inlineStr">
        <is>
          <t>tests/components/divider/behavior.spec.ts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D-08</t>
        </is>
      </c>
      <c r="B16" s="43" t="inlineStr">
        <is>
          <t>Visual</t>
        </is>
      </c>
      <c r="C16" s="43" t="inlineStr">
        <is>
          <t>Divider</t>
        </is>
      </c>
      <c r="D16" s="44" t="inlineStr">
        <is>
          <t>Reviewed baselines cover defaults, orientation, variants, thickness, labels, dark customization, mobile RTL, and forced colors.</t>
        </is>
      </c>
      <c r="E16" s="43" t="inlineStr">
        <is>
          <t>package</t>
        </is>
      </c>
      <c r="F16" s="43" t="inlineStr">
        <is>
          <t>visual</t>
        </is>
      </c>
      <c r="G16" s="44" t="inlineStr">
        <is>
          <t>tests/components/divider/visual.spec.ts</t>
        </is>
      </c>
      <c r="H16" s="43" t="inlineStr">
        <is>
          <t>verified</t>
        </is>
      </c>
      <c r="I16" s="43" t="inlineStr">
        <is>
          <t>yes</t>
        </is>
      </c>
      <c r="J16" s="45" t="n">
        <v>46228</v>
      </c>
      <c r="K16" s="44" t="inlineStr">
        <is>
          <t>Current Divider mobile/RTL, forced-color, and complete visual baselines were reviewed during implementation.</t>
        </is>
      </c>
      <c r="L16" s="43" t="n">
        <v>1</v>
      </c>
      <c r="M16" s="43">
        <f>IF(OR(AND(I16="yes",H16="verified"),AND(I16="no",OR(H16="tested",H16="verified")),AND(H16="not applicable",K16&lt;&gt;"")),1,0)</f>
        <v/>
      </c>
    </row>
    <row r="17" ht="54" customHeight="1" s="34">
      <c r="A17" s="43" t="inlineStr">
        <is>
          <t>D-09</t>
        </is>
      </c>
      <c r="B17" s="43" t="inlineStr">
        <is>
          <t>Responsive</t>
        </is>
      </c>
      <c r="C17" s="43" t="inlineStr">
        <is>
          <t>Divider</t>
        </is>
      </c>
      <c r="D17" s="44" t="inlineStr">
        <is>
          <t>Physical mobile, 200%/400% zoom, long labels, constrained width, vertical stretch, and RTL remain readable and contained.</t>
        </is>
      </c>
      <c r="E17" s="43" t="inlineStr">
        <is>
          <t>package</t>
        </is>
      </c>
      <c r="F17" s="43" t="inlineStr">
        <is>
          <t>manual</t>
        </is>
      </c>
      <c r="G17" s="44" t="inlineStr">
        <is>
          <t>manual-tests/divider.md</t>
        </is>
      </c>
      <c r="H17" s="43" t="inlineStr">
        <is>
          <t>implemented</t>
        </is>
      </c>
      <c r="I17" s="43" t="inlineStr">
        <is>
          <t>yes</t>
        </is>
      </c>
      <c r="J17" s="45" t="n"/>
      <c r="K17" s="44" t="inlineStr">
        <is>
          <t>Automated reflow evidence passes; the human manual run is intentionally pending.</t>
        </is>
      </c>
      <c r="L17" s="43" t="n">
        <v>1</v>
      </c>
      <c r="M17" s="43">
        <f>IF(OR(AND(I17="yes",H17="verified"),AND(I17="no",OR(H17="tested",H17="verified")),AND(H17="not applicable",K17&lt;&gt;"")),1,0)</f>
        <v/>
      </c>
    </row>
    <row r="18" ht="54" customHeight="1" s="34">
      <c r="A18" s="43" t="inlineStr">
        <is>
          <t>D-10</t>
        </is>
      </c>
      <c r="B18" s="43" t="inlineStr">
        <is>
          <t>Theme</t>
        </is>
      </c>
      <c r="C18" s="43" t="inlineStr">
        <is>
          <t>Divider</t>
        </is>
      </c>
      <c r="D18" s="44" t="inlineStr">
        <is>
          <t>Light, dark, forced colors, text spacing, and customized separators retain visible structural boundaries.</t>
        </is>
      </c>
      <c r="E18" s="43" t="inlineStr">
        <is>
          <t>package</t>
        </is>
      </c>
      <c r="F18" s="43" t="inlineStr">
        <is>
          <t>manual</t>
        </is>
      </c>
      <c r="G18" s="44" t="inlineStr">
        <is>
          <t>manual-tests/divider.md; tests/components/divider/visual.spec.ts</t>
        </is>
      </c>
      <c r="H18" s="43" t="inlineStr">
        <is>
          <t>implemented</t>
        </is>
      </c>
      <c r="I18" s="43" t="inlineStr">
        <is>
          <t>yes</t>
        </is>
      </c>
      <c r="J18" s="45" t="n"/>
      <c r="K18" s="44" t="inlineStr">
        <is>
          <t>Automated appearance evidence passes; complete human appearance review is pending.</t>
        </is>
      </c>
      <c r="L18" s="43" t="n">
        <v>1</v>
      </c>
      <c r="M18" s="43">
        <f>IF(OR(AND(I18="yes",H18="verified"),AND(I18="no",OR(H18="tested",H18="verified")),AND(H18="not applicable",K18&lt;&gt;"")),1,0)</f>
        <v/>
      </c>
    </row>
    <row r="19" ht="54" customHeight="1" s="34">
      <c r="A19" s="43" t="inlineStr">
        <is>
          <t>D-11</t>
        </is>
      </c>
      <c r="B19" s="43" t="inlineStr">
        <is>
          <t>Semantics</t>
        </is>
      </c>
      <c r="C19" s="43" t="inlineStr">
        <is>
          <t>Divider</t>
        </is>
      </c>
      <c r="D19" s="44" t="inlineStr">
        <is>
          <t>Decorative, semantic, labeled, horizontal, vertical, and composed output match the Atom-first public contract.</t>
        </is>
      </c>
      <c r="E19" s="43" t="inlineStr">
        <is>
          <t>package</t>
        </is>
      </c>
      <c r="F19" s="43" t="inlineStr">
        <is>
          <t>browser</t>
        </is>
      </c>
      <c r="G19" s="44" t="inlineStr">
        <is>
          <t>tests/components/divider/behavior.spec.ts</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D-12</t>
        </is>
      </c>
      <c r="B20" s="43" t="inlineStr">
        <is>
          <t>Manual</t>
        </is>
      </c>
      <c r="C20" s="43" t="inlineStr">
        <is>
          <t>Divider</t>
        </is>
      </c>
      <c r="D20" s="44" t="inlineStr">
        <is>
          <t>The component-owned manual protocol passes every Divider playground scenario.</t>
        </is>
      </c>
      <c r="E20" s="43" t="inlineStr">
        <is>
          <t>package</t>
        </is>
      </c>
      <c r="F20" s="43" t="inlineStr">
        <is>
          <t>manual</t>
        </is>
      </c>
      <c r="G20" s="44" t="inlineStr">
        <is>
          <t>manual-tests/divider.md</t>
        </is>
      </c>
      <c r="H20" s="43" t="inlineStr">
        <is>
          <t>implemented</t>
        </is>
      </c>
      <c r="I20" s="43" t="inlineStr">
        <is>
          <t>yes</t>
        </is>
      </c>
      <c r="J20" s="45" t="n"/>
      <c r="K20" s="44" t="inlineStr">
        <is>
          <t>Protocol exists; the owner deferred the human run.</t>
        </is>
      </c>
      <c r="L20" s="43" t="n">
        <v>1</v>
      </c>
      <c r="M20" s="43">
        <f>IF(OR(AND(I20="yes",H20="verified"),AND(I20="no",OR(H20="tested",H20="verified")),AND(H20="not applicable",K20&lt;&gt;"")),1,0)</f>
        <v/>
      </c>
    </row>
    <row r="21" ht="54" customHeight="1" s="34">
      <c r="A21" s="43" t="inlineStr">
        <is>
          <t>D-13</t>
        </is>
      </c>
      <c r="B21" s="43" t="inlineStr">
        <is>
          <t>Docs</t>
        </is>
      </c>
      <c r="C21" s="43" t="inlineStr">
        <is>
          <t>Divider</t>
        </is>
      </c>
      <c r="D21" s="44" t="inlineStr">
        <is>
          <t>Source-backed usage, defaults, recipes, labels, semantics, accessibility, composition, CSS, customization, and API documentation pass checks.</t>
        </is>
      </c>
      <c r="E21" s="43" t="inlineStr">
        <is>
          <t>package</t>
        </is>
      </c>
      <c r="F21" s="43" t="inlineStr">
        <is>
          <t>docs</t>
        </is>
      </c>
      <c r="G21" s="44" t="inlineStr">
        <is>
          <t>../docs/components/divider/README.md</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D-14</t>
        </is>
      </c>
      <c r="B22" s="43" t="inlineStr">
        <is>
          <t>Changelog</t>
        </is>
      </c>
      <c r="C22" s="43" t="inlineStr">
        <is>
          <t>Divider</t>
        </is>
      </c>
      <c r="D22" s="44" t="inlineStr">
        <is>
          <t>Divider owns a public component changelog and the package changelog records the component addition.</t>
        </is>
      </c>
      <c r="E22" s="43" t="inlineStr">
        <is>
          <t>package</t>
        </is>
      </c>
      <c r="F22" s="43" t="inlineStr">
        <is>
          <t>docs</t>
        </is>
      </c>
      <c r="G22" s="44" t="inlineStr">
        <is>
          <t>../docs/components/divider/CHANGELOG.md; ../CHANGELOG.md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D-15</t>
        </is>
      </c>
      <c r="B23" s="43" t="inlineStr">
        <is>
          <t>Consumer</t>
        </is>
      </c>
      <c r="C23" s="43" t="inlineStr">
        <is>
          <t>Divider</t>
        </is>
      </c>
      <c r="D23" s="44" t="inlineStr">
        <is>
          <t>The packed Consumer proves the public Divider subpath as a semantic workspace break between adjacent content groups.</t>
        </is>
      </c>
      <c r="E23" s="43" t="inlineStr">
        <is>
          <t>consumer</t>
        </is>
      </c>
      <c r="F23" s="43" t="inlineStr">
        <is>
          <t>consumer</t>
        </is>
      </c>
      <c r="G23" s="44" t="inlineStr">
        <is>
          <t>../apps/consumer/src/App.tsx; ../apps/consumer/tests/consumer.spec.ts</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D-16</t>
        </is>
      </c>
      <c r="B24" s="43" t="inlineStr">
        <is>
          <t>Playground</t>
        </is>
      </c>
      <c r="C24" s="43" t="inlineStr">
        <is>
          <t>Divider</t>
        </is>
      </c>
      <c r="D24" s="44" t="inlineStr">
        <is>
          <t>Divider replaces authored separator concepts while component edges, focus, diagnostics, shell chrome, and Surface boundaries retain their owners.</t>
        </is>
      </c>
      <c r="E24" s="43" t="inlineStr">
        <is>
          <t>package</t>
        </is>
      </c>
      <c r="F24" s="43" t="inlineStr">
        <is>
          <t>package</t>
        </is>
      </c>
      <c r="G24" s="44" t="inlineStr">
        <is>
          <t>../playground/docs/divider-adoption-audit.md; ../scripts/verify-playground-divider.mjs</t>
        </is>
      </c>
      <c r="H24" s="43" t="inlineStr">
        <is>
          <t>tested</t>
        </is>
      </c>
      <c r="I24" s="43" t="inlineStr">
        <is>
          <t>no</t>
        </is>
      </c>
      <c r="J24" s="45" t="n">
        <v>46228</v>
      </c>
      <c r="K24" s="44" t="n"/>
      <c r="L24" s="43" t="n">
        <v>1</v>
      </c>
      <c r="M24" s="43">
        <f>IF(OR(AND(I24="yes",H24="verified"),AND(I24="no",OR(H24="tested",H24="verified")),AND(H24="not applicable",K24&lt;&gt;"")),1,0)</f>
        <v/>
      </c>
    </row>
    <row r="25" ht="54" customHeight="1" s="34">
      <c r="A25" s="43" t="inlineStr">
        <is>
          <t>D-17</t>
        </is>
      </c>
      <c r="B25" s="43" t="inlineStr">
        <is>
          <t>Package</t>
        </is>
      </c>
      <c r="C25" s="43" t="inlineStr">
        <is>
          <t>Divider</t>
        </is>
      </c>
      <c r="D25" s="44" t="inlineStr">
        <is>
          <t>Build, SSR, exports, CSS, tarball, React 18/19, packed Consumer, browser matrix, and Divider-adoption checks pass.</t>
        </is>
      </c>
      <c r="E25" s="43" t="inlineStr">
        <is>
          <t>package</t>
        </is>
      </c>
      <c r="F25" s="43" t="inlineStr">
        <is>
          <t>package</t>
        </is>
      </c>
      <c r="G25" s="44" t="inlineStr">
        <is>
          <t>../test/package; ../scripts/verify-package.mjs; ../scripts/verify-consumers.mjs; ../scripts/verify-playground-divider.mjs</t>
        </is>
      </c>
      <c r="H25" s="43" t="inlineStr">
        <is>
          <t>implemented</t>
        </is>
      </c>
      <c r="I25" s="43" t="inlineStr">
        <is>
          <t>yes</t>
        </is>
      </c>
      <c r="J25" s="45" t="n"/>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Scroll Area Evidence</t>
        </is>
      </c>
    </row>
    <row r="2" ht="27.75" customHeight="1" s="34">
      <c r="A2" s="36" t="inlineStr">
        <is>
          <t>Assertion-level Atom-backed package, browser, human-review, documentation, Consumer, visibility, and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SA-01</t>
        </is>
      </c>
      <c r="B9" s="43" t="inlineStr">
        <is>
          <t>Implementation</t>
        </is>
      </c>
      <c r="C9" s="43" t="inlineStr">
        <is>
          <t>Scroll Area</t>
        </is>
      </c>
      <c r="D9" s="44" t="inlineStr">
        <is>
          <t>Scroll Area renders Atom-backed Root and Viewport anatomy with forwarded refs and stable hooks.</t>
        </is>
      </c>
      <c r="E9" s="43" t="inlineStr">
        <is>
          <t>package</t>
        </is>
      </c>
      <c r="F9" s="43" t="inlineStr">
        <is>
          <t>source</t>
        </is>
      </c>
      <c r="G9" s="44" t="inlineStr">
        <is>
          <t>../src/components/scroll-area</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SA-02</t>
        </is>
      </c>
      <c r="B10" s="43" t="inlineStr">
        <is>
          <t>Exports</t>
        </is>
      </c>
      <c r="C10" s="43" t="inlineStr">
        <is>
          <t>Scroll Area</t>
        </is>
      </c>
      <c r="D10" s="44" t="inlineStr">
        <is>
          <t>Root exports and the Scroll Area subpath expose the compound runtime and every public type.</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SA-03</t>
        </is>
      </c>
      <c r="B11" s="43" t="inlineStr">
        <is>
          <t>Types</t>
        </is>
      </c>
      <c r="C11" s="43" t="inlineStr">
        <is>
          <t>Scroll Area</t>
        </is>
      </c>
      <c r="D11" s="44" t="inlineStr">
        <is>
          <t>Orientation, gutter, visibility, composition, native props, and ref contracts type-check.</t>
        </is>
      </c>
      <c r="E11" s="43" t="inlineStr">
        <is>
          <t>package</t>
        </is>
      </c>
      <c r="F11" s="43" t="inlineStr">
        <is>
          <t>types</t>
        </is>
      </c>
      <c r="G11" s="44" t="inlineStr">
        <is>
          <t>../test/types/components/scroll-area.test.ts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SA-04</t>
        </is>
      </c>
      <c r="B12" s="43" t="inlineStr">
        <is>
          <t>CSS</t>
        </is>
      </c>
      <c r="C12" s="43" t="inlineStr">
        <is>
          <t>Scroll Area</t>
        </is>
      </c>
      <c r="D12" s="44" t="inlineStr">
        <is>
          <t>Static CSS ships axis ownership, gutter, visibility, focus, semantic colors, and forced-color behavior.</t>
        </is>
      </c>
      <c r="E12" s="43" t="inlineStr">
        <is>
          <t>package</t>
        </is>
      </c>
      <c r="F12" s="43" t="inlineStr">
        <is>
          <t>css</t>
        </is>
      </c>
      <c r="G12" s="44" t="inlineStr">
        <is>
          <t>../src/components/scroll-area/scroll-area.css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SA-05</t>
        </is>
      </c>
      <c r="B13" s="43" t="inlineStr">
        <is>
          <t>Unit</t>
        </is>
      </c>
      <c r="C13" s="43" t="inlineStr">
        <is>
          <t>Scroll Area</t>
        </is>
      </c>
      <c r="D13" s="44" t="inlineStr">
        <is>
          <t>Defaults, all closed recipes, semantics, forwarding, refs, and composition pass focused tests.</t>
        </is>
      </c>
      <c r="E13" s="43" t="inlineStr">
        <is>
          <t>package</t>
        </is>
      </c>
      <c r="F13" s="43" t="inlineStr">
        <is>
          <t>component</t>
        </is>
      </c>
      <c r="G13" s="44" t="inlineStr">
        <is>
          <t>../test/components/scroll-area/scroll-area.test.tsx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SA-06</t>
        </is>
      </c>
      <c r="B14" s="43" t="inlineStr">
        <is>
          <t>Browser</t>
        </is>
      </c>
      <c r="C14" s="43" t="inlineStr">
        <is>
          <t>Scroll Area</t>
        </is>
      </c>
      <c r="D14" s="44" t="inlineStr">
        <is>
          <t>Native vertical and horizontal movement, gutter, visibility, composition, refs, and reflow pass.</t>
        </is>
      </c>
      <c r="E14" s="43" t="inlineStr">
        <is>
          <t>package</t>
        </is>
      </c>
      <c r="F14" s="43" t="inlineStr">
        <is>
          <t>browser</t>
        </is>
      </c>
      <c r="G14" s="44" t="inlineStr">
        <is>
          <t>tests/components/scroll-area/behavior.spec.ts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SA-07</t>
        </is>
      </c>
      <c r="B15" s="43" t="inlineStr">
        <is>
          <t>Accessibility</t>
        </is>
      </c>
      <c r="C15" s="43" t="inlineStr">
        <is>
          <t>Scroll Area</t>
        </is>
      </c>
      <c r="D15" s="44" t="inlineStr">
        <is>
          <t>Named focusable content, descendant reachability, focus visibility, containment, and axe pass.</t>
        </is>
      </c>
      <c r="E15" s="43" t="inlineStr">
        <is>
          <t>package</t>
        </is>
      </c>
      <c r="F15" s="43" t="inlineStr">
        <is>
          <t>axe</t>
        </is>
      </c>
      <c r="G15" s="44" t="inlineStr">
        <is>
          <t>tests/components/scroll-area/behavior.spec.ts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SA-08</t>
        </is>
      </c>
      <c r="B16" s="43" t="inlineStr">
        <is>
          <t>Visual</t>
        </is>
      </c>
      <c r="C16" s="43" t="inlineStr">
        <is>
          <t>Scroll Area</t>
        </is>
      </c>
      <c r="D16" s="44" t="inlineStr">
        <is>
          <t>Baselines cover defaults, axes, gutter, visibility, dark appearance, mobile RTL, and forced colors.</t>
        </is>
      </c>
      <c r="E16" s="43" t="inlineStr">
        <is>
          <t>package</t>
        </is>
      </c>
      <c r="F16" s="43" t="inlineStr">
        <is>
          <t>visual</t>
        </is>
      </c>
      <c r="G16" s="44" t="inlineStr">
        <is>
          <t>tests/components/scroll-area/visual.spec.ts</t>
        </is>
      </c>
      <c r="H16" s="43" t="inlineStr">
        <is>
          <t>verified</t>
        </is>
      </c>
      <c r="I16" s="43" t="inlineStr">
        <is>
          <t>yes</t>
        </is>
      </c>
      <c r="J16" s="45" t="n">
        <v>46228</v>
      </c>
      <c r="K16" s="44" t="inlineStr">
        <is>
          <t>Current Scroll Area visual baselines were reviewed during implementation.</t>
        </is>
      </c>
      <c r="L16" s="43" t="n">
        <v>1</v>
      </c>
      <c r="M16" s="43">
        <f>IF(OR(AND(I16="yes",H16="verified"),AND(I16="no",OR(H16="tested",H16="verified")),AND(H16="not applicable",K16&lt;&gt;"")),1,0)</f>
        <v/>
      </c>
    </row>
    <row r="17" ht="54" customHeight="1" s="34">
      <c r="A17" s="43" t="inlineStr">
        <is>
          <t>SA-09</t>
        </is>
      </c>
      <c r="B17" s="43" t="inlineStr">
        <is>
          <t>Responsive</t>
        </is>
      </c>
      <c r="C17" s="43" t="inlineStr">
        <is>
          <t>Scroll Area</t>
        </is>
      </c>
      <c r="D17" s="44" t="inlineStr">
        <is>
          <t>Physical mobile, zoom, RTL, writing mode, touch, and nested scroll handoff remain readable and usable.</t>
        </is>
      </c>
      <c r="E17" s="43" t="inlineStr">
        <is>
          <t>package</t>
        </is>
      </c>
      <c r="F17" s="43" t="inlineStr">
        <is>
          <t>manual</t>
        </is>
      </c>
      <c r="G17" s="44" t="inlineStr">
        <is>
          <t>manual-tests/scroll-area.md</t>
        </is>
      </c>
      <c r="H17" s="43" t="inlineStr">
        <is>
          <t>implemented</t>
        </is>
      </c>
      <c r="I17" s="43" t="inlineStr">
        <is>
          <t>yes</t>
        </is>
      </c>
      <c r="J17" s="45" t="n"/>
      <c r="K17" s="44" t="inlineStr">
        <is>
          <t>Automated reflow evidence passes; the human manual run is intentionally pending.</t>
        </is>
      </c>
      <c r="L17" s="43" t="n">
        <v>1</v>
      </c>
      <c r="M17" s="43">
        <f>IF(OR(AND(I17="yes",H17="verified"),AND(I17="no",OR(H17="tested",H17="verified")),AND(H17="not applicable",K17&lt;&gt;"")),1,0)</f>
        <v/>
      </c>
    </row>
    <row r="18" ht="54" customHeight="1" s="34">
      <c r="A18" s="43" t="inlineStr">
        <is>
          <t>SA-10</t>
        </is>
      </c>
      <c r="B18" s="43" t="inlineStr">
        <is>
          <t>Theme</t>
        </is>
      </c>
      <c r="C18" s="43" t="inlineStr">
        <is>
          <t>Scroll Area</t>
        </is>
      </c>
      <c r="D18" s="44" t="inlineStr">
        <is>
          <t>Light, dark, forced colors, interaction visibility, focus, and customized scrollbars remain visible.</t>
        </is>
      </c>
      <c r="E18" s="43" t="inlineStr">
        <is>
          <t>package</t>
        </is>
      </c>
      <c r="F18" s="43" t="inlineStr">
        <is>
          <t>manual</t>
        </is>
      </c>
      <c r="G18" s="44" t="inlineStr">
        <is>
          <t>manual-tests/scroll-area.md; tests/components/scroll-area/visual.spec.ts</t>
        </is>
      </c>
      <c r="H18" s="43" t="inlineStr">
        <is>
          <t>implemented</t>
        </is>
      </c>
      <c r="I18" s="43" t="inlineStr">
        <is>
          <t>yes</t>
        </is>
      </c>
      <c r="J18" s="45" t="n"/>
      <c r="K18" s="44" t="inlineStr">
        <is>
          <t>Automated appearance evidence passes; complete human appearance review is pending.</t>
        </is>
      </c>
      <c r="L18" s="43" t="n">
        <v>1</v>
      </c>
      <c r="M18" s="43">
        <f>IF(OR(AND(I18="yes",H18="verified"),AND(I18="no",OR(H18="tested",H18="verified")),AND(H18="not applicable",K18&lt;&gt;"")),1,0)</f>
        <v/>
      </c>
    </row>
    <row r="19" ht="54" customHeight="1" s="34">
      <c r="A19" s="43" t="inlineStr">
        <is>
          <t>SA-11</t>
        </is>
      </c>
      <c r="B19" s="43" t="inlineStr">
        <is>
          <t>Semantics</t>
        </is>
      </c>
      <c r="C19" s="43" t="inlineStr">
        <is>
          <t>Scroll Area</t>
        </is>
      </c>
      <c r="D19" s="44" t="inlineStr">
        <is>
          <t>Plain content opts into a named region while interactive descendants avoid a redundant viewport stop.</t>
        </is>
      </c>
      <c r="E19" s="43" t="inlineStr">
        <is>
          <t>package</t>
        </is>
      </c>
      <c r="F19" s="43" t="inlineStr">
        <is>
          <t>browser</t>
        </is>
      </c>
      <c r="G19" s="44" t="inlineStr">
        <is>
          <t>tests/components/scroll-area/behavior.spec.ts</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SA-12</t>
        </is>
      </c>
      <c r="B20" s="43" t="inlineStr">
        <is>
          <t>Manual</t>
        </is>
      </c>
      <c r="C20" s="43" t="inlineStr">
        <is>
          <t>Scroll Area</t>
        </is>
      </c>
      <c r="D20" s="44" t="inlineStr">
        <is>
          <t>The component-owned protocol passes every Scroll Area playground scenario.</t>
        </is>
      </c>
      <c r="E20" s="43" t="inlineStr">
        <is>
          <t>package</t>
        </is>
      </c>
      <c r="F20" s="43" t="inlineStr">
        <is>
          <t>manual</t>
        </is>
      </c>
      <c r="G20" s="44" t="inlineStr">
        <is>
          <t>manual-tests/scroll-area.md</t>
        </is>
      </c>
      <c r="H20" s="43" t="inlineStr">
        <is>
          <t>implemented</t>
        </is>
      </c>
      <c r="I20" s="43" t="inlineStr">
        <is>
          <t>yes</t>
        </is>
      </c>
      <c r="J20" s="45" t="n"/>
      <c r="K20" s="44" t="inlineStr">
        <is>
          <t>Protocol exists; the owner deferred the human run.</t>
        </is>
      </c>
      <c r="L20" s="43" t="n">
        <v>1</v>
      </c>
      <c r="M20" s="43">
        <f>IF(OR(AND(I20="yes",H20="verified"),AND(I20="no",OR(H20="tested",H20="verified")),AND(H20="not applicable",K20&lt;&gt;"")),1,0)</f>
        <v/>
      </c>
    </row>
    <row r="21" ht="54" customHeight="1" s="34">
      <c r="A21" s="43" t="inlineStr">
        <is>
          <t>SA-13</t>
        </is>
      </c>
      <c r="B21" s="43" t="inlineStr">
        <is>
          <t>Docs</t>
        </is>
      </c>
      <c r="C21" s="43" t="inlineStr">
        <is>
          <t>Scroll Area</t>
        </is>
      </c>
      <c r="D21" s="44" t="inlineStr">
        <is>
          <t>Source-backed usage, defaults, axes, visibility, semantics, accessibility, composition, and API docs pass.</t>
        </is>
      </c>
      <c r="E21" s="43" t="inlineStr">
        <is>
          <t>package</t>
        </is>
      </c>
      <c r="F21" s="43" t="inlineStr">
        <is>
          <t>docs</t>
        </is>
      </c>
      <c r="G21" s="44" t="inlineStr">
        <is>
          <t>../docs/components/scroll-area/README.md</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SA-14</t>
        </is>
      </c>
      <c r="B22" s="43" t="inlineStr">
        <is>
          <t>Changelog</t>
        </is>
      </c>
      <c r="C22" s="43" t="inlineStr">
        <is>
          <t>Scroll Area</t>
        </is>
      </c>
      <c r="D22" s="44" t="inlineStr">
        <is>
          <t>Scroll Area owns a public changelog and the package changelog records its addition.</t>
        </is>
      </c>
      <c r="E22" s="43" t="inlineStr">
        <is>
          <t>package</t>
        </is>
      </c>
      <c r="F22" s="43" t="inlineStr">
        <is>
          <t>docs</t>
        </is>
      </c>
      <c r="G22" s="44" t="inlineStr">
        <is>
          <t>../docs/components/scroll-area/CHANGELOG.md; ../CHANGELOG.md</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SA-15</t>
        </is>
      </c>
      <c r="B23" s="43" t="inlineStr">
        <is>
          <t>Consumer</t>
        </is>
      </c>
      <c r="C23" s="43" t="inlineStr">
        <is>
          <t>Scroll Area</t>
        </is>
      </c>
      <c r="D23" s="44" t="inlineStr">
        <is>
          <t>The packed Consumer proves the public subpath in a constrained native recent-activity region.</t>
        </is>
      </c>
      <c r="E23" s="43" t="inlineStr">
        <is>
          <t>consumer</t>
        </is>
      </c>
      <c r="F23" s="43" t="inlineStr">
        <is>
          <t>consumer</t>
        </is>
      </c>
      <c r="G23" s="44" t="inlineStr">
        <is>
          <t>../apps/consumer/src/App.tsx; ../apps/consumer/tests/consumer.spec.ts</t>
        </is>
      </c>
      <c r="H23" s="43" t="inlineStr">
        <is>
          <t>tested</t>
        </is>
      </c>
      <c r="I23" s="43" t="inlineStr">
        <is>
          <t>no</t>
        </is>
      </c>
      <c r="J23" s="45" t="n">
        <v>46228</v>
      </c>
      <c r="K23" s="44" t="n"/>
      <c r="L23" s="43" t="n">
        <v>1</v>
      </c>
      <c r="M23" s="43">
        <f>IF(OR(AND(I23="yes",H23="verified"),AND(I23="no",OR(H23="tested",H23="verified")),AND(H23="not applicable",K23&lt;&gt;"")),1,0)</f>
        <v/>
      </c>
    </row>
    <row r="24" ht="54" customHeight="1" s="34">
      <c r="A24" s="43" t="inlineStr">
        <is>
          <t>SA-16</t>
        </is>
      </c>
      <c r="B24" s="43" t="inlineStr">
        <is>
          <t>Playground</t>
        </is>
      </c>
      <c r="C24" s="43" t="inlineStr">
        <is>
          <t>Scroll Area</t>
        </is>
      </c>
      <c r="D24" s="44" t="inlineStr">
        <is>
          <t>Intentional shell and fixture scrolling adopt Scroll Area while clipping, diagnostics, and code retain owners.</t>
        </is>
      </c>
      <c r="E24" s="43" t="inlineStr">
        <is>
          <t>package</t>
        </is>
      </c>
      <c r="F24" s="43" t="inlineStr">
        <is>
          <t>package</t>
        </is>
      </c>
      <c r="G24" s="44" t="inlineStr">
        <is>
          <t>../playground/docs/scroll-area-adoption-audit.md; ../scripts/verify-playground-scroll-area.mjs</t>
        </is>
      </c>
      <c r="H24" s="43" t="inlineStr">
        <is>
          <t>tested</t>
        </is>
      </c>
      <c r="I24" s="43" t="inlineStr">
        <is>
          <t>no</t>
        </is>
      </c>
      <c r="J24" s="45" t="n">
        <v>46228</v>
      </c>
      <c r="K24" s="44" t="n"/>
      <c r="L24" s="43" t="n">
        <v>1</v>
      </c>
      <c r="M24" s="43">
        <f>IF(OR(AND(I24="yes",H24="verified"),AND(I24="no",OR(H24="tested",H24="verified")),AND(H24="not applicable",K24&lt;&gt;"")),1,0)</f>
        <v/>
      </c>
    </row>
    <row r="25" ht="54" customHeight="1" s="34">
      <c r="A25" s="43" t="inlineStr">
        <is>
          <t>SA-17</t>
        </is>
      </c>
      <c r="B25" s="43" t="inlineStr">
        <is>
          <t>Package</t>
        </is>
      </c>
      <c r="C25" s="43" t="inlineStr">
        <is>
          <t>Scroll Area</t>
        </is>
      </c>
      <c r="D25" s="44" t="inlineStr">
        <is>
          <t>Build, SSR, exports, CSS, tarball, consumers, browser matrix, and adoption checks pass.</t>
        </is>
      </c>
      <c r="E25" s="43" t="inlineStr">
        <is>
          <t>package</t>
        </is>
      </c>
      <c r="F25" s="43" t="inlineStr">
        <is>
          <t>package</t>
        </is>
      </c>
      <c r="G25" s="44" t="inlineStr">
        <is>
          <t>../test/package; ../scripts/verify-consumers.mjs; ../scripts/verify-playground-scroll-area.mjs</t>
        </is>
      </c>
      <c r="H25" s="43" t="inlineStr">
        <is>
          <t>implemented</t>
        </is>
      </c>
      <c r="I25" s="43" t="inlineStr">
        <is>
          <t>yes</t>
        </is>
      </c>
      <c r="J25" s="45" t="n"/>
      <c r="K25" s="44" t="inlineStr">
        <is>
          <t>Automated package gates pass; complete status waits for the human manual run.</t>
        </is>
      </c>
      <c r="L25" s="43" t="n">
        <v>1</v>
      </c>
      <c r="M25" s="43">
        <f>IF(OR(AND(I25="yes",H25="verified"),AND(I25="no",OR(H25="tested",H25="verified")),AND(H25="not applicable",K25&lt;&gt;"")),1,0)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Code Evidence</t>
        </is>
      </c>
    </row>
    <row r="2" ht="27.75" customHeight="1" s="34">
      <c r="A2" s="36" t="inlineStr">
        <is>
          <t>Assertion-level inline semantics, recipes, browser, human-review, documentation, Consumer, and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CO-01</t>
        </is>
      </c>
      <c r="B9" s="43" t="inlineStr">
        <is>
          <t>Implementation</t>
        </is>
      </c>
      <c r="C9" s="43" t="inlineStr">
        <is>
          <t>Code</t>
        </is>
      </c>
      <c r="D9" s="44" t="inlineStr">
        <is>
          <t>Native code host, refs, slots, classes, styles, and closed recipes render from one server-safe component.</t>
        </is>
      </c>
      <c r="E9" s="43" t="inlineStr">
        <is>
          <t>package</t>
        </is>
      </c>
      <c r="F9" s="43" t="inlineStr">
        <is>
          <t>source</t>
        </is>
      </c>
      <c r="G9" s="44" t="inlineStr">
        <is>
          <t>../src/components/code</t>
        </is>
      </c>
      <c r="H9" s="43" t="inlineStr">
        <is>
          <t>tested</t>
        </is>
      </c>
      <c r="I9" s="43" t="inlineStr">
        <is>
          <t>no</t>
        </is>
      </c>
      <c r="J9" s="45" t="n">
        <v>46228</v>
      </c>
      <c r="K9" s="44" t="n"/>
      <c r="L9" s="43" t="n">
        <v>1</v>
      </c>
      <c r="M9" s="43">
        <f>IF(OR(AND(I9="yes",H9="verified"),AND(I9="no",OR(H9="tested",H9="verified")),AND(H9="not applicable",K9&lt;&gt;"")),1,0)</f>
        <v/>
      </c>
    </row>
    <row r="10" ht="54" customHeight="1" s="34">
      <c r="A10" s="43" t="inlineStr">
        <is>
          <t>CO-02</t>
        </is>
      </c>
      <c r="B10" s="43" t="inlineStr">
        <is>
          <t>Exports</t>
        </is>
      </c>
      <c r="C10" s="43" t="inlineStr">
        <is>
          <t>Code</t>
        </is>
      </c>
      <c r="D10" s="44" t="inlineStr">
        <is>
          <t>Root and Code subpath exports expose the runtime and every public type.</t>
        </is>
      </c>
      <c r="E10" s="43" t="inlineStr">
        <is>
          <t>package</t>
        </is>
      </c>
      <c r="F10" s="43" t="inlineStr">
        <is>
          <t>package</t>
        </is>
      </c>
      <c r="G10" s="44" t="inlineStr">
        <is>
          <t>../test/package/package.test.mjs; ../test/package/ssr.test.mjs</t>
        </is>
      </c>
      <c r="H10" s="43" t="inlineStr">
        <is>
          <t>tested</t>
        </is>
      </c>
      <c r="I10" s="43" t="inlineStr">
        <is>
          <t>no</t>
        </is>
      </c>
      <c r="J10" s="45" t="n">
        <v>46228</v>
      </c>
      <c r="K10" s="44" t="n"/>
      <c r="L10" s="43" t="n">
        <v>1</v>
      </c>
      <c r="M10" s="43">
        <f>IF(OR(AND(I10="yes",H10="verified"),AND(I10="no",OR(H10="tested",H10="verified")),AND(H10="not applicable",K10&lt;&gt;"")),1,0)</f>
        <v/>
      </c>
    </row>
    <row r="11" ht="54" customHeight="1" s="34">
      <c r="A11" s="43" t="inlineStr">
        <is>
          <t>CO-03</t>
        </is>
      </c>
      <c r="B11" s="43" t="inlineStr">
        <is>
          <t>Types</t>
        </is>
      </c>
      <c r="C11" s="43" t="inlineStr">
        <is>
          <t>Code</t>
        </is>
      </c>
      <c r="D11" s="44" t="inlineStr">
        <is>
          <t>Recipes, native attributes, content, and HTMLElement ref contracts type-check.</t>
        </is>
      </c>
      <c r="E11" s="43" t="inlineStr">
        <is>
          <t>package</t>
        </is>
      </c>
      <c r="F11" s="43" t="inlineStr">
        <is>
          <t>types</t>
        </is>
      </c>
      <c r="G11" s="44" t="inlineStr">
        <is>
          <t>../test/types/components/code.test.ts</t>
        </is>
      </c>
      <c r="H11" s="43" t="inlineStr">
        <is>
          <t>tested</t>
        </is>
      </c>
      <c r="I11" s="43" t="inlineStr">
        <is>
          <t>no</t>
        </is>
      </c>
      <c r="J11" s="45" t="n">
        <v>46228</v>
      </c>
      <c r="K11" s="44" t="n"/>
      <c r="L11" s="43" t="n">
        <v>1</v>
      </c>
      <c r="M11" s="43">
        <f>IF(OR(AND(I11="yes",H11="verified"),AND(I11="no",OR(H11="tested",H11="verified")),AND(H11="not applicable",K11&lt;&gt;"")),1,0)</f>
        <v/>
      </c>
    </row>
    <row r="12" ht="54" customHeight="1" s="34">
      <c r="A12" s="43" t="inlineStr">
        <is>
          <t>CO-04</t>
        </is>
      </c>
      <c r="B12" s="43" t="inlineStr">
        <is>
          <t>CSS</t>
        </is>
      </c>
      <c r="C12" s="43" t="inlineStr">
        <is>
          <t>Code</t>
        </is>
      </c>
      <c r="D12" s="44" t="inlineStr">
        <is>
          <t>Static CSS ships inline recipes, wrapping, forced colors, and public variables.</t>
        </is>
      </c>
      <c r="E12" s="43" t="inlineStr">
        <is>
          <t>package</t>
        </is>
      </c>
      <c r="F12" s="43" t="inlineStr">
        <is>
          <t>css</t>
        </is>
      </c>
      <c r="G12" s="44" t="inlineStr">
        <is>
          <t>../src/components/code/code.css</t>
        </is>
      </c>
      <c r="H12" s="43" t="inlineStr">
        <is>
          <t>tested</t>
        </is>
      </c>
      <c r="I12" s="43" t="inlineStr">
        <is>
          <t>no</t>
        </is>
      </c>
      <c r="J12" s="45" t="n">
        <v>46228</v>
      </c>
      <c r="K12" s="44" t="n"/>
      <c r="L12" s="43" t="n">
        <v>1</v>
      </c>
      <c r="M12" s="43">
        <f>IF(OR(AND(I12="yes",H12="verified"),AND(I12="no",OR(H12="tested",H12="verified")),AND(H12="not applicable",K12&lt;&gt;"")),1,0)</f>
        <v/>
      </c>
    </row>
    <row r="13" ht="54" customHeight="1" s="34">
      <c r="A13" s="43" t="inlineStr">
        <is>
          <t>CO-05</t>
        </is>
      </c>
      <c r="B13" s="43" t="inlineStr">
        <is>
          <t>Unit</t>
        </is>
      </c>
      <c r="C13" s="43" t="inlineStr">
        <is>
          <t>Code</t>
        </is>
      </c>
      <c r="D13" s="44" t="inlineStr">
        <is>
          <t>Defaults, recipes, native forwarding, ref, events, and semantic host pass focused tests.</t>
        </is>
      </c>
      <c r="E13" s="43" t="inlineStr">
        <is>
          <t>package</t>
        </is>
      </c>
      <c r="F13" s="43" t="inlineStr">
        <is>
          <t>component</t>
        </is>
      </c>
      <c r="G13" s="44" t="inlineStr">
        <is>
          <t>../test/components/code/code.test.tsx</t>
        </is>
      </c>
      <c r="H13" s="43" t="inlineStr">
        <is>
          <t>tested</t>
        </is>
      </c>
      <c r="I13" s="43" t="inlineStr">
        <is>
          <t>no</t>
        </is>
      </c>
      <c r="J13" s="45" t="n">
        <v>46228</v>
      </c>
      <c r="K13" s="44" t="n"/>
      <c r="L13" s="43" t="n">
        <v>1</v>
      </c>
      <c r="M13" s="43">
        <f>IF(OR(AND(I13="yes",H13="verified"),AND(I13="no",OR(H13="tested",H13="verified")),AND(H13="not applicable",K13&lt;&gt;"")),1,0)</f>
        <v/>
      </c>
    </row>
    <row r="14" ht="54" customHeight="1" s="34">
      <c r="A14" s="43" t="inlineStr">
        <is>
          <t>CO-06</t>
        </is>
      </c>
      <c r="B14" s="43" t="inlineStr">
        <is>
          <t>Browser</t>
        </is>
      </c>
      <c r="C14" s="43" t="inlineStr">
        <is>
          <t>Code</t>
        </is>
      </c>
      <c r="D14" s="44" t="inlineStr">
        <is>
          <t>Inline context, native output, wrapping, RTL, zoom, and focus neutrality pass.</t>
        </is>
      </c>
      <c r="E14" s="43" t="inlineStr">
        <is>
          <t>package</t>
        </is>
      </c>
      <c r="F14" s="43" t="inlineStr">
        <is>
          <t>browser</t>
        </is>
      </c>
      <c r="G14" s="44" t="inlineStr">
        <is>
          <t>tests/components/code/behavior.spec.ts</t>
        </is>
      </c>
      <c r="H14" s="43" t="inlineStr">
        <is>
          <t>tested</t>
        </is>
      </c>
      <c r="I14" s="43" t="inlineStr">
        <is>
          <t>no</t>
        </is>
      </c>
      <c r="J14" s="45" t="n">
        <v>46228</v>
      </c>
      <c r="K14" s="44" t="n"/>
      <c r="L14" s="43" t="n">
        <v>1</v>
      </c>
      <c r="M14" s="43">
        <f>IF(OR(AND(I14="yes",H14="verified"),AND(I14="no",OR(H14="tested",H14="verified")),AND(H14="not applicable",K14&lt;&gt;"")),1,0)</f>
        <v/>
      </c>
    </row>
    <row r="15" ht="54" customHeight="1" s="34">
      <c r="A15" s="43" t="inlineStr">
        <is>
          <t>CO-07</t>
        </is>
      </c>
      <c r="B15" s="43" t="inlineStr">
        <is>
          <t>Accessibility</t>
        </is>
      </c>
      <c r="C15" s="43" t="inlineStr">
        <is>
          <t>Code</t>
        </is>
      </c>
      <c r="D15" s="44" t="inlineStr">
        <is>
          <t>Native semantics, meaningful prose context, text spacing, and axe remain correct.</t>
        </is>
      </c>
      <c r="E15" s="43" t="inlineStr">
        <is>
          <t>package</t>
        </is>
      </c>
      <c r="F15" s="43" t="inlineStr">
        <is>
          <t>axe</t>
        </is>
      </c>
      <c r="G15" s="44" t="inlineStr">
        <is>
          <t>tests/components/code/behavior.spec.ts</t>
        </is>
      </c>
      <c r="H15" s="43" t="inlineStr">
        <is>
          <t>tested</t>
        </is>
      </c>
      <c r="I15" s="43" t="inlineStr">
        <is>
          <t>no</t>
        </is>
      </c>
      <c r="J15" s="45" t="n">
        <v>46228</v>
      </c>
      <c r="K15" s="44" t="n"/>
      <c r="L15" s="43" t="n">
        <v>1</v>
      </c>
      <c r="M15" s="43">
        <f>IF(OR(AND(I15="yes",H15="verified"),AND(I15="no",OR(H15="tested",H15="verified")),AND(H15="not applicable",K15&lt;&gt;"")),1,0)</f>
        <v/>
      </c>
    </row>
    <row r="16" ht="54" customHeight="1" s="34">
      <c r="A16" s="43" t="inlineStr">
        <is>
          <t>CO-08</t>
        </is>
      </c>
      <c r="B16" s="43" t="inlineStr">
        <is>
          <t>Visual</t>
        </is>
      </c>
      <c r="C16" s="43" t="inlineStr">
        <is>
          <t>Code</t>
        </is>
      </c>
      <c r="D16" s="44" t="inlineStr">
        <is>
          <t>Defaults, recipes, appearances, customization, narrow layout, and RTL own baselines.</t>
        </is>
      </c>
      <c r="E16" s="43" t="inlineStr">
        <is>
          <t>package</t>
        </is>
      </c>
      <c r="F16" s="43" t="inlineStr">
        <is>
          <t>visual</t>
        </is>
      </c>
      <c r="G16" s="44" t="inlineStr">
        <is>
          <t>tests/components/code/visual.spec.ts</t>
        </is>
      </c>
      <c r="H16" s="43" t="inlineStr">
        <is>
          <t>verified</t>
        </is>
      </c>
      <c r="I16" s="43" t="inlineStr">
        <is>
          <t>yes</t>
        </is>
      </c>
      <c r="J16" s="45" t="n">
        <v>46264</v>
      </c>
      <c r="K16" s="44" t="inlineStr">
        <is>
          <t>Owner visual review completed against accepted desktop, dark RTL, 320 CSS px with 200% text spacing, mobile, and forced-color evidence on August 30, 2026.</t>
        </is>
      </c>
      <c r="L16" s="43" t="n">
        <v>1</v>
      </c>
      <c r="M16" s="43">
        <f>IF(OR(AND(I16="yes",H16="verified"),AND(I16="no",OR(H16="tested",H16="verified")),AND(H16="not applicable",K16&lt;&gt;"")),1,0)</f>
        <v/>
      </c>
    </row>
    <row r="17" ht="54" customHeight="1" s="34">
      <c r="A17" s="43" t="inlineStr">
        <is>
          <t>CO-09</t>
        </is>
      </c>
      <c r="B17" s="43" t="inlineStr">
        <is>
          <t>Responsive</t>
        </is>
      </c>
      <c r="C17" s="43" t="inlineStr">
        <is>
          <t>Code</t>
        </is>
      </c>
      <c r="D17" s="44" t="inlineStr">
        <is>
          <t>Long literals, narrow widths, RTL prose, zoom, and text spacing remain readable.</t>
        </is>
      </c>
      <c r="E17" s="43" t="inlineStr">
        <is>
          <t>package</t>
        </is>
      </c>
      <c r="F17" s="43" t="inlineStr">
        <is>
          <t>manual</t>
        </is>
      </c>
      <c r="G17" s="44" t="inlineStr">
        <is>
          <t>manual-tests/code.md</t>
        </is>
      </c>
      <c r="H17" s="43" t="inlineStr">
        <is>
          <t>implemented</t>
        </is>
      </c>
      <c r="I17" s="43" t="inlineStr">
        <is>
          <t>yes</t>
        </is>
      </c>
      <c r="J17" s="45" t="n"/>
      <c r="K17" s="44" t="inlineStr">
        <is>
          <t>Protocol exists; human run is pending.</t>
        </is>
      </c>
      <c r="L17" s="43" t="n">
        <v>1</v>
      </c>
      <c r="M17" s="43">
        <f>IF(OR(AND(I17="yes",H17="verified"),AND(I17="no",OR(H17="tested",H17="verified")),AND(H17="not applicable",K17&lt;&gt;"")),1,0)</f>
        <v/>
      </c>
    </row>
    <row r="18" ht="54" customHeight="1" s="34">
      <c r="A18" s="43" t="inlineStr">
        <is>
          <t>CO-10</t>
        </is>
      </c>
      <c r="B18" s="43" t="inlineStr">
        <is>
          <t>Manual</t>
        </is>
      </c>
      <c r="C18" s="43" t="inlineStr">
        <is>
          <t>Code</t>
        </is>
      </c>
      <c r="D18" s="44" t="inlineStr">
        <is>
          <t>The component-owned protocol covers every Code playground scenario.</t>
        </is>
      </c>
      <c r="E18" s="43" t="inlineStr">
        <is>
          <t>package</t>
        </is>
      </c>
      <c r="F18" s="43" t="inlineStr">
        <is>
          <t>manual</t>
        </is>
      </c>
      <c r="G18" s="44" t="inlineStr">
        <is>
          <t>manual-tests/code.md</t>
        </is>
      </c>
      <c r="H18" s="43" t="inlineStr">
        <is>
          <t>implemented</t>
        </is>
      </c>
      <c r="I18" s="43" t="inlineStr">
        <is>
          <t>yes</t>
        </is>
      </c>
      <c r="J18" s="45" t="n"/>
      <c r="K18" s="44" t="inlineStr">
        <is>
          <t>Protocol exists; human run is pending.</t>
        </is>
      </c>
      <c r="L18" s="43" t="n">
        <v>1</v>
      </c>
      <c r="M18" s="43">
        <f>IF(OR(AND(I18="yes",H18="verified"),AND(I18="no",OR(H18="tested",H18="verified")),AND(H18="not applicable",K18&lt;&gt;"")),1,0)</f>
        <v/>
      </c>
    </row>
    <row r="19" ht="54" customHeight="1" s="34">
      <c r="A19" s="43" t="inlineStr">
        <is>
          <t>CO-11</t>
        </is>
      </c>
      <c r="B19" s="43" t="inlineStr">
        <is>
          <t>Docs</t>
        </is>
      </c>
      <c r="C19" s="43" t="inlineStr">
        <is>
          <t>Code</t>
        </is>
      </c>
      <c r="D19" s="44" t="inlineStr">
        <is>
          <t>Source-backed usage, recipes, semantics, API, tokens, and exclusions pass.</t>
        </is>
      </c>
      <c r="E19" s="43" t="inlineStr">
        <is>
          <t>package</t>
        </is>
      </c>
      <c r="F19" s="43" t="inlineStr">
        <is>
          <t>docs</t>
        </is>
      </c>
      <c r="G19" s="44" t="inlineStr">
        <is>
          <t>../docs/components/code/README.md</t>
        </is>
      </c>
      <c r="H19" s="43" t="inlineStr">
        <is>
          <t>tested</t>
        </is>
      </c>
      <c r="I19" s="43" t="inlineStr">
        <is>
          <t>no</t>
        </is>
      </c>
      <c r="J19" s="45" t="n">
        <v>46228</v>
      </c>
      <c r="K19" s="44" t="n"/>
      <c r="L19" s="43" t="n">
        <v>1</v>
      </c>
      <c r="M19" s="43">
        <f>IF(OR(AND(I19="yes",H19="verified"),AND(I19="no",OR(H19="tested",H19="verified")),AND(H19="not applicable",K19&lt;&gt;"")),1,0)</f>
        <v/>
      </c>
    </row>
    <row r="20" ht="54" customHeight="1" s="34">
      <c r="A20" s="43" t="inlineStr">
        <is>
          <t>CO-12</t>
        </is>
      </c>
      <c r="B20" s="43" t="inlineStr">
        <is>
          <t>Changelog</t>
        </is>
      </c>
      <c r="C20" s="43" t="inlineStr">
        <is>
          <t>Code</t>
        </is>
      </c>
      <c r="D20" s="44" t="inlineStr">
        <is>
          <t>Code owns a public changelog and the package changelog records its addition.</t>
        </is>
      </c>
      <c r="E20" s="43" t="inlineStr">
        <is>
          <t>package</t>
        </is>
      </c>
      <c r="F20" s="43" t="inlineStr">
        <is>
          <t>docs</t>
        </is>
      </c>
      <c r="G20" s="44" t="inlineStr">
        <is>
          <t>../docs/components/code/CHANGELOG.md; ../CHANGELOG.md</t>
        </is>
      </c>
      <c r="H20" s="43" t="inlineStr">
        <is>
          <t>tested</t>
        </is>
      </c>
      <c r="I20" s="43" t="inlineStr">
        <is>
          <t>no</t>
        </is>
      </c>
      <c r="J20" s="45" t="n">
        <v>46228</v>
      </c>
      <c r="K20" s="44" t="inlineStr">
        <is>
          <t>Protocol exists; the owner deferred the human run.</t>
        </is>
      </c>
      <c r="L20" s="43" t="n">
        <v>1</v>
      </c>
      <c r="M20" s="43">
        <f>IF(OR(AND(I20="yes",H20="verified"),AND(I20="no",OR(H20="tested",H20="verified")),AND(H20="not applicable",K20&lt;&gt;"")),1,0)</f>
        <v/>
      </c>
    </row>
    <row r="21" ht="54" customHeight="1" s="34">
      <c r="A21" s="43" t="inlineStr">
        <is>
          <t>CO-13</t>
        </is>
      </c>
      <c r="B21" s="43" t="inlineStr">
        <is>
          <t>Consumer</t>
        </is>
      </c>
      <c r="C21" s="43" t="inlineStr">
        <is>
          <t>Code</t>
        </is>
      </c>
      <c r="D21" s="44" t="inlineStr">
        <is>
          <t>The packed Consumer proves the public subpath in realistic prose.</t>
        </is>
      </c>
      <c r="E21" s="43" t="inlineStr">
        <is>
          <t>consumer</t>
        </is>
      </c>
      <c r="F21" s="43" t="inlineStr">
        <is>
          <t>consumer</t>
        </is>
      </c>
      <c r="G21" s="44" t="inlineStr">
        <is>
          <t>../apps/consumer/src/App.tsx; ../apps/consumer/tests/consumer.spec.ts</t>
        </is>
      </c>
      <c r="H21" s="43" t="inlineStr">
        <is>
          <t>tested</t>
        </is>
      </c>
      <c r="I21" s="43" t="inlineStr">
        <is>
          <t>no</t>
        </is>
      </c>
      <c r="J21" s="45" t="n">
        <v>46228</v>
      </c>
      <c r="K21" s="44" t="n"/>
      <c r="L21" s="43" t="n">
        <v>1</v>
      </c>
      <c r="M21" s="43">
        <f>IF(OR(AND(I21="yes",H21="verified"),AND(I21="no",OR(H21="tested",H21="verified")),AND(H21="not applicable",K21&lt;&gt;"")),1,0)</f>
        <v/>
      </c>
    </row>
    <row r="22" ht="54" customHeight="1" s="34">
      <c r="A22" s="43" t="inlineStr">
        <is>
          <t>CO-14</t>
        </is>
      </c>
      <c r="B22" s="43" t="inlineStr">
        <is>
          <t>Playground</t>
        </is>
      </c>
      <c r="C22" s="43" t="inlineStr">
        <is>
          <t>Code</t>
        </is>
      </c>
      <c r="D22" s="44" t="inlineStr">
        <is>
          <t>Inline technical displays adopt Code and raw code hosts are rejected.</t>
        </is>
      </c>
      <c r="E22" s="43" t="inlineStr">
        <is>
          <t>package</t>
        </is>
      </c>
      <c r="F22" s="43" t="inlineStr">
        <is>
          <t>package</t>
        </is>
      </c>
      <c r="G22" s="44" t="inlineStr">
        <is>
          <t>docs/code-adoption-audit.md; ../scripts/verify-playground-code.mjs</t>
        </is>
      </c>
      <c r="H22" s="43" t="inlineStr">
        <is>
          <t>tested</t>
        </is>
      </c>
      <c r="I22" s="43" t="inlineStr">
        <is>
          <t>no</t>
        </is>
      </c>
      <c r="J22" s="45" t="n">
        <v>46228</v>
      </c>
      <c r="K22" s="44" t="n"/>
      <c r="L22" s="43" t="n">
        <v>1</v>
      </c>
      <c r="M22" s="43">
        <f>IF(OR(AND(I22="yes",H22="verified"),AND(I22="no",OR(H22="tested",H22="verified")),AND(H22="not applicable",K22&lt;&gt;"")),1,0)</f>
        <v/>
      </c>
    </row>
    <row r="23" ht="54" customHeight="1" s="34">
      <c r="A23" s="43" t="inlineStr">
        <is>
          <t>CO-15</t>
        </is>
      </c>
      <c r="B23" s="43" t="inlineStr">
        <is>
          <t>Package</t>
        </is>
      </c>
      <c r="C23" s="43" t="inlineStr">
        <is>
          <t>Code</t>
        </is>
      </c>
      <c r="D23" s="44" t="inlineStr">
        <is>
          <t>Build, SSR, exports, CSS, tarball, consumers, browser matrix, and adoption checks pass.</t>
        </is>
      </c>
      <c r="E23" s="43" t="inlineStr">
        <is>
          <t>package</t>
        </is>
      </c>
      <c r="F23" s="43" t="inlineStr">
        <is>
          <t>package</t>
        </is>
      </c>
      <c r="G23" s="44" t="inlineStr">
        <is>
          <t>../test/package; ../scripts/verify-consumers.mjs</t>
        </is>
      </c>
      <c r="H23" s="43" t="inlineStr">
        <is>
          <t>verified</t>
        </is>
      </c>
      <c r="I23" s="43" t="inlineStr">
        <is>
          <t>yes</t>
        </is>
      </c>
      <c r="J23" s="45" t="n">
        <v>46264</v>
      </c>
      <c r="K23" s="4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3" s="43" t="n">
        <v>1</v>
      </c>
      <c r="M23" s="43">
        <f>IF(OR(AND(I23="yes",H23="verified"),AND(I23="no",OR(H23="tested",H23="verified")),AND(H23="not applicable",K23&lt;&gt;"")),1,0)</f>
        <v/>
      </c>
    </row>
    <row r="24" ht="54" customHeight="1" s="34">
      <c r="A24" s="43" t="n"/>
      <c r="B24" s="43" t="n"/>
      <c r="C24" s="43" t="n"/>
      <c r="D24" s="44" t="n"/>
      <c r="E24" s="43" t="n"/>
      <c r="F24" s="43" t="n"/>
      <c r="G24" s="44" t="n"/>
      <c r="H24" s="43" t="n"/>
      <c r="I24" s="43" t="n"/>
      <c r="J24" s="45" t="n"/>
      <c r="K24" s="44" t="n"/>
      <c r="L24" s="43" t="n"/>
      <c r="M24" s="43" t="n"/>
    </row>
    <row r="25" ht="54" customHeight="1" s="34">
      <c r="A25" s="43" t="n"/>
      <c r="B25" s="43" t="n"/>
      <c r="C25" s="43" t="n"/>
      <c r="D25" s="44" t="n"/>
      <c r="E25" s="43" t="n"/>
      <c r="F25" s="43" t="n"/>
      <c r="G25" s="44" t="n"/>
      <c r="H25" s="43" t="n"/>
      <c r="I25" s="43" t="n"/>
      <c r="J25" s="45" t="n"/>
      <c r="K25" s="44" t="n"/>
      <c r="L25" s="43" t="n"/>
      <c r="M25"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46" t="inlineStr">
        <is>
          <t>Code Block Evidence</t>
        </is>
      </c>
    </row>
    <row r="2" ht="27.75" customHeight="1" s="34">
      <c r="A2" s="47" t="inlineStr">
        <is>
          <t>Assertion-level source, adapter, line metadata, collapse, Clipboard, browser, documentation, Consumer, and release evidence.</t>
        </is>
      </c>
    </row>
    <row r="4" ht="17.25" customHeight="1" s="34">
      <c r="A4" s="48" t="inlineStr">
        <is>
          <t>Requirements</t>
        </is>
      </c>
      <c r="B4" s="49">
        <f>COUNTA(A9:A28)</f>
        <v/>
      </c>
      <c r="C4" s="50" t="n"/>
      <c r="D4" s="48" t="inlineStr">
        <is>
          <t>Resolved</t>
        </is>
      </c>
      <c r="E4" s="49">
        <f>SUM(M9:M28)</f>
        <v/>
      </c>
      <c r="F4" s="50" t="n"/>
      <c r="G4" s="48" t="inlineStr">
        <is>
          <t>Completion</t>
        </is>
      </c>
      <c r="H4" s="51">
        <f>IF(B4=0,0,E4/B4)</f>
        <v/>
      </c>
      <c r="I4" s="50" t="n"/>
      <c r="J4" s="48" t="inlineStr">
        <is>
          <t>Package gate</t>
        </is>
      </c>
      <c r="K4" s="49">
        <f>IF(COUNTIFS(E9:E28,"package",M9:M28,0)&gt;0,"open","complete")</f>
        <v/>
      </c>
      <c r="L4" s="50" t="n"/>
      <c r="M4" s="50" t="n"/>
    </row>
    <row r="5" ht="17.25" customHeight="1" s="34">
      <c r="A5" s="48" t="inlineStr">
        <is>
          <t>Manual review</t>
        </is>
      </c>
      <c r="B5" s="49">
        <f>IF(COUNTIFS(I9:I28,"yes",M9:M28,0)&gt;0,"open","complete")</f>
        <v/>
      </c>
      <c r="C5" s="50" t="n"/>
      <c r="D5" s="48" t="inlineStr">
        <is>
          <t>Consumer gate</t>
        </is>
      </c>
      <c r="E5" s="49">
        <f>IF(COUNTIFS(E9:E28,"consumer",M9:M28,0)&gt;0,"open","complete")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3" t="inlineStr">
        <is>
          <t>Last verified</t>
        </is>
      </c>
      <c r="K8" s="52" t="inlineStr">
        <is>
          <t>Blocker / N/A reason</t>
        </is>
      </c>
      <c r="L8" s="52" t="inlineStr">
        <is>
          <t>Weight</t>
        </is>
      </c>
      <c r="M8" s="52" t="inlineStr">
        <is>
          <t>Resolved</t>
        </is>
      </c>
    </row>
    <row r="9" ht="54" customHeight="1" s="34">
      <c r="A9" s="54" t="inlineStr">
        <is>
          <t>CB-01</t>
        </is>
      </c>
      <c r="B9" s="54" t="inlineStr">
        <is>
          <t>Implementation</t>
        </is>
      </c>
      <c r="C9" s="54" t="inlineStr">
        <is>
          <t>Root and anatomy</t>
        </is>
      </c>
      <c r="D9" s="54" t="inlineStr">
        <is>
          <t>Atom Clipboard Root plus Header, Title, Language, Actions, Content, line, and copy parts compose correctly.</t>
        </is>
      </c>
      <c r="E9" s="54" t="inlineStr">
        <is>
          <t>package</t>
        </is>
      </c>
      <c r="F9" s="54" t="inlineStr">
        <is>
          <t>source</t>
        </is>
      </c>
      <c r="G9" s="54" t="inlineStr">
        <is>
          <t>../src/components/code-block</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CB-02</t>
        </is>
      </c>
      <c r="B10" s="54" t="inlineStr">
        <is>
          <t>Composition</t>
        </is>
      </c>
      <c r="C10" s="54" t="inlineStr">
        <is>
          <t>Content</t>
        </is>
      </c>
      <c r="D10" s="54" t="inlineStr">
        <is>
          <t>Content composes one Scroll Area viewport and canonical pre &gt; Brick Code markup.</t>
        </is>
      </c>
      <c r="E10" s="54" t="inlineStr">
        <is>
          <t>package</t>
        </is>
      </c>
      <c r="F10" s="54" t="inlineStr">
        <is>
          <t>component</t>
        </is>
      </c>
      <c r="G10" s="54" t="inlineStr">
        <is>
          <t>../test/components/code-block/code-block.test.tsx</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CB-03</t>
        </is>
      </c>
      <c r="B11" s="54" t="inlineStr">
        <is>
          <t>Adapter</t>
        </is>
      </c>
      <c r="C11" s="54" t="inlineStr">
        <is>
          <t>Root and Content</t>
        </is>
      </c>
      <c r="D11" s="54" t="inlineStr">
        <is>
          <t>The optional synchronous adapter is lazy, memoized per source identity, React-safe, and shared by preview and full content.</t>
        </is>
      </c>
      <c r="E11" s="54" t="inlineStr">
        <is>
          <t>package</t>
        </is>
      </c>
      <c r="F11" s="54" t="inlineStr">
        <is>
          <t>component</t>
        </is>
      </c>
      <c r="G11" s="54" t="inlineStr">
        <is>
          <t>../test/components/code-block/code-block.test.tsx</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CB-04</t>
        </is>
      </c>
      <c r="B12" s="54" t="inlineStr">
        <is>
          <t>Line metadata</t>
        </is>
      </c>
      <c r="C12" s="54" t="inlineStr">
        <is>
          <t>Line</t>
        </is>
      </c>
      <c r="D12" s="54" t="inlineStr">
        <is>
          <t>Numbers, highlighted and focused lines, additions, removals, combinations, and public data hooks render from explicit metadata.</t>
        </is>
      </c>
      <c r="E12" s="54" t="inlineStr">
        <is>
          <t>package</t>
        </is>
      </c>
      <c r="F12" s="54" t="inlineStr">
        <is>
          <t>component</t>
        </is>
      </c>
      <c r="G12" s="54" t="inlineStr">
        <is>
          <t>../test/components/code-block/code-block.test.tsx</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CB-05</t>
        </is>
      </c>
      <c r="B13" s="54" t="inlineStr">
        <is>
          <t>Collapse</t>
        </is>
      </c>
      <c r="C13" s="54" t="inlineStr">
        <is>
          <t>Collapse parts</t>
        </is>
      </c>
      <c r="D13" s="54" t="inlineStr">
        <is>
          <t>Bounded content and the preview/expanded path compose exact Brick Collapsible anatomy with truthful hidden and trigger relationships.</t>
        </is>
      </c>
      <c r="E13" s="54" t="inlineStr">
        <is>
          <t>package</t>
        </is>
      </c>
      <c r="F13" s="54" t="inlineStr">
        <is>
          <t>browser</t>
        </is>
      </c>
      <c r="G13" s="54" t="inlineStr">
        <is>
          <t>tests/components/code-block/behavior.spec.ts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CB-06</t>
        </is>
      </c>
      <c r="B14" s="54" t="inlineStr">
        <is>
          <t>Clipboard</t>
        </is>
      </c>
      <c r="C14" s="54" t="inlineStr">
        <is>
          <t>Copy parts</t>
        </is>
      </c>
      <c r="D14" s="54" t="inlineStr">
        <is>
          <t>CopyTrigger, indicators, status, pending, success, failure, timeout, and disabled state copy canonical plain source through Atom Clipboard.</t>
        </is>
      </c>
      <c r="E14" s="54" t="inlineStr">
        <is>
          <t>package</t>
        </is>
      </c>
      <c r="F14" s="54" t="inlineStr">
        <is>
          <t>component</t>
        </is>
      </c>
      <c r="G14" s="54" t="inlineStr">
        <is>
          <t>../test/components/code-block/code-block.test.tsx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CB-07</t>
        </is>
      </c>
      <c r="B15" s="54" t="inlineStr">
        <is>
          <t>Exports</t>
        </is>
      </c>
      <c r="C15" s="54" t="inlineStr">
        <is>
          <t>Code Block</t>
        </is>
      </c>
      <c r="D15" s="54" t="inlineStr">
        <is>
          <t>Root, Code Block, adapter, line, and collapse subpath exports expose every public runtime and type.</t>
        </is>
      </c>
      <c r="E15" s="54" t="inlineStr">
        <is>
          <t>package</t>
        </is>
      </c>
      <c r="F15" s="54" t="inlineStr">
        <is>
          <t>package</t>
        </is>
      </c>
      <c r="G15" s="54" t="inlineStr">
        <is>
          <t>../test/package/package.test.mjs; ../test/package/ssr.test.mjs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CB-08</t>
        </is>
      </c>
      <c r="B16" s="54" t="inlineStr">
        <is>
          <t>Types</t>
        </is>
      </c>
      <c r="C16" s="54" t="inlineStr">
        <is>
          <t>Code Block</t>
        </is>
      </c>
      <c r="D16" s="54" t="inlineStr">
        <is>
          <t>Anatomy, recipes, adapter, line metadata, maximum lines, collapse parts, native props, and refs type-check.</t>
        </is>
      </c>
      <c r="E16" s="54" t="inlineStr">
        <is>
          <t>package</t>
        </is>
      </c>
      <c r="F16" s="54" t="inlineStr">
        <is>
          <t>types</t>
        </is>
      </c>
      <c r="G16" s="54" t="inlineStr">
        <is>
          <t>../test/types/components/code-block.test.ts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CB-09</t>
        </is>
      </c>
      <c r="B17" s="54" t="inlineStr">
        <is>
          <t>CSS</t>
        </is>
      </c>
      <c r="C17" s="54" t="inlineStr">
        <is>
          <t>Code Block</t>
        </is>
      </c>
      <c r="D17" s="54" t="inlineStr">
        <is>
          <t>Static CSS ships surfaces, overflow, wrapping, line states, bounded height, collapse, selection, focus, forced colors, and public variables.</t>
        </is>
      </c>
      <c r="E17" s="54" t="inlineStr">
        <is>
          <t>package</t>
        </is>
      </c>
      <c r="F17" s="54" t="inlineStr">
        <is>
          <t>css</t>
        </is>
      </c>
      <c r="G17" s="54" t="inlineStr">
        <is>
          <t>../src/components/code-block/code-block.css</t>
        </is>
      </c>
      <c r="H17" s="55" t="inlineStr">
        <is>
          <t>tested</t>
        </is>
      </c>
      <c r="I17" s="54" t="inlineStr">
        <is>
          <t>no</t>
        </is>
      </c>
      <c r="J17" s="56" t="n">
        <v>46264</v>
      </c>
      <c r="K17" s="54" t="n"/>
      <c r="L17" s="57" t="n">
        <v>1</v>
      </c>
      <c r="M17" s="57">
        <f>IF(OR(AND(I17="yes",H17="verified"),AND(I17="no",OR(H17="tested",H17="verified")),AND(H17="not applicable",K17&lt;&gt;"")),1,0)</f>
        <v/>
      </c>
    </row>
    <row r="18" ht="54" customHeight="1" s="34">
      <c r="A18" s="54" t="inlineStr">
        <is>
          <t>CB-10</t>
        </is>
      </c>
      <c r="B18" s="54" t="inlineStr">
        <is>
          <t>Unit</t>
        </is>
      </c>
      <c r="C18" s="54" t="inlineStr">
        <is>
          <t>Code Block</t>
        </is>
      </c>
      <c r="D18" s="54" t="inlineStr">
        <is>
          <t>Defaults, adapter lifecycle, explicit children, line metadata, copy authority, bounded height, and collapse composition pass.</t>
        </is>
      </c>
      <c r="E18" s="54" t="inlineStr">
        <is>
          <t>package</t>
        </is>
      </c>
      <c r="F18" s="54" t="inlineStr">
        <is>
          <t>component</t>
        </is>
      </c>
      <c r="G18" s="54" t="inlineStr">
        <is>
          <t>../test/components/code-block/code-block.test.tsx</t>
        </is>
      </c>
      <c r="H18" s="55" t="inlineStr">
        <is>
          <t>tested</t>
        </is>
      </c>
      <c r="I18" s="54" t="inlineStr">
        <is>
          <t>no</t>
        </is>
      </c>
      <c r="J18" s="56" t="n">
        <v>46264</v>
      </c>
      <c r="K18" s="54" t="n"/>
      <c r="L18" s="57" t="n">
        <v>1</v>
      </c>
      <c r="M18" s="57">
        <f>IF(OR(AND(I18="yes",H18="verified"),AND(I18="no",OR(H18="tested",H18="verified")),AND(H18="not applicable",K18&lt;&gt;"")),1,0)</f>
        <v/>
      </c>
    </row>
    <row r="19" ht="54" customHeight="1" s="34">
      <c r="A19" s="54" t="inlineStr">
        <is>
          <t>CB-11</t>
        </is>
      </c>
      <c r="B19" s="54" t="inlineStr">
        <is>
          <t>Browser</t>
        </is>
      </c>
      <c r="C19" s="54" t="inlineStr">
        <is>
          <t>Code Block</t>
        </is>
      </c>
      <c r="D19" s="54" t="inlineStr">
        <is>
          <t>Scrolling, maximum lines, expansion, keyboard control, copy outcomes, focus retention, disabled state, RTL, and reflow pass.</t>
        </is>
      </c>
      <c r="E19" s="54" t="inlineStr">
        <is>
          <t>package</t>
        </is>
      </c>
      <c r="F19" s="54" t="inlineStr">
        <is>
          <t>browser</t>
        </is>
      </c>
      <c r="G19" s="54" t="inlineStr">
        <is>
          <t>tests/components/code-block/behavior.spec.ts</t>
        </is>
      </c>
      <c r="H19" s="55" t="inlineStr">
        <is>
          <t>tested</t>
        </is>
      </c>
      <c r="I19" s="54" t="inlineStr">
        <is>
          <t>no</t>
        </is>
      </c>
      <c r="J19" s="56" t="n">
        <v>46264</v>
      </c>
      <c r="K19" s="54" t="n"/>
      <c r="L19" s="57" t="n">
        <v>1</v>
      </c>
      <c r="M19" s="57">
        <f>IF(OR(AND(I19="yes",H19="verified"),AND(I19="no",OR(H19="tested",H19="verified")),AND(H19="not applicable",K19&lt;&gt;"")),1,0)</f>
        <v/>
      </c>
    </row>
    <row r="20" ht="54" customHeight="1" s="34">
      <c r="A20" s="54" t="inlineStr">
        <is>
          <t>CB-12</t>
        </is>
      </c>
      <c r="B20" s="54" t="inlineStr">
        <is>
          <t>Accessibility</t>
        </is>
      </c>
      <c r="C20" s="54" t="inlineStr">
        <is>
          <t>Content and controls</t>
        </is>
      </c>
      <c r="D20" s="54" t="inlineStr">
        <is>
          <t>Named scroll regions, hidden lifecycle, trigger relationships, truthful live feedback, keyboard reachability, and axe pass.</t>
        </is>
      </c>
      <c r="E20" s="54" t="inlineStr">
        <is>
          <t>package</t>
        </is>
      </c>
      <c r="F20" s="54" t="inlineStr">
        <is>
          <t>axe</t>
        </is>
      </c>
      <c r="G20" s="54" t="inlineStr">
        <is>
          <t>tests/components/code-block/behavior.spec.ts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CB-13</t>
        </is>
      </c>
      <c r="B21" s="54" t="inlineStr">
        <is>
          <t>Visual</t>
        </is>
      </c>
      <c r="C21" s="54" t="inlineStr">
        <is>
          <t>Code Block</t>
        </is>
      </c>
      <c r="D21" s="54" t="inlineStr">
        <is>
          <t>Defaults, line metadata, bounded and expanded presentations, copy, appearances, mobile, and RTL own baselines.</t>
        </is>
      </c>
      <c r="E21" s="54" t="inlineStr">
        <is>
          <t>package</t>
        </is>
      </c>
      <c r="F21" s="54" t="inlineStr">
        <is>
          <t>visual</t>
        </is>
      </c>
      <c r="G21" s="54" t="inlineStr">
        <is>
          <t>tests/components/code-block/visual.spec.ts</t>
        </is>
      </c>
      <c r="H21" s="58" t="inlineStr">
        <is>
          <t>verified</t>
        </is>
      </c>
      <c r="I21" s="54" t="inlineStr">
        <is>
          <t>yes</t>
        </is>
      </c>
      <c r="J21" s="56" t="n">
        <v>46264</v>
      </c>
      <c r="K21" s="54" t="inlineStr">
        <is>
          <t>Owner visual review completed against accepted desktop, dark RTL, 320 CSS px with 200% text spacing, mobile, and forced-color evidence on August 30, 2026.</t>
        </is>
      </c>
      <c r="L21" s="57" t="n">
        <v>1</v>
      </c>
      <c r="M21" s="57">
        <f>IF(OR(AND(I21="yes",H21="verified"),AND(I21="no",OR(H21="tested",H21="verified")),AND(H21="not applicable",K21&lt;&gt;"")),1,0)</f>
        <v/>
      </c>
    </row>
    <row r="22" ht="54" customHeight="1" s="34">
      <c r="A22" s="54" t="inlineStr">
        <is>
          <t>CB-14</t>
        </is>
      </c>
      <c r="B22" s="54" t="inlineStr">
        <is>
          <t>Responsive</t>
        </is>
      </c>
      <c r="C22" s="54" t="inlineStr">
        <is>
          <t>Code Block</t>
        </is>
      </c>
      <c r="D22" s="54" t="inlineStr">
        <is>
          <t>Mobile, zoom, long lines, many lines, bounded height, RTL chrome, LTR source, and selection remain usable.</t>
        </is>
      </c>
      <c r="E22" s="54" t="inlineStr">
        <is>
          <t>package</t>
        </is>
      </c>
      <c r="F22" s="54" t="inlineStr">
        <is>
          <t>manual</t>
        </is>
      </c>
      <c r="G22" s="54" t="inlineStr">
        <is>
          <t>manual-tests/code-block.md</t>
        </is>
      </c>
      <c r="H22" s="58" t="inlineStr">
        <is>
          <t>verified</t>
        </is>
      </c>
      <c r="I22" s="54" t="inlineStr">
        <is>
          <t>yes</t>
        </is>
      </c>
      <c r="J22" s="56" t="n">
        <v>46264</v>
      </c>
      <c r="K22" s="54" t="inlineStr">
        <is>
          <t>Automated browser evidence and owner visual review pass at 320/390 CSS px, zoom-equivalent reflow, text-spacing stress, localization, and RTL. Physical-device evidence remains separate.</t>
        </is>
      </c>
      <c r="L22" s="57" t="n">
        <v>1</v>
      </c>
      <c r="M22" s="57">
        <f>IF(OR(AND(I22="yes",H22="verified"),AND(I22="no",OR(H22="tested",H22="verified")),AND(H22="not applicable",K22&lt;&gt;"")),1,0)</f>
        <v/>
      </c>
    </row>
    <row r="23" ht="54" customHeight="1" s="34">
      <c r="A23" s="54" t="inlineStr">
        <is>
          <t>CB-15</t>
        </is>
      </c>
      <c r="B23" s="54" t="inlineStr">
        <is>
          <t>Theme</t>
        </is>
      </c>
      <c r="C23" s="54" t="inlineStr">
        <is>
          <t>Code Block</t>
        </is>
      </c>
      <c r="D23" s="54" t="inlineStr">
        <is>
          <t>Line states, diff colors, focus, surfaces, selection, and controls remain legible in light, dark, and forced colors.</t>
        </is>
      </c>
      <c r="E23" s="54" t="inlineStr">
        <is>
          <t>package</t>
        </is>
      </c>
      <c r="F23" s="54" t="inlineStr">
        <is>
          <t>manual</t>
        </is>
      </c>
      <c r="G23" s="54" t="inlineStr">
        <is>
          <t>manual-tests/code-block.md; tests/components/code-block/visual.spec.ts</t>
        </is>
      </c>
      <c r="H23" s="58" t="inlineStr">
        <is>
          <t>verified</t>
        </is>
      </c>
      <c r="I23" s="54" t="inlineStr">
        <is>
          <t>yes</t>
        </is>
      </c>
      <c r="J23" s="56" t="n">
        <v>46264</v>
      </c>
      <c r="K23" s="54" t="inlineStr">
        <is>
          <t>Owner review confirms light, dark, customized, and forced-color evidence remains readable with the documented semantic roles and component boundaries.</t>
        </is>
      </c>
      <c r="L23" s="57" t="n">
        <v>1</v>
      </c>
      <c r="M23" s="57">
        <f>IF(OR(AND(I23="yes",H23="verified"),AND(I23="no",OR(H23="tested",H23="verified")),AND(H23="not applicable",K23&lt;&gt;"")),1,0)</f>
        <v/>
      </c>
    </row>
    <row r="24" ht="54" customHeight="1" s="34">
      <c r="A24" s="54" t="inlineStr">
        <is>
          <t>CB-16</t>
        </is>
      </c>
      <c r="B24" s="54" t="inlineStr">
        <is>
          <t>Manual</t>
        </is>
      </c>
      <c r="C24" s="54" t="inlineStr">
        <is>
          <t>Code Block</t>
        </is>
      </c>
      <c r="D24" s="54" t="inlineStr">
        <is>
          <t>The component-owned protocol covers every Code Block playground scenario, including line metadata and collapse.</t>
        </is>
      </c>
      <c r="E24" s="54" t="inlineStr">
        <is>
          <t>package</t>
        </is>
      </c>
      <c r="F24" s="54" t="inlineStr">
        <is>
          <t>manual</t>
        </is>
      </c>
      <c r="G24" s="54" t="inlineStr">
        <is>
          <t>manual-tests/code-block.md</t>
        </is>
      </c>
      <c r="H24" s="58" t="inlineStr">
        <is>
          <t>verified</t>
        </is>
      </c>
      <c r="I24" s="54" t="inlineStr">
        <is>
          <t>yes</t>
        </is>
      </c>
      <c r="J24" s="56" t="n">
        <v>46264</v>
      </c>
      <c r="K24"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4" s="57" t="n">
        <v>1</v>
      </c>
      <c r="M24" s="57">
        <f>IF(OR(AND(I24="yes",H24="verified"),AND(I24="no",OR(H24="tested",H24="verified")),AND(H24="not applicable",K24&lt;&gt;"")),1,0)</f>
        <v/>
      </c>
    </row>
    <row r="25" ht="54" customHeight="1" s="34">
      <c r="A25" s="54" t="inlineStr">
        <is>
          <t>CB-17</t>
        </is>
      </c>
      <c r="B25" s="54" t="inlineStr">
        <is>
          <t>Docs</t>
        </is>
      </c>
      <c r="C25" s="54" t="inlineStr">
        <is>
          <t>Code Block</t>
        </is>
      </c>
      <c r="D25" s="54" t="inlineStr">
        <is>
          <t>Source-backed anatomy, adapter boundary, line metadata, collapse, copy ownership, accessibility, API, and tokens pass.</t>
        </is>
      </c>
      <c r="E25" s="54" t="inlineStr">
        <is>
          <t>package</t>
        </is>
      </c>
      <c r="F25" s="54" t="inlineStr">
        <is>
          <t>docs</t>
        </is>
      </c>
      <c r="G25" s="54" t="inlineStr">
        <is>
          <t>../docs/components/code-block/README.md</t>
        </is>
      </c>
      <c r="H25" s="55" t="inlineStr">
        <is>
          <t>tested</t>
        </is>
      </c>
      <c r="I25" s="54" t="inlineStr">
        <is>
          <t>no</t>
        </is>
      </c>
      <c r="J25" s="56" t="n">
        <v>46264</v>
      </c>
      <c r="K25" s="54" t="n"/>
      <c r="L25" s="57" t="n">
        <v>1</v>
      </c>
      <c r="M25" s="57">
        <f>IF(OR(AND(I25="yes",H25="verified"),AND(I25="no",OR(H25="tested",H25="verified")),AND(H25="not applicable",K25&lt;&gt;"")),1,0)</f>
        <v/>
      </c>
    </row>
    <row r="26" ht="54" customHeight="1" s="34">
      <c r="A26" s="54" t="inlineStr">
        <is>
          <t>CB-18</t>
        </is>
      </c>
      <c r="B26" s="54" t="inlineStr">
        <is>
          <t>Changelog</t>
        </is>
      </c>
      <c r="C26" s="54" t="inlineStr">
        <is>
          <t>Code Block</t>
        </is>
      </c>
      <c r="D26" s="54" t="inlineStr">
        <is>
          <t>Code Block owns a public changelog and the package changelog records the extension.</t>
        </is>
      </c>
      <c r="E26" s="54" t="inlineStr">
        <is>
          <t>package</t>
        </is>
      </c>
      <c r="F26" s="54" t="inlineStr">
        <is>
          <t>docs</t>
        </is>
      </c>
      <c r="G26" s="54" t="inlineStr">
        <is>
          <t>../docs/components/code-block/CHANGELOG.md; ../CHANGELOG.md</t>
        </is>
      </c>
      <c r="H26" s="55" t="inlineStr">
        <is>
          <t>tested</t>
        </is>
      </c>
      <c r="I26" s="54" t="inlineStr">
        <is>
          <t>no</t>
        </is>
      </c>
      <c r="J26" s="56" t="n">
        <v>46264</v>
      </c>
      <c r="K26" s="54" t="n"/>
      <c r="L26" s="57" t="n">
        <v>1</v>
      </c>
      <c r="M26" s="57">
        <f>IF(OR(AND(I26="yes",H26="verified"),AND(I26="no",OR(H26="tested",H26="verified")),AND(H26="not applicable",K26&lt;&gt;"")),1,0)</f>
        <v/>
      </c>
    </row>
    <row r="27" ht="54" customHeight="1" s="34">
      <c r="A27" s="54" t="inlineStr">
        <is>
          <t>CB-19</t>
        </is>
      </c>
      <c r="B27" s="54" t="inlineStr">
        <is>
          <t>Consumer</t>
        </is>
      </c>
      <c r="C27" s="54" t="inlineStr">
        <is>
          <t>Code Block</t>
        </is>
      </c>
      <c r="D27" s="54" t="inlineStr">
        <is>
          <t>The packed Consumer proves public anatomy, native source, adapter-safe output, line metadata, and copy action.</t>
        </is>
      </c>
      <c r="E27" s="54" t="inlineStr">
        <is>
          <t>consumer</t>
        </is>
      </c>
      <c r="F27" s="54" t="inlineStr">
        <is>
          <t>consumer</t>
        </is>
      </c>
      <c r="G27" s="54" t="inlineStr">
        <is>
          <t>../apps/consumer/src/App.tsx; ../apps/consumer/tests/consumer.spec.ts</t>
        </is>
      </c>
      <c r="H27" s="55" t="inlineStr">
        <is>
          <t>tested</t>
        </is>
      </c>
      <c r="I27" s="54" t="inlineStr">
        <is>
          <t>no</t>
        </is>
      </c>
      <c r="J27" s="56" t="n">
        <v>46264</v>
      </c>
      <c r="K27" s="54" t="n"/>
      <c r="L27" s="57" t="n">
        <v>1</v>
      </c>
      <c r="M27" s="57">
        <f>IF(OR(AND(I27="yes",H27="verified"),AND(I27="no",OR(H27="tested",H27="verified")),AND(H27="not applicable",K27&lt;&gt;"")),1,0)</f>
        <v/>
      </c>
    </row>
    <row r="28" ht="54" customHeight="1" s="34">
      <c r="A28" s="54" t="inlineStr">
        <is>
          <t>CB-20</t>
        </is>
      </c>
      <c r="B28" s="54" t="inlineStr">
        <is>
          <t>Package</t>
        </is>
      </c>
      <c r="C28" s="54" t="inlineStr">
        <is>
          <t>Code Block</t>
        </is>
      </c>
      <c r="D28" s="54" t="inlineStr">
        <is>
          <t>Build, SSR, exports, CSS, Agent Knowledge, tarball, consumers, React matrix, browser matrix, and adoption pass.</t>
        </is>
      </c>
      <c r="E28" s="54" t="inlineStr">
        <is>
          <t>package</t>
        </is>
      </c>
      <c r="F28" s="54" t="inlineStr">
        <is>
          <t>package</t>
        </is>
      </c>
      <c r="G28" s="54" t="inlineStr">
        <is>
          <t>../test/package; ../scripts/verify-package.mjs; ../scripts/verify-consumers.mjs</t>
        </is>
      </c>
      <c r="H28" s="58" t="inlineStr">
        <is>
          <t>verified</t>
        </is>
      </c>
      <c r="I28" s="54" t="inlineStr">
        <is>
          <t>yes</t>
        </is>
      </c>
      <c r="J28" s="56" t="n">
        <v>46264</v>
      </c>
      <c r="K28"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8" s="57" t="n">
        <v>1</v>
      </c>
      <c r="M28" s="57">
        <f>IF(OR(AND(I28="yes",H28="verified"),AND(I28="no",OR(H28="tested",H28="verified")),AND(H28="not applicable",K28&lt;&gt;"")),1,0)</f>
        <v/>
      </c>
    </row>
  </sheetData>
  <mergeCells count="2">
    <mergeCell ref="A2:M2"/>
    <mergeCell ref="A1:M1"/>
  </mergeCells>
  <dataValidations count="2">
    <dataValidation sqref="H9:H28" showDropDown="0" showInputMessage="0" showErrorMessage="0" allowBlank="0" type="list" errorStyle="stop" operator="between">
      <formula1>_Lists!$A$1:$A$7</formula1>
      <formula2>0</formula2>
    </dataValidation>
    <dataValidation sqref="I9:I28"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Nav List Evidence</t>
        </is>
      </c>
    </row>
    <row r="2" ht="27.75" customHeight="1" s="34">
      <c r="A2" s="36" t="inlineStr">
        <is>
          <t>Assertion-level Atom anatomy, recipes, disclosure, browser, human-review, documentation, Consumer, and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NL-01</t>
        </is>
      </c>
      <c r="B9" s="43" t="inlineStr">
        <is>
          <t>Implementation</t>
        </is>
      </c>
      <c r="C9" s="43" t="inlineStr">
        <is>
          <t>Root and anatomy</t>
        </is>
      </c>
      <c r="D9" s="44" t="inlineStr">
        <is>
          <t>Root, List, Item, Link, Section, SectionLabel, SectionTrigger, and SectionContent compose correctly.</t>
        </is>
      </c>
      <c r="E9" s="43" t="inlineStr">
        <is>
          <t>package</t>
        </is>
      </c>
      <c r="F9" s="43" t="inlineStr">
        <is>
          <t>source</t>
        </is>
      </c>
      <c r="G9" s="44" t="inlineStr">
        <is>
          <t>../src/components/code-block</t>
        </is>
      </c>
      <c r="H9" s="43" t="inlineStr">
        <is>
          <t>tested</t>
        </is>
      </c>
      <c r="I9" s="43" t="inlineStr">
        <is>
          <t>no</t>
        </is>
      </c>
      <c r="J9" s="45" t="inlineStr">
        <is>
          <t>package</t>
        </is>
      </c>
      <c r="K9" s="44" t="inlineStr">
        <is>
          <t>automated</t>
        </is>
      </c>
      <c r="L9" s="43" t="n"/>
      <c r="M9" s="43">
        <f>IF(OR(H9="not started",H9="partial"),0,1)</f>
        <v/>
      </c>
    </row>
    <row r="10" ht="54" customHeight="1" s="34">
      <c r="A10" s="43" t="inlineStr">
        <is>
          <t>NL-02</t>
        </is>
      </c>
      <c r="B10" s="43" t="inlineStr">
        <is>
          <t>Recipes</t>
        </is>
      </c>
      <c r="C10" s="43" t="inlineStr">
        <is>
          <t>Root</t>
        </is>
      </c>
      <c r="D10" s="44" t="inlineStr">
        <is>
          <t>Soft, solid, and outline; accent and neutral; small, medium, and large preserve declared defaults.</t>
        </is>
      </c>
      <c r="E10" s="43" t="inlineStr">
        <is>
          <t>package</t>
        </is>
      </c>
      <c r="F10" s="43" t="inlineStr">
        <is>
          <t>component</t>
        </is>
      </c>
      <c r="G10" s="44" t="inlineStr">
        <is>
          <t>../test/components/code-block/code-block.test.tsx</t>
        </is>
      </c>
      <c r="H10" s="43" t="inlineStr">
        <is>
          <t>tested</t>
        </is>
      </c>
      <c r="I10" s="43" t="inlineStr">
        <is>
          <t>no</t>
        </is>
      </c>
      <c r="J10" s="45" t="inlineStr">
        <is>
          <t>package</t>
        </is>
      </c>
      <c r="K10" s="44" t="inlineStr">
        <is>
          <t>automated</t>
        </is>
      </c>
      <c r="L10" s="43" t="n"/>
      <c r="M10" s="43">
        <f>IF(OR(H10="not started",H10="partial"),0,1)</f>
        <v/>
      </c>
    </row>
    <row r="11" ht="54" customHeight="1" s="34">
      <c r="A11" s="43" t="inlineStr">
        <is>
          <t>NL-03</t>
        </is>
      </c>
      <c r="B11" s="43" t="inlineStr">
        <is>
          <t>Content</t>
        </is>
      </c>
      <c r="C11" s="43" t="inlineStr">
        <is>
          <t>Link</t>
        </is>
      </c>
      <c r="D11" s="44" t="inlineStr">
        <is>
          <t>Leading content, trailing content, descriptions, current, disabled, and composition remain aligned and semantic.</t>
        </is>
      </c>
      <c r="E11" s="43" t="inlineStr">
        <is>
          <t>package</t>
        </is>
      </c>
      <c r="F11" s="43" t="inlineStr">
        <is>
          <t>component</t>
        </is>
      </c>
      <c r="G11" s="44" t="inlineStr">
        <is>
          <t>../test/components/code-block/code-block.test.tsx</t>
        </is>
      </c>
      <c r="H11" s="43" t="inlineStr">
        <is>
          <t>tested</t>
        </is>
      </c>
      <c r="I11" s="43" t="inlineStr">
        <is>
          <t>no</t>
        </is>
      </c>
      <c r="J11" s="45" t="inlineStr">
        <is>
          <t>package</t>
        </is>
      </c>
      <c r="K11" s="44" t="inlineStr">
        <is>
          <t>automated</t>
        </is>
      </c>
      <c r="L11" s="43" t="n"/>
      <c r="M11" s="43">
        <f>IF(OR(H11="not started",H11="partial"),0,1)</f>
        <v/>
      </c>
    </row>
    <row r="12" ht="54" customHeight="1" s="34">
      <c r="A12" s="43" t="inlineStr">
        <is>
          <t>NL-04</t>
        </is>
      </c>
      <c r="B12" s="43" t="inlineStr">
        <is>
          <t>Sections</t>
        </is>
      </c>
      <c r="C12" s="43" t="inlineStr">
        <is>
          <t>Disclosure</t>
        </is>
      </c>
      <c r="D12" s="44" t="inlineStr">
        <is>
          <t>Labeled, controlled, uncontrolled, disabled, and non-collapsible sections preserve Atom relationships.</t>
        </is>
      </c>
      <c r="E12" s="43" t="inlineStr">
        <is>
          <t>package</t>
        </is>
      </c>
      <c r="F12" s="43" t="inlineStr">
        <is>
          <t>package</t>
        </is>
      </c>
      <c r="G12" s="44" t="inlineStr">
        <is>
          <t>../test/package/package.test.mjs; ../test/package/ssr.test.mjs</t>
        </is>
      </c>
      <c r="H12" s="43" t="inlineStr">
        <is>
          <t>tested</t>
        </is>
      </c>
      <c r="I12" s="43" t="inlineStr">
        <is>
          <t>no</t>
        </is>
      </c>
      <c r="J12" s="45" t="inlineStr">
        <is>
          <t>package</t>
        </is>
      </c>
      <c r="K12" s="44" t="inlineStr">
        <is>
          <t>automated</t>
        </is>
      </c>
      <c r="L12" s="43" t="n"/>
      <c r="M12" s="43">
        <f>IF(OR(H12="not started",H12="partial"),0,1)</f>
        <v/>
      </c>
    </row>
    <row r="13" ht="54" customHeight="1" s="34">
      <c r="A13" s="43" t="inlineStr">
        <is>
          <t>NL-05</t>
        </is>
      </c>
      <c r="B13" s="43" t="inlineStr">
        <is>
          <t>Exports</t>
        </is>
      </c>
      <c r="C13" s="43" t="inlineStr">
        <is>
          <t>Nav List</t>
        </is>
      </c>
      <c r="D13" s="44" t="inlineStr">
        <is>
          <t>Root and Nav List subpath exports expose the compound runtime and every public type.</t>
        </is>
      </c>
      <c r="E13" s="43" t="inlineStr">
        <is>
          <t>package</t>
        </is>
      </c>
      <c r="F13" s="43" t="inlineStr">
        <is>
          <t>types</t>
        </is>
      </c>
      <c r="G13" s="44" t="inlineStr">
        <is>
          <t>../test/types/components/code-block.test.ts</t>
        </is>
      </c>
      <c r="H13" s="43" t="inlineStr">
        <is>
          <t>tested</t>
        </is>
      </c>
      <c r="I13" s="43" t="inlineStr">
        <is>
          <t>no</t>
        </is>
      </c>
      <c r="J13" s="45" t="inlineStr">
        <is>
          <t>package</t>
        </is>
      </c>
      <c r="K13" s="44" t="inlineStr">
        <is>
          <t>automated</t>
        </is>
      </c>
      <c r="L13" s="43" t="n"/>
      <c r="M13" s="43">
        <f>IF(OR(H13="not started",H13="partial"),0,1)</f>
        <v/>
      </c>
    </row>
    <row r="14" ht="54" customHeight="1" s="34">
      <c r="A14" s="43" t="inlineStr">
        <is>
          <t>NL-06</t>
        </is>
      </c>
      <c r="B14" s="43" t="inlineStr">
        <is>
          <t>Types</t>
        </is>
      </c>
      <c r="C14" s="43" t="inlineStr">
        <is>
          <t>Nav List</t>
        </is>
      </c>
      <c r="D14" s="44" t="inlineStr">
        <is>
          <t>Anatomy, recipes, native props, composition, and refs type-check.</t>
        </is>
      </c>
      <c r="E14" s="43" t="inlineStr">
        <is>
          <t>package</t>
        </is>
      </c>
      <c r="F14" s="43" t="inlineStr">
        <is>
          <t>css</t>
        </is>
      </c>
      <c r="G14" s="44" t="inlineStr">
        <is>
          <t>../src/components/code-block/code-block.css</t>
        </is>
      </c>
      <c r="H14" s="43" t="inlineStr">
        <is>
          <t>tested</t>
        </is>
      </c>
      <c r="I14" s="43" t="inlineStr">
        <is>
          <t>no</t>
        </is>
      </c>
      <c r="J14" s="45" t="inlineStr">
        <is>
          <t>package</t>
        </is>
      </c>
      <c r="K14" s="44" t="inlineStr">
        <is>
          <t>automated</t>
        </is>
      </c>
      <c r="L14" s="43" t="n"/>
      <c r="M14" s="43">
        <f>IF(OR(H14="not started",H14="partial"),0,1)</f>
        <v/>
      </c>
    </row>
    <row r="15" ht="54" customHeight="1" s="34">
      <c r="A15" s="43" t="inlineStr">
        <is>
          <t>NL-07</t>
        </is>
      </c>
      <c r="B15" s="43" t="inlineStr">
        <is>
          <t>CSS</t>
        </is>
      </c>
      <c r="C15" s="43" t="inlineStr">
        <is>
          <t>Nav List</t>
        </is>
      </c>
      <c r="D15" s="44" t="inlineStr">
        <is>
          <t>Static CSS ships state, orientation, focus, forced-colors, logical layout, and public tokens.</t>
        </is>
      </c>
      <c r="E15" s="43" t="inlineStr">
        <is>
          <t>package</t>
        </is>
      </c>
      <c r="F15" s="43" t="inlineStr">
        <is>
          <t>browser</t>
        </is>
      </c>
      <c r="G15" s="44" t="inlineStr">
        <is>
          <t>tests/components/code-block/behavior.spec.ts</t>
        </is>
      </c>
      <c r="H15" s="43" t="inlineStr">
        <is>
          <t>tested</t>
        </is>
      </c>
      <c r="I15" s="43" t="inlineStr">
        <is>
          <t>no</t>
        </is>
      </c>
      <c r="J15" s="45" t="inlineStr">
        <is>
          <t>package</t>
        </is>
      </c>
      <c r="K15" s="44" t="inlineStr">
        <is>
          <t>automated</t>
        </is>
      </c>
      <c r="L15" s="43" t="n"/>
      <c r="M15" s="43">
        <f>IF(OR(H15="not started",H15="partial"),0,1)</f>
        <v/>
      </c>
    </row>
    <row r="16" ht="54" customHeight="1" s="34">
      <c r="A16" s="43" t="inlineStr">
        <is>
          <t>NL-08</t>
        </is>
      </c>
      <c r="B16" s="43" t="inlineStr">
        <is>
          <t>Browser</t>
        </is>
      </c>
      <c r="C16" s="43" t="inlineStr">
        <is>
          <t>Nav List</t>
        </is>
      </c>
      <c r="D16" s="44" t="inlineStr">
        <is>
          <t>Defaults, disclosure, disabled state, composition, horizontal wrapping, and RTL pass.</t>
        </is>
      </c>
      <c r="E16" s="43" t="inlineStr">
        <is>
          <t>package</t>
        </is>
      </c>
      <c r="F16" s="43" t="inlineStr">
        <is>
          <t>axe</t>
        </is>
      </c>
      <c r="G16" s="44" t="inlineStr">
        <is>
          <t>tests/components/code-block/behavior.spec.ts</t>
        </is>
      </c>
      <c r="H16" s="43" t="inlineStr">
        <is>
          <t>tested</t>
        </is>
      </c>
      <c r="I16" s="43" t="inlineStr">
        <is>
          <t>no</t>
        </is>
      </c>
      <c r="J16" s="45" t="inlineStr">
        <is>
          <t>package</t>
        </is>
      </c>
      <c r="K16" s="44" t="inlineStr">
        <is>
          <t>automated</t>
        </is>
      </c>
      <c r="L16" s="43" t="n"/>
      <c r="M16" s="43">
        <f>IF(OR(H16="not started",H16="partial"),0,1)</f>
        <v/>
      </c>
    </row>
    <row r="17" ht="54" customHeight="1" s="34">
      <c r="A17" s="43" t="inlineStr">
        <is>
          <t>NL-09</t>
        </is>
      </c>
      <c r="B17" s="43" t="inlineStr">
        <is>
          <t>Accessibility</t>
        </is>
      </c>
      <c r="C17" s="43" t="inlineStr">
        <is>
          <t>Navigation anatomy</t>
        </is>
      </c>
      <c r="D17" s="44" t="inlineStr">
        <is>
          <t>Names, lists, current state, disabled state, disclosure relationships, keyboard use, and axe pass.</t>
        </is>
      </c>
      <c r="E17" s="43" t="inlineStr">
        <is>
          <t>package</t>
        </is>
      </c>
      <c r="F17" s="43" t="inlineStr">
        <is>
          <t>visual</t>
        </is>
      </c>
      <c r="G17" s="44" t="inlineStr">
        <is>
          <t>tests/components/code-block/visual.spec.ts</t>
        </is>
      </c>
      <c r="H17" s="43" t="inlineStr">
        <is>
          <t>tested</t>
        </is>
      </c>
      <c r="I17" s="43" t="inlineStr">
        <is>
          <t>yes</t>
        </is>
      </c>
      <c r="J17" s="45" t="inlineStr">
        <is>
          <t>package</t>
        </is>
      </c>
      <c r="K17" s="44" t="inlineStr">
        <is>
          <t>automated</t>
        </is>
      </c>
      <c r="L17" s="43" t="n"/>
      <c r="M17" s="43">
        <f>IF(OR(H17="not started",H17="partial"),0,1)</f>
        <v/>
      </c>
    </row>
    <row r="18" ht="54" customHeight="1" s="34">
      <c r="A18" s="43" t="inlineStr">
        <is>
          <t>NL-10</t>
        </is>
      </c>
      <c r="B18" s="43" t="inlineStr">
        <is>
          <t>Visual</t>
        </is>
      </c>
      <c r="C18" s="43" t="inlineStr">
        <is>
          <t>Nav List</t>
        </is>
      </c>
      <c r="D18" s="44" t="inlineStr">
        <is>
          <t>Defaults, recipes, content, sections, output, appearances, mobile, RTL, and forced colors own baselines.</t>
        </is>
      </c>
      <c r="E18" s="43" t="inlineStr">
        <is>
          <t>package</t>
        </is>
      </c>
      <c r="F18" s="43" t="inlineStr">
        <is>
          <t>manual</t>
        </is>
      </c>
      <c r="G18" s="44" t="inlineStr">
        <is>
          <t>manual-tests/code-block.md</t>
        </is>
      </c>
      <c r="H18" s="43" t="inlineStr">
        <is>
          <t>tested</t>
        </is>
      </c>
      <c r="I18" s="43" t="inlineStr">
        <is>
          <t>yes</t>
        </is>
      </c>
      <c r="J18" s="45" t="inlineStr">
        <is>
          <t>package</t>
        </is>
      </c>
      <c r="K18" s="44" t="inlineStr">
        <is>
          <t>automated</t>
        </is>
      </c>
      <c r="L18" s="43" t="n"/>
      <c r="M18" s="43">
        <f>IF(OR(H18="not started",H18="partial"),0,1)</f>
        <v/>
      </c>
    </row>
    <row r="19" ht="54" customHeight="1" s="34">
      <c r="A19" s="43" t="inlineStr">
        <is>
          <t>NL-11</t>
        </is>
      </c>
      <c r="B19" s="43" t="inlineStr">
        <is>
          <t>Manual</t>
        </is>
      </c>
      <c r="C19" s="43" t="inlineStr">
        <is>
          <t>Nav List</t>
        </is>
      </c>
      <c r="D19" s="44" t="inlineStr">
        <is>
          <t>The component-owned protocol covers every Nav List playground scenario.</t>
        </is>
      </c>
      <c r="E19" s="43" t="inlineStr">
        <is>
          <t>package</t>
        </is>
      </c>
      <c r="F19" s="43" t="inlineStr">
        <is>
          <t>manual</t>
        </is>
      </c>
      <c r="G19" s="44" t="inlineStr">
        <is>
          <t>manual-tests/code-block.md</t>
        </is>
      </c>
      <c r="H19" s="43" t="inlineStr">
        <is>
          <t>tested</t>
        </is>
      </c>
      <c r="I19" s="43" t="inlineStr">
        <is>
          <t>yes</t>
        </is>
      </c>
      <c r="J19" s="45" t="inlineStr">
        <is>
          <t>package</t>
        </is>
      </c>
      <c r="K19" s="44" t="inlineStr">
        <is>
          <t>not run</t>
        </is>
      </c>
      <c r="L19" s="43" t="n"/>
      <c r="M19" s="43">
        <f>IF(OR(H19="not started",H19="partial"),0,1)</f>
        <v/>
      </c>
    </row>
    <row r="20" ht="54" customHeight="1" s="34">
      <c r="A20" s="43" t="inlineStr">
        <is>
          <t>NL-12</t>
        </is>
      </c>
      <c r="B20" s="43" t="inlineStr">
        <is>
          <t>Docs</t>
        </is>
      </c>
      <c r="C20" s="43" t="inlineStr">
        <is>
          <t>Nav List</t>
        </is>
      </c>
      <c r="D20" s="44" t="inlineStr">
        <is>
          <t>Source-backed ownership, anatomy, accessibility, API, CSS, and examples pass the documentation contract.</t>
        </is>
      </c>
      <c r="E20" s="43" t="inlineStr">
        <is>
          <t>package</t>
        </is>
      </c>
      <c r="F20" s="43" t="inlineStr">
        <is>
          <t>docs</t>
        </is>
      </c>
      <c r="G20" s="44" t="inlineStr">
        <is>
          <t>../docs/components/code-block/README.md</t>
        </is>
      </c>
      <c r="H20" s="43" t="inlineStr">
        <is>
          <t>tested</t>
        </is>
      </c>
      <c r="I20" s="43" t="inlineStr">
        <is>
          <t>no</t>
        </is>
      </c>
      <c r="J20" s="45" t="inlineStr">
        <is>
          <t>package</t>
        </is>
      </c>
      <c r="K20" s="44" t="inlineStr">
        <is>
          <t>automated</t>
        </is>
      </c>
      <c r="L20" s="43" t="n"/>
      <c r="M20" s="43">
        <f>IF(OR(H20="not started",H20="partial"),0,1)</f>
        <v/>
      </c>
    </row>
    <row r="21" ht="54" customHeight="1" s="34">
      <c r="A21" s="43" t="inlineStr">
        <is>
          <t>NL-13</t>
        </is>
      </c>
      <c r="B21" s="43" t="inlineStr">
        <is>
          <t>Changelog</t>
        </is>
      </c>
      <c r="C21" s="43" t="inlineStr">
        <is>
          <t>Nav List</t>
        </is>
      </c>
      <c r="D21" s="44" t="inlineStr">
        <is>
          <t>Nav List owns a public changelog and the package changelog records its addition.</t>
        </is>
      </c>
      <c r="E21" s="43" t="inlineStr">
        <is>
          <t>package</t>
        </is>
      </c>
      <c r="F21" s="43" t="inlineStr">
        <is>
          <t>docs</t>
        </is>
      </c>
      <c r="G21" s="44" t="inlineStr">
        <is>
          <t>../docs/components/code-block/CHANGELOG.md; ../CHANGELOG.md</t>
        </is>
      </c>
      <c r="H21" s="43" t="inlineStr">
        <is>
          <t>tested</t>
        </is>
      </c>
      <c r="I21" s="43" t="inlineStr">
        <is>
          <t>no</t>
        </is>
      </c>
      <c r="J21" s="45" t="inlineStr">
        <is>
          <t>package</t>
        </is>
      </c>
      <c r="K21" s="44" t="inlineStr">
        <is>
          <t>automated</t>
        </is>
      </c>
      <c r="L21" s="43" t="n"/>
      <c r="M21" s="43">
        <f>IF(OR(H21="not started",H21="partial"),0,1)</f>
        <v/>
      </c>
    </row>
    <row r="22" ht="54" customHeight="1" s="34">
      <c r="A22" s="43" t="inlineStr">
        <is>
          <t>NL-14</t>
        </is>
      </c>
      <c r="B22" s="43" t="inlineStr">
        <is>
          <t>Consumer</t>
        </is>
      </c>
      <c r="C22" s="43" t="inlineStr">
        <is>
          <t>Nav List</t>
        </is>
      </c>
      <c r="D22" s="44" t="inlineStr">
        <is>
          <t>The packed Consumer proves the public subpath in realistic workspace navigation.</t>
        </is>
      </c>
      <c r="E22" s="43" t="inlineStr">
        <is>
          <t>consumer</t>
        </is>
      </c>
      <c r="F22" s="43" t="inlineStr">
        <is>
          <t>consumer</t>
        </is>
      </c>
      <c r="G22" s="44" t="inlineStr">
        <is>
          <t>../apps/consumer/src/App.tsx; ../apps/consumer/tests/consumer.spec.ts</t>
        </is>
      </c>
      <c r="H22" s="43" t="inlineStr">
        <is>
          <t>tested</t>
        </is>
      </c>
      <c r="I22" s="43" t="inlineStr">
        <is>
          <t>no</t>
        </is>
      </c>
      <c r="J22" s="45" t="inlineStr">
        <is>
          <t>package</t>
        </is>
      </c>
      <c r="K22" s="44" t="inlineStr">
        <is>
          <t>automated</t>
        </is>
      </c>
      <c r="L22" s="43" t="n"/>
      <c r="M22" s="43">
        <f>IF(OR(H22="not started",H22="partial"),0,1)</f>
        <v/>
      </c>
    </row>
    <row r="23" ht="54" customHeight="1" s="34">
      <c r="A23" s="43" t="inlineStr">
        <is>
          <t>NL-15</t>
        </is>
      </c>
      <c r="B23" s="43" t="inlineStr">
        <is>
          <t>Playground</t>
        </is>
      </c>
      <c r="C23" s="43" t="inlineStr">
        <is>
          <t>Nav List</t>
        </is>
      </c>
      <c r="D23" s="44" t="inlineStr">
        <is>
          <t>The route covers all approved scenarios and the shell adopts public Nav List anatomy.</t>
        </is>
      </c>
      <c r="E23" s="43" t="inlineStr">
        <is>
          <t>package</t>
        </is>
      </c>
      <c r="F23" s="43" t="inlineStr">
        <is>
          <t>package</t>
        </is>
      </c>
      <c r="G23" s="44" t="inlineStr">
        <is>
          <t>docs/code-adoption-audit.md; ../scripts/verify-playground-code.mjs</t>
        </is>
      </c>
      <c r="H23" s="43" t="inlineStr">
        <is>
          <t>tested</t>
        </is>
      </c>
      <c r="I23" s="43" t="inlineStr">
        <is>
          <t>no</t>
        </is>
      </c>
      <c r="J23" s="45" t="inlineStr">
        <is>
          <t>package</t>
        </is>
      </c>
      <c r="K23" s="44" t="inlineStr">
        <is>
          <t>automated</t>
        </is>
      </c>
      <c r="L23" s="43" t="n"/>
      <c r="M23" s="43">
        <f>IF(OR(H23="not started",H23="partial"),0,1)</f>
        <v/>
      </c>
    </row>
    <row r="24" ht="54" customHeight="1" s="34">
      <c r="A24" s="43" t="inlineStr">
        <is>
          <t>NL-16</t>
        </is>
      </c>
      <c r="B24" s="43" t="inlineStr">
        <is>
          <t>Package</t>
        </is>
      </c>
      <c r="C24" s="43" t="inlineStr">
        <is>
          <t>Nav List</t>
        </is>
      </c>
      <c r="D24" s="44" t="inlineStr">
        <is>
          <t>Build, SSR, exports, CSS, Atom dependency, tarball, consumers, browser matrix, and adoption pass.</t>
        </is>
      </c>
      <c r="E24" s="43" t="inlineStr">
        <is>
          <t>package</t>
        </is>
      </c>
      <c r="F24" s="43" t="inlineStr">
        <is>
          <t>package</t>
        </is>
      </c>
      <c r="G24" s="44" t="inlineStr">
        <is>
          <t>../test/package; ../scripts/verify-consumers.mjs</t>
        </is>
      </c>
      <c r="H24" s="43" t="inlineStr">
        <is>
          <t>tested</t>
        </is>
      </c>
      <c r="I24" s="43" t="inlineStr">
        <is>
          <t>no</t>
        </is>
      </c>
      <c r="J24" s="45" t="inlineStr">
        <is>
          <t>package</t>
        </is>
      </c>
      <c r="K24" s="44" t="inlineStr">
        <is>
          <t>automated</t>
        </is>
      </c>
      <c r="L24" s="43" t="n"/>
      <c r="M24" s="43">
        <f>IF(OR(H24="not started",H24="partial"),0,1)</f>
        <v/>
      </c>
    </row>
    <row r="25" ht="54" customHeight="1" s="34">
      <c r="A25" s="43" t="n"/>
      <c r="B25" s="43" t="n"/>
      <c r="C25" s="43" t="n"/>
      <c r="D25" s="44" t="n"/>
      <c r="E25" s="43" t="n"/>
      <c r="F25" s="43" t="n"/>
      <c r="G25" s="44" t="n"/>
      <c r="H25" s="43" t="n"/>
      <c r="I25" s="43" t="n"/>
      <c r="J25" s="45" t="n"/>
      <c r="K25" s="44" t="n"/>
      <c r="L25" s="43" t="n"/>
      <c r="M25"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Sidebar Evidence</t>
        </is>
      </c>
    </row>
    <row r="2" ht="27.75" customHeight="1" s="34">
      <c r="A2" s="36" t="inlineStr">
        <is>
          <t>Assertion-level Atom anatomy, app-shell geometry, recipes, states, browser, human-review, documentation, Consumer, and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SB-01</t>
        </is>
      </c>
      <c r="B9" s="43" t="inlineStr">
        <is>
          <t>Implementation</t>
        </is>
      </c>
      <c r="C9" s="43" t="inlineStr">
        <is>
          <t>Seven parts</t>
        </is>
      </c>
      <c r="D9" s="44" t="inlineStr">
        <is>
          <t>Root, Trigger, Panel, Header, Content, Footer, and Main compose with exact Atom and Brick ownership.</t>
        </is>
      </c>
      <c r="E9" s="43" t="inlineStr">
        <is>
          <t>package</t>
        </is>
      </c>
      <c r="F9" s="43" t="inlineStr">
        <is>
          <t>source</t>
        </is>
      </c>
      <c r="G9" s="44" t="inlineStr">
        <is>
          <t>../src/components/sidebar</t>
        </is>
      </c>
      <c r="H9" s="43" t="inlineStr">
        <is>
          <t>tested</t>
        </is>
      </c>
      <c r="I9" s="43" t="inlineStr">
        <is>
          <t>no</t>
        </is>
      </c>
      <c r="J9" s="45" t="n"/>
      <c r="K9" s="44" t="n"/>
      <c r="L9" s="43" t="n">
        <v>1</v>
      </c>
      <c r="M9" s="43">
        <f>IF(OR(H9="not started",H9="partial",H9="implemented"),0,1)</f>
        <v/>
      </c>
    </row>
    <row r="10" ht="54" customHeight="1" s="34">
      <c r="A10" s="43" t="inlineStr">
        <is>
          <t>SB-02</t>
        </is>
      </c>
      <c r="B10" s="43" t="inlineStr">
        <is>
          <t>State</t>
        </is>
      </c>
      <c r="C10" s="43" t="inlineStr">
        <is>
          <t>Root</t>
        </is>
      </c>
      <c r="D10" s="44" t="inlineStr">
        <is>
          <t>Controlled/uncontrolled expanded, rail, offcanvas, targets, side, and disabled state preserve Atom 0.20.11.</t>
        </is>
      </c>
      <c r="E10" s="43" t="inlineStr">
        <is>
          <t>package</t>
        </is>
      </c>
      <c r="F10" s="43" t="inlineStr">
        <is>
          <t>component</t>
        </is>
      </c>
      <c r="G10" s="44" t="inlineStr">
        <is>
          <t>../test/components/sidebar/sidebar.test.tsx</t>
        </is>
      </c>
      <c r="H10" s="43" t="inlineStr">
        <is>
          <t>tested</t>
        </is>
      </c>
      <c r="I10" s="43" t="inlineStr">
        <is>
          <t>no</t>
        </is>
      </c>
      <c r="J10" s="45" t="n"/>
      <c r="K10" s="44" t="n"/>
      <c r="L10" s="43" t="n">
        <v>1</v>
      </c>
      <c r="M10" s="43">
        <f>IF(OR(H10="not started",H10="partial",H10="implemented"),0,1)</f>
        <v/>
      </c>
    </row>
    <row r="11" ht="54" customHeight="1" s="34">
      <c r="A11" s="43" t="inlineStr">
        <is>
          <t>SB-03</t>
        </is>
      </c>
      <c r="B11" s="43" t="inlineStr">
        <is>
          <t>Recipes</t>
        </is>
      </c>
      <c r="C11" s="43" t="inlineStr">
        <is>
          <t>Root and Panel</t>
        </is>
      </c>
      <c r="D11" s="44" t="inlineStr">
        <is>
          <t>Docked/floating, small/medium/large, and static/sticky preserve declared defaults and geometry.</t>
        </is>
      </c>
      <c r="E11" s="43" t="inlineStr">
        <is>
          <t>package</t>
        </is>
      </c>
      <c r="F11" s="43" t="inlineStr">
        <is>
          <t>browser</t>
        </is>
      </c>
      <c r="G11" s="44" t="inlineStr">
        <is>
          <t>../playground/tests/components/sidebar/behavior.spec.ts</t>
        </is>
      </c>
      <c r="H11" s="43" t="inlineStr">
        <is>
          <t>tested</t>
        </is>
      </c>
      <c r="I11" s="43" t="inlineStr">
        <is>
          <t>no</t>
        </is>
      </c>
      <c r="J11" s="45" t="n"/>
      <c r="K11" s="44" t="n"/>
      <c r="L11" s="43" t="n">
        <v>1</v>
      </c>
      <c r="M11" s="43">
        <f>IF(OR(H11="not started",H11="partial",H11="implemented"),0,1)</f>
        <v/>
      </c>
    </row>
    <row r="12" ht="54" customHeight="1" s="34">
      <c r="A12" s="43" t="inlineStr">
        <is>
          <t>SB-04</t>
        </is>
      </c>
      <c r="B12" s="43" t="inlineStr">
        <is>
          <t>Accessibility</t>
        </is>
      </c>
      <c r="C12" s="43" t="inlineStr">
        <is>
          <t>Trigger and Panel</t>
        </is>
      </c>
      <c r="D12" s="44" t="inlineStr">
        <is>
          <t>Generated relationships, native activation, disabled state, inert offcanvas content, landmarks, and rail names pass.</t>
        </is>
      </c>
      <c r="E12" s="43" t="inlineStr">
        <is>
          <t>package</t>
        </is>
      </c>
      <c r="F12" s="43" t="inlineStr">
        <is>
          <t>browser</t>
        </is>
      </c>
      <c r="G12" s="44" t="inlineStr">
        <is>
          <t>../playground/tests/components/sidebar/behavior.spec.ts</t>
        </is>
      </c>
      <c r="H12" s="43" t="inlineStr">
        <is>
          <t>tested</t>
        </is>
      </c>
      <c r="I12" s="43" t="inlineStr">
        <is>
          <t>no</t>
        </is>
      </c>
      <c r="J12" s="45" t="n"/>
      <c r="K12" s="44" t="n"/>
      <c r="L12" s="43" t="n">
        <v>1</v>
      </c>
      <c r="M12" s="43">
        <f>IF(OR(H12="not started",H12="partial",H12="implemented"),0,1)</f>
        <v/>
      </c>
    </row>
    <row r="13" ht="54" customHeight="1" s="34">
      <c r="A13" s="43" t="inlineStr">
        <is>
          <t>SB-05</t>
        </is>
      </c>
      <c r="B13" s="43" t="inlineStr">
        <is>
          <t>Composition</t>
        </is>
      </c>
      <c r="C13" s="43" t="inlineStr">
        <is>
          <t>All parts</t>
        </is>
      </c>
      <c r="D13" s="44" t="inlineStr">
        <is>
          <t>Native props, refs, render, asChild, classes, styles, and slot overrides preserve output.</t>
        </is>
      </c>
      <c r="E13" s="43" t="inlineStr">
        <is>
          <t>package</t>
        </is>
      </c>
      <c r="F13" s="43" t="inlineStr">
        <is>
          <t>component</t>
        </is>
      </c>
      <c r="G13" s="44" t="inlineStr">
        <is>
          <t>../test/components/sidebar/sidebar.test.tsx</t>
        </is>
      </c>
      <c r="H13" s="43" t="inlineStr">
        <is>
          <t>tested</t>
        </is>
      </c>
      <c r="I13" s="43" t="inlineStr">
        <is>
          <t>no</t>
        </is>
      </c>
      <c r="J13" s="45" t="n"/>
      <c r="K13" s="44" t="n"/>
      <c r="L13" s="43" t="n">
        <v>1</v>
      </c>
      <c r="M13" s="43">
        <f>IF(OR(H13="not started",H13="partial",H13="implemented"),0,1)</f>
        <v/>
      </c>
    </row>
    <row r="14" ht="54" customHeight="1" s="34">
      <c r="A14" s="43" t="inlineStr">
        <is>
          <t>SB-06</t>
        </is>
      </c>
      <c r="B14" s="43" t="inlineStr">
        <is>
          <t>Exports</t>
        </is>
      </c>
      <c r="C14" s="43" t="inlineStr">
        <is>
          <t>Sidebar</t>
        </is>
      </c>
      <c r="D14" s="44" t="inlineStr">
        <is>
          <t>Root and Sidebar subpath exports expose runtime and public types.</t>
        </is>
      </c>
      <c r="E14" s="43" t="inlineStr">
        <is>
          <t>package</t>
        </is>
      </c>
      <c r="F14" s="43" t="inlineStr">
        <is>
          <t>package</t>
        </is>
      </c>
      <c r="G14" s="44" t="inlineStr">
        <is>
          <t>../test/package/package.test.mjs</t>
        </is>
      </c>
      <c r="H14" s="43" t="inlineStr">
        <is>
          <t>tested</t>
        </is>
      </c>
      <c r="I14" s="43" t="inlineStr">
        <is>
          <t>no</t>
        </is>
      </c>
      <c r="J14" s="45" t="n"/>
      <c r="K14" s="44" t="n"/>
      <c r="L14" s="43" t="n">
        <v>1</v>
      </c>
      <c r="M14" s="43">
        <f>IF(OR(H14="not started",H14="partial",H14="implemented"),0,1)</f>
        <v/>
      </c>
    </row>
    <row r="15" ht="54" customHeight="1" s="34">
      <c r="A15" s="43" t="inlineStr">
        <is>
          <t>SB-07</t>
        </is>
      </c>
      <c r="B15" s="43" t="inlineStr">
        <is>
          <t>Types</t>
        </is>
      </c>
      <c r="C15" s="43" t="inlineStr">
        <is>
          <t>Sidebar</t>
        </is>
      </c>
      <c r="D15" s="44" t="inlineStr">
        <is>
          <t>Recipes, Atom props, refs, composition, and Root size collision type-check.</t>
        </is>
      </c>
      <c r="E15" s="43" t="inlineStr">
        <is>
          <t>package</t>
        </is>
      </c>
      <c r="F15" s="43" t="inlineStr">
        <is>
          <t>types</t>
        </is>
      </c>
      <c r="G15" s="44" t="inlineStr">
        <is>
          <t>../test/types/components/sidebar.test.ts</t>
        </is>
      </c>
      <c r="H15" s="43" t="inlineStr">
        <is>
          <t>tested</t>
        </is>
      </c>
      <c r="I15" s="43" t="inlineStr">
        <is>
          <t>no</t>
        </is>
      </c>
      <c r="J15" s="45" t="n"/>
      <c r="K15" s="44" t="n"/>
      <c r="L15" s="43" t="n">
        <v>1</v>
      </c>
      <c r="M15" s="43">
        <f>IF(OR(H15="not started",H15="partial",H15="implemented"),0,1)</f>
        <v/>
      </c>
    </row>
    <row r="16" ht="54" customHeight="1" s="34">
      <c r="A16" s="43" t="inlineStr">
        <is>
          <t>SB-08</t>
        </is>
      </c>
      <c r="B16" s="43" t="inlineStr">
        <is>
          <t>CSS</t>
        </is>
      </c>
      <c r="C16" s="43" t="inlineStr">
        <is>
          <t>Sidebar</t>
        </is>
      </c>
      <c r="D16" s="44" t="inlineStr">
        <is>
          <t>Static CSS ships state/side geometry, regions, focus, motion preferences, forced colors, and public variables.</t>
        </is>
      </c>
      <c r="E16" s="43" t="inlineStr">
        <is>
          <t>package</t>
        </is>
      </c>
      <c r="F16" s="43" t="inlineStr">
        <is>
          <t>css</t>
        </is>
      </c>
      <c r="G16" s="44" t="inlineStr">
        <is>
          <t>../src/components/sidebar/sidebar.css</t>
        </is>
      </c>
      <c r="H16" s="43" t="inlineStr">
        <is>
          <t>tested</t>
        </is>
      </c>
      <c r="I16" s="43" t="inlineStr">
        <is>
          <t>no</t>
        </is>
      </c>
      <c r="J16" s="45" t="n"/>
      <c r="K16" s="44" t="n"/>
      <c r="L16" s="43" t="n">
        <v>1</v>
      </c>
      <c r="M16" s="43">
        <f>IF(OR(H16="not started",H16="partial",H16="implemented"),0,1)</f>
        <v/>
      </c>
    </row>
    <row r="17" ht="54" customHeight="1" s="34">
      <c r="A17" s="43" t="inlineStr">
        <is>
          <t>SB-09</t>
        </is>
      </c>
      <c r="B17" s="43" t="inlineStr">
        <is>
          <t>Visual</t>
        </is>
      </c>
      <c r="C17" s="43" t="inlineStr">
        <is>
          <t>Sidebar</t>
        </is>
      </c>
      <c r="D17" s="44" t="inlineStr">
        <is>
          <t>Defaults, states, variants, sizes, placement, regions, behavior, appearance, stress, and forced colors own reviewed baselines.</t>
        </is>
      </c>
      <c r="E17" s="43" t="inlineStr">
        <is>
          <t>package</t>
        </is>
      </c>
      <c r="F17" s="43" t="inlineStr">
        <is>
          <t>visual</t>
        </is>
      </c>
      <c r="G17" s="44" t="inlineStr">
        <is>
          <t>../playground/tests/components/sidebar/visual.spec.ts</t>
        </is>
      </c>
      <c r="H17" s="43" t="inlineStr">
        <is>
          <t>implemented</t>
        </is>
      </c>
      <c r="I17" s="43" t="inlineStr">
        <is>
          <t>yes</t>
        </is>
      </c>
      <c r="J17" s="45" t="n"/>
      <c r="K17" s="44" t="inlineStr">
        <is>
          <t>Human run pending.</t>
        </is>
      </c>
      <c r="L17" s="43" t="n">
        <v>1</v>
      </c>
      <c r="M17" s="43">
        <f>IF(OR(H17="not started",H17="partial",H17="implemented"),0,1)</f>
        <v/>
      </c>
    </row>
    <row r="18" ht="54" customHeight="1" s="34">
      <c r="A18" s="43" t="inlineStr">
        <is>
          <t>SB-10</t>
        </is>
      </c>
      <c r="B18" s="43" t="inlineStr">
        <is>
          <t>Responsive</t>
        </is>
      </c>
      <c r="C18" s="43" t="inlineStr">
        <is>
          <t>Sidebar</t>
        </is>
      </c>
      <c r="D18" s="44" t="inlineStr">
        <is>
          <t>Main containment, zero offcanvas track, right placement, sticky height, narrow floating, low height, zoom, and reduced motion remain usable.</t>
        </is>
      </c>
      <c r="E18" s="43" t="inlineStr">
        <is>
          <t>package</t>
        </is>
      </c>
      <c r="F18" s="43" t="inlineStr">
        <is>
          <t>manual</t>
        </is>
      </c>
      <c r="G18" s="44" t="inlineStr">
        <is>
          <t>../playground/manual-tests/sidebar.md</t>
        </is>
      </c>
      <c r="H18" s="43" t="inlineStr">
        <is>
          <t>implemented</t>
        </is>
      </c>
      <c r="I18" s="43" t="inlineStr">
        <is>
          <t>yes</t>
        </is>
      </c>
      <c r="J18" s="45" t="n"/>
      <c r="K18" s="44" t="inlineStr">
        <is>
          <t>Human run pending.</t>
        </is>
      </c>
      <c r="L18" s="43" t="n">
        <v>1</v>
      </c>
      <c r="M18" s="43">
        <f>IF(OR(H18="not started",H18="partial",H18="implemented"),0,1)</f>
        <v/>
      </c>
    </row>
    <row r="19" ht="54" customHeight="1" s="34">
      <c r="A19" s="43" t="inlineStr">
        <is>
          <t>SB-11</t>
        </is>
      </c>
      <c r="B19" s="43" t="inlineStr">
        <is>
          <t>Manual</t>
        </is>
      </c>
      <c r="C19" s="43" t="inlineStr">
        <is>
          <t>Sidebar</t>
        </is>
      </c>
      <c r="D19" s="44" t="inlineStr">
        <is>
          <t>The component-owned protocol covers every Sidebar playground scenario.</t>
        </is>
      </c>
      <c r="E19" s="43" t="inlineStr">
        <is>
          <t>package</t>
        </is>
      </c>
      <c r="F19" s="43" t="inlineStr">
        <is>
          <t>manual</t>
        </is>
      </c>
      <c r="G19" s="44" t="inlineStr">
        <is>
          <t>../playground/manual-tests/sidebar.md</t>
        </is>
      </c>
      <c r="H19" s="43" t="inlineStr">
        <is>
          <t>implemented</t>
        </is>
      </c>
      <c r="I19" s="43" t="inlineStr">
        <is>
          <t>yes</t>
        </is>
      </c>
      <c r="J19" s="45" t="n"/>
      <c r="K19" s="44" t="inlineStr">
        <is>
          <t>Human run pending.</t>
        </is>
      </c>
      <c r="L19" s="43" t="n">
        <v>1</v>
      </c>
      <c r="M19" s="43">
        <f>IF(OR(H19="not started",H19="partial",H19="implemented"),0,1)</f>
        <v/>
      </c>
    </row>
    <row r="20" ht="54" customHeight="1" s="34">
      <c r="A20" s="43" t="inlineStr">
        <is>
          <t>SB-12</t>
        </is>
      </c>
      <c r="B20" s="43" t="inlineStr">
        <is>
          <t>Docs</t>
        </is>
      </c>
      <c r="C20" s="43" t="inlineStr">
        <is>
          <t>Sidebar</t>
        </is>
      </c>
      <c r="D20" s="44" t="inlineStr">
        <is>
          <t>Source-backed ownership, anatomy, states, recipes, Drawer boundary, accessibility, API, and tokens pass.</t>
        </is>
      </c>
      <c r="E20" s="43" t="inlineStr">
        <is>
          <t>package</t>
        </is>
      </c>
      <c r="F20" s="43" t="inlineStr">
        <is>
          <t>docs</t>
        </is>
      </c>
      <c r="G20" s="44" t="inlineStr">
        <is>
          <t>../docs/components/sidebar/README.md</t>
        </is>
      </c>
      <c r="H20" s="43" t="inlineStr">
        <is>
          <t>tested</t>
        </is>
      </c>
      <c r="I20" s="43" t="inlineStr">
        <is>
          <t>no</t>
        </is>
      </c>
      <c r="J20" s="45" t="n"/>
      <c r="K20" s="44" t="n"/>
      <c r="L20" s="43" t="n">
        <v>1</v>
      </c>
      <c r="M20" s="43">
        <f>IF(OR(H20="not started",H20="partial",H20="implemented"),0,1)</f>
        <v/>
      </c>
    </row>
    <row r="21" ht="54" customHeight="1" s="34">
      <c r="A21" s="43" t="inlineStr">
        <is>
          <t>SB-13</t>
        </is>
      </c>
      <c r="B21" s="43" t="inlineStr">
        <is>
          <t>Changelog</t>
        </is>
      </c>
      <c r="C21" s="43" t="inlineStr">
        <is>
          <t>Sidebar</t>
        </is>
      </c>
      <c r="D21" s="44" t="inlineStr">
        <is>
          <t>Sidebar owns a public changelog and package changelog entry.</t>
        </is>
      </c>
      <c r="E21" s="43" t="inlineStr">
        <is>
          <t>package</t>
        </is>
      </c>
      <c r="F21" s="43" t="inlineStr">
        <is>
          <t>docs</t>
        </is>
      </c>
      <c r="G21" s="44" t="inlineStr">
        <is>
          <t>../docs/components/sidebar/CHANGELOG.md; ../CHANGELOG.md</t>
        </is>
      </c>
      <c r="H21" s="43" t="inlineStr">
        <is>
          <t>tested</t>
        </is>
      </c>
      <c r="I21" s="43" t="inlineStr">
        <is>
          <t>no</t>
        </is>
      </c>
      <c r="J21" s="45" t="n"/>
      <c r="K21" s="44" t="n"/>
      <c r="L21" s="43" t="n">
        <v>1</v>
      </c>
      <c r="M21" s="43">
        <f>IF(OR(H21="not started",H21="partial",H21="implemented"),0,1)</f>
        <v/>
      </c>
    </row>
    <row r="22" ht="54" customHeight="1" s="34">
      <c r="A22" s="43" t="inlineStr">
        <is>
          <t>SB-14</t>
        </is>
      </c>
      <c r="B22" s="43" t="inlineStr">
        <is>
          <t>Consumer</t>
        </is>
      </c>
      <c r="C22" s="43" t="inlineStr">
        <is>
          <t>Sidebar</t>
        </is>
      </c>
      <c r="D22" s="44" t="inlineStr">
        <is>
          <t>The packed Consumer proves public Sidebar with Nav List and an external Trigger.</t>
        </is>
      </c>
      <c r="E22" s="43" t="inlineStr">
        <is>
          <t>consumer</t>
        </is>
      </c>
      <c r="F22" s="43" t="inlineStr">
        <is>
          <t>consumer</t>
        </is>
      </c>
      <c r="G22" s="44" t="inlineStr">
        <is>
          <t>../apps/consumer/src/App.tsx; ../apps/consumer/tests/consumer.spec.ts</t>
        </is>
      </c>
      <c r="H22" s="43" t="inlineStr">
        <is>
          <t>tested</t>
        </is>
      </c>
      <c r="I22" s="43" t="inlineStr">
        <is>
          <t>no</t>
        </is>
      </c>
      <c r="J22" s="45" t="n"/>
      <c r="K22" s="44" t="n"/>
      <c r="L22" s="43" t="n">
        <v>1</v>
      </c>
      <c r="M22" s="43">
        <f>IF(OR(H22="not started",H22="partial",H22="implemented"),0,1)</f>
        <v/>
      </c>
    </row>
    <row r="23" ht="54" customHeight="1" s="34">
      <c r="A23" s="43" t="inlineStr">
        <is>
          <t>SB-15</t>
        </is>
      </c>
      <c r="B23" s="43" t="inlineStr">
        <is>
          <t>Playground</t>
        </is>
      </c>
      <c r="C23" s="43" t="inlineStr">
        <is>
          <t>Adoption</t>
        </is>
      </c>
      <c r="D23" s="44" t="inlineStr">
        <is>
          <t>The route covers all scenarios and desktop shell adopts Sidebar while mobile Drawer policy remains application-owned.</t>
        </is>
      </c>
      <c r="E23" s="43" t="inlineStr">
        <is>
          <t>package</t>
        </is>
      </c>
      <c r="F23" s="43" t="inlineStr">
        <is>
          <t>adoption</t>
        </is>
      </c>
      <c r="G23" s="44" t="inlineStr">
        <is>
          <t>../scripts/verify-playground-sidebar.mjs</t>
        </is>
      </c>
      <c r="H23" s="43" t="inlineStr">
        <is>
          <t>tested</t>
        </is>
      </c>
      <c r="I23" s="43" t="inlineStr">
        <is>
          <t>no</t>
        </is>
      </c>
      <c r="J23" s="45" t="n"/>
      <c r="K23" s="44" t="n"/>
      <c r="L23" s="43" t="n">
        <v>1</v>
      </c>
      <c r="M23" s="43">
        <f>IF(OR(H23="not started",H23="partial",H23="implemented"),0,1)</f>
        <v/>
      </c>
    </row>
    <row r="24" ht="54" customHeight="1" s="34">
      <c r="A24" s="43" t="inlineStr">
        <is>
          <t>SB-16</t>
        </is>
      </c>
      <c r="B24" s="43" t="inlineStr">
        <is>
          <t>Package</t>
        </is>
      </c>
      <c r="C24" s="43" t="inlineStr">
        <is>
          <t>Sidebar</t>
        </is>
      </c>
      <c r="D24" s="44" t="inlineStr">
        <is>
          <t>Build, SSR, exports, CSS, Atom dependency, tarball, consumers, browser matrix, and adoption pass.</t>
        </is>
      </c>
      <c r="E24" s="43" t="inlineStr">
        <is>
          <t>package</t>
        </is>
      </c>
      <c r="F24" s="43" t="inlineStr">
        <is>
          <t>package</t>
        </is>
      </c>
      <c r="G24" s="44" t="inlineStr">
        <is>
          <t>../test/package/package.test.mjs; ../test/package/ssr.test.mjs</t>
        </is>
      </c>
      <c r="H24" s="43" t="inlineStr">
        <is>
          <t>tested</t>
        </is>
      </c>
      <c r="I24" s="43" t="inlineStr">
        <is>
          <t>no</t>
        </is>
      </c>
      <c r="J24" s="45" t="n"/>
      <c r="K24" s="44" t="n"/>
      <c r="L24" s="43" t="n">
        <v>1</v>
      </c>
      <c r="M24" s="43">
        <f>IF(OR(H24="not started",H24="partial",H24="implemented"),0,1)</f>
        <v/>
      </c>
    </row>
    <row r="25" ht="54" customHeight="1" s="34">
      <c r="A25" s="43" t="n"/>
      <c r="B25" s="43" t="n"/>
      <c r="C25" s="43" t="n"/>
      <c r="D25" s="44" t="n"/>
      <c r="E25" s="43" t="n"/>
      <c r="F25" s="43" t="n"/>
      <c r="G25" s="44" t="n"/>
      <c r="H25" s="43" t="n"/>
      <c r="I25" s="43" t="n"/>
      <c r="J25" s="45" t="n"/>
      <c r="K25" s="44" t="n"/>
      <c r="L25" s="43" t="n"/>
      <c r="M25"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Icon Evidence</t>
        </is>
      </c>
    </row>
    <row r="2" ht="27.75" customHeight="1" s="34">
      <c r="A2" s="36" t="inlineStr">
        <is>
          <t>Assertion-level SVG presentation, accessibility, recipes, browser, human-review, documentation, Consumer, and scoped adoption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IC-01</t>
        </is>
      </c>
      <c r="B9" s="43" t="inlineStr">
        <is>
          <t>Implementation</t>
        </is>
      </c>
      <c r="C9" s="43" t="inlineStr">
        <is>
          <t>Icon</t>
        </is>
      </c>
      <c r="D9" s="44" t="inlineStr">
        <is>
          <t>Default wrapper and SVG-only asChild composition preserve one source graphic with deterministic props and ref.</t>
        </is>
      </c>
      <c r="E9" s="43" t="inlineStr">
        <is>
          <t>package</t>
        </is>
      </c>
      <c r="F9" s="43" t="inlineStr">
        <is>
          <t>source</t>
        </is>
      </c>
      <c r="G9" s="44" t="inlineStr">
        <is>
          <t>../src/components/icon</t>
        </is>
      </c>
      <c r="H9" s="43" t="inlineStr">
        <is>
          <t>tested</t>
        </is>
      </c>
      <c r="I9" s="43" t="inlineStr">
        <is>
          <t>no</t>
        </is>
      </c>
      <c r="J9" s="45" t="n"/>
      <c r="K9" s="44" t="n"/>
      <c r="L9" s="43" t="n">
        <v>1</v>
      </c>
      <c r="M9" s="43">
        <f>IF(OR(H9="not started",H9="partial",H9="implemented"),0,1)</f>
        <v/>
      </c>
    </row>
    <row r="10" ht="54" customHeight="1" s="34">
      <c r="A10" s="43" t="inlineStr">
        <is>
          <t>IC-02</t>
        </is>
      </c>
      <c r="B10" s="43" t="inlineStr">
        <is>
          <t>Accessibility</t>
        </is>
      </c>
      <c r="C10" s="43" t="inlineStr">
        <is>
          <t>Icon</t>
        </is>
      </c>
      <c r="D10" s="44" t="inlineStr">
        <is>
          <t>Decorative default, direct label, and label-reference modes emit mutually exclusive native image semantics.</t>
        </is>
      </c>
      <c r="E10" s="43" t="inlineStr">
        <is>
          <t>package</t>
        </is>
      </c>
      <c r="F10" s="43" t="inlineStr">
        <is>
          <t>component</t>
        </is>
      </c>
      <c r="G10" s="44" t="inlineStr">
        <is>
          <t>../test/components/icon/icon.test.tsx</t>
        </is>
      </c>
      <c r="H10" s="43" t="inlineStr">
        <is>
          <t>tested</t>
        </is>
      </c>
      <c r="I10" s="43" t="inlineStr">
        <is>
          <t>no</t>
        </is>
      </c>
      <c r="J10" s="45" t="n"/>
      <c r="K10" s="44" t="n"/>
      <c r="L10" s="43" t="n">
        <v>1</v>
      </c>
      <c r="M10" s="43">
        <f>IF(OR(H10="not started",H10="partial",H10="implemented"),0,1)</f>
        <v/>
      </c>
    </row>
    <row r="11" ht="54" customHeight="1" s="34">
      <c r="A11" s="43" t="inlineStr">
        <is>
          <t>IC-03</t>
        </is>
      </c>
      <c r="B11" s="43" t="inlineStr">
        <is>
          <t>Recipes</t>
        </is>
      </c>
      <c r="C11" s="43" t="inlineStr">
        <is>
          <t>Icon</t>
        </is>
      </c>
      <c r="D11" s="44" t="inlineStr">
        <is>
          <t>Six sizes, nine semantic tones, default medium inherited presentation, and currentColor remain exact.</t>
        </is>
      </c>
      <c r="E11" s="43" t="inlineStr">
        <is>
          <t>package</t>
        </is>
      </c>
      <c r="F11" s="43" t="inlineStr">
        <is>
          <t>browser</t>
        </is>
      </c>
      <c r="G11" s="44" t="inlineStr">
        <is>
          <t>../playground/tests/components/icon/behavior.spec.ts</t>
        </is>
      </c>
      <c r="H11" s="43" t="inlineStr">
        <is>
          <t>tested</t>
        </is>
      </c>
      <c r="I11" s="43" t="inlineStr">
        <is>
          <t>no</t>
        </is>
      </c>
      <c r="J11" s="45" t="n"/>
      <c r="K11" s="44" t="n"/>
      <c r="L11" s="43" t="n">
        <v>1</v>
      </c>
      <c r="M11" s="43">
        <f>IF(OR(H11="not started",H11="partial",H11="implemented"),0,1)</f>
        <v/>
      </c>
    </row>
    <row r="12" ht="54" customHeight="1" s="34">
      <c r="A12" s="43" t="inlineStr">
        <is>
          <t>IC-04</t>
        </is>
      </c>
      <c r="B12" s="43" t="inlineStr">
        <is>
          <t>Direction</t>
        </is>
      </c>
      <c r="C12" s="43" t="inlineStr">
        <is>
          <t>Icon</t>
        </is>
      </c>
      <c r="D12" s="44" t="inlineStr">
        <is>
          <t>Only directional icons mirror in genuine RTL; non-directional sources retain identity.</t>
        </is>
      </c>
      <c r="E12" s="43" t="inlineStr">
        <is>
          <t>package</t>
        </is>
      </c>
      <c r="F12" s="43" t="inlineStr">
        <is>
          <t>browser</t>
        </is>
      </c>
      <c r="G12" s="44" t="inlineStr">
        <is>
          <t>../playground/tests/components/icon/behavior.spec.ts</t>
        </is>
      </c>
      <c r="H12" s="43" t="inlineStr">
        <is>
          <t>tested</t>
        </is>
      </c>
      <c r="I12" s="43" t="inlineStr">
        <is>
          <t>no</t>
        </is>
      </c>
      <c r="J12" s="45" t="n"/>
      <c r="K12" s="44" t="n"/>
      <c r="L12" s="43" t="n">
        <v>1</v>
      </c>
      <c r="M12" s="43">
        <f>IF(OR(H12="not started",H12="partial",H12="implemented"),0,1)</f>
        <v/>
      </c>
    </row>
    <row r="13" ht="54" customHeight="1" s="34">
      <c r="A13" s="43" t="inlineStr">
        <is>
          <t>IC-05</t>
        </is>
      </c>
      <c r="B13" s="43" t="inlineStr">
        <is>
          <t>Sources</t>
        </is>
      </c>
      <c r="C13" s="43" t="inlineStr">
        <is>
          <t>Graphic</t>
        </is>
      </c>
      <c r="D13" s="44" t="inlineStr">
        <is>
          <t>Inline, reusable React SVG, external-library-shaped, and fixed multicolor sources preserve authored geometry and fills.</t>
        </is>
      </c>
      <c r="E13" s="43" t="inlineStr">
        <is>
          <t>package</t>
        </is>
      </c>
      <c r="F13" s="43" t="inlineStr">
        <is>
          <t>browser</t>
        </is>
      </c>
      <c r="G13" s="44" t="inlineStr">
        <is>
          <t>../playground/src/components/icon/IconPage.tsx</t>
        </is>
      </c>
      <c r="H13" s="43" t="inlineStr">
        <is>
          <t>tested</t>
        </is>
      </c>
      <c r="I13" s="43" t="inlineStr">
        <is>
          <t>no</t>
        </is>
      </c>
      <c r="J13" s="45" t="n"/>
      <c r="K13" s="44" t="n"/>
      <c r="L13" s="43" t="n">
        <v>1</v>
      </c>
      <c r="M13" s="43">
        <f>IF(OR(H13="not started",H13="partial",H13="implemented"),0,1)</f>
        <v/>
      </c>
    </row>
    <row r="14" ht="54" customHeight="1" s="34">
      <c r="A14" s="43" t="inlineStr">
        <is>
          <t>IC-06</t>
        </is>
      </c>
      <c r="B14" s="43" t="inlineStr">
        <is>
          <t>Composition</t>
        </is>
      </c>
      <c r="C14" s="43" t="inlineStr">
        <is>
          <t>Icon</t>
        </is>
      </c>
      <c r="D14" s="44" t="inlineStr">
        <is>
          <t>Native props, classes, styles, slot override, wrapper-free SVG, and ref composition preserve output.</t>
        </is>
      </c>
      <c r="E14" s="43" t="inlineStr">
        <is>
          <t>package</t>
        </is>
      </c>
      <c r="F14" s="43" t="inlineStr">
        <is>
          <t>component</t>
        </is>
      </c>
      <c r="G14" s="44" t="inlineStr">
        <is>
          <t>../test/components/icon/icon.test.tsx</t>
        </is>
      </c>
      <c r="H14" s="43" t="inlineStr">
        <is>
          <t>tested</t>
        </is>
      </c>
      <c r="I14" s="43" t="inlineStr">
        <is>
          <t>no</t>
        </is>
      </c>
      <c r="J14" s="45" t="n"/>
      <c r="K14" s="44" t="n"/>
      <c r="L14" s="43" t="n">
        <v>1</v>
      </c>
      <c r="M14" s="43">
        <f>IF(OR(H14="not started",H14="partial",H14="implemented"),0,1)</f>
        <v/>
      </c>
    </row>
    <row r="15" ht="54" customHeight="1" s="34">
      <c r="A15" s="43" t="inlineStr">
        <is>
          <t>IC-07</t>
        </is>
      </c>
      <c r="B15" s="43" t="inlineStr">
        <is>
          <t>Exports</t>
        </is>
      </c>
      <c r="C15" s="43" t="inlineStr">
        <is>
          <t>Icon</t>
        </is>
      </c>
      <c r="D15" s="44" t="inlineStr">
        <is>
          <t>Root and Icon subpath exports expose runtime and public types.</t>
        </is>
      </c>
      <c r="E15" s="43" t="inlineStr">
        <is>
          <t>package</t>
        </is>
      </c>
      <c r="F15" s="43" t="inlineStr">
        <is>
          <t>package</t>
        </is>
      </c>
      <c r="G15" s="44" t="inlineStr">
        <is>
          <t>../test/package/package.test.mjs</t>
        </is>
      </c>
      <c r="H15" s="43" t="inlineStr">
        <is>
          <t>tested</t>
        </is>
      </c>
      <c r="I15" s="43" t="inlineStr">
        <is>
          <t>no</t>
        </is>
      </c>
      <c r="J15" s="45" t="n"/>
      <c r="K15" s="44" t="n"/>
      <c r="L15" s="43" t="n">
        <v>1</v>
      </c>
      <c r="M15" s="43">
        <f>IF(OR(H15="not started",H15="partial",H15="implemented"),0,1)</f>
        <v/>
      </c>
    </row>
    <row r="16" ht="54" customHeight="1" s="34">
      <c r="A16" s="43" t="inlineStr">
        <is>
          <t>IC-08</t>
        </is>
      </c>
      <c r="B16" s="43" t="inlineStr">
        <is>
          <t>Types</t>
        </is>
      </c>
      <c r="C16" s="43" t="inlineStr">
        <is>
          <t>Icon</t>
        </is>
      </c>
      <c r="D16" s="44" t="inlineStr">
        <is>
          <t>Closed recipes and mutually exclusive accessibility modes reject invalid hosts, colors, sizes, and label combinations.</t>
        </is>
      </c>
      <c r="E16" s="43" t="inlineStr">
        <is>
          <t>package</t>
        </is>
      </c>
      <c r="F16" s="43" t="inlineStr">
        <is>
          <t>types</t>
        </is>
      </c>
      <c r="G16" s="44" t="inlineStr">
        <is>
          <t>../test/types/components/icon.test.ts</t>
        </is>
      </c>
      <c r="H16" s="43" t="inlineStr">
        <is>
          <t>tested</t>
        </is>
      </c>
      <c r="I16" s="43" t="inlineStr">
        <is>
          <t>no</t>
        </is>
      </c>
      <c r="J16" s="45" t="n"/>
      <c r="K16" s="44" t="n"/>
      <c r="L16" s="43" t="n">
        <v>1</v>
      </c>
      <c r="M16" s="43">
        <f>IF(OR(H16="not started",H16="partial",H16="implemented"),0,1)</f>
        <v/>
      </c>
    </row>
    <row r="17" ht="54" customHeight="1" s="34">
      <c r="A17" s="43" t="inlineStr">
        <is>
          <t>IC-09</t>
        </is>
      </c>
      <c r="B17" s="43" t="inlineStr">
        <is>
          <t>CSS</t>
        </is>
      </c>
      <c r="C17" s="43" t="inlineStr">
        <is>
          <t>Icon</t>
        </is>
      </c>
      <c r="D17" s="44" t="inlineStr">
        <is>
          <t>Static CSS ships sizing, semantic foregrounds, direction, forced colors, and documented public properties.</t>
        </is>
      </c>
      <c r="E17" s="43" t="inlineStr">
        <is>
          <t>package</t>
        </is>
      </c>
      <c r="F17" s="43" t="inlineStr">
        <is>
          <t>css</t>
        </is>
      </c>
      <c r="G17" s="44" t="inlineStr">
        <is>
          <t>../src/components/icon/icon.css</t>
        </is>
      </c>
      <c r="H17" s="43" t="inlineStr">
        <is>
          <t>tested</t>
        </is>
      </c>
      <c r="I17" s="43" t="inlineStr">
        <is>
          <t>no</t>
        </is>
      </c>
      <c r="J17" s="45" t="n"/>
      <c r="K17" s="44" t="n"/>
      <c r="L17" s="43" t="n">
        <v>1</v>
      </c>
      <c r="M17" s="43">
        <f>IF(OR(H17="not started",H17="partial",H17="implemented"),0,1)</f>
        <v/>
      </c>
    </row>
    <row r="18" ht="54" customHeight="1" s="34">
      <c r="A18" s="43" t="inlineStr">
        <is>
          <t>IC-10</t>
        </is>
      </c>
      <c r="B18" s="43" t="inlineStr">
        <is>
          <t>Visual</t>
        </is>
      </c>
      <c r="C18" s="43" t="inlineStr">
        <is>
          <t>Icon</t>
        </is>
      </c>
      <c r="D18" s="44" t="inlineStr">
        <is>
          <t>Defaults, sizes, tones, sources, direction, appearance, stress, and forced colors own reviewable baselines.</t>
        </is>
      </c>
      <c r="E18" s="43" t="inlineStr">
        <is>
          <t>package</t>
        </is>
      </c>
      <c r="F18" s="43" t="inlineStr">
        <is>
          <t>visual</t>
        </is>
      </c>
      <c r="G18" s="44" t="inlineStr">
        <is>
          <t>../playground/tests/components/icon/visual.spec.ts</t>
        </is>
      </c>
      <c r="H18" s="43" t="inlineStr">
        <is>
          <t>implemented</t>
        </is>
      </c>
      <c r="I18" s="43" t="inlineStr">
        <is>
          <t>yes</t>
        </is>
      </c>
      <c r="J18" s="45" t="n"/>
      <c r="K18" s="44" t="inlineStr">
        <is>
          <t>Human run pending.</t>
        </is>
      </c>
      <c r="L18" s="43" t="n">
        <v>1</v>
      </c>
      <c r="M18" s="43">
        <f>IF(OR(H18="not started",H18="partial",H18="implemented"),0,1)</f>
        <v/>
      </c>
    </row>
    <row r="19" ht="54" customHeight="1" s="34">
      <c r="A19" s="43" t="inlineStr">
        <is>
          <t>IC-11</t>
        </is>
      </c>
      <c r="B19" s="43" t="inlineStr">
        <is>
          <t>Responsive</t>
        </is>
      </c>
      <c r="C19" s="43" t="inlineStr">
        <is>
          <t>Icon</t>
        </is>
      </c>
      <c r="D19" s="44" t="inlineStr">
        <is>
          <t>Narrow frames, large sizes, long referenced labels, zoom, text spacing, and mobile widths remain contained.</t>
        </is>
      </c>
      <c r="E19" s="43" t="inlineStr">
        <is>
          <t>package</t>
        </is>
      </c>
      <c r="F19" s="43" t="inlineStr">
        <is>
          <t>manual</t>
        </is>
      </c>
      <c r="G19" s="44" t="inlineStr">
        <is>
          <t>../playground/manual-tests/icon.md</t>
        </is>
      </c>
      <c r="H19" s="43" t="inlineStr">
        <is>
          <t>implemented</t>
        </is>
      </c>
      <c r="I19" s="43" t="inlineStr">
        <is>
          <t>yes</t>
        </is>
      </c>
      <c r="J19" s="45" t="n"/>
      <c r="K19" s="44" t="inlineStr">
        <is>
          <t>Human run pending.</t>
        </is>
      </c>
      <c r="L19" s="43" t="n">
        <v>1</v>
      </c>
      <c r="M19" s="43">
        <f>IF(OR(H19="not started",H19="partial",H19="implemented"),0,1)</f>
        <v/>
      </c>
    </row>
    <row r="20" ht="54" customHeight="1" s="34">
      <c r="A20" s="43" t="inlineStr">
        <is>
          <t>IC-12</t>
        </is>
      </c>
      <c r="B20" s="43" t="inlineStr">
        <is>
          <t>Manual</t>
        </is>
      </c>
      <c r="C20" s="43" t="inlineStr">
        <is>
          <t>Icon</t>
        </is>
      </c>
      <c r="D20" s="44" t="inlineStr">
        <is>
          <t>The concise protocol covers every Icon playground scenario and assistive-technology mode.</t>
        </is>
      </c>
      <c r="E20" s="43" t="inlineStr">
        <is>
          <t>package</t>
        </is>
      </c>
      <c r="F20" s="43" t="inlineStr">
        <is>
          <t>manual</t>
        </is>
      </c>
      <c r="G20" s="44" t="inlineStr">
        <is>
          <t>../playground/manual-tests/icon.md</t>
        </is>
      </c>
      <c r="H20" s="43" t="inlineStr">
        <is>
          <t>implemented</t>
        </is>
      </c>
      <c r="I20" s="43" t="inlineStr">
        <is>
          <t>yes</t>
        </is>
      </c>
      <c r="J20" s="45" t="n"/>
      <c r="K20" s="44" t="inlineStr">
        <is>
          <t>Human run pending.</t>
        </is>
      </c>
      <c r="L20" s="43" t="n">
        <v>1</v>
      </c>
      <c r="M20" s="43">
        <f>IF(OR(H20="not started",H20="partial",H20="implemented"),0,1)</f>
        <v/>
      </c>
    </row>
    <row r="21" ht="54" customHeight="1" s="34">
      <c r="A21" s="43" t="inlineStr">
        <is>
          <t>IC-13</t>
        </is>
      </c>
      <c r="B21" s="43" t="inlineStr">
        <is>
          <t>Docs</t>
        </is>
      </c>
      <c r="C21" s="43" t="inlineStr">
        <is>
          <t>Icon</t>
        </is>
      </c>
      <c r="D21" s="44" t="inlineStr">
        <is>
          <t>Source-backed ownership, SVG boundary, accessibility, API, recipes, tokens, and composition pass.</t>
        </is>
      </c>
      <c r="E21" s="43" t="inlineStr">
        <is>
          <t>package</t>
        </is>
      </c>
      <c r="F21" s="43" t="inlineStr">
        <is>
          <t>docs</t>
        </is>
      </c>
      <c r="G21" s="44" t="inlineStr">
        <is>
          <t>../docs/components/icon/README.md</t>
        </is>
      </c>
      <c r="H21" s="43" t="inlineStr">
        <is>
          <t>tested</t>
        </is>
      </c>
      <c r="I21" s="43" t="inlineStr">
        <is>
          <t>no</t>
        </is>
      </c>
      <c r="J21" s="45" t="n"/>
      <c r="K21" s="44" t="n"/>
      <c r="L21" s="43" t="n">
        <v>1</v>
      </c>
      <c r="M21" s="43">
        <f>IF(OR(H21="not started",H21="partial",H21="implemented"),0,1)</f>
        <v/>
      </c>
    </row>
    <row r="22" ht="54" customHeight="1" s="34">
      <c r="A22" s="43" t="inlineStr">
        <is>
          <t>IC-14</t>
        </is>
      </c>
      <c r="B22" s="43" t="inlineStr">
        <is>
          <t>Changelog</t>
        </is>
      </c>
      <c r="C22" s="43" t="inlineStr">
        <is>
          <t>Icon</t>
        </is>
      </c>
      <c r="D22" s="44" t="inlineStr">
        <is>
          <t>Icon owns a public changelog and package changelog entry.</t>
        </is>
      </c>
      <c r="E22" s="43" t="inlineStr">
        <is>
          <t>package</t>
        </is>
      </c>
      <c r="F22" s="43" t="inlineStr">
        <is>
          <t>docs</t>
        </is>
      </c>
      <c r="G22" s="44" t="inlineStr">
        <is>
          <t>../docs/components/icon/CHANGELOG.md; ../CHANGELOG.md</t>
        </is>
      </c>
      <c r="H22" s="43" t="inlineStr">
        <is>
          <t>tested</t>
        </is>
      </c>
      <c r="I22" s="43" t="inlineStr">
        <is>
          <t>no</t>
        </is>
      </c>
      <c r="J22" s="45" t="n"/>
      <c r="K22" s="44" t="n"/>
      <c r="L22" s="43" t="n">
        <v>1</v>
      </c>
      <c r="M22" s="43">
        <f>IF(OR(H22="not started",H22="partial",H22="implemented"),0,1)</f>
        <v/>
      </c>
    </row>
    <row r="23" ht="54" customHeight="1" s="34">
      <c r="A23" s="43" t="inlineStr">
        <is>
          <t>IC-15</t>
        </is>
      </c>
      <c r="B23" s="43" t="inlineStr">
        <is>
          <t>Consumer</t>
        </is>
      </c>
      <c r="C23" s="43" t="inlineStr">
        <is>
          <t>Icon</t>
        </is>
      </c>
      <c r="D23" s="44" t="inlineStr">
        <is>
          <t>The Consumer proves the public Icon subpath inside a named IconButton.</t>
        </is>
      </c>
      <c r="E23" s="43" t="inlineStr">
        <is>
          <t>consumer</t>
        </is>
      </c>
      <c r="F23" s="43" t="inlineStr">
        <is>
          <t>consumer</t>
        </is>
      </c>
      <c r="G23" s="44" t="inlineStr">
        <is>
          <t>../apps/consumer/src/App.tsx; ../apps/consumer/tests/consumer.spec.ts</t>
        </is>
      </c>
      <c r="H23" s="43" t="inlineStr">
        <is>
          <t>tested</t>
        </is>
      </c>
      <c r="I23" s="43" t="inlineStr">
        <is>
          <t>no</t>
        </is>
      </c>
      <c r="J23" s="45" t="n"/>
      <c r="K23" s="44" t="n"/>
      <c r="L23" s="43" t="n">
        <v>1</v>
      </c>
      <c r="M23" s="43">
        <f>IF(OR(H23="not started",H23="partial",H23="implemented"),0,1)</f>
        <v/>
      </c>
    </row>
    <row r="24" ht="54" customHeight="1" s="34">
      <c r="A24" s="43" t="inlineStr">
        <is>
          <t>IC-16</t>
        </is>
      </c>
      <c r="B24" s="43" t="inlineStr">
        <is>
          <t>Playground</t>
        </is>
      </c>
      <c r="C24" s="43" t="inlineStr">
        <is>
          <t>Adoption</t>
        </is>
      </c>
      <c r="D24" s="44" t="inlineStr">
        <is>
          <t>The route covers all scenarios and shell adoption follows explicit component-owned exclusions.</t>
        </is>
      </c>
      <c r="E24" s="43" t="inlineStr">
        <is>
          <t>package</t>
        </is>
      </c>
      <c r="F24" s="43" t="inlineStr">
        <is>
          <t>adoption</t>
        </is>
      </c>
      <c r="G24" s="44" t="inlineStr">
        <is>
          <t>../scripts/verify-playground-icon.mjs; ../playground/docs/icon-adoption-audit.md</t>
        </is>
      </c>
      <c r="H24" s="43" t="inlineStr">
        <is>
          <t>tested</t>
        </is>
      </c>
      <c r="I24" s="43" t="inlineStr">
        <is>
          <t>no</t>
        </is>
      </c>
      <c r="J24" s="45" t="n"/>
      <c r="K24" s="44" t="n"/>
      <c r="L24" s="43" t="n">
        <v>1</v>
      </c>
      <c r="M24" s="43">
        <f>IF(OR(H24="not started",H24="partial",H24="implemented"),0,1)</f>
        <v/>
      </c>
    </row>
    <row r="25" ht="54" customHeight="1" s="34">
      <c r="A25" s="43" t="inlineStr">
        <is>
          <t>IC-17</t>
        </is>
      </c>
      <c r="B25" s="43" t="inlineStr">
        <is>
          <t>Package</t>
        </is>
      </c>
      <c r="C25" s="43" t="inlineStr">
        <is>
          <t>Icon</t>
        </is>
      </c>
      <c r="D25" s="44" t="inlineStr">
        <is>
          <t>Build, SSR-safe import, exports, CSS, tarball, Consumer, browser, and adoption checks pass.</t>
        </is>
      </c>
      <c r="E25" s="43" t="inlineStr">
        <is>
          <t>package</t>
        </is>
      </c>
      <c r="F25" s="43" t="inlineStr">
        <is>
          <t>package</t>
        </is>
      </c>
      <c r="G25" s="44" t="inlineStr">
        <is>
          <t>../test/package/package.test.mjs</t>
        </is>
      </c>
      <c r="H25" s="43" t="inlineStr">
        <is>
          <t>tested</t>
        </is>
      </c>
      <c r="I25" s="43" t="inlineStr">
        <is>
          <t>no</t>
        </is>
      </c>
      <c r="J25" s="45" t="n"/>
      <c r="K25" s="44" t="n"/>
      <c r="L25" s="43" t="n">
        <v>1</v>
      </c>
      <c r="M25" s="43">
        <f>IF(OR(H25="not started",H25="partial",H25="implemented"),0,1)</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Image Evidence</t>
        </is>
      </c>
    </row>
    <row r="2" ht="27.75" customHeight="1" s="34">
      <c r="A2" s="36" t="inlineStr">
        <is>
          <t>Assertion-level media lifecycle, accessibility, recipes, native output, browser, human-review, documentation, Consumer, and scoped adoption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IM-01</t>
        </is>
      </c>
      <c r="B9" s="43" t="inlineStr">
        <is>
          <t>Implementation</t>
        </is>
      </c>
      <c r="C9" s="43" t="inlineStr">
        <is>
          <t>Root / Content / Fallback</t>
        </is>
      </c>
      <c r="D9" s="44" t="inlineStr">
        <is>
          <t>Atom Image anatomy is styled without replacing source lifecycle, refs, or conditional parts.</t>
        </is>
      </c>
      <c r="E9" s="43" t="inlineStr">
        <is>
          <t>package</t>
        </is>
      </c>
      <c r="F9" s="43" t="inlineStr">
        <is>
          <t>source</t>
        </is>
      </c>
      <c r="G9" s="44" t="inlineStr">
        <is>
          <t>../src/components/image</t>
        </is>
      </c>
      <c r="H9" s="43" t="inlineStr">
        <is>
          <t>tested</t>
        </is>
      </c>
      <c r="I9" s="43" t="inlineStr">
        <is>
          <t>no</t>
        </is>
      </c>
      <c r="J9" s="45" t="n"/>
      <c r="K9" s="44" t="n"/>
      <c r="L9" s="43" t="n">
        <v>1</v>
      </c>
      <c r="M9" s="43">
        <f>IF(OR(H9="not started",H9="partial",H9="implemented"),0,1)</f>
        <v/>
      </c>
    </row>
    <row r="10" ht="54" customHeight="1" s="34">
      <c r="A10" s="43" t="inlineStr">
        <is>
          <t>IM-02</t>
        </is>
      </c>
      <c r="B10" s="43" t="inlineStr">
        <is>
          <t>Source state</t>
        </is>
      </c>
      <c r="C10" s="43" t="inlineStr">
        <is>
          <t>Root</t>
        </is>
      </c>
      <c r="D10" s="44" t="inlineStr">
        <is>
          <t>Idle, loading, loaded, error, source replacement, and stale-event rejection remain Atom-owned and observable.</t>
        </is>
      </c>
      <c r="E10" s="43" t="inlineStr">
        <is>
          <t>package</t>
        </is>
      </c>
      <c r="F10" s="43" t="inlineStr">
        <is>
          <t>atom</t>
        </is>
      </c>
      <c r="G10" s="44" t="inlineStr">
        <is>
          <t>@flowstack-ui/atom@0.9.0 Image tests; ../test/components/image/image.test.tsx</t>
        </is>
      </c>
      <c r="H10" s="43" t="inlineStr">
        <is>
          <t>tested</t>
        </is>
      </c>
      <c r="I10" s="43" t="inlineStr">
        <is>
          <t>no</t>
        </is>
      </c>
      <c r="J10" s="45" t="n"/>
      <c r="K10" s="44" t="n"/>
      <c r="L10" s="43" t="n">
        <v>1</v>
      </c>
      <c r="M10" s="43">
        <f>IF(OR(H10="not started",H10="partial",H10="implemented"),0,1)</f>
        <v/>
      </c>
    </row>
    <row r="11" ht="54" customHeight="1" s="34">
      <c r="A11" s="43" t="inlineStr">
        <is>
          <t>IM-03</t>
        </is>
      </c>
      <c r="B11" s="43" t="inlineStr">
        <is>
          <t>Native output</t>
        </is>
      </c>
      <c r="C11" s="43" t="inlineStr">
        <is>
          <t>Content</t>
        </is>
      </c>
      <c r="D11" s="44" t="inlineStr">
        <is>
          <t>Required authored alt plus intrinsic, responsive, loading, decoding, priority, event, slot, and ref props reach the native image.</t>
        </is>
      </c>
      <c r="E11" s="43" t="inlineStr">
        <is>
          <t>package</t>
        </is>
      </c>
      <c r="F11" s="43" t="inlineStr">
        <is>
          <t>component</t>
        </is>
      </c>
      <c r="G11" s="44" t="inlineStr">
        <is>
          <t>../test/components/image/image.test.tsx; ../playground/tests/components/image/behavior.spec.ts</t>
        </is>
      </c>
      <c r="H11" s="43" t="inlineStr">
        <is>
          <t>tested</t>
        </is>
      </c>
      <c r="I11" s="43" t="inlineStr">
        <is>
          <t>no</t>
        </is>
      </c>
      <c r="J11" s="45" t="n"/>
      <c r="K11" s="44" t="n"/>
      <c r="L11" s="43" t="n">
        <v>1</v>
      </c>
      <c r="M11" s="43">
        <f>IF(OR(H11="not started",H11="partial",H11="implemented"),0,1)</f>
        <v/>
      </c>
    </row>
    <row r="12" ht="54" customHeight="1" s="34">
      <c r="A12" s="43" t="inlineStr">
        <is>
          <t>IM-04</t>
        </is>
      </c>
      <c r="B12" s="43" t="inlineStr">
        <is>
          <t>Fallback</t>
        </is>
      </c>
      <c r="C12" s="43" t="inlineStr">
        <is>
          <t>Fallback</t>
        </is>
      </c>
      <c r="D12" s="44" t="inlineStr">
        <is>
          <t>Authored idle, loading, and error fallbacks are mutually exclusive with Content and preserve reserved geometry.</t>
        </is>
      </c>
      <c r="E12" s="43" t="inlineStr">
        <is>
          <t>package</t>
        </is>
      </c>
      <c r="F12" s="43" t="inlineStr">
        <is>
          <t>browser</t>
        </is>
      </c>
      <c r="G12" s="44" t="inlineStr">
        <is>
          <t>../playground/tests/components/image/behavior.spec.ts</t>
        </is>
      </c>
      <c r="H12" s="43" t="inlineStr">
        <is>
          <t>tested</t>
        </is>
      </c>
      <c r="I12" s="43" t="inlineStr">
        <is>
          <t>no</t>
        </is>
      </c>
      <c r="J12" s="45" t="n"/>
      <c r="K12" s="44" t="n"/>
      <c r="L12" s="43" t="n">
        <v>1</v>
      </c>
      <c r="M12" s="43">
        <f>IF(OR(H12="not started",H12="partial",H12="implemented"),0,1)</f>
        <v/>
      </c>
    </row>
    <row r="13" ht="54" customHeight="1" s="34">
      <c r="A13" s="43" t="inlineStr">
        <is>
          <t>IM-05</t>
        </is>
      </c>
      <c r="B13" s="43" t="inlineStr">
        <is>
          <t>Fit</t>
        </is>
      </c>
      <c r="C13" s="43" t="inlineStr">
        <is>
          <t>Content</t>
        </is>
      </c>
      <c r="D13" s="44" t="inlineStr">
        <is>
          <t>Cover, contain, fill, none, and scale-down change only object fit inside controlled fixtures.</t>
        </is>
      </c>
      <c r="E13" s="43" t="inlineStr">
        <is>
          <t>package</t>
        </is>
      </c>
      <c r="F13" s="43" t="inlineStr">
        <is>
          <t>browser</t>
        </is>
      </c>
      <c r="G13" s="44" t="inlineStr">
        <is>
          <t>../playground/tests/components/image/behavior.spec.ts</t>
        </is>
      </c>
      <c r="H13" s="43" t="inlineStr">
        <is>
          <t>tested</t>
        </is>
      </c>
      <c r="I13" s="43" t="inlineStr">
        <is>
          <t>no</t>
        </is>
      </c>
      <c r="J13" s="45" t="n"/>
      <c r="K13" s="44" t="n"/>
      <c r="L13" s="43" t="n">
        <v>1</v>
      </c>
      <c r="M13" s="43">
        <f>IF(OR(H13="not started",H13="partial",H13="implemented"),0,1)</f>
        <v/>
      </c>
    </row>
    <row r="14" ht="54" customHeight="1" s="34">
      <c r="A14" s="43" t="inlineStr">
        <is>
          <t>IM-06</t>
        </is>
      </c>
      <c r="B14" s="43" t="inlineStr">
        <is>
          <t>Position</t>
        </is>
      </c>
      <c r="C14" s="43" t="inlineStr">
        <is>
          <t>Content</t>
        </is>
      </c>
      <c r="D14" s="44" t="inlineStr">
        <is>
          <t>Center, top, bottom, logical start, and logical end move focal content; start/end reverse in RTL without mirroring pixels.</t>
        </is>
      </c>
      <c r="E14" s="43" t="inlineStr">
        <is>
          <t>package</t>
        </is>
      </c>
      <c r="F14" s="43" t="inlineStr">
        <is>
          <t>browser</t>
        </is>
      </c>
      <c r="G14" s="44" t="inlineStr">
        <is>
          <t>../playground/tests/components/image/behavior.spec.ts</t>
        </is>
      </c>
      <c r="H14" s="43" t="inlineStr">
        <is>
          <t>tested</t>
        </is>
      </c>
      <c r="I14" s="43" t="inlineStr">
        <is>
          <t>no</t>
        </is>
      </c>
      <c r="J14" s="45" t="n"/>
      <c r="K14" s="44" t="n"/>
      <c r="L14" s="43" t="n">
        <v>1</v>
      </c>
      <c r="M14" s="43">
        <f>IF(OR(H14="not started",H14="partial",H14="implemented"),0,1)</f>
        <v/>
      </c>
    </row>
    <row r="15" ht="54" customHeight="1" s="34">
      <c r="A15" s="43" t="inlineStr">
        <is>
          <t>IM-07</t>
        </is>
      </c>
      <c r="B15" s="43" t="inlineStr">
        <is>
          <t>Geometry</t>
        </is>
      </c>
      <c r="C15" s="43" t="inlineStr">
        <is>
          <t>Root</t>
        </is>
      </c>
      <c r="D15" s="44" t="inlineStr">
        <is>
          <t>Five radius recipes, transparent/subtle frame, and explicit Atom Aspect Ratio preserve one clipped media box.</t>
        </is>
      </c>
      <c r="E15" s="43" t="inlineStr">
        <is>
          <t>package</t>
        </is>
      </c>
      <c r="F15" s="43" t="inlineStr">
        <is>
          <t>browser</t>
        </is>
      </c>
      <c r="G15" s="44" t="inlineStr">
        <is>
          <t>../playground/tests/components/image/behavior.spec.ts</t>
        </is>
      </c>
      <c r="H15" s="43" t="inlineStr">
        <is>
          <t>tested</t>
        </is>
      </c>
      <c r="I15" s="43" t="inlineStr">
        <is>
          <t>no</t>
        </is>
      </c>
      <c r="J15" s="45" t="n"/>
      <c r="K15" s="44" t="n"/>
      <c r="L15" s="43" t="n">
        <v>1</v>
      </c>
      <c r="M15" s="43">
        <f>IF(OR(H15="not started",H15="partial",H15="implemented"),0,1)</f>
        <v/>
      </c>
    </row>
    <row r="16" ht="54" customHeight="1" s="34">
      <c r="A16" s="43" t="inlineStr">
        <is>
          <t>IM-08</t>
        </is>
      </c>
      <c r="B16" s="43" t="inlineStr">
        <is>
          <t>Accessibility</t>
        </is>
      </c>
      <c r="C16" s="43" t="inlineStr">
        <is>
          <t>Content / Fallback</t>
        </is>
      </c>
      <c r="D16" s="44" t="inlineStr">
        <is>
          <t>Informative, decorative, and named-action alt ownership is explicit; fallback adds no focus or live-region policy.</t>
        </is>
      </c>
      <c r="E16" s="43" t="inlineStr">
        <is>
          <t>package</t>
        </is>
      </c>
      <c r="F16" s="43" t="inlineStr">
        <is>
          <t>browser</t>
        </is>
      </c>
      <c r="G16" s="44" t="inlineStr">
        <is>
          <t>../playground/tests/components/image/behavior.spec.ts</t>
        </is>
      </c>
      <c r="H16" s="43" t="inlineStr">
        <is>
          <t>tested</t>
        </is>
      </c>
      <c r="I16" s="43" t="inlineStr">
        <is>
          <t>no</t>
        </is>
      </c>
      <c r="J16" s="45" t="n"/>
      <c r="K16" s="44" t="n"/>
      <c r="L16" s="43" t="n">
        <v>1</v>
      </c>
      <c r="M16" s="43">
        <f>IF(OR(H16="not started",H16="partial",H16="implemented"),0,1)</f>
        <v/>
      </c>
    </row>
    <row r="17" ht="54" customHeight="1" s="34">
      <c r="A17" s="43" t="inlineStr">
        <is>
          <t>IM-09</t>
        </is>
      </c>
      <c r="B17" s="43" t="inlineStr">
        <is>
          <t>Composition</t>
        </is>
      </c>
      <c r="C17" s="43" t="inlineStr">
        <is>
          <t>All parts</t>
        </is>
      </c>
      <c r="D17" s="44" t="inlineStr">
        <is>
          <t>Default, asChild, render, native props, custom slots, styles, and refs preserve Atom composition and valid hosts.</t>
        </is>
      </c>
      <c r="E17" s="43" t="inlineStr">
        <is>
          <t>package</t>
        </is>
      </c>
      <c r="F17" s="43" t="inlineStr">
        <is>
          <t>component</t>
        </is>
      </c>
      <c r="G17" s="44" t="inlineStr">
        <is>
          <t>../test/components/image/image.test.tsx</t>
        </is>
      </c>
      <c r="H17" s="43" t="inlineStr">
        <is>
          <t>tested</t>
        </is>
      </c>
      <c r="I17" s="43" t="inlineStr">
        <is>
          <t>no</t>
        </is>
      </c>
      <c r="J17" s="45" t="n"/>
      <c r="K17" s="44" t="n"/>
      <c r="L17" s="43" t="n">
        <v>1</v>
      </c>
      <c r="M17" s="43">
        <f>IF(OR(H17="not started",H17="partial",H17="implemented"),0,1)</f>
        <v/>
      </c>
    </row>
    <row r="18" ht="54" customHeight="1" s="34">
      <c r="A18" s="43" t="inlineStr">
        <is>
          <t>IM-10</t>
        </is>
      </c>
      <c r="B18" s="43" t="inlineStr">
        <is>
          <t>Exports</t>
        </is>
      </c>
      <c r="C18" s="43" t="inlineStr">
        <is>
          <t>Image</t>
        </is>
      </c>
      <c r="D18" s="44" t="inlineStr">
        <is>
          <t>Package root and Image subpath expose one runtime namespace and public types.</t>
        </is>
      </c>
      <c r="E18" s="43" t="inlineStr">
        <is>
          <t>package</t>
        </is>
      </c>
      <c r="F18" s="43" t="inlineStr">
        <is>
          <t>package</t>
        </is>
      </c>
      <c r="G18" s="44" t="inlineStr">
        <is>
          <t>../test/package/package.test.mjs</t>
        </is>
      </c>
      <c r="H18" s="43" t="inlineStr">
        <is>
          <t>tested</t>
        </is>
      </c>
      <c r="I18" s="43" t="inlineStr">
        <is>
          <t>no</t>
        </is>
      </c>
      <c r="J18" s="45" t="n"/>
      <c r="K18" s="44" t="n"/>
      <c r="L18" s="43" t="n">
        <v>1</v>
      </c>
      <c r="M18" s="43">
        <f>IF(OR(H18="not started",H18="partial",H18="implemented"),0,1)</f>
        <v/>
      </c>
    </row>
    <row r="19" ht="54" customHeight="1" s="34">
      <c r="A19" s="43" t="inlineStr">
        <is>
          <t>IM-11</t>
        </is>
      </c>
      <c r="B19" s="43" t="inlineStr">
        <is>
          <t>Types</t>
        </is>
      </c>
      <c r="C19" s="43" t="inlineStr">
        <is>
          <t>Image</t>
        </is>
      </c>
      <c r="D19" s="44" t="inlineStr">
        <is>
          <t>Required alt, closed recipes, root source ownership, native responsive props, and refs are enforced.</t>
        </is>
      </c>
      <c r="E19" s="43" t="inlineStr">
        <is>
          <t>package</t>
        </is>
      </c>
      <c r="F19" s="43" t="inlineStr">
        <is>
          <t>types</t>
        </is>
      </c>
      <c r="G19" s="44" t="inlineStr">
        <is>
          <t>../test/types/components/image.test.ts</t>
        </is>
      </c>
      <c r="H19" s="43" t="inlineStr">
        <is>
          <t>tested</t>
        </is>
      </c>
      <c r="I19" s="43" t="inlineStr">
        <is>
          <t>no</t>
        </is>
      </c>
      <c r="J19" s="45" t="n"/>
      <c r="K19" s="44" t="n"/>
      <c r="L19" s="43" t="n">
        <v>1</v>
      </c>
      <c r="M19" s="43">
        <f>IF(OR(H19="not started",H19="partial",H19="implemented"),0,1)</f>
        <v/>
      </c>
    </row>
    <row r="20" ht="54" customHeight="1" s="34">
      <c r="A20" s="43" t="inlineStr">
        <is>
          <t>IM-12</t>
        </is>
      </c>
      <c r="B20" s="43" t="inlineStr">
        <is>
          <t>CSS</t>
        </is>
      </c>
      <c r="C20" s="43" t="inlineStr">
        <is>
          <t>Image</t>
        </is>
      </c>
      <c r="D20" s="44" t="inlineStr">
        <is>
          <t>Static CSS ships fit, logical position, clipping, frame, fallback, forced colors, and documented public properties.</t>
        </is>
      </c>
      <c r="E20" s="43" t="inlineStr">
        <is>
          <t>package</t>
        </is>
      </c>
      <c r="F20" s="43" t="inlineStr">
        <is>
          <t>css</t>
        </is>
      </c>
      <c r="G20" s="44" t="inlineStr">
        <is>
          <t>../src/components/image/image.css</t>
        </is>
      </c>
      <c r="H20" s="43" t="inlineStr">
        <is>
          <t>tested</t>
        </is>
      </c>
      <c r="I20" s="43" t="inlineStr">
        <is>
          <t>no</t>
        </is>
      </c>
      <c r="J20" s="45" t="n"/>
      <c r="K20" s="44" t="n"/>
      <c r="L20" s="43" t="n">
        <v>1</v>
      </c>
      <c r="M20" s="43">
        <f>IF(OR(H20="not started",H20="partial",H20="implemented"),0,1)</f>
        <v/>
      </c>
    </row>
    <row r="21" ht="54" customHeight="1" s="34">
      <c r="A21" s="43" t="inlineStr">
        <is>
          <t>IM-13</t>
        </is>
      </c>
      <c r="B21" s="43" t="inlineStr">
        <is>
          <t>SSR</t>
        </is>
      </c>
      <c r="C21" s="43" t="inlineStr">
        <is>
          <t>Image</t>
        </is>
      </c>
      <c r="D21" s="44" t="inlineStr">
        <is>
          <t>Idle/loading fallback output and recipe metadata render deterministically without a CSS loader.</t>
        </is>
      </c>
      <c r="E21" s="43" t="inlineStr">
        <is>
          <t>package</t>
        </is>
      </c>
      <c r="F21" s="43" t="inlineStr">
        <is>
          <t>package</t>
        </is>
      </c>
      <c r="G21" s="44" t="inlineStr">
        <is>
          <t>../test/package/ssr.test.mjs</t>
        </is>
      </c>
      <c r="H21" s="43" t="inlineStr">
        <is>
          <t>tested</t>
        </is>
      </c>
      <c r="I21" s="43" t="inlineStr">
        <is>
          <t>no</t>
        </is>
      </c>
      <c r="J21" s="45" t="n"/>
      <c r="K21" s="44" t="n"/>
      <c r="L21" s="43" t="n">
        <v>1</v>
      </c>
      <c r="M21" s="43">
        <f>IF(OR(H21="not started",H21="partial",H21="implemented"),0,1)</f>
        <v/>
      </c>
    </row>
    <row r="22" ht="54" customHeight="1" s="34">
      <c r="A22" s="43" t="inlineStr">
        <is>
          <t>IM-14</t>
        </is>
      </c>
      <c r="B22" s="43" t="inlineStr">
        <is>
          <t>Playground</t>
        </is>
      </c>
      <c r="C22" s="43" t="inlineStr">
        <is>
          <t>Image</t>
        </is>
      </c>
      <c r="D22" s="44" t="inlineStr">
        <is>
          <t>Nine numbered scenarios cover defaults, accessibility, fits, positions, geometry, native output, states, appearance, and stress.</t>
        </is>
      </c>
      <c r="E22" s="43" t="inlineStr">
        <is>
          <t>package</t>
        </is>
      </c>
      <c r="F22" s="43" t="inlineStr">
        <is>
          <t>browser</t>
        </is>
      </c>
      <c r="G22" s="44" t="inlineStr">
        <is>
          <t>../playground/src/components/image/ImagePage.tsx; ../playground/tests/components/image/behavior.spec.ts</t>
        </is>
      </c>
      <c r="H22" s="43" t="inlineStr">
        <is>
          <t>tested</t>
        </is>
      </c>
      <c r="I22" s="43" t="inlineStr">
        <is>
          <t>no</t>
        </is>
      </c>
      <c r="J22" s="45" t="n"/>
      <c r="K22" s="44" t="n"/>
      <c r="L22" s="43" t="n">
        <v>1</v>
      </c>
      <c r="M22" s="43">
        <f>IF(OR(H22="not started",H22="partial",H22="implemented"),0,1)</f>
        <v/>
      </c>
    </row>
    <row r="23" ht="54" customHeight="1" s="34">
      <c r="A23" s="43" t="inlineStr">
        <is>
          <t>IM-15</t>
        </is>
      </c>
      <c r="B23" s="43" t="inlineStr">
        <is>
          <t>Visual</t>
        </is>
      </c>
      <c r="C23" s="43" t="inlineStr">
        <is>
          <t>Image</t>
        </is>
      </c>
      <c r="D23" s="44" t="inlineStr">
        <is>
          <t>Defaults, fits, positions, geometry, fallback, appearance, mobile, and forced colors own reviewed-risk baselines.</t>
        </is>
      </c>
      <c r="E23" s="43" t="inlineStr">
        <is>
          <t>package</t>
        </is>
      </c>
      <c r="F23" s="43" t="inlineStr">
        <is>
          <t>visual</t>
        </is>
      </c>
      <c r="G23" s="44" t="inlineStr">
        <is>
          <t>../playground/tests/components/image/visual.spec.ts</t>
        </is>
      </c>
      <c r="H23" s="43" t="inlineStr">
        <is>
          <t>implemented</t>
        </is>
      </c>
      <c r="I23" s="43" t="inlineStr">
        <is>
          <t>yes</t>
        </is>
      </c>
      <c r="J23" s="45" t="n"/>
      <c r="K23" s="44" t="inlineStr">
        <is>
          <t>Owner manual review pending.</t>
        </is>
      </c>
      <c r="L23" s="43" t="n">
        <v>1</v>
      </c>
      <c r="M23" s="43">
        <f>IF(OR(H23="not started",H23="partial",H23="implemented"),0,1)</f>
        <v/>
      </c>
    </row>
    <row r="24" ht="54" customHeight="1" s="34">
      <c r="A24" s="43" t="inlineStr">
        <is>
          <t>IM-16</t>
        </is>
      </c>
      <c r="B24" s="43" t="inlineStr">
        <is>
          <t>Responsive</t>
        </is>
      </c>
      <c r="C24" s="43" t="inlineStr">
        <is>
          <t>Image</t>
        </is>
      </c>
      <c r="D24" s="44" t="inlineStr">
        <is>
          <t>Narrow, long fallback, RTL, mobile, zoom, text spacing, and physical-device containment are reviewed.</t>
        </is>
      </c>
      <c r="E24" s="43" t="inlineStr">
        <is>
          <t>package</t>
        </is>
      </c>
      <c r="F24" s="43" t="inlineStr">
        <is>
          <t>manual</t>
        </is>
      </c>
      <c r="G24" s="44" t="inlineStr">
        <is>
          <t>../playground/manual-tests/image.md</t>
        </is>
      </c>
      <c r="H24" s="43" t="inlineStr">
        <is>
          <t>implemented</t>
        </is>
      </c>
      <c r="I24" s="43" t="inlineStr">
        <is>
          <t>yes</t>
        </is>
      </c>
      <c r="J24" s="45" t="n"/>
      <c r="K24" s="44" t="inlineStr">
        <is>
          <t>Owner manual review pending.</t>
        </is>
      </c>
      <c r="L24" s="43" t="n">
        <v>1</v>
      </c>
      <c r="M24" s="43">
        <f>IF(OR(H24="not started",H24="partial",H24="implemented"),0,1)</f>
        <v/>
      </c>
    </row>
    <row r="25" ht="54" customHeight="1" s="34">
      <c r="A25" s="43" t="inlineStr">
        <is>
          <t>IM-17</t>
        </is>
      </c>
      <c r="B25" s="43" t="inlineStr">
        <is>
          <t>Manual</t>
        </is>
      </c>
      <c r="C25" s="43" t="inlineStr">
        <is>
          <t>Image</t>
        </is>
      </c>
      <c r="D25" s="44" t="inlineStr">
        <is>
          <t>The concise protocol covers every Image scenario, source flow, appearance, device, and assistive-technology judgment.</t>
        </is>
      </c>
      <c r="E25" s="43" t="inlineStr">
        <is>
          <t>package</t>
        </is>
      </c>
      <c r="F25" s="43" t="inlineStr">
        <is>
          <t>manual</t>
        </is>
      </c>
      <c r="G25" s="44" t="inlineStr">
        <is>
          <t>../playground/manual-tests/image.md</t>
        </is>
      </c>
      <c r="H25" s="43" t="inlineStr">
        <is>
          <t>implemented</t>
        </is>
      </c>
      <c r="I25" s="43" t="inlineStr">
        <is>
          <t>yes</t>
        </is>
      </c>
      <c r="J25" s="45" t="n"/>
      <c r="K25" s="44" t="inlineStr">
        <is>
          <t>Owner manual review pending.</t>
        </is>
      </c>
      <c r="L25" s="43" t="n">
        <v>1</v>
      </c>
      <c r="M25" s="43">
        <f>IF(OR(H25="not started",H25="partial",H25="implemented"),0,1)</f>
        <v/>
      </c>
    </row>
    <row r="26" ht="54" customHeight="1" s="34">
      <c r="A26" s="43" t="inlineStr">
        <is>
          <t>IM-18</t>
        </is>
      </c>
      <c r="B26" s="43" t="inlineStr">
        <is>
          <t>Docs</t>
        </is>
      </c>
      <c r="C26" s="43" t="inlineStr">
        <is>
          <t>Image</t>
        </is>
      </c>
      <c r="D26" s="44" t="inlineStr">
        <is>
          <t>Source-backed ownership, alt guidance, API, recipes, native attrs, tokens, composition, and exclusions pass.</t>
        </is>
      </c>
      <c r="E26" s="43" t="inlineStr">
        <is>
          <t>package</t>
        </is>
      </c>
      <c r="F26" s="43" t="inlineStr">
        <is>
          <t>docs</t>
        </is>
      </c>
      <c r="G26" s="44" t="inlineStr">
        <is>
          <t>../docs/components/image/README.md</t>
        </is>
      </c>
      <c r="H26" s="43" t="inlineStr">
        <is>
          <t>tested</t>
        </is>
      </c>
      <c r="I26" s="43" t="inlineStr">
        <is>
          <t>no</t>
        </is>
      </c>
      <c r="J26" s="45" t="n"/>
      <c r="K26" s="44" t="n"/>
      <c r="L26" s="43" t="n">
        <v>1</v>
      </c>
      <c r="M26" s="43">
        <f>IF(OR(H26="not started",H26="partial",H26="implemented"),0,1)</f>
        <v/>
      </c>
    </row>
    <row r="27" ht="54" customHeight="1" s="34">
      <c r="A27" s="43" t="inlineStr">
        <is>
          <t>IM-19</t>
        </is>
      </c>
      <c r="B27" s="43" t="inlineStr">
        <is>
          <t>Changelog</t>
        </is>
      </c>
      <c r="C27" s="43" t="inlineStr">
        <is>
          <t>Image</t>
        </is>
      </c>
      <c r="D27" s="44" t="inlineStr">
        <is>
          <t>Image owns a public changelog and package release-facing entry.</t>
        </is>
      </c>
      <c r="E27" s="43" t="inlineStr">
        <is>
          <t>package</t>
        </is>
      </c>
      <c r="F27" s="43" t="inlineStr">
        <is>
          <t>docs</t>
        </is>
      </c>
      <c r="G27" s="44" t="inlineStr">
        <is>
          <t>../docs/components/image/CHANGELOG.md; ../CHANGELOG.md</t>
        </is>
      </c>
      <c r="H27" s="43" t="inlineStr">
        <is>
          <t>tested</t>
        </is>
      </c>
      <c r="I27" s="43" t="inlineStr">
        <is>
          <t>no</t>
        </is>
      </c>
      <c r="J27" s="45" t="n"/>
      <c r="K27" s="44" t="n"/>
      <c r="L27" s="43" t="n">
        <v>1</v>
      </c>
      <c r="M27" s="43">
        <f>IF(OR(H27="not started",H27="partial",H27="implemented"),0,1)</f>
        <v/>
      </c>
    </row>
    <row r="28" ht="54" customHeight="1" s="34">
      <c r="A28" s="43" t="inlineStr">
        <is>
          <t>IM-20</t>
        </is>
      </c>
      <c r="B28" s="43" t="inlineStr">
        <is>
          <t>Consumer</t>
        </is>
      </c>
      <c r="C28" s="43" t="inlineStr">
        <is>
          <t>Image</t>
        </is>
      </c>
      <c r="D28" s="44" t="inlineStr">
        <is>
          <t>Consumer proves the public Image subpath as informative project media inside Card on desktop and mobile.</t>
        </is>
      </c>
      <c r="E28" s="43" t="inlineStr">
        <is>
          <t>consumer</t>
        </is>
      </c>
      <c r="F28" s="43" t="inlineStr">
        <is>
          <t>consumer</t>
        </is>
      </c>
      <c r="G28" s="44" t="inlineStr">
        <is>
          <t>../apps/consumer/src/App.tsx; ../apps/consumer/tests/consumer.spec.ts</t>
        </is>
      </c>
      <c r="H28" s="43" t="inlineStr">
        <is>
          <t>tested</t>
        </is>
      </c>
      <c r="I28" s="43" t="inlineStr">
        <is>
          <t>no</t>
        </is>
      </c>
      <c r="J28" s="45" t="n"/>
      <c r="K28" s="44" t="n"/>
      <c r="L28" s="43" t="n">
        <v>1</v>
      </c>
      <c r="M28" s="43">
        <f>IF(OR(H28="not started",H28="partial",H28="implemented"),0,1)</f>
        <v/>
      </c>
    </row>
    <row r="29" ht="54" customHeight="1" s="34">
      <c r="A29" s="43" t="inlineStr">
        <is>
          <t>IM-21</t>
        </is>
      </c>
      <c r="B29" s="43" t="inlineStr">
        <is>
          <t>Adoption</t>
        </is>
      </c>
      <c r="C29" s="43" t="inlineStr">
        <is>
          <t>Image</t>
        </is>
      </c>
      <c r="D29" s="44" t="inlineStr">
        <is>
          <t>Card finished media and Consumer adopt Image while Avatar and Icon Button native child evidence remain correctly owned.</t>
        </is>
      </c>
      <c r="E29" s="43" t="inlineStr">
        <is>
          <t>package</t>
        </is>
      </c>
      <c r="F29" s="43" t="inlineStr">
        <is>
          <t>adoption</t>
        </is>
      </c>
      <c r="G29" s="44" t="inlineStr">
        <is>
          <t>../scripts/verify-playground-image.mjs; ../playground/docs/image-adoption-audit.md</t>
        </is>
      </c>
      <c r="H29" s="43" t="inlineStr">
        <is>
          <t>tested</t>
        </is>
      </c>
      <c r="I29" s="43" t="inlineStr">
        <is>
          <t>no</t>
        </is>
      </c>
      <c r="J29" s="45" t="n"/>
      <c r="K29" s="44" t="n"/>
      <c r="L29" s="43" t="n">
        <v>1</v>
      </c>
      <c r="M29" s="43">
        <f>IF(OR(H29="not started",H29="partial",H29="implemented"),0,1)</f>
        <v/>
      </c>
    </row>
    <row r="30" ht="54" customHeight="1" s="34">
      <c r="A30" s="43" t="inlineStr">
        <is>
          <t>IM-22</t>
        </is>
      </c>
      <c r="B30" s="43" t="inlineStr">
        <is>
          <t>Package</t>
        </is>
      </c>
      <c r="C30" s="43" t="inlineStr">
        <is>
          <t>Image</t>
        </is>
      </c>
      <c r="D30" s="44" t="inlineStr">
        <is>
          <t>Build, SSR, exports, CSS, archive, Consumer, browser, visual, docs, and adoption gates pass.</t>
        </is>
      </c>
      <c r="E30" s="43" t="inlineStr">
        <is>
          <t>package</t>
        </is>
      </c>
      <c r="F30" s="43" t="inlineStr">
        <is>
          <t>package</t>
        </is>
      </c>
      <c r="G30" s="44" t="inlineStr">
        <is>
          <t>../test/package/package.test.mjs</t>
        </is>
      </c>
      <c r="H30" s="43" t="inlineStr">
        <is>
          <t>tested</t>
        </is>
      </c>
      <c r="I30" s="43" t="inlineStr">
        <is>
          <t>no</t>
        </is>
      </c>
      <c r="J30" s="45" t="n"/>
      <c r="K30" s="44" t="n"/>
      <c r="L30" s="43" t="n">
        <v>1</v>
      </c>
      <c r="M30" s="43">
        <f>IF(OR(H30="not started",H30="partial",H30="implemented"),0,1)</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M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List Evidence</t>
        </is>
      </c>
    </row>
    <row r="2" ht="27.75" customHeight="1" s="34">
      <c r="A2" s="36" t="inlineStr">
        <is>
          <t>Assertion-level native semantics, anatomy, recipes, browser, human-review, documentation, Consumer, and adoption evidence.</t>
        </is>
      </c>
    </row>
    <row r="4" ht="17.25" customHeight="1" s="34">
      <c r="A4" s="37" t="inlineStr">
        <is>
          <t>Requirements</t>
        </is>
      </c>
      <c r="B4" s="38">
        <f>COUNTA(A9:A27)</f>
        <v/>
      </c>
      <c r="D4" s="37" t="inlineStr">
        <is>
          <t>Resolved</t>
        </is>
      </c>
      <c r="E4" s="38">
        <f>SUM(M9:M27)</f>
        <v/>
      </c>
      <c r="G4" s="37" t="inlineStr">
        <is>
          <t>Completion</t>
        </is>
      </c>
      <c r="H4" s="39">
        <f>IF(B4=0,0,E4/B4)</f>
        <v/>
      </c>
      <c r="J4" s="37" t="inlineStr">
        <is>
          <t>Package gate</t>
        </is>
      </c>
      <c r="K4" s="38">
        <f>IF(COUNTIFS(E9:E27,"package",M9:M27,0)&gt;0,"open","complete")</f>
        <v/>
      </c>
    </row>
    <row r="5" ht="17.25" customHeight="1" s="34">
      <c r="A5" s="37" t="inlineStr">
        <is>
          <t>Manual review</t>
        </is>
      </c>
      <c r="B5" s="38">
        <f>IF(COUNTIFS(I9:I27,"yes",M9:M27,0)&gt;0,"open","complete")</f>
        <v/>
      </c>
      <c r="D5" s="37" t="inlineStr">
        <is>
          <t>Consumer gate</t>
        </is>
      </c>
      <c r="E5" s="38">
        <f>IF(COUNTIFS(E9:E27,"consumer",M9:M27,0)&gt;0,"open","complete")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L-01</t>
        </is>
      </c>
      <c r="B9" s="43" t="inlineStr">
        <is>
          <t>Implementation</t>
        </is>
      </c>
      <c r="C9" s="43" t="inlineStr">
        <is>
          <t>Root and Item</t>
        </is>
      </c>
      <c r="D9" s="44" t="inlineStr">
        <is>
          <t>Root and Item adapt released Atom List while preserving native ul, ol, li, attributes, slots, composition, refs, and authored children.</t>
        </is>
      </c>
      <c r="E9" s="43" t="inlineStr">
        <is>
          <t>package</t>
        </is>
      </c>
      <c r="F9" s="43" t="inlineStr">
        <is>
          <t>source</t>
        </is>
      </c>
      <c r="G9" s="44" t="inlineStr">
        <is>
          <t>../src/components/list</t>
        </is>
      </c>
      <c r="H9" s="43" t="inlineStr">
        <is>
          <t>tested</t>
        </is>
      </c>
      <c r="I9" s="43" t="inlineStr">
        <is>
          <t>no</t>
        </is>
      </c>
      <c r="J9" s="45" t="n">
        <v>46229</v>
      </c>
      <c r="K9" s="44" t="n"/>
      <c r="M9" s="43">
        <f>IF(OR(AND(I9="yes",H9="verified"),AND(I9="no",OR(H9="tested",H9="verified")),AND(H9="not applicable",K9&lt;&gt;"")),1,0)</f>
        <v/>
      </c>
    </row>
    <row r="10" ht="54" customHeight="1" s="34">
      <c r="A10" s="43" t="inlineStr">
        <is>
          <t>L-02</t>
        </is>
      </c>
      <c r="B10" s="43" t="inlineStr">
        <is>
          <t>Anatomy</t>
        </is>
      </c>
      <c r="C10" s="43" t="inlineStr">
        <is>
          <t>Leading, Content, Title, Description, Trailing</t>
        </is>
      </c>
      <c r="D10" s="44" t="inlineStr">
        <is>
          <t>All five optional structured parts expose stable native hosts, refs, slots, and aligned passive row anatomy.</t>
        </is>
      </c>
      <c r="E10" s="43" t="inlineStr">
        <is>
          <t>package</t>
        </is>
      </c>
      <c r="F10" s="43" t="inlineStr">
        <is>
          <t>component</t>
        </is>
      </c>
      <c r="G10" s="44" t="inlineStr">
        <is>
          <t>../test/components/list/list.test.tsx</t>
        </is>
      </c>
      <c r="H10" s="43" t="inlineStr">
        <is>
          <t>tested</t>
        </is>
      </c>
      <c r="I10" s="43" t="inlineStr">
        <is>
          <t>no</t>
        </is>
      </c>
      <c r="J10" s="45" t="n">
        <v>46229</v>
      </c>
      <c r="K10" s="44" t="n"/>
      <c r="M10" s="43">
        <f>IF(OR(AND(I10="yes",H10="verified"),AND(I10="no",OR(H10="tested",H10="verified")),AND(H10="not applicable",K10&lt;&gt;"")),1,0)</f>
        <v/>
      </c>
    </row>
    <row r="11" ht="54" customHeight="1" s="34">
      <c r="A11" s="43" t="inlineStr">
        <is>
          <t>L-03</t>
        </is>
      </c>
      <c r="B11" s="43" t="inlineStr">
        <is>
          <t>Exports</t>
        </is>
      </c>
      <c r="C11" s="43" t="inlineStr">
        <is>
          <t>List</t>
        </is>
      </c>
      <c r="D11" s="44" t="inlineStr">
        <is>
          <t>Root and List subpath exports expose the compound runtime and every public List type.</t>
        </is>
      </c>
      <c r="E11" s="43" t="inlineStr">
        <is>
          <t>package</t>
        </is>
      </c>
      <c r="F11" s="43" t="inlineStr">
        <is>
          <t>package</t>
        </is>
      </c>
      <c r="G11" s="44" t="inlineStr">
        <is>
          <t>../test/package/package.test.mjs; ../test/package/ssr.test.mjs</t>
        </is>
      </c>
      <c r="H11" s="43" t="inlineStr">
        <is>
          <t>tested</t>
        </is>
      </c>
      <c r="I11" s="43" t="inlineStr">
        <is>
          <t>no</t>
        </is>
      </c>
      <c r="J11" s="45" t="n">
        <v>46229</v>
      </c>
      <c r="K11" s="44" t="n"/>
      <c r="M11" s="43">
        <f>IF(OR(AND(I11="yes",H11="verified"),AND(I11="no",OR(H11="tested",H11="verified")),AND(H11="not applicable",K11&lt;&gt;"")),1,0)</f>
        <v/>
      </c>
    </row>
    <row r="12" ht="54" customHeight="1" s="34">
      <c r="A12" s="43" t="inlineStr">
        <is>
          <t>L-04</t>
        </is>
      </c>
      <c r="B12" s="43" t="inlineStr">
        <is>
          <t>Types</t>
        </is>
      </c>
      <c r="C12" s="43" t="inlineStr">
        <is>
          <t>List</t>
        </is>
      </c>
      <c r="D12" s="44" t="inlineStr">
        <is>
          <t>Recipes, ordered attributes, native props, refs, disabled metadata, and Root/Item composition type-check.</t>
        </is>
      </c>
      <c r="E12" s="43" t="inlineStr">
        <is>
          <t>package</t>
        </is>
      </c>
      <c r="F12" s="43" t="inlineStr">
        <is>
          <t>types</t>
        </is>
      </c>
      <c r="G12" s="44" t="inlineStr">
        <is>
          <t>../test/types/components/list.test.ts</t>
        </is>
      </c>
      <c r="H12" s="43" t="inlineStr">
        <is>
          <t>tested</t>
        </is>
      </c>
      <c r="I12" s="43" t="inlineStr">
        <is>
          <t>no</t>
        </is>
      </c>
      <c r="J12" s="45" t="n">
        <v>46229</v>
      </c>
      <c r="K12" s="44" t="n"/>
      <c r="M12" s="43">
        <f>IF(OR(AND(I12="yes",H12="verified"),AND(I12="no",OR(H12="tested",H12="verified")),AND(H12="not applicable",K12&lt;&gt;"")),1,0)</f>
        <v/>
      </c>
    </row>
    <row r="13" ht="54" customHeight="1" s="34">
      <c r="A13" s="43" t="inlineStr">
        <is>
          <t>L-05</t>
        </is>
      </c>
      <c r="B13" s="43" t="inlineStr">
        <is>
          <t>CSS</t>
        </is>
      </c>
      <c r="C13" s="43" t="inlineStr">
        <is>
          <t>List</t>
        </is>
      </c>
      <c r="D13" s="44" t="inlineStr">
        <is>
          <t>Static CSS ships variants, sizes, densities, all markers, structured anatomy, nesting, forced colors, and public variables.</t>
        </is>
      </c>
      <c r="E13" s="43" t="inlineStr">
        <is>
          <t>package</t>
        </is>
      </c>
      <c r="F13" s="43" t="inlineStr">
        <is>
          <t>css</t>
        </is>
      </c>
      <c r="G13" s="44" t="inlineStr">
        <is>
          <t>../src/components/list/list.css</t>
        </is>
      </c>
      <c r="H13" s="43" t="inlineStr">
        <is>
          <t>tested</t>
        </is>
      </c>
      <c r="I13" s="43" t="inlineStr">
        <is>
          <t>no</t>
        </is>
      </c>
      <c r="J13" s="45" t="n">
        <v>46229</v>
      </c>
      <c r="K13" s="44" t="n"/>
      <c r="M13" s="43">
        <f>IF(OR(AND(I13="yes",H13="verified"),AND(I13="no",OR(H13="tested",H13="verified")),AND(H13="not applicable",K13&lt;&gt;"")),1,0)</f>
        <v/>
      </c>
    </row>
    <row r="14" ht="54" customHeight="1" s="34">
      <c r="A14" s="43" t="inlineStr">
        <is>
          <t>L-06</t>
        </is>
      </c>
      <c r="B14" s="43" t="inlineStr">
        <is>
          <t>Unit</t>
        </is>
      </c>
      <c r="C14" s="43" t="inlineStr">
        <is>
          <t>List</t>
        </is>
      </c>
      <c r="D14" s="44" t="inlineStr">
        <is>
          <t>Defaults, recipes, native ordered output, disabled metadata, parts, composition, refs, and overrides pass focused tests.</t>
        </is>
      </c>
      <c r="E14" s="43" t="inlineStr">
        <is>
          <t>package</t>
        </is>
      </c>
      <c r="F14" s="43" t="inlineStr">
        <is>
          <t>component</t>
        </is>
      </c>
      <c r="G14" s="44" t="inlineStr">
        <is>
          <t>../test/components/list/list.test.tsx</t>
        </is>
      </c>
      <c r="H14" s="43" t="inlineStr">
        <is>
          <t>tested</t>
        </is>
      </c>
      <c r="I14" s="43" t="inlineStr">
        <is>
          <t>no</t>
        </is>
      </c>
      <c r="J14" s="45" t="n">
        <v>46229</v>
      </c>
      <c r="K14" s="44" t="n"/>
      <c r="M14" s="43">
        <f>IF(OR(AND(I14="yes",H14="verified"),AND(I14="no",OR(H14="tested",H14="verified")),AND(H14="not applicable",K14&lt;&gt;"")),1,0)</f>
        <v/>
      </c>
    </row>
    <row r="15" ht="54" customHeight="1" s="34">
      <c r="A15" s="43" t="inlineStr">
        <is>
          <t>L-07</t>
        </is>
      </c>
      <c r="B15" s="43" t="inlineStr">
        <is>
          <t>Browser</t>
        </is>
      </c>
      <c r="C15" s="43" t="inlineStr">
        <is>
          <t>Recipes and semantics</t>
        </is>
      </c>
      <c r="D15" s="44" t="inlineStr">
        <is>
          <t>Real-browser defaults, ordered and unordered output, variants, sizes, densities, markers, nesting, and native attributes pass.</t>
        </is>
      </c>
      <c r="E15" s="43" t="inlineStr">
        <is>
          <t>package</t>
        </is>
      </c>
      <c r="F15" s="43" t="inlineStr">
        <is>
          <t>browser</t>
        </is>
      </c>
      <c r="G15" s="44" t="inlineStr">
        <is>
          <t>tests/components/list/behavior.spec.ts</t>
        </is>
      </c>
      <c r="H15" s="43" t="inlineStr">
        <is>
          <t>tested</t>
        </is>
      </c>
      <c r="I15" s="43" t="inlineStr">
        <is>
          <t>no</t>
        </is>
      </c>
      <c r="J15" s="45" t="n">
        <v>46229</v>
      </c>
      <c r="K15" s="44" t="n"/>
      <c r="M15" s="43">
        <f>IF(OR(AND(I15="yes",H15="verified"),AND(I15="no",OR(H15="tested",H15="verified")),AND(H15="not applicable",K15&lt;&gt;"")),1,0)</f>
        <v/>
      </c>
    </row>
    <row r="16" ht="54" customHeight="1" s="34">
      <c r="A16" s="43" t="inlineStr">
        <is>
          <t>L-08</t>
        </is>
      </c>
      <c r="B16" s="43" t="inlineStr">
        <is>
          <t>Geometry</t>
        </is>
      </c>
      <c r="C16" s="43" t="inlineStr">
        <is>
          <t>Structured rows</t>
        </is>
      </c>
      <c r="D16" s="44" t="inlineStr">
        <is>
          <t>Leading, content, and trailing columns align, descriptions wrap, actions stay contained, and logical placement reverses in RTL.</t>
        </is>
      </c>
      <c r="E16" s="43" t="inlineStr">
        <is>
          <t>package</t>
        </is>
      </c>
      <c r="F16" s="43" t="inlineStr">
        <is>
          <t>browser</t>
        </is>
      </c>
      <c r="G16" s="44" t="inlineStr">
        <is>
          <t>tests/components/list/behavior.spec.ts</t>
        </is>
      </c>
      <c r="H16" s="43" t="inlineStr">
        <is>
          <t>tested</t>
        </is>
      </c>
      <c r="I16" s="43" t="inlineStr">
        <is>
          <t>no</t>
        </is>
      </c>
      <c r="J16" s="45" t="n">
        <v>46229</v>
      </c>
      <c r="K16" s="44" t="n"/>
      <c r="M16" s="43">
        <f>IF(OR(AND(I16="yes",H16="verified"),AND(I16="no",OR(H16="tested",H16="verified")),AND(H16="not applicable",K16&lt;&gt;"")),1,0)</f>
        <v/>
      </c>
    </row>
    <row r="17" ht="54" customHeight="1" s="34">
      <c r="A17" s="43" t="inlineStr">
        <is>
          <t>L-09</t>
        </is>
      </c>
      <c r="B17" s="43" t="inlineStr">
        <is>
          <t>Accessibility</t>
        </is>
      </c>
      <c r="C17" s="43" t="inlineStr">
        <is>
          <t>Native list</t>
        </is>
      </c>
      <c r="D17" s="44" t="inlineStr">
        <is>
          <t>List roles, item relationships, marker-free semantics, authored controls, disabled metadata, and axe pass without invented interaction.</t>
        </is>
      </c>
      <c r="E17" s="43" t="inlineStr">
        <is>
          <t>package</t>
        </is>
      </c>
      <c r="F17" s="43" t="inlineStr">
        <is>
          <t>axe</t>
        </is>
      </c>
      <c r="G17" s="44" t="inlineStr">
        <is>
          <t>tests/components/list/behavior.spec.ts</t>
        </is>
      </c>
      <c r="H17" s="43" t="inlineStr">
        <is>
          <t>tested</t>
        </is>
      </c>
      <c r="I17" s="43" t="inlineStr">
        <is>
          <t>no</t>
        </is>
      </c>
      <c r="J17" s="45" t="n">
        <v>46229</v>
      </c>
      <c r="K17" s="44" t="n"/>
      <c r="M17" s="43">
        <f>IF(OR(AND(I17="yes",H17="verified"),AND(I17="no",OR(H17="tested",H17="verified")),AND(H17="not applicable",K17&lt;&gt;"")),1,0)</f>
        <v/>
      </c>
    </row>
    <row r="18" ht="54" customHeight="1" s="34">
      <c r="A18" s="43" t="inlineStr">
        <is>
          <t>L-10</t>
        </is>
      </c>
      <c r="B18" s="43" t="inlineStr">
        <is>
          <t>Visual</t>
        </is>
      </c>
      <c r="C18" s="43" t="inlineStr">
        <is>
          <t>List</t>
        </is>
      </c>
      <c r="D18" s="44" t="inlineStr">
        <is>
          <t>Reviewed baselines cover defaults, boundaries, sizing, marker recipes, anatomy, dark customization, mobile RTL, and forced colors.</t>
        </is>
      </c>
      <c r="E18" s="43" t="inlineStr">
        <is>
          <t>package</t>
        </is>
      </c>
      <c r="F18" s="43" t="inlineStr">
        <is>
          <t>visual</t>
        </is>
      </c>
      <c r="G18" s="44" t="inlineStr">
        <is>
          <t>tests/components/list/visual.spec.ts</t>
        </is>
      </c>
      <c r="H18" s="43" t="inlineStr">
        <is>
          <t>verified</t>
        </is>
      </c>
      <c r="I18" s="43" t="inlineStr">
        <is>
          <t>yes</t>
        </is>
      </c>
      <c r="J18" s="45" t="n">
        <v>46229</v>
      </c>
      <c r="K18" s="44" t="inlineStr">
        <is>
          <t>Current List playground and all eight visual baselines were reviewed during implementation.</t>
        </is>
      </c>
      <c r="M18" s="43">
        <f>IF(OR(AND(I18="yes",H18="verified"),AND(I18="no",OR(H18="tested",H18="verified")),AND(H18="not applicable",K18&lt;&gt;"")),1,0)</f>
        <v/>
      </c>
    </row>
    <row r="19" ht="54" customHeight="1" s="34">
      <c r="A19" s="43" t="inlineStr">
        <is>
          <t>L-11</t>
        </is>
      </c>
      <c r="B19" s="43" t="inlineStr">
        <is>
          <t>Responsive</t>
        </is>
      </c>
      <c r="C19" s="43" t="inlineStr">
        <is>
          <t>List</t>
        </is>
      </c>
      <c r="D19" s="44" t="inlineStr">
        <is>
          <t>Physical mobile, 200%/400% zoom, rotation, narrow content, long copy, structured actions, and RTL remain readable and contained.</t>
        </is>
      </c>
      <c r="E19" s="43" t="inlineStr">
        <is>
          <t>package</t>
        </is>
      </c>
      <c r="F19" s="43" t="inlineStr">
        <is>
          <t>manual</t>
        </is>
      </c>
      <c r="G19" s="44" t="inlineStr">
        <is>
          <t>manual-tests/list.md</t>
        </is>
      </c>
      <c r="H19" s="43" t="inlineStr">
        <is>
          <t>implemented</t>
        </is>
      </c>
      <c r="I19" s="43" t="inlineStr">
        <is>
          <t>yes</t>
        </is>
      </c>
      <c r="J19" s="45" t="n"/>
      <c r="K19" s="44" t="inlineStr">
        <is>
          <t>Automated reflow evidence passes; the human manual run is intentionally pending.</t>
        </is>
      </c>
      <c r="M19" s="43">
        <f>IF(OR(AND(I19="yes",H19="verified"),AND(I19="no",OR(H19="tested",H19="verified")),AND(H19="not applicable",K19&lt;&gt;"")),1,0)</f>
        <v/>
      </c>
    </row>
    <row r="20" ht="54" customHeight="1" s="34">
      <c r="A20" s="43" t="inlineStr">
        <is>
          <t>L-12</t>
        </is>
      </c>
      <c r="B20" s="43" t="inlineStr">
        <is>
          <t>Theme</t>
        </is>
      </c>
      <c r="C20" s="43" t="inlineStr">
        <is>
          <t>List</t>
        </is>
      </c>
      <c r="D20" s="44" t="inlineStr">
        <is>
          <t>Light, dark, forced colors, text spacing, markers, boundaries, and authored focus preserve hierarchy and contrast.</t>
        </is>
      </c>
      <c r="E20" s="43" t="inlineStr">
        <is>
          <t>package</t>
        </is>
      </c>
      <c r="F20" s="43" t="inlineStr">
        <is>
          <t>manual</t>
        </is>
      </c>
      <c r="G20" s="44" t="inlineStr">
        <is>
          <t>manual-tests/list.md; tests/components/list/visual.spec.ts</t>
        </is>
      </c>
      <c r="H20" s="43" t="inlineStr">
        <is>
          <t>implemented</t>
        </is>
      </c>
      <c r="I20" s="43" t="inlineStr">
        <is>
          <t>yes</t>
        </is>
      </c>
      <c r="J20" s="45" t="n"/>
      <c r="K20" s="44" t="inlineStr">
        <is>
          <t>Automated appearance evidence passes; complete human appearance review is pending.</t>
        </is>
      </c>
      <c r="M20" s="43">
        <f>IF(OR(AND(I20="yes",H20="verified"),AND(I20="no",OR(H20="tested",H20="verified")),AND(H20="not applicable",K20&lt;&gt;"")),1,0)</f>
        <v/>
      </c>
    </row>
    <row r="21" ht="54" customHeight="1" s="34">
      <c r="A21" s="43" t="inlineStr">
        <is>
          <t>L-13</t>
        </is>
      </c>
      <c r="B21" s="43" t="inlineStr">
        <is>
          <t>Native output</t>
        </is>
      </c>
      <c r="C21" s="43" t="inlineStr">
        <is>
          <t>Root and Item</t>
        </is>
      </c>
      <c r="D21" s="44" t="inlineStr">
        <is>
          <t>start, reversed, value, ordered output, nested lists, asChild, render ownership, and marker-none role behavior match the contract.</t>
        </is>
      </c>
      <c r="E21" s="43" t="inlineStr">
        <is>
          <t>package</t>
        </is>
      </c>
      <c r="F21" s="43" t="inlineStr">
        <is>
          <t>browser</t>
        </is>
      </c>
      <c r="G21" s="44" t="inlineStr">
        <is>
          <t>tests/components/list/behavior.spec.ts; ../test/components/list/list.test.tsx</t>
        </is>
      </c>
      <c r="H21" s="43" t="inlineStr">
        <is>
          <t>tested</t>
        </is>
      </c>
      <c r="I21" s="43" t="inlineStr">
        <is>
          <t>no</t>
        </is>
      </c>
      <c r="J21" s="45" t="n">
        <v>46229</v>
      </c>
      <c r="K21" s="44" t="n"/>
      <c r="M21" s="43">
        <f>IF(OR(AND(I21="yes",H21="verified"),AND(I21="no",OR(H21="tested",H21="verified")),AND(H21="not applicable",K21&lt;&gt;"")),1,0)</f>
        <v/>
      </c>
    </row>
    <row r="22" ht="54" customHeight="1" s="34">
      <c r="A22" s="43" t="inlineStr">
        <is>
          <t>L-14</t>
        </is>
      </c>
      <c r="B22" s="43" t="inlineStr">
        <is>
          <t>Manual</t>
        </is>
      </c>
      <c r="C22" s="43" t="inlineStr">
        <is>
          <t>List</t>
        </is>
      </c>
      <c r="D22" s="44" t="inlineStr">
        <is>
          <t>The component-owned protocol covers every List playground scenario in one top-to-bottom review flow.</t>
        </is>
      </c>
      <c r="E22" s="43" t="inlineStr">
        <is>
          <t>package</t>
        </is>
      </c>
      <c r="F22" s="43" t="inlineStr">
        <is>
          <t>manual</t>
        </is>
      </c>
      <c r="G22" s="44" t="inlineStr">
        <is>
          <t>manual-tests/list.md</t>
        </is>
      </c>
      <c r="H22" s="43" t="inlineStr">
        <is>
          <t>implemented</t>
        </is>
      </c>
      <c r="I22" s="43" t="inlineStr">
        <is>
          <t>yes</t>
        </is>
      </c>
      <c r="J22" s="45" t="n"/>
      <c r="K22" s="44" t="inlineStr">
        <is>
          <t>Protocol exists; the owner deferred the human run.</t>
        </is>
      </c>
      <c r="M22" s="43">
        <f>IF(OR(AND(I22="yes",H22="verified"),AND(I22="no",OR(H22="tested",H22="verified")),AND(H22="not applicable",K22&lt;&gt;"")),1,0)</f>
        <v/>
      </c>
    </row>
    <row r="23" ht="54" customHeight="1" s="34">
      <c r="A23" s="43" t="inlineStr">
        <is>
          <t>L-15</t>
        </is>
      </c>
      <c r="B23" s="43" t="inlineStr">
        <is>
          <t>Docs</t>
        </is>
      </c>
      <c r="C23" s="43" t="inlineStr">
        <is>
          <t>List</t>
        </is>
      </c>
      <c r="D23" s="44" t="inlineStr">
        <is>
          <t>Source-backed ownership, anatomy, API, defaults, accessibility, CSS, customization, composition, and examples pass documentation gates.</t>
        </is>
      </c>
      <c r="E23" s="43" t="inlineStr">
        <is>
          <t>package</t>
        </is>
      </c>
      <c r="F23" s="43" t="inlineStr">
        <is>
          <t>docs</t>
        </is>
      </c>
      <c r="G23" s="44" t="inlineStr">
        <is>
          <t>../docs/components/list/README.md</t>
        </is>
      </c>
      <c r="H23" s="43" t="inlineStr">
        <is>
          <t>tested</t>
        </is>
      </c>
      <c r="I23" s="43" t="inlineStr">
        <is>
          <t>no</t>
        </is>
      </c>
      <c r="J23" s="45" t="n">
        <v>46229</v>
      </c>
      <c r="K23" s="44" t="n"/>
      <c r="M23" s="43">
        <f>IF(OR(AND(I23="yes",H23="verified"),AND(I23="no",OR(H23="tested",H23="verified")),AND(H23="not applicable",K23&lt;&gt;"")),1,0)</f>
        <v/>
      </c>
    </row>
    <row r="24" ht="54" customHeight="1" s="34">
      <c r="A24" s="43" t="inlineStr">
        <is>
          <t>L-16</t>
        </is>
      </c>
      <c r="B24" s="43" t="inlineStr">
        <is>
          <t>Changelog</t>
        </is>
      </c>
      <c r="C24" s="43" t="inlineStr">
        <is>
          <t>List</t>
        </is>
      </c>
      <c r="D24" s="44" t="inlineStr">
        <is>
          <t>List owns a public component changelog and the package changelog records its addition.</t>
        </is>
      </c>
      <c r="E24" s="43" t="inlineStr">
        <is>
          <t>package</t>
        </is>
      </c>
      <c r="F24" s="43" t="inlineStr">
        <is>
          <t>docs</t>
        </is>
      </c>
      <c r="G24" s="44" t="inlineStr">
        <is>
          <t>../docs/components/list/CHANGELOG.md; ../CHANGELOG.md</t>
        </is>
      </c>
      <c r="H24" s="43" t="inlineStr">
        <is>
          <t>tested</t>
        </is>
      </c>
      <c r="I24" s="43" t="inlineStr">
        <is>
          <t>no</t>
        </is>
      </c>
      <c r="J24" s="45" t="n">
        <v>46229</v>
      </c>
      <c r="K24" s="44" t="n"/>
      <c r="M24" s="43">
        <f>IF(OR(AND(I24="yes",H24="verified"),AND(I24="no",OR(H24="tested",H24="verified")),AND(H24="not applicable",K24&lt;&gt;"")),1,0)</f>
        <v/>
      </c>
    </row>
    <row r="25" ht="54" customHeight="1" s="34">
      <c r="A25" s="43" t="inlineStr">
        <is>
          <t>L-17</t>
        </is>
      </c>
      <c r="B25" s="43" t="inlineStr">
        <is>
          <t>Consumer</t>
        </is>
      </c>
      <c r="C25" s="43" t="inlineStr">
        <is>
          <t>List</t>
        </is>
      </c>
      <c r="D25" s="44" t="inlineStr">
        <is>
          <t>The packed Consumer proves the public List subpath in a realistic structured release checklist.</t>
        </is>
      </c>
      <c r="E25" s="43" t="inlineStr">
        <is>
          <t>consumer</t>
        </is>
      </c>
      <c r="F25" s="43" t="inlineStr">
        <is>
          <t>consumer</t>
        </is>
      </c>
      <c r="G25" s="44" t="inlineStr">
        <is>
          <t>../apps/consumer/src/App.tsx; ../apps/consumer/tests/consumer.spec.ts</t>
        </is>
      </c>
      <c r="H25" s="43" t="inlineStr">
        <is>
          <t>tested</t>
        </is>
      </c>
      <c r="I25" s="43" t="inlineStr">
        <is>
          <t>no</t>
        </is>
      </c>
      <c r="J25" s="45" t="n">
        <v>46229</v>
      </c>
      <c r="K25" s="44" t="n"/>
      <c r="M25" s="43">
        <f>IF(OR(AND(I25="yes",H25="verified"),AND(I25="no",OR(H25="tested",H25="verified")),AND(H25="not applicable",K25&lt;&gt;"")),1,0)</f>
        <v/>
      </c>
    </row>
    <row r="26" ht="54" customHeight="1" s="34">
      <c r="A26" s="43" t="inlineStr">
        <is>
          <t>L-18</t>
        </is>
      </c>
      <c r="B26" s="43" t="inlineStr">
        <is>
          <t>Playground</t>
        </is>
      </c>
      <c r="C26" s="43" t="inlineStr">
        <is>
          <t>List</t>
        </is>
      </c>
      <c r="D26" s="44" t="inlineStr">
        <is>
          <t>The route covers all approved scenarios and eligible Consumer, Card, and Surface content lists adopt List with classified exclusions.</t>
        </is>
      </c>
      <c r="E26" s="43" t="inlineStr">
        <is>
          <t>package</t>
        </is>
      </c>
      <c r="F26" s="43" t="inlineStr">
        <is>
          <t>package</t>
        </is>
      </c>
      <c r="G26" s="44" t="inlineStr">
        <is>
          <t>docs/list-adoption-audit.md; ../scripts/verify-playground-list.mjs</t>
        </is>
      </c>
      <c r="H26" s="43" t="inlineStr">
        <is>
          <t>tested</t>
        </is>
      </c>
      <c r="I26" s="43" t="inlineStr">
        <is>
          <t>no</t>
        </is>
      </c>
      <c r="J26" s="45" t="n">
        <v>46229</v>
      </c>
      <c r="K26" s="44" t="n"/>
      <c r="M26" s="43">
        <f>IF(OR(AND(I26="yes",H26="verified"),AND(I26="no",OR(H26="tested",H26="verified")),AND(H26="not applicable",K26&lt;&gt;"")),1,0)</f>
        <v/>
      </c>
    </row>
    <row r="27" ht="54" customHeight="1" s="34">
      <c r="A27" s="43" t="inlineStr">
        <is>
          <t>L-19</t>
        </is>
      </c>
      <c r="B27" s="43" t="inlineStr">
        <is>
          <t>Package</t>
        </is>
      </c>
      <c r="C27" s="43" t="inlineStr">
        <is>
          <t>List</t>
        </is>
      </c>
      <c r="D27" s="44" t="inlineStr">
        <is>
          <t>Build, SSR, exports, CSS, Atom 0.20.11, tarball, React 18/19, packed Consumer, browser matrix, and adoption checks pass.</t>
        </is>
      </c>
      <c r="E27" s="43" t="inlineStr">
        <is>
          <t>package</t>
        </is>
      </c>
      <c r="F27" s="43" t="inlineStr">
        <is>
          <t>package</t>
        </is>
      </c>
      <c r="G27" s="44" t="inlineStr">
        <is>
          <t>../test/package; ../scripts/verify-package.mjs; ../scripts/verify-consumers.mjs; ../scripts/verify-playground-list.mjs</t>
        </is>
      </c>
      <c r="H27" s="43" t="inlineStr">
        <is>
          <t>verified</t>
        </is>
      </c>
      <c r="I27" s="43" t="inlineStr">
        <is>
          <t>yes</t>
        </is>
      </c>
      <c r="J27" s="45" t="n">
        <v>46264</v>
      </c>
      <c r="K27" s="4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M27" s="43">
        <f>IF(OR(AND(I27="yes",H27="verified"),AND(I27="no",OR(H27="tested",H27="verified")),AND(H27="not applicable",K27&lt;&gt;"")),1,0)</f>
        <v/>
      </c>
    </row>
  </sheetData>
  <mergeCells count="2">
    <mergeCell ref="A2:M2"/>
    <mergeCell ref="A1:M1"/>
  </mergeCells>
  <dataValidations count="2">
    <dataValidation sqref="H9:H27" showDropDown="0" showInputMessage="0" showErrorMessage="0" allowBlank="0" type="list" errorStyle="stop" operator="between">
      <formula1>"not started,partial,implemented,tested,verified,blocked,not applicable"</formula1>
      <formula2>0</formula2>
    </dataValidation>
    <dataValidation sqref="I9:I27"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Select Evidence</t>
        </is>
      </c>
    </row>
    <row r="2" ht="27.75" customHeight="1" s="34">
      <c r="A2" s="36" t="inlineStr">
        <is>
          <t>Assertion-level Atom-backed package, browser, human-review, documentation, Consumer, positioning, and form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S-01</t>
        </is>
      </c>
      <c r="B9" s="43" t="inlineStr">
        <is>
          <t>Implementation</t>
        </is>
      </c>
      <c r="C9" s="43" t="inlineStr">
        <is>
          <t>Root/Trigger</t>
        </is>
      </c>
      <c r="D9" s="44" t="inlineStr">
        <is>
          <t>Compound Select and visual context adapt released Atom 0.20.11 without recreating behavior.</t>
        </is>
      </c>
      <c r="E9" s="43" t="inlineStr">
        <is>
          <t>package</t>
        </is>
      </c>
      <c r="F9" s="43" t="inlineStr">
        <is>
          <t>source</t>
        </is>
      </c>
      <c r="G9" s="44" t="inlineStr">
        <is>
          <t>../src/components/select</t>
        </is>
      </c>
      <c r="H9" s="43" t="inlineStr">
        <is>
          <t>tested</t>
        </is>
      </c>
      <c r="I9" s="43" t="inlineStr">
        <is>
          <t>no</t>
        </is>
      </c>
      <c r="J9" s="45" t="n">
        <v>46229</v>
      </c>
      <c r="K9" s="44" t="n"/>
      <c r="L9" s="43" t="n">
        <v>1</v>
      </c>
      <c r="M9" s="43">
        <f>IF(OR(AND(I9="yes",H9="verified"),AND(I9="no",OR(H9="tested",H9="verified")),AND(H9="not applicable",K9&lt;&gt;"")),1,0)</f>
        <v/>
      </c>
    </row>
    <row r="10" ht="54" customHeight="1" s="34">
      <c r="A10" s="43" t="inlineStr">
        <is>
          <t>S-02</t>
        </is>
      </c>
      <c r="B10" s="43" t="inlineStr">
        <is>
          <t>Anatomy</t>
        </is>
      </c>
      <c r="C10" s="43" t="inlineStr">
        <is>
          <t>All parts</t>
        </is>
      </c>
      <c r="D10" s="44" t="inlineStr">
        <is>
          <t>Trigger, Value, Icon, Content/Listbox, Viewport, scroll buttons, Group, Label, Item, ItemText, Indicator, Separator, Portal, and Arrow are styled/exported.</t>
        </is>
      </c>
      <c r="E10" s="43" t="inlineStr">
        <is>
          <t>package</t>
        </is>
      </c>
      <c r="F10" s="43" t="inlineStr">
        <is>
          <t>component</t>
        </is>
      </c>
      <c r="G10" s="44" t="inlineStr">
        <is>
          <t>../test/components/select/select.test.tsx</t>
        </is>
      </c>
      <c r="H10" s="43" t="inlineStr">
        <is>
          <t>tested</t>
        </is>
      </c>
      <c r="I10" s="43" t="inlineStr">
        <is>
          <t>no</t>
        </is>
      </c>
      <c r="J10" s="45" t="n">
        <v>46229</v>
      </c>
      <c r="K10" s="44" t="n"/>
      <c r="L10" s="43" t="n">
        <v>1</v>
      </c>
      <c r="M10" s="43">
        <f>IF(OR(AND(I10="yes",H10="verified"),AND(I10="no",OR(H10="tested",H10="verified")),AND(H10="not applicable",K10&lt;&gt;"")),1,0)</f>
        <v/>
      </c>
    </row>
    <row r="11" ht="54" customHeight="1" s="34">
      <c r="A11" s="43" t="inlineStr">
        <is>
          <t>S-03</t>
        </is>
      </c>
      <c r="B11" s="43" t="inlineStr">
        <is>
          <t>Exports</t>
        </is>
      </c>
      <c r="C11" s="43" t="inlineStr">
        <is>
          <t>Select</t>
        </is>
      </c>
      <c r="D11" s="44" t="inlineStr">
        <is>
          <t>Root and select subpath exports expose the namespace, named parts, and public types.</t>
        </is>
      </c>
      <c r="E11" s="43" t="inlineStr">
        <is>
          <t>package</t>
        </is>
      </c>
      <c r="F11" s="43" t="inlineStr">
        <is>
          <t>package</t>
        </is>
      </c>
      <c r="G11" s="44" t="inlineStr">
        <is>
          <t>../test/package/package.test.mjs</t>
        </is>
      </c>
      <c r="H11" s="43" t="inlineStr">
        <is>
          <t>tested</t>
        </is>
      </c>
      <c r="I11" s="43" t="inlineStr">
        <is>
          <t>no</t>
        </is>
      </c>
      <c r="J11" s="45" t="n">
        <v>46229</v>
      </c>
      <c r="K11" s="44" t="n"/>
      <c r="L11" s="43" t="n">
        <v>1</v>
      </c>
      <c r="M11" s="43">
        <f>IF(OR(AND(I11="yes",H11="verified"),AND(I11="no",OR(H11="tested",H11="verified")),AND(H11="not applicable",K11&lt;&gt;"")),1,0)</f>
        <v/>
      </c>
    </row>
    <row r="12" ht="54" customHeight="1" s="34">
      <c r="A12" s="43" t="inlineStr">
        <is>
          <t>S-04</t>
        </is>
      </c>
      <c r="B12" s="43" t="inlineStr">
        <is>
          <t>Types</t>
        </is>
      </c>
      <c r="C12" s="43" t="inlineStr">
        <is>
          <t>Root/parts</t>
        </is>
      </c>
      <c r="D12" s="44" t="inlineStr">
        <is>
          <t>Recipes, refs, Arrow children, underline shape exclusion, and no multiple mode type-check.</t>
        </is>
      </c>
      <c r="E12" s="43" t="inlineStr">
        <is>
          <t>package</t>
        </is>
      </c>
      <c r="F12" s="43" t="inlineStr">
        <is>
          <t>types</t>
        </is>
      </c>
      <c r="G12" s="44" t="inlineStr">
        <is>
          <t>../test/types/components/select.test.ts</t>
        </is>
      </c>
      <c r="H12" s="43" t="inlineStr">
        <is>
          <t>tested</t>
        </is>
      </c>
      <c r="I12" s="43" t="inlineStr">
        <is>
          <t>no</t>
        </is>
      </c>
      <c r="J12" s="45" t="n">
        <v>46229</v>
      </c>
      <c r="K12" s="44" t="n"/>
      <c r="L12" s="43" t="n">
        <v>1</v>
      </c>
      <c r="M12" s="43">
        <f>IF(OR(AND(I12="yes",H12="verified"),AND(I12="no",OR(H12="tested",H12="verified")),AND(H12="not applicable",K12&lt;&gt;"")),1,0)</f>
        <v/>
      </c>
    </row>
    <row r="13" ht="54" customHeight="1" s="34">
      <c r="A13" s="43" t="inlineStr">
        <is>
          <t>S-05</t>
        </is>
      </c>
      <c r="B13" s="43" t="inlineStr">
        <is>
          <t>CSS</t>
        </is>
      </c>
      <c r="C13" s="43" t="inlineStr">
        <is>
          <t>Trigger/Content/Item</t>
        </is>
      </c>
      <c r="D13" s="44" t="inlineStr">
        <is>
          <t>Static CSS ships recipes, geometry, states, popup, options, artwork, and documented variables.</t>
        </is>
      </c>
      <c r="E13" s="43" t="inlineStr">
        <is>
          <t>package</t>
        </is>
      </c>
      <c r="F13" s="43" t="inlineStr">
        <is>
          <t>css</t>
        </is>
      </c>
      <c r="G13" s="44" t="inlineStr">
        <is>
          <t>../src/components/select/select.css</t>
        </is>
      </c>
      <c r="H13" s="43" t="inlineStr">
        <is>
          <t>tested</t>
        </is>
      </c>
      <c r="I13" s="43" t="inlineStr">
        <is>
          <t>no</t>
        </is>
      </c>
      <c r="J13" s="45" t="n">
        <v>46229</v>
      </c>
      <c r="K13" s="44" t="n"/>
      <c r="L13" s="43" t="n">
        <v>1</v>
      </c>
      <c r="M13" s="43">
        <f>IF(OR(AND(I13="yes",H13="verified"),AND(I13="no",OR(H13="tested",H13="verified")),AND(H13="not applicable",K13&lt;&gt;"")),1,0)</f>
        <v/>
      </c>
    </row>
    <row r="14" ht="54" customHeight="1" s="34">
      <c r="A14" s="43" t="inlineStr">
        <is>
          <t>S-06</t>
        </is>
      </c>
      <c r="B14" s="43" t="inlineStr">
        <is>
          <t>Labels</t>
        </is>
      </c>
      <c r="C14" s="43" t="inlineStr">
        <is>
          <t>Root/ItemText</t>
        </is>
      </c>
      <c r="D14" s="44" t="inlineStr">
        <is>
          <t>Closed selected values resolve authored ItemText labels before popup mount, including native forms.</t>
        </is>
      </c>
      <c r="E14" s="43" t="inlineStr">
        <is>
          <t>package</t>
        </is>
      </c>
      <c r="F14" s="43" t="inlineStr">
        <is>
          <t>component</t>
        </is>
      </c>
      <c r="G14" s="44" t="inlineStr">
        <is>
          <t>../test/components/select/select.test.tsx; tests/components/select/behavior.spec.ts</t>
        </is>
      </c>
      <c r="H14" s="43" t="inlineStr">
        <is>
          <t>tested</t>
        </is>
      </c>
      <c r="I14" s="43" t="inlineStr">
        <is>
          <t>no</t>
        </is>
      </c>
      <c r="J14" s="45" t="n">
        <v>46229</v>
      </c>
      <c r="K14" s="44" t="n"/>
      <c r="L14" s="43" t="n">
        <v>1</v>
      </c>
      <c r="M14" s="43">
        <f>IF(OR(AND(I14="yes",H14="verified"),AND(I14="no",OR(H14="tested",H14="verified")),AND(H14="not applicable",K14&lt;&gt;"")),1,0)</f>
        <v/>
      </c>
    </row>
    <row r="15" ht="54" customHeight="1" s="34">
      <c r="A15" s="43" t="inlineStr">
        <is>
          <t>S-07</t>
        </is>
      </c>
      <c r="B15" s="43" t="inlineStr">
        <is>
          <t>Recipes</t>
        </is>
      </c>
      <c r="C15" s="43" t="inlineStr">
        <is>
          <t>Root/Trigger</t>
        </is>
      </c>
      <c r="D15" s="44" t="inlineStr">
        <is>
          <t>Outline, soft, underline, sm/md/lg, shapes, and full/intrinsic width change only their named dimensions.</t>
        </is>
      </c>
      <c r="E15" s="43" t="inlineStr">
        <is>
          <t>package</t>
        </is>
      </c>
      <c r="F15" s="43" t="inlineStr">
        <is>
          <t>browser</t>
        </is>
      </c>
      <c r="G15" s="44" t="inlineStr">
        <is>
          <t>tests/components/select/behavior.spec.ts</t>
        </is>
      </c>
      <c r="H15" s="43" t="inlineStr">
        <is>
          <t>tested</t>
        </is>
      </c>
      <c r="I15" s="43" t="inlineStr">
        <is>
          <t>no</t>
        </is>
      </c>
      <c r="J15" s="45" t="n">
        <v>46229</v>
      </c>
      <c r="K15" s="44" t="n"/>
      <c r="L15" s="43" t="n">
        <v>1</v>
      </c>
      <c r="M15" s="43">
        <f>IF(OR(AND(I15="yes",H15="verified"),AND(I15="no",OR(H15="tested",H15="verified")),AND(H15="not applicable",K15&lt;&gt;"")),1,0)</f>
        <v/>
      </c>
    </row>
    <row r="16" ht="54" customHeight="1" s="34">
      <c r="A16" s="43" t="inlineStr">
        <is>
          <t>S-08</t>
        </is>
      </c>
      <c r="B16" s="43" t="inlineStr">
        <is>
          <t>Interaction</t>
        </is>
      </c>
      <c r="C16" s="43" t="inlineStr">
        <is>
          <t>Root/Trigger/Item</t>
        </is>
      </c>
      <c r="D16" s="44" t="inlineStr">
        <is>
          <t>Pointer and keyboard open, navigation, typeahead, selection, Escape, focus return, disabled skip, and outside dismissal remain Atom-owned.</t>
        </is>
      </c>
      <c r="E16" s="43" t="inlineStr">
        <is>
          <t>package</t>
        </is>
      </c>
      <c r="F16" s="43" t="inlineStr">
        <is>
          <t>browser</t>
        </is>
      </c>
      <c r="G16" s="44" t="inlineStr">
        <is>
          <t>tests/components/select/behavior.spec.ts; Atom 0.20.11 Select suite</t>
        </is>
      </c>
      <c r="H16" s="43" t="inlineStr">
        <is>
          <t>tested</t>
        </is>
      </c>
      <c r="I16" s="43" t="inlineStr">
        <is>
          <t>no</t>
        </is>
      </c>
      <c r="J16" s="45" t="n">
        <v>46229</v>
      </c>
      <c r="K16" s="44" t="n"/>
      <c r="L16" s="43" t="n">
        <v>1</v>
      </c>
      <c r="M16" s="43">
        <f>IF(OR(AND(I16="yes",H16="verified"),AND(I16="no",OR(H16="tested",H16="verified")),AND(H16="not applicable",K16&lt;&gt;"")),1,0)</f>
        <v/>
      </c>
    </row>
    <row r="17" ht="54" customHeight="1" s="34">
      <c r="A17" s="43" t="inlineStr">
        <is>
          <t>S-09</t>
        </is>
      </c>
      <c r="B17" s="43" t="inlineStr">
        <is>
          <t>Options</t>
        </is>
      </c>
      <c r="C17" s="43" t="inlineStr">
        <is>
          <t>Group/Viewport/Arrow</t>
        </is>
      </c>
      <c r="D17" s="44" t="inlineStr">
        <is>
          <t>Groups, labels, separator, long scrolling, conditional controls, and matching collision side/alignment are exposed.</t>
        </is>
      </c>
      <c r="E17" s="43" t="inlineStr">
        <is>
          <t>package</t>
        </is>
      </c>
      <c r="F17" s="43" t="inlineStr">
        <is>
          <t>browser</t>
        </is>
      </c>
      <c r="G17" s="44" t="inlineStr">
        <is>
          <t>tests/components/select/behavior.spec.ts</t>
        </is>
      </c>
      <c r="H17" s="43" t="inlineStr">
        <is>
          <t>tested</t>
        </is>
      </c>
      <c r="I17" s="43" t="inlineStr">
        <is>
          <t>no</t>
        </is>
      </c>
      <c r="J17" s="45" t="n">
        <v>46229</v>
      </c>
      <c r="K17" s="44" t="n"/>
      <c r="L17" s="43" t="n">
        <v>1</v>
      </c>
      <c r="M17" s="43">
        <f>IF(OR(AND(I17="yes",H17="verified"),AND(I17="no",OR(H17="tested",H17="verified")),AND(H17="not applicable",K17&lt;&gt;"")),1,0)</f>
        <v/>
      </c>
    </row>
    <row r="18" ht="54" customHeight="1" s="34">
      <c r="A18" s="43" t="inlineStr">
        <is>
          <t>S-10</t>
        </is>
      </c>
      <c r="B18" s="43" t="inlineStr">
        <is>
          <t>Forms</t>
        </is>
      </c>
      <c r="C18" s="43" t="inlineStr">
        <is>
          <t>Root/Trigger</t>
        </is>
      </c>
      <c r="D18" s="44" t="inlineStr">
        <is>
          <t>Field relationships, required validity, native submit/reset, external form ownership, and validation use Atom's native proxy.</t>
        </is>
      </c>
      <c r="E18" s="43" t="inlineStr">
        <is>
          <t>package</t>
        </is>
      </c>
      <c r="F18" s="43" t="inlineStr">
        <is>
          <t>browser</t>
        </is>
      </c>
      <c r="G18" s="44" t="inlineStr">
        <is>
          <t>tests/components/select/behavior.spec.ts; Atom 0.20.11 Select suite</t>
        </is>
      </c>
      <c r="H18" s="43" t="inlineStr">
        <is>
          <t>tested</t>
        </is>
      </c>
      <c r="I18" s="43" t="inlineStr">
        <is>
          <t>no</t>
        </is>
      </c>
      <c r="J18" s="45" t="n">
        <v>46229</v>
      </c>
      <c r="K18" s="44" t="n"/>
      <c r="L18" s="43" t="n">
        <v>1</v>
      </c>
      <c r="M18" s="43">
        <f>IF(OR(AND(I18="yes",H18="verified"),AND(I18="no",OR(H18="tested",H18="verified")),AND(H18="not applicable",K18&lt;&gt;"")),1,0)</f>
        <v/>
      </c>
    </row>
    <row r="19" ht="54" customHeight="1" s="34">
      <c r="A19" s="43" t="inlineStr">
        <is>
          <t>S-11</t>
        </is>
      </c>
      <c r="B19" s="43" t="inlineStr">
        <is>
          <t>Composition</t>
        </is>
      </c>
      <c r="C19" s="43" t="inlineStr">
        <is>
          <t>Trigger/Portal</t>
        </is>
      </c>
      <c r="D19" s="44" t="inlineStr">
        <is>
          <t>Trigger asChild/render and portal/container paths retain props, one host, positioning, and refs.</t>
        </is>
      </c>
      <c r="E19" s="43" t="inlineStr">
        <is>
          <t>package</t>
        </is>
      </c>
      <c r="F19" s="43" t="inlineStr">
        <is>
          <t>component</t>
        </is>
      </c>
      <c r="G19" s="44" t="inlineStr">
        <is>
          <t>../test/components/select/select.test.tsx; tests/components/select/behavior.spec.ts</t>
        </is>
      </c>
      <c r="H19" s="43" t="inlineStr">
        <is>
          <t>tested</t>
        </is>
      </c>
      <c r="I19" s="43" t="inlineStr">
        <is>
          <t>no</t>
        </is>
      </c>
      <c r="J19" s="45" t="n">
        <v>46229</v>
      </c>
      <c r="K19" s="44" t="n"/>
      <c r="L19" s="43" t="n">
        <v>1</v>
      </c>
      <c r="M19" s="43">
        <f>IF(OR(AND(I19="yes",H19="verified"),AND(I19="no",OR(H19="tested",H19="verified")),AND(H19="not applicable",K19&lt;&gt;"")),1,0)</f>
        <v/>
      </c>
    </row>
    <row r="20" ht="54" customHeight="1" s="34">
      <c r="A20" s="43" t="inlineStr">
        <is>
          <t>S-12</t>
        </is>
      </c>
      <c r="B20" s="43" t="inlineStr">
        <is>
          <t>Accessibility</t>
        </is>
      </c>
      <c r="C20" s="43" t="inlineStr">
        <is>
          <t>Select</t>
        </is>
      </c>
      <c r="D20" s="44" t="inlineStr">
        <is>
          <t>Field naming, combobox/listbox states, disabled options, decorative artwork, and axe checks pass.</t>
        </is>
      </c>
      <c r="E20" s="43" t="inlineStr">
        <is>
          <t>package</t>
        </is>
      </c>
      <c r="F20" s="43" t="inlineStr">
        <is>
          <t>axe</t>
        </is>
      </c>
      <c r="G20" s="44" t="inlineStr">
        <is>
          <t>tests/components/select/behavior.spec.ts</t>
        </is>
      </c>
      <c r="H20" s="43" t="inlineStr">
        <is>
          <t>tested</t>
        </is>
      </c>
      <c r="I20" s="43" t="inlineStr">
        <is>
          <t>no</t>
        </is>
      </c>
      <c r="J20" s="45" t="n">
        <v>46229</v>
      </c>
      <c r="K20" s="44" t="n"/>
      <c r="L20" s="43" t="n">
        <v>1</v>
      </c>
      <c r="M20" s="43">
        <f>IF(OR(AND(I20="yes",H20="verified"),AND(I20="no",OR(H20="tested",H20="verified")),AND(H20="not applicable",K20&lt;&gt;"")),1,0)</f>
        <v/>
      </c>
    </row>
    <row r="21" ht="54" customHeight="1" s="34">
      <c r="A21" s="43" t="inlineStr">
        <is>
          <t>S-13</t>
        </is>
      </c>
      <c r="B21" s="43" t="inlineStr">
        <is>
          <t>Visual</t>
        </is>
      </c>
      <c r="C21" s="43" t="inlineStr">
        <is>
          <t>Select</t>
        </is>
      </c>
      <c r="D21" s="44" t="inlineStr">
        <is>
          <t>Baselines cover defaults, recipes, geometry, options, states, appearance, narrow RTL, and forced colors.</t>
        </is>
      </c>
      <c r="E21" s="43" t="inlineStr">
        <is>
          <t>package</t>
        </is>
      </c>
      <c r="F21" s="43" t="inlineStr">
        <is>
          <t>visual</t>
        </is>
      </c>
      <c r="G21" s="44" t="inlineStr">
        <is>
          <t>tests/components/select/visual.spec.ts</t>
        </is>
      </c>
      <c r="H21" s="43" t="inlineStr">
        <is>
          <t>implemented</t>
        </is>
      </c>
      <c r="I21" s="43" t="inlineStr">
        <is>
          <t>yes</t>
        </is>
      </c>
      <c r="J21" s="45" t="n"/>
      <c r="K21" s="44" t="inlineStr">
        <is>
          <t>Baselines exist and automated comparison passes; final owner visual review is not recorded.</t>
        </is>
      </c>
      <c r="L21" s="43" t="n">
        <v>1</v>
      </c>
      <c r="M21" s="43">
        <f>IF(OR(AND(I21="yes",H21="verified"),AND(I21="no",OR(H21="tested",H21="verified")),AND(H21="not applicable",K21&lt;&gt;"")),1,0)</f>
        <v/>
      </c>
    </row>
    <row r="22" ht="54" customHeight="1" s="34">
      <c r="A22" s="43" t="inlineStr">
        <is>
          <t>S-14</t>
        </is>
      </c>
      <c r="B22" s="43" t="inlineStr">
        <is>
          <t>Responsive</t>
        </is>
      </c>
      <c r="C22" s="43" t="inlineStr">
        <is>
          <t>Trigger/Content</t>
        </is>
      </c>
      <c r="D22" s="44" t="inlineStr">
        <is>
          <t>Physical mobile, 200%/400% zoom, long localization, popup bounds, and RTL remain usable.</t>
        </is>
      </c>
      <c r="E22" s="43" t="inlineStr">
        <is>
          <t>package</t>
        </is>
      </c>
      <c r="F22" s="43" t="inlineStr">
        <is>
          <t>manual</t>
        </is>
      </c>
      <c r="G22" s="44" t="inlineStr">
        <is>
          <t>manual-tests/select.md</t>
        </is>
      </c>
      <c r="H22" s="43" t="inlineStr">
        <is>
          <t>implemented</t>
        </is>
      </c>
      <c r="I22" s="43" t="inlineStr">
        <is>
          <t>yes</t>
        </is>
      </c>
      <c r="J22" s="45" t="n"/>
      <c r="K22" s="44" t="inlineStr">
        <is>
          <t>Protocol is unrun; real device and zoom review remain pending.</t>
        </is>
      </c>
      <c r="L22" s="43" t="n">
        <v>1</v>
      </c>
      <c r="M22" s="43">
        <f>IF(OR(AND(I22="yes",H22="verified"),AND(I22="no",OR(H22="tested",H22="verified")),AND(H22="not applicable",K22&lt;&gt;"")),1,0)</f>
        <v/>
      </c>
    </row>
    <row r="23" ht="54" customHeight="1" s="34">
      <c r="A23" s="43" t="inlineStr">
        <is>
          <t>S-15</t>
        </is>
      </c>
      <c r="B23" s="43" t="inlineStr">
        <is>
          <t>Touch/pen</t>
        </is>
      </c>
      <c r="C23" s="43" t="inlineStr">
        <is>
          <t>Content</t>
        </is>
      </c>
      <c r="D23" s="44" t="inlineStr">
        <is>
          <t>Outside tap dismisses after release while drag, cancellation, and scroll preserve the open Select.</t>
        </is>
      </c>
      <c r="E23" s="43" t="inlineStr">
        <is>
          <t>package</t>
        </is>
      </c>
      <c r="F23" s="43" t="inlineStr">
        <is>
          <t>manual</t>
        </is>
      </c>
      <c r="G23" s="44" t="inlineStr">
        <is>
          <t>manual-tests/select.md; Atom 0.20.11 Select evidence</t>
        </is>
      </c>
      <c r="H23" s="43" t="inlineStr">
        <is>
          <t>implemented</t>
        </is>
      </c>
      <c r="I23" s="43" t="inlineStr">
        <is>
          <t>yes</t>
        </is>
      </c>
      <c r="J23" s="45" t="n"/>
      <c r="K23" s="44" t="inlineStr">
        <is>
          <t>Atom automated evidence passes; Brick real-device protocol is unrun.</t>
        </is>
      </c>
      <c r="L23" s="43" t="n">
        <v>1</v>
      </c>
      <c r="M23" s="43">
        <f>IF(OR(AND(I23="yes",H23="verified"),AND(I23="no",OR(H23="tested",H23="verified")),AND(H23="not applicable",K23&lt;&gt;"")),1,0)</f>
        <v/>
      </c>
    </row>
    <row r="24" ht="54" customHeight="1" s="34">
      <c r="A24" s="43" t="inlineStr">
        <is>
          <t>S-16</t>
        </is>
      </c>
      <c r="B24" s="43" t="inlineStr">
        <is>
          <t>Screen reader</t>
        </is>
      </c>
      <c r="C24" s="43" t="inlineStr">
        <is>
          <t>Select</t>
        </is>
      </c>
      <c r="D24" s="44" t="inlineStr">
        <is>
          <t>macOS/iOS VoiceOver and a second desktop AT/browser announce name, value, groups, states, and options.</t>
        </is>
      </c>
      <c r="E24" s="43" t="inlineStr">
        <is>
          <t>package</t>
        </is>
      </c>
      <c r="F24" s="43" t="inlineStr">
        <is>
          <t>manual</t>
        </is>
      </c>
      <c r="G24" s="44" t="inlineStr">
        <is>
          <t>manual-tests/select.md</t>
        </is>
      </c>
      <c r="H24" s="43" t="inlineStr">
        <is>
          <t>implemented</t>
        </is>
      </c>
      <c r="I24" s="43" t="inlineStr">
        <is>
          <t>yes</t>
        </is>
      </c>
      <c r="J24" s="45" t="n"/>
      <c r="K24" s="44" t="inlineStr">
        <is>
          <t>Assistive-technology protocol is unrun.</t>
        </is>
      </c>
      <c r="L24" s="43" t="n">
        <v>1</v>
      </c>
      <c r="M24" s="43">
        <f>IF(OR(AND(I24="yes",H24="verified"),AND(I24="no",OR(H24="tested",H24="verified")),AND(H24="not applicable",K24&lt;&gt;"")),1,0)</f>
        <v/>
      </c>
    </row>
    <row r="25" ht="23.25" customHeight="1" s="34">
      <c r="A25" s="43" t="inlineStr">
        <is>
          <t>S-17</t>
        </is>
      </c>
      <c r="B25" s="43" t="inlineStr">
        <is>
          <t>Theme</t>
        </is>
      </c>
      <c r="C25" s="43" t="inlineStr">
        <is>
          <t>Select</t>
        </is>
      </c>
      <c r="D25" s="44" t="inlineStr">
        <is>
          <t>Light, dark, focus, invalid, forced-colors, and reduced-motion treatment remain perceivable.</t>
        </is>
      </c>
      <c r="E25" s="43" t="inlineStr">
        <is>
          <t>package</t>
        </is>
      </c>
      <c r="F25" s="43" t="inlineStr">
        <is>
          <t>manual</t>
        </is>
      </c>
      <c r="G25" s="44" t="inlineStr">
        <is>
          <t>manual-tests/select.md; tests/components/select/visual.spec.ts</t>
        </is>
      </c>
      <c r="H25" s="43" t="inlineStr">
        <is>
          <t>implemented</t>
        </is>
      </c>
      <c r="I25" s="43" t="inlineStr">
        <is>
          <t>yes</t>
        </is>
      </c>
      <c r="J25" s="45" t="n"/>
      <c r="K25" s="44" t="inlineStr">
        <is>
          <t>Automated baselines exist; complete human preference review is pending.</t>
        </is>
      </c>
      <c r="L25" s="43" t="n">
        <v>1</v>
      </c>
      <c r="M25" s="43">
        <f>IF(OR(AND(I25="yes",H25="verified"),AND(I25="no",OR(H25="tested",H25="verified")),AND(H25="not applicable",K25&lt;&gt;"")),1,0)</f>
        <v/>
      </c>
    </row>
    <row r="26" ht="23.25" customHeight="1" s="34">
      <c r="A26" s="43" t="inlineStr">
        <is>
          <t>S-18</t>
        </is>
      </c>
      <c r="B26" s="43" t="inlineStr">
        <is>
          <t>Manual</t>
        </is>
      </c>
      <c r="C26" s="43" t="inlineStr">
        <is>
          <t>Select</t>
        </is>
      </c>
      <c r="D26" s="44" t="inlineStr">
        <is>
          <t>The component-owned protocol passes every Select playground scenario in one scalable flow.</t>
        </is>
      </c>
      <c r="E26" s="43" t="inlineStr">
        <is>
          <t>package</t>
        </is>
      </c>
      <c r="F26" s="43" t="inlineStr">
        <is>
          <t>manual</t>
        </is>
      </c>
      <c r="G26" s="44" t="inlineStr">
        <is>
          <t>manual-tests/select.md</t>
        </is>
      </c>
      <c r="H26" s="43" t="inlineStr">
        <is>
          <t>implemented</t>
        </is>
      </c>
      <c r="I26" s="43" t="inlineStr">
        <is>
          <t>yes</t>
        </is>
      </c>
      <c r="J26" s="45" t="n"/>
      <c r="K26" s="44" t="inlineStr">
        <is>
          <t>Protocol is intentionally unrun and contains no claimed result.</t>
        </is>
      </c>
      <c r="L26" s="43" t="n">
        <v>1</v>
      </c>
      <c r="M26" s="43">
        <f>IF(OR(AND(I26="yes",H26="verified"),AND(I26="no",OR(H26="tested",H26="verified")),AND(H26="not applicable",K26&lt;&gt;"")),1,0)</f>
        <v/>
      </c>
    </row>
    <row r="27" ht="23.25" customHeight="1" s="34">
      <c r="A27" s="43" t="inlineStr">
        <is>
          <t>S-19</t>
        </is>
      </c>
      <c r="B27" s="43" t="inlineStr">
        <is>
          <t>Docs</t>
        </is>
      </c>
      <c r="C27" s="43" t="inlineStr">
        <is>
          <t>Select</t>
        </is>
      </c>
      <c r="D27" s="44" t="inlineStr">
        <is>
          <t>Source-backed public usage, API, anatomy, tokens, accessibility, and exclusions pass documentation gates.</t>
        </is>
      </c>
      <c r="E27" s="43" t="inlineStr">
        <is>
          <t>package</t>
        </is>
      </c>
      <c r="F27" s="43" t="inlineStr">
        <is>
          <t>docs</t>
        </is>
      </c>
      <c r="G27" s="44" t="inlineStr">
        <is>
          <t>../docs/components/select/README.md</t>
        </is>
      </c>
      <c r="H27" s="43" t="inlineStr">
        <is>
          <t>tested</t>
        </is>
      </c>
      <c r="I27" s="43" t="inlineStr">
        <is>
          <t>no</t>
        </is>
      </c>
      <c r="J27" s="45" t="n">
        <v>46229</v>
      </c>
      <c r="K27" s="44" t="n"/>
      <c r="L27" s="43" t="n">
        <v>1</v>
      </c>
      <c r="M27" s="43">
        <f>IF(OR(AND(I27="yes",H27="verified"),AND(I27="no",OR(H27="tested",H27="verified")),AND(H27="not applicable",K27&lt;&gt;"")),1,0)</f>
        <v/>
      </c>
    </row>
    <row r="28" ht="23.25" customHeight="1" s="34">
      <c r="A28" s="43" t="inlineStr">
        <is>
          <t>S-20</t>
        </is>
      </c>
      <c r="B28" s="43" t="inlineStr">
        <is>
          <t>Changelog</t>
        </is>
      </c>
      <c r="C28" s="43" t="inlineStr">
        <is>
          <t>Select</t>
        </is>
      </c>
      <c r="D28" s="44" t="inlineStr">
        <is>
          <t>Select owns a component changelog and the package changelog records its public addition.</t>
        </is>
      </c>
      <c r="E28" s="43" t="inlineStr">
        <is>
          <t>package</t>
        </is>
      </c>
      <c r="F28" s="43" t="inlineStr">
        <is>
          <t>docs</t>
        </is>
      </c>
      <c r="G28" s="44" t="inlineStr">
        <is>
          <t>../docs/components/select/CHANGELOG.md; ../CHANGELOG.md</t>
        </is>
      </c>
      <c r="H28" s="43" t="inlineStr">
        <is>
          <t>tested</t>
        </is>
      </c>
      <c r="I28" s="43" t="inlineStr">
        <is>
          <t>no</t>
        </is>
      </c>
      <c r="J28" s="45" t="n">
        <v>46229</v>
      </c>
      <c r="K28" s="44" t="n"/>
      <c r="L28" s="43" t="n">
        <v>1</v>
      </c>
      <c r="M28" s="43">
        <f>IF(OR(AND(I28="yes",H28="verified"),AND(I28="no",OR(H28="tested",H28="verified")),AND(H28="not applicable",K28&lt;&gt;"")),1,0)</f>
        <v/>
      </c>
    </row>
    <row r="29" ht="23.25" customHeight="1" s="34">
      <c r="A29" s="43" t="inlineStr">
        <is>
          <t>S-21</t>
        </is>
      </c>
      <c r="B29" s="43" t="inlineStr">
        <is>
          <t>Consumer</t>
        </is>
      </c>
      <c r="C29" s="43" t="inlineStr">
        <is>
          <t>Select</t>
        </is>
      </c>
      <c r="D29" s="44" t="inlineStr">
        <is>
          <t>Packed Consumer proves a realistic Field/Form plan chooser through the public Select subpath.</t>
        </is>
      </c>
      <c r="E29" s="43" t="inlineStr">
        <is>
          <t>consumer</t>
        </is>
      </c>
      <c r="F29" s="43" t="inlineStr">
        <is>
          <t>consumer</t>
        </is>
      </c>
      <c r="G29" s="44" t="inlineStr">
        <is>
          <t>../apps/consumer/src/App.tsx; ../apps/consumer/tests/consumer.spec.ts</t>
        </is>
      </c>
      <c r="H29" s="43" t="inlineStr">
        <is>
          <t>tested</t>
        </is>
      </c>
      <c r="I29" s="43" t="inlineStr">
        <is>
          <t>no</t>
        </is>
      </c>
      <c r="J29" s="45" t="inlineStr">
        <is>
          <t>2026-07-26</t>
        </is>
      </c>
      <c r="K29" s="44" t="inlineStr">
        <is>
          <t>None. Packed Consumer boundary and Chromium desktop/mobile flows pass.</t>
        </is>
      </c>
      <c r="L29" s="43" t="n">
        <v>1</v>
      </c>
      <c r="M29" s="43">
        <f>IF(OR(AND(I29="yes",H29="verified"),AND(I29="no",OR(H29="tested",H29="verified")),AND(H29="not applicable",K29&lt;&gt;"")),1,0)</f>
        <v/>
      </c>
    </row>
    <row r="30" ht="23.25" customHeight="1" s="34">
      <c r="A30" s="43" t="inlineStr">
        <is>
          <t>S-22</t>
        </is>
      </c>
      <c r="B30" s="43" t="inlineStr">
        <is>
          <t>Package</t>
        </is>
      </c>
      <c r="C30" s="43" t="inlineStr">
        <is>
          <t>Select</t>
        </is>
      </c>
      <c r="D30" s="44" t="inlineStr">
        <is>
          <t>Build, SSR, exports, CSS, tarball, React 18/19, Consumer, and full package gates pass.</t>
        </is>
      </c>
      <c r="E30" s="43" t="inlineStr">
        <is>
          <t>package</t>
        </is>
      </c>
      <c r="F30" s="43" t="inlineStr">
        <is>
          <t>package</t>
        </is>
      </c>
      <c r="G30" s="44" t="inlineStr">
        <is>
          <t>../test/package; ../scripts/verify-package.mjs; ../scripts/verify-consumers.mjs</t>
        </is>
      </c>
      <c r="H30" s="43" t="inlineStr">
        <is>
          <t>tested</t>
        </is>
      </c>
      <c r="I30" s="43" t="inlineStr">
        <is>
          <t>no</t>
        </is>
      </c>
      <c r="J30" s="45" t="inlineStr">
        <is>
          <t>2026-07-26</t>
        </is>
      </c>
      <c r="K30" s="44" t="inlineStr">
        <is>
          <t>None. Full package check, tarball verification, and clean React 18/19 consumers pass.</t>
        </is>
      </c>
      <c r="L30" s="43" t="n">
        <v>1</v>
      </c>
      <c r="M30" s="43">
        <f>IF(OR(AND(I30="yes",H30="verified"),AND(I30="no",OR(H30="tested",H30="verified")),AND(H30="not applicable",K30&lt;&gt;"")),1,0)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M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Multi Select Evidence</t>
        </is>
      </c>
    </row>
    <row r="2" ht="27.75" customHeight="1" s="34">
      <c r="A2" s="36" t="inlineStr">
        <is>
          <t>Assertion-level Atom-backed package, browser, human-review, documentation, Consumer, multiple-selection, positioning, and repeated-value form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MS-01</t>
        </is>
      </c>
      <c r="B9" s="43" t="inlineStr">
        <is>
          <t>Implementation</t>
        </is>
      </c>
      <c r="C9" s="43" t="inlineStr">
        <is>
          <t>Root/Trigger</t>
        </is>
      </c>
      <c r="D9" s="44" t="inlineStr">
        <is>
          <t>Compound Multi Select and visual context adapt released Atom 0.20.11 without recreating behavior.</t>
        </is>
      </c>
      <c r="E9" s="43" t="inlineStr">
        <is>
          <t>package</t>
        </is>
      </c>
      <c r="F9" s="43" t="inlineStr">
        <is>
          <t>source</t>
        </is>
      </c>
      <c r="G9" s="44" t="inlineStr">
        <is>
          <t>../src/components/multi-select</t>
        </is>
      </c>
      <c r="H9" s="43" t="inlineStr">
        <is>
          <t>tested</t>
        </is>
      </c>
      <c r="I9" s="43" t="inlineStr">
        <is>
          <t>no</t>
        </is>
      </c>
      <c r="J9" s="45" t="n">
        <v>46229</v>
      </c>
      <c r="K9" s="44" t="n"/>
      <c r="L9" s="43" t="n">
        <v>1</v>
      </c>
      <c r="M9" s="43">
        <f>IF(OR(AND(I9="yes",H9="verified"),AND(I9="no",OR(H9="tested",H9="verified")),AND(H9="not applicable",K9&lt;&gt;"")),1,0)</f>
        <v/>
      </c>
    </row>
    <row r="10" ht="54" customHeight="1" s="34">
      <c r="A10" s="43" t="inlineStr">
        <is>
          <t>MS-02</t>
        </is>
      </c>
      <c r="B10" s="43" t="inlineStr">
        <is>
          <t>Anatomy</t>
        </is>
      </c>
      <c r="C10" s="43" t="inlineStr">
        <is>
          <t>All parts</t>
        </is>
      </c>
      <c r="D10" s="44" t="inlineStr">
        <is>
          <t>Trigger, Value, Icon, Content/Listbox, Viewport, scroll buttons, Group, Label, Item, ItemText, Indicator, Separator, Portal, and Arrow are styled/exported.</t>
        </is>
      </c>
      <c r="E10" s="43" t="inlineStr">
        <is>
          <t>package</t>
        </is>
      </c>
      <c r="F10" s="43" t="inlineStr">
        <is>
          <t>component</t>
        </is>
      </c>
      <c r="G10" s="44" t="inlineStr">
        <is>
          <t>../test/components/multi-select/multi-select.test.tsx</t>
        </is>
      </c>
      <c r="H10" s="43" t="inlineStr">
        <is>
          <t>tested</t>
        </is>
      </c>
      <c r="I10" s="43" t="inlineStr">
        <is>
          <t>no</t>
        </is>
      </c>
      <c r="J10" s="45" t="n">
        <v>46229</v>
      </c>
      <c r="K10" s="44" t="n"/>
      <c r="L10" s="43" t="n">
        <v>1</v>
      </c>
      <c r="M10" s="43">
        <f>IF(OR(AND(I10="yes",H10="verified"),AND(I10="no",OR(H10="tested",H10="verified")),AND(H10="not applicable",K10&lt;&gt;"")),1,0)</f>
        <v/>
      </c>
    </row>
    <row r="11" ht="54" customHeight="1" s="34">
      <c r="A11" s="43" t="inlineStr">
        <is>
          <t>MS-03</t>
        </is>
      </c>
      <c r="B11" s="43" t="inlineStr">
        <is>
          <t>Exports</t>
        </is>
      </c>
      <c r="C11" s="43" t="inlineStr">
        <is>
          <t>Multi Select</t>
        </is>
      </c>
      <c r="D11" s="44" t="inlineStr">
        <is>
          <t>Root and multi-select subpath exports expose the namespace, named parts, and public types.</t>
        </is>
      </c>
      <c r="E11" s="43" t="inlineStr">
        <is>
          <t>package</t>
        </is>
      </c>
      <c r="F11" s="43" t="inlineStr">
        <is>
          <t>package</t>
        </is>
      </c>
      <c r="G11" s="44" t="inlineStr">
        <is>
          <t>../test/package/package.test.mjs</t>
        </is>
      </c>
      <c r="H11" s="43" t="inlineStr">
        <is>
          <t>tested</t>
        </is>
      </c>
      <c r="I11" s="43" t="inlineStr">
        <is>
          <t>no</t>
        </is>
      </c>
      <c r="J11" s="45" t="n">
        <v>46229</v>
      </c>
      <c r="K11" s="44" t="n"/>
      <c r="L11" s="43" t="n">
        <v>1</v>
      </c>
      <c r="M11" s="43">
        <f>IF(OR(AND(I11="yes",H11="verified"),AND(I11="no",OR(H11="tested",H11="verified")),AND(H11="not applicable",K11&lt;&gt;"")),1,0)</f>
        <v/>
      </c>
    </row>
    <row r="12" ht="54" customHeight="1" s="34">
      <c r="A12" s="43" t="inlineStr">
        <is>
          <t>MS-04</t>
        </is>
      </c>
      <c r="B12" s="43" t="inlineStr">
        <is>
          <t>Types</t>
        </is>
      </c>
      <c r="C12" s="43" t="inlineStr">
        <is>
          <t>Root/parts</t>
        </is>
      </c>
      <c r="D12" s="44" t="inlineStr">
        <is>
          <t>Recipes, refs, Arrow children, underline shape exclusion, and array-valued selection type-check.</t>
        </is>
      </c>
      <c r="E12" s="43" t="inlineStr">
        <is>
          <t>package</t>
        </is>
      </c>
      <c r="F12" s="43" t="inlineStr">
        <is>
          <t>types</t>
        </is>
      </c>
      <c r="G12" s="44" t="inlineStr">
        <is>
          <t>../test/types/components/multi-select.test.ts</t>
        </is>
      </c>
      <c r="H12" s="43" t="inlineStr">
        <is>
          <t>tested</t>
        </is>
      </c>
      <c r="I12" s="43" t="inlineStr">
        <is>
          <t>no</t>
        </is>
      </c>
      <c r="J12" s="45" t="n">
        <v>46229</v>
      </c>
      <c r="K12" s="44" t="n"/>
      <c r="L12" s="43" t="n">
        <v>1</v>
      </c>
      <c r="M12" s="43">
        <f>IF(OR(AND(I12="yes",H12="verified"),AND(I12="no",OR(H12="tested",H12="verified")),AND(H12="not applicable",K12&lt;&gt;"")),1,0)</f>
        <v/>
      </c>
    </row>
    <row r="13" ht="54" customHeight="1" s="34">
      <c r="A13" s="43" t="inlineStr">
        <is>
          <t>MS-05</t>
        </is>
      </c>
      <c r="B13" s="43" t="inlineStr">
        <is>
          <t>CSS</t>
        </is>
      </c>
      <c r="C13" s="43" t="inlineStr">
        <is>
          <t>Trigger/Content/Item</t>
        </is>
      </c>
      <c r="D13" s="44" t="inlineStr">
        <is>
          <t>Static CSS ships recipes, geometry, states, popup, options, artwork, and documented variables.</t>
        </is>
      </c>
      <c r="E13" s="43" t="inlineStr">
        <is>
          <t>package</t>
        </is>
      </c>
      <c r="F13" s="43" t="inlineStr">
        <is>
          <t>css</t>
        </is>
      </c>
      <c r="G13" s="44" t="inlineStr">
        <is>
          <t>../src/components/multi-select/multi-select.css</t>
        </is>
      </c>
      <c r="H13" s="43" t="inlineStr">
        <is>
          <t>tested</t>
        </is>
      </c>
      <c r="I13" s="43" t="inlineStr">
        <is>
          <t>no</t>
        </is>
      </c>
      <c r="J13" s="45" t="n">
        <v>46229</v>
      </c>
      <c r="K13" s="44" t="n"/>
      <c r="L13" s="43" t="n">
        <v>1</v>
      </c>
      <c r="M13" s="43">
        <f>IF(OR(AND(I13="yes",H13="verified"),AND(I13="no",OR(H13="tested",H13="verified")),AND(H13="not applicable",K13&lt;&gt;"")),1,0)</f>
        <v/>
      </c>
    </row>
    <row r="14" ht="54" customHeight="1" s="34">
      <c r="A14" s="43" t="inlineStr">
        <is>
          <t>MS-06</t>
        </is>
      </c>
      <c r="B14" s="43" t="inlineStr">
        <is>
          <t>Labels</t>
        </is>
      </c>
      <c r="C14" s="43" t="inlineStr">
        <is>
          <t>Root/ItemText</t>
        </is>
      </c>
      <c r="D14" s="44" t="inlineStr">
        <is>
          <t>Closed summaries resolve authored ItemText labels before popup mount and update for several selected values.</t>
        </is>
      </c>
      <c r="E14" s="43" t="inlineStr">
        <is>
          <t>package</t>
        </is>
      </c>
      <c r="F14" s="43" t="inlineStr">
        <is>
          <t>component</t>
        </is>
      </c>
      <c r="G14" s="44" t="inlineStr">
        <is>
          <t>../test/components/multi-select/multi-select.test.tsx; tests/components/multi-select/behavior.spec.ts</t>
        </is>
      </c>
      <c r="H14" s="43" t="inlineStr">
        <is>
          <t>tested</t>
        </is>
      </c>
      <c r="I14" s="43" t="inlineStr">
        <is>
          <t>no</t>
        </is>
      </c>
      <c r="J14" s="45" t="n">
        <v>46229</v>
      </c>
      <c r="K14" s="44" t="n"/>
      <c r="L14" s="43" t="n">
        <v>1</v>
      </c>
      <c r="M14" s="43">
        <f>IF(OR(AND(I14="yes",H14="verified"),AND(I14="no",OR(H14="tested",H14="verified")),AND(H14="not applicable",K14&lt;&gt;"")),1,0)</f>
        <v/>
      </c>
    </row>
    <row r="15" ht="54" customHeight="1" s="34">
      <c r="A15" s="43" t="inlineStr">
        <is>
          <t>MS-07</t>
        </is>
      </c>
      <c r="B15" s="43" t="inlineStr">
        <is>
          <t>Recipes</t>
        </is>
      </c>
      <c r="C15" s="43" t="inlineStr">
        <is>
          <t>Root/Trigger</t>
        </is>
      </c>
      <c r="D15" s="44" t="inlineStr">
        <is>
          <t>Outline, soft, underline, sm/md/lg, shapes, and full/intrinsic width change only their named dimensions.</t>
        </is>
      </c>
      <c r="E15" s="43" t="inlineStr">
        <is>
          <t>package</t>
        </is>
      </c>
      <c r="F15" s="43" t="inlineStr">
        <is>
          <t>browser</t>
        </is>
      </c>
      <c r="G15" s="44" t="inlineStr">
        <is>
          <t>tests/components/multi-select/behavior.spec.ts</t>
        </is>
      </c>
      <c r="H15" s="43" t="inlineStr">
        <is>
          <t>tested</t>
        </is>
      </c>
      <c r="I15" s="43" t="inlineStr">
        <is>
          <t>no</t>
        </is>
      </c>
      <c r="J15" s="45" t="n">
        <v>46229</v>
      </c>
      <c r="K15" s="44" t="n"/>
      <c r="L15" s="43" t="n">
        <v>1</v>
      </c>
      <c r="M15" s="43">
        <f>IF(OR(AND(I15="yes",H15="verified"),AND(I15="no",OR(H15="tested",H15="verified")),AND(H15="not applicable",K15&lt;&gt;"")),1,0)</f>
        <v/>
      </c>
    </row>
    <row r="16" ht="54" customHeight="1" s="34">
      <c r="A16" s="43" t="inlineStr">
        <is>
          <t>MS-08</t>
        </is>
      </c>
      <c r="B16" s="43" t="inlineStr">
        <is>
          <t>Interaction</t>
        </is>
      </c>
      <c r="C16" s="43" t="inlineStr">
        <is>
          <t>Root/Trigger/Item</t>
        </is>
      </c>
      <c r="D16" s="44" t="inlineStr">
        <is>
          <t>Pointer and keyboard open, navigation, buffered typeahead, toggle selection without closing, Escape, focus return, and disabled skip remain Atom-owned.</t>
        </is>
      </c>
      <c r="E16" s="43" t="inlineStr">
        <is>
          <t>package</t>
        </is>
      </c>
      <c r="F16" s="43" t="inlineStr">
        <is>
          <t>browser</t>
        </is>
      </c>
      <c r="G16" s="44" t="inlineStr">
        <is>
          <t>tests/components/multi-select/behavior.spec.ts; Atom 0.20.11 Multi Select suite</t>
        </is>
      </c>
      <c r="H16" s="43" t="inlineStr">
        <is>
          <t>tested</t>
        </is>
      </c>
      <c r="I16" s="43" t="inlineStr">
        <is>
          <t>no</t>
        </is>
      </c>
      <c r="J16" s="45" t="n">
        <v>46229</v>
      </c>
      <c r="K16" s="44" t="n"/>
      <c r="L16" s="43" t="n">
        <v>1</v>
      </c>
      <c r="M16" s="43">
        <f>IF(OR(AND(I16="yes",H16="verified"),AND(I16="no",OR(H16="tested",H16="verified")),AND(H16="not applicable",K16&lt;&gt;"")),1,0)</f>
        <v/>
      </c>
    </row>
    <row r="17" ht="54" customHeight="1" s="34">
      <c r="A17" s="43" t="inlineStr">
        <is>
          <t>MS-09</t>
        </is>
      </c>
      <c r="B17" s="43" t="inlineStr">
        <is>
          <t>Options</t>
        </is>
      </c>
      <c r="C17" s="43" t="inlineStr">
        <is>
          <t>Group/Viewport/Arrow</t>
        </is>
      </c>
      <c r="D17" s="44" t="inlineStr">
        <is>
          <t>Groups, labels, separator, long scrolling, conditional controls, and matching collision side/alignment are exposed.</t>
        </is>
      </c>
      <c r="E17" s="43" t="inlineStr">
        <is>
          <t>package</t>
        </is>
      </c>
      <c r="F17" s="43" t="inlineStr">
        <is>
          <t>browser</t>
        </is>
      </c>
      <c r="G17" s="44" t="inlineStr">
        <is>
          <t>tests/components/multi-select/behavior.spec.ts</t>
        </is>
      </c>
      <c r="H17" s="43" t="inlineStr">
        <is>
          <t>tested</t>
        </is>
      </c>
      <c r="I17" s="43" t="inlineStr">
        <is>
          <t>no</t>
        </is>
      </c>
      <c r="J17" s="45" t="n">
        <v>46229</v>
      </c>
      <c r="K17" s="44" t="n"/>
      <c r="L17" s="43" t="n">
        <v>1</v>
      </c>
      <c r="M17" s="43">
        <f>IF(OR(AND(I17="yes",H17="verified"),AND(I17="no",OR(H17="tested",H17="verified")),AND(H17="not applicable",K17&lt;&gt;"")),1,0)</f>
        <v/>
      </c>
    </row>
    <row r="18" ht="54" customHeight="1" s="34">
      <c r="A18" s="43" t="inlineStr">
        <is>
          <t>MS-10</t>
        </is>
      </c>
      <c r="B18" s="43" t="inlineStr">
        <is>
          <t>Forms</t>
        </is>
      </c>
      <c r="C18" s="43" t="inlineStr">
        <is>
          <t>Root/Trigger</t>
        </is>
      </c>
      <c r="D18" s="44" t="inlineStr">
        <is>
          <t>Field relationships, required validity, repeated-value native submit/reset, external form ownership, and validation use Atom's native multiple proxy.</t>
        </is>
      </c>
      <c r="E18" s="43" t="inlineStr">
        <is>
          <t>package</t>
        </is>
      </c>
      <c r="F18" s="43" t="inlineStr">
        <is>
          <t>browser</t>
        </is>
      </c>
      <c r="G18" s="44" t="inlineStr">
        <is>
          <t>tests/components/multi-select/behavior.spec.ts; Atom 0.20.11 Multi Select suite</t>
        </is>
      </c>
      <c r="H18" s="43" t="inlineStr">
        <is>
          <t>tested</t>
        </is>
      </c>
      <c r="I18" s="43" t="inlineStr">
        <is>
          <t>no</t>
        </is>
      </c>
      <c r="J18" s="45" t="n">
        <v>46229</v>
      </c>
      <c r="K18" s="44" t="n"/>
      <c r="L18" s="43" t="n">
        <v>1</v>
      </c>
      <c r="M18" s="43">
        <f>IF(OR(AND(I18="yes",H18="verified"),AND(I18="no",OR(H18="tested",H18="verified")),AND(H18="not applicable",K18&lt;&gt;"")),1,0)</f>
        <v/>
      </c>
    </row>
    <row r="19" ht="54" customHeight="1" s="34">
      <c r="A19" s="43" t="inlineStr">
        <is>
          <t>MS-11</t>
        </is>
      </c>
      <c r="B19" s="43" t="inlineStr">
        <is>
          <t>Composition</t>
        </is>
      </c>
      <c r="C19" s="43" t="inlineStr">
        <is>
          <t>Trigger/Portal</t>
        </is>
      </c>
      <c r="D19" s="44" t="inlineStr">
        <is>
          <t>Trigger asChild/render and portal/container paths retain props, one host, positioning, and refs.</t>
        </is>
      </c>
      <c r="E19" s="43" t="inlineStr">
        <is>
          <t>package</t>
        </is>
      </c>
      <c r="F19" s="43" t="inlineStr">
        <is>
          <t>component</t>
        </is>
      </c>
      <c r="G19" s="44" t="inlineStr">
        <is>
          <t>../test/components/multi-select/multi-select.test.tsx; tests/components/multi-select/behavior.spec.ts</t>
        </is>
      </c>
      <c r="H19" s="43" t="inlineStr">
        <is>
          <t>tested</t>
        </is>
      </c>
      <c r="I19" s="43" t="inlineStr">
        <is>
          <t>no</t>
        </is>
      </c>
      <c r="J19" s="45" t="n">
        <v>46229</v>
      </c>
      <c r="K19" s="44" t="n"/>
      <c r="L19" s="43" t="n">
        <v>1</v>
      </c>
      <c r="M19" s="43">
        <f>IF(OR(AND(I19="yes",H19="verified"),AND(I19="no",OR(H19="tested",H19="verified")),AND(H19="not applicable",K19&lt;&gt;"")),1,0)</f>
        <v/>
      </c>
    </row>
    <row r="20" ht="54" customHeight="1" s="34">
      <c r="A20" s="43" t="inlineStr">
        <is>
          <t>MS-12</t>
        </is>
      </c>
      <c r="B20" s="43" t="inlineStr">
        <is>
          <t>Accessibility</t>
        </is>
      </c>
      <c r="C20" s="43" t="inlineStr">
        <is>
          <t>Multi Select</t>
        </is>
      </c>
      <c r="D20" s="44" t="inlineStr">
        <is>
          <t>Field naming, button/listbox states, aria-multiselectable, selected options, disabled options, decorative artwork, and axe checks pass.</t>
        </is>
      </c>
      <c r="E20" s="43" t="inlineStr">
        <is>
          <t>package</t>
        </is>
      </c>
      <c r="F20" s="43" t="inlineStr">
        <is>
          <t>axe</t>
        </is>
      </c>
      <c r="G20" s="44" t="inlineStr">
        <is>
          <t>tests/components/multi-select/behavior.spec.ts</t>
        </is>
      </c>
      <c r="H20" s="43" t="inlineStr">
        <is>
          <t>tested</t>
        </is>
      </c>
      <c r="I20" s="43" t="inlineStr">
        <is>
          <t>no</t>
        </is>
      </c>
      <c r="J20" s="45" t="n">
        <v>46229</v>
      </c>
      <c r="K20" s="44" t="n"/>
      <c r="L20" s="43" t="n">
        <v>1</v>
      </c>
      <c r="M20" s="43">
        <f>IF(OR(AND(I20="yes",H20="verified"),AND(I20="no",OR(H20="tested",H20="verified")),AND(H20="not applicable",K20&lt;&gt;"")),1,0)</f>
        <v/>
      </c>
    </row>
    <row r="21" ht="54" customHeight="1" s="34">
      <c r="A21" s="43" t="inlineStr">
        <is>
          <t>MS-13</t>
        </is>
      </c>
      <c r="B21" s="43" t="inlineStr">
        <is>
          <t>Visual</t>
        </is>
      </c>
      <c r="C21" s="43" t="inlineStr">
        <is>
          <t>Multi Select</t>
        </is>
      </c>
      <c r="D21" s="44" t="inlineStr">
        <is>
          <t>Baselines cover defaults, recipes, geometry, options, states, appearance, narrow RTL, and forced colors.</t>
        </is>
      </c>
      <c r="E21" s="43" t="inlineStr">
        <is>
          <t>package</t>
        </is>
      </c>
      <c r="F21" s="43" t="inlineStr">
        <is>
          <t>visual</t>
        </is>
      </c>
      <c r="G21" s="44" t="inlineStr">
        <is>
          <t>tests/components/multi-select/visual.spec.ts</t>
        </is>
      </c>
      <c r="H21" s="43" t="inlineStr">
        <is>
          <t>implemented</t>
        </is>
      </c>
      <c r="I21" s="43" t="inlineStr">
        <is>
          <t>yes</t>
        </is>
      </c>
      <c r="J21" s="45" t="n"/>
      <c r="K21" s="44" t="inlineStr">
        <is>
          <t>Baselines exist and automated comparison passes; final owner visual review is not recorded.</t>
        </is>
      </c>
      <c r="L21" s="43" t="n">
        <v>1</v>
      </c>
      <c r="M21" s="43">
        <f>IF(OR(AND(I21="yes",H21="verified"),AND(I21="no",OR(H21="tested",H21="verified")),AND(H21="not applicable",K21&lt;&gt;"")),1,0)</f>
        <v/>
      </c>
    </row>
    <row r="22" ht="54" customHeight="1" s="34">
      <c r="A22" s="43" t="inlineStr">
        <is>
          <t>MS-14</t>
        </is>
      </c>
      <c r="B22" s="43" t="inlineStr">
        <is>
          <t>Responsive</t>
        </is>
      </c>
      <c r="C22" s="43" t="inlineStr">
        <is>
          <t>Trigger/Content</t>
        </is>
      </c>
      <c r="D22" s="44" t="inlineStr">
        <is>
          <t>Physical mobile, 200%/400% zoom, long localization, popup bounds, and RTL remain usable.</t>
        </is>
      </c>
      <c r="E22" s="43" t="inlineStr">
        <is>
          <t>package</t>
        </is>
      </c>
      <c r="F22" s="43" t="inlineStr">
        <is>
          <t>manual</t>
        </is>
      </c>
      <c r="G22" s="44" t="inlineStr">
        <is>
          <t>manual-tests/multi-select.md</t>
        </is>
      </c>
      <c r="H22" s="43" t="inlineStr">
        <is>
          <t>implemented</t>
        </is>
      </c>
      <c r="I22" s="43" t="inlineStr">
        <is>
          <t>yes</t>
        </is>
      </c>
      <c r="J22" s="45" t="n"/>
      <c r="K22" s="44" t="inlineStr">
        <is>
          <t>Protocol is unrun; real device and zoom review remain pending.</t>
        </is>
      </c>
      <c r="L22" s="43" t="n">
        <v>1</v>
      </c>
      <c r="M22" s="43">
        <f>IF(OR(AND(I22="yes",H22="verified"),AND(I22="no",OR(H22="tested",H22="verified")),AND(H22="not applicable",K22&lt;&gt;"")),1,0)</f>
        <v/>
      </c>
    </row>
    <row r="23" ht="54" customHeight="1" s="34">
      <c r="A23" s="43" t="inlineStr">
        <is>
          <t>MS-15</t>
        </is>
      </c>
      <c r="B23" s="43" t="inlineStr">
        <is>
          <t>Touch/pen</t>
        </is>
      </c>
      <c r="C23" s="43" t="inlineStr">
        <is>
          <t>Content</t>
        </is>
      </c>
      <c r="D23" s="44" t="inlineStr">
        <is>
          <t>Outside tap dismisses after release while drag, cancellation, and scroll preserve the open Multi Select.</t>
        </is>
      </c>
      <c r="E23" s="43" t="inlineStr">
        <is>
          <t>package</t>
        </is>
      </c>
      <c r="F23" s="43" t="inlineStr">
        <is>
          <t>manual</t>
        </is>
      </c>
      <c r="G23" s="44" t="inlineStr">
        <is>
          <t>manual-tests/multi-select.md; Atom 0.20.11 Multi Select evidence</t>
        </is>
      </c>
      <c r="H23" s="43" t="inlineStr">
        <is>
          <t>implemented</t>
        </is>
      </c>
      <c r="I23" s="43" t="inlineStr">
        <is>
          <t>yes</t>
        </is>
      </c>
      <c r="J23" s="45" t="n"/>
      <c r="K23" s="44" t="inlineStr">
        <is>
          <t>Atom automated evidence passes; Brick real-device protocol is unrun.</t>
        </is>
      </c>
      <c r="L23" s="43" t="n">
        <v>1</v>
      </c>
      <c r="M23" s="43">
        <f>IF(OR(AND(I23="yes",H23="verified"),AND(I23="no",OR(H23="tested",H23="verified")),AND(H23="not applicable",K23&lt;&gt;"")),1,0)</f>
        <v/>
      </c>
    </row>
    <row r="24" ht="54" customHeight="1" s="34">
      <c r="A24" s="43" t="inlineStr">
        <is>
          <t>MS-16</t>
        </is>
      </c>
      <c r="B24" s="43" t="inlineStr">
        <is>
          <t>Screen reader</t>
        </is>
      </c>
      <c r="C24" s="43" t="inlineStr">
        <is>
          <t>Multi Select</t>
        </is>
      </c>
      <c r="D24" s="44" t="inlineStr">
        <is>
          <t>macOS/iOS VoiceOver and a second desktop AT/browser announce name, value, groups, states, and options.</t>
        </is>
      </c>
      <c r="E24" s="43" t="inlineStr">
        <is>
          <t>package</t>
        </is>
      </c>
      <c r="F24" s="43" t="inlineStr">
        <is>
          <t>manual</t>
        </is>
      </c>
      <c r="G24" s="44" t="inlineStr">
        <is>
          <t>manual-tests/multi-select.md</t>
        </is>
      </c>
      <c r="H24" s="43" t="inlineStr">
        <is>
          <t>implemented</t>
        </is>
      </c>
      <c r="I24" s="43" t="inlineStr">
        <is>
          <t>yes</t>
        </is>
      </c>
      <c r="J24" s="45" t="n"/>
      <c r="K24" s="44" t="inlineStr">
        <is>
          <t>Assistive-technology protocol is unrun.</t>
        </is>
      </c>
      <c r="L24" s="43" t="n">
        <v>1</v>
      </c>
      <c r="M24" s="43">
        <f>IF(OR(AND(I24="yes",H24="verified"),AND(I24="no",OR(H24="tested",H24="verified")),AND(H24="not applicable",K24&lt;&gt;"")),1,0)</f>
        <v/>
      </c>
    </row>
    <row r="25" ht="23.25" customHeight="1" s="34">
      <c r="A25" s="43" t="inlineStr">
        <is>
          <t>MS-17</t>
        </is>
      </c>
      <c r="B25" s="43" t="inlineStr">
        <is>
          <t>Theme</t>
        </is>
      </c>
      <c r="C25" s="43" t="inlineStr">
        <is>
          <t>Multi Select</t>
        </is>
      </c>
      <c r="D25" s="44" t="inlineStr">
        <is>
          <t>Light, dark, focus, invalid, forced-colors, and reduced-motion treatment remain perceivable.</t>
        </is>
      </c>
      <c r="E25" s="43" t="inlineStr">
        <is>
          <t>package</t>
        </is>
      </c>
      <c r="F25" s="43" t="inlineStr">
        <is>
          <t>manual</t>
        </is>
      </c>
      <c r="G25" s="44" t="inlineStr">
        <is>
          <t>manual-tests/multi-select.md; tests/components/multi-select/visual.spec.ts</t>
        </is>
      </c>
      <c r="H25" s="43" t="inlineStr">
        <is>
          <t>implemented</t>
        </is>
      </c>
      <c r="I25" s="43" t="inlineStr">
        <is>
          <t>yes</t>
        </is>
      </c>
      <c r="J25" s="45" t="n"/>
      <c r="K25" s="44" t="inlineStr">
        <is>
          <t>Automated baselines exist; complete human preference review is pending.</t>
        </is>
      </c>
      <c r="L25" s="43" t="n">
        <v>1</v>
      </c>
      <c r="M25" s="43">
        <f>IF(OR(AND(I25="yes",H25="verified"),AND(I25="no",OR(H25="tested",H25="verified")),AND(H25="not applicable",K25&lt;&gt;"")),1,0)</f>
        <v/>
      </c>
    </row>
    <row r="26" ht="23.25" customHeight="1" s="34">
      <c r="A26" s="43" t="inlineStr">
        <is>
          <t>MS-18</t>
        </is>
      </c>
      <c r="B26" s="43" t="inlineStr">
        <is>
          <t>Manual</t>
        </is>
      </c>
      <c r="C26" s="43" t="inlineStr">
        <is>
          <t>Multi Select</t>
        </is>
      </c>
      <c r="D26" s="44" t="inlineStr">
        <is>
          <t>The component-owned protocol passes every Multi Select playground scenario in one scalable flow.</t>
        </is>
      </c>
      <c r="E26" s="43" t="inlineStr">
        <is>
          <t>package</t>
        </is>
      </c>
      <c r="F26" s="43" t="inlineStr">
        <is>
          <t>manual</t>
        </is>
      </c>
      <c r="G26" s="44" t="inlineStr">
        <is>
          <t>manual-tests/multi-select.md</t>
        </is>
      </c>
      <c r="H26" s="43" t="inlineStr">
        <is>
          <t>implemented</t>
        </is>
      </c>
      <c r="I26" s="43" t="inlineStr">
        <is>
          <t>yes</t>
        </is>
      </c>
      <c r="J26" s="45" t="n"/>
      <c r="K26" s="44" t="inlineStr">
        <is>
          <t>Protocol is intentionally unrun and contains no claimed result.</t>
        </is>
      </c>
      <c r="L26" s="43" t="n">
        <v>1</v>
      </c>
      <c r="M26" s="43">
        <f>IF(OR(AND(I26="yes",H26="verified"),AND(I26="no",OR(H26="tested",H26="verified")),AND(H26="not applicable",K26&lt;&gt;"")),1,0)</f>
        <v/>
      </c>
    </row>
    <row r="27" ht="23.25" customHeight="1" s="34">
      <c r="A27" s="43" t="inlineStr">
        <is>
          <t>MS-19</t>
        </is>
      </c>
      <c r="B27" s="43" t="inlineStr">
        <is>
          <t>Docs</t>
        </is>
      </c>
      <c r="C27" s="43" t="inlineStr">
        <is>
          <t>Multi Select</t>
        </is>
      </c>
      <c r="D27" s="44" t="inlineStr">
        <is>
          <t>Source-backed public usage, API, anatomy, tokens, accessibility, and exclusions pass documentation gates.</t>
        </is>
      </c>
      <c r="E27" s="43" t="inlineStr">
        <is>
          <t>package</t>
        </is>
      </c>
      <c r="F27" s="43" t="inlineStr">
        <is>
          <t>docs</t>
        </is>
      </c>
      <c r="G27" s="44" t="inlineStr">
        <is>
          <t>../docs/components/multi-select/README.md</t>
        </is>
      </c>
      <c r="H27" s="43" t="inlineStr">
        <is>
          <t>tested</t>
        </is>
      </c>
      <c r="I27" s="43" t="inlineStr">
        <is>
          <t>no</t>
        </is>
      </c>
      <c r="J27" s="45" t="n">
        <v>46229</v>
      </c>
      <c r="K27" s="44" t="n"/>
      <c r="L27" s="43" t="n">
        <v>1</v>
      </c>
      <c r="M27" s="43">
        <f>IF(OR(AND(I27="yes",H27="verified"),AND(I27="no",OR(H27="tested",H27="verified")),AND(H27="not applicable",K27&lt;&gt;"")),1,0)</f>
        <v/>
      </c>
    </row>
    <row r="28" ht="23.25" customHeight="1" s="34">
      <c r="A28" s="43" t="inlineStr">
        <is>
          <t>MS-20</t>
        </is>
      </c>
      <c r="B28" s="43" t="inlineStr">
        <is>
          <t>Changelog</t>
        </is>
      </c>
      <c r="C28" s="43" t="inlineStr">
        <is>
          <t>Multi Select</t>
        </is>
      </c>
      <c r="D28" s="44" t="inlineStr">
        <is>
          <t>Multi Select owns a component changelog and the package changelog records its public addition.</t>
        </is>
      </c>
      <c r="E28" s="43" t="inlineStr">
        <is>
          <t>package</t>
        </is>
      </c>
      <c r="F28" s="43" t="inlineStr">
        <is>
          <t>docs</t>
        </is>
      </c>
      <c r="G28" s="44" t="inlineStr">
        <is>
          <t>../docs/components/multi-select/CHANGELOG.md; ../CHANGELOG.md</t>
        </is>
      </c>
      <c r="H28" s="43" t="inlineStr">
        <is>
          <t>tested</t>
        </is>
      </c>
      <c r="I28" s="43" t="inlineStr">
        <is>
          <t>no</t>
        </is>
      </c>
      <c r="J28" s="45" t="n">
        <v>46229</v>
      </c>
      <c r="K28" s="44" t="n"/>
      <c r="L28" s="43" t="n">
        <v>1</v>
      </c>
      <c r="M28" s="43">
        <f>IF(OR(AND(I28="yes",H28="verified"),AND(I28="no",OR(H28="tested",H28="verified")),AND(H28="not applicable",K28&lt;&gt;"")),1,0)</f>
        <v/>
      </c>
    </row>
    <row r="29" ht="23.25" customHeight="1" s="34">
      <c r="A29" s="43" t="inlineStr">
        <is>
          <t>MS-21</t>
        </is>
      </c>
      <c r="B29" s="43" t="inlineStr">
        <is>
          <t>Consumer</t>
        </is>
      </c>
      <c r="C29" s="43" t="inlineStr">
        <is>
          <t>Multi Select</t>
        </is>
      </c>
      <c r="D29" s="44" t="inlineStr">
        <is>
          <t>Packed Consumer proves a realistic Field/Form team-skills chooser through the public Multi Select subpath.</t>
        </is>
      </c>
      <c r="E29" s="43" t="inlineStr">
        <is>
          <t>consumer</t>
        </is>
      </c>
      <c r="F29" s="43" t="inlineStr">
        <is>
          <t>consumer</t>
        </is>
      </c>
      <c r="G29" s="44" t="inlineStr">
        <is>
          <t>../apps/consumer/src/App.tsx; ../apps/consumer/tests/consumer.spec.ts</t>
        </is>
      </c>
      <c r="H29" s="43" t="inlineStr">
        <is>
          <t>tested</t>
        </is>
      </c>
      <c r="I29" s="43" t="inlineStr">
        <is>
          <t>no</t>
        </is>
      </c>
      <c r="J29" s="45" t="n">
        <v>46229</v>
      </c>
      <c r="K29" s="44" t="inlineStr">
        <is>
          <t>None. Packed Consumer boundary and Chromium desktop/mobile flows pass.</t>
        </is>
      </c>
      <c r="L29" s="43" t="n">
        <v>1</v>
      </c>
      <c r="M29" s="43">
        <f>IF(OR(AND(I29="yes",H29="verified"),AND(I29="no",OR(H29="tested",H29="verified")),AND(H29="not applicable",K29&lt;&gt;"")),1,0)</f>
        <v/>
      </c>
    </row>
    <row r="30" ht="23.25" customHeight="1" s="34">
      <c r="A30" s="43" t="inlineStr">
        <is>
          <t>MS-22</t>
        </is>
      </c>
      <c r="B30" s="43" t="inlineStr">
        <is>
          <t>Package</t>
        </is>
      </c>
      <c r="C30" s="43" t="inlineStr">
        <is>
          <t>Multi Select</t>
        </is>
      </c>
      <c r="D30" s="44" t="inlineStr">
        <is>
          <t>Build, SSR, exports, CSS, tarball, React 18/19, Consumer, and full package gates pass.</t>
        </is>
      </c>
      <c r="E30" s="43" t="inlineStr">
        <is>
          <t>package</t>
        </is>
      </c>
      <c r="F30" s="43" t="inlineStr">
        <is>
          <t>package</t>
        </is>
      </c>
      <c r="G30" s="44" t="inlineStr">
        <is>
          <t>../test/package; ../scripts/verify-package.mjs; ../scripts/verify-consumers.mjs</t>
        </is>
      </c>
      <c r="H30" s="43" t="inlineStr">
        <is>
          <t>tested</t>
        </is>
      </c>
      <c r="I30" s="43" t="inlineStr">
        <is>
          <t>no</t>
        </is>
      </c>
      <c r="J30" s="45" t="n">
        <v>46229</v>
      </c>
      <c r="K30" s="44" t="inlineStr">
        <is>
          <t>None. Full package check, tarball verification, and clean React 18/19 consumers pass.</t>
        </is>
      </c>
      <c r="L30" s="43" t="n">
        <v>1</v>
      </c>
      <c r="M30" s="43">
        <f>IF(OR(AND(I30="yes",H30="verified"),AND(I30="no",OR(H30="tested",H30="verified")),AND(H30="not applicable",K30&lt;&gt;"")),1,0)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8067DC"/>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Textarea Evidence</t>
        </is>
      </c>
    </row>
    <row r="2" ht="27.75" customHeight="1" s="34">
      <c r="A2" s="36" t="inlineStr">
        <is>
          <t>Assertion-level Atom-backed package, browser, human-review, documentation, Consumer, resize, auto-resize, counting, and native form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IF(COUNTIFS(E9:E30,"package",M9:M30,0)&gt;0,"open","complete")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TA-01</t>
        </is>
      </c>
      <c r="B9" s="43" t="inlineStr">
        <is>
          <t>Implementation</t>
        </is>
      </c>
      <c r="C9" s="43" t="inlineStr">
        <is>
          <t>Root</t>
        </is>
      </c>
      <c r="D9" s="44" t="inlineStr">
        <is>
          <t>Brick adapts the released Atom 0.20.11 Textarea primitive without recreating behavior.</t>
        </is>
      </c>
      <c r="E9" s="43" t="inlineStr">
        <is>
          <t>package</t>
        </is>
      </c>
      <c r="F9" s="43" t="inlineStr">
        <is>
          <t>source</t>
        </is>
      </c>
      <c r="G9" s="44" t="inlineStr">
        <is>
          <t>../src/components/textarea</t>
        </is>
      </c>
      <c r="H9" s="43" t="inlineStr">
        <is>
          <t>tested</t>
        </is>
      </c>
      <c r="I9" s="43" t="inlineStr">
        <is>
          <t>no</t>
        </is>
      </c>
      <c r="J9" s="45" t="n">
        <v>46229</v>
      </c>
      <c r="K9" s="44" t="n"/>
      <c r="L9" s="43" t="n">
        <v>1</v>
      </c>
      <c r="M9" s="43">
        <f>IF(OR(AND(I9="yes",H9="verified"),AND(I9="no",OR(H9="tested",H9="verified")),AND(H9="not applicable",K9&lt;&gt;"")),1,0)</f>
        <v/>
      </c>
    </row>
    <row r="10" ht="54" customHeight="1" s="34">
      <c r="A10" s="43" t="inlineStr">
        <is>
          <t>TA-02</t>
        </is>
      </c>
      <c r="B10" s="43" t="inlineStr">
        <is>
          <t>Anatomy</t>
        </is>
      </c>
      <c r="C10" s="43" t="inlineStr">
        <is>
          <t>Root/Count</t>
        </is>
      </c>
      <c r="D10" s="44" t="inlineStr">
        <is>
          <t>The independent Root and Count parts expose the native control and optional character-count evidence.</t>
        </is>
      </c>
      <c r="E10" s="43" t="inlineStr">
        <is>
          <t>package</t>
        </is>
      </c>
      <c r="F10" s="43" t="inlineStr">
        <is>
          <t>component</t>
        </is>
      </c>
      <c r="G10" s="44" t="inlineStr">
        <is>
          <t>../test/components/textarea/textarea.test.tsx</t>
        </is>
      </c>
      <c r="H10" s="43" t="inlineStr">
        <is>
          <t>tested</t>
        </is>
      </c>
      <c r="I10" s="43" t="inlineStr">
        <is>
          <t>no</t>
        </is>
      </c>
      <c r="J10" s="45" t="n">
        <v>46229</v>
      </c>
      <c r="K10" s="44" t="n"/>
      <c r="L10" s="43" t="n">
        <v>1</v>
      </c>
      <c r="M10" s="43">
        <f>IF(OR(AND(I10="yes",H10="verified"),AND(I10="no",OR(H10="tested",H10="verified")),AND(H10="not applicable",K10&lt;&gt;"")),1,0)</f>
        <v/>
      </c>
    </row>
    <row r="11" ht="54" customHeight="1" s="34">
      <c r="A11" s="43" t="inlineStr">
        <is>
          <t>TA-03</t>
        </is>
      </c>
      <c r="B11" s="43" t="inlineStr">
        <is>
          <t>Exports</t>
        </is>
      </c>
      <c r="C11" s="43" t="inlineStr">
        <is>
          <t>Textarea</t>
        </is>
      </c>
      <c r="D11" s="44" t="inlineStr">
        <is>
          <t>Root, Count, namespace, public types, and the textarea subpath are exported.</t>
        </is>
      </c>
      <c r="E11" s="43" t="inlineStr">
        <is>
          <t>package</t>
        </is>
      </c>
      <c r="F11" s="43" t="inlineStr">
        <is>
          <t>package</t>
        </is>
      </c>
      <c r="G11" s="44" t="inlineStr">
        <is>
          <t>../test/package/package.test.mjs</t>
        </is>
      </c>
      <c r="H11" s="43" t="inlineStr">
        <is>
          <t>tested</t>
        </is>
      </c>
      <c r="I11" s="43" t="inlineStr">
        <is>
          <t>no</t>
        </is>
      </c>
      <c r="J11" s="45" t="n">
        <v>46229</v>
      </c>
      <c r="K11" s="44" t="n"/>
      <c r="L11" s="43" t="n">
        <v>1</v>
      </c>
      <c r="M11" s="43">
        <f>IF(OR(AND(I11="yes",H11="verified"),AND(I11="no",OR(H11="tested",H11="verified")),AND(H11="not applicable",K11&lt;&gt;"")),1,0)</f>
        <v/>
      </c>
    </row>
    <row r="12" ht="54" customHeight="1" s="34">
      <c r="A12" s="43" t="inlineStr">
        <is>
          <t>TA-04</t>
        </is>
      </c>
      <c r="B12" s="43" t="inlineStr">
        <is>
          <t>Types</t>
        </is>
      </c>
      <c r="C12" s="43" t="inlineStr">
        <is>
          <t>Root/Count</t>
        </is>
      </c>
      <c r="D12" s="44" t="inlineStr">
        <is>
          <t>Recipe props, native textarea props/ref, underline shape exclusion, and resize/auto-resize exclusivity type-check.</t>
        </is>
      </c>
      <c r="E12" s="43" t="inlineStr">
        <is>
          <t>package</t>
        </is>
      </c>
      <c r="F12" s="43" t="inlineStr">
        <is>
          <t>types</t>
        </is>
      </c>
      <c r="G12" s="44" t="inlineStr">
        <is>
          <t>../test/types/components/textarea.test.ts</t>
        </is>
      </c>
      <c r="H12" s="43" t="inlineStr">
        <is>
          <t>tested</t>
        </is>
      </c>
      <c r="I12" s="43" t="inlineStr">
        <is>
          <t>no</t>
        </is>
      </c>
      <c r="J12" s="45" t="n">
        <v>46229</v>
      </c>
      <c r="K12" s="44" t="n"/>
      <c r="L12" s="43" t="n">
        <v>1</v>
      </c>
      <c r="M12" s="43">
        <f>IF(OR(AND(I12="yes",H12="verified"),AND(I12="no",OR(H12="tested",H12="verified")),AND(H12="not applicable",K12&lt;&gt;"")),1,0)</f>
        <v/>
      </c>
    </row>
    <row r="13" ht="54" customHeight="1" s="34">
      <c r="A13" s="43" t="inlineStr">
        <is>
          <t>TA-05</t>
        </is>
      </c>
      <c r="B13" s="43" t="inlineStr">
        <is>
          <t>CSS</t>
        </is>
      </c>
      <c r="C13" s="43" t="inlineStr">
        <is>
          <t>Root/Count</t>
        </is>
      </c>
      <c r="D13" s="44" t="inlineStr">
        <is>
          <t>Static CSS ships variants, sizes, shapes, states, resize behavior, logical layout, and documented variables.</t>
        </is>
      </c>
      <c r="E13" s="43" t="inlineStr">
        <is>
          <t>package</t>
        </is>
      </c>
      <c r="F13" s="43" t="inlineStr">
        <is>
          <t>css</t>
        </is>
      </c>
      <c r="G13" s="44" t="inlineStr">
        <is>
          <t>../src/components/textarea/textarea.css</t>
        </is>
      </c>
      <c r="H13" s="43" t="inlineStr">
        <is>
          <t>tested</t>
        </is>
      </c>
      <c r="I13" s="43" t="inlineStr">
        <is>
          <t>no</t>
        </is>
      </c>
      <c r="J13" s="45" t="n">
        <v>46229</v>
      </c>
      <c r="K13" s="44" t="n"/>
      <c r="L13" s="43" t="n">
        <v>1</v>
      </c>
      <c r="M13" s="43">
        <f>IF(OR(AND(I13="yes",H13="verified"),AND(I13="no",OR(H13="tested",H13="verified")),AND(H13="not applicable",K13&lt;&gt;"")),1,0)</f>
        <v/>
      </c>
    </row>
    <row r="14" ht="54" customHeight="1" s="34">
      <c r="A14" s="43" t="inlineStr">
        <is>
          <t>TA-06</t>
        </is>
      </c>
      <c r="B14" s="43" t="inlineStr">
        <is>
          <t>Recipes</t>
        </is>
      </c>
      <c r="C14" s="43" t="inlineStr">
        <is>
          <t>Root</t>
        </is>
      </c>
      <c r="D14" s="44" t="inlineStr">
        <is>
          <t>Outline, soft, underline, sm/md/lg, and sharp/rounded change only their named visual dimension.</t>
        </is>
      </c>
      <c r="E14" s="43" t="inlineStr">
        <is>
          <t>package</t>
        </is>
      </c>
      <c r="F14" s="43" t="inlineStr">
        <is>
          <t>browser</t>
        </is>
      </c>
      <c r="G14" s="44" t="inlineStr">
        <is>
          <t>tests/components/textarea/behavior.spec.ts</t>
        </is>
      </c>
      <c r="H14" s="43" t="inlineStr">
        <is>
          <t>tested</t>
        </is>
      </c>
      <c r="I14" s="43" t="inlineStr">
        <is>
          <t>no</t>
        </is>
      </c>
      <c r="J14" s="45" t="n">
        <v>46229</v>
      </c>
      <c r="K14" s="44" t="n"/>
      <c r="L14" s="43" t="n">
        <v>1</v>
      </c>
      <c r="M14" s="43">
        <f>IF(OR(AND(I14="yes",H14="verified"),AND(I14="no",OR(H14="tested",H14="verified")),AND(H14="not applicable",K14&lt;&gt;"")),1,0)</f>
        <v/>
      </c>
    </row>
    <row r="15" ht="54" customHeight="1" s="34">
      <c r="A15" s="43" t="inlineStr">
        <is>
          <t>TA-07</t>
        </is>
      </c>
      <c r="B15" s="43" t="inlineStr">
        <is>
          <t>Manual resize</t>
        </is>
      </c>
      <c r="C15" s="43" t="inlineStr">
        <is>
          <t>Root</t>
        </is>
      </c>
      <c r="D15" s="44" t="inlineStr">
        <is>
          <t>None, vertical, horizontal, and both resize modes map to native CSS without changing textarea behavior.</t>
        </is>
      </c>
      <c r="E15" s="43" t="inlineStr">
        <is>
          <t>package</t>
        </is>
      </c>
      <c r="F15" s="43" t="inlineStr">
        <is>
          <t>browser</t>
        </is>
      </c>
      <c r="G15" s="44" t="inlineStr">
        <is>
          <t>tests/components/textarea/behavior.spec.ts</t>
        </is>
      </c>
      <c r="H15" s="43" t="inlineStr">
        <is>
          <t>tested</t>
        </is>
      </c>
      <c r="I15" s="43" t="inlineStr">
        <is>
          <t>no</t>
        </is>
      </c>
      <c r="J15" s="45" t="n">
        <v>46229</v>
      </c>
      <c r="K15" s="44" t="n"/>
      <c r="L15" s="43" t="n">
        <v>1</v>
      </c>
      <c r="M15" s="43">
        <f>IF(OR(AND(I15="yes",H15="verified"),AND(I15="no",OR(H15="tested",H15="verified")),AND(H15="not applicable",K15&lt;&gt;"")),1,0)</f>
        <v/>
      </c>
    </row>
    <row r="16" ht="54" customHeight="1" s="34">
      <c r="A16" s="43" t="inlineStr">
        <is>
          <t>TA-08</t>
        </is>
      </c>
      <c r="B16" s="43" t="inlineStr">
        <is>
          <t>Auto resize</t>
        </is>
      </c>
      <c r="C16" s="43" t="inlineStr">
        <is>
          <t>Root</t>
        </is>
      </c>
      <c r="D16" s="44" t="inlineStr">
        <is>
          <t>Opt-in auto-resize grows within minRows/maxRows, clamps overflow, and remains mutually exclusive with manual resize.</t>
        </is>
      </c>
      <c r="E16" s="43" t="inlineStr">
        <is>
          <t>package</t>
        </is>
      </c>
      <c r="F16" s="43" t="inlineStr">
        <is>
          <t>browser</t>
        </is>
      </c>
      <c r="G16" s="44" t="inlineStr">
        <is>
          <t>tests/components/textarea/behavior.spec.ts; Atom 0.20.11 Textarea suite</t>
        </is>
      </c>
      <c r="H16" s="43" t="inlineStr">
        <is>
          <t>tested</t>
        </is>
      </c>
      <c r="I16" s="43" t="inlineStr">
        <is>
          <t>no</t>
        </is>
      </c>
      <c r="J16" s="45" t="n">
        <v>46229</v>
      </c>
      <c r="K16" s="44" t="n"/>
      <c r="L16" s="43" t="n">
        <v>1</v>
      </c>
      <c r="M16" s="43">
        <f>IF(OR(AND(I16="yes",H16="verified"),AND(I16="no",OR(H16="tested",H16="verified")),AND(H16="not applicable",K16&lt;&gt;"")),1,0)</f>
        <v/>
      </c>
    </row>
    <row r="17" ht="54" customHeight="1" s="34">
      <c r="A17" s="43" t="inlineStr">
        <is>
          <t>TA-09</t>
        </is>
      </c>
      <c r="B17" s="43" t="inlineStr">
        <is>
          <t>Values/count</t>
        </is>
      </c>
      <c r="C17" s="43" t="inlineStr">
        <is>
          <t>Root/Count</t>
        </is>
      </c>
      <c r="D17" s="44" t="inlineStr">
        <is>
          <t>Controlled and uncontrolled values, native newlines, maxLength, reset, and the explicit Count part stay synchronized.</t>
        </is>
      </c>
      <c r="E17" s="43" t="inlineStr">
        <is>
          <t>package</t>
        </is>
      </c>
      <c r="F17" s="43" t="inlineStr">
        <is>
          <t>browser</t>
        </is>
      </c>
      <c r="G17" s="44" t="inlineStr">
        <is>
          <t>tests/components/textarea/behavior.spec.ts</t>
        </is>
      </c>
      <c r="H17" s="43" t="inlineStr">
        <is>
          <t>tested</t>
        </is>
      </c>
      <c r="I17" s="43" t="inlineStr">
        <is>
          <t>no</t>
        </is>
      </c>
      <c r="J17" s="45" t="n">
        <v>46229</v>
      </c>
      <c r="K17" s="44" t="n"/>
      <c r="L17" s="43" t="n">
        <v>1</v>
      </c>
      <c r="M17" s="43">
        <f>IF(OR(AND(I17="yes",H17="verified"),AND(I17="no",OR(H17="tested",H17="verified")),AND(H17="not applicable",K17&lt;&gt;"")),1,0)</f>
        <v/>
      </c>
    </row>
    <row r="18" ht="54" customHeight="1" s="34">
      <c r="A18" s="43" t="inlineStr">
        <is>
          <t>TA-10</t>
        </is>
      </c>
      <c r="B18" s="43" t="inlineStr">
        <is>
          <t>Forms</t>
        </is>
      </c>
      <c r="C18" s="43" t="inlineStr">
        <is>
          <t>Root</t>
        </is>
      </c>
      <c r="D18" s="44" t="inlineStr">
        <is>
          <t>Field relationships, native submit/reset, required validity, and external form ownership remain Atom-owned.</t>
        </is>
      </c>
      <c r="E18" s="43" t="inlineStr">
        <is>
          <t>package</t>
        </is>
      </c>
      <c r="F18" s="43" t="inlineStr">
        <is>
          <t>browser</t>
        </is>
      </c>
      <c r="G18" s="44" t="inlineStr">
        <is>
          <t>tests/components/textarea/behavior.spec.ts; Atom 0.20.11 Textarea suite</t>
        </is>
      </c>
      <c r="H18" s="43" t="inlineStr">
        <is>
          <t>tested</t>
        </is>
      </c>
      <c r="I18" s="43" t="inlineStr">
        <is>
          <t>no</t>
        </is>
      </c>
      <c r="J18" s="45" t="n">
        <v>46229</v>
      </c>
      <c r="K18" s="44" t="n"/>
      <c r="L18" s="43" t="n">
        <v>1</v>
      </c>
      <c r="M18" s="43">
        <f>IF(OR(AND(I18="yes",H18="verified"),AND(I18="no",OR(H18="tested",H18="verified")),AND(H18="not applicable",K18&lt;&gt;"")),1,0)</f>
        <v/>
      </c>
    </row>
    <row r="19" ht="54" customHeight="1" s="34">
      <c r="A19" s="43" t="inlineStr">
        <is>
          <t>TA-11</t>
        </is>
      </c>
      <c r="B19" s="43" t="inlineStr">
        <is>
          <t>Composition</t>
        </is>
      </c>
      <c r="C19" s="43" t="inlineStr">
        <is>
          <t>Root</t>
        </is>
      </c>
      <c r="D19" s="44" t="inlineStr">
        <is>
          <t>Native textarea refs, rendered IDs/ARIA, wrapper/native prop routing, class/style escape hatches, and output remain correct.</t>
        </is>
      </c>
      <c r="E19" s="43" t="inlineStr">
        <is>
          <t>package</t>
        </is>
      </c>
      <c r="F19" s="43" t="inlineStr">
        <is>
          <t>component</t>
        </is>
      </c>
      <c r="G19" s="44" t="inlineStr">
        <is>
          <t>../test/components/textarea/textarea.test.tsx; tests/components/textarea/behavior.spec.ts</t>
        </is>
      </c>
      <c r="H19" s="43" t="inlineStr">
        <is>
          <t>tested</t>
        </is>
      </c>
      <c r="I19" s="43" t="inlineStr">
        <is>
          <t>no</t>
        </is>
      </c>
      <c r="J19" s="45" t="n">
        <v>46229</v>
      </c>
      <c r="K19" s="44" t="n"/>
      <c r="L19" s="43" t="n">
        <v>1</v>
      </c>
      <c r="M19" s="43">
        <f>IF(OR(AND(I19="yes",H19="verified"),AND(I19="no",OR(H19="tested",H19="verified")),AND(H19="not applicable",K19&lt;&gt;"")),1,0)</f>
        <v/>
      </c>
    </row>
    <row r="20" ht="54" customHeight="1" s="34">
      <c r="A20" s="43" t="inlineStr">
        <is>
          <t>TA-12</t>
        </is>
      </c>
      <c r="B20" s="43" t="inlineStr">
        <is>
          <t>Accessibility</t>
        </is>
      </c>
      <c r="C20" s="43" t="inlineStr">
        <is>
          <t>Textarea</t>
        </is>
      </c>
      <c r="D20" s="44" t="inlineStr">
        <is>
          <t>Field naming, descriptions, errors, availability states, counter semantics, focus, and axe checks pass.</t>
        </is>
      </c>
      <c r="E20" s="43" t="inlineStr">
        <is>
          <t>package</t>
        </is>
      </c>
      <c r="F20" s="43" t="inlineStr">
        <is>
          <t>axe</t>
        </is>
      </c>
      <c r="G20" s="44" t="inlineStr">
        <is>
          <t>tests/components/textarea/behavior.spec.ts</t>
        </is>
      </c>
      <c r="H20" s="43" t="inlineStr">
        <is>
          <t>tested</t>
        </is>
      </c>
      <c r="I20" s="43" t="inlineStr">
        <is>
          <t>no</t>
        </is>
      </c>
      <c r="J20" s="45" t="n">
        <v>46229</v>
      </c>
      <c r="K20" s="44" t="n"/>
      <c r="L20" s="43" t="n">
        <v>1</v>
      </c>
      <c r="M20" s="43">
        <f>IF(OR(AND(I20="yes",H20="verified"),AND(I20="no",OR(H20="tested",H20="verified")),AND(H20="not applicable",K20&lt;&gt;"")),1,0)</f>
        <v/>
      </c>
    </row>
    <row r="21" ht="54" customHeight="1" s="34">
      <c r="A21" s="43" t="inlineStr">
        <is>
          <t>TA-13</t>
        </is>
      </c>
      <c r="B21" s="43" t="inlineStr">
        <is>
          <t>Customization</t>
        </is>
      </c>
      <c r="C21" s="43" t="inlineStr">
        <is>
          <t>Root</t>
        </is>
      </c>
      <c r="D21" s="44" t="inlineStr">
        <is>
          <t>Documented CSS variables and wrapper/native escape hatches customize the control without changing behavior.</t>
        </is>
      </c>
      <c r="E21" s="43" t="inlineStr">
        <is>
          <t>package</t>
        </is>
      </c>
      <c r="F21" s="43" t="inlineStr">
        <is>
          <t>browser</t>
        </is>
      </c>
      <c r="G21" s="44" t="inlineStr">
        <is>
          <t>tests/components/textarea/behavior.spec.ts; ../docs/components/textarea/README.md</t>
        </is>
      </c>
      <c r="H21" s="43" t="inlineStr">
        <is>
          <t>tested</t>
        </is>
      </c>
      <c r="I21" s="43" t="inlineStr">
        <is>
          <t>no</t>
        </is>
      </c>
      <c r="J21" s="45" t="n">
        <v>46229</v>
      </c>
      <c r="K21" s="44" t="n"/>
      <c r="L21" s="43" t="n">
        <v>1</v>
      </c>
      <c r="M21" s="43">
        <f>IF(OR(AND(I21="yes",H21="verified"),AND(I21="no",OR(H21="tested",H21="verified")),AND(H21="not applicable",K21&lt;&gt;"")),1,0)</f>
        <v/>
      </c>
    </row>
    <row r="22" ht="54" customHeight="1" s="34">
      <c r="A22" s="43" t="inlineStr">
        <is>
          <t>TA-14</t>
        </is>
      </c>
      <c r="B22" s="43" t="inlineStr">
        <is>
          <t>Visual</t>
        </is>
      </c>
      <c r="C22" s="43" t="inlineStr">
        <is>
          <t>Textarea</t>
        </is>
      </c>
      <c r="D22" s="44" t="inlineStr">
        <is>
          <t>Baselines cover defaults, recipes, resize, values/states, scopes, mobile RTL, and forced colors.</t>
        </is>
      </c>
      <c r="E22" s="43" t="inlineStr">
        <is>
          <t>package</t>
        </is>
      </c>
      <c r="F22" s="43" t="inlineStr">
        <is>
          <t>visual</t>
        </is>
      </c>
      <c r="G22" s="44" t="inlineStr">
        <is>
          <t>tests/components/textarea/visual.spec.ts</t>
        </is>
      </c>
      <c r="H22" s="43" t="inlineStr">
        <is>
          <t>implemented</t>
        </is>
      </c>
      <c r="I22" s="43" t="inlineStr">
        <is>
          <t>yes</t>
        </is>
      </c>
      <c r="J22" s="45" t="n"/>
      <c r="K22" s="44" t="inlineStr">
        <is>
          <t>Baselines exist and automated comparison passes; final owner visual review is not recorded.</t>
        </is>
      </c>
      <c r="L22" s="43" t="n">
        <v>1</v>
      </c>
      <c r="M22" s="43">
        <f>IF(OR(AND(I22="yes",H22="verified"),AND(I22="no",OR(H22="tested",H22="verified")),AND(H22="not applicable",K22&lt;&gt;"")),1,0)</f>
        <v/>
      </c>
    </row>
    <row r="23" ht="54" customHeight="1" s="34">
      <c r="A23" s="43" t="inlineStr">
        <is>
          <t>TA-15</t>
        </is>
      </c>
      <c r="B23" s="43" t="inlineStr">
        <is>
          <t>Responsive</t>
        </is>
      </c>
      <c r="C23" s="43" t="inlineStr">
        <is>
          <t>Root</t>
        </is>
      </c>
      <c r="D23" s="44" t="inlineStr">
        <is>
          <t>Physical mobile, 200%/400% zoom, long content, manual resize, auto-resize, and RTL remain usable and contained.</t>
        </is>
      </c>
      <c r="E23" s="43" t="inlineStr">
        <is>
          <t>package</t>
        </is>
      </c>
      <c r="F23" s="43" t="inlineStr">
        <is>
          <t>manual</t>
        </is>
      </c>
      <c r="G23" s="44" t="inlineStr">
        <is>
          <t>manual-tests/textarea.md</t>
        </is>
      </c>
      <c r="H23" s="43" t="inlineStr">
        <is>
          <t>implemented</t>
        </is>
      </c>
      <c r="I23" s="43" t="inlineStr">
        <is>
          <t>yes</t>
        </is>
      </c>
      <c r="J23" s="45" t="n"/>
      <c r="K23" s="44" t="inlineStr">
        <is>
          <t>Protocol is unrun; real-device and zoom review remain pending.</t>
        </is>
      </c>
      <c r="L23" s="43" t="n">
        <v>1</v>
      </c>
      <c r="M23" s="43">
        <f>IF(OR(AND(I23="yes",H23="verified"),AND(I23="no",OR(H23="tested",H23="verified")),AND(H23="not applicable",K23&lt;&gt;"")),1,0)</f>
        <v/>
      </c>
    </row>
    <row r="24" ht="54" customHeight="1" s="34">
      <c r="A24" s="43" t="inlineStr">
        <is>
          <t>TA-16</t>
        </is>
      </c>
      <c r="B24" s="43" t="inlineStr">
        <is>
          <t>Theme</t>
        </is>
      </c>
      <c r="C24" s="43" t="inlineStr">
        <is>
          <t>Root/Count</t>
        </is>
      </c>
      <c r="D24" s="44" t="inlineStr">
        <is>
          <t>Light, dark, focus, invalid, forced-colors, and reduced-motion treatment remain perceivable.</t>
        </is>
      </c>
      <c r="E24" s="43" t="inlineStr">
        <is>
          <t>package</t>
        </is>
      </c>
      <c r="F24" s="43" t="inlineStr">
        <is>
          <t>manual</t>
        </is>
      </c>
      <c r="G24" s="44" t="inlineStr">
        <is>
          <t>manual-tests/textarea.md; tests/components/textarea/visual.spec.ts</t>
        </is>
      </c>
      <c r="H24" s="43" t="inlineStr">
        <is>
          <t>implemented</t>
        </is>
      </c>
      <c r="I24" s="43" t="inlineStr">
        <is>
          <t>yes</t>
        </is>
      </c>
      <c r="J24" s="45" t="n"/>
      <c r="K24" s="44" t="inlineStr">
        <is>
          <t>Automated baselines pass; complete human preference review is pending.</t>
        </is>
      </c>
      <c r="L24" s="43" t="n">
        <v>1</v>
      </c>
      <c r="M24" s="43">
        <f>IF(OR(AND(I24="yes",H24="verified"),AND(I24="no",OR(H24="tested",H24="verified")),AND(H24="not applicable",K24&lt;&gt;"")),1,0)</f>
        <v/>
      </c>
    </row>
    <row r="25" ht="23.25" customHeight="1" s="34">
      <c r="A25" s="43" t="inlineStr">
        <is>
          <t>TA-17</t>
        </is>
      </c>
      <c r="B25" s="43" t="inlineStr">
        <is>
          <t>Screen reader</t>
        </is>
      </c>
      <c r="C25" s="43" t="inlineStr">
        <is>
          <t>Textarea</t>
        </is>
      </c>
      <c r="D25" s="44" t="inlineStr">
        <is>
          <t>macOS/iOS VoiceOver and a second desktop AT/browser announce label, help, error, state, and count evidence.</t>
        </is>
      </c>
      <c r="E25" s="43" t="inlineStr">
        <is>
          <t>package</t>
        </is>
      </c>
      <c r="F25" s="43" t="inlineStr">
        <is>
          <t>manual</t>
        </is>
      </c>
      <c r="G25" s="44" t="inlineStr">
        <is>
          <t>manual-tests/textarea.md</t>
        </is>
      </c>
      <c r="H25" s="43" t="inlineStr">
        <is>
          <t>implemented</t>
        </is>
      </c>
      <c r="I25" s="43" t="inlineStr">
        <is>
          <t>yes</t>
        </is>
      </c>
      <c r="J25" s="45" t="n"/>
      <c r="K25" s="44" t="inlineStr">
        <is>
          <t>Assistive-technology protocol is unrun.</t>
        </is>
      </c>
      <c r="L25" s="43" t="n">
        <v>1</v>
      </c>
      <c r="M25" s="43">
        <f>IF(OR(AND(I25="yes",H25="verified"),AND(I25="no",OR(H25="tested",H25="verified")),AND(H25="not applicable",K25&lt;&gt;"")),1,0)</f>
        <v/>
      </c>
    </row>
    <row r="26" ht="23.25" customHeight="1" s="34">
      <c r="A26" s="43" t="inlineStr">
        <is>
          <t>TA-18</t>
        </is>
      </c>
      <c r="B26" s="43" t="inlineStr">
        <is>
          <t>Manual</t>
        </is>
      </c>
      <c r="C26" s="43" t="inlineStr">
        <is>
          <t>Textarea</t>
        </is>
      </c>
      <c r="D26" s="44" t="inlineStr">
        <is>
          <t>The component-owned protocol covers every Textarea playground scenario in one top-to-bottom flow.</t>
        </is>
      </c>
      <c r="E26" s="43" t="inlineStr">
        <is>
          <t>package</t>
        </is>
      </c>
      <c r="F26" s="43" t="inlineStr">
        <is>
          <t>manual</t>
        </is>
      </c>
      <c r="G26" s="44" t="inlineStr">
        <is>
          <t>manual-tests/textarea.md</t>
        </is>
      </c>
      <c r="H26" s="43" t="inlineStr">
        <is>
          <t>implemented</t>
        </is>
      </c>
      <c r="I26" s="43" t="inlineStr">
        <is>
          <t>yes</t>
        </is>
      </c>
      <c r="J26" s="45" t="n"/>
      <c r="K26" s="44" t="inlineStr">
        <is>
          <t>Protocol is intentionally unrun and contains no claimed result.</t>
        </is>
      </c>
      <c r="L26" s="43" t="n">
        <v>1</v>
      </c>
      <c r="M26" s="43">
        <f>IF(OR(AND(I26="yes",H26="verified"),AND(I26="no",OR(H26="tested",H26="verified")),AND(H26="not applicable",K26&lt;&gt;"")),1,0)</f>
        <v/>
      </c>
    </row>
    <row r="27" ht="23.25" customHeight="1" s="34">
      <c r="A27" s="43" t="inlineStr">
        <is>
          <t>TA-19</t>
        </is>
      </c>
      <c r="B27" s="43" t="inlineStr">
        <is>
          <t>Docs</t>
        </is>
      </c>
      <c r="C27" s="43" t="inlineStr">
        <is>
          <t>Textarea</t>
        </is>
      </c>
      <c r="D27" s="44" t="inlineStr">
        <is>
          <t>Source-backed usage, API, anatomy, recipes, resize policy, tokens, accessibility, and exclusions pass documentation gates.</t>
        </is>
      </c>
      <c r="E27" s="43" t="inlineStr">
        <is>
          <t>package</t>
        </is>
      </c>
      <c r="F27" s="43" t="inlineStr">
        <is>
          <t>docs</t>
        </is>
      </c>
      <c r="G27" s="44" t="inlineStr">
        <is>
          <t>../docs/components/textarea/README.md</t>
        </is>
      </c>
      <c r="H27" s="43" t="inlineStr">
        <is>
          <t>tested</t>
        </is>
      </c>
      <c r="I27" s="43" t="inlineStr">
        <is>
          <t>no</t>
        </is>
      </c>
      <c r="J27" s="45" t="n">
        <v>46229</v>
      </c>
      <c r="K27" s="44" t="n"/>
      <c r="L27" s="43" t="n">
        <v>1</v>
      </c>
      <c r="M27" s="43">
        <f>IF(OR(AND(I27="yes",H27="verified"),AND(I27="no",OR(H27="tested",H27="verified")),AND(H27="not applicable",K27&lt;&gt;"")),1,0)</f>
        <v/>
      </c>
    </row>
    <row r="28" ht="23.25" customHeight="1" s="34">
      <c r="A28" s="43" t="inlineStr">
        <is>
          <t>TA-20</t>
        </is>
      </c>
      <c r="B28" s="43" t="inlineStr">
        <is>
          <t>Changelog</t>
        </is>
      </c>
      <c r="C28" s="43" t="inlineStr">
        <is>
          <t>Textarea</t>
        </is>
      </c>
      <c r="D28" s="44" t="inlineStr">
        <is>
          <t>Textarea owns a component changelog and the package changelog records its public addition.</t>
        </is>
      </c>
      <c r="E28" s="43" t="inlineStr">
        <is>
          <t>package</t>
        </is>
      </c>
      <c r="F28" s="43" t="inlineStr">
        <is>
          <t>docs</t>
        </is>
      </c>
      <c r="G28" s="44" t="inlineStr">
        <is>
          <t>../docs/components/textarea/CHANGELOG.md; ../CHANGELOG.md</t>
        </is>
      </c>
      <c r="H28" s="43" t="inlineStr">
        <is>
          <t>tested</t>
        </is>
      </c>
      <c r="I28" s="43" t="inlineStr">
        <is>
          <t>no</t>
        </is>
      </c>
      <c r="J28" s="45" t="n">
        <v>46229</v>
      </c>
      <c r="K28" s="44" t="n"/>
      <c r="L28" s="43" t="n">
        <v>1</v>
      </c>
      <c r="M28" s="43">
        <f>IF(OR(AND(I28="yes",H28="verified"),AND(I28="no",OR(H28="tested",H28="verified")),AND(H28="not applicable",K28&lt;&gt;"")),1,0)</f>
        <v/>
      </c>
    </row>
    <row r="29" ht="23.25" customHeight="1" s="34">
      <c r="A29" s="43" t="inlineStr">
        <is>
          <t>TA-21</t>
        </is>
      </c>
      <c r="B29" s="43" t="inlineStr">
        <is>
          <t>Consumer</t>
        </is>
      </c>
      <c r="C29" s="43" t="inlineStr">
        <is>
          <t>Textarea</t>
        </is>
      </c>
      <c r="D29" s="44" t="inlineStr">
        <is>
          <t>The packed Consumer proves a realistic Field/Form note with maxLength, Count, submit, and reset through the public subpath.</t>
        </is>
      </c>
      <c r="E29" s="43" t="inlineStr">
        <is>
          <t>consumer</t>
        </is>
      </c>
      <c r="F29" s="43" t="inlineStr">
        <is>
          <t>consumer</t>
        </is>
      </c>
      <c r="G29" s="44" t="inlineStr">
        <is>
          <t>../apps/consumer/src/App.tsx; ../apps/consumer/tests/consumer.spec.ts</t>
        </is>
      </c>
      <c r="H29" s="43" t="inlineStr">
        <is>
          <t>tested</t>
        </is>
      </c>
      <c r="I29" s="43" t="inlineStr">
        <is>
          <t>no</t>
        </is>
      </c>
      <c r="J29" s="45" t="n">
        <v>46229</v>
      </c>
      <c r="K29" s="44" t="n"/>
      <c r="L29" s="43" t="n">
        <v>1</v>
      </c>
      <c r="M29" s="43">
        <f>IF(OR(AND(I29="yes",H29="verified"),AND(I29="no",OR(H29="tested",H29="verified")),AND(H29="not applicable",K29&lt;&gt;"")),1,0)</f>
        <v/>
      </c>
    </row>
    <row r="30" ht="23.25" customHeight="1" s="34">
      <c r="A30" s="43" t="inlineStr">
        <is>
          <t>TA-22</t>
        </is>
      </c>
      <c r="B30" s="43" t="inlineStr">
        <is>
          <t>Package</t>
        </is>
      </c>
      <c r="C30" s="43" t="inlineStr">
        <is>
          <t>Textarea</t>
        </is>
      </c>
      <c r="D30" s="44" t="inlineStr">
        <is>
          <t>Build, SSR, exports, CSS, tarball, React 18/19, Consumer, and full package gates pass.</t>
        </is>
      </c>
      <c r="E30" s="43" t="inlineStr">
        <is>
          <t>package</t>
        </is>
      </c>
      <c r="F30" s="43" t="inlineStr">
        <is>
          <t>package</t>
        </is>
      </c>
      <c r="G30" s="44" t="inlineStr">
        <is>
          <t>../test/package; ../scripts/verify-package.mjs; ../scripts/verify-consumers.mjs</t>
        </is>
      </c>
      <c r="H30" s="43" t="inlineStr">
        <is>
          <t>tested</t>
        </is>
      </c>
      <c r="I30" s="43" t="inlineStr">
        <is>
          <t>no</t>
        </is>
      </c>
      <c r="J30" s="45" t="n">
        <v>46229</v>
      </c>
      <c r="K30" s="44" t="n"/>
      <c r="L30" s="43" t="n">
        <v>1</v>
      </c>
      <c r="M30" s="43">
        <f>IF(OR(AND(I30="yes",H30="verified"),AND(I30="no",OR(H30="tested",H30="verified")),AND(H30="not applicable",K30&lt;&gt;"")),1,0)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Radio Group Evidence</t>
        </is>
      </c>
    </row>
    <row r="2" ht="27.75" customHeight="1" s="34">
      <c r="A2" s="36" t="inlineStr">
        <is>
          <t>Assertion-level Atom-backed package, browser, human-review, documentation, Consumer, form, read-only, keyboard, and responsive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RG-01</t>
        </is>
      </c>
      <c r="B9" s="32" t="inlineStr">
        <is>
          <t>Implementation</t>
        </is>
      </c>
      <c r="C9" s="32" t="inlineStr">
        <is>
          <t>Root/Item</t>
        </is>
      </c>
      <c r="D9" s="32" t="inlineStr">
        <is>
          <t>Brick adapts released Atom 0.20.11 Radio Group behavior without recreating selection, focus, keyboard, form, validation, direction, or read-only logic.</t>
        </is>
      </c>
      <c r="E9" s="32" t="inlineStr">
        <is>
          <t>package</t>
        </is>
      </c>
      <c r="F9" s="32" t="inlineStr">
        <is>
          <t>source</t>
        </is>
      </c>
      <c r="G9" s="32" t="inlineStr">
        <is>
          <t>../src/components/radio-group</t>
        </is>
      </c>
      <c r="H9" s="32" t="inlineStr">
        <is>
          <t>tested</t>
        </is>
      </c>
      <c r="I9" s="32" t="inlineStr">
        <is>
          <t>no</t>
        </is>
      </c>
      <c r="J9" s="42" t="n">
        <v>46229</v>
      </c>
      <c r="L9" s="32" t="n">
        <v>1</v>
      </c>
      <c r="M9" s="32">
        <f>IF(OR(AND(I9="yes",H9="verified"),AND(I9="no",OR(H9="tested",H9="verified")),AND(H9="not applicable",K9&lt;&gt;"")),1,0)</f>
        <v/>
      </c>
    </row>
    <row r="10" ht="42" customHeight="1" s="34">
      <c r="A10" s="32" t="inlineStr">
        <is>
          <t>RG-02</t>
        </is>
      </c>
      <c r="B10" s="32" t="inlineStr">
        <is>
          <t>Anatomy</t>
        </is>
      </c>
      <c r="C10" s="32" t="inlineStr">
        <is>
          <t>Root/Item</t>
        </is>
      </c>
      <c r="D10" s="32" t="inlineStr">
        <is>
          <t>The public two-part namespace and stable internal control, dot, and label hooks render without public anatomy inflation.</t>
        </is>
      </c>
      <c r="E10" s="32" t="inlineStr">
        <is>
          <t>package</t>
        </is>
      </c>
      <c r="F10" s="32" t="inlineStr">
        <is>
          <t>component</t>
        </is>
      </c>
      <c r="G10" s="32" t="inlineStr">
        <is>
          <t>../test/components/radio-group/radio-group.test.tsx</t>
        </is>
      </c>
      <c r="H10" s="32" t="inlineStr">
        <is>
          <t>tested</t>
        </is>
      </c>
      <c r="I10" s="32" t="inlineStr">
        <is>
          <t>no</t>
        </is>
      </c>
      <c r="J10" s="42" t="n">
        <v>46229</v>
      </c>
      <c r="L10" s="32" t="n">
        <v>1</v>
      </c>
      <c r="M10" s="32">
        <f>IF(OR(AND(I10="yes",H10="verified"),AND(I10="no",OR(H10="tested",H10="verified")),AND(H10="not applicable",K10&lt;&gt;"")),1,0)</f>
        <v/>
      </c>
    </row>
    <row r="11" ht="42" customHeight="1" s="34">
      <c r="A11" s="32" t="inlineStr">
        <is>
          <t>RG-03</t>
        </is>
      </c>
      <c r="B11" s="32" t="inlineStr">
        <is>
          <t>Exports</t>
        </is>
      </c>
      <c r="C11" s="32" t="inlineStr">
        <is>
          <t>RadioGroup</t>
        </is>
      </c>
      <c r="D11" s="32" t="inlineStr">
        <is>
          <t>Namespace, named parts, public types, root export, and radio-group subpath are exported.</t>
        </is>
      </c>
      <c r="E11" s="32" t="inlineStr">
        <is>
          <t>package</t>
        </is>
      </c>
      <c r="F11" s="32" t="inlineStr">
        <is>
          <t>package</t>
        </is>
      </c>
      <c r="G11" s="32" t="inlineStr">
        <is>
          <t>../test/package/package.test.mjs</t>
        </is>
      </c>
      <c r="H11" s="32" t="inlineStr">
        <is>
          <t>tested</t>
        </is>
      </c>
      <c r="I11" s="32" t="inlineStr">
        <is>
          <t>no</t>
        </is>
      </c>
      <c r="J11" s="42" t="n">
        <v>46229</v>
      </c>
      <c r="L11" s="32" t="n">
        <v>1</v>
      </c>
      <c r="M11" s="32">
        <f>IF(OR(AND(I11="yes",H11="verified"),AND(I11="no",OR(H11="tested",H11="verified")),AND(H11="not applicable",K11&lt;&gt;"")),1,0)</f>
        <v/>
      </c>
    </row>
    <row r="12" ht="42" customHeight="1" s="34">
      <c r="A12" s="32" t="inlineStr">
        <is>
          <t>RG-04</t>
        </is>
      </c>
      <c r="B12" s="32" t="inlineStr">
        <is>
          <t>Types</t>
        </is>
      </c>
      <c r="C12" s="32" t="inlineStr">
        <is>
          <t>Root/Item</t>
        </is>
      </c>
      <c r="D12" s="32" t="inlineStr">
        <is>
          <t>Sizes, Atom behavior props, refs, render/asChild branches, required item values, and invalid combinations type-check.</t>
        </is>
      </c>
      <c r="E12" s="32" t="inlineStr">
        <is>
          <t>package</t>
        </is>
      </c>
      <c r="F12" s="32" t="inlineStr">
        <is>
          <t>types</t>
        </is>
      </c>
      <c r="G12" s="32" t="inlineStr">
        <is>
          <t>../test/types/components/radio-group.test.ts</t>
        </is>
      </c>
      <c r="H12" s="32" t="inlineStr">
        <is>
          <t>tested</t>
        </is>
      </c>
      <c r="I12" s="32" t="inlineStr">
        <is>
          <t>no</t>
        </is>
      </c>
      <c r="J12" s="42" t="n">
        <v>46229</v>
      </c>
      <c r="L12" s="32" t="n">
        <v>1</v>
      </c>
      <c r="M12" s="32">
        <f>IF(OR(AND(I12="yes",H12="verified"),AND(I12="no",OR(H12="tested",H12="verified")),AND(H12="not applicable",K12&lt;&gt;"")),1,0)</f>
        <v/>
      </c>
    </row>
    <row r="13" ht="42" customHeight="1" s="34">
      <c r="A13" s="32" t="inlineStr">
        <is>
          <t>RG-05</t>
        </is>
      </c>
      <c r="B13" s="32" t="inlineStr">
        <is>
          <t>CSS</t>
        </is>
      </c>
      <c r="C13" s="32" t="inlineStr">
        <is>
          <t>Root/Item</t>
        </is>
      </c>
      <c r="D13" s="32" t="inlineStr">
        <is>
          <t>Static CSS provides the canonical circle/dot recipe, sizes, states, logical layout, stable hooks, reduced motion, and forced colors.</t>
        </is>
      </c>
      <c r="E13" s="32" t="inlineStr">
        <is>
          <t>package</t>
        </is>
      </c>
      <c r="F13" s="32" t="inlineStr">
        <is>
          <t>css</t>
        </is>
      </c>
      <c r="G13" s="32" t="inlineStr">
        <is>
          <t>../src/components/radio-group/radio-group.css</t>
        </is>
      </c>
      <c r="H13" s="32" t="inlineStr">
        <is>
          <t>tested</t>
        </is>
      </c>
      <c r="I13" s="32" t="inlineStr">
        <is>
          <t>no</t>
        </is>
      </c>
      <c r="J13" s="42" t="n">
        <v>46229</v>
      </c>
      <c r="L13" s="32" t="n">
        <v>1</v>
      </c>
      <c r="M13" s="32">
        <f>IF(OR(AND(I13="yes",H13="verified"),AND(I13="no",OR(H13="tested",H13="verified")),AND(H13="not applicable",K13&lt;&gt;"")),1,0)</f>
        <v/>
      </c>
    </row>
    <row r="14" ht="42" customHeight="1" s="34">
      <c r="A14" s="32" t="inlineStr">
        <is>
          <t>RG-06</t>
        </is>
      </c>
      <c r="B14" s="32" t="inlineStr">
        <is>
          <t>Defaults</t>
        </is>
      </c>
      <c r="C14" s="32" t="inlineStr">
        <is>
          <t>Root/Item</t>
        </is>
      </c>
      <c r="D14" s="32" t="inlineStr">
        <is>
          <t>Medium vertical accent selection is the one canonical default and only one item remains selected.</t>
        </is>
      </c>
      <c r="E14" s="32" t="inlineStr">
        <is>
          <t>package</t>
        </is>
      </c>
      <c r="F14" s="32" t="inlineStr">
        <is>
          <t>browser</t>
        </is>
      </c>
      <c r="G14" s="32" t="inlineStr">
        <is>
          <t>tests/components/radio-group/behavior.spec.ts</t>
        </is>
      </c>
      <c r="H14" s="32" t="inlineStr">
        <is>
          <t>tested</t>
        </is>
      </c>
      <c r="I14" s="32" t="inlineStr">
        <is>
          <t>no</t>
        </is>
      </c>
      <c r="J14" s="42" t="n">
        <v>46229</v>
      </c>
      <c r="L14" s="32" t="n">
        <v>1</v>
      </c>
      <c r="M14" s="32">
        <f>IF(OR(AND(I14="yes",H14="verified"),AND(I14="no",OR(H14="tested",H14="verified")),AND(H14="not applicable",K14&lt;&gt;"")),1,0)</f>
        <v/>
      </c>
    </row>
    <row r="15" ht="42" customHeight="1" s="34">
      <c r="A15" s="32" t="inlineStr">
        <is>
          <t>RG-07</t>
        </is>
      </c>
      <c r="B15" s="32" t="inlineStr">
        <is>
          <t>Sizing</t>
        </is>
      </c>
      <c r="C15" s="32" t="inlineStr">
        <is>
          <t>Root</t>
        </is>
      </c>
      <c r="D15" s="32" t="inlineStr">
        <is>
          <t>Small, medium, and large change shared item/control geometry only.</t>
        </is>
      </c>
      <c r="E15" s="32" t="inlineStr">
        <is>
          <t>package</t>
        </is>
      </c>
      <c r="F15" s="32" t="inlineStr">
        <is>
          <t>browser</t>
        </is>
      </c>
      <c r="G15" s="32" t="inlineStr">
        <is>
          <t>tests/components/radio-group/behavior.spec.ts</t>
        </is>
      </c>
      <c r="H15" s="32" t="inlineStr">
        <is>
          <t>tested</t>
        </is>
      </c>
      <c r="I15" s="32" t="inlineStr">
        <is>
          <t>no</t>
        </is>
      </c>
      <c r="J15" s="42" t="n">
        <v>46229</v>
      </c>
      <c r="L15" s="32" t="n">
        <v>1</v>
      </c>
      <c r="M15" s="32">
        <f>IF(OR(AND(I15="yes",H15="verified"),AND(I15="no",OR(H15="tested",H15="verified")),AND(H15="not applicable",K15&lt;&gt;"")),1,0)</f>
        <v/>
      </c>
    </row>
    <row r="16" ht="42" customHeight="1" s="34">
      <c r="A16" s="32" t="inlineStr">
        <is>
          <t>RG-08</t>
        </is>
      </c>
      <c r="B16" s="32" t="inlineStr">
        <is>
          <t>Keyboard</t>
        </is>
      </c>
      <c r="C16" s="32" t="inlineStr">
        <is>
          <t>Root/Item</t>
        </is>
      </c>
      <c r="D16" s="32" t="inlineStr">
        <is>
          <t>Roving Tab focus, orientation arrows, Home/End, loop, disabled skipping, and RTL mapping work in a real browser.</t>
        </is>
      </c>
      <c r="E16" s="32" t="inlineStr">
        <is>
          <t>package</t>
        </is>
      </c>
      <c r="F16" s="32" t="inlineStr">
        <is>
          <t>browser</t>
        </is>
      </c>
      <c r="G16" s="32" t="inlineStr">
        <is>
          <t>tests/components/radio-group/behavior.spec.ts</t>
        </is>
      </c>
      <c r="H16" s="32" t="inlineStr">
        <is>
          <t>tested</t>
        </is>
      </c>
      <c r="I16" s="32" t="inlineStr">
        <is>
          <t>no</t>
        </is>
      </c>
      <c r="J16" s="42" t="n">
        <v>46229</v>
      </c>
      <c r="L16" s="32" t="n">
        <v>1</v>
      </c>
      <c r="M16" s="32">
        <f>IF(OR(AND(I16="yes",H16="verified"),AND(I16="no",OR(H16="tested",H16="verified")),AND(H16="not applicable",K16&lt;&gt;"")),1,0)</f>
        <v/>
      </c>
    </row>
    <row r="17" ht="42" customHeight="1" s="34">
      <c r="A17" s="32" t="inlineStr">
        <is>
          <t>RG-09</t>
        </is>
      </c>
      <c r="B17" s="32" t="inlineStr">
        <is>
          <t>Ownership</t>
        </is>
      </c>
      <c r="C17" s="32" t="inlineStr">
        <is>
          <t>Root</t>
        </is>
      </c>
      <c r="D17" s="32" t="inlineStr">
        <is>
          <t>Controlled and uncontrolled selection expose identical visuals and correct value-change behavior.</t>
        </is>
      </c>
      <c r="E17" s="32" t="inlineStr">
        <is>
          <t>package</t>
        </is>
      </c>
      <c r="F17" s="32" t="inlineStr">
        <is>
          <t>component</t>
        </is>
      </c>
      <c r="G17" s="32" t="inlineStr">
        <is>
          <t>../test/components/radio-group/radio-group.test.tsx; tests/components/radio-group/behavior.spec.ts</t>
        </is>
      </c>
      <c r="H17" s="32" t="inlineStr">
        <is>
          <t>tested</t>
        </is>
      </c>
      <c r="I17" s="32" t="inlineStr">
        <is>
          <t>no</t>
        </is>
      </c>
      <c r="J17" s="42" t="n">
        <v>46229</v>
      </c>
      <c r="L17" s="32" t="n">
        <v>1</v>
      </c>
      <c r="M17" s="32">
        <f>IF(OR(AND(I17="yes",H17="verified"),AND(I17="no",OR(H17="tested",H17="verified")),AND(H17="not applicable",K17&lt;&gt;"")),1,0)</f>
        <v/>
      </c>
    </row>
    <row r="18" ht="42" customHeight="1" s="34">
      <c r="A18" s="32" t="inlineStr">
        <is>
          <t>RG-10</t>
        </is>
      </c>
      <c r="B18" s="32" t="inlineStr">
        <is>
          <t>States</t>
        </is>
      </c>
      <c r="C18" s="32" t="inlineStr">
        <is>
          <t>Root/Item</t>
        </is>
      </c>
      <c r="D18" s="32" t="inlineStr">
        <is>
          <t>Group/item disabled, required, invalid, and read-only states preserve correct behavior and visible distinctions.</t>
        </is>
      </c>
      <c r="E18" s="32" t="inlineStr">
        <is>
          <t>package</t>
        </is>
      </c>
      <c r="F18" s="32" t="inlineStr">
        <is>
          <t>browser</t>
        </is>
      </c>
      <c r="G18" s="32" t="inlineStr">
        <is>
          <t>tests/components/radio-group/behavior.spec.ts</t>
        </is>
      </c>
      <c r="H18" s="32" t="inlineStr">
        <is>
          <t>tested</t>
        </is>
      </c>
      <c r="I18" s="32" t="inlineStr">
        <is>
          <t>no</t>
        </is>
      </c>
      <c r="J18" s="42" t="n">
        <v>46229</v>
      </c>
      <c r="L18" s="32" t="n">
        <v>1</v>
      </c>
      <c r="M18" s="32">
        <f>IF(OR(AND(I18="yes",H18="verified"),AND(I18="no",OR(H18="tested",H18="verified")),AND(H18="not applicable",K18&lt;&gt;"")),1,0)</f>
        <v/>
      </c>
    </row>
    <row r="19" ht="42" customHeight="1" s="34">
      <c r="A19" s="32" t="inlineStr">
        <is>
          <t>RG-11</t>
        </is>
      </c>
      <c r="B19" s="32" t="inlineStr">
        <is>
          <t>Read only</t>
        </is>
      </c>
      <c r="C19" s="32" t="inlineStr">
        <is>
          <t>Root/Item</t>
        </is>
      </c>
      <c r="D19" s="32" t="inlineStr">
        <is>
          <t>Read-only remains focusable and submitted, permits focus navigation, and cannot mutate or emit value changes.</t>
        </is>
      </c>
      <c r="E19" s="32" t="inlineStr">
        <is>
          <t>package</t>
        </is>
      </c>
      <c r="F19" s="32" t="inlineStr">
        <is>
          <t>browser</t>
        </is>
      </c>
      <c r="G19" s="32" t="inlineStr">
        <is>
          <t>../test/components/radio-group/radio-group.test.tsx; tests/components/radio-group/behavior.spec.ts</t>
        </is>
      </c>
      <c r="H19" s="32" t="inlineStr">
        <is>
          <t>tested</t>
        </is>
      </c>
      <c r="I19" s="32" t="inlineStr">
        <is>
          <t>no</t>
        </is>
      </c>
      <c r="J19" s="42" t="n">
        <v>46229</v>
      </c>
      <c r="L19" s="32" t="n">
        <v>1</v>
      </c>
      <c r="M19" s="32">
        <f>IF(OR(AND(I19="yes",H19="verified"),AND(I19="no",OR(H19="tested",H19="verified")),AND(H19="not applicable",K19&lt;&gt;"")),1,0)</f>
        <v/>
      </c>
    </row>
    <row r="20" ht="42" customHeight="1" s="34">
      <c r="A20" s="32" t="inlineStr">
        <is>
          <t>RG-12</t>
        </is>
      </c>
      <c r="B20" s="32" t="inlineStr">
        <is>
          <t>Forms</t>
        </is>
      </c>
      <c r="C20" s="32" t="inlineStr">
        <is>
          <t>Root</t>
        </is>
      </c>
      <c r="D20" s="32" t="inlineStr">
        <is>
          <t>Named value submission, reset, external form ownership, native validation focus, and Fieldset relationships work.</t>
        </is>
      </c>
      <c r="E20" s="32" t="inlineStr">
        <is>
          <t>package</t>
        </is>
      </c>
      <c r="F20" s="32" t="inlineStr">
        <is>
          <t>browser</t>
        </is>
      </c>
      <c r="G20" s="32" t="inlineStr">
        <is>
          <t>tests/components/radio-group/behavior.spec.ts</t>
        </is>
      </c>
      <c r="H20" s="32" t="inlineStr">
        <is>
          <t>tested</t>
        </is>
      </c>
      <c r="I20" s="32" t="inlineStr">
        <is>
          <t>no</t>
        </is>
      </c>
      <c r="J20" s="42" t="n">
        <v>46229</v>
      </c>
      <c r="L20" s="32" t="n">
        <v>1</v>
      </c>
      <c r="M20" s="32">
        <f>IF(OR(AND(I20="yes",H20="verified"),AND(I20="no",OR(H20="tested",H20="verified")),AND(H20="not applicable",K20&lt;&gt;"")),1,0)</f>
        <v/>
      </c>
    </row>
    <row r="21" ht="42" customHeight="1" s="34">
      <c r="A21" s="32" t="inlineStr">
        <is>
          <t>RG-13</t>
        </is>
      </c>
      <c r="B21" s="32" t="inlineStr">
        <is>
          <t>Composition</t>
        </is>
      </c>
      <c r="C21" s="32" t="inlineStr">
        <is>
          <t>Root/Item</t>
        </is>
      </c>
      <c r="D21" s="32" t="inlineStr">
        <is>
          <t>render and asChild preserve custom hosts, roles, built-in visuals, content, state, and events.</t>
        </is>
      </c>
      <c r="E21" s="32" t="inlineStr">
        <is>
          <t>package</t>
        </is>
      </c>
      <c r="F21" s="32" t="inlineStr">
        <is>
          <t>browser</t>
        </is>
      </c>
      <c r="G21" s="32" t="inlineStr">
        <is>
          <t>tests/components/radio-group/behavior.spec.ts</t>
        </is>
      </c>
      <c r="H21" s="32" t="inlineStr">
        <is>
          <t>tested</t>
        </is>
      </c>
      <c r="I21" s="32" t="inlineStr">
        <is>
          <t>no</t>
        </is>
      </c>
      <c r="J21" s="42" t="n">
        <v>46229</v>
      </c>
      <c r="L21" s="32" t="n">
        <v>1</v>
      </c>
      <c r="M21" s="32">
        <f>IF(OR(AND(I21="yes",H21="verified"),AND(I21="no",OR(H21="tested",H21="verified")),AND(H21="not applicable",K21&lt;&gt;"")),1,0)</f>
        <v/>
      </c>
    </row>
    <row r="22" ht="42" customHeight="1" s="34">
      <c r="A22" s="32" t="inlineStr">
        <is>
          <t>RG-14</t>
        </is>
      </c>
      <c r="B22" s="32" t="inlineStr">
        <is>
          <t>Accessibility</t>
        </is>
      </c>
      <c r="C22" s="32" t="inlineStr">
        <is>
          <t>Root/Item</t>
        </is>
      </c>
      <c r="D22" s="32" t="inlineStr">
        <is>
          <t>Automated accessible names, group/radio semantics, state, and axe checks pass.</t>
        </is>
      </c>
      <c r="E22" s="32" t="inlineStr">
        <is>
          <t>package</t>
        </is>
      </c>
      <c r="F22" s="32" t="inlineStr">
        <is>
          <t>axe</t>
        </is>
      </c>
      <c r="G22" s="32" t="inlineStr">
        <is>
          <t>tests/components/radio-group/behavior.spec.ts</t>
        </is>
      </c>
      <c r="H22" s="32" t="inlineStr">
        <is>
          <t>tested</t>
        </is>
      </c>
      <c r="I22" s="32" t="inlineStr">
        <is>
          <t>no</t>
        </is>
      </c>
      <c r="J22" s="42" t="n">
        <v>46229</v>
      </c>
      <c r="L22" s="32" t="n">
        <v>1</v>
      </c>
      <c r="M22" s="32">
        <f>IF(OR(AND(I22="yes",H22="verified"),AND(I22="no",OR(H22="tested",H22="verified")),AND(H22="not applicable",K22&lt;&gt;"")),1,0)</f>
        <v/>
      </c>
    </row>
    <row r="23" ht="42" customHeight="1" s="34">
      <c r="A23" s="32" t="inlineStr">
        <is>
          <t>RG-15</t>
        </is>
      </c>
      <c r="B23" s="32" t="inlineStr">
        <is>
          <t>Visual</t>
        </is>
      </c>
      <c r="C23" s="32" t="inlineStr">
        <is>
          <t>RadioGroup</t>
        </is>
      </c>
      <c r="D23" s="32" t="inlineStr">
        <is>
          <t>Risk-selected light, dark, size, orientation, state, composition, responsive, RTL, and forced-color baselines require owner review.</t>
        </is>
      </c>
      <c r="E23" s="32" t="inlineStr">
        <is>
          <t>package</t>
        </is>
      </c>
      <c r="F23" s="32" t="inlineStr">
        <is>
          <t>visual</t>
        </is>
      </c>
      <c r="G23" s="32" t="inlineStr">
        <is>
          <t>tests/components/radio-group/visual.spec.ts</t>
        </is>
      </c>
      <c r="H23" s="32" t="inlineStr">
        <is>
          <t>not started</t>
        </is>
      </c>
      <c r="I23" s="32" t="inlineStr">
        <is>
          <t>yes</t>
        </is>
      </c>
      <c r="J23" s="42" t="n">
        <v>46229</v>
      </c>
      <c r="K23" s="32" t="inlineStr">
        <is>
          <t>Owner visual review has not been recorded.</t>
        </is>
      </c>
      <c r="L23" s="32" t="n">
        <v>1</v>
      </c>
      <c r="M23" s="32">
        <f>IF(OR(AND(I23="yes",H23="verified"),AND(I23="no",OR(H23="tested",H23="verified")),AND(H23="not applicable",K23&lt;&gt;"")),1,0)</f>
        <v/>
      </c>
    </row>
    <row r="24" ht="42" customHeight="1" s="34">
      <c r="A24" s="32" t="inlineStr">
        <is>
          <t>RG-16</t>
        </is>
      </c>
      <c r="B24" s="32" t="inlineStr">
        <is>
          <t>Manual</t>
        </is>
      </c>
      <c r="C24" s="32" t="inlineStr">
        <is>
          <t>RadioGroup</t>
        </is>
      </c>
      <c r="D24" s="32" t="inlineStr">
        <is>
          <t>A tester completes the short top-to-bottom protocol across keyboard, screen reader, zoom, mobile, RTL, and themes.</t>
        </is>
      </c>
      <c r="E24" s="32" t="inlineStr">
        <is>
          <t>package</t>
        </is>
      </c>
      <c r="F24" s="32" t="inlineStr">
        <is>
          <t>manual</t>
        </is>
      </c>
      <c r="G24" s="32" t="inlineStr">
        <is>
          <t>manual-tests/radio-group.md</t>
        </is>
      </c>
      <c r="H24" s="32" t="inlineStr">
        <is>
          <t>not started</t>
        </is>
      </c>
      <c r="I24" s="32" t="inlineStr">
        <is>
          <t>yes</t>
        </is>
      </c>
      <c r="J24" s="42" t="n">
        <v>46229</v>
      </c>
      <c r="K24" s="32" t="inlineStr">
        <is>
          <t>Owner human review has not been recorded.</t>
        </is>
      </c>
      <c r="L24" s="32" t="n">
        <v>1</v>
      </c>
      <c r="M24" s="32">
        <f>IF(OR(AND(I24="yes",H24="verified"),AND(I24="no",OR(H24="tested",H24="verified")),AND(H24="not applicable",K24&lt;&gt;"")),1,0)</f>
        <v/>
      </c>
    </row>
    <row r="25" ht="15" customHeight="1" s="34">
      <c r="A25" s="32" t="inlineStr">
        <is>
          <t>RG-17</t>
        </is>
      </c>
      <c r="B25" s="32" t="inlineStr">
        <is>
          <t>Docs</t>
        </is>
      </c>
      <c r="C25" s="32" t="inlineStr">
        <is>
          <t>RadioGroup</t>
        </is>
      </c>
      <c r="D25" s="32" t="inlineStr">
        <is>
          <t>Public usage, API, anatomy, states, accessibility, customization, responsive, composition, evidence, and exclusions are documented.</t>
        </is>
      </c>
      <c r="E25" s="32" t="inlineStr">
        <is>
          <t>package</t>
        </is>
      </c>
      <c r="F25" s="32" t="inlineStr">
        <is>
          <t>docs</t>
        </is>
      </c>
      <c r="G25" s="32" t="inlineStr">
        <is>
          <t>../docs/components/radio-group/README.md</t>
        </is>
      </c>
      <c r="H25" s="32" t="inlineStr">
        <is>
          <t>tested</t>
        </is>
      </c>
      <c r="I25" s="32" t="inlineStr">
        <is>
          <t>no</t>
        </is>
      </c>
      <c r="J25" s="42" t="n">
        <v>46229</v>
      </c>
      <c r="L25" s="32" t="n">
        <v>1</v>
      </c>
      <c r="M25" s="32">
        <f>IF(OR(AND(I25="yes",H25="verified"),AND(I25="no",OR(H25="tested",H25="verified")),AND(H25="not applicable",K25&lt;&gt;"")),1,0)</f>
        <v/>
      </c>
    </row>
    <row r="26" ht="15" customHeight="1" s="34">
      <c r="A26" s="32" t="inlineStr">
        <is>
          <t>RG-18</t>
        </is>
      </c>
      <c r="B26" s="32" t="inlineStr">
        <is>
          <t>Changelog</t>
        </is>
      </c>
      <c r="C26" s="32" t="inlineStr">
        <is>
          <t>RadioGroup</t>
        </is>
      </c>
      <c r="D26" s="32" t="inlineStr">
        <is>
          <t>The component owns a public changelog and package release note.</t>
        </is>
      </c>
      <c r="E26" s="32" t="inlineStr">
        <is>
          <t>package</t>
        </is>
      </c>
      <c r="F26" s="32" t="inlineStr">
        <is>
          <t>docs</t>
        </is>
      </c>
      <c r="G26" s="32" t="inlineStr">
        <is>
          <t>../docs/components/radio-group/CHANGELOG.md; ../CHANGELOG.md</t>
        </is>
      </c>
      <c r="H26" s="32" t="inlineStr">
        <is>
          <t>tested</t>
        </is>
      </c>
      <c r="I26" s="32" t="inlineStr">
        <is>
          <t>no</t>
        </is>
      </c>
      <c r="J26" s="42" t="n">
        <v>46229</v>
      </c>
      <c r="L26" s="32" t="n">
        <v>1</v>
      </c>
      <c r="M26" s="32">
        <f>IF(OR(AND(I26="yes",H26="verified"),AND(I26="no",OR(H26="tested",H26="verified")),AND(H26="not applicable",K26&lt;&gt;"")),1,0)</f>
        <v/>
      </c>
    </row>
    <row r="27" ht="15" customHeight="1" s="34">
      <c r="A27" s="32" t="inlineStr">
        <is>
          <t>RG-19</t>
        </is>
      </c>
      <c r="B27" s="32" t="inlineStr">
        <is>
          <t>Consumer</t>
        </is>
      </c>
      <c r="C27" s="32" t="inlineStr">
        <is>
          <t>RadioGroup</t>
        </is>
      </c>
      <c r="D27" s="32" t="inlineStr">
        <is>
          <t>The packed Consumer imports the public subpath and exercises selection, disabled state, submit, and reset.</t>
        </is>
      </c>
      <c r="E27" s="32" t="inlineStr">
        <is>
          <t>consumer</t>
        </is>
      </c>
      <c r="F27" s="32" t="inlineStr">
        <is>
          <t>consumer</t>
        </is>
      </c>
      <c r="G27" s="32" t="inlineStr">
        <is>
          <t>../apps/consumer/src/App.tsx; ../apps/consumer/tests/consumer.spec.ts</t>
        </is>
      </c>
      <c r="H27" s="32" t="inlineStr">
        <is>
          <t>tested</t>
        </is>
      </c>
      <c r="I27" s="32" t="inlineStr">
        <is>
          <t>no</t>
        </is>
      </c>
      <c r="J27" s="42" t="n">
        <v>46229</v>
      </c>
      <c r="L27" s="32" t="n">
        <v>1</v>
      </c>
      <c r="M27" s="32">
        <f>IF(OR(AND(I27="yes",H27="verified"),AND(I27="no",OR(H27="tested",H27="verified")),AND(H27="not applicable",K27&lt;&gt;"")),1,0)</f>
        <v/>
      </c>
    </row>
    <row r="28" ht="15" customHeight="1" s="34">
      <c r="A28" s="32" t="inlineStr">
        <is>
          <t>RG-20</t>
        </is>
      </c>
      <c r="B28" s="32" t="inlineStr">
        <is>
          <t>Package</t>
        </is>
      </c>
      <c r="C28" s="32" t="inlineStr">
        <is>
          <t>RadioGroup</t>
        </is>
      </c>
      <c r="D28" s="32" t="inlineStr">
        <is>
          <t>Build, exports, SSR, tarball, CSS, React 18/19, and consumer boundary verification pass.</t>
        </is>
      </c>
      <c r="E28" s="32" t="inlineStr">
        <is>
          <t>package</t>
        </is>
      </c>
      <c r="F28" s="32" t="inlineStr">
        <is>
          <t>package</t>
        </is>
      </c>
      <c r="G28" s="32" t="inlineStr">
        <is>
          <t>../scripts/verify-package.mjs; ../scripts/verify-consumers.mjs</t>
        </is>
      </c>
      <c r="H28" s="32" t="inlineStr">
        <is>
          <t>tested</t>
        </is>
      </c>
      <c r="I28" s="32" t="inlineStr">
        <is>
          <t>no</t>
        </is>
      </c>
      <c r="J28" s="42" t="n">
        <v>46229</v>
      </c>
      <c r="L28" s="32" t="n">
        <v>1</v>
      </c>
      <c r="M28" s="32">
        <f>IF(OR(AND(I28="yes",H28="verified"),AND(I28="no",OR(H28="tested",H28="verified")),AND(H28="not applicable",K28&lt;&gt;"")),1,0)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Switch Evidence</t>
        </is>
      </c>
    </row>
    <row r="2" ht="27.75" customHeight="1" s="34">
      <c r="A2" s="36" t="inlineStr">
        <is>
          <t>Assertion-level Atom-backed package, browser, human-review, documentation, Consumer, form, state, and responsive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SW-01</t>
        </is>
      </c>
      <c r="B9" s="32" t="inlineStr">
        <is>
          <t>Implementation</t>
        </is>
      </c>
      <c r="C9" s="32" t="inlineStr">
        <is>
          <t>Root/Thumb</t>
        </is>
      </c>
      <c r="D9" s="32" t="inlineStr">
        <is>
          <t>Brick adapts released Atom 0.20.11 Switch behavior without recreating state, keyboard, focus, form, validation, or composition logic.</t>
        </is>
      </c>
      <c r="E9" s="32" t="inlineStr">
        <is>
          <t>package</t>
        </is>
      </c>
      <c r="F9" s="32" t="inlineStr">
        <is>
          <t>source</t>
        </is>
      </c>
      <c r="G9" s="32" t="inlineStr">
        <is>
          <t>../src/components/switch</t>
        </is>
      </c>
      <c r="H9" s="32" t="inlineStr">
        <is>
          <t>tested</t>
        </is>
      </c>
      <c r="I9" s="32" t="inlineStr">
        <is>
          <t>no</t>
        </is>
      </c>
      <c r="J9" s="42" t="n">
        <v>46229</v>
      </c>
      <c r="L9" s="32" t="n">
        <v>1</v>
      </c>
      <c r="M9" s="32">
        <f>IF(OR(AND(I9="yes",H9="verified"),AND(I9="no",OR(H9="tested",H9="verified")),AND(H9="not applicable",K9&lt;&gt;"")),1,0)</f>
        <v/>
      </c>
    </row>
    <row r="10" ht="42" customHeight="1" s="34">
      <c r="A10" s="32" t="inlineStr">
        <is>
          <t>SW-02</t>
        </is>
      </c>
      <c r="B10" s="32" t="inlineStr">
        <is>
          <t>Anatomy</t>
        </is>
      </c>
      <c r="C10" s="32" t="inlineStr">
        <is>
          <t>Root/Thumb</t>
        </is>
      </c>
      <c r="D10" s="32" t="inlineStr">
        <is>
          <t>The public two-part namespace renders one track Root and one decorative Thumb without extra Brick wrappers or anatomy inflation.</t>
        </is>
      </c>
      <c r="E10" s="32" t="inlineStr">
        <is>
          <t>package</t>
        </is>
      </c>
      <c r="F10" s="32" t="inlineStr">
        <is>
          <t>component</t>
        </is>
      </c>
      <c r="G10" s="32" t="inlineStr">
        <is>
          <t>../test/components/switch/switch.test.tsx</t>
        </is>
      </c>
      <c r="H10" s="32" t="inlineStr">
        <is>
          <t>tested</t>
        </is>
      </c>
      <c r="I10" s="32" t="inlineStr">
        <is>
          <t>no</t>
        </is>
      </c>
      <c r="J10" s="42" t="n">
        <v>46229</v>
      </c>
      <c r="L10" s="32" t="n">
        <v>1</v>
      </c>
      <c r="M10" s="32">
        <f>IF(OR(AND(I10="yes",H10="verified"),AND(I10="no",OR(H10="tested",H10="verified")),AND(H10="not applicable",K10&lt;&gt;"")),1,0)</f>
        <v/>
      </c>
    </row>
    <row r="11" ht="42" customHeight="1" s="34">
      <c r="A11" s="32" t="inlineStr">
        <is>
          <t>SW-03</t>
        </is>
      </c>
      <c r="B11" s="32" t="inlineStr">
        <is>
          <t>Exports</t>
        </is>
      </c>
      <c r="C11" s="32" t="inlineStr">
        <is>
          <t>Switch</t>
        </is>
      </c>
      <c r="D11" s="32" t="inlineStr">
        <is>
          <t>Namespace, named parts, public types, root export, and switch subpath are exported.</t>
        </is>
      </c>
      <c r="E11" s="32" t="inlineStr">
        <is>
          <t>package</t>
        </is>
      </c>
      <c r="F11" s="32" t="inlineStr">
        <is>
          <t>package</t>
        </is>
      </c>
      <c r="G11" s="32" t="inlineStr">
        <is>
          <t>../test/package/package.test.mjs</t>
        </is>
      </c>
      <c r="H11" s="32" t="inlineStr">
        <is>
          <t>tested</t>
        </is>
      </c>
      <c r="I11" s="32" t="inlineStr">
        <is>
          <t>no</t>
        </is>
      </c>
      <c r="J11" s="42" t="n">
        <v>46229</v>
      </c>
      <c r="L11" s="32" t="n">
        <v>1</v>
      </c>
      <c r="M11" s="32">
        <f>IF(OR(AND(I11="yes",H11="verified"),AND(I11="no",OR(H11="tested",H11="verified")),AND(H11="not applicable",K11&lt;&gt;"")),1,0)</f>
        <v/>
      </c>
    </row>
    <row r="12" ht="42" customHeight="1" s="34">
      <c r="A12" s="32" t="inlineStr">
        <is>
          <t>SW-04</t>
        </is>
      </c>
      <c r="B12" s="32" t="inlineStr">
        <is>
          <t>Types</t>
        </is>
      </c>
      <c r="C12" s="32" t="inlineStr">
        <is>
          <t>Root/Thumb</t>
        </is>
      </c>
      <c r="D12" s="32" t="inlineStr">
        <is>
          <t>Closed sizes, Atom behavior props, refs, render/asChild branches, and rejected mixed/variant combinations type-check.</t>
        </is>
      </c>
      <c r="E12" s="32" t="inlineStr">
        <is>
          <t>package</t>
        </is>
      </c>
      <c r="F12" s="32" t="inlineStr">
        <is>
          <t>types</t>
        </is>
      </c>
      <c r="G12" s="32" t="inlineStr">
        <is>
          <t>../test/types/components/switch.test.ts</t>
        </is>
      </c>
      <c r="H12" s="32" t="inlineStr">
        <is>
          <t>tested</t>
        </is>
      </c>
      <c r="I12" s="32" t="inlineStr">
        <is>
          <t>no</t>
        </is>
      </c>
      <c r="J12" s="42" t="n">
        <v>46229</v>
      </c>
      <c r="L12" s="32" t="n">
        <v>1</v>
      </c>
      <c r="M12" s="32">
        <f>IF(OR(AND(I12="yes",H12="verified"),AND(I12="no",OR(H12="tested",H12="verified")),AND(H12="not applicable",K12&lt;&gt;"")),1,0)</f>
        <v/>
      </c>
    </row>
    <row r="13" ht="42" customHeight="1" s="34">
      <c r="A13" s="32" t="inlineStr">
        <is>
          <t>SW-05</t>
        </is>
      </c>
      <c r="B13" s="32" t="inlineStr">
        <is>
          <t>CSS</t>
        </is>
      </c>
      <c r="C13" s="32" t="inlineStr">
        <is>
          <t>Root/Thumb</t>
        </is>
      </c>
      <c r="D13" s="32" t="inlineStr">
        <is>
          <t>Static CSS provides canonical track/thumb paint, sizes, state hooks, RTL, reduced motion, forced colors, and public variables.</t>
        </is>
      </c>
      <c r="E13" s="32" t="inlineStr">
        <is>
          <t>package</t>
        </is>
      </c>
      <c r="F13" s="32" t="inlineStr">
        <is>
          <t>css</t>
        </is>
      </c>
      <c r="G13" s="32" t="inlineStr">
        <is>
          <t>../src/components/switch/switch.css</t>
        </is>
      </c>
      <c r="H13" s="32" t="inlineStr">
        <is>
          <t>tested</t>
        </is>
      </c>
      <c r="I13" s="32" t="inlineStr">
        <is>
          <t>no</t>
        </is>
      </c>
      <c r="J13" s="42" t="n">
        <v>46229</v>
      </c>
      <c r="L13" s="32" t="n">
        <v>1</v>
      </c>
      <c r="M13" s="32">
        <f>IF(OR(AND(I13="yes",H13="verified"),AND(I13="no",OR(H13="tested",H13="verified")),AND(H13="not applicable",K13&lt;&gt;"")),1,0)</f>
        <v/>
      </c>
    </row>
    <row r="14" ht="42" customHeight="1" s="34">
      <c r="A14" s="32" t="inlineStr">
        <is>
          <t>SW-06</t>
        </is>
      </c>
      <c r="B14" s="32" t="inlineStr">
        <is>
          <t>Defaults</t>
        </is>
      </c>
      <c r="C14" s="32" t="inlineStr">
        <is>
          <t>Root/Thumb</t>
        </is>
      </c>
      <c r="D14" s="32" t="inlineStr">
        <is>
          <t>Medium unchecked neutral track is the canonical default and pointer activation changes only binary state.</t>
        </is>
      </c>
      <c r="E14" s="32" t="inlineStr">
        <is>
          <t>package</t>
        </is>
      </c>
      <c r="F14" s="32" t="inlineStr">
        <is>
          <t>browser</t>
        </is>
      </c>
      <c r="G14" s="32" t="inlineStr">
        <is>
          <t>tests/components/switch/behavior.spec.ts</t>
        </is>
      </c>
      <c r="H14" s="32" t="inlineStr">
        <is>
          <t>tested</t>
        </is>
      </c>
      <c r="I14" s="32" t="inlineStr">
        <is>
          <t>no</t>
        </is>
      </c>
      <c r="J14" s="42" t="n">
        <v>46229</v>
      </c>
      <c r="L14" s="32" t="n">
        <v>1</v>
      </c>
      <c r="M14" s="32">
        <f>IF(OR(AND(I14="yes",H14="verified"),AND(I14="no",OR(H14="tested",H14="verified")),AND(H14="not applicable",K14&lt;&gt;"")),1,0)</f>
        <v/>
      </c>
    </row>
    <row r="15" ht="42" customHeight="1" s="34">
      <c r="A15" s="32" t="inlineStr">
        <is>
          <t>SW-07</t>
        </is>
      </c>
      <c r="B15" s="32" t="inlineStr">
        <is>
          <t>Sizing</t>
        </is>
      </c>
      <c r="C15" s="32" t="inlineStr">
        <is>
          <t>Root</t>
        </is>
      </c>
      <c r="D15" s="32" t="inlineStr">
        <is>
          <t>Small, medium, and large increase complete track, thumb, and travel geometry while preserving the target.</t>
        </is>
      </c>
      <c r="E15" s="32" t="inlineStr">
        <is>
          <t>package</t>
        </is>
      </c>
      <c r="F15" s="32" t="inlineStr">
        <is>
          <t>browser</t>
        </is>
      </c>
      <c r="G15" s="32" t="inlineStr">
        <is>
          <t>tests/components/switch/behavior.spec.ts</t>
        </is>
      </c>
      <c r="H15" s="32" t="inlineStr">
        <is>
          <t>tested</t>
        </is>
      </c>
      <c r="I15" s="32" t="inlineStr">
        <is>
          <t>no</t>
        </is>
      </c>
      <c r="J15" s="42" t="n">
        <v>46229</v>
      </c>
      <c r="L15" s="32" t="n">
        <v>1</v>
      </c>
      <c r="M15" s="32">
        <f>IF(OR(AND(I15="yes",H15="verified"),AND(I15="no",OR(H15="tested",H15="verified")),AND(H15="not applicable",K15&lt;&gt;"")),1,0)</f>
        <v/>
      </c>
    </row>
    <row r="16" ht="42" customHeight="1" s="34">
      <c r="A16" s="32" t="inlineStr">
        <is>
          <t>SW-08</t>
        </is>
      </c>
      <c r="B16" s="32" t="inlineStr">
        <is>
          <t>Keyboard</t>
        </is>
      </c>
      <c r="C16" s="32" t="inlineStr">
        <is>
          <t>Root</t>
        </is>
      </c>
      <c r="D16" s="32" t="inlineStr">
        <is>
          <t>Space and Enter toggle exactly once while native focus remains on Root.</t>
        </is>
      </c>
      <c r="E16" s="32" t="inlineStr">
        <is>
          <t>package</t>
        </is>
      </c>
      <c r="F16" s="32" t="inlineStr">
        <is>
          <t>browser</t>
        </is>
      </c>
      <c r="G16" s="32" t="inlineStr">
        <is>
          <t>tests/components/switch/behavior.spec.ts</t>
        </is>
      </c>
      <c r="H16" s="32" t="inlineStr">
        <is>
          <t>tested</t>
        </is>
      </c>
      <c r="I16" s="32" t="inlineStr">
        <is>
          <t>no</t>
        </is>
      </c>
      <c r="J16" s="42" t="n">
        <v>46229</v>
      </c>
      <c r="L16" s="32" t="n">
        <v>1</v>
      </c>
      <c r="M16" s="32">
        <f>IF(OR(AND(I16="yes",H16="verified"),AND(I16="no",OR(H16="tested",H16="verified")),AND(H16="not applicable",K16&lt;&gt;"")),1,0)</f>
        <v/>
      </c>
    </row>
    <row r="17" ht="42" customHeight="1" s="34">
      <c r="A17" s="32" t="inlineStr">
        <is>
          <t>SW-09</t>
        </is>
      </c>
      <c r="B17" s="32" t="inlineStr">
        <is>
          <t>Ownership</t>
        </is>
      </c>
      <c r="C17" s="32" t="inlineStr">
        <is>
          <t>Root</t>
        </is>
      </c>
      <c r="D17" s="32" t="inlineStr">
        <is>
          <t>Controlled and uncontrolled state expose identical visuals and correct checked-change behavior.</t>
        </is>
      </c>
      <c r="E17" s="32" t="inlineStr">
        <is>
          <t>package</t>
        </is>
      </c>
      <c r="F17" s="32" t="inlineStr">
        <is>
          <t>component</t>
        </is>
      </c>
      <c r="G17" s="32" t="inlineStr">
        <is>
          <t>../test/components/switch/switch.test.tsx; tests/components/switch/behavior.spec.ts</t>
        </is>
      </c>
      <c r="H17" s="32" t="inlineStr">
        <is>
          <t>tested</t>
        </is>
      </c>
      <c r="I17" s="32" t="inlineStr">
        <is>
          <t>no</t>
        </is>
      </c>
      <c r="J17" s="42" t="n">
        <v>46229</v>
      </c>
      <c r="L17" s="32" t="n">
        <v>1</v>
      </c>
      <c r="M17" s="32">
        <f>IF(OR(AND(I17="yes",H17="verified"),AND(I17="no",OR(H17="tested",H17="verified")),AND(H17="not applicable",K17&lt;&gt;"")),1,0)</f>
        <v/>
      </c>
    </row>
    <row r="18" ht="42" customHeight="1" s="34">
      <c r="A18" s="32" t="inlineStr">
        <is>
          <t>SW-10</t>
        </is>
      </c>
      <c r="B18" s="32" t="inlineStr">
        <is>
          <t>States</t>
        </is>
      </c>
      <c r="C18" s="32" t="inlineStr">
        <is>
          <t>Root/Thumb</t>
        </is>
      </c>
      <c r="D18" s="32" t="inlineStr">
        <is>
          <t>Disabled, required, invalid, and read-only attributes propagate to both parts with distinct behavior and paint.</t>
        </is>
      </c>
      <c r="E18" s="32" t="inlineStr">
        <is>
          <t>package</t>
        </is>
      </c>
      <c r="F18" s="32" t="inlineStr">
        <is>
          <t>browser</t>
        </is>
      </c>
      <c r="G18" s="32" t="inlineStr">
        <is>
          <t>../test/components/switch/switch.test.tsx; tests/components/switch/behavior.spec.ts</t>
        </is>
      </c>
      <c r="H18" s="32" t="inlineStr">
        <is>
          <t>tested</t>
        </is>
      </c>
      <c r="I18" s="32" t="inlineStr">
        <is>
          <t>no</t>
        </is>
      </c>
      <c r="J18" s="42" t="n">
        <v>46229</v>
      </c>
      <c r="L18" s="32" t="n">
        <v>1</v>
      </c>
      <c r="M18" s="32">
        <f>IF(OR(AND(I18="yes",H18="verified"),AND(I18="no",OR(H18="tested",H18="verified")),AND(H18="not applicable",K18&lt;&gt;"")),1,0)</f>
        <v/>
      </c>
    </row>
    <row r="19" ht="42" customHeight="1" s="34">
      <c r="A19" s="32" t="inlineStr">
        <is>
          <t>SW-11</t>
        </is>
      </c>
      <c r="B19" s="32" t="inlineStr">
        <is>
          <t>Read only</t>
        </is>
      </c>
      <c r="C19" s="32" t="inlineStr">
        <is>
          <t>Root/Thumb</t>
        </is>
      </c>
      <c r="D19" s="32" t="inlineStr">
        <is>
          <t>Read-only remains focusable and submitted but cannot mutate or emit checked changes.</t>
        </is>
      </c>
      <c r="E19" s="32" t="inlineStr">
        <is>
          <t>package</t>
        </is>
      </c>
      <c r="F19" s="32" t="inlineStr">
        <is>
          <t>component</t>
        </is>
      </c>
      <c r="G19" s="32" t="inlineStr">
        <is>
          <t>../test/components/switch/switch.test.tsx</t>
        </is>
      </c>
      <c r="H19" s="32" t="inlineStr">
        <is>
          <t>tested</t>
        </is>
      </c>
      <c r="I19" s="32" t="inlineStr">
        <is>
          <t>no</t>
        </is>
      </c>
      <c r="J19" s="42" t="n">
        <v>46229</v>
      </c>
      <c r="L19" s="32" t="n">
        <v>1</v>
      </c>
      <c r="M19" s="32">
        <f>IF(OR(AND(I19="yes",H19="verified"),AND(I19="no",OR(H19="tested",H19="verified")),AND(H19="not applicable",K19&lt;&gt;"")),1,0)</f>
        <v/>
      </c>
    </row>
    <row r="20" ht="42" customHeight="1" s="34">
      <c r="A20" s="32" t="inlineStr">
        <is>
          <t>SW-12</t>
        </is>
      </c>
      <c r="B20" s="32" t="inlineStr">
        <is>
          <t>Forms</t>
        </is>
      </c>
      <c r="C20" s="32" t="inlineStr">
        <is>
          <t>Root</t>
        </is>
      </c>
      <c r="D20" s="32" t="inlineStr">
        <is>
          <t>Named submission, native required focus, reset, external ownership, and Field relationships work.</t>
        </is>
      </c>
      <c r="E20" s="32" t="inlineStr">
        <is>
          <t>package</t>
        </is>
      </c>
      <c r="F20" s="32" t="inlineStr">
        <is>
          <t>browser</t>
        </is>
      </c>
      <c r="G20" s="32" t="inlineStr">
        <is>
          <t>tests/components/switch/behavior.spec.ts</t>
        </is>
      </c>
      <c r="H20" s="32" t="inlineStr">
        <is>
          <t>tested</t>
        </is>
      </c>
      <c r="I20" s="32" t="inlineStr">
        <is>
          <t>no</t>
        </is>
      </c>
      <c r="J20" s="42" t="n">
        <v>46229</v>
      </c>
      <c r="L20" s="32" t="n">
        <v>1</v>
      </c>
      <c r="M20" s="32">
        <f>IF(OR(AND(I20="yes",H20="verified"),AND(I20="no",OR(H20="tested",H20="verified")),AND(H20="not applicable",K20&lt;&gt;"")),1,0)</f>
        <v/>
      </c>
    </row>
    <row r="21" ht="42" customHeight="1" s="34">
      <c r="A21" s="32" t="inlineStr">
        <is>
          <t>SW-13</t>
        </is>
      </c>
      <c r="B21" s="32" t="inlineStr">
        <is>
          <t>Composition</t>
        </is>
      </c>
      <c r="C21" s="32" t="inlineStr">
        <is>
          <t>Root/Thumb</t>
        </is>
      </c>
      <c r="D21" s="32" t="inlineStr">
        <is>
          <t>render and asChild preserve custom hosts, role, state, decorative semantics, classes, slots, and native props.</t>
        </is>
      </c>
      <c r="E21" s="32" t="inlineStr">
        <is>
          <t>package</t>
        </is>
      </c>
      <c r="F21" s="32" t="inlineStr">
        <is>
          <t>browser</t>
        </is>
      </c>
      <c r="G21" s="32" t="inlineStr">
        <is>
          <t>tests/components/switch/behavior.spec.ts</t>
        </is>
      </c>
      <c r="H21" s="32" t="inlineStr">
        <is>
          <t>tested</t>
        </is>
      </c>
      <c r="I21" s="32" t="inlineStr">
        <is>
          <t>no</t>
        </is>
      </c>
      <c r="J21" s="42" t="n">
        <v>46229</v>
      </c>
      <c r="L21" s="32" t="n">
        <v>1</v>
      </c>
      <c r="M21" s="32">
        <f>IF(OR(AND(I21="yes",H21="verified"),AND(I21="no",OR(H21="tested",H21="verified")),AND(H21="not applicable",K21&lt;&gt;"")),1,0)</f>
        <v/>
      </c>
    </row>
    <row r="22" ht="42" customHeight="1" s="34">
      <c r="A22" s="32" t="inlineStr">
        <is>
          <t>SW-14</t>
        </is>
      </c>
      <c r="B22" s="32" t="inlineStr">
        <is>
          <t>Accessibility</t>
        </is>
      </c>
      <c r="C22" s="32" t="inlineStr">
        <is>
          <t>Root/Thumb</t>
        </is>
      </c>
      <c r="D22" s="32" t="inlineStr">
        <is>
          <t>Accessible name, switch role, boolean checked state, decorative Thumb, Field relationships, and axe checks pass.</t>
        </is>
      </c>
      <c r="E22" s="32" t="inlineStr">
        <is>
          <t>package</t>
        </is>
      </c>
      <c r="F22" s="32" t="inlineStr">
        <is>
          <t>axe</t>
        </is>
      </c>
      <c r="G22" s="32" t="inlineStr">
        <is>
          <t>tests/components/switch/behavior.spec.ts</t>
        </is>
      </c>
      <c r="H22" s="32" t="inlineStr">
        <is>
          <t>tested</t>
        </is>
      </c>
      <c r="I22" s="32" t="inlineStr">
        <is>
          <t>no</t>
        </is>
      </c>
      <c r="J22" s="42" t="n">
        <v>46229</v>
      </c>
      <c r="L22" s="32" t="n">
        <v>1</v>
      </c>
      <c r="M22" s="32">
        <f>IF(OR(AND(I22="yes",H22="verified"),AND(I22="no",OR(H22="tested",H22="verified")),AND(H22="not applicable",K22&lt;&gt;"")),1,0)</f>
        <v/>
      </c>
    </row>
    <row r="23" ht="42" customHeight="1" s="34">
      <c r="A23" s="32" t="inlineStr">
        <is>
          <t>SW-15</t>
        </is>
      </c>
      <c r="B23" s="32" t="inlineStr">
        <is>
          <t>Visual</t>
        </is>
      </c>
      <c r="C23" s="32" t="inlineStr">
        <is>
          <t>Switch</t>
        </is>
      </c>
      <c r="D23" s="32" t="inlineStr">
        <is>
          <t>Risk-selected defaults, sizes, composition, dark appearance, responsive RTL, and forced-color baselines require owner review.</t>
        </is>
      </c>
      <c r="E23" s="32" t="inlineStr">
        <is>
          <t>package</t>
        </is>
      </c>
      <c r="F23" s="32" t="inlineStr">
        <is>
          <t>visual</t>
        </is>
      </c>
      <c r="G23" s="32" t="inlineStr">
        <is>
          <t>tests/components/switch/visual.spec.ts</t>
        </is>
      </c>
      <c r="H23" s="32" t="inlineStr">
        <is>
          <t>not started</t>
        </is>
      </c>
      <c r="I23" s="32" t="inlineStr">
        <is>
          <t>yes</t>
        </is>
      </c>
      <c r="J23" s="42" t="n">
        <v>46229</v>
      </c>
      <c r="K23" s="32" t="inlineStr">
        <is>
          <t>Generated and agent-inspected; owner review unclaimed</t>
        </is>
      </c>
      <c r="L23" s="32" t="n">
        <v>1</v>
      </c>
      <c r="M23" s="32">
        <f>IF(OR(AND(I23="yes",H23="verified"),AND(I23="no",OR(H23="tested",H23="verified")),AND(H23="not applicable",K23&lt;&gt;"")),1,0)</f>
        <v/>
      </c>
    </row>
    <row r="24" ht="42" customHeight="1" s="34">
      <c r="A24" s="32" t="inlineStr">
        <is>
          <t>SW-16</t>
        </is>
      </c>
      <c r="B24" s="32" t="inlineStr">
        <is>
          <t>Manual</t>
        </is>
      </c>
      <c r="C24" s="32" t="inlineStr">
        <is>
          <t>Switch</t>
        </is>
      </c>
      <c r="D24" s="32" t="inlineStr">
        <is>
          <t>A tester completes the top-to-bottom keyboard, screen reader, zoom, mobile, RTL, appearance, reduced-motion, and forced-color protocol.</t>
        </is>
      </c>
      <c r="E24" s="32" t="inlineStr">
        <is>
          <t>package</t>
        </is>
      </c>
      <c r="F24" s="32" t="inlineStr">
        <is>
          <t>manual</t>
        </is>
      </c>
      <c r="G24" s="32" t="inlineStr">
        <is>
          <t>manual-tests/switch.md</t>
        </is>
      </c>
      <c r="H24" s="32" t="inlineStr">
        <is>
          <t>not started</t>
        </is>
      </c>
      <c r="I24" s="32" t="inlineStr">
        <is>
          <t>yes</t>
        </is>
      </c>
      <c r="J24" s="42" t="n">
        <v>46229</v>
      </c>
      <c r="K24" s="32" t="inlineStr">
        <is>
          <t>Human run intentionally unclaimed</t>
        </is>
      </c>
      <c r="L24" s="32" t="n">
        <v>1</v>
      </c>
      <c r="M24" s="32">
        <f>IF(OR(AND(I24="yes",H24="verified"),AND(I24="no",OR(H24="tested",H24="verified")),AND(H24="not applicable",K24&lt;&gt;"")),1,0)</f>
        <v/>
      </c>
    </row>
    <row r="25" ht="15" customHeight="1" s="34">
      <c r="A25" s="32" t="inlineStr">
        <is>
          <t>SW-17</t>
        </is>
      </c>
      <c r="B25" s="32" t="inlineStr">
        <is>
          <t>Docs</t>
        </is>
      </c>
      <c r="C25" s="32" t="inlineStr">
        <is>
          <t>Switch</t>
        </is>
      </c>
      <c r="D25" s="32" t="inlineStr">
        <is>
          <t>Public usage, API, anatomy, states, accessibility, customization, responsive, composition, evidence, and exclusions are documented.</t>
        </is>
      </c>
      <c r="E25" s="32" t="inlineStr">
        <is>
          <t>package</t>
        </is>
      </c>
      <c r="F25" s="32" t="inlineStr">
        <is>
          <t>docs</t>
        </is>
      </c>
      <c r="G25" s="32" t="inlineStr">
        <is>
          <t>../docs/components/switch/README.md</t>
        </is>
      </c>
      <c r="H25" s="32" t="inlineStr">
        <is>
          <t>tested</t>
        </is>
      </c>
      <c r="I25" s="32" t="inlineStr">
        <is>
          <t>no</t>
        </is>
      </c>
      <c r="J25" s="42" t="n">
        <v>46229</v>
      </c>
      <c r="L25" s="32" t="n">
        <v>1</v>
      </c>
      <c r="M25" s="32">
        <f>IF(OR(AND(I25="yes",H25="verified"),AND(I25="no",OR(H25="tested",H25="verified")),AND(H25="not applicable",K25&lt;&gt;"")),1,0)</f>
        <v/>
      </c>
    </row>
    <row r="26" ht="15" customHeight="1" s="34">
      <c r="A26" s="32" t="inlineStr">
        <is>
          <t>SW-18</t>
        </is>
      </c>
      <c r="B26" s="32" t="inlineStr">
        <is>
          <t>Changelog</t>
        </is>
      </c>
      <c r="C26" s="32" t="inlineStr">
        <is>
          <t>Switch</t>
        </is>
      </c>
      <c r="D26" s="32" t="inlineStr">
        <is>
          <t>The component owns a public changelog and package release note.</t>
        </is>
      </c>
      <c r="E26" s="32" t="inlineStr">
        <is>
          <t>package</t>
        </is>
      </c>
      <c r="F26" s="32" t="inlineStr">
        <is>
          <t>docs</t>
        </is>
      </c>
      <c r="G26" s="32" t="inlineStr">
        <is>
          <t>../docs/components/switch/CHANGELOG.md; ../CHANGELOG.md</t>
        </is>
      </c>
      <c r="H26" s="32" t="inlineStr">
        <is>
          <t>tested</t>
        </is>
      </c>
      <c r="I26" s="32" t="inlineStr">
        <is>
          <t>no</t>
        </is>
      </c>
      <c r="J26" s="42" t="n">
        <v>46229</v>
      </c>
      <c r="L26" s="32" t="n">
        <v>1</v>
      </c>
      <c r="M26" s="32">
        <f>IF(OR(AND(I26="yes",H26="verified"),AND(I26="no",OR(H26="tested",H26="verified")),AND(H26="not applicable",K26&lt;&gt;"")),1,0)</f>
        <v/>
      </c>
    </row>
    <row r="27" ht="15" customHeight="1" s="34">
      <c r="A27" s="32" t="inlineStr">
        <is>
          <t>SW-19</t>
        </is>
      </c>
      <c r="B27" s="32" t="inlineStr">
        <is>
          <t>Consumer</t>
        </is>
      </c>
      <c r="C27" s="32" t="inlineStr">
        <is>
          <t>Switch</t>
        </is>
      </c>
      <c r="D27" s="32" t="inlineStr">
        <is>
          <t>The packed Consumer imports the public subpath and operates a controlled immediate setting in Popover.</t>
        </is>
      </c>
      <c r="E27" s="32" t="inlineStr">
        <is>
          <t>consumer</t>
        </is>
      </c>
      <c r="F27" s="32" t="inlineStr">
        <is>
          <t>consumer</t>
        </is>
      </c>
      <c r="G27" s="32" t="inlineStr">
        <is>
          <t>../apps/consumer/src/App.tsx; ../apps/consumer/tests/consumer.spec.ts</t>
        </is>
      </c>
      <c r="H27" s="32" t="inlineStr">
        <is>
          <t>tested</t>
        </is>
      </c>
      <c r="I27" s="32" t="inlineStr">
        <is>
          <t>no</t>
        </is>
      </c>
      <c r="J27" s="42" t="n">
        <v>46229</v>
      </c>
      <c r="L27" s="32" t="n">
        <v>1</v>
      </c>
      <c r="M27" s="32">
        <f>IF(OR(AND(I27="yes",H27="verified"),AND(I27="no",OR(H27="tested",H27="verified")),AND(H27="not applicable",K27&lt;&gt;"")),1,0)</f>
        <v/>
      </c>
    </row>
    <row r="28" ht="15" customHeight="1" s="34">
      <c r="A28" s="32" t="inlineStr">
        <is>
          <t>SW-20</t>
        </is>
      </c>
      <c r="B28" s="32" t="inlineStr">
        <is>
          <t>Package</t>
        </is>
      </c>
      <c r="C28" s="32" t="inlineStr">
        <is>
          <t>Switch</t>
        </is>
      </c>
      <c r="D28" s="32" t="inlineStr">
        <is>
          <t>Build, exports, SSR, tarball, CSS, React 18/19, and Consumer boundary verification pass.</t>
        </is>
      </c>
      <c r="E28" s="32" t="inlineStr">
        <is>
          <t>package</t>
        </is>
      </c>
      <c r="F28" s="32" t="inlineStr">
        <is>
          <t>package</t>
        </is>
      </c>
      <c r="G28" s="32" t="inlineStr">
        <is>
          <t>../scripts/verify-package.mjs; ../scripts/verify-consumers.mjs</t>
        </is>
      </c>
      <c r="H28" s="32" t="inlineStr">
        <is>
          <t>tested</t>
        </is>
      </c>
      <c r="I28" s="32" t="inlineStr">
        <is>
          <t>no</t>
        </is>
      </c>
      <c r="J28" s="42" t="n">
        <v>46229</v>
      </c>
      <c r="L28" s="32" t="n">
        <v>1</v>
      </c>
      <c r="M28" s="32">
        <f>IF(OR(AND(I28="yes",H28="verified"),AND(I28="no",OR(H28="tested",H28="verified")),AND(H28="not applicable",K28&lt;&gt;"")),1,0)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Breadcrumb Evidence</t>
        </is>
      </c>
    </row>
    <row r="2" ht="27.75" customHeight="1" s="34">
      <c r="A2" s="36" t="inlineStr">
        <is>
          <t>Assertion-level Atom-backed package,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BC-01</t>
        </is>
      </c>
      <c r="B9" s="32" t="inlineStr">
        <is>
          <t>Ownership</t>
        </is>
      </c>
      <c r="C9" s="32" t="inlineStr">
        <is>
          <t>Root/List/Item/Link/Page/Separator/Ellipsis</t>
        </is>
      </c>
      <c r="D9" s="32" t="inlineStr">
        <is>
          <t>Brick styles released Atom 0.20.11 Breadcrumb semantics and composition without recreating navigation, current-page, separator, or polymorphic behavior.</t>
        </is>
      </c>
      <c r="E9" s="32" t="inlineStr">
        <is>
          <t>package</t>
        </is>
      </c>
      <c r="F9" s="32" t="inlineStr">
        <is>
          <t>source</t>
        </is>
      </c>
      <c r="G9" s="32" t="inlineStr">
        <is>
          <t>../src/components/breadcrumb</t>
        </is>
      </c>
      <c r="H9" s="32" t="inlineStr">
        <is>
          <t>tested</t>
        </is>
      </c>
      <c r="I9" s="32" t="inlineStr">
        <is>
          <t>no</t>
        </is>
      </c>
      <c r="J9" s="42" t="n">
        <v>46229</v>
      </c>
      <c r="L9" s="32" t="n">
        <v>1</v>
      </c>
      <c r="M9" s="32">
        <f>IF(OR(AND(I9="yes",H9="verified"),AND(I9="no",OR(H9="tested",H9="verified")),AND(H9="not applicable",K9&lt;&gt;"")),1,0)</f>
        <v/>
      </c>
    </row>
    <row r="10" ht="42" customHeight="1" s="34">
      <c r="A10" s="32" t="inlineStr">
        <is>
          <t>BC-02</t>
        </is>
      </c>
      <c r="B10" s="32" t="inlineStr">
        <is>
          <t>Anatomy</t>
        </is>
      </c>
      <c r="C10" s="32" t="inlineStr">
        <is>
          <t>All parts</t>
        </is>
      </c>
      <c r="D10" s="32" t="inlineStr">
        <is>
          <t>The public seven-part namespace preserves nav, ordered-list, list-item, native-anchor, current-page, hidden-separator, and ellipsis hosts without Brick-only wrappers.</t>
        </is>
      </c>
      <c r="E10" s="32" t="inlineStr">
        <is>
          <t>package</t>
        </is>
      </c>
      <c r="F10" s="32" t="inlineStr">
        <is>
          <t>component</t>
        </is>
      </c>
      <c r="G10" s="32" t="inlineStr">
        <is>
          <t>../test/components/breadcrumb/breadcrumb.test.tsx</t>
        </is>
      </c>
      <c r="H10" s="32" t="inlineStr">
        <is>
          <t>tested</t>
        </is>
      </c>
      <c r="I10" s="32" t="inlineStr">
        <is>
          <t>no</t>
        </is>
      </c>
      <c r="J10" s="42" t="n">
        <v>46229</v>
      </c>
      <c r="L10" s="32" t="n">
        <v>1</v>
      </c>
      <c r="M10" s="32">
        <f>IF(OR(AND(I10="yes",H10="verified"),AND(I10="no",OR(H10="tested",H10="verified")),AND(H10="not applicable",K10&lt;&gt;"")),1,0)</f>
        <v/>
      </c>
    </row>
    <row r="11" ht="42" customHeight="1" s="34">
      <c r="A11" s="32" t="inlineStr">
        <is>
          <t>BC-03</t>
        </is>
      </c>
      <c r="B11" s="32" t="inlineStr">
        <is>
          <t>Exports</t>
        </is>
      </c>
      <c r="C11" s="32" t="inlineStr">
        <is>
          <t>Breadcrumb</t>
        </is>
      </c>
      <c r="D11" s="32" t="inlineStr">
        <is>
          <t>Namespace, named parts, public types, root export, and breadcrumb subpath are exported with identical runtime identities.</t>
        </is>
      </c>
      <c r="E11" s="32" t="inlineStr">
        <is>
          <t>package</t>
        </is>
      </c>
      <c r="F11" s="32" t="inlineStr">
        <is>
          <t>package</t>
        </is>
      </c>
      <c r="G11" s="32" t="inlineStr">
        <is>
          <t>../test/package/package.test.mjs</t>
        </is>
      </c>
      <c r="H11" s="32" t="inlineStr">
        <is>
          <t>tested</t>
        </is>
      </c>
      <c r="I11" s="32" t="inlineStr">
        <is>
          <t>no</t>
        </is>
      </c>
      <c r="J11" s="42" t="n">
        <v>46229</v>
      </c>
      <c r="L11" s="32" t="n">
        <v>1</v>
      </c>
      <c r="M11" s="32">
        <f>IF(OR(AND(I11="yes",H11="verified"),AND(I11="no",OR(H11="tested",H11="verified")),AND(H11="not applicable",K11&lt;&gt;"")),1,0)</f>
        <v/>
      </c>
    </row>
    <row r="12" ht="42" customHeight="1" s="34">
      <c r="A12" s="32" t="inlineStr">
        <is>
          <t>BC-04</t>
        </is>
      </c>
      <c r="B12" s="32" t="inlineStr">
        <is>
          <t>Types</t>
        </is>
      </c>
      <c r="C12" s="32" t="inlineStr">
        <is>
          <t>All parts</t>
        </is>
      </c>
      <c r="D12" s="32" t="inlineStr">
        <is>
          <t>Closed size and variant recipes, native props, refs, render, asChild, separators, and ellipsis composition type-check.</t>
        </is>
      </c>
      <c r="E12" s="32" t="inlineStr">
        <is>
          <t>package</t>
        </is>
      </c>
      <c r="F12" s="32" t="inlineStr">
        <is>
          <t>types</t>
        </is>
      </c>
      <c r="G12" s="32" t="inlineStr">
        <is>
          <t>../test/types/components/breadcrumb.test.ts</t>
        </is>
      </c>
      <c r="H12" s="32" t="inlineStr">
        <is>
          <t>tested</t>
        </is>
      </c>
      <c r="I12" s="32" t="inlineStr">
        <is>
          <t>no</t>
        </is>
      </c>
      <c r="J12" s="42" t="n">
        <v>46229</v>
      </c>
      <c r="L12" s="32" t="n">
        <v>1</v>
      </c>
      <c r="M12" s="32">
        <f>IF(OR(AND(I12="yes",H12="verified"),AND(I12="no",OR(H12="tested",H12="verified")),AND(H12="not applicable",K12&lt;&gt;"")),1,0)</f>
        <v/>
      </c>
    </row>
    <row r="13" ht="42" customHeight="1" s="34">
      <c r="A13" s="32" t="inlineStr">
        <is>
          <t>BC-05</t>
        </is>
      </c>
      <c r="B13" s="32" t="inlineStr">
        <is>
          <t>CSS</t>
        </is>
      </c>
      <c r="C13" s="32" t="inlineStr">
        <is>
          <t>All parts</t>
        </is>
      </c>
      <c r="D13" s="32" t="inlineStr">
        <is>
          <t>Static CSS ships typography, spacing, link, current-page, separator, ellipsis, focus, RTL, forced-color, and public-variable behavior.</t>
        </is>
      </c>
      <c r="E13" s="32" t="inlineStr">
        <is>
          <t>package</t>
        </is>
      </c>
      <c r="F13" s="32" t="inlineStr">
        <is>
          <t>css</t>
        </is>
      </c>
      <c r="G13" s="32" t="inlineStr">
        <is>
          <t>../src/components/breadcrumb/breadcrumb.css</t>
        </is>
      </c>
      <c r="H13" s="32" t="inlineStr">
        <is>
          <t>tested</t>
        </is>
      </c>
      <c r="I13" s="32" t="inlineStr">
        <is>
          <t>no</t>
        </is>
      </c>
      <c r="J13" s="42" t="n">
        <v>46229</v>
      </c>
      <c r="L13" s="32" t="n">
        <v>1</v>
      </c>
      <c r="M13" s="32">
        <f>IF(OR(AND(I13="yes",H13="verified"),AND(I13="no",OR(H13="tested",H13="verified")),AND(H13="not applicable",K13&lt;&gt;"")),1,0)</f>
        <v/>
      </c>
    </row>
    <row r="14" ht="42" customHeight="1" s="34">
      <c r="A14" s="32" t="inlineStr">
        <is>
          <t>BC-06</t>
        </is>
      </c>
      <c r="B14" s="32" t="inlineStr">
        <is>
          <t>Defaults</t>
        </is>
      </c>
      <c r="C14" s="32" t="inlineStr">
        <is>
          <t>Root/Link/Page</t>
        </is>
      </c>
      <c r="D14" s="32" t="inlineStr">
        <is>
          <t>Medium plain styling renders neutral ancestor links and a primary medium-emphasis current page as the canonical default.</t>
        </is>
      </c>
      <c r="E14" s="32" t="inlineStr">
        <is>
          <t>package</t>
        </is>
      </c>
      <c r="F14" s="32" t="inlineStr">
        <is>
          <t>browser</t>
        </is>
      </c>
      <c r="G14" s="32" t="inlineStr">
        <is>
          <t>tests/components/breadcrumb/behavior.spec.ts</t>
        </is>
      </c>
      <c r="H14" s="32" t="inlineStr">
        <is>
          <t>tested</t>
        </is>
      </c>
      <c r="I14" s="32" t="inlineStr">
        <is>
          <t>no</t>
        </is>
      </c>
      <c r="J14" s="42" t="n">
        <v>46229</v>
      </c>
      <c r="L14" s="32" t="n">
        <v>1</v>
      </c>
      <c r="M14" s="32">
        <f>IF(OR(AND(I14="yes",H14="verified"),AND(I14="no",OR(H14="tested",H14="verified")),AND(H14="not applicable",K14&lt;&gt;"")),1,0)</f>
        <v/>
      </c>
    </row>
    <row r="15" ht="42" customHeight="1" s="34">
      <c r="A15" s="32" t="inlineStr">
        <is>
          <t>BC-07</t>
        </is>
      </c>
      <c r="B15" s="32" t="inlineStr">
        <is>
          <t>Variants</t>
        </is>
      </c>
      <c r="C15" s="32" t="inlineStr">
        <is>
          <t>Root/Link</t>
        </is>
      </c>
      <c r="D15" s="32" t="inlineStr">
        <is>
          <t>Plain and underline alter only ancestor-link decoration while content, size, separators, and current-page styling remain default.</t>
        </is>
      </c>
      <c r="E15" s="32" t="inlineStr">
        <is>
          <t>package</t>
        </is>
      </c>
      <c r="F15" s="32" t="inlineStr">
        <is>
          <t>visual</t>
        </is>
      </c>
      <c r="G15" s="32" t="inlineStr">
        <is>
          <t>tests/components/breadcrumb/visual.spec.ts</t>
        </is>
      </c>
      <c r="H15" s="32" t="inlineStr">
        <is>
          <t>verified</t>
        </is>
      </c>
      <c r="I15" s="32" t="inlineStr">
        <is>
          <t>yes</t>
        </is>
      </c>
      <c r="J15" s="42" t="n">
        <v>46229</v>
      </c>
      <c r="L15" s="32" t="n">
        <v>1</v>
      </c>
      <c r="M15" s="32">
        <f>IF(OR(AND(I15="yes",H15="verified"),AND(I15="no",OR(H15="tested",H15="verified")),AND(H15="not applicable",K15&lt;&gt;"")),1,0)</f>
        <v/>
      </c>
    </row>
    <row r="16" ht="42" customHeight="1" s="34">
      <c r="A16" s="32" t="inlineStr">
        <is>
          <t>BC-08</t>
        </is>
      </c>
      <c r="B16" s="32" t="inlineStr">
        <is>
          <t>Sizes</t>
        </is>
      </c>
      <c r="C16" s="32" t="inlineStr">
        <is>
          <t>Root</t>
        </is>
      </c>
      <c r="D16" s="32" t="inlineStr">
        <is>
          <t>Small, medium, and large change only typography and trail spacing while preserving native semantics and usable link targets.</t>
        </is>
      </c>
      <c r="E16" s="32" t="inlineStr">
        <is>
          <t>package</t>
        </is>
      </c>
      <c r="F16" s="32" t="inlineStr">
        <is>
          <t>visual</t>
        </is>
      </c>
      <c r="G16" s="32" t="inlineStr">
        <is>
          <t>tests/components/breadcrumb/visual.spec.ts</t>
        </is>
      </c>
      <c r="H16" s="32" t="inlineStr">
        <is>
          <t>verified</t>
        </is>
      </c>
      <c r="I16" s="32" t="inlineStr">
        <is>
          <t>yes</t>
        </is>
      </c>
      <c r="J16" s="42" t="n">
        <v>46229</v>
      </c>
      <c r="L16" s="32" t="n">
        <v>1</v>
      </c>
      <c r="M16" s="32">
        <f>IF(OR(AND(I16="yes",H16="verified"),AND(I16="no",OR(H16="tested",H16="verified")),AND(H16="not applicable",K16&lt;&gt;"")),1,0)</f>
        <v/>
      </c>
    </row>
    <row r="17" ht="42" customHeight="1" s="34">
      <c r="A17" s="32" t="inlineStr">
        <is>
          <t>BC-09</t>
        </is>
      </c>
      <c r="B17" s="32" t="inlineStr">
        <is>
          <t>Content</t>
        </is>
      </c>
      <c r="C17" s="32" t="inlineStr">
        <is>
          <t>Link/Page/Separator</t>
        </is>
      </c>
      <c r="D17" s="32" t="inlineStr">
        <is>
          <t>Custom separators, contextual Brick Icons, and long localized page names preserve reading order and containment.</t>
        </is>
      </c>
      <c r="E17" s="32" t="inlineStr">
        <is>
          <t>package</t>
        </is>
      </c>
      <c r="F17" s="32" t="inlineStr">
        <is>
          <t>browser</t>
        </is>
      </c>
      <c r="G17" s="32" t="inlineStr">
        <is>
          <t>tests/components/breadcrumb/behavior.spec.ts; tests/components/breadcrumb/visual.spec.ts</t>
        </is>
      </c>
      <c r="H17" s="32" t="inlineStr">
        <is>
          <t>tested</t>
        </is>
      </c>
      <c r="I17" s="32" t="inlineStr">
        <is>
          <t>no</t>
        </is>
      </c>
      <c r="J17" s="42" t="n">
        <v>46229</v>
      </c>
      <c r="L17" s="32" t="n">
        <v>1</v>
      </c>
      <c r="M17" s="32">
        <f>IF(OR(AND(I17="yes",H17="verified"),AND(I17="no",OR(H17="tested",H17="verified")),AND(H17="not applicable",K17&lt;&gt;"")),1,0)</f>
        <v/>
      </c>
    </row>
    <row r="18" ht="42" customHeight="1" s="34">
      <c r="A18" s="32" t="inlineStr">
        <is>
          <t>BC-10</t>
        </is>
      </c>
      <c r="B18" s="32" t="inlineStr">
        <is>
          <t>Current page</t>
        </is>
      </c>
      <c r="C18" s="32" t="inlineStr">
        <is>
          <t>Page</t>
        </is>
      </c>
      <c r="D18" s="32" t="inlineStr">
        <is>
          <t>Page exposes aria-current=page, is not a link, and remains the final announced location.</t>
        </is>
      </c>
      <c r="E18" s="32" t="inlineStr">
        <is>
          <t>package</t>
        </is>
      </c>
      <c r="F18" s="32" t="inlineStr">
        <is>
          <t>axe</t>
        </is>
      </c>
      <c r="G18" s="32" t="inlineStr">
        <is>
          <t>../test/components/breadcrumb/breadcrumb.test.tsx; tests/components/breadcrumb/behavior.spec.ts</t>
        </is>
      </c>
      <c r="H18" s="32" t="inlineStr">
        <is>
          <t>tested</t>
        </is>
      </c>
      <c r="I18" s="32" t="inlineStr">
        <is>
          <t>no</t>
        </is>
      </c>
      <c r="J18" s="42" t="n">
        <v>46229</v>
      </c>
      <c r="L18" s="32" t="n">
        <v>1</v>
      </c>
      <c r="M18" s="32">
        <f>IF(OR(AND(I18="yes",H18="verified"),AND(I18="no",OR(H18="tested",H18="verified")),AND(H18="not applicable",K18&lt;&gt;"")),1,0)</f>
        <v/>
      </c>
    </row>
    <row r="19" ht="42" customHeight="1" s="34">
      <c r="A19" s="32" t="inlineStr">
        <is>
          <t>BC-11</t>
        </is>
      </c>
      <c r="B19" s="32" t="inlineStr">
        <is>
          <t>Static collapse</t>
        </is>
      </c>
      <c r="C19" s="32" t="inlineStr">
        <is>
          <t>Ellipsis</t>
        </is>
      </c>
      <c r="D19" s="32" t="inlineStr">
        <is>
          <t>A presentational ellipsis may replace omitted ancestors while remaining hidden from assistive technology.</t>
        </is>
      </c>
      <c r="E19" s="32" t="inlineStr">
        <is>
          <t>package</t>
        </is>
      </c>
      <c r="F19" s="32" t="inlineStr">
        <is>
          <t>component</t>
        </is>
      </c>
      <c r="G19" s="32" t="inlineStr">
        <is>
          <t>../test/components/breadcrumb/breadcrumb.test.tsx; tests/components/breadcrumb/behavior.spec.ts</t>
        </is>
      </c>
      <c r="H19" s="32" t="inlineStr">
        <is>
          <t>tested</t>
        </is>
      </c>
      <c r="I19" s="32" t="inlineStr">
        <is>
          <t>no</t>
        </is>
      </c>
      <c r="J19" s="42" t="n">
        <v>46229</v>
      </c>
      <c r="L19" s="32" t="n">
        <v>1</v>
      </c>
      <c r="M19" s="32">
        <f>IF(OR(AND(I19="yes",H19="verified"),AND(I19="no",OR(H19="tested",H19="verified")),AND(H19="not applicable",K19&lt;&gt;"")),1,0)</f>
        <v/>
      </c>
    </row>
    <row r="20" ht="42" customHeight="1" s="34">
      <c r="A20" s="32" t="inlineStr">
        <is>
          <t>BC-12</t>
        </is>
      </c>
      <c r="B20" s="32" t="inlineStr">
        <is>
          <t>Interactive collapse</t>
        </is>
      </c>
      <c r="C20" s="32" t="inlineStr">
        <is>
          <t>Ellipsis</t>
        </is>
      </c>
      <c r="D20" s="32" t="inlineStr">
        <is>
          <t>Consumer-composed interactive ellipsis exposes a named button, a 44px target, and application-owned expansion status without changing Breadcrumb state ownership.</t>
        </is>
      </c>
      <c r="E20" s="32" t="inlineStr">
        <is>
          <t>package</t>
        </is>
      </c>
      <c r="F20" s="32" t="inlineStr">
        <is>
          <t>browser</t>
        </is>
      </c>
      <c r="G20" s="32" t="inlineStr">
        <is>
          <t>tests/components/breadcrumb/behavior.spec.ts</t>
        </is>
      </c>
      <c r="H20" s="32" t="inlineStr">
        <is>
          <t>tested</t>
        </is>
      </c>
      <c r="I20" s="32" t="inlineStr">
        <is>
          <t>no</t>
        </is>
      </c>
      <c r="J20" s="42" t="n">
        <v>46229</v>
      </c>
      <c r="L20" s="32" t="n">
        <v>1</v>
      </c>
      <c r="M20" s="32">
        <f>IF(OR(AND(I20="yes",H20="verified"),AND(I20="no",OR(H20="tested",H20="verified")),AND(H20="not applicable",K20&lt;&gt;"")),1,0)</f>
        <v/>
      </c>
    </row>
    <row r="21" ht="42" customHeight="1" s="34">
      <c r="A21" s="32" t="inlineStr">
        <is>
          <t>BC-13</t>
        </is>
      </c>
      <c r="B21" s="32" t="inlineStr">
        <is>
          <t>Native links</t>
        </is>
      </c>
      <c r="C21" s="32" t="inlineStr">
        <is>
          <t>Link</t>
        </is>
      </c>
      <c r="D21" s="32" t="inlineStr">
        <is>
          <t>Ancestor links preserve native href, target, rel, download, click, and focus behavior.</t>
        </is>
      </c>
      <c r="E21" s="32" t="inlineStr">
        <is>
          <t>package</t>
        </is>
      </c>
      <c r="F21" s="32" t="inlineStr">
        <is>
          <t>browser</t>
        </is>
      </c>
      <c r="G21" s="32" t="inlineStr">
        <is>
          <t>tests/components/breadcrumb/behavior.spec.ts</t>
        </is>
      </c>
      <c r="H21" s="32" t="inlineStr">
        <is>
          <t>tested</t>
        </is>
      </c>
      <c r="I21" s="32" t="inlineStr">
        <is>
          <t>no</t>
        </is>
      </c>
      <c r="J21" s="42" t="n">
        <v>46229</v>
      </c>
      <c r="L21" s="32" t="n">
        <v>1</v>
      </c>
      <c r="M21" s="32">
        <f>IF(OR(AND(I21="yes",H21="verified"),AND(I21="no",OR(H21="tested",H21="verified")),AND(H21="not applicable",K21&lt;&gt;"")),1,0)</f>
        <v/>
      </c>
    </row>
    <row r="22" ht="42" customHeight="1" s="34">
      <c r="A22" s="32" t="inlineStr">
        <is>
          <t>BC-14</t>
        </is>
      </c>
      <c r="B22" s="32" t="inlineStr">
        <is>
          <t>Composition</t>
        </is>
      </c>
      <c r="C22" s="32" t="inlineStr">
        <is>
          <t>All parts</t>
        </is>
      </c>
      <c r="D22" s="32" t="inlineStr">
        <is>
          <t>render and asChild preserve consumer hosts, native semantics, refs, classes, data slots, Atom attributes, and one inspectable final hierarchy.</t>
        </is>
      </c>
      <c r="E22" s="32" t="inlineStr">
        <is>
          <t>package</t>
        </is>
      </c>
      <c r="F22" s="32" t="inlineStr">
        <is>
          <t>browser</t>
        </is>
      </c>
      <c r="G22" s="32" t="inlineStr">
        <is>
          <t>../test/components/breadcrumb/breadcrumb.test.tsx; tests/components/breadcrumb/behavior.spec.ts</t>
        </is>
      </c>
      <c r="H22" s="32" t="inlineStr">
        <is>
          <t>tested</t>
        </is>
      </c>
      <c r="I22" s="32" t="inlineStr">
        <is>
          <t>no</t>
        </is>
      </c>
      <c r="J22" s="42" t="n">
        <v>46229</v>
      </c>
      <c r="L22" s="32" t="n">
        <v>1</v>
      </c>
      <c r="M22" s="32">
        <f>IF(OR(AND(I22="yes",H22="verified"),AND(I22="no",OR(H22="tested",H22="verified")),AND(H22="not applicable",K22&lt;&gt;"")),1,0)</f>
        <v/>
      </c>
    </row>
    <row r="23" ht="42" customHeight="1" s="34">
      <c r="A23" s="32" t="inlineStr">
        <is>
          <t>BC-15</t>
        </is>
      </c>
      <c r="B23" s="32" t="inlineStr">
        <is>
          <t>Responsive</t>
        </is>
      </c>
      <c r="C23" s="32" t="inlineStr">
        <is>
          <t>Root/List</t>
        </is>
      </c>
      <c r="D23" s="32" t="inlineStr">
        <is>
          <t>Long trails wrap without clipping at constrained widths, 200%/400% zoom, text spacing, mobile widths, and RTL direction.</t>
        </is>
      </c>
      <c r="E23" s="32" t="inlineStr">
        <is>
          <t>package</t>
        </is>
      </c>
      <c r="F23" s="32" t="inlineStr">
        <is>
          <t>browser</t>
        </is>
      </c>
      <c r="G23" s="32" t="inlineStr">
        <is>
          <t>tests/components/breadcrumb/behavior.spec.ts; tests/components/breadcrumb/visual.spec.ts</t>
        </is>
      </c>
      <c r="H23" s="32" t="inlineStr">
        <is>
          <t>tested</t>
        </is>
      </c>
      <c r="I23" s="32" t="inlineStr">
        <is>
          <t>no</t>
        </is>
      </c>
      <c r="J23" s="42" t="n">
        <v>46229</v>
      </c>
      <c r="L23" s="32" t="n">
        <v>1</v>
      </c>
      <c r="M23" s="32">
        <f>IF(OR(AND(I23="yes",H23="verified"),AND(I23="no",OR(H23="tested",H23="verified")),AND(H23="not applicable",K23&lt;&gt;"")),1,0)</f>
        <v/>
      </c>
    </row>
    <row r="24" ht="42" customHeight="1" s="34">
      <c r="A24" s="32" t="inlineStr">
        <is>
          <t>BC-16</t>
        </is>
      </c>
      <c r="B24" s="32" t="inlineStr">
        <is>
          <t>Accessibility</t>
        </is>
      </c>
      <c r="C24" s="32" t="inlineStr">
        <is>
          <t>All parts</t>
        </is>
      </c>
      <c r="D24" s="32" t="inlineStr">
        <is>
          <t>Named navigation, ordered-list structure, native links, current page, hidden separators, focus visibility, target size, and axe checks pass.</t>
        </is>
      </c>
      <c r="E24" s="32" t="inlineStr">
        <is>
          <t>package</t>
        </is>
      </c>
      <c r="F24" s="32" t="inlineStr">
        <is>
          <t>axe</t>
        </is>
      </c>
      <c r="G24" s="32" t="inlineStr">
        <is>
          <t>tests/components/breadcrumb/behavior.spec.ts</t>
        </is>
      </c>
      <c r="H24" s="32" t="inlineStr">
        <is>
          <t>tested</t>
        </is>
      </c>
      <c r="I24" s="32" t="inlineStr">
        <is>
          <t>no</t>
        </is>
      </c>
      <c r="J24" s="42" t="n">
        <v>46229</v>
      </c>
      <c r="L24" s="32" t="n">
        <v>1</v>
      </c>
      <c r="M24" s="32">
        <f>IF(OR(AND(I24="yes",H24="verified"),AND(I24="no",OR(H24="tested",H24="verified")),AND(H24="not applicable",K24&lt;&gt;"")),1,0)</f>
        <v/>
      </c>
    </row>
    <row r="25" ht="15" customHeight="1" s="34">
      <c r="A25" s="32" t="inlineStr">
        <is>
          <t>BC-17</t>
        </is>
      </c>
      <c r="B25" s="32" t="inlineStr">
        <is>
          <t>Visual</t>
        </is>
      </c>
      <c r="C25" s="32" t="inlineStr">
        <is>
          <t>Breadcrumb</t>
        </is>
      </c>
      <c r="D25" s="32" t="inlineStr">
        <is>
          <t>Reviewed baselines cover default, variants, sizes, content, collapse, composition, dark appearance, mobile RTL, and forced colors.</t>
        </is>
      </c>
      <c r="E25" s="32" t="inlineStr">
        <is>
          <t>package</t>
        </is>
      </c>
      <c r="F25" s="32" t="inlineStr">
        <is>
          <t>visual</t>
        </is>
      </c>
      <c r="G25" s="32" t="inlineStr">
        <is>
          <t>tests/components/breadcrumb/visual.spec.ts</t>
        </is>
      </c>
      <c r="H25" s="32" t="inlineStr">
        <is>
          <t>verified</t>
        </is>
      </c>
      <c r="I25" s="32" t="inlineStr">
        <is>
          <t>yes</t>
        </is>
      </c>
      <c r="J25" s="42" t="n">
        <v>46229</v>
      </c>
      <c r="K25" s="32" t="inlineStr">
        <is>
          <t>Agent-inspected all nine generated baselines</t>
        </is>
      </c>
      <c r="L25" s="32" t="n">
        <v>1</v>
      </c>
      <c r="M25" s="32">
        <f>IF(OR(AND(I25="yes",H25="verified"),AND(I25="no",OR(H25="tested",H25="verified")),AND(H25="not applicable",K25&lt;&gt;"")),1,0)</f>
        <v/>
      </c>
    </row>
    <row r="26" ht="15" customHeight="1" s="34">
      <c r="A26" s="32" t="inlineStr">
        <is>
          <t>BC-18</t>
        </is>
      </c>
      <c r="B26" s="32" t="inlineStr">
        <is>
          <t>Manual</t>
        </is>
      </c>
      <c r="C26" s="32" t="inlineStr">
        <is>
          <t>Breadcrumb</t>
        </is>
      </c>
      <c r="D26" s="32" t="inlineStr">
        <is>
          <t>A tester completes the concise top-to-bottom pointer, keyboard, screen-reader, zoom, mobile, appearance, forced-color, and RTL protocol.</t>
        </is>
      </c>
      <c r="E26" s="32" t="inlineStr">
        <is>
          <t>package</t>
        </is>
      </c>
      <c r="F26" s="32" t="inlineStr">
        <is>
          <t>manual</t>
        </is>
      </c>
      <c r="G26" s="32" t="inlineStr">
        <is>
          <t>manual-tests/breadcrumb.md</t>
        </is>
      </c>
      <c r="H26" s="32" t="inlineStr">
        <is>
          <t>not started</t>
        </is>
      </c>
      <c r="I26" s="32" t="inlineStr">
        <is>
          <t>yes</t>
        </is>
      </c>
      <c r="J26" s="42" t="n">
        <v>46229</v>
      </c>
      <c r="K26" s="32" t="inlineStr">
        <is>
          <t>Human run intentionally unclaimed</t>
        </is>
      </c>
      <c r="L26" s="32" t="n">
        <v>1</v>
      </c>
      <c r="M26" s="32">
        <f>IF(OR(AND(I26="yes",H26="verified"),AND(I26="no",OR(H26="tested",H26="verified")),AND(H26="not applicable",K26&lt;&gt;"")),1,0)</f>
        <v/>
      </c>
    </row>
    <row r="27" ht="15" customHeight="1" s="34">
      <c r="A27" s="32" t="inlineStr">
        <is>
          <t>BC-19</t>
        </is>
      </c>
      <c r="B27" s="32" t="inlineStr">
        <is>
          <t>Docs</t>
        </is>
      </c>
      <c r="C27" s="32" t="inlineStr">
        <is>
          <t>Breadcrumb</t>
        </is>
      </c>
      <c r="D27" s="32" t="inlineStr">
        <is>
          <t>Public use, anatomy, recipes, accessibility, native props, composition, responsive behavior, customization, evidence, and exclusions are documented.</t>
        </is>
      </c>
      <c r="E27" s="32" t="inlineStr">
        <is>
          <t>package</t>
        </is>
      </c>
      <c r="F27" s="32" t="inlineStr">
        <is>
          <t>docs</t>
        </is>
      </c>
      <c r="G27" s="32" t="inlineStr">
        <is>
          <t>../docs/components/breadcrumb/README.md</t>
        </is>
      </c>
      <c r="H27" s="32" t="inlineStr">
        <is>
          <t>tested</t>
        </is>
      </c>
      <c r="I27" s="32" t="inlineStr">
        <is>
          <t>no</t>
        </is>
      </c>
      <c r="J27" s="42" t="n">
        <v>46229</v>
      </c>
      <c r="L27" s="32" t="n">
        <v>1</v>
      </c>
      <c r="M27" s="32">
        <f>IF(OR(AND(I27="yes",H27="verified"),AND(I27="no",OR(H27="tested",H27="verified")),AND(H27="not applicable",K27&lt;&gt;"")),1,0)</f>
        <v/>
      </c>
    </row>
    <row r="28" ht="15" customHeight="1" s="34">
      <c r="A28" s="32" t="inlineStr">
        <is>
          <t>BC-20</t>
        </is>
      </c>
      <c r="B28" s="32" t="inlineStr">
        <is>
          <t>Changelog</t>
        </is>
      </c>
      <c r="C28" s="32" t="inlineStr">
        <is>
          <t>Breadcrumb</t>
        </is>
      </c>
      <c r="D28" s="32" t="inlineStr">
        <is>
          <t>The component owns a public changelog and the package changelog records its addition.</t>
        </is>
      </c>
      <c r="E28" s="32" t="inlineStr">
        <is>
          <t>package</t>
        </is>
      </c>
      <c r="F28" s="32" t="inlineStr">
        <is>
          <t>docs</t>
        </is>
      </c>
      <c r="G28" s="32" t="inlineStr">
        <is>
          <t>../docs/components/breadcrumb/CHANGELOG.md; ../CHANGELOG.md</t>
        </is>
      </c>
      <c r="H28" s="32" t="inlineStr">
        <is>
          <t>tested</t>
        </is>
      </c>
      <c r="I28" s="32" t="inlineStr">
        <is>
          <t>no</t>
        </is>
      </c>
      <c r="J28" s="42" t="n">
        <v>46229</v>
      </c>
      <c r="L28" s="32" t="n">
        <v>1</v>
      </c>
      <c r="M28" s="32">
        <f>IF(OR(AND(I28="yes",H28="verified"),AND(I28="no",OR(H28="tested",H28="verified")),AND(H28="not applicable",K28&lt;&gt;"")),1,0)</f>
        <v/>
      </c>
    </row>
    <row r="29" ht="15" customHeight="1" s="34">
      <c r="A29" s="32" t="inlineStr">
        <is>
          <t>BC-21</t>
        </is>
      </c>
      <c r="B29" s="32" t="inlineStr">
        <is>
          <t>Playground</t>
        </is>
      </c>
      <c r="C29" s="32" t="inlineStr">
        <is>
          <t>Breadcrumb</t>
        </is>
      </c>
      <c r="D29" s="32" t="inlineStr">
        <is>
          <t>One navigable route exposes all adopted defaults, recipes, content, collapse, native-link, composition, appearance, customization, responsive, and RTL scenarios.</t>
        </is>
      </c>
      <c r="E29" s="32" t="inlineStr">
        <is>
          <t>package</t>
        </is>
      </c>
      <c r="F29" s="32" t="inlineStr">
        <is>
          <t>playground</t>
        </is>
      </c>
      <c r="G29" s="32" t="inlineStr">
        <is>
          <t>src/components/breadcrumb/BreadcrumbPage.tsx</t>
        </is>
      </c>
      <c r="H29" s="32" t="inlineStr">
        <is>
          <t>tested</t>
        </is>
      </c>
      <c r="I29" s="32" t="inlineStr">
        <is>
          <t>no</t>
        </is>
      </c>
      <c r="J29" s="42" t="n">
        <v>46229</v>
      </c>
      <c r="L29" s="32" t="n">
        <v>1</v>
      </c>
      <c r="M29" s="32">
        <f>IF(OR(AND(I29="yes",H29="verified"),AND(I29="no",OR(H29="tested",H29="verified")),AND(H29="not applicable",K29&lt;&gt;"")),1,0)</f>
        <v/>
      </c>
    </row>
    <row r="30" ht="15" customHeight="1" s="34">
      <c r="A30" s="32" t="inlineStr">
        <is>
          <t>BC-22</t>
        </is>
      </c>
      <c r="B30" s="32" t="inlineStr">
        <is>
          <t>Consumer</t>
        </is>
      </c>
      <c r="C30" s="32" t="inlineStr">
        <is>
          <t>Breadcrumb</t>
        </is>
      </c>
      <c r="D30" s="32" t="inlineStr">
        <is>
          <t>The packed Consumer imports the public subpath and renders a realistic current-workspace trail.</t>
        </is>
      </c>
      <c r="E30" s="32" t="inlineStr">
        <is>
          <t>consumer</t>
        </is>
      </c>
      <c r="F30" s="32" t="inlineStr">
        <is>
          <t>consumer</t>
        </is>
      </c>
      <c r="G30" s="32" t="inlineStr">
        <is>
          <t>../apps/consumer/src/App.tsx; ../apps/consumer/tests/consumer.spec.ts</t>
        </is>
      </c>
      <c r="H30" s="32" t="inlineStr">
        <is>
          <t>tested</t>
        </is>
      </c>
      <c r="I30" s="32" t="inlineStr">
        <is>
          <t>no</t>
        </is>
      </c>
      <c r="J30" s="42" t="n">
        <v>46229</v>
      </c>
      <c r="L30" s="32" t="n">
        <v>1</v>
      </c>
      <c r="M30" s="32">
        <f>IF(OR(AND(I30="yes",H30="verified"),AND(I30="no",OR(H30="tested",H30="verified")),AND(H30="not applicable",K30&lt;&gt;"")),1,0)</f>
        <v/>
      </c>
    </row>
    <row r="31" ht="15" customHeight="1" s="34">
      <c r="A31" s="32" t="inlineStr">
        <is>
          <t>BC-23</t>
        </is>
      </c>
      <c r="B31" s="32" t="inlineStr">
        <is>
          <t>Package</t>
        </is>
      </c>
      <c r="C31" s="32" t="inlineStr">
        <is>
          <t>Breadcrumb</t>
        </is>
      </c>
      <c r="D31" s="32" t="inlineStr">
        <is>
          <t>Build, exports, SSR, tarball, CSS, React 18/19, Consumer boundary, browser matrix, docs, and exact Atom 0.20.11 dependency pass.</t>
        </is>
      </c>
      <c r="E31" s="32" t="inlineStr">
        <is>
          <t>package</t>
        </is>
      </c>
      <c r="F31" s="32" t="inlineStr">
        <is>
          <t>package</t>
        </is>
      </c>
      <c r="G31" s="32" t="inlineStr">
        <is>
          <t>../scripts/verify-package.mjs; ../scripts/verify-consumers.mjs</t>
        </is>
      </c>
      <c r="H31" s="32" t="inlineStr">
        <is>
          <t>tested</t>
        </is>
      </c>
      <c r="I31" s="32" t="inlineStr">
        <is>
          <t>no</t>
        </is>
      </c>
      <c r="J31" s="42" t="n">
        <v>46229</v>
      </c>
      <c r="L31" s="32" t="n">
        <v>1</v>
      </c>
      <c r="M31" s="32">
        <f>IF(OR(AND(I31="yes",H31="verified"),AND(I31="no",OR(H31="tested",H31="verified")),AND(H31="not applicable",K31&lt;&gt;"")),1,0)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M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Tabs Evidence</t>
        </is>
      </c>
    </row>
    <row r="2" ht="27.75" customHeight="1" s="34">
      <c r="A2" s="36" t="inlineStr">
        <is>
          <t>Assertion-level Atom-backed package, keyboard,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TB-01</t>
        </is>
      </c>
      <c r="B9" s="32" t="inlineStr">
        <is>
          <t>Ownership</t>
        </is>
      </c>
      <c r="C9" s="32" t="inlineStr">
        <is>
          <t>All parts</t>
        </is>
      </c>
      <c r="D9" s="32" t="inlineStr">
        <is>
          <t>Brick styles released Atom 0.20.11 Tabs without recreating state, focus, keyboard, direction, relationships, panel lifecycle, or measurement.</t>
        </is>
      </c>
      <c r="E9" s="32" t="inlineStr">
        <is>
          <t>package</t>
        </is>
      </c>
      <c r="F9" s="32" t="inlineStr">
        <is>
          <t>source</t>
        </is>
      </c>
      <c r="G9" s="32" t="inlineStr">
        <is>
          <t>../src/components/tabs</t>
        </is>
      </c>
      <c r="H9" s="32" t="inlineStr">
        <is>
          <t>tested</t>
        </is>
      </c>
      <c r="I9" s="32" t="inlineStr">
        <is>
          <t>no</t>
        </is>
      </c>
      <c r="J9" s="42" t="n">
        <v>46229</v>
      </c>
      <c r="L9" s="32" t="n">
        <v>1</v>
      </c>
      <c r="M9" s="32">
        <f>IF(OR(AND(I9="yes",H9="verified"),AND(I9="no",OR(H9="tested",H9="verified")),AND(H9="not applicable",K9&lt;&gt;"")),1,0)</f>
        <v/>
      </c>
    </row>
    <row r="10" ht="42" customHeight="1" s="34">
      <c r="A10" s="32" t="inlineStr">
        <is>
          <t>TB-02</t>
        </is>
      </c>
      <c r="B10" s="32" t="inlineStr">
        <is>
          <t>Anatomy</t>
        </is>
      </c>
      <c r="C10" s="32" t="inlineStr">
        <is>
          <t>Root/List/Trigger/Content/Indicator</t>
        </is>
      </c>
      <c r="D10" s="32" t="inlineStr">
        <is>
          <t>The public five-part namespace preserves Atom hosts, roles, relationships, refs, native props, and composition.</t>
        </is>
      </c>
      <c r="E10" s="32" t="inlineStr">
        <is>
          <t>package</t>
        </is>
      </c>
      <c r="F10" s="32" t="inlineStr">
        <is>
          <t>component</t>
        </is>
      </c>
      <c r="G10" s="32" t="inlineStr">
        <is>
          <t>../test/components/tabs/tabs.test.tsx</t>
        </is>
      </c>
      <c r="H10" s="32" t="inlineStr">
        <is>
          <t>tested</t>
        </is>
      </c>
      <c r="I10" s="32" t="inlineStr">
        <is>
          <t>no</t>
        </is>
      </c>
      <c r="J10" s="42" t="n">
        <v>46229</v>
      </c>
      <c r="L10" s="32" t="n">
        <v>1</v>
      </c>
      <c r="M10" s="32">
        <f>IF(OR(AND(I10="yes",H10="verified"),AND(I10="no",OR(H10="tested",H10="verified")),AND(H10="not applicable",K10&lt;&gt;"")),1,0)</f>
        <v/>
      </c>
    </row>
    <row r="11" ht="42" customHeight="1" s="34">
      <c r="A11" s="32" t="inlineStr">
        <is>
          <t>TB-03</t>
        </is>
      </c>
      <c r="B11" s="32" t="inlineStr">
        <is>
          <t>Exports</t>
        </is>
      </c>
      <c r="C11" s="32" t="inlineStr">
        <is>
          <t>Tabs</t>
        </is>
      </c>
      <c r="D11" s="32" t="inlineStr">
        <is>
          <t>Root and tabs subpath expose the namespace, named parts, and every public type with identical runtime identities.</t>
        </is>
      </c>
      <c r="E11" s="32" t="inlineStr">
        <is>
          <t>package</t>
        </is>
      </c>
      <c r="F11" s="32" t="inlineStr">
        <is>
          <t>package</t>
        </is>
      </c>
      <c r="G11" s="32" t="inlineStr">
        <is>
          <t>../test/package/package.test.mjs</t>
        </is>
      </c>
      <c r="H11" s="32" t="inlineStr">
        <is>
          <t>tested</t>
        </is>
      </c>
      <c r="I11" s="32" t="inlineStr">
        <is>
          <t>no</t>
        </is>
      </c>
      <c r="J11" s="42" t="n">
        <v>46229</v>
      </c>
      <c r="L11" s="32" t="n">
        <v>1</v>
      </c>
      <c r="M11" s="32">
        <f>IF(OR(AND(I11="yes",H11="verified"),AND(I11="no",OR(H11="tested",H11="verified")),AND(H11="not applicable",K11&lt;&gt;"")),1,0)</f>
        <v/>
      </c>
    </row>
    <row r="12" ht="42" customHeight="1" s="34">
      <c r="A12" s="32" t="inlineStr">
        <is>
          <t>TB-04</t>
        </is>
      </c>
      <c r="B12" s="32" t="inlineStr">
        <is>
          <t>Types</t>
        </is>
      </c>
      <c r="C12" s="32" t="inlineStr">
        <is>
          <t>All parts</t>
        </is>
      </c>
      <c r="D12" s="32" t="inlineStr">
        <is>
          <t>Closed size, variant, Content inset, and responsive visual-layout recipes plus Atom state/orientation/composition props and refs type-check.</t>
        </is>
      </c>
      <c r="E12" s="32" t="inlineStr">
        <is>
          <t>package</t>
        </is>
      </c>
      <c r="F12" s="32" t="inlineStr">
        <is>
          <t>types</t>
        </is>
      </c>
      <c r="G12" s="32" t="inlineStr">
        <is>
          <t>../test/types/components/tabs.test.ts</t>
        </is>
      </c>
      <c r="H12" s="32" t="inlineStr">
        <is>
          <t>tested</t>
        </is>
      </c>
      <c r="I12" s="32" t="inlineStr">
        <is>
          <t>no</t>
        </is>
      </c>
      <c r="J12" s="42" t="n">
        <v>46244</v>
      </c>
      <c r="L12" s="32" t="n">
        <v>1</v>
      </c>
      <c r="M12" s="32">
        <f>IF(OR(AND(I12="yes",H12="verified"),AND(I12="no",OR(H12="tested",H12="verified")),AND(H12="not applicable",K12&lt;&gt;"")),1,0)</f>
        <v/>
      </c>
    </row>
    <row r="13" ht="42" customHeight="1" s="34">
      <c r="A13" s="32" t="inlineStr">
        <is>
          <t>TB-05</t>
        </is>
      </c>
      <c r="B13" s="32" t="inlineStr">
        <is>
          <t>CSS</t>
        </is>
      </c>
      <c r="C13" s="32" t="inlineStr">
        <is>
          <t>All parts</t>
        </is>
      </c>
      <c r="D13" s="32" t="inlineStr">
        <is>
          <t>Static CSS ships semantic orientation, responsive stacked/side visual layouts, Content inset recipes, variants, states, overflow, RTL, and forced-color behavior.</t>
        </is>
      </c>
      <c r="E13" s="32" t="inlineStr">
        <is>
          <t>package</t>
        </is>
      </c>
      <c r="F13" s="32" t="inlineStr">
        <is>
          <t>css</t>
        </is>
      </c>
      <c r="G13" s="32" t="inlineStr">
        <is>
          <t>../src/components/tabs/tabs.css</t>
        </is>
      </c>
      <c r="H13" s="32" t="inlineStr">
        <is>
          <t>tested</t>
        </is>
      </c>
      <c r="I13" s="32" t="inlineStr">
        <is>
          <t>no</t>
        </is>
      </c>
      <c r="J13" s="42" t="n">
        <v>46244</v>
      </c>
      <c r="L13" s="32" t="n">
        <v>1</v>
      </c>
      <c r="M13" s="32">
        <f>IF(OR(AND(I13="yes",H13="verified"),AND(I13="no",OR(H13="tested",H13="verified")),AND(H13="not applicable",K13&lt;&gt;"")),1,0)</f>
        <v/>
      </c>
    </row>
    <row r="14" ht="42" customHeight="1" s="34">
      <c r="A14" s="32" t="inlineStr">
        <is>
          <t>TB-06</t>
        </is>
      </c>
      <c r="B14" s="32" t="inlineStr">
        <is>
          <t>Defaults</t>
        </is>
      </c>
      <c r="C14" s="32" t="inlineStr">
        <is>
          <t>Root/List/Trigger/Content</t>
        </is>
      </c>
      <c r="D14" s="32" t="inlineStr">
        <is>
          <t>Medium horizontal line Tabs default to automatic looping activation with the authored initial panel selected.</t>
        </is>
      </c>
      <c r="E14" s="32" t="inlineStr">
        <is>
          <t>package</t>
        </is>
      </c>
      <c r="F14" s="32" t="inlineStr">
        <is>
          <t>browser</t>
        </is>
      </c>
      <c r="G14" s="32" t="inlineStr">
        <is>
          <t>tests/components/tabs/behavior.spec.ts</t>
        </is>
      </c>
      <c r="H14" s="32" t="inlineStr">
        <is>
          <t>tested</t>
        </is>
      </c>
      <c r="I14" s="32" t="inlineStr">
        <is>
          <t>no</t>
        </is>
      </c>
      <c r="J14" s="42" t="n">
        <v>46229</v>
      </c>
      <c r="L14" s="32" t="n">
        <v>1</v>
      </c>
      <c r="M14" s="32">
        <f>IF(OR(AND(I14="yes",H14="verified"),AND(I14="no",OR(H14="tested",H14="verified")),AND(H14="not applicable",K14&lt;&gt;"")),1,0)</f>
        <v/>
      </c>
    </row>
    <row r="15" ht="42" customHeight="1" s="34">
      <c r="A15" s="32" t="inlineStr">
        <is>
          <t>TB-07</t>
        </is>
      </c>
      <c r="B15" s="32" t="inlineStr">
        <is>
          <t>Variants</t>
        </is>
      </c>
      <c r="C15" s="32" t="inlineStr">
        <is>
          <t>All parts</t>
        </is>
      </c>
      <c r="D15" s="32" t="inlineStr">
        <is>
          <t>Line, solid, soft, and enclosed are visually distinct while identical content, size, state, and orientation stay default.</t>
        </is>
      </c>
      <c r="E15" s="32" t="inlineStr">
        <is>
          <t>package</t>
        </is>
      </c>
      <c r="F15" s="32" t="inlineStr">
        <is>
          <t>visual</t>
        </is>
      </c>
      <c r="G15" s="32" t="inlineStr">
        <is>
          <t>tests/components/tabs/visual.spec.ts</t>
        </is>
      </c>
      <c r="H15" s="32" t="inlineStr">
        <is>
          <t>verified</t>
        </is>
      </c>
      <c r="I15" s="32" t="inlineStr">
        <is>
          <t>yes</t>
        </is>
      </c>
      <c r="J15" s="42" t="n">
        <v>46229</v>
      </c>
      <c r="K15" s="32" t="inlineStr">
        <is>
          <t>Agent-inspected generated variants baseline.</t>
        </is>
      </c>
      <c r="L15" s="32" t="n">
        <v>1</v>
      </c>
      <c r="M15" s="32">
        <f>IF(OR(AND(I15="yes",H15="verified"),AND(I15="no",OR(H15="tested",H15="verified")),AND(H15="not applicable",K15&lt;&gt;"")),1,0)</f>
        <v/>
      </c>
    </row>
    <row r="16" ht="42" customHeight="1" s="34">
      <c r="A16" s="32" t="inlineStr">
        <is>
          <t>TB-08</t>
        </is>
      </c>
      <c r="B16" s="32" t="inlineStr">
        <is>
          <t>Sizes</t>
        </is>
      </c>
      <c r="C16" s="32" t="inlineStr">
        <is>
          <t>Root/Trigger/Content</t>
        </is>
      </c>
      <c r="D16" s="32" t="inlineStr">
        <is>
          <t>Small, medium, and large alter shared typography, height, spacing, and panel inset only.</t>
        </is>
      </c>
      <c r="E16" s="32" t="inlineStr">
        <is>
          <t>package</t>
        </is>
      </c>
      <c r="F16" s="32" t="inlineStr">
        <is>
          <t>visual</t>
        </is>
      </c>
      <c r="G16" s="32" t="inlineStr">
        <is>
          <t>tests/components/tabs/visual.spec.ts</t>
        </is>
      </c>
      <c r="H16" s="32" t="inlineStr">
        <is>
          <t>verified</t>
        </is>
      </c>
      <c r="I16" s="32" t="inlineStr">
        <is>
          <t>yes</t>
        </is>
      </c>
      <c r="J16" s="42" t="n">
        <v>46229</v>
      </c>
      <c r="K16" s="32" t="inlineStr">
        <is>
          <t>Agent-inspected generated sizes baseline.</t>
        </is>
      </c>
      <c r="L16" s="32" t="n">
        <v>1</v>
      </c>
      <c r="M16" s="32">
        <f>IF(OR(AND(I16="yes",H16="verified"),AND(I16="no",OR(H16="tested",H16="verified")),AND(H16="not applicable",K16&lt;&gt;"")),1,0)</f>
        <v/>
      </c>
    </row>
    <row r="17" ht="42" customHeight="1" s="34">
      <c r="A17" s="32" t="inlineStr">
        <is>
          <t>TB-09</t>
        </is>
      </c>
      <c r="B17" s="32" t="inlineStr">
        <is>
          <t>Layout</t>
        </is>
      </c>
      <c r="C17" s="32" t="inlineStr">
        <is>
          <t>Root/List/Trigger/Content</t>
        </is>
      </c>
      <c r="D17" s="32" t="inlineStr">
        <is>
          <t>Semantic orientation controls arrow behavior; responsive layout changes only the List/Content relationship; fullWidth distributes horizontal triggers equally.</t>
        </is>
      </c>
      <c r="E17" s="32" t="inlineStr">
        <is>
          <t>package</t>
        </is>
      </c>
      <c r="F17" s="32" t="inlineStr">
        <is>
          <t>browser</t>
        </is>
      </c>
      <c r="G17" s="32" t="inlineStr">
        <is>
          <t>tests/components/tabs/behavior.spec.ts; ../test/components/tabs/tabs.test.tsx</t>
        </is>
      </c>
      <c r="H17" s="32" t="inlineStr">
        <is>
          <t>tested</t>
        </is>
      </c>
      <c r="I17" s="32" t="inlineStr">
        <is>
          <t>no</t>
        </is>
      </c>
      <c r="J17" s="42" t="n">
        <v>46244</v>
      </c>
      <c r="L17" s="32" t="n">
        <v>1</v>
      </c>
      <c r="M17" s="32">
        <f>IF(OR(AND(I17="yes",H17="verified"),AND(I17="no",OR(H17="tested",H17="verified")),AND(H17="not applicable",K17&lt;&gt;"")),1,0)</f>
        <v/>
      </c>
    </row>
    <row r="18" ht="42" customHeight="1" s="34">
      <c r="A18" s="32" t="inlineStr">
        <is>
          <t>TB-10</t>
        </is>
      </c>
      <c r="B18" s="32" t="inlineStr">
        <is>
          <t>States</t>
        </is>
      </c>
      <c r="C18" s="32" t="inlineStr">
        <is>
          <t>Trigger</t>
        </is>
      </c>
      <c r="D18" s="32" t="inlineStr">
        <is>
          <t>Selected, inactive, hover, focus-visible, disabled, and composed-icon content remain aligned and distinct.</t>
        </is>
      </c>
      <c r="E18" s="32" t="inlineStr">
        <is>
          <t>package</t>
        </is>
      </c>
      <c r="F18" s="32" t="inlineStr">
        <is>
          <t>browser</t>
        </is>
      </c>
      <c r="G18" s="32" t="inlineStr">
        <is>
          <t>tests/components/tabs/behavior.spec.ts; tests/components/tabs/visual.spec.ts</t>
        </is>
      </c>
      <c r="H18" s="32" t="inlineStr">
        <is>
          <t>tested</t>
        </is>
      </c>
      <c r="I18" s="32" t="inlineStr">
        <is>
          <t>no</t>
        </is>
      </c>
      <c r="J18" s="42" t="n">
        <v>46229</v>
      </c>
      <c r="L18" s="32" t="n">
        <v>1</v>
      </c>
      <c r="M18" s="32">
        <f>IF(OR(AND(I18="yes",H18="verified"),AND(I18="no",OR(H18="tested",H18="verified")),AND(H18="not applicable",K18&lt;&gt;"")),1,0)</f>
        <v/>
      </c>
    </row>
    <row r="19" ht="42" customHeight="1" s="34">
      <c r="A19" s="32" t="inlineStr">
        <is>
          <t>TB-11</t>
        </is>
      </c>
      <c r="B19" s="32" t="inlineStr">
        <is>
          <t>Activation</t>
        </is>
      </c>
      <c r="C19" s="32" t="inlineStr">
        <is>
          <t>Root/List/Trigger</t>
        </is>
      </c>
      <c r="D19" s="32" t="inlineStr">
        <is>
          <t>Automatic activation selects on focus; manual activation waits for Enter/Space; Home/End and disabled skipping remain Atom-owned.</t>
        </is>
      </c>
      <c r="E19" s="32" t="inlineStr">
        <is>
          <t>package</t>
        </is>
      </c>
      <c r="F19" s="32" t="inlineStr">
        <is>
          <t>browser</t>
        </is>
      </c>
      <c r="G19" s="32" t="inlineStr">
        <is>
          <t>tests/components/tabs/behavior.spec.ts</t>
        </is>
      </c>
      <c r="H19" s="32" t="inlineStr">
        <is>
          <t>tested</t>
        </is>
      </c>
      <c r="I19" s="32" t="inlineStr">
        <is>
          <t>no</t>
        </is>
      </c>
      <c r="J19" s="42" t="n">
        <v>46229</v>
      </c>
      <c r="L19" s="32" t="n">
        <v>1</v>
      </c>
      <c r="M19" s="32">
        <f>IF(OR(AND(I19="yes",H19="verified"),AND(I19="no",OR(H19="tested",H19="verified")),AND(H19="not applicable",K19&lt;&gt;"")),1,0)</f>
        <v/>
      </c>
    </row>
    <row r="20" ht="42" customHeight="1" s="34">
      <c r="A20" s="32" t="inlineStr">
        <is>
          <t>TB-12</t>
        </is>
      </c>
      <c r="B20" s="32" t="inlineStr">
        <is>
          <t>Panels</t>
        </is>
      </c>
      <c r="C20" s="32" t="inlineStr">
        <is>
          <t>Content</t>
        </is>
      </c>
      <c r="D20" s="32" t="inlineStr">
        <is>
          <t>Active, unmounted, keepMounted, focusable, and none/sm/md/lg inset panel contracts remain correctly related to their triggers.</t>
        </is>
      </c>
      <c r="E20" s="32" t="inlineStr">
        <is>
          <t>package</t>
        </is>
      </c>
      <c r="F20" s="32" t="inlineStr">
        <is>
          <t>component</t>
        </is>
      </c>
      <c r="G20" s="32" t="inlineStr">
        <is>
          <t>../test/components/tabs/tabs.test.tsx; tests/components/tabs/behavior.spec.ts</t>
        </is>
      </c>
      <c r="H20" s="32" t="inlineStr">
        <is>
          <t>tested</t>
        </is>
      </c>
      <c r="I20" s="32" t="inlineStr">
        <is>
          <t>no</t>
        </is>
      </c>
      <c r="J20" s="42" t="n">
        <v>46244</v>
      </c>
      <c r="L20" s="32" t="n">
        <v>1</v>
      </c>
      <c r="M20" s="32">
        <f>IF(OR(AND(I20="yes",H20="verified"),AND(I20="no",OR(H20="tested",H20="verified")),AND(H20="not applicable",K20&lt;&gt;"")),1,0)</f>
        <v/>
      </c>
    </row>
    <row r="21" ht="42" customHeight="1" s="34">
      <c r="A21" s="32" t="inlineStr">
        <is>
          <t>TB-13</t>
        </is>
      </c>
      <c r="B21" s="32" t="inlineStr">
        <is>
          <t>Indicator</t>
        </is>
      </c>
      <c r="C21" s="32" t="inlineStr">
        <is>
          <t>Indicator</t>
        </is>
      </c>
      <c r="D21" s="32" t="inlineStr">
        <is>
          <t>Optional Indicator follows Atom trigger measurement, selected fallback remains visible, and reduced motion removes transitions.</t>
        </is>
      </c>
      <c r="E21" s="32" t="inlineStr">
        <is>
          <t>package</t>
        </is>
      </c>
      <c r="F21" s="32" t="inlineStr">
        <is>
          <t>visual</t>
        </is>
      </c>
      <c r="G21" s="32" t="inlineStr">
        <is>
          <t>tests/components/tabs/visual.spec.ts</t>
        </is>
      </c>
      <c r="H21" s="32" t="inlineStr">
        <is>
          <t>verified</t>
        </is>
      </c>
      <c r="I21" s="32" t="inlineStr">
        <is>
          <t>yes</t>
        </is>
      </c>
      <c r="J21" s="42" t="n">
        <v>46229</v>
      </c>
      <c r="K21" s="32" t="inlineStr">
        <is>
          <t>Agent-inspected line and vertical baselines.</t>
        </is>
      </c>
      <c r="L21" s="32" t="n">
        <v>1</v>
      </c>
      <c r="M21" s="32">
        <f>IF(OR(AND(I21="yes",H21="verified"),AND(I21="no",OR(H21="tested",H21="verified")),AND(H21="not applicable",K21&lt;&gt;"")),1,0)</f>
        <v/>
      </c>
    </row>
    <row r="22" ht="42" customHeight="1" s="34">
      <c r="A22" s="32" t="inlineStr">
        <is>
          <t>TB-14</t>
        </is>
      </c>
      <c r="B22" s="32" t="inlineStr">
        <is>
          <t>Composition</t>
        </is>
      </c>
      <c r="C22" s="32" t="inlineStr">
        <is>
          <t>Root/List/Trigger/Content</t>
        </is>
      </c>
      <c r="D22" s="32" t="inlineStr">
        <is>
          <t>render and asChild preserve roles, IDs, relationships, native hosts, classes, slots, and refs in actual HTML.</t>
        </is>
      </c>
      <c r="E22" s="32" t="inlineStr">
        <is>
          <t>package</t>
        </is>
      </c>
      <c r="F22" s="32" t="inlineStr">
        <is>
          <t>browser</t>
        </is>
      </c>
      <c r="G22" s="32" t="inlineStr">
        <is>
          <t>../test/components/tabs/tabs.test.tsx; tests/components/tabs/behavior.spec.ts</t>
        </is>
      </c>
      <c r="H22" s="32" t="inlineStr">
        <is>
          <t>tested</t>
        </is>
      </c>
      <c r="I22" s="32" t="inlineStr">
        <is>
          <t>no</t>
        </is>
      </c>
      <c r="J22" s="42" t="n">
        <v>46229</v>
      </c>
      <c r="L22" s="32" t="n">
        <v>1</v>
      </c>
      <c r="M22" s="32">
        <f>IF(OR(AND(I22="yes",H22="verified"),AND(I22="no",OR(H22="tested",H22="verified")),AND(H22="not applicable",K22&lt;&gt;"")),1,0)</f>
        <v/>
      </c>
    </row>
    <row r="23" ht="42" customHeight="1" s="34">
      <c r="A23" s="32" t="inlineStr">
        <is>
          <t>TB-15</t>
        </is>
      </c>
      <c r="B23" s="32" t="inlineStr">
        <is>
          <t>Responsive</t>
        </is>
      </c>
      <c r="C23" s="32" t="inlineStr">
        <is>
          <t>Root/List/Content</t>
        </is>
      </c>
      <c r="D23" s="32" t="inlineStr">
        <is>
          <t>Constrained horizontal lists scroll; responsive stacked/side layout keeps vertical aria-orientation and Arrow Down behavior unchanged.</t>
        </is>
      </c>
      <c r="E23" s="32" t="inlineStr">
        <is>
          <t>package</t>
        </is>
      </c>
      <c r="F23" s="32" t="inlineStr">
        <is>
          <t>browser</t>
        </is>
      </c>
      <c r="G23" s="32" t="inlineStr">
        <is>
          <t>tests/components/tabs/behavior.spec.ts</t>
        </is>
      </c>
      <c r="H23" s="32" t="inlineStr">
        <is>
          <t>tested</t>
        </is>
      </c>
      <c r="I23" s="32" t="inlineStr">
        <is>
          <t>no</t>
        </is>
      </c>
      <c r="J23" s="42" t="n">
        <v>46244</v>
      </c>
      <c r="L23" s="32" t="n">
        <v>1</v>
      </c>
      <c r="M23" s="32">
        <f>IF(OR(AND(I23="yes",H23="verified"),AND(I23="no",OR(H23="tested",H23="verified")),AND(H23="not applicable",K23&lt;&gt;"")),1,0)</f>
        <v/>
      </c>
    </row>
    <row r="24" ht="42" customHeight="1" s="34">
      <c r="A24" s="32" t="inlineStr">
        <is>
          <t>TB-16</t>
        </is>
      </c>
      <c r="B24" s="32" t="inlineStr">
        <is>
          <t>Direction</t>
        </is>
      </c>
      <c r="C24" s="32" t="inlineStr">
        <is>
          <t>Root/List</t>
        </is>
      </c>
      <c r="D24" s="32" t="inlineStr">
        <is>
          <t>Explicit RTL preserves genuine text and mirrors horizontal arrow navigation while vertical navigation is unchanged.</t>
        </is>
      </c>
      <c r="E24" s="32" t="inlineStr">
        <is>
          <t>package</t>
        </is>
      </c>
      <c r="F24" s="32" t="inlineStr">
        <is>
          <t>browser</t>
        </is>
      </c>
      <c r="G24" s="32" t="inlineStr">
        <is>
          <t>tests/components/tabs/behavior.spec.ts</t>
        </is>
      </c>
      <c r="H24" s="32" t="inlineStr">
        <is>
          <t>tested</t>
        </is>
      </c>
      <c r="I24" s="32" t="inlineStr">
        <is>
          <t>no</t>
        </is>
      </c>
      <c r="J24" s="42" t="n">
        <v>46229</v>
      </c>
      <c r="L24" s="32" t="n">
        <v>1</v>
      </c>
      <c r="M24" s="32">
        <f>IF(OR(AND(I24="yes",H24="verified"),AND(I24="no",OR(H24="tested",H24="verified")),AND(H24="not applicable",K24&lt;&gt;"")),1,0)</f>
        <v/>
      </c>
    </row>
    <row r="25" ht="42" customHeight="1" s="34">
      <c r="A25" s="32" t="inlineStr">
        <is>
          <t>TB-17</t>
        </is>
      </c>
      <c r="B25" s="32" t="inlineStr">
        <is>
          <t>Accessibility</t>
        </is>
      </c>
      <c r="C25" s="32" t="inlineStr">
        <is>
          <t>All parts</t>
        </is>
      </c>
      <c r="D25" s="32" t="inlineStr">
        <is>
          <t>Named tablists, selected/disabled states, relationships, roving focus, forced colors, and axe pass.</t>
        </is>
      </c>
      <c r="E25" s="32" t="inlineStr">
        <is>
          <t>package</t>
        </is>
      </c>
      <c r="F25" s="32" t="inlineStr">
        <is>
          <t>axe</t>
        </is>
      </c>
      <c r="G25" s="32" t="inlineStr">
        <is>
          <t>tests/components/tabs/behavior.spec.ts</t>
        </is>
      </c>
      <c r="H25" s="32" t="inlineStr">
        <is>
          <t>tested</t>
        </is>
      </c>
      <c r="I25" s="32" t="inlineStr">
        <is>
          <t>no</t>
        </is>
      </c>
      <c r="J25" s="42" t="n">
        <v>46229</v>
      </c>
      <c r="L25" s="32" t="n">
        <v>1</v>
      </c>
      <c r="M25" s="32">
        <f>IF(OR(AND(I25="yes",H25="verified"),AND(I25="no",OR(H25="tested",H25="verified")),AND(H25="not applicable",K25&lt;&gt;"")),1,0)</f>
        <v/>
      </c>
    </row>
    <row r="26" ht="42" customHeight="1" s="34">
      <c r="A26" s="32" t="inlineStr">
        <is>
          <t>TB-18</t>
        </is>
      </c>
      <c r="B26" s="32" t="inlineStr">
        <is>
          <t>Visual</t>
        </is>
      </c>
      <c r="C26" s="32" t="inlineStr">
        <is>
          <t>Tabs</t>
        </is>
      </c>
      <c r="D26" s="32" t="inlineStr">
        <is>
          <t>Reviewed baselines cover defaults, variants, sizes, layouts, content, dark appearance, mobile RTL, and forced colors.</t>
        </is>
      </c>
      <c r="E26" s="32" t="inlineStr">
        <is>
          <t>package</t>
        </is>
      </c>
      <c r="F26" s="32" t="inlineStr">
        <is>
          <t>visual</t>
        </is>
      </c>
      <c r="G26" s="32" t="inlineStr">
        <is>
          <t>tests/components/tabs/visual.spec.ts</t>
        </is>
      </c>
      <c r="H26" s="32" t="inlineStr">
        <is>
          <t>verified</t>
        </is>
      </c>
      <c r="I26" s="32" t="inlineStr">
        <is>
          <t>yes</t>
        </is>
      </c>
      <c r="J26" s="42" t="n">
        <v>46229</v>
      </c>
      <c r="K26" s="32" t="inlineStr">
        <is>
          <t>Agent-inspected every generated Tabs baseline.</t>
        </is>
      </c>
      <c r="L26" s="32" t="n">
        <v>1</v>
      </c>
      <c r="M26" s="32">
        <f>IF(OR(AND(I26="yes",H26="verified"),AND(I26="no",OR(H26="tested",H26="verified")),AND(H26="not applicable",K26&lt;&gt;"")),1,0)</f>
        <v/>
      </c>
    </row>
    <row r="27" ht="42" customHeight="1" s="34">
      <c r="A27" s="32" t="inlineStr">
        <is>
          <t>TB-19</t>
        </is>
      </c>
      <c r="B27" s="32" t="inlineStr">
        <is>
          <t>Manual</t>
        </is>
      </c>
      <c r="C27" s="32" t="inlineStr">
        <is>
          <t>Tabs</t>
        </is>
      </c>
      <c r="D27" s="32" t="inlineStr">
        <is>
          <t>A tester completes the concise top-to-bottom keyboard, AT, zoom, device, appearance, RTL, forced-color, and reduced-motion protocol.</t>
        </is>
      </c>
      <c r="E27" s="32" t="inlineStr">
        <is>
          <t>package</t>
        </is>
      </c>
      <c r="F27" s="32" t="inlineStr">
        <is>
          <t>manual</t>
        </is>
      </c>
      <c r="G27" s="32" t="inlineStr">
        <is>
          <t>manual-tests/tabs.md</t>
        </is>
      </c>
      <c r="H27" s="32" t="inlineStr">
        <is>
          <t>not started</t>
        </is>
      </c>
      <c r="I27" s="32" t="inlineStr">
        <is>
          <t>yes</t>
        </is>
      </c>
      <c r="J27" s="42" t="n">
        <v>46229</v>
      </c>
      <c r="K27" s="32" t="inlineStr">
        <is>
          <t>Human run intentionally unclaimed.</t>
        </is>
      </c>
      <c r="L27" s="32" t="n">
        <v>1</v>
      </c>
      <c r="M27" s="32">
        <f>IF(OR(AND(I27="yes",H27="verified"),AND(I27="no",OR(H27="tested",H27="verified")),AND(H27="not applicable",K27&lt;&gt;"")),1,0)</f>
        <v/>
      </c>
    </row>
    <row r="28" ht="42" customHeight="1" s="34">
      <c r="A28" s="32" t="inlineStr">
        <is>
          <t>TB-20</t>
        </is>
      </c>
      <c r="B28" s="32" t="inlineStr">
        <is>
          <t>Docs</t>
        </is>
      </c>
      <c r="C28" s="32" t="inlineStr">
        <is>
          <t>Tabs</t>
        </is>
      </c>
      <c r="D28" s="32" t="inlineStr">
        <is>
          <t>Source-backed usage, anatomy, Content inset, responsive visual layout, semantic orientation, accessibility, composition, CSS, and evidence are documented.</t>
        </is>
      </c>
      <c r="E28" s="32" t="inlineStr">
        <is>
          <t>package</t>
        </is>
      </c>
      <c r="F28" s="32" t="inlineStr">
        <is>
          <t>docs</t>
        </is>
      </c>
      <c r="G28" s="32" t="inlineStr">
        <is>
          <t>../docs/components/tabs/README.md; ../src/components/tabs/agent.md</t>
        </is>
      </c>
      <c r="H28" s="32" t="inlineStr">
        <is>
          <t>tested</t>
        </is>
      </c>
      <c r="I28" s="32" t="inlineStr">
        <is>
          <t>no</t>
        </is>
      </c>
      <c r="J28" s="42" t="n">
        <v>46244</v>
      </c>
      <c r="L28" s="32" t="n">
        <v>1</v>
      </c>
      <c r="M28" s="32">
        <f>IF(OR(AND(I28="yes",H28="verified"),AND(I28="no",OR(H28="tested",H28="verified")),AND(H28="not applicable",K28&lt;&gt;"")),1,0)</f>
        <v/>
      </c>
    </row>
    <row r="29" ht="42" customHeight="1" s="34">
      <c r="A29" s="32" t="inlineStr">
        <is>
          <t>TB-21</t>
        </is>
      </c>
      <c r="B29" s="32" t="inlineStr">
        <is>
          <t>Playground</t>
        </is>
      </c>
      <c r="C29" s="32" t="inlineStr">
        <is>
          <t>Tabs</t>
        </is>
      </c>
      <c r="D29" s="32" t="inlineStr">
        <is>
          <t>One navigable route exposes all nine controlled scenarios and actual composition output.</t>
        </is>
      </c>
      <c r="E29" s="32" t="inlineStr">
        <is>
          <t>package</t>
        </is>
      </c>
      <c r="F29" s="32" t="inlineStr">
        <is>
          <t>playground</t>
        </is>
      </c>
      <c r="G29" s="32" t="inlineStr">
        <is>
          <t>src/components/tabs/TabsPage.tsx</t>
        </is>
      </c>
      <c r="H29" s="32" t="inlineStr">
        <is>
          <t>tested</t>
        </is>
      </c>
      <c r="I29" s="32" t="inlineStr">
        <is>
          <t>no</t>
        </is>
      </c>
      <c r="J29" s="42" t="n">
        <v>46229</v>
      </c>
      <c r="L29" s="32" t="n">
        <v>1</v>
      </c>
      <c r="M29" s="32">
        <f>IF(OR(AND(I29="yes",H29="verified"),AND(I29="no",OR(H29="tested",H29="verified")),AND(H29="not applicable",K29&lt;&gt;"")),1,0)</f>
        <v/>
      </c>
    </row>
    <row r="30" ht="42" customHeight="1" s="34">
      <c r="A30" s="32" t="inlineStr">
        <is>
          <t>TB-22</t>
        </is>
      </c>
      <c r="B30" s="32" t="inlineStr">
        <is>
          <t>Consumer</t>
        </is>
      </c>
      <c r="C30" s="32" t="inlineStr">
        <is>
          <t>Tabs</t>
        </is>
      </c>
      <c r="D30" s="32" t="inlineStr">
        <is>
          <t>Packed Consumer imports the public subpath and operates a realistic workspace preview.</t>
        </is>
      </c>
      <c r="E30" s="32" t="inlineStr">
        <is>
          <t>consumer</t>
        </is>
      </c>
      <c r="F30" s="32" t="inlineStr">
        <is>
          <t>consumer</t>
        </is>
      </c>
      <c r="G30" s="32" t="inlineStr">
        <is>
          <t>../apps/consumer/src/App.tsx; ../apps/consumer/tests/consumer.spec.ts</t>
        </is>
      </c>
      <c r="H30" s="32" t="inlineStr">
        <is>
          <t>tested</t>
        </is>
      </c>
      <c r="I30" s="32" t="inlineStr">
        <is>
          <t>no</t>
        </is>
      </c>
      <c r="J30" s="42" t="n">
        <v>46229</v>
      </c>
      <c r="L30" s="32" t="n">
        <v>1</v>
      </c>
      <c r="M30" s="32">
        <f>IF(OR(AND(I30="yes",H30="verified"),AND(I30="no",OR(H30="tested",H30="verified")),AND(H30="not applicable",K30&lt;&gt;"")),1,0)</f>
        <v/>
      </c>
    </row>
    <row r="31" ht="42" customHeight="1" s="34">
      <c r="A31" s="32" t="inlineStr">
        <is>
          <t>TB-23</t>
        </is>
      </c>
      <c r="B31" s="32" t="inlineStr">
        <is>
          <t>Package</t>
        </is>
      </c>
      <c r="C31" s="32" t="inlineStr">
        <is>
          <t>Tabs</t>
        </is>
      </c>
      <c r="D31" s="32" t="inlineStr">
        <is>
          <t>Build, exports, SSR, tarball, CSS, React 18/19, consumers, configured browsers, responsive layout, docs, and exact Atom dependency pass.</t>
        </is>
      </c>
      <c r="E31" s="32" t="inlineStr">
        <is>
          <t>package</t>
        </is>
      </c>
      <c r="F31" s="32" t="inlineStr">
        <is>
          <t>package</t>
        </is>
      </c>
      <c r="G31" s="32" t="inlineStr">
        <is>
          <t>../scripts/verify-package.mjs; ../scripts/verify-consumers.mjs; tests/components/tabs/behavior.spec.ts</t>
        </is>
      </c>
      <c r="H31" s="32" t="inlineStr">
        <is>
          <t>tested</t>
        </is>
      </c>
      <c r="I31" s="32" t="inlineStr">
        <is>
          <t>no</t>
        </is>
      </c>
      <c r="J31" s="42" t="n">
        <v>46244</v>
      </c>
      <c r="L31" s="32" t="n">
        <v>1</v>
      </c>
      <c r="M31" s="32">
        <f>IF(OR(AND(I31="yes",H31="verified"),AND(I31="no",OR(H31="tested",H31="verified")),AND(H31="not applicable",K31&lt;&gt;"")),1,0)</f>
        <v/>
      </c>
    </row>
  </sheetData>
  <mergeCells count="2">
    <mergeCell ref="A2:M2"/>
    <mergeCell ref="A1:M1"/>
  </mergeCells>
  <dataValidations count="2">
    <dataValidation sqref="H9:H31" showDropDown="0" showInputMessage="0" showErrorMessage="0" allowBlank="0" type="list" errorStyle="stop" operator="between">
      <formula1>"not started,partial,implemented,tested,verified,blocked,not applicable"</formula1>
      <formula2>0</formula2>
    </dataValidation>
    <dataValidation sqref="I9:I31"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M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Skeleton Evidence</t>
        </is>
      </c>
    </row>
    <row r="2" ht="27.75" customHeight="1" s="34">
      <c r="A2" s="36" t="inlineStr">
        <is>
          <t>Assertion-level visual loading, motion, geometry, accessibility, package, documentation, Consumer, and responsive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IF(COUNTIFS(E9:E30,"package",M9:M30,0)&gt;0,"open","complete")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SK-01</t>
        </is>
      </c>
      <c r="B9" s="43" t="inlineStr">
        <is>
          <t>Ownership</t>
        </is>
      </c>
      <c r="C9" s="43" t="inlineStr">
        <is>
          <t>Skeleton</t>
        </is>
      </c>
      <c r="D9" s="44" t="inlineStr">
        <is>
          <t>Brick owns a purely visual loading placeholder; applications own loading state and region announcements, so no Atom primitive is duplicated.</t>
        </is>
      </c>
      <c r="E9" s="43" t="inlineStr">
        <is>
          <t>package</t>
        </is>
      </c>
      <c r="F9" s="43" t="inlineStr">
        <is>
          <t>source</t>
        </is>
      </c>
      <c r="G9" s="44" t="inlineStr">
        <is>
          <t>../src/components/skeleton</t>
        </is>
      </c>
      <c r="H9" s="43" t="inlineStr">
        <is>
          <t>tested</t>
        </is>
      </c>
      <c r="I9" s="43" t="inlineStr">
        <is>
          <t>no</t>
        </is>
      </c>
      <c r="J9" s="45" t="n">
        <v>46229</v>
      </c>
      <c r="K9" s="44" t="n"/>
      <c r="L9" s="43" t="n">
        <v>1</v>
      </c>
      <c r="M9" s="43">
        <f>IF(OR(AND(I9="yes",H9="verified"),AND(I9="no",OR(H9="tested",H9="verified")),AND(H9="not applicable",K9&lt;&gt;"")),1,0)</f>
        <v/>
      </c>
    </row>
    <row r="10" ht="54" customHeight="1" s="34">
      <c r="A10" s="43" t="inlineStr">
        <is>
          <t>SK-02</t>
        </is>
      </c>
      <c r="B10" s="43" t="inlineStr">
        <is>
          <t>Anatomy</t>
        </is>
      </c>
      <c r="C10" s="43" t="inlineStr">
        <is>
          <t>Skeleton</t>
        </is>
      </c>
      <c r="D10" s="44" t="inlineStr">
        <is>
          <t>One stable span preserves native props/ref and private content or line children without changing the root across loading transitions.</t>
        </is>
      </c>
      <c r="E10" s="43" t="inlineStr">
        <is>
          <t>package</t>
        </is>
      </c>
      <c r="F10" s="43" t="inlineStr">
        <is>
          <t>component</t>
        </is>
      </c>
      <c r="G10" s="44" t="inlineStr">
        <is>
          <t>../test/components/skeleton/skeleton.test.tsx</t>
        </is>
      </c>
      <c r="H10" s="43" t="inlineStr">
        <is>
          <t>tested</t>
        </is>
      </c>
      <c r="I10" s="43" t="inlineStr">
        <is>
          <t>no</t>
        </is>
      </c>
      <c r="J10" s="45" t="n">
        <v>46229</v>
      </c>
      <c r="K10" s="44" t="n"/>
      <c r="L10" s="43" t="n">
        <v>1</v>
      </c>
      <c r="M10" s="43">
        <f>IF(OR(AND(I10="yes",H10="verified"),AND(I10="no",OR(H10="tested",H10="verified")),AND(H10="not applicable",K10&lt;&gt;"")),1,0)</f>
        <v/>
      </c>
    </row>
    <row r="11" ht="54" customHeight="1" s="34">
      <c r="A11" s="43" t="inlineStr">
        <is>
          <t>SK-03</t>
        </is>
      </c>
      <c r="B11" s="43" t="inlineStr">
        <is>
          <t>Exports</t>
        </is>
      </c>
      <c r="C11" s="43" t="inlineStr">
        <is>
          <t>Skeleton</t>
        </is>
      </c>
      <c r="D11" s="44" t="inlineStr">
        <is>
          <t>Root and skeleton subpath expose the runtime component and every closed public type.</t>
        </is>
      </c>
      <c r="E11" s="43" t="inlineStr">
        <is>
          <t>package</t>
        </is>
      </c>
      <c r="F11" s="43" t="inlineStr">
        <is>
          <t>package</t>
        </is>
      </c>
      <c r="G11" s="44" t="inlineStr">
        <is>
          <t>../test/package/package.test.mjs</t>
        </is>
      </c>
      <c r="H11" s="43" t="inlineStr">
        <is>
          <t>tested</t>
        </is>
      </c>
      <c r="I11" s="43" t="inlineStr">
        <is>
          <t>no</t>
        </is>
      </c>
      <c r="J11" s="45" t="n">
        <v>46229</v>
      </c>
      <c r="K11" s="44" t="n"/>
      <c r="L11" s="43" t="n">
        <v>1</v>
      </c>
      <c r="M11" s="43">
        <f>IF(OR(AND(I11="yes",H11="verified"),AND(I11="no",OR(H11="tested",H11="verified")),AND(H11="not applicable",K11&lt;&gt;"")),1,0)</f>
        <v/>
      </c>
    </row>
    <row r="12" ht="54" customHeight="1" s="34">
      <c r="A12" s="43" t="inlineStr">
        <is>
          <t>SK-04</t>
        </is>
      </c>
      <c r="B12" s="43" t="inlineStr">
        <is>
          <t>Types</t>
        </is>
      </c>
      <c r="C12" s="43" t="inlineStr">
        <is>
          <t>Skeleton</t>
        </is>
      </c>
      <c r="D12" s="44" t="inlineStr">
        <is>
          <t>Closed shapes and animations, dimensions, lines, native props, style, slot, children, and ref type-check.</t>
        </is>
      </c>
      <c r="E12" s="43" t="inlineStr">
        <is>
          <t>package</t>
        </is>
      </c>
      <c r="F12" s="43" t="inlineStr">
        <is>
          <t>types</t>
        </is>
      </c>
      <c r="G12" s="44" t="inlineStr">
        <is>
          <t>../test/types/components/skeleton.test.ts</t>
        </is>
      </c>
      <c r="H12" s="43" t="inlineStr">
        <is>
          <t>tested</t>
        </is>
      </c>
      <c r="I12" s="43" t="inlineStr">
        <is>
          <t>no</t>
        </is>
      </c>
      <c r="J12" s="45" t="n">
        <v>46229</v>
      </c>
      <c r="K12" s="44" t="n"/>
      <c r="L12" s="43" t="n">
        <v>1</v>
      </c>
      <c r="M12" s="43">
        <f>IF(OR(AND(I12="yes",H12="verified"),AND(I12="no",OR(H12="tested",H12="verified")),AND(H12="not applicable",K12&lt;&gt;"")),1,0)</f>
        <v/>
      </c>
    </row>
    <row r="13" ht="54" customHeight="1" s="34">
      <c r="A13" s="43" t="inlineStr">
        <is>
          <t>SK-05</t>
        </is>
      </c>
      <c r="B13" s="43" t="inlineStr">
        <is>
          <t>CSS</t>
        </is>
      </c>
      <c r="C13" s="43" t="inlineStr">
        <is>
          <t>Skeleton</t>
        </is>
      </c>
      <c r="D13" s="44" t="inlineStr">
        <is>
          <t>Static CSS ships geometry, pulse/wave/static recipes, child hiding, line layout, forced colors, reduced motion, and public variables.</t>
        </is>
      </c>
      <c r="E13" s="43" t="inlineStr">
        <is>
          <t>package</t>
        </is>
      </c>
      <c r="F13" s="43" t="inlineStr">
        <is>
          <t>css</t>
        </is>
      </c>
      <c r="G13" s="44" t="inlineStr">
        <is>
          <t>../src/components/skeleton/skeleton.css</t>
        </is>
      </c>
      <c r="H13" s="43" t="inlineStr">
        <is>
          <t>tested</t>
        </is>
      </c>
      <c r="I13" s="43" t="inlineStr">
        <is>
          <t>no</t>
        </is>
      </c>
      <c r="J13" s="45" t="n">
        <v>46229</v>
      </c>
      <c r="K13" s="44" t="n"/>
      <c r="L13" s="43" t="n">
        <v>1</v>
      </c>
      <c r="M13" s="43">
        <f>IF(OR(AND(I13="yes",H13="verified"),AND(I13="no",OR(H13="tested",H13="verified")),AND(H13="not applicable",K13&lt;&gt;"")),1,0)</f>
        <v/>
      </c>
    </row>
    <row r="14" ht="54" customHeight="1" s="34">
      <c r="A14" s="43" t="inlineStr">
        <is>
          <t>SK-06</t>
        </is>
      </c>
      <c r="B14" s="43" t="inlineStr">
        <is>
          <t>Defaults</t>
        </is>
      </c>
      <c r="C14" s="43" t="inlineStr">
        <is>
          <t>Skeleton</t>
        </is>
      </c>
      <c r="D14" s="44" t="inlineStr">
        <is>
          <t>Text, pulse, loading, and one line render as a silent full-width font-height placeholder.</t>
        </is>
      </c>
      <c r="E14" s="43" t="inlineStr">
        <is>
          <t>package</t>
        </is>
      </c>
      <c r="F14" s="43" t="inlineStr">
        <is>
          <t>browser</t>
        </is>
      </c>
      <c r="G14" s="44" t="inlineStr">
        <is>
          <t>tests/components/skeleton/behavior.spec.ts</t>
        </is>
      </c>
      <c r="H14" s="43" t="inlineStr">
        <is>
          <t>tested</t>
        </is>
      </c>
      <c r="I14" s="43" t="inlineStr">
        <is>
          <t>no</t>
        </is>
      </c>
      <c r="J14" s="45" t="n">
        <v>46229</v>
      </c>
      <c r="K14" s="44" t="n"/>
      <c r="L14" s="43" t="n">
        <v>1</v>
      </c>
      <c r="M14" s="43">
        <f>IF(OR(AND(I14="yes",H14="verified"),AND(I14="no",OR(H14="tested",H14="verified")),AND(H14="not applicable",K14&lt;&gt;"")),1,0)</f>
        <v/>
      </c>
    </row>
    <row r="15" ht="54" customHeight="1" s="34">
      <c r="A15" s="43" t="inlineStr">
        <is>
          <t>SK-07</t>
        </is>
      </c>
      <c r="B15" s="43" t="inlineStr">
        <is>
          <t>Variants</t>
        </is>
      </c>
      <c r="C15" s="43" t="inlineStr">
        <is>
          <t>Skeleton</t>
        </is>
      </c>
      <c r="D15" s="44" t="inlineStr">
        <is>
          <t>Text, circular, rectangular, and rounded change only intended geometry.</t>
        </is>
      </c>
      <c r="E15" s="43" t="inlineStr">
        <is>
          <t>package</t>
        </is>
      </c>
      <c r="F15" s="43" t="inlineStr">
        <is>
          <t>visual</t>
        </is>
      </c>
      <c r="G15" s="44" t="inlineStr">
        <is>
          <t>tests/components/skeleton/visual.spec.ts</t>
        </is>
      </c>
      <c r="H15" s="43" t="inlineStr">
        <is>
          <t>verified</t>
        </is>
      </c>
      <c r="I15" s="43" t="inlineStr">
        <is>
          <t>yes</t>
        </is>
      </c>
      <c r="J15" s="45" t="n">
        <v>46229</v>
      </c>
      <c r="K15" s="44" t="inlineStr">
        <is>
          <t>Agent-inspected generated variants baseline.</t>
        </is>
      </c>
      <c r="L15" s="43" t="n">
        <v>1</v>
      </c>
      <c r="M15" s="43">
        <f>IF(OR(AND(I15="yes",H15="verified"),AND(I15="no",OR(H15="tested",H15="verified")),AND(H15="not applicable",K15&lt;&gt;"")),1,0)</f>
        <v/>
      </c>
    </row>
    <row r="16" ht="54" customHeight="1" s="34">
      <c r="A16" s="43" t="inlineStr">
        <is>
          <t>SK-08</t>
        </is>
      </c>
      <c r="B16" s="43" t="inlineStr">
        <is>
          <t>Animation</t>
        </is>
      </c>
      <c r="C16" s="43" t="inlineStr">
        <is>
          <t>Skeleton</t>
        </is>
      </c>
      <c r="D16" s="44" t="inlineStr">
        <is>
          <t>Pulse, wave, and none are visually distinct and all animation stops with prefers-reduced-motion.</t>
        </is>
      </c>
      <c r="E16" s="43" t="inlineStr">
        <is>
          <t>package</t>
        </is>
      </c>
      <c r="F16" s="43" t="inlineStr">
        <is>
          <t>visual</t>
        </is>
      </c>
      <c r="G16" s="44" t="inlineStr">
        <is>
          <t>tests/components/skeleton/visual.spec.ts</t>
        </is>
      </c>
      <c r="H16" s="43" t="inlineStr">
        <is>
          <t>verified</t>
        </is>
      </c>
      <c r="I16" s="43" t="inlineStr">
        <is>
          <t>yes</t>
        </is>
      </c>
      <c r="J16" s="45" t="n">
        <v>46229</v>
      </c>
      <c r="K16" s="44" t="inlineStr">
        <is>
          <t>Agent-inspected generated animation baseline.</t>
        </is>
      </c>
      <c r="L16" s="43" t="n">
        <v>1</v>
      </c>
      <c r="M16" s="43">
        <f>IF(OR(AND(I16="yes",H16="verified"),AND(I16="no",OR(H16="tested",H16="verified")),AND(H16="not applicable",K16&lt;&gt;"")),1,0)</f>
        <v/>
      </c>
    </row>
    <row r="17" ht="54" customHeight="1" s="34">
      <c r="A17" s="43" t="inlineStr">
        <is>
          <t>SK-09</t>
        </is>
      </c>
      <c r="B17" s="43" t="inlineStr">
        <is>
          <t>Dimensions</t>
        </is>
      </c>
      <c r="C17" s="43" t="inlineStr">
        <is>
          <t>Skeleton</t>
        </is>
      </c>
      <c r="D17" s="44" t="inlineStr">
        <is>
          <t>Numeric, CSS-length, consumer style, defaults, and public variables size placeholders without a misleading component size scale.</t>
        </is>
      </c>
      <c r="E17" s="43" t="inlineStr">
        <is>
          <t>package</t>
        </is>
      </c>
      <c r="F17" s="43" t="inlineStr">
        <is>
          <t>browser</t>
        </is>
      </c>
      <c r="G17" s="44" t="inlineStr">
        <is>
          <t>tests/components/skeleton/behavior.spec.ts; tests/components/skeleton/visual.spec.ts</t>
        </is>
      </c>
      <c r="H17" s="43" t="inlineStr">
        <is>
          <t>tested</t>
        </is>
      </c>
      <c r="I17" s="43" t="inlineStr">
        <is>
          <t>no</t>
        </is>
      </c>
      <c r="J17" s="45" t="n">
        <v>46229</v>
      </c>
      <c r="K17" s="44" t="n"/>
      <c r="L17" s="43" t="n">
        <v>1</v>
      </c>
      <c r="M17" s="43">
        <f>IF(OR(AND(I17="yes",H17="verified"),AND(I17="no",OR(H17="tested",H17="verified")),AND(H17="not applicable",K17&lt;&gt;"")),1,0)</f>
        <v/>
      </c>
    </row>
    <row r="18" ht="54" customHeight="1" s="34">
      <c r="A18" s="43" t="inlineStr">
        <is>
          <t>SK-10</t>
        </is>
      </c>
      <c r="B18" s="43" t="inlineStr">
        <is>
          <t>Text lines</t>
        </is>
      </c>
      <c r="C18" s="43" t="inlineStr">
        <is>
          <t>Skeleton</t>
        </is>
      </c>
      <c r="D18" s="44" t="inlineStr">
        <is>
          <t>One, three, and five-line standalone text render exact row counts and a shorter final line.</t>
        </is>
      </c>
      <c r="E18" s="43" t="inlineStr">
        <is>
          <t>package</t>
        </is>
      </c>
      <c r="F18" s="43" t="inlineStr">
        <is>
          <t>browser</t>
        </is>
      </c>
      <c r="G18" s="44" t="inlineStr">
        <is>
          <t>tests/components/skeleton/behavior.spec.ts</t>
        </is>
      </c>
      <c r="H18" s="43" t="inlineStr">
        <is>
          <t>tested</t>
        </is>
      </c>
      <c r="I18" s="43" t="inlineStr">
        <is>
          <t>no</t>
        </is>
      </c>
      <c r="J18" s="45" t="n">
        <v>46229</v>
      </c>
      <c r="K18" s="44" t="n"/>
      <c r="L18" s="43" t="n">
        <v>1</v>
      </c>
      <c r="M18" s="43">
        <f>IF(OR(AND(I18="yes",H18="verified"),AND(I18="no",OR(H18="tested",H18="verified")),AND(H18="not applicable",K18&lt;&gt;"")),1,0)</f>
        <v/>
      </c>
    </row>
    <row r="19" ht="54" customHeight="1" s="34">
      <c r="A19" s="43" t="inlineStr">
        <is>
          <t>SK-11</t>
        </is>
      </c>
      <c r="B19" s="43" t="inlineStr">
        <is>
          <t>Loading</t>
        </is>
      </c>
      <c r="C19" s="43" t="inlineStr">
        <is>
          <t>Skeleton</t>
        </is>
      </c>
      <c r="D19" s="44" t="inlineStr">
        <is>
          <t>Wrapped content preserves exact layout, stays hidden/noninteractive while loading, and returns through the same root.</t>
        </is>
      </c>
      <c r="E19" s="43" t="inlineStr">
        <is>
          <t>package</t>
        </is>
      </c>
      <c r="F19" s="43" t="inlineStr">
        <is>
          <t>browser</t>
        </is>
      </c>
      <c r="G19" s="44" t="inlineStr">
        <is>
          <t>../test/components/skeleton/skeleton.test.tsx; tests/components/skeleton/behavior.spec.ts</t>
        </is>
      </c>
      <c r="H19" s="43" t="inlineStr">
        <is>
          <t>tested</t>
        </is>
      </c>
      <c r="I19" s="43" t="inlineStr">
        <is>
          <t>no</t>
        </is>
      </c>
      <c r="J19" s="45" t="n">
        <v>46229</v>
      </c>
      <c r="K19" s="44" t="n"/>
      <c r="L19" s="43" t="n">
        <v>1</v>
      </c>
      <c r="M19" s="43">
        <f>IF(OR(AND(I19="yes",H19="verified"),AND(I19="no",OR(H19="tested",H19="verified")),AND(H19="not applicable",K19&lt;&gt;"")),1,0)</f>
        <v/>
      </c>
    </row>
    <row r="20" ht="54" customHeight="1" s="34">
      <c r="A20" s="43" t="inlineStr">
        <is>
          <t>SK-12</t>
        </is>
      </c>
      <c r="B20" s="43" t="inlineStr">
        <is>
          <t>Composition</t>
        </is>
      </c>
      <c r="C20" s="43" t="inlineStr">
        <is>
          <t>Skeleton</t>
        </is>
      </c>
      <c r="D20" s="44" t="inlineStr">
        <is>
          <t>Real Brick controls, surfaces, rows, and card previews compose without Skeleton taking their semantics or data ownership.</t>
        </is>
      </c>
      <c r="E20" s="43" t="inlineStr">
        <is>
          <t>package</t>
        </is>
      </c>
      <c r="F20" s="43" t="inlineStr">
        <is>
          <t>visual</t>
        </is>
      </c>
      <c r="G20" s="44" t="inlineStr">
        <is>
          <t>tests/components/skeleton/visual.spec.ts</t>
        </is>
      </c>
      <c r="H20" s="43" t="inlineStr">
        <is>
          <t>verified</t>
        </is>
      </c>
      <c r="I20" s="43" t="inlineStr">
        <is>
          <t>yes</t>
        </is>
      </c>
      <c r="J20" s="45" t="n">
        <v>46229</v>
      </c>
      <c r="K20" s="44" t="inlineStr">
        <is>
          <t>Agent-inspected loading and composition baselines.</t>
        </is>
      </c>
      <c r="L20" s="43" t="n">
        <v>1</v>
      </c>
      <c r="M20" s="43">
        <f>IF(OR(AND(I20="yes",H20="verified"),AND(I20="no",OR(H20="tested",H20="verified")),AND(H20="not applicable",K20&lt;&gt;"")),1,0)</f>
        <v/>
      </c>
    </row>
    <row r="21" ht="54" customHeight="1" s="34">
      <c r="A21" s="43" t="inlineStr">
        <is>
          <t>SK-13</t>
        </is>
      </c>
      <c r="B21" s="43" t="inlineStr">
        <is>
          <t>Accessibility</t>
        </is>
      </c>
      <c r="C21" s="43" t="inlineStr">
        <is>
          <t>Skeleton</t>
        </is>
      </c>
      <c r="D21" s="44" t="inlineStr">
        <is>
          <t>Loading placeholders are aria-hidden, never focusable or named, and the owning region demonstrates aria-busy; axe passes.</t>
        </is>
      </c>
      <c r="E21" s="43" t="inlineStr">
        <is>
          <t>package</t>
        </is>
      </c>
      <c r="F21" s="43" t="inlineStr">
        <is>
          <t>axe</t>
        </is>
      </c>
      <c r="G21" s="44" t="inlineStr">
        <is>
          <t>tests/components/skeleton/behavior.spec.ts</t>
        </is>
      </c>
      <c r="H21" s="43" t="inlineStr">
        <is>
          <t>tested</t>
        </is>
      </c>
      <c r="I21" s="43" t="inlineStr">
        <is>
          <t>no</t>
        </is>
      </c>
      <c r="J21" s="45" t="n">
        <v>46229</v>
      </c>
      <c r="K21" s="44" t="n"/>
      <c r="L21" s="43" t="n">
        <v>1</v>
      </c>
      <c r="M21" s="43">
        <f>IF(OR(AND(I21="yes",H21="verified"),AND(I21="no",OR(H21="tested",H21="verified")),AND(H21="not applicable",K21&lt;&gt;"")),1,0)</f>
        <v/>
      </c>
    </row>
    <row r="22" ht="54" customHeight="1" s="34">
      <c r="A22" s="43" t="inlineStr">
        <is>
          <t>SK-14</t>
        </is>
      </c>
      <c r="B22" s="43" t="inlineStr">
        <is>
          <t>Responsive</t>
        </is>
      </c>
      <c r="C22" s="43" t="inlineStr">
        <is>
          <t>Skeleton</t>
        </is>
      </c>
      <c r="D22" s="44" t="inlineStr">
        <is>
          <t>Logical dimensions stay bounded under narrow width, RTL, mobile, and zoom without page overflow.</t>
        </is>
      </c>
      <c r="E22" s="43" t="inlineStr">
        <is>
          <t>package</t>
        </is>
      </c>
      <c r="F22" s="43" t="inlineStr">
        <is>
          <t>browser</t>
        </is>
      </c>
      <c r="G22" s="44" t="inlineStr">
        <is>
          <t>tests/components/skeleton/behavior.spec.ts; tests/components/skeleton/visual.spec.ts</t>
        </is>
      </c>
      <c r="H22" s="43" t="inlineStr">
        <is>
          <t>tested</t>
        </is>
      </c>
      <c r="I22" s="43" t="inlineStr">
        <is>
          <t>no</t>
        </is>
      </c>
      <c r="J22" s="45" t="n">
        <v>46229</v>
      </c>
      <c r="K22" s="44" t="n"/>
      <c r="L22" s="43" t="n">
        <v>1</v>
      </c>
      <c r="M22" s="43">
        <f>IF(OR(AND(I22="yes",H22="verified"),AND(I22="no",OR(H22="tested",H22="verified")),AND(H22="not applicable",K22&lt;&gt;"")),1,0)</f>
        <v/>
      </c>
    </row>
    <row r="23" ht="54" customHeight="1" s="34">
      <c r="A23" s="43" t="inlineStr">
        <is>
          <t>SK-15</t>
        </is>
      </c>
      <c r="B23" s="43" t="inlineStr">
        <is>
          <t>Appearance</t>
        </is>
      </c>
      <c r="C23" s="43" t="inlineStr">
        <is>
          <t>Skeleton</t>
        </is>
      </c>
      <c r="D23" s="44" t="inlineStr">
        <is>
          <t>Semantic paint adapts in light/dark and forced colors; exact public variables match the customization example.</t>
        </is>
      </c>
      <c r="E23" s="43" t="inlineStr">
        <is>
          <t>package</t>
        </is>
      </c>
      <c r="F23" s="43" t="inlineStr">
        <is>
          <t>visual</t>
        </is>
      </c>
      <c r="G23" s="44" t="inlineStr">
        <is>
          <t>tests/components/skeleton/visual.spec.ts</t>
        </is>
      </c>
      <c r="H23" s="43" t="inlineStr">
        <is>
          <t>verified</t>
        </is>
      </c>
      <c r="I23" s="43" t="inlineStr">
        <is>
          <t>yes</t>
        </is>
      </c>
      <c r="J23" s="45" t="n">
        <v>46229</v>
      </c>
      <c r="K23" s="44" t="inlineStr">
        <is>
          <t>Agent-inspected appearance and forced-color baselines.</t>
        </is>
      </c>
      <c r="L23" s="43" t="n">
        <v>1</v>
      </c>
      <c r="M23" s="43">
        <f>IF(OR(AND(I23="yes",H23="verified"),AND(I23="no",OR(H23="tested",H23="verified")),AND(H23="not applicable",K23&lt;&gt;"")),1,0)</f>
        <v/>
      </c>
    </row>
    <row r="24" ht="54" customHeight="1" s="34">
      <c r="A24" s="43" t="inlineStr">
        <is>
          <t>SK-16</t>
        </is>
      </c>
      <c r="B24" s="43" t="inlineStr">
        <is>
          <t>Visual</t>
        </is>
      </c>
      <c r="C24" s="43" t="inlineStr">
        <is>
          <t>Skeleton</t>
        </is>
      </c>
      <c r="D24" s="44" t="inlineStr">
        <is>
          <t>Reviewed baselines cover defaults, shapes, animation, dimensions, lines, loading, appearance, mobile, and forced colors.</t>
        </is>
      </c>
      <c r="E24" s="43" t="inlineStr">
        <is>
          <t>package</t>
        </is>
      </c>
      <c r="F24" s="43" t="inlineStr">
        <is>
          <t>visual</t>
        </is>
      </c>
      <c r="G24" s="44" t="inlineStr">
        <is>
          <t>tests/components/skeleton/visual.spec.ts</t>
        </is>
      </c>
      <c r="H24" s="43" t="inlineStr">
        <is>
          <t>verified</t>
        </is>
      </c>
      <c r="I24" s="43" t="inlineStr">
        <is>
          <t>yes</t>
        </is>
      </c>
      <c r="J24" s="45" t="n">
        <v>46229</v>
      </c>
      <c r="K24" s="44" t="inlineStr">
        <is>
          <t>Agent-inspected every generated Skeleton baseline.</t>
        </is>
      </c>
      <c r="L24" s="43" t="n">
        <v>1</v>
      </c>
      <c r="M24" s="43">
        <f>IF(OR(AND(I24="yes",H24="verified"),AND(I24="no",OR(H24="tested",H24="verified")),AND(H24="not applicable",K24&lt;&gt;"")),1,0)</f>
        <v/>
      </c>
    </row>
    <row r="25" ht="54" customHeight="1" s="34">
      <c r="A25" s="43" t="inlineStr">
        <is>
          <t>SK-17</t>
        </is>
      </c>
      <c r="B25" s="43" t="inlineStr">
        <is>
          <t>Manual</t>
        </is>
      </c>
      <c r="C25" s="43" t="inlineStr">
        <is>
          <t>Skeleton</t>
        </is>
      </c>
      <c r="D25" s="44" t="inlineStr">
        <is>
          <t>A tester completes the concise shape, motion, loading, AT, zoom, device, appearance, forced-color, and reduced-motion protocol.</t>
        </is>
      </c>
      <c r="E25" s="43" t="inlineStr">
        <is>
          <t>package</t>
        </is>
      </c>
      <c r="F25" s="43" t="inlineStr">
        <is>
          <t>manual</t>
        </is>
      </c>
      <c r="G25" s="44" t="inlineStr">
        <is>
          <t>manual-tests/skeleton.md</t>
        </is>
      </c>
      <c r="H25" s="43" t="inlineStr">
        <is>
          <t>not started</t>
        </is>
      </c>
      <c r="I25" s="43" t="inlineStr">
        <is>
          <t>yes</t>
        </is>
      </c>
      <c r="J25" s="45" t="n">
        <v>46229</v>
      </c>
      <c r="K25" s="44" t="inlineStr">
        <is>
          <t>Human run intentionally unclaimed.</t>
        </is>
      </c>
      <c r="L25" s="43" t="n">
        <v>1</v>
      </c>
      <c r="M25" s="43">
        <f>IF(OR(AND(I25="yes",H25="verified"),AND(I25="no",OR(H25="tested",H25="verified")),AND(H25="not applicable",K25&lt;&gt;"")),1,0)</f>
        <v/>
      </c>
    </row>
    <row r="26" ht="54" customHeight="1" s="34">
      <c r="A26" s="43" t="inlineStr">
        <is>
          <t>SK-18</t>
        </is>
      </c>
      <c r="B26" s="43" t="inlineStr">
        <is>
          <t>Docs</t>
        </is>
      </c>
      <c r="C26" s="43" t="inlineStr">
        <is>
          <t>Skeleton</t>
        </is>
      </c>
      <c r="D26" s="44" t="inlineStr">
        <is>
          <t>Source-backed use, anatomy, API, recipes, accessibility, responsive behavior, composition, CSS, customization, and evidence are documented.</t>
        </is>
      </c>
      <c r="E26" s="43" t="inlineStr">
        <is>
          <t>package</t>
        </is>
      </c>
      <c r="F26" s="43" t="inlineStr">
        <is>
          <t>docs</t>
        </is>
      </c>
      <c r="G26" s="44" t="inlineStr">
        <is>
          <t>../docs/components/skeleton/README.md</t>
        </is>
      </c>
      <c r="H26" s="43" t="inlineStr">
        <is>
          <t>tested</t>
        </is>
      </c>
      <c r="I26" s="43" t="inlineStr">
        <is>
          <t>no</t>
        </is>
      </c>
      <c r="J26" s="45" t="n">
        <v>46229</v>
      </c>
      <c r="K26" s="44" t="n"/>
      <c r="L26" s="43" t="n">
        <v>1</v>
      </c>
      <c r="M26" s="43">
        <f>IF(OR(AND(I26="yes",H26="verified"),AND(I26="no",OR(H26="tested",H26="verified")),AND(H26="not applicable",K26&lt;&gt;"")),1,0)</f>
        <v/>
      </c>
    </row>
    <row r="27" ht="54" customHeight="1" s="34">
      <c r="A27" s="43" t="inlineStr">
        <is>
          <t>SK-19</t>
        </is>
      </c>
      <c r="B27" s="43" t="inlineStr">
        <is>
          <t>Changelog</t>
        </is>
      </c>
      <c r="C27" s="43" t="inlineStr">
        <is>
          <t>Skeleton</t>
        </is>
      </c>
      <c r="D27" s="44" t="inlineStr">
        <is>
          <t>Skeleton owns a public changelog and the package changelog records the addition.</t>
        </is>
      </c>
      <c r="E27" s="43" t="inlineStr">
        <is>
          <t>package</t>
        </is>
      </c>
      <c r="F27" s="43" t="inlineStr">
        <is>
          <t>docs</t>
        </is>
      </c>
      <c r="G27" s="44" t="inlineStr">
        <is>
          <t>../docs/components/skeleton/CHANGELOG.md; ../CHANGELOG.md</t>
        </is>
      </c>
      <c r="H27" s="43" t="inlineStr">
        <is>
          <t>tested</t>
        </is>
      </c>
      <c r="I27" s="43" t="inlineStr">
        <is>
          <t>no</t>
        </is>
      </c>
      <c r="J27" s="45" t="n">
        <v>46229</v>
      </c>
      <c r="K27" s="44" t="n"/>
      <c r="L27" s="43" t="n">
        <v>1</v>
      </c>
      <c r="M27" s="43">
        <f>IF(OR(AND(I27="yes",H27="verified"),AND(I27="no",OR(H27="tested",H27="verified")),AND(H27="not applicable",K27&lt;&gt;"")),1,0)</f>
        <v/>
      </c>
    </row>
    <row r="28" ht="54" customHeight="1" s="34">
      <c r="A28" s="43" t="inlineStr">
        <is>
          <t>SK-20</t>
        </is>
      </c>
      <c r="B28" s="43" t="inlineStr">
        <is>
          <t>Playground</t>
        </is>
      </c>
      <c r="C28" s="43" t="inlineStr">
        <is>
          <t>Skeleton</t>
        </is>
      </c>
      <c r="D28" s="44" t="inlineStr">
        <is>
          <t>One navigable route exposes all nine controlled scenarios including loading and region ownership.</t>
        </is>
      </c>
      <c r="E28" s="43" t="inlineStr">
        <is>
          <t>package</t>
        </is>
      </c>
      <c r="F28" s="43" t="inlineStr">
        <is>
          <t>playground</t>
        </is>
      </c>
      <c r="G28" s="44" t="inlineStr">
        <is>
          <t>src/components/skeleton/SkeletonPage.tsx</t>
        </is>
      </c>
      <c r="H28" s="43" t="inlineStr">
        <is>
          <t>tested</t>
        </is>
      </c>
      <c r="I28" s="43" t="inlineStr">
        <is>
          <t>no</t>
        </is>
      </c>
      <c r="J28" s="45" t="n">
        <v>46229</v>
      </c>
      <c r="K28" s="44" t="n"/>
      <c r="L28" s="43" t="n">
        <v>1</v>
      </c>
      <c r="M28" s="43">
        <f>IF(OR(AND(I28="yes",H28="verified"),AND(I28="no",OR(H28="tested",H28="verified")),AND(H28="not applicable",K28&lt;&gt;"")),1,0)</f>
        <v/>
      </c>
    </row>
    <row r="29" ht="54" customHeight="1" s="34">
      <c r="A29" s="43" t="inlineStr">
        <is>
          <t>SK-21</t>
        </is>
      </c>
      <c r="B29" s="43" t="inlineStr">
        <is>
          <t>Consumer</t>
        </is>
      </c>
      <c r="C29" s="43" t="inlineStr">
        <is>
          <t>Skeleton</t>
        </is>
      </c>
      <c r="D29" s="44" t="inlineStr">
        <is>
          <t>Packed Consumer imports the public subpath and renders multi-line loading geometry inside Tabs.</t>
        </is>
      </c>
      <c r="E29" s="43" t="inlineStr">
        <is>
          <t>consumer</t>
        </is>
      </c>
      <c r="F29" s="43" t="inlineStr">
        <is>
          <t>consumer</t>
        </is>
      </c>
      <c r="G29" s="44" t="inlineStr">
        <is>
          <t>../apps/consumer/src/App.tsx; ../apps/consumer/tests/consumer.spec.ts</t>
        </is>
      </c>
      <c r="H29" s="43" t="inlineStr">
        <is>
          <t>tested</t>
        </is>
      </c>
      <c r="I29" s="43" t="inlineStr">
        <is>
          <t>no</t>
        </is>
      </c>
      <c r="J29" s="45" t="n">
        <v>46229</v>
      </c>
      <c r="K29" s="44" t="n"/>
      <c r="L29" s="43" t="n">
        <v>1</v>
      </c>
      <c r="M29" s="43">
        <f>IF(OR(AND(I29="yes",H29="verified"),AND(I29="no",OR(H29="tested",H29="verified")),AND(H29="not applicable",K29&lt;&gt;"")),1,0)</f>
        <v/>
      </c>
    </row>
    <row r="30" ht="54" customHeight="1" s="34">
      <c r="A30" s="43" t="inlineStr">
        <is>
          <t>SK-22</t>
        </is>
      </c>
      <c r="B30" s="43" t="inlineStr">
        <is>
          <t>Package</t>
        </is>
      </c>
      <c r="C30" s="43" t="inlineStr">
        <is>
          <t>Skeleton</t>
        </is>
      </c>
      <c r="D30" s="44" t="inlineStr">
        <is>
          <t>Build, exports, SSR, tarball, CSS, React 18/19, Consumer, configured browsers, docs, and size gates pass.</t>
        </is>
      </c>
      <c r="E30" s="43" t="inlineStr">
        <is>
          <t>package</t>
        </is>
      </c>
      <c r="F30" s="43" t="inlineStr">
        <is>
          <t>package</t>
        </is>
      </c>
      <c r="G30" s="44" t="inlineStr">
        <is>
          <t>../scripts/verify-package.mjs; ../scripts/verify-consumers.mjs</t>
        </is>
      </c>
      <c r="H30" s="43" t="inlineStr">
        <is>
          <t>tested</t>
        </is>
      </c>
      <c r="I30" s="43" t="inlineStr">
        <is>
          <t>no</t>
        </is>
      </c>
      <c r="J30" s="45" t="n">
        <v>46229</v>
      </c>
      <c r="K30" s="44" t="n"/>
      <c r="L30" s="43" t="n">
        <v>1</v>
      </c>
      <c r="M30" s="43">
        <f>IF(OR(AND(I30="yes",H30="verified"),AND(I30="no",OR(H30="tested",H30="verified")),AND(H30="not applicable",K30&lt;&gt;"")),1,0)</f>
        <v/>
      </c>
    </row>
  </sheetData>
  <mergeCells count="2">
    <mergeCell ref="A2:M2"/>
    <mergeCell ref="A1:M1"/>
  </mergeCells>
  <dataValidations count="2">
    <dataValidation sqref="H9:H30" showDropDown="0" showInputMessage="0" showErrorMessage="0" allowBlank="0" type="list" errorStyle="stop" operator="between">
      <formula1>"not started,partial,implemented,tested,verified,blocked,not applicable"</formula1>
      <formula2>0</formula2>
    </dataValidation>
    <dataValidation sqref="I9:I30"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Dropdown Menu Evidence</t>
        </is>
      </c>
    </row>
    <row r="2" ht="27.75" customHeight="1" s="34">
      <c r="A2" s="36" t="inlineStr">
        <is>
          <t>Assertion-level Atom-backed package, keyboard,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DM-01</t>
        </is>
      </c>
      <c r="B9" s="32" t="inlineStr">
        <is>
          <t>Ownership</t>
        </is>
      </c>
      <c r="C9" s="32" t="inlineStr">
        <is>
          <t>All parts</t>
        </is>
      </c>
      <c r="D9" s="32" t="inlineStr">
        <is>
          <t>Brick styles released Atom 0.20.11 menu behavior without recreating open state, focus, keyboard, selection, dismissal, portals, or positioning.</t>
        </is>
      </c>
      <c r="E9" s="32" t="inlineStr">
        <is>
          <t>package</t>
        </is>
      </c>
      <c r="F9" s="32" t="inlineStr">
        <is>
          <t>source</t>
        </is>
      </c>
      <c r="G9" s="32" t="inlineStr">
        <is>
          <t>../src/components/dropdown-menu</t>
        </is>
      </c>
      <c r="H9" s="32" t="inlineStr">
        <is>
          <t>tested</t>
        </is>
      </c>
      <c r="I9" s="32" t="inlineStr">
        <is>
          <t>no</t>
        </is>
      </c>
      <c r="J9" s="42" t="n">
        <v>46230</v>
      </c>
      <c r="L9" s="32" t="n">
        <v>1</v>
      </c>
      <c r="M9" s="32">
        <f>IF(OR(AND(I9="yes",H9="verified"),AND(I9="no",OR(H9="tested",H9="verified")),AND(H9="not applicable",K9&lt;&gt;"")),1,0)</f>
        <v/>
      </c>
    </row>
    <row r="10" ht="42" customHeight="1" s="34">
      <c r="A10" s="32" t="inlineStr">
        <is>
          <t>DM-02</t>
        </is>
      </c>
      <c r="B10" s="32" t="inlineStr">
        <is>
          <t>Anatomy</t>
        </is>
      </c>
      <c r="C10" s="32" t="inlineStr">
        <is>
          <t>All parts</t>
        </is>
      </c>
      <c r="D10" s="32" t="inlineStr">
        <is>
          <t>The complete public namespace preserves trigger, popup, group, choice, indicator, static row, separator, arrow, and submenu ownership.</t>
        </is>
      </c>
      <c r="E10" s="32" t="inlineStr">
        <is>
          <t>package</t>
        </is>
      </c>
      <c r="F10" s="32" t="inlineStr">
        <is>
          <t>component</t>
        </is>
      </c>
      <c r="G10" s="32" t="inlineStr">
        <is>
          <t>../test/components/dropdown-menu/dropdown-menu.test.tsx</t>
        </is>
      </c>
      <c r="H10" s="32" t="inlineStr">
        <is>
          <t>tested</t>
        </is>
      </c>
      <c r="I10" s="32" t="inlineStr">
        <is>
          <t>no</t>
        </is>
      </c>
      <c r="J10" s="42" t="n">
        <v>46230</v>
      </c>
      <c r="L10" s="32" t="n">
        <v>1</v>
      </c>
      <c r="M10" s="32">
        <f>IF(OR(AND(I10="yes",H10="verified"),AND(I10="no",OR(H10="tested",H10="verified")),AND(H10="not applicable",K10&lt;&gt;"")),1,0)</f>
        <v/>
      </c>
    </row>
    <row r="11" ht="42" customHeight="1" s="34">
      <c r="A11" s="32" t="inlineStr">
        <is>
          <t>DM-03</t>
        </is>
      </c>
      <c r="B11" s="32" t="inlineStr">
        <is>
          <t>Exports</t>
        </is>
      </c>
      <c r="C11" s="32" t="inlineStr">
        <is>
          <t>DropdownMenu</t>
        </is>
      </c>
      <c r="D11" s="32" t="inlineStr">
        <is>
          <t>Root and dropdown-menu subpath expose the namespace, named parts, and public types with identical runtime identities.</t>
        </is>
      </c>
      <c r="E11" s="32" t="inlineStr">
        <is>
          <t>package</t>
        </is>
      </c>
      <c r="F11" s="32" t="inlineStr">
        <is>
          <t>package</t>
        </is>
      </c>
      <c r="G11" s="32" t="inlineStr">
        <is>
          <t>../test/package/package.test.mjs; ../scripts/verify-consumers.mjs</t>
        </is>
      </c>
      <c r="H11" s="32" t="inlineStr">
        <is>
          <t>tested</t>
        </is>
      </c>
      <c r="I11" s="32" t="inlineStr">
        <is>
          <t>no</t>
        </is>
      </c>
      <c r="J11" s="42" t="n">
        <v>46230</v>
      </c>
      <c r="L11" s="32" t="n">
        <v>1</v>
      </c>
      <c r="M11" s="32">
        <f>IF(OR(AND(I11="yes",H11="verified"),AND(I11="no",OR(H11="tested",H11="verified")),AND(H11="not applicable",K11&lt;&gt;"")),1,0)</f>
        <v/>
      </c>
    </row>
    <row r="12" ht="42" customHeight="1" s="34">
      <c r="A12" s="32" t="inlineStr">
        <is>
          <t>DM-04</t>
        </is>
      </c>
      <c r="B12" s="32" t="inlineStr">
        <is>
          <t>Types</t>
        </is>
      </c>
      <c r="C12" s="32" t="inlineStr">
        <is>
          <t>All parts</t>
        </is>
      </c>
      <c r="D12" s="32" t="inlineStr">
        <is>
          <t>Closed sizes and tones plus Atom behavior, composition, native props, and refs type-check.</t>
        </is>
      </c>
      <c r="E12" s="32" t="inlineStr">
        <is>
          <t>package</t>
        </is>
      </c>
      <c r="F12" s="32" t="inlineStr">
        <is>
          <t>types</t>
        </is>
      </c>
      <c r="G12" s="32" t="inlineStr">
        <is>
          <t>../test/types/components/dropdown-menu.test.ts</t>
        </is>
      </c>
      <c r="H12" s="32" t="inlineStr">
        <is>
          <t>tested</t>
        </is>
      </c>
      <c r="I12" s="32" t="inlineStr">
        <is>
          <t>no</t>
        </is>
      </c>
      <c r="J12" s="42" t="n">
        <v>46230</v>
      </c>
      <c r="L12" s="32" t="n">
        <v>1</v>
      </c>
      <c r="M12" s="32">
        <f>IF(OR(AND(I12="yes",H12="verified"),AND(I12="no",OR(H12="tested",H12="verified")),AND(H12="not applicable",K12&lt;&gt;"")),1,0)</f>
        <v/>
      </c>
    </row>
    <row r="13" ht="42" customHeight="1" s="34">
      <c r="A13" s="32" t="inlineStr">
        <is>
          <t>DM-05</t>
        </is>
      </c>
      <c r="B13" s="32" t="inlineStr">
        <is>
          <t>CSS</t>
        </is>
      </c>
      <c r="C13" s="32" t="inlineStr">
        <is>
          <t>All parts</t>
        </is>
      </c>
      <c r="D13" s="32" t="inlineStr">
        <is>
          <t>Static CSS ships the popup surface, row anatomy, selection, danger, disabled, submenu, preference, and public-token recipes.</t>
        </is>
      </c>
      <c r="E13" s="32" t="inlineStr">
        <is>
          <t>package</t>
        </is>
      </c>
      <c r="F13" s="32" t="inlineStr">
        <is>
          <t>css</t>
        </is>
      </c>
      <c r="G13" s="32" t="inlineStr">
        <is>
          <t>../src/components/dropdown-menu/dropdown-menu.css</t>
        </is>
      </c>
      <c r="H13" s="32" t="inlineStr">
        <is>
          <t>tested</t>
        </is>
      </c>
      <c r="I13" s="32" t="inlineStr">
        <is>
          <t>no</t>
        </is>
      </c>
      <c r="J13" s="42" t="n">
        <v>46230</v>
      </c>
      <c r="L13" s="32" t="n">
        <v>1</v>
      </c>
      <c r="M13" s="32">
        <f>IF(OR(AND(I13="yes",H13="verified"),AND(I13="no",OR(H13="tested",H13="verified")),AND(H13="not applicable",K13&lt;&gt;"")),1,0)</f>
        <v/>
      </c>
    </row>
    <row r="14" ht="42" customHeight="1" s="34">
      <c r="A14" s="32" t="inlineStr">
        <is>
          <t>DM-06</t>
        </is>
      </c>
      <c r="B14" s="32" t="inlineStr">
        <is>
          <t>Defaults</t>
        </is>
      </c>
      <c r="C14" s="32" t="inlineStr">
        <is>
          <t>Root/Trigger/Content/Item</t>
        </is>
      </c>
      <c r="D14" s="32" t="inlineStr">
        <is>
          <t>A medium button-triggered menu opens with neutral rows and Atom-owned focus and dismissal.</t>
        </is>
      </c>
      <c r="E14" s="32" t="inlineStr">
        <is>
          <t>package</t>
        </is>
      </c>
      <c r="F14" s="32" t="inlineStr">
        <is>
          <t>browser</t>
        </is>
      </c>
      <c r="G14" s="32" t="inlineStr">
        <is>
          <t>tests/components/dropdown-menu/behavior.spec.ts</t>
        </is>
      </c>
      <c r="H14" s="32" t="inlineStr">
        <is>
          <t>tested</t>
        </is>
      </c>
      <c r="I14" s="32" t="inlineStr">
        <is>
          <t>no</t>
        </is>
      </c>
      <c r="J14" s="42" t="n">
        <v>46230</v>
      </c>
      <c r="L14" s="32" t="n">
        <v>1</v>
      </c>
      <c r="M14" s="32">
        <f>IF(OR(AND(I14="yes",H14="verified"),AND(I14="no",OR(H14="tested",H14="verified")),AND(H14="not applicable",K14&lt;&gt;"")),1,0)</f>
        <v/>
      </c>
    </row>
    <row r="15" ht="42" customHeight="1" s="34">
      <c r="A15" s="32" t="inlineStr">
        <is>
          <t>DM-07</t>
        </is>
      </c>
      <c r="B15" s="32" t="inlineStr">
        <is>
          <t>Sizes</t>
        </is>
      </c>
      <c r="C15" s="32" t="inlineStr">
        <is>
          <t>Content/SubContent</t>
        </is>
      </c>
      <c r="D15" s="32" t="inlineStr">
        <is>
          <t>Small, medium, and large change only shared popup row geometry and typography.</t>
        </is>
      </c>
      <c r="E15" s="32" t="inlineStr">
        <is>
          <t>package</t>
        </is>
      </c>
      <c r="F15" s="32" t="inlineStr">
        <is>
          <t>visual</t>
        </is>
      </c>
      <c r="G15" s="32" t="inlineStr">
        <is>
          <t>tests/components/dropdown-menu/visual.spec.ts</t>
        </is>
      </c>
      <c r="H15" s="32" t="inlineStr">
        <is>
          <t>verified</t>
        </is>
      </c>
      <c r="I15" s="32" t="inlineStr">
        <is>
          <t>yes</t>
        </is>
      </c>
      <c r="J15" s="42" t="n">
        <v>46230</v>
      </c>
      <c r="K15" s="32" t="inlineStr">
        <is>
          <t>Agent-inspected generated size baselines.</t>
        </is>
      </c>
      <c r="L15" s="32" t="n">
        <v>1</v>
      </c>
      <c r="M15" s="32">
        <f>IF(OR(AND(I15="yes",H15="verified"),AND(I15="no",OR(H15="tested",H15="verified")),AND(H15="not applicable",K15&lt;&gt;"")),1,0)</f>
        <v/>
      </c>
    </row>
    <row r="16" ht="42" customHeight="1" s="34">
      <c r="A16" s="32" t="inlineStr">
        <is>
          <t>DM-08</t>
        </is>
      </c>
      <c r="B16" s="32" t="inlineStr">
        <is>
          <t>Anatomy</t>
        </is>
      </c>
      <c r="C16" s="32" t="inlineStr">
        <is>
          <t>Item anatomy</t>
        </is>
      </c>
      <c r="D16" s="32" t="inlineStr">
        <is>
          <t>Leading content, label, description, shortcut, groups, labels, separators, and Arrow align without changing command semantics.</t>
        </is>
      </c>
      <c r="E16" s="32" t="inlineStr">
        <is>
          <t>package</t>
        </is>
      </c>
      <c r="F16" s="32" t="inlineStr">
        <is>
          <t>visual</t>
        </is>
      </c>
      <c r="G16" s="32" t="inlineStr">
        <is>
          <t>tests/components/dropdown-menu/visual.spec.ts</t>
        </is>
      </c>
      <c r="H16" s="32" t="inlineStr">
        <is>
          <t>verified</t>
        </is>
      </c>
      <c r="I16" s="32" t="inlineStr">
        <is>
          <t>yes</t>
        </is>
      </c>
      <c r="J16" s="42" t="n">
        <v>46230</v>
      </c>
      <c r="K16" s="32" t="inlineStr">
        <is>
          <t>Agent-inspected open and anatomy baselines.</t>
        </is>
      </c>
      <c r="L16" s="32" t="n">
        <v>1</v>
      </c>
      <c r="M16" s="32">
        <f>IF(OR(AND(I16="yes",H16="verified"),AND(I16="no",OR(H16="tested",H16="verified")),AND(H16="not applicable",K16&lt;&gt;"")),1,0)</f>
        <v/>
      </c>
    </row>
    <row r="17" ht="42" customHeight="1" s="34">
      <c r="A17" s="32" t="inlineStr">
        <is>
          <t>DM-09</t>
        </is>
      </c>
      <c r="B17" s="32" t="inlineStr">
        <is>
          <t>Selection</t>
        </is>
      </c>
      <c r="C17" s="32" t="inlineStr">
        <is>
          <t>CheckboxItem/RadioItem</t>
        </is>
      </c>
      <c r="D17" s="32" t="inlineStr">
        <is>
          <t>Checked, mixed, and radio choices expose persistent Atom selection and visible indicators.</t>
        </is>
      </c>
      <c r="E17" s="32" t="inlineStr">
        <is>
          <t>package</t>
        </is>
      </c>
      <c r="F17" s="32" t="inlineStr">
        <is>
          <t>browser</t>
        </is>
      </c>
      <c r="G17" s="32" t="inlineStr">
        <is>
          <t>tests/components/dropdown-menu/behavior.spec.ts</t>
        </is>
      </c>
      <c r="H17" s="32" t="inlineStr">
        <is>
          <t>tested</t>
        </is>
      </c>
      <c r="I17" s="32" t="inlineStr">
        <is>
          <t>no</t>
        </is>
      </c>
      <c r="J17" s="42" t="n">
        <v>46230</v>
      </c>
      <c r="L17" s="32" t="n">
        <v>1</v>
      </c>
      <c r="M17" s="32">
        <f>IF(OR(AND(I17="yes",H17="verified"),AND(I17="no",OR(H17="tested",H17="verified")),AND(H17="not applicable",K17&lt;&gt;"")),1,0)</f>
        <v/>
      </c>
    </row>
    <row r="18" ht="42" customHeight="1" s="34">
      <c r="A18" s="32" t="inlineStr">
        <is>
          <t>DM-10</t>
        </is>
      </c>
      <c r="B18" s="32" t="inlineStr">
        <is>
          <t>States</t>
        </is>
      </c>
      <c r="C18" s="32" t="inlineStr">
        <is>
          <t>Item/SubTrigger</t>
        </is>
      </c>
      <c r="D18" s="32" t="inlineStr">
        <is>
          <t>Neutral, highlighted, disabled, and danger commands remain distinct with identical default geometry.</t>
        </is>
      </c>
      <c r="E18" s="32" t="inlineStr">
        <is>
          <t>package</t>
        </is>
      </c>
      <c r="F18" s="32" t="inlineStr">
        <is>
          <t>browser</t>
        </is>
      </c>
      <c r="G18" s="32" t="inlineStr">
        <is>
          <t>tests/components/dropdown-menu/behavior.spec.ts; tests/components/dropdown-menu/visual.spec.ts</t>
        </is>
      </c>
      <c r="H18" s="32" t="inlineStr">
        <is>
          <t>tested</t>
        </is>
      </c>
      <c r="I18" s="32" t="inlineStr">
        <is>
          <t>no</t>
        </is>
      </c>
      <c r="J18" s="42" t="n">
        <v>46230</v>
      </c>
      <c r="L18" s="32" t="n">
        <v>1</v>
      </c>
      <c r="M18" s="32">
        <f>IF(OR(AND(I18="yes",H18="verified"),AND(I18="no",OR(H18="tested",H18="verified")),AND(H18="not applicable",K18&lt;&gt;"")),1,0)</f>
        <v/>
      </c>
    </row>
    <row r="19" ht="42" customHeight="1" s="34">
      <c r="A19" s="32" t="inlineStr">
        <is>
          <t>DM-11</t>
        </is>
      </c>
      <c r="B19" s="32" t="inlineStr">
        <is>
          <t>Submenus</t>
        </is>
      </c>
      <c r="C19" s="32" t="inlineStr">
        <is>
          <t>Sub/SubTrigger/SubContent</t>
        </is>
      </c>
      <c r="D19" s="32" t="inlineStr">
        <is>
          <t>Keyboard and pointer submenu opening preserves nested focus, direction, collision, and dismissal.</t>
        </is>
      </c>
      <c r="E19" s="32" t="inlineStr">
        <is>
          <t>package</t>
        </is>
      </c>
      <c r="F19" s="32" t="inlineStr">
        <is>
          <t>browser</t>
        </is>
      </c>
      <c r="G19" s="32" t="inlineStr">
        <is>
          <t>tests/components/dropdown-menu/behavior.spec.ts</t>
        </is>
      </c>
      <c r="H19" s="32" t="inlineStr">
        <is>
          <t>tested</t>
        </is>
      </c>
      <c r="I19" s="32" t="inlineStr">
        <is>
          <t>no</t>
        </is>
      </c>
      <c r="J19" s="42" t="n">
        <v>46230</v>
      </c>
      <c r="L19" s="32" t="n">
        <v>1</v>
      </c>
      <c r="M19" s="32">
        <f>IF(OR(AND(I19="yes",H19="verified"),AND(I19="no",OR(H19="tested",H19="verified")),AND(H19="not applicable",K19&lt;&gt;"")),1,0)</f>
        <v/>
      </c>
    </row>
    <row r="20" ht="42" customHeight="1" s="34">
      <c r="A20" s="32" t="inlineStr">
        <is>
          <t>DM-12</t>
        </is>
      </c>
      <c r="B20" s="32" t="inlineStr">
        <is>
          <t>Keyboard</t>
        </is>
      </c>
      <c r="C20" s="32" t="inlineStr">
        <is>
          <t>Trigger/Content</t>
        </is>
      </c>
      <c r="D20" s="32" t="inlineStr">
        <is>
          <t>Enter opens, menu focus enters, Escape closes, and focus returns to the trigger.</t>
        </is>
      </c>
      <c r="E20" s="32" t="inlineStr">
        <is>
          <t>package</t>
        </is>
      </c>
      <c r="F20" s="32" t="inlineStr">
        <is>
          <t>browser</t>
        </is>
      </c>
      <c r="G20" s="32" t="inlineStr">
        <is>
          <t>tests/components/dropdown-menu/behavior.spec.ts</t>
        </is>
      </c>
      <c r="H20" s="32" t="inlineStr">
        <is>
          <t>tested</t>
        </is>
      </c>
      <c r="I20" s="32" t="inlineStr">
        <is>
          <t>no</t>
        </is>
      </c>
      <c r="J20" s="42" t="n">
        <v>46230</v>
      </c>
      <c r="L20" s="32" t="n">
        <v>1</v>
      </c>
      <c r="M20" s="32">
        <f>IF(OR(AND(I20="yes",H20="verified"),AND(I20="no",OR(H20="tested",H20="verified")),AND(H20="not applicable",K20&lt;&gt;"")),1,0)</f>
        <v/>
      </c>
    </row>
    <row r="21" ht="42" customHeight="1" s="34">
      <c r="A21" s="32" t="inlineStr">
        <is>
          <t>DM-13</t>
        </is>
      </c>
      <c r="B21" s="32" t="inlineStr">
        <is>
          <t>Composition</t>
        </is>
      </c>
      <c r="C21" s="32" t="inlineStr">
        <is>
          <t>Trigger/static parts</t>
        </is>
      </c>
      <c r="D21" s="32" t="inlineStr">
        <is>
          <t>asChild and render preserve the authored host, attributes, handlers, slots, and refs without duplicate controls.</t>
        </is>
      </c>
      <c r="E21" s="32" t="inlineStr">
        <is>
          <t>package</t>
        </is>
      </c>
      <c r="F21" s="32" t="inlineStr">
        <is>
          <t>browser</t>
        </is>
      </c>
      <c r="G21" s="32" t="inlineStr">
        <is>
          <t>../test/components/dropdown-menu/dropdown-menu.test.tsx; tests/components/dropdown-menu/behavior.spec.ts</t>
        </is>
      </c>
      <c r="H21" s="32" t="inlineStr">
        <is>
          <t>tested</t>
        </is>
      </c>
      <c r="I21" s="32" t="inlineStr">
        <is>
          <t>no</t>
        </is>
      </c>
      <c r="J21" s="42" t="n">
        <v>46230</v>
      </c>
      <c r="K21" s="32" t="inlineStr">
        <is>
          <t>Agent-inspected line and vertical baselines.</t>
        </is>
      </c>
      <c r="L21" s="32" t="n">
        <v>1</v>
      </c>
      <c r="M21" s="32">
        <f>IF(OR(AND(I21="yes",H21="verified"),AND(I21="no",OR(H21="tested",H21="verified")),AND(H21="not applicable",K21&lt;&gt;"")),1,0)</f>
        <v/>
      </c>
    </row>
    <row r="22" ht="42" customHeight="1" s="34">
      <c r="A22" s="32" t="inlineStr">
        <is>
          <t>DM-14</t>
        </is>
      </c>
      <c r="B22" s="32" t="inlineStr">
        <is>
          <t>Responsive</t>
        </is>
      </c>
      <c r="C22" s="32" t="inlineStr">
        <is>
          <t>Content/SubContent</t>
        </is>
      </c>
      <c r="D22" s="32" t="inlineStr">
        <is>
          <t>Constrained popups remain inside the viewport with reachable long and repeated commands.</t>
        </is>
      </c>
      <c r="E22" s="32" t="inlineStr">
        <is>
          <t>package</t>
        </is>
      </c>
      <c r="F22" s="32" t="inlineStr">
        <is>
          <t>browser</t>
        </is>
      </c>
      <c r="G22" s="32" t="inlineStr">
        <is>
          <t>tests/components/dropdown-menu/behavior.spec.ts; tests/components/dropdown-menu/visual.spec.ts</t>
        </is>
      </c>
      <c r="H22" s="32" t="inlineStr">
        <is>
          <t>tested</t>
        </is>
      </c>
      <c r="I22" s="32" t="inlineStr">
        <is>
          <t>no</t>
        </is>
      </c>
      <c r="J22" s="42" t="n">
        <v>46230</v>
      </c>
      <c r="L22" s="32" t="n">
        <v>1</v>
      </c>
      <c r="M22" s="32">
        <f>IF(OR(AND(I22="yes",H22="verified"),AND(I22="no",OR(H22="tested",H22="verified")),AND(H22="not applicable",K22&lt;&gt;"")),1,0)</f>
        <v/>
      </c>
    </row>
    <row r="23" ht="42" customHeight="1" s="34">
      <c r="A23" s="32" t="inlineStr">
        <is>
          <t>DM-15</t>
        </is>
      </c>
      <c r="B23" s="32" t="inlineStr">
        <is>
          <t>Direction</t>
        </is>
      </c>
      <c r="C23" s="32" t="inlineStr">
        <is>
          <t>Content/SubContent</t>
        </is>
      </c>
      <c r="D23" s="32" t="inlineStr">
        <is>
          <t>RTL content and submenu direction mirror while authored text stays genuine.</t>
        </is>
      </c>
      <c r="E23" s="32" t="inlineStr">
        <is>
          <t>package</t>
        </is>
      </c>
      <c r="F23" s="32" t="inlineStr">
        <is>
          <t>browser</t>
        </is>
      </c>
      <c r="G23" s="32" t="inlineStr">
        <is>
          <t>tests/components/dropdown-menu/behavior.spec.ts</t>
        </is>
      </c>
      <c r="H23" s="32" t="inlineStr">
        <is>
          <t>tested</t>
        </is>
      </c>
      <c r="I23" s="32" t="inlineStr">
        <is>
          <t>no</t>
        </is>
      </c>
      <c r="J23" s="42" t="n">
        <v>46230</v>
      </c>
      <c r="L23" s="32" t="n">
        <v>1</v>
      </c>
      <c r="M23" s="32">
        <f>IF(OR(AND(I23="yes",H23="verified"),AND(I23="no",OR(H23="tested",H23="verified")),AND(H23="not applicable",K23&lt;&gt;"")),1,0)</f>
        <v/>
      </c>
    </row>
    <row r="24" ht="42" customHeight="1" s="34">
      <c r="A24" s="32" t="inlineStr">
        <is>
          <t>DM-16</t>
        </is>
      </c>
      <c r="B24" s="32" t="inlineStr">
        <is>
          <t>Accessibility</t>
        </is>
      </c>
      <c r="C24" s="32" t="inlineStr">
        <is>
          <t>All parts</t>
        </is>
      </c>
      <c r="D24" s="32" t="inlineStr">
        <is>
          <t>Named triggers and menus, roles, choice states, disabled state, focus return, forced colors, and axe pass.</t>
        </is>
      </c>
      <c r="E24" s="32" t="inlineStr">
        <is>
          <t>package</t>
        </is>
      </c>
      <c r="F24" s="32" t="inlineStr">
        <is>
          <t>axe</t>
        </is>
      </c>
      <c r="G24" s="32" t="inlineStr">
        <is>
          <t>tests/components/dropdown-menu/behavior.spec.ts</t>
        </is>
      </c>
      <c r="H24" s="32" t="inlineStr">
        <is>
          <t>tested</t>
        </is>
      </c>
      <c r="I24" s="32" t="inlineStr">
        <is>
          <t>no</t>
        </is>
      </c>
      <c r="J24" s="42" t="n">
        <v>46230</v>
      </c>
      <c r="L24" s="32" t="n">
        <v>1</v>
      </c>
      <c r="M24" s="32">
        <f>IF(OR(AND(I24="yes",H24="verified"),AND(I24="no",OR(H24="tested",H24="verified")),AND(H24="not applicable",K24&lt;&gt;"")),1,0)</f>
        <v/>
      </c>
    </row>
    <row r="25" ht="42" customHeight="1" s="34">
      <c r="A25" s="32" t="inlineStr">
        <is>
          <t>DM-17</t>
        </is>
      </c>
      <c r="B25" s="32" t="inlineStr">
        <is>
          <t>Visual</t>
        </is>
      </c>
      <c r="C25" s="32" t="inlineStr">
        <is>
          <t>DropdownMenu</t>
        </is>
      </c>
      <c r="D25" s="32" t="inlineStr">
        <is>
          <t>Reviewed baselines cover closed and open defaults, anatomy, choices, states, dark appearance, mobile RTL, and forced colors.</t>
        </is>
      </c>
      <c r="E25" s="32" t="inlineStr">
        <is>
          <t>package</t>
        </is>
      </c>
      <c r="F25" s="32" t="inlineStr">
        <is>
          <t>visual</t>
        </is>
      </c>
      <c r="G25" s="32" t="inlineStr">
        <is>
          <t>tests/components/dropdown-menu/visual.spec.ts</t>
        </is>
      </c>
      <c r="H25" s="32" t="inlineStr">
        <is>
          <t>verified</t>
        </is>
      </c>
      <c r="I25" s="32" t="inlineStr">
        <is>
          <t>yes</t>
        </is>
      </c>
      <c r="J25" s="42" t="n">
        <v>46230</v>
      </c>
      <c r="K25" s="32" t="inlineStr">
        <is>
          <t>Agent-inspected every generated Dropdown Menu baseline.</t>
        </is>
      </c>
      <c r="L25" s="32" t="n">
        <v>1</v>
      </c>
      <c r="M25" s="32">
        <f>IF(OR(AND(I25="yes",H25="verified"),AND(I25="no",OR(H25="tested",H25="verified")),AND(H25="not applicable",K25&lt;&gt;"")),1,0)</f>
        <v/>
      </c>
    </row>
    <row r="26" ht="42" customHeight="1" s="34">
      <c r="A26" s="32" t="inlineStr">
        <is>
          <t>DM-18</t>
        </is>
      </c>
      <c r="B26" s="32" t="inlineStr">
        <is>
          <t>Keyboard</t>
        </is>
      </c>
      <c r="C26" s="32" t="inlineStr">
        <is>
          <t>Interactive parts</t>
        </is>
      </c>
      <c r="D26" s="32" t="inlineStr">
        <is>
          <t>Keyboard opening, roving or adjacent navigation, activation, dismissal, and focus return remain Atom-owned.</t>
        </is>
      </c>
      <c r="E26" s="32" t="inlineStr">
        <is>
          <t>package</t>
        </is>
      </c>
      <c r="F26" s="32" t="inlineStr">
        <is>
          <t>browser</t>
        </is>
      </c>
      <c r="G26" s="32" t="inlineStr">
        <is>
          <t>tests/components/dropdown-menu/behavior.spec.ts</t>
        </is>
      </c>
      <c r="H26" s="32" t="inlineStr">
        <is>
          <t>tested</t>
        </is>
      </c>
      <c r="I26" s="32" t="inlineStr">
        <is>
          <t>no</t>
        </is>
      </c>
      <c r="J26" s="42" t="n">
        <v>46230</v>
      </c>
      <c r="K26" s="32" t="inlineStr">
        <is>
          <t>Agent-inspected every generated Tabs baseline.</t>
        </is>
      </c>
      <c r="L26" s="32" t="n">
        <v>1</v>
      </c>
      <c r="M26" s="32">
        <f>IF(OR(AND(I26="yes",H26="verified"),AND(I26="no",OR(H26="tested",H26="verified")),AND(H26="not applicable",K26&lt;&gt;"")),1,0)</f>
        <v/>
      </c>
    </row>
    <row r="27" ht="42" customHeight="1" s="34">
      <c r="A27" s="32" t="inlineStr">
        <is>
          <t>DM-19</t>
        </is>
      </c>
      <c r="B27" s="32" t="inlineStr">
        <is>
          <t>Manual</t>
        </is>
      </c>
      <c r="C27" s="32" t="inlineStr">
        <is>
          <t>Dropdown Menu</t>
        </is>
      </c>
      <c r="D27" s="32" t="inlineStr">
        <is>
          <t>A tester completes the concise top-to-bottom pointer, keyboard, AT, zoom, device, appearance, RTL, forced-color, and reduced-motion protocol.</t>
        </is>
      </c>
      <c r="E27" s="32" t="inlineStr">
        <is>
          <t>package</t>
        </is>
      </c>
      <c r="F27" s="32" t="inlineStr">
        <is>
          <t>manual</t>
        </is>
      </c>
      <c r="G27" s="32" t="inlineStr">
        <is>
          <t>manual-tests/dropdown-menu.md</t>
        </is>
      </c>
      <c r="H27" s="32" t="inlineStr">
        <is>
          <t>not started</t>
        </is>
      </c>
      <c r="I27" s="32" t="inlineStr">
        <is>
          <t>yes</t>
        </is>
      </c>
      <c r="J27" s="42" t="n">
        <v>46230</v>
      </c>
      <c r="K27" s="32" t="inlineStr">
        <is>
          <t>Human run intentionally unclaimed.</t>
        </is>
      </c>
      <c r="L27" s="32" t="n">
        <v>1</v>
      </c>
      <c r="M27" s="32">
        <f>IF(OR(AND(I27="yes",H27="verified"),AND(I27="no",OR(H27="tested",H27="verified")),AND(H27="not applicable",K27&lt;&gt;"")),1,0)</f>
        <v/>
      </c>
    </row>
    <row r="28" ht="42" customHeight="1" s="34">
      <c r="A28" s="32" t="inlineStr">
        <is>
          <t>DM-20</t>
        </is>
      </c>
      <c r="B28" s="32" t="inlineStr">
        <is>
          <t>Docs</t>
        </is>
      </c>
      <c r="C28" s="32" t="inlineStr">
        <is>
          <t>Dropdown Menu</t>
        </is>
      </c>
      <c r="D28" s="32" t="inlineStr">
        <is>
          <t>Source-backed usage, anatomy, API, recipes, accessibility, responsive behavior, composition, CSS, customization, and evidence are documented.</t>
        </is>
      </c>
      <c r="E28" s="32" t="inlineStr">
        <is>
          <t>package</t>
        </is>
      </c>
      <c r="F28" s="32" t="inlineStr">
        <is>
          <t>docs</t>
        </is>
      </c>
      <c r="G28" s="32" t="inlineStr">
        <is>
          <t>../docs/components/dropdown-menu/README.md</t>
        </is>
      </c>
      <c r="H28" s="32" t="inlineStr">
        <is>
          <t>tested</t>
        </is>
      </c>
      <c r="I28" s="32" t="inlineStr">
        <is>
          <t>no</t>
        </is>
      </c>
      <c r="J28" s="42" t="n">
        <v>46230</v>
      </c>
      <c r="L28" s="32" t="n">
        <v>1</v>
      </c>
      <c r="M28" s="32">
        <f>IF(OR(AND(I28="yes",H28="verified"),AND(I28="no",OR(H28="tested",H28="verified")),AND(H28="not applicable",K28&lt;&gt;"")),1,0)</f>
        <v/>
      </c>
    </row>
    <row r="29" ht="42" customHeight="1" s="34">
      <c r="A29" s="32" t="inlineStr">
        <is>
          <t>DM-21</t>
        </is>
      </c>
      <c r="B29" s="32" t="inlineStr">
        <is>
          <t>Playground</t>
        </is>
      </c>
      <c r="C29" s="32" t="inlineStr">
        <is>
          <t>Dropdown Menu</t>
        </is>
      </c>
      <c r="D29" s="32" t="inlineStr">
        <is>
          <t>One navigable route exposes nine controlled scenarios and actual rendered composition output.</t>
        </is>
      </c>
      <c r="E29" s="32" t="inlineStr">
        <is>
          <t>package</t>
        </is>
      </c>
      <c r="F29" s="32" t="inlineStr">
        <is>
          <t>playground</t>
        </is>
      </c>
      <c r="G29" s="32" t="inlineStr">
        <is>
          <t>src/components/dropdown-menu/DropdownMenuPage.tsx</t>
        </is>
      </c>
      <c r="H29" s="32" t="inlineStr">
        <is>
          <t>tested</t>
        </is>
      </c>
      <c r="I29" s="32" t="inlineStr">
        <is>
          <t>no</t>
        </is>
      </c>
      <c r="J29" s="42" t="n">
        <v>46230</v>
      </c>
      <c r="L29" s="32" t="n">
        <v>1</v>
      </c>
      <c r="M29" s="32">
        <f>IF(OR(AND(I29="yes",H29="verified"),AND(I29="no",OR(H29="tested",H29="verified")),AND(H29="not applicable",K29&lt;&gt;"")),1,0)</f>
        <v/>
      </c>
    </row>
    <row r="30" ht="42" customHeight="1" s="34">
      <c r="A30" s="32" t="inlineStr">
        <is>
          <t>DM-22</t>
        </is>
      </c>
      <c r="B30" s="32" t="inlineStr">
        <is>
          <t>Consumer</t>
        </is>
      </c>
      <c r="C30" s="32" t="inlineStr">
        <is>
          <t>Dropdown Menu</t>
        </is>
      </c>
      <c r="D30" s="32" t="inlineStr">
        <is>
          <t>Packed Consumer imports the public subpath and operates realistic component composition on desktop and mobile.</t>
        </is>
      </c>
      <c r="E30" s="32" t="inlineStr">
        <is>
          <t>consumer</t>
        </is>
      </c>
      <c r="F30" s="32" t="inlineStr">
        <is>
          <t>consumer</t>
        </is>
      </c>
      <c r="G30" s="32" t="inlineStr">
        <is>
          <t>../apps/consumer/src/App.tsx; ../apps/consumer/tests/consumer.spec.ts</t>
        </is>
      </c>
      <c r="H30" s="32" t="inlineStr">
        <is>
          <t>tested</t>
        </is>
      </c>
      <c r="I30" s="32" t="inlineStr">
        <is>
          <t>no</t>
        </is>
      </c>
      <c r="J30" s="42" t="n">
        <v>46230</v>
      </c>
      <c r="L30" s="32" t="n">
        <v>1</v>
      </c>
      <c r="M30" s="32">
        <f>IF(OR(AND(I30="yes",H30="verified"),AND(I30="no",OR(H30="tested",H30="verified")),AND(H30="not applicable",K30&lt;&gt;"")),1,0)</f>
        <v/>
      </c>
    </row>
    <row r="31" ht="42" customHeight="1" s="34">
      <c r="A31" s="32" t="inlineStr">
        <is>
          <t>DM-23</t>
        </is>
      </c>
      <c r="B31" s="32" t="inlineStr">
        <is>
          <t>Package</t>
        </is>
      </c>
      <c r="C31" s="32" t="inlineStr">
        <is>
          <t>Dropdown Menu</t>
        </is>
      </c>
      <c r="D31" s="32" t="inlineStr">
        <is>
          <t>Build, exports, SSR, tarball, CSS, React 18/19, Consumer, configured browsers, docs, and exact Atom dependency pass.</t>
        </is>
      </c>
      <c r="E31" s="32" t="inlineStr">
        <is>
          <t>package</t>
        </is>
      </c>
      <c r="F31" s="32" t="inlineStr">
        <is>
          <t>package</t>
        </is>
      </c>
      <c r="G31" s="32" t="inlineStr">
        <is>
          <t>../scripts/verify-package.mjs; ../scripts/verify-consumers.mjs</t>
        </is>
      </c>
      <c r="H31" s="32" t="inlineStr">
        <is>
          <t>tested</t>
        </is>
      </c>
      <c r="I31" s="32" t="inlineStr">
        <is>
          <t>no</t>
        </is>
      </c>
      <c r="J31" s="42" t="n">
        <v>46230</v>
      </c>
      <c r="L31" s="32" t="n">
        <v>1</v>
      </c>
      <c r="M31" s="32">
        <f>IF(OR(AND(I31="yes",H31="verified"),AND(I31="no",OR(H31="tested",H31="verified")),AND(H31="not applicable",K31&lt;&gt;"")),1,0)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Context Menu Evidence</t>
        </is>
      </c>
    </row>
    <row r="2" ht="27.75" customHeight="1" s="34">
      <c r="A2" s="36" t="inlineStr">
        <is>
          <t>Assertion-level Atom-backed package, keyboard,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CM-01</t>
        </is>
      </c>
      <c r="B9" s="32" t="inlineStr">
        <is>
          <t>Ownership</t>
        </is>
      </c>
      <c r="C9" s="32" t="inlineStr">
        <is>
          <t>All parts</t>
        </is>
      </c>
      <c r="D9" s="32" t="inlineStr">
        <is>
          <t>Brick styles released Atom 0.20.11 Context Menu behavior without recreating state, focus, keyboard, dismissal, portals, or positioning.</t>
        </is>
      </c>
      <c r="E9" s="32" t="inlineStr">
        <is>
          <t>package</t>
        </is>
      </c>
      <c r="F9" s="32" t="inlineStr">
        <is>
          <t>source</t>
        </is>
      </c>
      <c r="G9" s="32" t="inlineStr">
        <is>
          <t>../src/components/context-menu</t>
        </is>
      </c>
      <c r="H9" s="32" t="inlineStr">
        <is>
          <t>tested</t>
        </is>
      </c>
      <c r="I9" s="32" t="inlineStr">
        <is>
          <t>no</t>
        </is>
      </c>
      <c r="J9" s="42" t="n">
        <v>46230</v>
      </c>
      <c r="L9" s="32" t="n">
        <v>1</v>
      </c>
      <c r="M9" s="32">
        <f>IF(OR(AND(I9="yes",H9="verified"),AND(I9="no",OR(H9="tested",H9="verified")),AND(H9="not applicable",K9&lt;&gt;"")),1,0)</f>
        <v/>
      </c>
    </row>
    <row r="10" ht="42" customHeight="1" s="34">
      <c r="A10" s="32" t="inlineStr">
        <is>
          <t>CM-02</t>
        </is>
      </c>
      <c r="B10" s="32" t="inlineStr">
        <is>
          <t>Anatomy</t>
        </is>
      </c>
      <c r="C10" s="32" t="inlineStr">
        <is>
          <t>All parts</t>
        </is>
      </c>
      <c r="D10" s="32" t="inlineStr">
        <is>
          <t>The public namespace preserves every adopted host, semantic relationship, native prop, ref, and composition boundary.</t>
        </is>
      </c>
      <c r="E10" s="32" t="inlineStr">
        <is>
          <t>package</t>
        </is>
      </c>
      <c r="F10" s="32" t="inlineStr">
        <is>
          <t>component</t>
        </is>
      </c>
      <c r="G10" s="32" t="inlineStr">
        <is>
          <t>../test/components/context-menu/context-menu.test.tsx</t>
        </is>
      </c>
      <c r="H10" s="32" t="inlineStr">
        <is>
          <t>tested</t>
        </is>
      </c>
      <c r="I10" s="32" t="inlineStr">
        <is>
          <t>no</t>
        </is>
      </c>
      <c r="J10" s="42" t="n">
        <v>46230</v>
      </c>
      <c r="L10" s="32" t="n">
        <v>1</v>
      </c>
      <c r="M10" s="32">
        <f>IF(OR(AND(I10="yes",H10="verified"),AND(I10="no",OR(H10="tested",H10="verified")),AND(H10="not applicable",K10&lt;&gt;"")),1,0)</f>
        <v/>
      </c>
    </row>
    <row r="11" ht="42" customHeight="1" s="34">
      <c r="A11" s="32" t="inlineStr">
        <is>
          <t>CM-03</t>
        </is>
      </c>
      <c r="B11" s="32" t="inlineStr">
        <is>
          <t>Exports</t>
        </is>
      </c>
      <c r="C11" s="32" t="inlineStr">
        <is>
          <t>ContextMenu</t>
        </is>
      </c>
      <c r="D11" s="32" t="inlineStr">
        <is>
          <t>Root and component subpath expose the namespace, named parts, and public types with identical runtime identities.</t>
        </is>
      </c>
      <c r="E11" s="32" t="inlineStr">
        <is>
          <t>package</t>
        </is>
      </c>
      <c r="F11" s="32" t="inlineStr">
        <is>
          <t>package</t>
        </is>
      </c>
      <c r="G11" s="32" t="inlineStr">
        <is>
          <t>../test/package/package.test.mjs; ../scripts/verify-consumers.mjs</t>
        </is>
      </c>
      <c r="H11" s="32" t="inlineStr">
        <is>
          <t>tested</t>
        </is>
      </c>
      <c r="I11" s="32" t="inlineStr">
        <is>
          <t>no</t>
        </is>
      </c>
      <c r="J11" s="42" t="n">
        <v>46230</v>
      </c>
      <c r="L11" s="32" t="n">
        <v>1</v>
      </c>
      <c r="M11" s="32">
        <f>IF(OR(AND(I11="yes",H11="verified"),AND(I11="no",OR(H11="tested",H11="verified")),AND(H11="not applicable",K11&lt;&gt;"")),1,0)</f>
        <v/>
      </c>
    </row>
    <row r="12" ht="42" customHeight="1" s="34">
      <c r="A12" s="32" t="inlineStr">
        <is>
          <t>CM-04</t>
        </is>
      </c>
      <c r="B12" s="32" t="inlineStr">
        <is>
          <t>Types</t>
        </is>
      </c>
      <c r="C12" s="32" t="inlineStr">
        <is>
          <t>All parts</t>
        </is>
      </c>
      <c r="D12" s="32" t="inlineStr">
        <is>
          <t>Closed Brick recipes plus Atom behavior, composition, native props, and refs type-check.</t>
        </is>
      </c>
      <c r="E12" s="32" t="inlineStr">
        <is>
          <t>package</t>
        </is>
      </c>
      <c r="F12" s="32" t="inlineStr">
        <is>
          <t>types</t>
        </is>
      </c>
      <c r="G12" s="32" t="inlineStr">
        <is>
          <t>../test/types/components/context-menu.test.ts</t>
        </is>
      </c>
      <c r="H12" s="32" t="inlineStr">
        <is>
          <t>tested</t>
        </is>
      </c>
      <c r="I12" s="32" t="inlineStr">
        <is>
          <t>no</t>
        </is>
      </c>
      <c r="J12" s="42" t="n">
        <v>46230</v>
      </c>
      <c r="L12" s="32" t="n">
        <v>1</v>
      </c>
      <c r="M12" s="32">
        <f>IF(OR(AND(I12="yes",H12="verified"),AND(I12="no",OR(H12="tested",H12="verified")),AND(H12="not applicable",K12&lt;&gt;"")),1,0)</f>
        <v/>
      </c>
    </row>
    <row r="13" ht="42" customHeight="1" s="34">
      <c r="A13" s="32" t="inlineStr">
        <is>
          <t>CM-05</t>
        </is>
      </c>
      <c r="B13" s="32" t="inlineStr">
        <is>
          <t>CSS</t>
        </is>
      </c>
      <c r="C13" s="32" t="inlineStr">
        <is>
          <t>All parts</t>
        </is>
      </c>
      <c r="D13" s="32" t="inlineStr">
        <is>
          <t>Static CSS ships every adopted recipe, state, responsive boundary, preference mode, and public customization hook.</t>
        </is>
      </c>
      <c r="E13" s="32" t="inlineStr">
        <is>
          <t>package</t>
        </is>
      </c>
      <c r="F13" s="32" t="inlineStr">
        <is>
          <t>css</t>
        </is>
      </c>
      <c r="G13" s="32" t="inlineStr">
        <is>
          <t>../src/components/context-menu/context-menu.css</t>
        </is>
      </c>
      <c r="H13" s="32" t="inlineStr">
        <is>
          <t>tested</t>
        </is>
      </c>
      <c r="I13" s="32" t="inlineStr">
        <is>
          <t>no</t>
        </is>
      </c>
      <c r="J13" s="42" t="n">
        <v>46230</v>
      </c>
      <c r="L13" s="32" t="n">
        <v>1</v>
      </c>
      <c r="M13" s="32">
        <f>IF(OR(AND(I13="yes",H13="verified"),AND(I13="no",OR(H13="tested",H13="verified")),AND(H13="not applicable",K13&lt;&gt;"")),1,0)</f>
        <v/>
      </c>
    </row>
    <row r="14" ht="42" customHeight="1" s="34">
      <c r="A14" s="32" t="inlineStr">
        <is>
          <t>CM-06</t>
        </is>
      </c>
      <c r="B14" s="32" t="inlineStr">
        <is>
          <t>Invocation</t>
        </is>
      </c>
      <c r="C14" s="32" t="inlineStr">
        <is>
          <t>Trigger/Content</t>
        </is>
      </c>
      <c r="D14" s="32" t="inlineStr">
        <is>
          <t>Pointer context gesture and Shift+F10 open at the intended target while essential actions remain visibly available.</t>
        </is>
      </c>
      <c r="E14" s="32" t="inlineStr">
        <is>
          <t>package</t>
        </is>
      </c>
      <c r="F14" s="32" t="inlineStr">
        <is>
          <t>browser</t>
        </is>
      </c>
      <c r="G14" s="32" t="inlineStr">
        <is>
          <t>tests/components/context-menu/behavior.spec.ts</t>
        </is>
      </c>
      <c r="H14" s="32" t="inlineStr">
        <is>
          <t>tested</t>
        </is>
      </c>
      <c r="I14" s="32" t="inlineStr">
        <is>
          <t>no</t>
        </is>
      </c>
      <c r="J14" s="42" t="n">
        <v>46230</v>
      </c>
      <c r="L14" s="32" t="n">
        <v>1</v>
      </c>
      <c r="M14" s="32">
        <f>IF(OR(AND(I14="yes",H14="verified"),AND(I14="no",OR(H14="tested",H14="verified")),AND(H14="not applicable",K14&lt;&gt;"")),1,0)</f>
        <v/>
      </c>
    </row>
    <row r="15" ht="42" customHeight="1" s="34">
      <c r="A15" s="32" t="inlineStr">
        <is>
          <t>CM-07</t>
        </is>
      </c>
      <c r="B15" s="32" t="inlineStr">
        <is>
          <t>Sizes</t>
        </is>
      </c>
      <c r="C15" s="32" t="inlineStr">
        <is>
          <t>Content/SubContent</t>
        </is>
      </c>
      <c r="D15" s="32" t="inlineStr">
        <is>
          <t>Small, medium, and large change only popup row geometry and typography.</t>
        </is>
      </c>
      <c r="E15" s="32" t="inlineStr">
        <is>
          <t>package</t>
        </is>
      </c>
      <c r="F15" s="32" t="inlineStr">
        <is>
          <t>visual</t>
        </is>
      </c>
      <c r="G15" s="32" t="inlineStr">
        <is>
          <t>tests/components/context-menu/visual.spec.ts</t>
        </is>
      </c>
      <c r="H15" s="32" t="inlineStr">
        <is>
          <t>verified</t>
        </is>
      </c>
      <c r="I15" s="32" t="inlineStr">
        <is>
          <t>yes</t>
        </is>
      </c>
      <c r="J15" s="42" t="n">
        <v>46230</v>
      </c>
      <c r="K15" s="32" t="inlineStr">
        <is>
          <t>Agent-inspected generated component baselines.</t>
        </is>
      </c>
      <c r="L15" s="32" t="n">
        <v>1</v>
      </c>
      <c r="M15" s="32">
        <f>IF(OR(AND(I15="yes",H15="verified"),AND(I15="no",OR(H15="tested",H15="verified")),AND(H15="not applicable",K15&lt;&gt;"")),1,0)</f>
        <v/>
      </c>
    </row>
    <row r="16" ht="42" customHeight="1" s="34">
      <c r="A16" s="32" t="inlineStr">
        <is>
          <t>CM-08</t>
        </is>
      </c>
      <c r="B16" s="32" t="inlineStr">
        <is>
          <t>Anatomy</t>
        </is>
      </c>
      <c r="C16" s="32" t="inlineStr">
        <is>
          <t>All popup parts</t>
        </is>
      </c>
      <c r="D16" s="32" t="inlineStr">
        <is>
          <t>Groups, labels, rows, supporting content, separators, Arrow, choices, danger, disabled, and submenus remain aligned.</t>
        </is>
      </c>
      <c r="E16" s="32" t="inlineStr">
        <is>
          <t>package</t>
        </is>
      </c>
      <c r="F16" s="32" t="inlineStr">
        <is>
          <t>visual</t>
        </is>
      </c>
      <c r="G16" s="32" t="inlineStr">
        <is>
          <t>tests/components/context-menu/visual.spec.ts</t>
        </is>
      </c>
      <c r="H16" s="32" t="inlineStr">
        <is>
          <t>verified</t>
        </is>
      </c>
      <c r="I16" s="32" t="inlineStr">
        <is>
          <t>yes</t>
        </is>
      </c>
      <c r="J16" s="42" t="n">
        <v>46230</v>
      </c>
      <c r="K16" s="32" t="inlineStr">
        <is>
          <t>Agent-inspected generated component baselines.</t>
        </is>
      </c>
      <c r="L16" s="32" t="n">
        <v>1</v>
      </c>
      <c r="M16" s="32">
        <f>IF(OR(AND(I16="yes",H16="verified"),AND(I16="no",OR(H16="tested",H16="verified")),AND(H16="not applicable",K16&lt;&gt;"")),1,0)</f>
        <v/>
      </c>
    </row>
    <row r="17" ht="42" customHeight="1" s="34">
      <c r="A17" s="32" t="inlineStr">
        <is>
          <t>CM-09</t>
        </is>
      </c>
      <c r="B17" s="32" t="inlineStr">
        <is>
          <t>Selection</t>
        </is>
      </c>
      <c r="C17" s="32" t="inlineStr">
        <is>
          <t>CheckboxItem/RadioItem</t>
        </is>
      </c>
      <c r="D17" s="32" t="inlineStr">
        <is>
          <t>Checked, mixed, and radio choices preserve Atom selection and indicators.</t>
        </is>
      </c>
      <c r="E17" s="32" t="inlineStr">
        <is>
          <t>package</t>
        </is>
      </c>
      <c r="F17" s="32" t="inlineStr">
        <is>
          <t>browser</t>
        </is>
      </c>
      <c r="G17" s="32" t="inlineStr">
        <is>
          <t>tests/components/context-menu/behavior.spec.ts</t>
        </is>
      </c>
      <c r="H17" s="32" t="inlineStr">
        <is>
          <t>tested</t>
        </is>
      </c>
      <c r="I17" s="32" t="inlineStr">
        <is>
          <t>no</t>
        </is>
      </c>
      <c r="J17" s="42" t="n">
        <v>46230</v>
      </c>
      <c r="L17" s="32" t="n">
        <v>1</v>
      </c>
      <c r="M17" s="32">
        <f>IF(OR(AND(I17="yes",H17="verified"),AND(I17="no",OR(H17="tested",H17="verified")),AND(H17="not applicable",K17&lt;&gt;"")),1,0)</f>
        <v/>
      </c>
    </row>
    <row r="18" ht="42" customHeight="1" s="34">
      <c r="A18" s="32" t="inlineStr">
        <is>
          <t>CM-10</t>
        </is>
      </c>
      <c r="B18" s="32" t="inlineStr">
        <is>
          <t>States</t>
        </is>
      </c>
      <c r="C18" s="32" t="inlineStr">
        <is>
          <t>Item/SubTrigger</t>
        </is>
      </c>
      <c r="D18" s="32" t="inlineStr">
        <is>
          <t>Neutral, highlighted, disabled, and danger commands stay distinct.</t>
        </is>
      </c>
      <c r="E18" s="32" t="inlineStr">
        <is>
          <t>package</t>
        </is>
      </c>
      <c r="F18" s="32" t="inlineStr">
        <is>
          <t>browser</t>
        </is>
      </c>
      <c r="G18" s="32" t="inlineStr">
        <is>
          <t>tests/components/context-menu/behavior.spec.ts</t>
        </is>
      </c>
      <c r="H18" s="32" t="inlineStr">
        <is>
          <t>tested</t>
        </is>
      </c>
      <c r="I18" s="32" t="inlineStr">
        <is>
          <t>no</t>
        </is>
      </c>
      <c r="J18" s="42" t="n">
        <v>46230</v>
      </c>
      <c r="L18" s="32" t="n">
        <v>1</v>
      </c>
      <c r="M18" s="32">
        <f>IF(OR(AND(I18="yes",H18="verified"),AND(I18="no",OR(H18="tested",H18="verified")),AND(H18="not applicable",K18&lt;&gt;"")),1,0)</f>
        <v/>
      </c>
    </row>
    <row r="19" ht="42" customHeight="1" s="34">
      <c r="A19" s="32" t="inlineStr">
        <is>
          <t>CM-11</t>
        </is>
      </c>
      <c r="B19" s="32" t="inlineStr">
        <is>
          <t>Submenus</t>
        </is>
      </c>
      <c r="C19" s="32" t="inlineStr">
        <is>
          <t>Sub/SubTrigger/SubContent</t>
        </is>
      </c>
      <c r="D19" s="32" t="inlineStr">
        <is>
          <t>Nested context actions preserve keyboard direction, collision, focus, and dismissal.</t>
        </is>
      </c>
      <c r="E19" s="32" t="inlineStr">
        <is>
          <t>package</t>
        </is>
      </c>
      <c r="F19" s="32" t="inlineStr">
        <is>
          <t>browser</t>
        </is>
      </c>
      <c r="G19" s="32" t="inlineStr">
        <is>
          <t>tests/components/context-menu/behavior.spec.ts</t>
        </is>
      </c>
      <c r="H19" s="32" t="inlineStr">
        <is>
          <t>tested</t>
        </is>
      </c>
      <c r="I19" s="32" t="inlineStr">
        <is>
          <t>no</t>
        </is>
      </c>
      <c r="J19" s="42" t="n">
        <v>46230</v>
      </c>
      <c r="L19" s="32" t="n">
        <v>1</v>
      </c>
      <c r="M19" s="32">
        <f>IF(OR(AND(I19="yes",H19="verified"),AND(I19="no",OR(H19="tested",H19="verified")),AND(H19="not applicable",K19&lt;&gt;"")),1,0)</f>
        <v/>
      </c>
    </row>
    <row r="20" ht="42" customHeight="1" s="34">
      <c r="A20" s="32" t="inlineStr">
        <is>
          <t>CM-12</t>
        </is>
      </c>
      <c r="B20" s="32" t="inlineStr">
        <is>
          <t>Keyboard</t>
        </is>
      </c>
      <c r="C20" s="32" t="inlineStr">
        <is>
          <t>Interactive parts</t>
        </is>
      </c>
      <c r="D20" s="32" t="inlineStr">
        <is>
          <t>Keyboard opening, roving or adjacent navigation, activation, dismissal, and focus return remain Atom-owned.</t>
        </is>
      </c>
      <c r="E20" s="32" t="inlineStr">
        <is>
          <t>package</t>
        </is>
      </c>
      <c r="F20" s="32" t="inlineStr">
        <is>
          <t>browser</t>
        </is>
      </c>
      <c r="G20" s="32" t="inlineStr">
        <is>
          <t>tests/components/context-menu/behavior.spec.ts</t>
        </is>
      </c>
      <c r="H20" s="32" t="inlineStr">
        <is>
          <t>tested</t>
        </is>
      </c>
      <c r="I20" s="32" t="inlineStr">
        <is>
          <t>no</t>
        </is>
      </c>
      <c r="J20" s="42" t="n">
        <v>46230</v>
      </c>
      <c r="L20" s="32" t="n">
        <v>1</v>
      </c>
      <c r="M20" s="32">
        <f>IF(OR(AND(I20="yes",H20="verified"),AND(I20="no",OR(H20="tested",H20="verified")),AND(H20="not applicable",K20&lt;&gt;"")),1,0)</f>
        <v/>
      </c>
    </row>
    <row r="21" ht="42" customHeight="1" s="34">
      <c r="A21" s="32" t="inlineStr">
        <is>
          <t>CM-13</t>
        </is>
      </c>
      <c r="B21" s="32" t="inlineStr">
        <is>
          <t>Composition</t>
        </is>
      </c>
      <c r="C21" s="32" t="inlineStr">
        <is>
          <t>Composed parts</t>
        </is>
      </c>
      <c r="D21" s="32" t="inlineStr">
        <is>
          <t>render and asChild preserve native hosts, semantic roles, attributes, state, handlers, slots, and refs.</t>
        </is>
      </c>
      <c r="E21" s="32" t="inlineStr">
        <is>
          <t>package</t>
        </is>
      </c>
      <c r="F21" s="32" t="inlineStr">
        <is>
          <t>browser</t>
        </is>
      </c>
      <c r="G21" s="32" t="inlineStr">
        <is>
          <t>tests/components/context-menu/behavior.spec.ts</t>
        </is>
      </c>
      <c r="H21" s="32" t="inlineStr">
        <is>
          <t>tested</t>
        </is>
      </c>
      <c r="I21" s="32" t="inlineStr">
        <is>
          <t>no</t>
        </is>
      </c>
      <c r="J21" s="42" t="n">
        <v>46230</v>
      </c>
      <c r="K21" s="32" t="inlineStr">
        <is>
          <t>Agent-inspected line and vertical baselines.</t>
        </is>
      </c>
      <c r="L21" s="32" t="n">
        <v>1</v>
      </c>
      <c r="M21" s="32">
        <f>IF(OR(AND(I21="yes",H21="verified"),AND(I21="no",OR(H21="tested",H21="verified")),AND(H21="not applicable",K21&lt;&gt;"")),1,0)</f>
        <v/>
      </c>
    </row>
    <row r="22" ht="42" customHeight="1" s="34">
      <c r="A22" s="32" t="inlineStr">
        <is>
          <t>CM-14</t>
        </is>
      </c>
      <c r="B22" s="32" t="inlineStr">
        <is>
          <t>Responsive</t>
        </is>
      </c>
      <c r="C22" s="32" t="inlineStr">
        <is>
          <t>All parts</t>
        </is>
      </c>
      <c r="D22" s="32" t="inlineStr">
        <is>
          <t>Narrow viewports preserve reachable controls, constrained overlays, zoom, and the documented mobile boundary.</t>
        </is>
      </c>
      <c r="E22" s="32" t="inlineStr">
        <is>
          <t>package</t>
        </is>
      </c>
      <c r="F22" s="32" t="inlineStr">
        <is>
          <t>browser</t>
        </is>
      </c>
      <c r="G22" s="32" t="inlineStr">
        <is>
          <t>tests/components/context-menu/behavior.spec.ts</t>
        </is>
      </c>
      <c r="H22" s="32" t="inlineStr">
        <is>
          <t>tested</t>
        </is>
      </c>
      <c r="I22" s="32" t="inlineStr">
        <is>
          <t>no</t>
        </is>
      </c>
      <c r="J22" s="42" t="n">
        <v>46230</v>
      </c>
      <c r="L22" s="32" t="n">
        <v>1</v>
      </c>
      <c r="M22" s="32">
        <f>IF(OR(AND(I22="yes",H22="verified"),AND(I22="no",OR(H22="tested",H22="verified")),AND(H22="not applicable",K22&lt;&gt;"")),1,0)</f>
        <v/>
      </c>
    </row>
    <row r="23" ht="42" customHeight="1" s="34">
      <c r="A23" s="32" t="inlineStr">
        <is>
          <t>CM-15</t>
        </is>
      </c>
      <c r="B23" s="32" t="inlineStr">
        <is>
          <t>Direction</t>
        </is>
      </c>
      <c r="C23" s="32" t="inlineStr">
        <is>
          <t>All parts</t>
        </is>
      </c>
      <c r="D23" s="32" t="inlineStr">
        <is>
          <t>Explicit RTL mirrors logical alignment and horizontal keyboard direction while preserving genuine text.</t>
        </is>
      </c>
      <c r="E23" s="32" t="inlineStr">
        <is>
          <t>package</t>
        </is>
      </c>
      <c r="F23" s="32" t="inlineStr">
        <is>
          <t>browser</t>
        </is>
      </c>
      <c r="G23" s="32" t="inlineStr">
        <is>
          <t>tests/components/context-menu/behavior.spec.ts</t>
        </is>
      </c>
      <c r="H23" s="32" t="inlineStr">
        <is>
          <t>tested</t>
        </is>
      </c>
      <c r="I23" s="32" t="inlineStr">
        <is>
          <t>no</t>
        </is>
      </c>
      <c r="J23" s="42" t="n">
        <v>46230</v>
      </c>
      <c r="L23" s="32" t="n">
        <v>1</v>
      </c>
      <c r="M23" s="32">
        <f>IF(OR(AND(I23="yes",H23="verified"),AND(I23="no",OR(H23="tested",H23="verified")),AND(H23="not applicable",K23&lt;&gt;"")),1,0)</f>
        <v/>
      </c>
    </row>
    <row r="24" ht="42" customHeight="1" s="34">
      <c r="A24" s="32" t="inlineStr">
        <is>
          <t>CM-16</t>
        </is>
      </c>
      <c r="B24" s="32" t="inlineStr">
        <is>
          <t>Accessibility</t>
        </is>
      </c>
      <c r="C24" s="32" t="inlineStr">
        <is>
          <t>All parts</t>
        </is>
      </c>
      <c r="D24" s="32" t="inlineStr">
        <is>
          <t>Names, roles, states, keyboard order, focus, forced colors, and axe remain valid.</t>
        </is>
      </c>
      <c r="E24" s="32" t="inlineStr">
        <is>
          <t>package</t>
        </is>
      </c>
      <c r="F24" s="32" t="inlineStr">
        <is>
          <t>axe</t>
        </is>
      </c>
      <c r="G24" s="32" t="inlineStr">
        <is>
          <t>tests/components/context-menu/behavior.spec.ts</t>
        </is>
      </c>
      <c r="H24" s="32" t="inlineStr">
        <is>
          <t>tested</t>
        </is>
      </c>
      <c r="I24" s="32" t="inlineStr">
        <is>
          <t>no</t>
        </is>
      </c>
      <c r="J24" s="42" t="n">
        <v>46230</v>
      </c>
      <c r="L24" s="32" t="n">
        <v>1</v>
      </c>
      <c r="M24" s="32">
        <f>IF(OR(AND(I24="yes",H24="verified"),AND(I24="no",OR(H24="tested",H24="verified")),AND(H24="not applicable",K24&lt;&gt;"")),1,0)</f>
        <v/>
      </c>
    </row>
    <row r="25" ht="42" customHeight="1" s="34">
      <c r="A25" s="32" t="inlineStr">
        <is>
          <t>CM-17</t>
        </is>
      </c>
      <c r="B25" s="32" t="inlineStr">
        <is>
          <t>Visual</t>
        </is>
      </c>
      <c r="C25" s="32" t="inlineStr">
        <is>
          <t>All parts</t>
        </is>
      </c>
      <c r="D25" s="32" t="inlineStr">
        <is>
          <t>Reviewed baselines cover defaults, recipes, states, dark appearance, mobile RTL, and forced colors.</t>
        </is>
      </c>
      <c r="E25" s="32" t="inlineStr">
        <is>
          <t>package</t>
        </is>
      </c>
      <c r="F25" s="32" t="inlineStr">
        <is>
          <t>visual</t>
        </is>
      </c>
      <c r="G25" s="32" t="inlineStr">
        <is>
          <t>tests/components/context-menu/visual.spec.ts</t>
        </is>
      </c>
      <c r="H25" s="32" t="inlineStr">
        <is>
          <t>verified</t>
        </is>
      </c>
      <c r="I25" s="32" t="inlineStr">
        <is>
          <t>yes</t>
        </is>
      </c>
      <c r="J25" s="42" t="n">
        <v>46230</v>
      </c>
      <c r="K25" s="32" t="inlineStr">
        <is>
          <t>Agent-inspected every generated baseline.</t>
        </is>
      </c>
      <c r="L25" s="32" t="n">
        <v>1</v>
      </c>
      <c r="M25" s="32">
        <f>IF(OR(AND(I25="yes",H25="verified"),AND(I25="no",OR(H25="tested",H25="verified")),AND(H25="not applicable",K25&lt;&gt;"")),1,0)</f>
        <v/>
      </c>
    </row>
    <row r="26" ht="42" customHeight="1" s="34">
      <c r="A26" s="32" t="inlineStr">
        <is>
          <t>CM-18</t>
        </is>
      </c>
      <c r="B26" s="32" t="inlineStr">
        <is>
          <t>Behavior</t>
        </is>
      </c>
      <c r="C26" s="32" t="inlineStr">
        <is>
          <t>All parts</t>
        </is>
      </c>
      <c r="D26" s="32" t="inlineStr">
        <is>
          <t>Component-specific state and interaction remain covered by focused browser and unit evidence.</t>
        </is>
      </c>
      <c r="E26" s="32" t="inlineStr">
        <is>
          <t>package</t>
        </is>
      </c>
      <c r="F26" s="32" t="inlineStr">
        <is>
          <t>browser</t>
        </is>
      </c>
      <c r="G26" s="32" t="inlineStr">
        <is>
          <t>tests/components/context-menu/behavior.spec.ts</t>
        </is>
      </c>
      <c r="H26" s="32" t="inlineStr">
        <is>
          <t>tested</t>
        </is>
      </c>
      <c r="I26" s="32" t="inlineStr">
        <is>
          <t>no</t>
        </is>
      </c>
      <c r="J26" s="42" t="n">
        <v>46230</v>
      </c>
      <c r="K26" s="32" t="inlineStr">
        <is>
          <t>Agent-inspected every generated Tabs baseline.</t>
        </is>
      </c>
      <c r="L26" s="32" t="n">
        <v>1</v>
      </c>
      <c r="M26" s="32">
        <f>IF(OR(AND(I26="yes",H26="verified"),AND(I26="no",OR(H26="tested",H26="verified")),AND(H26="not applicable",K26&lt;&gt;"")),1,0)</f>
        <v/>
      </c>
    </row>
    <row r="27" ht="42" customHeight="1" s="34">
      <c r="A27" s="32" t="inlineStr">
        <is>
          <t>CM-19</t>
        </is>
      </c>
      <c r="B27" s="32" t="inlineStr">
        <is>
          <t>Manual</t>
        </is>
      </c>
      <c r="C27" s="32" t="inlineStr">
        <is>
          <t>Context Menu</t>
        </is>
      </c>
      <c r="D27" s="32" t="inlineStr">
        <is>
          <t>A tester completes the concise top-to-bottom pointer, keyboard, AT, zoom, device, appearance, RTL, forced-color, and reduced-motion protocol.</t>
        </is>
      </c>
      <c r="E27" s="32" t="inlineStr">
        <is>
          <t>package</t>
        </is>
      </c>
      <c r="F27" s="32" t="inlineStr">
        <is>
          <t>manual</t>
        </is>
      </c>
      <c r="G27" s="32" t="inlineStr">
        <is>
          <t>manual-tests/context-menu.md</t>
        </is>
      </c>
      <c r="H27" s="32" t="inlineStr">
        <is>
          <t>not started</t>
        </is>
      </c>
      <c r="I27" s="32" t="inlineStr">
        <is>
          <t>yes</t>
        </is>
      </c>
      <c r="J27" s="42" t="n">
        <v>46230</v>
      </c>
      <c r="K27" s="32" t="inlineStr">
        <is>
          <t>Human run intentionally unclaimed.</t>
        </is>
      </c>
      <c r="L27" s="32" t="n">
        <v>1</v>
      </c>
      <c r="M27" s="32">
        <f>IF(OR(AND(I27="yes",H27="verified"),AND(I27="no",OR(H27="tested",H27="verified")),AND(H27="not applicable",K27&lt;&gt;"")),1,0)</f>
        <v/>
      </c>
    </row>
    <row r="28" ht="42" customHeight="1" s="34">
      <c r="A28" s="32" t="inlineStr">
        <is>
          <t>CM-20</t>
        </is>
      </c>
      <c r="B28" s="32" t="inlineStr">
        <is>
          <t>Docs</t>
        </is>
      </c>
      <c r="C28" s="32" t="inlineStr">
        <is>
          <t>Context Menu</t>
        </is>
      </c>
      <c r="D28" s="32" t="inlineStr">
        <is>
          <t>Source-backed usage, anatomy, API, recipes, accessibility, responsive behavior, composition, CSS, customization, and evidence are documented.</t>
        </is>
      </c>
      <c r="E28" s="32" t="inlineStr">
        <is>
          <t>package</t>
        </is>
      </c>
      <c r="F28" s="32" t="inlineStr">
        <is>
          <t>docs</t>
        </is>
      </c>
      <c r="G28" s="32" t="inlineStr">
        <is>
          <t>../docs/components/context-menu/README.md</t>
        </is>
      </c>
      <c r="H28" s="32" t="inlineStr">
        <is>
          <t>tested</t>
        </is>
      </c>
      <c r="I28" s="32" t="inlineStr">
        <is>
          <t>no</t>
        </is>
      </c>
      <c r="J28" s="42" t="n">
        <v>46230</v>
      </c>
      <c r="L28" s="32" t="n">
        <v>1</v>
      </c>
      <c r="M28" s="32">
        <f>IF(OR(AND(I28="yes",H28="verified"),AND(I28="no",OR(H28="tested",H28="verified")),AND(H28="not applicable",K28&lt;&gt;"")),1,0)</f>
        <v/>
      </c>
    </row>
    <row r="29" ht="42" customHeight="1" s="34">
      <c r="A29" s="32" t="inlineStr">
        <is>
          <t>CM-21</t>
        </is>
      </c>
      <c r="B29" s="32" t="inlineStr">
        <is>
          <t>Playground</t>
        </is>
      </c>
      <c r="C29" s="32" t="inlineStr">
        <is>
          <t>Context Menu</t>
        </is>
      </c>
      <c r="D29" s="32" t="inlineStr">
        <is>
          <t>One navigable route exposes nine controlled scenarios and actual rendered composition output.</t>
        </is>
      </c>
      <c r="E29" s="32" t="inlineStr">
        <is>
          <t>package</t>
        </is>
      </c>
      <c r="F29" s="32" t="inlineStr">
        <is>
          <t>playground</t>
        </is>
      </c>
      <c r="G29" s="32" t="inlineStr">
        <is>
          <t>src/components/context-menu/ContextMenuPage.tsx</t>
        </is>
      </c>
      <c r="H29" s="32" t="inlineStr">
        <is>
          <t>tested</t>
        </is>
      </c>
      <c r="I29" s="32" t="inlineStr">
        <is>
          <t>no</t>
        </is>
      </c>
      <c r="J29" s="42" t="n">
        <v>46230</v>
      </c>
      <c r="L29" s="32" t="n">
        <v>1</v>
      </c>
      <c r="M29" s="32">
        <f>IF(OR(AND(I29="yes",H29="verified"),AND(I29="no",OR(H29="tested",H29="verified")),AND(H29="not applicable",K29&lt;&gt;"")),1,0)</f>
        <v/>
      </c>
    </row>
    <row r="30" ht="42" customHeight="1" s="34">
      <c r="A30" s="32" t="inlineStr">
        <is>
          <t>CM-22</t>
        </is>
      </c>
      <c r="B30" s="32" t="inlineStr">
        <is>
          <t>Consumer</t>
        </is>
      </c>
      <c r="C30" s="32" t="inlineStr">
        <is>
          <t>Context Menu</t>
        </is>
      </c>
      <c r="D30" s="32" t="inlineStr">
        <is>
          <t>Packed Consumer imports the public subpath and operates realistic component composition on desktop and mobile.</t>
        </is>
      </c>
      <c r="E30" s="32" t="inlineStr">
        <is>
          <t>consumer</t>
        </is>
      </c>
      <c r="F30" s="32" t="inlineStr">
        <is>
          <t>consumer</t>
        </is>
      </c>
      <c r="G30" s="32" t="inlineStr">
        <is>
          <t>../apps/consumer/src/App.tsx; ../apps/consumer/tests/consumer.spec.ts</t>
        </is>
      </c>
      <c r="H30" s="32" t="inlineStr">
        <is>
          <t>tested</t>
        </is>
      </c>
      <c r="I30" s="32" t="inlineStr">
        <is>
          <t>no</t>
        </is>
      </c>
      <c r="J30" s="42" t="n">
        <v>46230</v>
      </c>
      <c r="L30" s="32" t="n">
        <v>1</v>
      </c>
      <c r="M30" s="32">
        <f>IF(OR(AND(I30="yes",H30="verified"),AND(I30="no",OR(H30="tested",H30="verified")),AND(H30="not applicable",K30&lt;&gt;"")),1,0)</f>
        <v/>
      </c>
    </row>
    <row r="31" ht="42" customHeight="1" s="34">
      <c r="A31" s="32" t="inlineStr">
        <is>
          <t>CM-23</t>
        </is>
      </c>
      <c r="B31" s="32" t="inlineStr">
        <is>
          <t>Package</t>
        </is>
      </c>
      <c r="C31" s="32" t="inlineStr">
        <is>
          <t>Context Menu</t>
        </is>
      </c>
      <c r="D31" s="32" t="inlineStr">
        <is>
          <t>Build, exports, SSR, tarball, CSS, React 18/19, Consumer, configured browsers, docs, and exact Atom dependency pass.</t>
        </is>
      </c>
      <c r="E31" s="32" t="inlineStr">
        <is>
          <t>package</t>
        </is>
      </c>
      <c r="F31" s="32" t="inlineStr">
        <is>
          <t>package</t>
        </is>
      </c>
      <c r="G31" s="32" t="inlineStr">
        <is>
          <t>../scripts/verify-package.mjs; ../scripts/verify-consumers.mjs</t>
        </is>
      </c>
      <c r="H31" s="32" t="inlineStr">
        <is>
          <t>tested</t>
        </is>
      </c>
      <c r="I31" s="32" t="inlineStr">
        <is>
          <t>no</t>
        </is>
      </c>
      <c r="J31" s="42" t="n">
        <v>46230</v>
      </c>
      <c r="L31" s="32" t="n">
        <v>1</v>
      </c>
      <c r="M31" s="32">
        <f>IF(OR(AND(I31="yes",H31="verified"),AND(I31="no",OR(H31="tested",H31="verified")),AND(H31="not applicable",K31&lt;&gt;"")),1,0)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Menubar Evidence</t>
        </is>
      </c>
    </row>
    <row r="2" ht="27.75" customHeight="1" s="34">
      <c r="A2" s="36" t="inlineStr">
        <is>
          <t>Assertion-level Atom-backed package, keyboard,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MB-01</t>
        </is>
      </c>
      <c r="B9" s="32" t="inlineStr">
        <is>
          <t>Ownership</t>
        </is>
      </c>
      <c r="C9" s="32" t="inlineStr">
        <is>
          <t>All parts</t>
        </is>
      </c>
      <c r="D9" s="32" t="inlineStr">
        <is>
          <t>Brick styles released Atom 0.20.11 Menubar behavior without recreating state, focus, keyboard, dismissal, portals, or positioning.</t>
        </is>
      </c>
      <c r="E9" s="32" t="inlineStr">
        <is>
          <t>package</t>
        </is>
      </c>
      <c r="F9" s="32" t="inlineStr">
        <is>
          <t>source</t>
        </is>
      </c>
      <c r="G9" s="32" t="inlineStr">
        <is>
          <t>../src/components/menubar</t>
        </is>
      </c>
      <c r="H9" s="32" t="inlineStr">
        <is>
          <t>tested</t>
        </is>
      </c>
      <c r="I9" s="32" t="inlineStr">
        <is>
          <t>no</t>
        </is>
      </c>
      <c r="J9" s="42" t="n">
        <v>46230</v>
      </c>
      <c r="L9" s="32" t="n">
        <v>1</v>
      </c>
      <c r="M9" s="32">
        <f>IF(OR(AND(I9="yes",H9="verified"),AND(I9="no",OR(H9="tested",H9="verified")),AND(H9="not applicable",K9&lt;&gt;"")),1,0)</f>
        <v/>
      </c>
    </row>
    <row r="10" ht="42" customHeight="1" s="34">
      <c r="A10" s="32" t="inlineStr">
        <is>
          <t>MB-02</t>
        </is>
      </c>
      <c r="B10" s="32" t="inlineStr">
        <is>
          <t>Anatomy</t>
        </is>
      </c>
      <c r="C10" s="32" t="inlineStr">
        <is>
          <t>All parts</t>
        </is>
      </c>
      <c r="D10" s="32" t="inlineStr">
        <is>
          <t>The public namespace preserves every adopted host, semantic relationship, native prop, ref, and composition boundary.</t>
        </is>
      </c>
      <c r="E10" s="32" t="inlineStr">
        <is>
          <t>package</t>
        </is>
      </c>
      <c r="F10" s="32" t="inlineStr">
        <is>
          <t>component</t>
        </is>
      </c>
      <c r="G10" s="32" t="inlineStr">
        <is>
          <t>../test/components/menubar/menubar.test.tsx</t>
        </is>
      </c>
      <c r="H10" s="32" t="inlineStr">
        <is>
          <t>tested</t>
        </is>
      </c>
      <c r="I10" s="32" t="inlineStr">
        <is>
          <t>no</t>
        </is>
      </c>
      <c r="J10" s="42" t="n">
        <v>46230</v>
      </c>
      <c r="L10" s="32" t="n">
        <v>1</v>
      </c>
      <c r="M10" s="32">
        <f>IF(OR(AND(I10="yes",H10="verified"),AND(I10="no",OR(H10="tested",H10="verified")),AND(H10="not applicable",K10&lt;&gt;"")),1,0)</f>
        <v/>
      </c>
    </row>
    <row r="11" ht="42" customHeight="1" s="34">
      <c r="A11" s="32" t="inlineStr">
        <is>
          <t>MB-03</t>
        </is>
      </c>
      <c r="B11" s="32" t="inlineStr">
        <is>
          <t>Exports</t>
        </is>
      </c>
      <c r="C11" s="32" t="inlineStr">
        <is>
          <t>Menubar</t>
        </is>
      </c>
      <c r="D11" s="32" t="inlineStr">
        <is>
          <t>Root and component subpath expose the namespace, named parts, and public types with identical runtime identities.</t>
        </is>
      </c>
      <c r="E11" s="32" t="inlineStr">
        <is>
          <t>package</t>
        </is>
      </c>
      <c r="F11" s="32" t="inlineStr">
        <is>
          <t>package</t>
        </is>
      </c>
      <c r="G11" s="32" t="inlineStr">
        <is>
          <t>../test/package/package.test.mjs; ../scripts/verify-consumers.mjs</t>
        </is>
      </c>
      <c r="H11" s="32" t="inlineStr">
        <is>
          <t>tested</t>
        </is>
      </c>
      <c r="I11" s="32" t="inlineStr">
        <is>
          <t>no</t>
        </is>
      </c>
      <c r="J11" s="42" t="n">
        <v>46230</v>
      </c>
      <c r="L11" s="32" t="n">
        <v>1</v>
      </c>
      <c r="M11" s="32">
        <f>IF(OR(AND(I11="yes",H11="verified"),AND(I11="no",OR(H11="tested",H11="verified")),AND(H11="not applicable",K11&lt;&gt;"")),1,0)</f>
        <v/>
      </c>
    </row>
    <row r="12" ht="42" customHeight="1" s="34">
      <c r="A12" s="32" t="inlineStr">
        <is>
          <t>MB-04</t>
        </is>
      </c>
      <c r="B12" s="32" t="inlineStr">
        <is>
          <t>Types</t>
        </is>
      </c>
      <c r="C12" s="32" t="inlineStr">
        <is>
          <t>All parts</t>
        </is>
      </c>
      <c r="D12" s="32" t="inlineStr">
        <is>
          <t>Closed Brick recipes plus Atom behavior, composition, native props, and refs type-check.</t>
        </is>
      </c>
      <c r="E12" s="32" t="inlineStr">
        <is>
          <t>package</t>
        </is>
      </c>
      <c r="F12" s="32" t="inlineStr">
        <is>
          <t>types</t>
        </is>
      </c>
      <c r="G12" s="32" t="inlineStr">
        <is>
          <t>../test/types/components/menubar.test.ts</t>
        </is>
      </c>
      <c r="H12" s="32" t="inlineStr">
        <is>
          <t>tested</t>
        </is>
      </c>
      <c r="I12" s="32" t="inlineStr">
        <is>
          <t>no</t>
        </is>
      </c>
      <c r="J12" s="42" t="n">
        <v>46230</v>
      </c>
      <c r="L12" s="32" t="n">
        <v>1</v>
      </c>
      <c r="M12" s="32">
        <f>IF(OR(AND(I12="yes",H12="verified"),AND(I12="no",OR(H12="tested",H12="verified")),AND(H12="not applicable",K12&lt;&gt;"")),1,0)</f>
        <v/>
      </c>
    </row>
    <row r="13" ht="42" customHeight="1" s="34">
      <c r="A13" s="32" t="inlineStr">
        <is>
          <t>MB-05</t>
        </is>
      </c>
      <c r="B13" s="32" t="inlineStr">
        <is>
          <t>CSS</t>
        </is>
      </c>
      <c r="C13" s="32" t="inlineStr">
        <is>
          <t>All parts</t>
        </is>
      </c>
      <c r="D13" s="32" t="inlineStr">
        <is>
          <t>Static CSS ships every adopted recipe, state, responsive boundary, preference mode, and public customization hook.</t>
        </is>
      </c>
      <c r="E13" s="32" t="inlineStr">
        <is>
          <t>package</t>
        </is>
      </c>
      <c r="F13" s="32" t="inlineStr">
        <is>
          <t>css</t>
        </is>
      </c>
      <c r="G13" s="32" t="inlineStr">
        <is>
          <t>../src/components/menubar/menubar.css</t>
        </is>
      </c>
      <c r="H13" s="32" t="inlineStr">
        <is>
          <t>tested</t>
        </is>
      </c>
      <c r="I13" s="32" t="inlineStr">
        <is>
          <t>no</t>
        </is>
      </c>
      <c r="J13" s="42" t="n">
        <v>46230</v>
      </c>
      <c r="L13" s="32" t="n">
        <v>1</v>
      </c>
      <c r="M13" s="32">
        <f>IF(OR(AND(I13="yes",H13="verified"),AND(I13="no",OR(H13="tested",H13="verified")),AND(H13="not applicable",K13&lt;&gt;"")),1,0)</f>
        <v/>
      </c>
    </row>
    <row r="14" ht="42" customHeight="1" s="34">
      <c r="A14" s="32" t="inlineStr">
        <is>
          <t>MB-06</t>
        </is>
      </c>
      <c r="B14" s="32" t="inlineStr">
        <is>
          <t>Defaults</t>
        </is>
      </c>
      <c r="C14" s="32" t="inlineStr">
        <is>
          <t>Root/Menu/Trigger/Content</t>
        </is>
      </c>
      <c r="D14" s="32" t="inlineStr">
        <is>
          <t>A medium horizontal menubar presents adjacent command categories and one Atom-owned popup.</t>
        </is>
      </c>
      <c r="E14" s="32" t="inlineStr">
        <is>
          <t>package</t>
        </is>
      </c>
      <c r="F14" s="32" t="inlineStr">
        <is>
          <t>browser</t>
        </is>
      </c>
      <c r="G14" s="32" t="inlineStr">
        <is>
          <t>tests/components/menubar/behavior.spec.ts</t>
        </is>
      </c>
      <c r="H14" s="32" t="inlineStr">
        <is>
          <t>tested</t>
        </is>
      </c>
      <c r="I14" s="32" t="inlineStr">
        <is>
          <t>no</t>
        </is>
      </c>
      <c r="J14" s="42" t="n">
        <v>46230</v>
      </c>
      <c r="L14" s="32" t="n">
        <v>1</v>
      </c>
      <c r="M14" s="32">
        <f>IF(OR(AND(I14="yes",H14="verified"),AND(I14="no",OR(H14="tested",H14="verified")),AND(H14="not applicable",K14&lt;&gt;"")),1,0)</f>
        <v/>
      </c>
    </row>
    <row r="15" ht="42" customHeight="1" s="34">
      <c r="A15" s="32" t="inlineStr">
        <is>
          <t>MB-07</t>
        </is>
      </c>
      <c r="B15" s="32" t="inlineStr">
        <is>
          <t>Orientation</t>
        </is>
      </c>
      <c r="C15" s="32" t="inlineStr">
        <is>
          <t>Root/Trigger</t>
        </is>
      </c>
      <c r="D15" s="32" t="inlineStr">
        <is>
          <t>Horizontal and vertical orientations change layout and adjacent-trigger keyboard axis together.</t>
        </is>
      </c>
      <c r="E15" s="32" t="inlineStr">
        <is>
          <t>package</t>
        </is>
      </c>
      <c r="F15" s="32" t="inlineStr">
        <is>
          <t>browser</t>
        </is>
      </c>
      <c r="G15" s="32" t="inlineStr">
        <is>
          <t>tests/components/menubar/behavior.spec.ts</t>
        </is>
      </c>
      <c r="H15" s="32" t="inlineStr">
        <is>
          <t>tested</t>
        </is>
      </c>
      <c r="I15" s="32" t="inlineStr">
        <is>
          <t>no</t>
        </is>
      </c>
      <c r="J15" s="42" t="n">
        <v>46230</v>
      </c>
      <c r="K15" s="32" t="inlineStr">
        <is>
          <t>Agent-inspected generated variants baseline.</t>
        </is>
      </c>
      <c r="L15" s="32" t="n">
        <v>1</v>
      </c>
      <c r="M15" s="32">
        <f>IF(OR(AND(I15="yes",H15="verified"),AND(I15="no",OR(H15="tested",H15="verified")),AND(H15="not applicable",K15&lt;&gt;"")),1,0)</f>
        <v/>
      </c>
    </row>
    <row r="16" ht="42" customHeight="1" s="34">
      <c r="A16" s="32" t="inlineStr">
        <is>
          <t>MB-08</t>
        </is>
      </c>
      <c r="B16" s="32" t="inlineStr">
        <is>
          <t>Sizes</t>
        </is>
      </c>
      <c r="C16" s="32" t="inlineStr">
        <is>
          <t>Root/Content</t>
        </is>
      </c>
      <c r="D16" s="32" t="inlineStr">
        <is>
          <t>Small, medium, and large change only persistent and popup control geometry.</t>
        </is>
      </c>
      <c r="E16" s="32" t="inlineStr">
        <is>
          <t>package</t>
        </is>
      </c>
      <c r="F16" s="32" t="inlineStr">
        <is>
          <t>visual</t>
        </is>
      </c>
      <c r="G16" s="32" t="inlineStr">
        <is>
          <t>tests/components/menubar/visual.spec.ts</t>
        </is>
      </c>
      <c r="H16" s="32" t="inlineStr">
        <is>
          <t>verified</t>
        </is>
      </c>
      <c r="I16" s="32" t="inlineStr">
        <is>
          <t>yes</t>
        </is>
      </c>
      <c r="J16" s="42" t="n">
        <v>46230</v>
      </c>
      <c r="K16" s="32" t="inlineStr">
        <is>
          <t>Agent-inspected generated component baselines.</t>
        </is>
      </c>
      <c r="L16" s="32" t="n">
        <v>1</v>
      </c>
      <c r="M16" s="32">
        <f>IF(OR(AND(I16="yes",H16="verified"),AND(I16="no",OR(H16="tested",H16="verified")),AND(H16="not applicable",K16&lt;&gt;"")),1,0)</f>
        <v/>
      </c>
    </row>
    <row r="17" ht="42" customHeight="1" s="34">
      <c r="A17" s="32" t="inlineStr">
        <is>
          <t>MB-09</t>
        </is>
      </c>
      <c r="B17" s="32" t="inlineStr">
        <is>
          <t>States</t>
        </is>
      </c>
      <c r="C17" s="32" t="inlineStr">
        <is>
          <t>Trigger/Item</t>
        </is>
      </c>
      <c r="D17" s="32" t="inlineStr">
        <is>
          <t>Idle, focused, open, disabled, neutral, and danger states remain distinct.</t>
        </is>
      </c>
      <c r="E17" s="32" t="inlineStr">
        <is>
          <t>package</t>
        </is>
      </c>
      <c r="F17" s="32" t="inlineStr">
        <is>
          <t>browser</t>
        </is>
      </c>
      <c r="G17" s="32" t="inlineStr">
        <is>
          <t>tests/components/menubar/behavior.spec.ts</t>
        </is>
      </c>
      <c r="H17" s="32" t="inlineStr">
        <is>
          <t>tested</t>
        </is>
      </c>
      <c r="I17" s="32" t="inlineStr">
        <is>
          <t>no</t>
        </is>
      </c>
      <c r="J17" s="42" t="n">
        <v>46230</v>
      </c>
      <c r="L17" s="32" t="n">
        <v>1</v>
      </c>
      <c r="M17" s="32">
        <f>IF(OR(AND(I17="yes",H17="verified"),AND(I17="no",OR(H17="tested",H17="verified")),AND(H17="not applicable",K17&lt;&gt;"")),1,0)</f>
        <v/>
      </c>
    </row>
    <row r="18" ht="42" customHeight="1" s="34">
      <c r="A18" s="32" t="inlineStr">
        <is>
          <t>MB-10</t>
        </is>
      </c>
      <c r="B18" s="32" t="inlineStr">
        <is>
          <t>Selection</t>
        </is>
      </c>
      <c r="C18" s="32" t="inlineStr">
        <is>
          <t>CheckboxItem/RadioItem</t>
        </is>
      </c>
      <c r="D18" s="32" t="inlineStr">
        <is>
          <t>Persistent choices and indicators work inside command categories.</t>
        </is>
      </c>
      <c r="E18" s="32" t="inlineStr">
        <is>
          <t>package</t>
        </is>
      </c>
      <c r="F18" s="32" t="inlineStr">
        <is>
          <t>browser</t>
        </is>
      </c>
      <c r="G18" s="32" t="inlineStr">
        <is>
          <t>tests/components/menubar/behavior.spec.ts</t>
        </is>
      </c>
      <c r="H18" s="32" t="inlineStr">
        <is>
          <t>tested</t>
        </is>
      </c>
      <c r="I18" s="32" t="inlineStr">
        <is>
          <t>no</t>
        </is>
      </c>
      <c r="J18" s="42" t="n">
        <v>46230</v>
      </c>
      <c r="L18" s="32" t="n">
        <v>1</v>
      </c>
      <c r="M18" s="32">
        <f>IF(OR(AND(I18="yes",H18="verified"),AND(I18="no",OR(H18="tested",H18="verified")),AND(H18="not applicable",K18&lt;&gt;"")),1,0)</f>
        <v/>
      </c>
    </row>
    <row r="19" ht="42" customHeight="1" s="34">
      <c r="A19" s="32" t="inlineStr">
        <is>
          <t>MB-11</t>
        </is>
      </c>
      <c r="B19" s="32" t="inlineStr">
        <is>
          <t>Submenus</t>
        </is>
      </c>
      <c r="C19" s="32" t="inlineStr">
        <is>
          <t>Sub/SubTrigger/SubContent</t>
        </is>
      </c>
      <c r="D19" s="32" t="inlineStr">
        <is>
          <t>Nested command categories preserve focus, keyboard direction, and dismissal.</t>
        </is>
      </c>
      <c r="E19" s="32" t="inlineStr">
        <is>
          <t>package</t>
        </is>
      </c>
      <c r="F19" s="32" t="inlineStr">
        <is>
          <t>browser</t>
        </is>
      </c>
      <c r="G19" s="32" t="inlineStr">
        <is>
          <t>tests/components/menubar/behavior.spec.ts</t>
        </is>
      </c>
      <c r="H19" s="32" t="inlineStr">
        <is>
          <t>tested</t>
        </is>
      </c>
      <c r="I19" s="32" t="inlineStr">
        <is>
          <t>no</t>
        </is>
      </c>
      <c r="J19" s="42" t="n">
        <v>46230</v>
      </c>
      <c r="L19" s="32" t="n">
        <v>1</v>
      </c>
      <c r="M19" s="32">
        <f>IF(OR(AND(I19="yes",H19="verified"),AND(I19="no",OR(H19="tested",H19="verified")),AND(H19="not applicable",K19&lt;&gt;"")),1,0)</f>
        <v/>
      </c>
    </row>
    <row r="20" ht="42" customHeight="1" s="34">
      <c r="A20" s="32" t="inlineStr">
        <is>
          <t>MB-12</t>
        </is>
      </c>
      <c r="B20" s="32" t="inlineStr">
        <is>
          <t>Keyboard</t>
        </is>
      </c>
      <c r="C20" s="32" t="inlineStr">
        <is>
          <t>Interactive parts</t>
        </is>
      </c>
      <c r="D20" s="32" t="inlineStr">
        <is>
          <t>Keyboard opening, roving or adjacent navigation, activation, dismissal, and focus return remain Atom-owned.</t>
        </is>
      </c>
      <c r="E20" s="32" t="inlineStr">
        <is>
          <t>package</t>
        </is>
      </c>
      <c r="F20" s="32" t="inlineStr">
        <is>
          <t>browser</t>
        </is>
      </c>
      <c r="G20" s="32" t="inlineStr">
        <is>
          <t>tests/components/menubar/behavior.spec.ts</t>
        </is>
      </c>
      <c r="H20" s="32" t="inlineStr">
        <is>
          <t>tested</t>
        </is>
      </c>
      <c r="I20" s="32" t="inlineStr">
        <is>
          <t>no</t>
        </is>
      </c>
      <c r="J20" s="42" t="n">
        <v>46230</v>
      </c>
      <c r="L20" s="32" t="n">
        <v>1</v>
      </c>
      <c r="M20" s="32">
        <f>IF(OR(AND(I20="yes",H20="verified"),AND(I20="no",OR(H20="tested",H20="verified")),AND(H20="not applicable",K20&lt;&gt;"")),1,0)</f>
        <v/>
      </c>
    </row>
    <row r="21" ht="42" customHeight="1" s="34">
      <c r="A21" s="32" t="inlineStr">
        <is>
          <t>MB-13</t>
        </is>
      </c>
      <c r="B21" s="32" t="inlineStr">
        <is>
          <t>Composition</t>
        </is>
      </c>
      <c r="C21" s="32" t="inlineStr">
        <is>
          <t>Composed parts</t>
        </is>
      </c>
      <c r="D21" s="32" t="inlineStr">
        <is>
          <t>render and asChild preserve native hosts, semantic roles, attributes, state, handlers, slots, and refs.</t>
        </is>
      </c>
      <c r="E21" s="32" t="inlineStr">
        <is>
          <t>package</t>
        </is>
      </c>
      <c r="F21" s="32" t="inlineStr">
        <is>
          <t>browser</t>
        </is>
      </c>
      <c r="G21" s="32" t="inlineStr">
        <is>
          <t>tests/components/menubar/behavior.spec.ts</t>
        </is>
      </c>
      <c r="H21" s="32" t="inlineStr">
        <is>
          <t>tested</t>
        </is>
      </c>
      <c r="I21" s="32" t="inlineStr">
        <is>
          <t>no</t>
        </is>
      </c>
      <c r="J21" s="42" t="n">
        <v>46230</v>
      </c>
      <c r="K21" s="32" t="inlineStr">
        <is>
          <t>Agent-inspected line and vertical baselines.</t>
        </is>
      </c>
      <c r="L21" s="32" t="n">
        <v>1</v>
      </c>
      <c r="M21" s="32">
        <f>IF(OR(AND(I21="yes",H21="verified"),AND(I21="no",OR(H21="tested",H21="verified")),AND(H21="not applicable",K21&lt;&gt;"")),1,0)</f>
        <v/>
      </c>
    </row>
    <row r="22" ht="42" customHeight="1" s="34">
      <c r="A22" s="32" t="inlineStr">
        <is>
          <t>MB-14</t>
        </is>
      </c>
      <c r="B22" s="32" t="inlineStr">
        <is>
          <t>Responsive</t>
        </is>
      </c>
      <c r="C22" s="32" t="inlineStr">
        <is>
          <t>All parts</t>
        </is>
      </c>
      <c r="D22" s="32" t="inlineStr">
        <is>
          <t>Narrow viewports preserve reachable controls, constrained overlays, zoom, and the documented mobile boundary.</t>
        </is>
      </c>
      <c r="E22" s="32" t="inlineStr">
        <is>
          <t>package</t>
        </is>
      </c>
      <c r="F22" s="32" t="inlineStr">
        <is>
          <t>browser</t>
        </is>
      </c>
      <c r="G22" s="32" t="inlineStr">
        <is>
          <t>tests/components/menubar/behavior.spec.ts</t>
        </is>
      </c>
      <c r="H22" s="32" t="inlineStr">
        <is>
          <t>tested</t>
        </is>
      </c>
      <c r="I22" s="32" t="inlineStr">
        <is>
          <t>no</t>
        </is>
      </c>
      <c r="J22" s="42" t="n">
        <v>46230</v>
      </c>
      <c r="L22" s="32" t="n">
        <v>1</v>
      </c>
      <c r="M22" s="32">
        <f>IF(OR(AND(I22="yes",H22="verified"),AND(I22="no",OR(H22="tested",H22="verified")),AND(H22="not applicable",K22&lt;&gt;"")),1,0)</f>
        <v/>
      </c>
    </row>
    <row r="23" ht="42" customHeight="1" s="34">
      <c r="A23" s="32" t="inlineStr">
        <is>
          <t>MB-15</t>
        </is>
      </c>
      <c r="B23" s="32" t="inlineStr">
        <is>
          <t>Direction</t>
        </is>
      </c>
      <c r="C23" s="32" t="inlineStr">
        <is>
          <t>All parts</t>
        </is>
      </c>
      <c r="D23" s="32" t="inlineStr">
        <is>
          <t>Explicit RTL mirrors logical alignment and horizontal keyboard direction while preserving genuine text.</t>
        </is>
      </c>
      <c r="E23" s="32" t="inlineStr">
        <is>
          <t>package</t>
        </is>
      </c>
      <c r="F23" s="32" t="inlineStr">
        <is>
          <t>browser</t>
        </is>
      </c>
      <c r="G23" s="32" t="inlineStr">
        <is>
          <t>tests/components/menubar/behavior.spec.ts</t>
        </is>
      </c>
      <c r="H23" s="32" t="inlineStr">
        <is>
          <t>tested</t>
        </is>
      </c>
      <c r="I23" s="32" t="inlineStr">
        <is>
          <t>no</t>
        </is>
      </c>
      <c r="J23" s="42" t="n">
        <v>46230</v>
      </c>
      <c r="L23" s="32" t="n">
        <v>1</v>
      </c>
      <c r="M23" s="32">
        <f>IF(OR(AND(I23="yes",H23="verified"),AND(I23="no",OR(H23="tested",H23="verified")),AND(H23="not applicable",K23&lt;&gt;"")),1,0)</f>
        <v/>
      </c>
    </row>
    <row r="24" ht="42" customHeight="1" s="34">
      <c r="A24" s="32" t="inlineStr">
        <is>
          <t>MB-16</t>
        </is>
      </c>
      <c r="B24" s="32" t="inlineStr">
        <is>
          <t>Accessibility</t>
        </is>
      </c>
      <c r="C24" s="32" t="inlineStr">
        <is>
          <t>All parts</t>
        </is>
      </c>
      <c r="D24" s="32" t="inlineStr">
        <is>
          <t>Names, roles, states, keyboard order, focus, forced colors, and axe remain valid.</t>
        </is>
      </c>
      <c r="E24" s="32" t="inlineStr">
        <is>
          <t>package</t>
        </is>
      </c>
      <c r="F24" s="32" t="inlineStr">
        <is>
          <t>axe</t>
        </is>
      </c>
      <c r="G24" s="32" t="inlineStr">
        <is>
          <t>tests/components/menubar/behavior.spec.ts</t>
        </is>
      </c>
      <c r="H24" s="32" t="inlineStr">
        <is>
          <t>tested</t>
        </is>
      </c>
      <c r="I24" s="32" t="inlineStr">
        <is>
          <t>no</t>
        </is>
      </c>
      <c r="J24" s="42" t="n">
        <v>46230</v>
      </c>
      <c r="L24" s="32" t="n">
        <v>1</v>
      </c>
      <c r="M24" s="32">
        <f>IF(OR(AND(I24="yes",H24="verified"),AND(I24="no",OR(H24="tested",H24="verified")),AND(H24="not applicable",K24&lt;&gt;"")),1,0)</f>
        <v/>
      </c>
    </row>
    <row r="25" ht="42" customHeight="1" s="34">
      <c r="A25" s="32" t="inlineStr">
        <is>
          <t>MB-17</t>
        </is>
      </c>
      <c r="B25" s="32" t="inlineStr">
        <is>
          <t>Visual</t>
        </is>
      </c>
      <c r="C25" s="32" t="inlineStr">
        <is>
          <t>All parts</t>
        </is>
      </c>
      <c r="D25" s="32" t="inlineStr">
        <is>
          <t>Reviewed baselines cover defaults, recipes, states, dark appearance, mobile RTL, and forced colors.</t>
        </is>
      </c>
      <c r="E25" s="32" t="inlineStr">
        <is>
          <t>package</t>
        </is>
      </c>
      <c r="F25" s="32" t="inlineStr">
        <is>
          <t>visual</t>
        </is>
      </c>
      <c r="G25" s="32" t="inlineStr">
        <is>
          <t>tests/components/menubar/visual.spec.ts</t>
        </is>
      </c>
      <c r="H25" s="32" t="inlineStr">
        <is>
          <t>verified</t>
        </is>
      </c>
      <c r="I25" s="32" t="inlineStr">
        <is>
          <t>yes</t>
        </is>
      </c>
      <c r="J25" s="42" t="n">
        <v>46230</v>
      </c>
      <c r="K25" s="32" t="inlineStr">
        <is>
          <t>Agent-inspected every generated baseline.</t>
        </is>
      </c>
      <c r="L25" s="32" t="n">
        <v>1</v>
      </c>
      <c r="M25" s="32">
        <f>IF(OR(AND(I25="yes",H25="verified"),AND(I25="no",OR(H25="tested",H25="verified")),AND(H25="not applicable",K25&lt;&gt;"")),1,0)</f>
        <v/>
      </c>
    </row>
    <row r="26" ht="42" customHeight="1" s="34">
      <c r="A26" s="32" t="inlineStr">
        <is>
          <t>MB-18</t>
        </is>
      </c>
      <c r="B26" s="32" t="inlineStr">
        <is>
          <t>Behavior</t>
        </is>
      </c>
      <c r="C26" s="32" t="inlineStr">
        <is>
          <t>All parts</t>
        </is>
      </c>
      <c r="D26" s="32" t="inlineStr">
        <is>
          <t>Component-specific state and interaction remain covered by focused browser and unit evidence.</t>
        </is>
      </c>
      <c r="E26" s="32" t="inlineStr">
        <is>
          <t>package</t>
        </is>
      </c>
      <c r="F26" s="32" t="inlineStr">
        <is>
          <t>browser</t>
        </is>
      </c>
      <c r="G26" s="32" t="inlineStr">
        <is>
          <t>tests/components/menubar/behavior.spec.ts</t>
        </is>
      </c>
      <c r="H26" s="32" t="inlineStr">
        <is>
          <t>tested</t>
        </is>
      </c>
      <c r="I26" s="32" t="inlineStr">
        <is>
          <t>no</t>
        </is>
      </c>
      <c r="J26" s="42" t="n">
        <v>46230</v>
      </c>
      <c r="K26" s="32" t="inlineStr">
        <is>
          <t>Agent-inspected every generated Tabs baseline.</t>
        </is>
      </c>
      <c r="L26" s="32" t="n">
        <v>1</v>
      </c>
      <c r="M26" s="32">
        <f>IF(OR(AND(I26="yes",H26="verified"),AND(I26="no",OR(H26="tested",H26="verified")),AND(H26="not applicable",K26&lt;&gt;"")),1,0)</f>
        <v/>
      </c>
    </row>
    <row r="27" ht="42" customHeight="1" s="34">
      <c r="A27" s="32" t="inlineStr">
        <is>
          <t>MB-19</t>
        </is>
      </c>
      <c r="B27" s="32" t="inlineStr">
        <is>
          <t>Manual</t>
        </is>
      </c>
      <c r="C27" s="32" t="inlineStr">
        <is>
          <t>Menubar</t>
        </is>
      </c>
      <c r="D27" s="32" t="inlineStr">
        <is>
          <t>A tester completes the concise top-to-bottom pointer, keyboard, AT, zoom, device, appearance, RTL, forced-color, and reduced-motion protocol.</t>
        </is>
      </c>
      <c r="E27" s="32" t="inlineStr">
        <is>
          <t>package</t>
        </is>
      </c>
      <c r="F27" s="32" t="inlineStr">
        <is>
          <t>manual</t>
        </is>
      </c>
      <c r="G27" s="32" t="inlineStr">
        <is>
          <t>manual-tests/menubar.md</t>
        </is>
      </c>
      <c r="H27" s="32" t="inlineStr">
        <is>
          <t>not started</t>
        </is>
      </c>
      <c r="I27" s="32" t="inlineStr">
        <is>
          <t>yes</t>
        </is>
      </c>
      <c r="J27" s="42" t="n">
        <v>46230</v>
      </c>
      <c r="K27" s="32" t="inlineStr">
        <is>
          <t>Human run intentionally unclaimed.</t>
        </is>
      </c>
      <c r="L27" s="32" t="n">
        <v>1</v>
      </c>
      <c r="M27" s="32">
        <f>IF(OR(AND(I27="yes",H27="verified"),AND(I27="no",OR(H27="tested",H27="verified")),AND(H27="not applicable",K27&lt;&gt;"")),1,0)</f>
        <v/>
      </c>
    </row>
    <row r="28" ht="42" customHeight="1" s="34">
      <c r="A28" s="32" t="inlineStr">
        <is>
          <t>MB-20</t>
        </is>
      </c>
      <c r="B28" s="32" t="inlineStr">
        <is>
          <t>Docs</t>
        </is>
      </c>
      <c r="C28" s="32" t="inlineStr">
        <is>
          <t>Menubar</t>
        </is>
      </c>
      <c r="D28" s="32" t="inlineStr">
        <is>
          <t>Source-backed usage, anatomy, API, recipes, accessibility, responsive behavior, composition, CSS, customization, and evidence are documented.</t>
        </is>
      </c>
      <c r="E28" s="32" t="inlineStr">
        <is>
          <t>package</t>
        </is>
      </c>
      <c r="F28" s="32" t="inlineStr">
        <is>
          <t>docs</t>
        </is>
      </c>
      <c r="G28" s="32" t="inlineStr">
        <is>
          <t>../docs/components/menubar/README.md</t>
        </is>
      </c>
      <c r="H28" s="32" t="inlineStr">
        <is>
          <t>tested</t>
        </is>
      </c>
      <c r="I28" s="32" t="inlineStr">
        <is>
          <t>no</t>
        </is>
      </c>
      <c r="J28" s="42" t="n">
        <v>46230</v>
      </c>
      <c r="L28" s="32" t="n">
        <v>1</v>
      </c>
      <c r="M28" s="32">
        <f>IF(OR(AND(I28="yes",H28="verified"),AND(I28="no",OR(H28="tested",H28="verified")),AND(H28="not applicable",K28&lt;&gt;"")),1,0)</f>
        <v/>
      </c>
    </row>
    <row r="29" ht="42" customHeight="1" s="34">
      <c r="A29" s="32" t="inlineStr">
        <is>
          <t>MB-21</t>
        </is>
      </c>
      <c r="B29" s="32" t="inlineStr">
        <is>
          <t>Playground</t>
        </is>
      </c>
      <c r="C29" s="32" t="inlineStr">
        <is>
          <t>Menubar</t>
        </is>
      </c>
      <c r="D29" s="32" t="inlineStr">
        <is>
          <t>One navigable route exposes nine controlled scenarios and actual rendered composition output.</t>
        </is>
      </c>
      <c r="E29" s="32" t="inlineStr">
        <is>
          <t>package</t>
        </is>
      </c>
      <c r="F29" s="32" t="inlineStr">
        <is>
          <t>playground</t>
        </is>
      </c>
      <c r="G29" s="32" t="inlineStr">
        <is>
          <t>src/components/menubar/MenubarPage.tsx</t>
        </is>
      </c>
      <c r="H29" s="32" t="inlineStr">
        <is>
          <t>tested</t>
        </is>
      </c>
      <c r="I29" s="32" t="inlineStr">
        <is>
          <t>no</t>
        </is>
      </c>
      <c r="J29" s="42" t="n">
        <v>46230</v>
      </c>
      <c r="L29" s="32" t="n">
        <v>1</v>
      </c>
      <c r="M29" s="32">
        <f>IF(OR(AND(I29="yes",H29="verified"),AND(I29="no",OR(H29="tested",H29="verified")),AND(H29="not applicable",K29&lt;&gt;"")),1,0)</f>
        <v/>
      </c>
    </row>
    <row r="30" ht="42" customHeight="1" s="34">
      <c r="A30" s="32" t="inlineStr">
        <is>
          <t>MB-22</t>
        </is>
      </c>
      <c r="B30" s="32" t="inlineStr">
        <is>
          <t>Consumer</t>
        </is>
      </c>
      <c r="C30" s="32" t="inlineStr">
        <is>
          <t>Menubar</t>
        </is>
      </c>
      <c r="D30" s="32" t="inlineStr">
        <is>
          <t>Packed Consumer imports the public subpath and operates realistic component composition on desktop and mobile.</t>
        </is>
      </c>
      <c r="E30" s="32" t="inlineStr">
        <is>
          <t>consumer</t>
        </is>
      </c>
      <c r="F30" s="32" t="inlineStr">
        <is>
          <t>consumer</t>
        </is>
      </c>
      <c r="G30" s="32" t="inlineStr">
        <is>
          <t>../apps/consumer/src/App.tsx; ../apps/consumer/tests/consumer.spec.ts</t>
        </is>
      </c>
      <c r="H30" s="32" t="inlineStr">
        <is>
          <t>tested</t>
        </is>
      </c>
      <c r="I30" s="32" t="inlineStr">
        <is>
          <t>no</t>
        </is>
      </c>
      <c r="J30" s="42" t="n">
        <v>46230</v>
      </c>
      <c r="L30" s="32" t="n">
        <v>1</v>
      </c>
      <c r="M30" s="32">
        <f>IF(OR(AND(I30="yes",H30="verified"),AND(I30="no",OR(H30="tested",H30="verified")),AND(H30="not applicable",K30&lt;&gt;"")),1,0)</f>
        <v/>
      </c>
    </row>
    <row r="31" ht="42" customHeight="1" s="34">
      <c r="A31" s="32" t="inlineStr">
        <is>
          <t>MB-23</t>
        </is>
      </c>
      <c r="B31" s="32" t="inlineStr">
        <is>
          <t>Package</t>
        </is>
      </c>
      <c r="C31" s="32" t="inlineStr">
        <is>
          <t>Menubar</t>
        </is>
      </c>
      <c r="D31" s="32" t="inlineStr">
        <is>
          <t>Build, exports, SSR, tarball, CSS, React 18/19, Consumer, configured browsers, docs, and exact Atom dependency pass.</t>
        </is>
      </c>
      <c r="E31" s="32" t="inlineStr">
        <is>
          <t>package</t>
        </is>
      </c>
      <c r="F31" s="32" t="inlineStr">
        <is>
          <t>package</t>
        </is>
      </c>
      <c r="G31" s="32" t="inlineStr">
        <is>
          <t>../scripts/verify-package.mjs; ../scripts/verify-consumers.mjs</t>
        </is>
      </c>
      <c r="H31" s="32" t="inlineStr">
        <is>
          <t>tested</t>
        </is>
      </c>
      <c r="I31" s="32" t="inlineStr">
        <is>
          <t>no</t>
        </is>
      </c>
      <c r="J31" s="42" t="n">
        <v>46230</v>
      </c>
      <c r="L31" s="32" t="n">
        <v>1</v>
      </c>
      <c r="M31" s="32">
        <f>IF(OR(AND(I31="yes",H31="verified"),AND(I31="no",OR(H31="tested",H31="verified")),AND(H31="not applicable",K31&lt;&gt;"")),1,0)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Navigation Menu Evidence</t>
        </is>
      </c>
    </row>
    <row r="2" ht="27.75" customHeight="1" s="34">
      <c r="A2" s="36" t="inlineStr">
        <is>
          <t>Assertion-level Atom-backed package, keyboard, browser, visual, accessibility, documentation, Consumer, composition, and responsive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NM-01</t>
        </is>
      </c>
      <c r="B9" s="32" t="inlineStr">
        <is>
          <t>Ownership</t>
        </is>
      </c>
      <c r="C9" s="32" t="inlineStr">
        <is>
          <t>All parts</t>
        </is>
      </c>
      <c r="D9" s="32" t="inlineStr">
        <is>
          <t>Brick styles released Atom 0.20.11 Navigation Menu behavior without recreating state, focus, keyboard, dismissal, portals, or positioning.</t>
        </is>
      </c>
      <c r="E9" s="32" t="inlineStr">
        <is>
          <t>package</t>
        </is>
      </c>
      <c r="F9" s="32" t="inlineStr">
        <is>
          <t>source</t>
        </is>
      </c>
      <c r="G9" s="32" t="inlineStr">
        <is>
          <t>../src/components/navigation-menu</t>
        </is>
      </c>
      <c r="H9" s="32" t="inlineStr">
        <is>
          <t>tested</t>
        </is>
      </c>
      <c r="I9" s="32" t="inlineStr">
        <is>
          <t>no</t>
        </is>
      </c>
      <c r="J9" s="42" t="n">
        <v>46230</v>
      </c>
      <c r="L9" s="32" t="n">
        <v>1</v>
      </c>
      <c r="M9" s="32">
        <f>IF(OR(AND(I9="yes",H9="verified"),AND(I9="no",OR(H9="tested",H9="verified")),AND(H9="not applicable",K9&lt;&gt;"")),1,0)</f>
        <v/>
      </c>
    </row>
    <row r="10" ht="42" customHeight="1" s="34">
      <c r="A10" s="32" t="inlineStr">
        <is>
          <t>NM-02</t>
        </is>
      </c>
      <c r="B10" s="32" t="inlineStr">
        <is>
          <t>Anatomy</t>
        </is>
      </c>
      <c r="C10" s="32" t="inlineStr">
        <is>
          <t>All parts including IndicatorArrow</t>
        </is>
      </c>
      <c r="D10" s="32" t="inlineStr">
        <is>
          <t>The public namespace preserves every adopted host, semantic relationship, native prop, ref, and composition boundary; Indicator supplies the decorative IndicatorArrow only when no custom child is authored.</t>
        </is>
      </c>
      <c r="E10" s="32" t="inlineStr">
        <is>
          <t>package</t>
        </is>
      </c>
      <c r="F10" s="32" t="inlineStr">
        <is>
          <t>component</t>
        </is>
      </c>
      <c r="G10" s="32" t="inlineStr">
        <is>
          <t>../test/components/navigation-menu/navigation-menu.test.tsx</t>
        </is>
      </c>
      <c r="H10" s="32" t="inlineStr">
        <is>
          <t>tested</t>
        </is>
      </c>
      <c r="I10" s="32" t="inlineStr">
        <is>
          <t>no</t>
        </is>
      </c>
      <c r="J10" s="42" t="n">
        <v>46230</v>
      </c>
      <c r="L10" s="32" t="n">
        <v>1</v>
      </c>
      <c r="M10" s="32">
        <f>IF(OR(AND(I10="yes",H10="verified"),AND(I10="no",OR(H10="tested",H10="verified")),AND(H10="not applicable",K10&lt;&gt;"")),1,0)</f>
        <v/>
      </c>
    </row>
    <row r="11" ht="42" customHeight="1" s="34">
      <c r="A11" s="32" t="inlineStr">
        <is>
          <t>NM-03</t>
        </is>
      </c>
      <c r="B11" s="32" t="inlineStr">
        <is>
          <t>Exports</t>
        </is>
      </c>
      <c r="C11" s="32" t="inlineStr">
        <is>
          <t>NavigationMenu/IndicatorArrow</t>
        </is>
      </c>
      <c r="D11" s="32" t="inlineStr">
        <is>
          <t>Root and component subpath expose the namespace, named parts including IndicatorArrow, and public types with identical runtime identities.</t>
        </is>
      </c>
      <c r="E11" s="32" t="inlineStr">
        <is>
          <t>package</t>
        </is>
      </c>
      <c r="F11" s="32" t="inlineStr">
        <is>
          <t>package</t>
        </is>
      </c>
      <c r="G11" s="32" t="inlineStr">
        <is>
          <t>../test/package/package.test.mjs; ../scripts/verify-consumers.mjs</t>
        </is>
      </c>
      <c r="H11" s="32" t="inlineStr">
        <is>
          <t>tested</t>
        </is>
      </c>
      <c r="I11" s="32" t="inlineStr">
        <is>
          <t>no</t>
        </is>
      </c>
      <c r="J11" s="42" t="n">
        <v>46230</v>
      </c>
      <c r="L11" s="32" t="n">
        <v>1</v>
      </c>
      <c r="M11" s="32">
        <f>IF(OR(AND(I11="yes",H11="verified"),AND(I11="no",OR(H11="tested",H11="verified")),AND(H11="not applicable",K11&lt;&gt;"")),1,0)</f>
        <v/>
      </c>
    </row>
    <row r="12" ht="42" customHeight="1" s="34">
      <c r="A12" s="32" t="inlineStr">
        <is>
          <t>NM-04</t>
        </is>
      </c>
      <c r="B12" s="32" t="inlineStr">
        <is>
          <t>Types</t>
        </is>
      </c>
      <c r="C12" s="32" t="inlineStr">
        <is>
          <t>All parts</t>
        </is>
      </c>
      <c r="D12" s="32" t="inlineStr">
        <is>
          <t>Closed Brick recipes plus Atom behavior, composition, native props, and refs type-check.</t>
        </is>
      </c>
      <c r="E12" s="32" t="inlineStr">
        <is>
          <t>package</t>
        </is>
      </c>
      <c r="F12" s="32" t="inlineStr">
        <is>
          <t>types</t>
        </is>
      </c>
      <c r="G12" s="32" t="inlineStr">
        <is>
          <t>../test/types/components/navigation-menu.test.ts</t>
        </is>
      </c>
      <c r="H12" s="32" t="inlineStr">
        <is>
          <t>tested</t>
        </is>
      </c>
      <c r="I12" s="32" t="inlineStr">
        <is>
          <t>no</t>
        </is>
      </c>
      <c r="J12" s="42" t="n">
        <v>46230</v>
      </c>
      <c r="L12" s="32" t="n">
        <v>1</v>
      </c>
      <c r="M12" s="32">
        <f>IF(OR(AND(I12="yes",H12="verified"),AND(I12="no",OR(H12="tested",H12="verified")),AND(H12="not applicable",K12&lt;&gt;"")),1,0)</f>
        <v/>
      </c>
    </row>
    <row r="13" ht="42" customHeight="1" s="34">
      <c r="A13" s="32" t="inlineStr">
        <is>
          <t>NM-05</t>
        </is>
      </c>
      <c r="B13" s="32" t="inlineStr">
        <is>
          <t>CSS</t>
        </is>
      </c>
      <c r="C13" s="32" t="inlineStr">
        <is>
          <t>All parts</t>
        </is>
      </c>
      <c r="D13" s="32" t="inlineStr">
        <is>
          <t>Static CSS ships every adopted recipe, state, responsive boundary, preference mode, and public customization hook.</t>
        </is>
      </c>
      <c r="E13" s="32" t="inlineStr">
        <is>
          <t>package</t>
        </is>
      </c>
      <c r="F13" s="32" t="inlineStr">
        <is>
          <t>css</t>
        </is>
      </c>
      <c r="G13" s="32" t="inlineStr">
        <is>
          <t>../src/components/navigation-menu/navigation-menu.css</t>
        </is>
      </c>
      <c r="H13" s="32" t="inlineStr">
        <is>
          <t>tested</t>
        </is>
      </c>
      <c r="I13" s="32" t="inlineStr">
        <is>
          <t>no</t>
        </is>
      </c>
      <c r="J13" s="42" t="n">
        <v>46230</v>
      </c>
      <c r="L13" s="32" t="n">
        <v>1</v>
      </c>
      <c r="M13" s="32">
        <f>IF(OR(AND(I13="yes",H13="verified"),AND(I13="no",OR(H13="tested",H13="verified")),AND(H13="not applicable",K13&lt;&gt;"")),1,0)</f>
        <v/>
      </c>
    </row>
    <row r="14" ht="42" customHeight="1" s="34">
      <c r="A14" s="32" t="inlineStr">
        <is>
          <t>NM-06</t>
        </is>
      </c>
      <c r="B14" s="32" t="inlineStr">
        <is>
          <t>Defaults</t>
        </is>
      </c>
      <c r="C14" s="32" t="inlineStr">
        <is>
          <t>Root/List/Item/Trigger/Content</t>
        </is>
      </c>
      <c r="D14" s="32" t="inlineStr">
        <is>
          <t>A medium horizontal navigation landmark combines native destinations with an optional rich panel.</t>
        </is>
      </c>
      <c r="E14" s="32" t="inlineStr">
        <is>
          <t>package</t>
        </is>
      </c>
      <c r="F14" s="32" t="inlineStr">
        <is>
          <t>browser</t>
        </is>
      </c>
      <c r="G14" s="32" t="inlineStr">
        <is>
          <t>tests/components/navigation-menu/behavior.spec.ts</t>
        </is>
      </c>
      <c r="H14" s="32" t="inlineStr">
        <is>
          <t>tested</t>
        </is>
      </c>
      <c r="I14" s="32" t="inlineStr">
        <is>
          <t>no</t>
        </is>
      </c>
      <c r="J14" s="42" t="n">
        <v>46230</v>
      </c>
      <c r="L14" s="32" t="n">
        <v>1</v>
      </c>
      <c r="M14" s="32">
        <f>IF(OR(AND(I14="yes",H14="verified"),AND(I14="no",OR(H14="tested",H14="verified")),AND(H14="not applicable",K14&lt;&gt;"")),1,0)</f>
        <v/>
      </c>
    </row>
    <row r="15" ht="42" customHeight="1" s="34">
      <c r="A15" s="32" t="inlineStr">
        <is>
          <t>NM-07</t>
        </is>
      </c>
      <c r="B15" s="32" t="inlineStr">
        <is>
          <t>Link model</t>
        </is>
      </c>
      <c r="C15" s="32" t="inlineStr">
        <is>
          <t>Link/Trigger</t>
        </is>
      </c>
      <c r="D15" s="32" t="inlineStr">
        <is>
          <t>Direct current links remain anchors while disclosure triggers remain buttons.</t>
        </is>
      </c>
      <c r="E15" s="32" t="inlineStr">
        <is>
          <t>package</t>
        </is>
      </c>
      <c r="F15" s="32" t="inlineStr">
        <is>
          <t>browser</t>
        </is>
      </c>
      <c r="G15" s="32" t="inlineStr">
        <is>
          <t>tests/components/navigation-menu/behavior.spec.ts</t>
        </is>
      </c>
      <c r="H15" s="32" t="inlineStr">
        <is>
          <t>tested</t>
        </is>
      </c>
      <c r="I15" s="32" t="inlineStr">
        <is>
          <t>no</t>
        </is>
      </c>
      <c r="J15" s="42" t="n">
        <v>46230</v>
      </c>
      <c r="K15" s="32" t="inlineStr">
        <is>
          <t>Agent-inspected generated variants baseline.</t>
        </is>
      </c>
      <c r="L15" s="32" t="n">
        <v>1</v>
      </c>
      <c r="M15" s="32">
        <f>IF(OR(AND(I15="yes",H15="verified"),AND(I15="no",OR(H15="tested",H15="verified")),AND(H15="not applicable",K15&lt;&gt;"")),1,0)</f>
        <v/>
      </c>
    </row>
    <row r="16" ht="42" customHeight="1" s="34">
      <c r="A16" s="32" t="inlineStr">
        <is>
          <t>NM-08</t>
        </is>
      </c>
      <c r="B16" s="32" t="inlineStr">
        <is>
          <t>Sizes</t>
        </is>
      </c>
      <c r="C16" s="32" t="inlineStr">
        <is>
          <t>Root/Sub</t>
        </is>
      </c>
      <c r="D16" s="32" t="inlineStr">
        <is>
          <t>Small, medium, and large change only navigation control geometry.</t>
        </is>
      </c>
      <c r="E16" s="32" t="inlineStr">
        <is>
          <t>package</t>
        </is>
      </c>
      <c r="F16" s="32" t="inlineStr">
        <is>
          <t>visual</t>
        </is>
      </c>
      <c r="G16" s="32" t="inlineStr">
        <is>
          <t>tests/components/navigation-menu/visual.spec.ts</t>
        </is>
      </c>
      <c r="H16" s="32" t="inlineStr">
        <is>
          <t>verified</t>
        </is>
      </c>
      <c r="I16" s="32" t="inlineStr">
        <is>
          <t>yes</t>
        </is>
      </c>
      <c r="J16" s="42" t="n">
        <v>46230</v>
      </c>
      <c r="K16" s="32" t="inlineStr">
        <is>
          <t>Agent-inspected generated component baselines.</t>
        </is>
      </c>
      <c r="L16" s="32" t="n">
        <v>1</v>
      </c>
      <c r="M16" s="32">
        <f>IF(OR(AND(I16="yes",H16="verified"),AND(I16="no",OR(H16="tested",H16="verified")),AND(H16="not applicable",K16&lt;&gt;"")),1,0)</f>
        <v/>
      </c>
    </row>
    <row r="17" ht="42" customHeight="1" s="34">
      <c r="A17" s="32" t="inlineStr">
        <is>
          <t>NM-09</t>
        </is>
      </c>
      <c r="B17" s="32" t="inlineStr">
        <is>
          <t>Orientation</t>
        </is>
      </c>
      <c r="C17" s="32" t="inlineStr">
        <is>
          <t>Root/List/IndicatorArrow</t>
        </is>
      </c>
      <c r="D17" s="32" t="inlineStr">
        <is>
          <t>Horizontal and vertical orientation change layout and keyboard axis together while the IndicatorArrow connects the active trigger to the Viewport on the logical side.</t>
        </is>
      </c>
      <c r="E17" s="32" t="inlineStr">
        <is>
          <t>package</t>
        </is>
      </c>
      <c r="F17" s="32" t="inlineStr">
        <is>
          <t>browser</t>
        </is>
      </c>
      <c r="G17" s="32" t="inlineStr">
        <is>
          <t>tests/components/navigation-menu/behavior.spec.ts</t>
        </is>
      </c>
      <c r="H17" s="32" t="inlineStr">
        <is>
          <t>tested</t>
        </is>
      </c>
      <c r="I17" s="32" t="inlineStr">
        <is>
          <t>no</t>
        </is>
      </c>
      <c r="J17" s="42" t="n">
        <v>46230</v>
      </c>
      <c r="L17" s="32" t="n">
        <v>1</v>
      </c>
      <c r="M17" s="32">
        <f>IF(OR(AND(I17="yes",H17="verified"),AND(I17="no",OR(H17="tested",H17="verified")),AND(H17="not applicable",K17&lt;&gt;"")),1,0)</f>
        <v/>
      </c>
    </row>
    <row r="18" ht="42" customHeight="1" s="34">
      <c r="A18" s="32" t="inlineStr">
        <is>
          <t>NM-10</t>
        </is>
      </c>
      <c r="B18" s="32" t="inlineStr">
        <is>
          <t>Viewport</t>
        </is>
      </c>
      <c r="C18" s="32" t="inlineStr">
        <is>
          <t>Content/Viewport/Indicator/IndicatorArrow</t>
        </is>
      </c>
      <c r="D18" s="32" t="inlineStr">
        <is>
          <t>Measured rich content, the surface-matched IndicatorArrow, and Viewport geometry follow Atom state and trigger measurements.</t>
        </is>
      </c>
      <c r="E18" s="32" t="inlineStr">
        <is>
          <t>package</t>
        </is>
      </c>
      <c r="F18" s="32" t="inlineStr">
        <is>
          <t>browser</t>
        </is>
      </c>
      <c r="G18" s="32" t="inlineStr">
        <is>
          <t>tests/components/navigation-menu/behavior.spec.ts</t>
        </is>
      </c>
      <c r="H18" s="32" t="inlineStr">
        <is>
          <t>tested</t>
        </is>
      </c>
      <c r="I18" s="32" t="inlineStr">
        <is>
          <t>no</t>
        </is>
      </c>
      <c r="J18" s="42" t="n">
        <v>46230</v>
      </c>
      <c r="L18" s="32" t="n">
        <v>1</v>
      </c>
      <c r="M18" s="32">
        <f>IF(OR(AND(I18="yes",H18="verified"),AND(I18="no",OR(H18="tested",H18="verified")),AND(H18="not applicable",K18&lt;&gt;"")),1,0)</f>
        <v/>
      </c>
    </row>
    <row r="19" ht="42" customHeight="1" s="34">
      <c r="A19" s="32" t="inlineStr">
        <is>
          <t>NM-11</t>
        </is>
      </c>
      <c r="B19" s="32" t="inlineStr">
        <is>
          <t>States</t>
        </is>
      </c>
      <c r="C19" s="32" t="inlineStr">
        <is>
          <t>Trigger/Link</t>
        </is>
      </c>
      <c r="D19" s="32" t="inlineStr">
        <is>
          <t>Controlled open, current link, disabled trigger, hover, and focus states remain distinct.</t>
        </is>
      </c>
      <c r="E19" s="32" t="inlineStr">
        <is>
          <t>package</t>
        </is>
      </c>
      <c r="F19" s="32" t="inlineStr">
        <is>
          <t>browser</t>
        </is>
      </c>
      <c r="G19" s="32" t="inlineStr">
        <is>
          <t>tests/components/navigation-menu/behavior.spec.ts</t>
        </is>
      </c>
      <c r="H19" s="32" t="inlineStr">
        <is>
          <t>tested</t>
        </is>
      </c>
      <c r="I19" s="32" t="inlineStr">
        <is>
          <t>no</t>
        </is>
      </c>
      <c r="J19" s="42" t="n">
        <v>46230</v>
      </c>
      <c r="L19" s="32" t="n">
        <v>1</v>
      </c>
      <c r="M19" s="32">
        <f>IF(OR(AND(I19="yes",H19="verified"),AND(I19="no",OR(H19="tested",H19="verified")),AND(H19="not applicable",K19&lt;&gt;"")),1,0)</f>
        <v/>
      </c>
    </row>
    <row r="20" ht="42" customHeight="1" s="34">
      <c r="A20" s="32" t="inlineStr">
        <is>
          <t>NM-12</t>
        </is>
      </c>
      <c r="B20" s="32" t="inlineStr">
        <is>
          <t>Keyboard</t>
        </is>
      </c>
      <c r="C20" s="32" t="inlineStr">
        <is>
          <t>Interactive parts</t>
        </is>
      </c>
      <c r="D20" s="32" t="inlineStr">
        <is>
          <t>Keyboard opening, roving or adjacent navigation, activation, dismissal, and focus return remain Atom-owned.</t>
        </is>
      </c>
      <c r="E20" s="32" t="inlineStr">
        <is>
          <t>package</t>
        </is>
      </c>
      <c r="F20" s="32" t="inlineStr">
        <is>
          <t>browser</t>
        </is>
      </c>
      <c r="G20" s="32" t="inlineStr">
        <is>
          <t>tests/components/navigation-menu/behavior.spec.ts</t>
        </is>
      </c>
      <c r="H20" s="32" t="inlineStr">
        <is>
          <t>tested</t>
        </is>
      </c>
      <c r="I20" s="32" t="inlineStr">
        <is>
          <t>no</t>
        </is>
      </c>
      <c r="J20" s="42" t="n">
        <v>46230</v>
      </c>
      <c r="L20" s="32" t="n">
        <v>1</v>
      </c>
      <c r="M20" s="32">
        <f>IF(OR(AND(I20="yes",H20="verified"),AND(I20="no",OR(H20="tested",H20="verified")),AND(H20="not applicable",K20&lt;&gt;"")),1,0)</f>
        <v/>
      </c>
    </row>
    <row r="21" ht="42" customHeight="1" s="34">
      <c r="A21" s="32" t="inlineStr">
        <is>
          <t>NM-13</t>
        </is>
      </c>
      <c r="B21" s="32" t="inlineStr">
        <is>
          <t>Composition</t>
        </is>
      </c>
      <c r="C21" s="32" t="inlineStr">
        <is>
          <t>Composed parts</t>
        </is>
      </c>
      <c r="D21" s="32" t="inlineStr">
        <is>
          <t>render and asChild preserve native hosts, semantic roles, attributes, state, handlers, slots, and refs.</t>
        </is>
      </c>
      <c r="E21" s="32" t="inlineStr">
        <is>
          <t>package</t>
        </is>
      </c>
      <c r="F21" s="32" t="inlineStr">
        <is>
          <t>browser</t>
        </is>
      </c>
      <c r="G21" s="32" t="inlineStr">
        <is>
          <t>tests/components/navigation-menu/behavior.spec.ts</t>
        </is>
      </c>
      <c r="H21" s="32" t="inlineStr">
        <is>
          <t>tested</t>
        </is>
      </c>
      <c r="I21" s="32" t="inlineStr">
        <is>
          <t>no</t>
        </is>
      </c>
      <c r="J21" s="42" t="n">
        <v>46230</v>
      </c>
      <c r="K21" s="32" t="inlineStr">
        <is>
          <t>Agent-inspected line and vertical baselines.</t>
        </is>
      </c>
      <c r="L21" s="32" t="n">
        <v>1</v>
      </c>
      <c r="M21" s="32">
        <f>IF(OR(AND(I21="yes",H21="verified"),AND(I21="no",OR(H21="tested",H21="verified")),AND(H21="not applicable",K21&lt;&gt;"")),1,0)</f>
        <v/>
      </c>
    </row>
    <row r="22" ht="42" customHeight="1" s="34">
      <c r="A22" s="32" t="inlineStr">
        <is>
          <t>NM-14</t>
        </is>
      </c>
      <c r="B22" s="32" t="inlineStr">
        <is>
          <t>Responsive</t>
        </is>
      </c>
      <c r="C22" s="32" t="inlineStr">
        <is>
          <t>All parts</t>
        </is>
      </c>
      <c r="D22" s="32" t="inlineStr">
        <is>
          <t>Narrow viewports preserve reachable controls, constrained overlays, zoom, and the documented mobile boundary.</t>
        </is>
      </c>
      <c r="E22" s="32" t="inlineStr">
        <is>
          <t>package</t>
        </is>
      </c>
      <c r="F22" s="32" t="inlineStr">
        <is>
          <t>browser</t>
        </is>
      </c>
      <c r="G22" s="32" t="inlineStr">
        <is>
          <t>tests/components/navigation-menu/behavior.spec.ts</t>
        </is>
      </c>
      <c r="H22" s="32" t="inlineStr">
        <is>
          <t>tested</t>
        </is>
      </c>
      <c r="I22" s="32" t="inlineStr">
        <is>
          <t>no</t>
        </is>
      </c>
      <c r="J22" s="42" t="n">
        <v>46230</v>
      </c>
      <c r="L22" s="32" t="n">
        <v>1</v>
      </c>
      <c r="M22" s="32">
        <f>IF(OR(AND(I22="yes",H22="verified"),AND(I22="no",OR(H22="tested",H22="verified")),AND(H22="not applicable",K22&lt;&gt;"")),1,0)</f>
        <v/>
      </c>
    </row>
    <row r="23" ht="42" customHeight="1" s="34">
      <c r="A23" s="32" t="inlineStr">
        <is>
          <t>NM-15</t>
        </is>
      </c>
      <c r="B23" s="32" t="inlineStr">
        <is>
          <t>Direction</t>
        </is>
      </c>
      <c r="C23" s="32" t="inlineStr">
        <is>
          <t>All parts</t>
        </is>
      </c>
      <c r="D23" s="32" t="inlineStr">
        <is>
          <t>Explicit RTL mirrors logical alignment and horizontal keyboard direction while preserving genuine text.</t>
        </is>
      </c>
      <c r="E23" s="32" t="inlineStr">
        <is>
          <t>package</t>
        </is>
      </c>
      <c r="F23" s="32" t="inlineStr">
        <is>
          <t>browser</t>
        </is>
      </c>
      <c r="G23" s="32" t="inlineStr">
        <is>
          <t>tests/components/navigation-menu/behavior.spec.ts</t>
        </is>
      </c>
      <c r="H23" s="32" t="inlineStr">
        <is>
          <t>tested</t>
        </is>
      </c>
      <c r="I23" s="32" t="inlineStr">
        <is>
          <t>no</t>
        </is>
      </c>
      <c r="J23" s="42" t="n">
        <v>46230</v>
      </c>
      <c r="L23" s="32" t="n">
        <v>1</v>
      </c>
      <c r="M23" s="32">
        <f>IF(OR(AND(I23="yes",H23="verified"),AND(I23="no",OR(H23="tested",H23="verified")),AND(H23="not applicable",K23&lt;&gt;"")),1,0)</f>
        <v/>
      </c>
    </row>
    <row r="24" ht="42" customHeight="1" s="34">
      <c r="A24" s="32" t="inlineStr">
        <is>
          <t>NM-16</t>
        </is>
      </c>
      <c r="B24" s="32" t="inlineStr">
        <is>
          <t>Accessibility</t>
        </is>
      </c>
      <c r="C24" s="32" t="inlineStr">
        <is>
          <t>All parts</t>
        </is>
      </c>
      <c r="D24" s="32" t="inlineStr">
        <is>
          <t>Names, roles, states, keyboard order, focus, forced colors, and axe remain valid.</t>
        </is>
      </c>
      <c r="E24" s="32" t="inlineStr">
        <is>
          <t>package</t>
        </is>
      </c>
      <c r="F24" s="32" t="inlineStr">
        <is>
          <t>axe</t>
        </is>
      </c>
      <c r="G24" s="32" t="inlineStr">
        <is>
          <t>tests/components/navigation-menu/behavior.spec.ts</t>
        </is>
      </c>
      <c r="H24" s="32" t="inlineStr">
        <is>
          <t>tested</t>
        </is>
      </c>
      <c r="I24" s="32" t="inlineStr">
        <is>
          <t>no</t>
        </is>
      </c>
      <c r="J24" s="42" t="n">
        <v>46230</v>
      </c>
      <c r="L24" s="32" t="n">
        <v>1</v>
      </c>
      <c r="M24" s="32">
        <f>IF(OR(AND(I24="yes",H24="verified"),AND(I24="no",OR(H24="tested",H24="verified")),AND(H24="not applicable",K24&lt;&gt;"")),1,0)</f>
        <v/>
      </c>
    </row>
    <row r="25" ht="42" customHeight="1" s="34">
      <c r="A25" s="32" t="inlineStr">
        <is>
          <t>NM-17</t>
        </is>
      </c>
      <c r="B25" s="32" t="inlineStr">
        <is>
          <t>Visual</t>
        </is>
      </c>
      <c r="C25" s="32" t="inlineStr">
        <is>
          <t>All parts</t>
        </is>
      </c>
      <c r="D25" s="32" t="inlineStr">
        <is>
          <t>Reviewed baselines cover defaults, compact chevrons, the one-pixel current underline, the open IndicatorArrow connector, recipes, states, dark appearance, mobile RTL, and forced colors.</t>
        </is>
      </c>
      <c r="E25" s="32" t="inlineStr">
        <is>
          <t>package</t>
        </is>
      </c>
      <c r="F25" s="32" t="inlineStr">
        <is>
          <t>visual</t>
        </is>
      </c>
      <c r="G25" s="32" t="inlineStr">
        <is>
          <t>tests/components/navigation-menu/visual.spec.ts</t>
        </is>
      </c>
      <c r="H25" s="32" t="inlineStr">
        <is>
          <t>verified</t>
        </is>
      </c>
      <c r="I25" s="32" t="inlineStr">
        <is>
          <t>yes</t>
        </is>
      </c>
      <c r="J25" s="42" t="n">
        <v>46230</v>
      </c>
      <c r="K25" s="32" t="inlineStr">
        <is>
          <t>Agent-inspected every generated baseline.</t>
        </is>
      </c>
      <c r="L25" s="32" t="n">
        <v>1</v>
      </c>
      <c r="M25" s="32">
        <f>IF(OR(AND(I25="yes",H25="verified"),AND(I25="no",OR(H25="tested",H25="verified")),AND(H25="not applicable",K25&lt;&gt;"")),1,0)</f>
        <v/>
      </c>
    </row>
    <row r="26" ht="42" customHeight="1" s="34">
      <c r="A26" s="32" t="inlineStr">
        <is>
          <t>NM-18</t>
        </is>
      </c>
      <c r="B26" s="32" t="inlineStr">
        <is>
          <t>Behavior</t>
        </is>
      </c>
      <c r="C26" s="32" t="inlineStr">
        <is>
          <t>All parts</t>
        </is>
      </c>
      <c r="D26" s="32" t="inlineStr">
        <is>
          <t>Component-specific state and interaction remain covered by focused browser and unit evidence.</t>
        </is>
      </c>
      <c r="E26" s="32" t="inlineStr">
        <is>
          <t>package</t>
        </is>
      </c>
      <c r="F26" s="32" t="inlineStr">
        <is>
          <t>browser</t>
        </is>
      </c>
      <c r="G26" s="32" t="inlineStr">
        <is>
          <t>tests/components/navigation-menu/behavior.spec.ts</t>
        </is>
      </c>
      <c r="H26" s="32" t="inlineStr">
        <is>
          <t>tested</t>
        </is>
      </c>
      <c r="I26" s="32" t="inlineStr">
        <is>
          <t>no</t>
        </is>
      </c>
      <c r="J26" s="42" t="n">
        <v>46230</v>
      </c>
      <c r="K26" s="32" t="inlineStr">
        <is>
          <t>Agent-inspected every generated Tabs baseline.</t>
        </is>
      </c>
      <c r="L26" s="32" t="n">
        <v>1</v>
      </c>
      <c r="M26" s="32">
        <f>IF(OR(AND(I26="yes",H26="verified"),AND(I26="no",OR(H26="tested",H26="verified")),AND(H26="not applicable",K26&lt;&gt;"")),1,0)</f>
        <v/>
      </c>
    </row>
    <row r="27" ht="42" customHeight="1" s="34">
      <c r="A27" s="32" t="inlineStr">
        <is>
          <t>NM-19</t>
        </is>
      </c>
      <c r="B27" s="32" t="inlineStr">
        <is>
          <t>Manual</t>
        </is>
      </c>
      <c r="C27" s="32" t="inlineStr">
        <is>
          <t>Navigation Menu</t>
        </is>
      </c>
      <c r="D27" s="32" t="inlineStr">
        <is>
          <t>A tester completes the concise top-to-bottom pointer, keyboard, AT, zoom, device, appearance, RTL, forced-color, and reduced-motion protocol.</t>
        </is>
      </c>
      <c r="E27" s="32" t="inlineStr">
        <is>
          <t>package</t>
        </is>
      </c>
      <c r="F27" s="32" t="inlineStr">
        <is>
          <t>manual</t>
        </is>
      </c>
      <c r="G27" s="32" t="inlineStr">
        <is>
          <t>manual-tests/navigation-menu.md</t>
        </is>
      </c>
      <c r="H27" s="32" t="inlineStr">
        <is>
          <t>not started</t>
        </is>
      </c>
      <c r="I27" s="32" t="inlineStr">
        <is>
          <t>yes</t>
        </is>
      </c>
      <c r="J27" s="42" t="n">
        <v>46230</v>
      </c>
      <c r="K27" s="32" t="inlineStr">
        <is>
          <t>Human run intentionally unclaimed.</t>
        </is>
      </c>
      <c r="L27" s="32" t="n">
        <v>1</v>
      </c>
      <c r="M27" s="32">
        <f>IF(OR(AND(I27="yes",H27="verified"),AND(I27="no",OR(H27="tested",H27="verified")),AND(H27="not applicable",K27&lt;&gt;"")),1,0)</f>
        <v/>
      </c>
    </row>
    <row r="28" ht="42" customHeight="1" s="34">
      <c r="A28" s="32" t="inlineStr">
        <is>
          <t>NM-20</t>
        </is>
      </c>
      <c r="B28" s="32" t="inlineStr">
        <is>
          <t>Docs</t>
        </is>
      </c>
      <c r="C28" s="32" t="inlineStr">
        <is>
          <t>Navigation Menu</t>
        </is>
      </c>
      <c r="D28" s="32" t="inlineStr">
        <is>
          <t>Source-backed usage, anatomy, API, recipes, accessibility, responsive behavior, composition, CSS, customization, and evidence are documented.</t>
        </is>
      </c>
      <c r="E28" s="32" t="inlineStr">
        <is>
          <t>package</t>
        </is>
      </c>
      <c r="F28" s="32" t="inlineStr">
        <is>
          <t>docs</t>
        </is>
      </c>
      <c r="G28" s="32" t="inlineStr">
        <is>
          <t>../docs/components/navigation-menu/README.md</t>
        </is>
      </c>
      <c r="H28" s="32" t="inlineStr">
        <is>
          <t>tested</t>
        </is>
      </c>
      <c r="I28" s="32" t="inlineStr">
        <is>
          <t>no</t>
        </is>
      </c>
      <c r="J28" s="42" t="n">
        <v>46230</v>
      </c>
      <c r="L28" s="32" t="n">
        <v>1</v>
      </c>
      <c r="M28" s="32">
        <f>IF(OR(AND(I28="yes",H28="verified"),AND(I28="no",OR(H28="tested",H28="verified")),AND(H28="not applicable",K28&lt;&gt;"")),1,0)</f>
        <v/>
      </c>
    </row>
    <row r="29" ht="42" customHeight="1" s="34">
      <c r="A29" s="32" t="inlineStr">
        <is>
          <t>NM-21</t>
        </is>
      </c>
      <c r="B29" s="32" t="inlineStr">
        <is>
          <t>Playground</t>
        </is>
      </c>
      <c r="C29" s="32" t="inlineStr">
        <is>
          <t>Navigation Menu</t>
        </is>
      </c>
      <c r="D29" s="32" t="inlineStr">
        <is>
          <t>One navigable route exposes nine controlled scenarios and actual rendered composition output.</t>
        </is>
      </c>
      <c r="E29" s="32" t="inlineStr">
        <is>
          <t>package</t>
        </is>
      </c>
      <c r="F29" s="32" t="inlineStr">
        <is>
          <t>playground</t>
        </is>
      </c>
      <c r="G29" s="32" t="inlineStr">
        <is>
          <t>src/components/navigation-menu/NavigationMenuPage.tsx</t>
        </is>
      </c>
      <c r="H29" s="32" t="inlineStr">
        <is>
          <t>tested</t>
        </is>
      </c>
      <c r="I29" s="32" t="inlineStr">
        <is>
          <t>no</t>
        </is>
      </c>
      <c r="J29" s="42" t="n">
        <v>46230</v>
      </c>
      <c r="L29" s="32" t="n">
        <v>1</v>
      </c>
      <c r="M29" s="32">
        <f>IF(OR(AND(I29="yes",H29="verified"),AND(I29="no",OR(H29="tested",H29="verified")),AND(H29="not applicable",K29&lt;&gt;"")),1,0)</f>
        <v/>
      </c>
    </row>
    <row r="30" ht="42" customHeight="1" s="34">
      <c r="A30" s="32" t="inlineStr">
        <is>
          <t>NM-22</t>
        </is>
      </c>
      <c r="B30" s="32" t="inlineStr">
        <is>
          <t>Consumer</t>
        </is>
      </c>
      <c r="C30" s="32" t="inlineStr">
        <is>
          <t>Navigation Menu</t>
        </is>
      </c>
      <c r="D30" s="32" t="inlineStr">
        <is>
          <t>Packed Consumer imports the public subpath and operates realistic component composition on desktop and mobile.</t>
        </is>
      </c>
      <c r="E30" s="32" t="inlineStr">
        <is>
          <t>consumer</t>
        </is>
      </c>
      <c r="F30" s="32" t="inlineStr">
        <is>
          <t>consumer</t>
        </is>
      </c>
      <c r="G30" s="32" t="inlineStr">
        <is>
          <t>../apps/consumer/src/App.tsx; ../apps/consumer/tests/consumer.spec.ts</t>
        </is>
      </c>
      <c r="H30" s="32" t="inlineStr">
        <is>
          <t>tested</t>
        </is>
      </c>
      <c r="I30" s="32" t="inlineStr">
        <is>
          <t>no</t>
        </is>
      </c>
      <c r="J30" s="42" t="n">
        <v>46230</v>
      </c>
      <c r="L30" s="32" t="n">
        <v>1</v>
      </c>
      <c r="M30" s="32">
        <f>IF(OR(AND(I30="yes",H30="verified"),AND(I30="no",OR(H30="tested",H30="verified")),AND(H30="not applicable",K30&lt;&gt;"")),1,0)</f>
        <v/>
      </c>
    </row>
    <row r="31" ht="42" customHeight="1" s="34">
      <c r="A31" s="32" t="inlineStr">
        <is>
          <t>NM-23</t>
        </is>
      </c>
      <c r="B31" s="32" t="inlineStr">
        <is>
          <t>Package</t>
        </is>
      </c>
      <c r="C31" s="32" t="inlineStr">
        <is>
          <t>Navigation Menu</t>
        </is>
      </c>
      <c r="D31" s="32" t="inlineStr">
        <is>
          <t>Build, exports, SSR, tarball, CSS, React 18/19, Consumer, configured browsers, docs, and exact Atom dependency pass.</t>
        </is>
      </c>
      <c r="E31" s="32" t="inlineStr">
        <is>
          <t>package</t>
        </is>
      </c>
      <c r="F31" s="32" t="inlineStr">
        <is>
          <t>package</t>
        </is>
      </c>
      <c r="G31" s="32" t="inlineStr">
        <is>
          <t>../scripts/verify-package.mjs; ../scripts/verify-consumers.mjs</t>
        </is>
      </c>
      <c r="H31" s="32" t="inlineStr">
        <is>
          <t>tested</t>
        </is>
      </c>
      <c r="I31" s="32" t="inlineStr">
        <is>
          <t>no</t>
        </is>
      </c>
      <c r="J31" s="42" t="n">
        <v>46230</v>
      </c>
      <c r="L31" s="32" t="n">
        <v>1</v>
      </c>
      <c r="M31" s="32">
        <f>IF(OR(AND(I31="yes",H31="verified"),AND(I31="no",OR(H31="tested",H31="verified")),AND(H31="not applicable",K31&lt;&gt;"")),1,0)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M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Bottom Navigation Evidence</t>
        </is>
      </c>
    </row>
    <row r="2" ht="27.75" customHeight="1" s="34">
      <c r="A2" s="36" t="inlineStr">
        <is>
          <t>Assertion-level Atom-backed recipes, destination behavior, position, labels, selection, accessibility, visual, documentation, Consumer, and package evidence.</t>
        </is>
      </c>
    </row>
    <row r="4" ht="17.25" customHeight="1" s="34">
      <c r="A4" s="37" t="inlineStr">
        <is>
          <t>Requirements</t>
        </is>
      </c>
      <c r="B4" s="38">
        <f>COUNTA(A9:A36)</f>
        <v/>
      </c>
      <c r="D4" s="37" t="inlineStr">
        <is>
          <t>Resolved</t>
        </is>
      </c>
      <c r="E4" s="38">
        <f>SUM(M9:M36)</f>
        <v/>
      </c>
      <c r="G4" s="37" t="inlineStr">
        <is>
          <t>Completion</t>
        </is>
      </c>
      <c r="H4" s="39">
        <f>IF(B4=0,0,E4/B4)</f>
        <v/>
      </c>
      <c r="J4" s="37" t="inlineStr">
        <is>
          <t>Package gate</t>
        </is>
      </c>
      <c r="K4" s="38">
        <f>IF(COUNTIFS(E9:E36,"package",M9:M36,0)&gt;0,"open","complete")</f>
        <v/>
      </c>
    </row>
    <row r="5" ht="17.25" customHeight="1" s="34">
      <c r="A5" s="37" t="inlineStr">
        <is>
          <t>Manual review</t>
        </is>
      </c>
      <c r="B5" s="38">
        <f>IF(COUNTIFS(I9:I36,"yes",M9:M36,0)&gt;0,"open","complete")</f>
        <v/>
      </c>
      <c r="D5" s="37" t="inlineStr">
        <is>
          <t>Consumer gate</t>
        </is>
      </c>
      <c r="E5" s="38">
        <f>IF(COUNTIFS(E9:E36,"consumer",M9:M36,0)&gt;0,"open","complete")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BN-01</t>
        </is>
      </c>
      <c r="B9" s="43" t="inlineStr">
        <is>
          <t>Ownership</t>
        </is>
      </c>
      <c r="C9" s="43" t="inlineStr">
        <is>
          <t>All parts</t>
        </is>
      </c>
      <c r="D9" s="44" t="inlineStr">
        <is>
          <t>Brick styles released Atom 0.20.11 Bottom Navigation behavior without recreating selection, native destination semantics, position, label visibility, disabled behavior, accessibility, refs, or composition.</t>
        </is>
      </c>
      <c r="E9" s="43" t="inlineStr">
        <is>
          <t>package</t>
        </is>
      </c>
      <c r="F9" s="43" t="inlineStr">
        <is>
          <t>source</t>
        </is>
      </c>
      <c r="G9" s="44" t="inlineStr">
        <is>
          <t>../src/components/bottom-navigation</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BN-02</t>
        </is>
      </c>
      <c r="B10" s="43" t="inlineStr">
        <is>
          <t>Anatomy</t>
        </is>
      </c>
      <c r="C10" s="43" t="inlineStr">
        <is>
          <t>Root/Item/Icon/Label</t>
        </is>
      </c>
      <c r="D10" s="44" t="inlineStr">
        <is>
          <t>The public four-part namespace preserves Atom's native nav, anchor/button destination, authored Icon/Label spans, semantic relationships, slots, props, refs, and static-content boundaries.</t>
        </is>
      </c>
      <c r="E10" s="43" t="inlineStr">
        <is>
          <t>package</t>
        </is>
      </c>
      <c r="F10" s="43" t="inlineStr">
        <is>
          <t>component</t>
        </is>
      </c>
      <c r="G10" s="44" t="inlineStr">
        <is>
          <t>../test/components/bottom-navigation/bottom-navigation.test.tsx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BN-03</t>
        </is>
      </c>
      <c r="B11" s="43" t="inlineStr">
        <is>
          <t>Exports</t>
        </is>
      </c>
      <c r="C11" s="43" t="inlineStr">
        <is>
          <t>BottomNavigation</t>
        </is>
      </c>
      <c r="D11" s="44" t="inlineStr">
        <is>
          <t>Root and bottom-navigation subpath expose the namespace, named parts, recipe types, inherited position/label types, and public props with identical runtime identities.</t>
        </is>
      </c>
      <c r="E11" s="43" t="inlineStr">
        <is>
          <t>package</t>
        </is>
      </c>
      <c r="F11" s="43" t="inlineStr">
        <is>
          <t>package</t>
        </is>
      </c>
      <c r="G11" s="44" t="inlineStr">
        <is>
          <t>../test/package/package.test.mjs; ../scripts/verify-consumers.mjs</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BN-04</t>
        </is>
      </c>
      <c r="B12" s="43" t="inlineStr">
        <is>
          <t>Types</t>
        </is>
      </c>
      <c r="C12" s="43" t="inlineStr">
        <is>
          <t>All parts</t>
        </is>
      </c>
      <c r="D12" s="44" t="inlineStr">
        <is>
          <t>Closed recipes and the discriminated indicator/item selection shapes type-check; unsupported sizes and a circular whole-item selection fail.</t>
        </is>
      </c>
      <c r="E12" s="43" t="inlineStr">
        <is>
          <t>package</t>
        </is>
      </c>
      <c r="F12" s="43" t="inlineStr">
        <is>
          <t>types</t>
        </is>
      </c>
      <c r="G12" s="44" t="inlineStr">
        <is>
          <t>../test/types/components/bottom-navigation.test.ts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BN-05</t>
        </is>
      </c>
      <c r="B13" s="43" t="inlineStr">
        <is>
          <t>CSS</t>
        </is>
      </c>
      <c r="C13" s="43" t="inlineStr">
        <is>
          <t>All parts</t>
        </is>
      </c>
      <c r="D13" s="44" t="inlineStr">
        <is>
          <t>Static CSS ships four variants, two tones, two layouts, two arrangements, three sizes, four positions, both selection targets, valid shapes, states, preferences, and documented variables.</t>
        </is>
      </c>
      <c r="E13" s="43" t="inlineStr">
        <is>
          <t>package</t>
        </is>
      </c>
      <c r="F13" s="43" t="inlineStr">
        <is>
          <t>css</t>
        </is>
      </c>
      <c r="G13" s="44" t="inlineStr">
        <is>
          <t>../src/components/bottom-navigation/bottom-navigation.css</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BN-06</t>
        </is>
      </c>
      <c r="B14" s="43" t="inlineStr">
        <is>
          <t>Defaults</t>
        </is>
      </c>
      <c r="C14" s="43" t="inlineStr">
        <is>
          <t>Root/Item/Icon/Label</t>
        </is>
      </c>
      <c r="D14" s="44" t="inlineStr">
        <is>
          <t>Defaults are outline, accent, full, equal, medium, static, indicator/pill, always-visible labels, safe-area support, and no blur or elevation.</t>
        </is>
      </c>
      <c r="E14" s="43" t="inlineStr">
        <is>
          <t>package</t>
        </is>
      </c>
      <c r="F14" s="43" t="inlineStr">
        <is>
          <t>browser</t>
        </is>
      </c>
      <c r="G14" s="44" t="inlineStr">
        <is>
          <t>tests/components/bottom-navigation/behavior.spec.ts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BN-07</t>
        </is>
      </c>
      <c r="B15" s="43" t="inlineStr">
        <is>
          <t>Recipes</t>
        </is>
      </c>
      <c r="C15" s="43" t="inlineStr">
        <is>
          <t>Root</t>
        </is>
      </c>
      <c r="D15" s="44" t="inlineStr">
        <is>
          <t>Solid, soft, outline, and ghost remain visually distinct in accent and fully neutral palettes without changing destination geometry.</t>
        </is>
      </c>
      <c r="E15" s="43" t="inlineStr">
        <is>
          <t>package</t>
        </is>
      </c>
      <c r="F15" s="43" t="inlineStr">
        <is>
          <t>browser</t>
        </is>
      </c>
      <c r="G15" s="44" t="inlineStr">
        <is>
          <t>tests/components/bottom-navigation/behavior.spec.ts; tests/components/bottom-navigation/visual.spec.ts</t>
        </is>
      </c>
      <c r="H15" s="43" t="inlineStr">
        <is>
          <t>tested</t>
        </is>
      </c>
      <c r="I15" s="43" t="inlineStr">
        <is>
          <t>no</t>
        </is>
      </c>
      <c r="J15" s="45" t="n">
        <v>46230</v>
      </c>
      <c r="K15" s="44" t="n"/>
      <c r="L15" s="43" t="n">
        <v>1</v>
      </c>
      <c r="M15" s="43">
        <f>IF(OR(AND(I15="yes",H15="verified"),AND(I15="no",OR(H15="tested",H15="verified")),AND(H15="not applicable",K15&lt;&gt;"")),1,0)</f>
        <v/>
      </c>
    </row>
    <row r="16" ht="54" customHeight="1" s="34">
      <c r="A16" s="43" t="inlineStr">
        <is>
          <t>BN-08</t>
        </is>
      </c>
      <c r="B16" s="43" t="inlineStr">
        <is>
          <t>Layout</t>
        </is>
      </c>
      <c r="C16" s="43" t="inlineStr">
        <is>
          <t>Root/Item</t>
        </is>
      </c>
      <c r="D16" s="44" t="inlineStr">
        <is>
          <t>Full versus floating controls outer geometry independently from equal versus centered destination distribution.</t>
        </is>
      </c>
      <c r="E16" s="43" t="inlineStr">
        <is>
          <t>package</t>
        </is>
      </c>
      <c r="F16" s="43" t="inlineStr">
        <is>
          <t>browser</t>
        </is>
      </c>
      <c r="G16" s="44" t="inlineStr">
        <is>
          <t>tests/components/bottom-navigation/behavior.spec.ts; tests/components/bottom-navigation/visual.spec.ts</t>
        </is>
      </c>
      <c r="H16" s="43" t="inlineStr">
        <is>
          <t>tested</t>
        </is>
      </c>
      <c r="I16" s="43" t="inlineStr">
        <is>
          <t>no</t>
        </is>
      </c>
      <c r="J16" s="45" t="n">
        <v>46230</v>
      </c>
      <c r="K16" s="44" t="n"/>
      <c r="L16" s="43" t="n">
        <v>1</v>
      </c>
      <c r="M16" s="43">
        <f>IF(OR(AND(I16="yes",H16="verified"),AND(I16="no",OR(H16="tested",H16="verified")),AND(H16="not applicable",K16&lt;&gt;"")),1,0)</f>
        <v/>
      </c>
    </row>
    <row r="17" ht="54" customHeight="1" s="34">
      <c r="A17" s="43" t="inlineStr">
        <is>
          <t>BN-09</t>
        </is>
      </c>
      <c r="B17" s="43" t="inlineStr">
        <is>
          <t>Sizes</t>
        </is>
      </c>
      <c r="C17" s="43" t="inlineStr">
        <is>
          <t>All parts</t>
        </is>
      </c>
      <c r="D17" s="44" t="inlineStr">
        <is>
          <t>Small, medium, and large coordinate Root padding, Item target, Icon, indicator, and label typography as one recipe.</t>
        </is>
      </c>
      <c r="E17" s="43" t="inlineStr">
        <is>
          <t>package</t>
        </is>
      </c>
      <c r="F17" s="43" t="inlineStr">
        <is>
          <t>browser</t>
        </is>
      </c>
      <c r="G17" s="44" t="inlineStr">
        <is>
          <t>tests/components/bottom-navigation/behavior.spec.ts</t>
        </is>
      </c>
      <c r="H17" s="43" t="inlineStr">
        <is>
          <t>tested</t>
        </is>
      </c>
      <c r="I17" s="43" t="inlineStr">
        <is>
          <t>no</t>
        </is>
      </c>
      <c r="J17" s="45" t="n">
        <v>46230</v>
      </c>
      <c r="K17" s="44" t="n"/>
      <c r="L17" s="43" t="n">
        <v>1</v>
      </c>
      <c r="M17" s="43">
        <f>IF(OR(AND(I17="yes",H17="verified"),AND(I17="no",OR(H17="tested",H17="verified")),AND(H17="not applicable",K17&lt;&gt;"")),1,0)</f>
        <v/>
      </c>
    </row>
    <row r="18" ht="54" customHeight="1" s="34">
      <c r="A18" s="43" t="inlineStr">
        <is>
          <t>BN-10</t>
        </is>
      </c>
      <c r="B18" s="43" t="inlineStr">
        <is>
          <t>Position</t>
        </is>
      </c>
      <c r="C18" s="43" t="inlineStr">
        <is>
          <t>Root</t>
        </is>
      </c>
      <c r="D18" s="44" t="inlineStr">
        <is>
          <t>Static, sticky, absolute, and fixed retain distinct computed positioning; safe-area ownership is internal for full bars and an outer offset for positioned floating bars.</t>
        </is>
      </c>
      <c r="E18" s="43" t="inlineStr">
        <is>
          <t>package</t>
        </is>
      </c>
      <c r="F18" s="43" t="inlineStr">
        <is>
          <t>browser</t>
        </is>
      </c>
      <c r="G18" s="44" t="inlineStr">
        <is>
          <t>tests/components/bottom-navigation/behavior.spec.ts; ../test/components/bottom-navigation/bottom-navigation.test.tsx</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BN-11</t>
        </is>
      </c>
      <c r="B19" s="43" t="inlineStr">
        <is>
          <t>Selection</t>
        </is>
      </c>
      <c r="C19" s="43" t="inlineStr">
        <is>
          <t>Root/Icon/Item</t>
        </is>
      </c>
      <c r="D19" s="44" t="inlineStr">
        <is>
          <t>Indicator selection paints only Icon with circle, rounded, or pill geometry; Item selection paints the whole destination with square, rounded, or pill geometry and no layout shift.</t>
        </is>
      </c>
      <c r="E19" s="43" t="inlineStr">
        <is>
          <t>package</t>
        </is>
      </c>
      <c r="F19" s="43" t="inlineStr">
        <is>
          <t>browser</t>
        </is>
      </c>
      <c r="G19" s="44" t="inlineStr">
        <is>
          <t>tests/components/bottom-navigation/behavior.spec.ts; tests/components/bottom-navigation/visual.spec.ts</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BN-12</t>
        </is>
      </c>
      <c r="B20" s="43" t="inlineStr">
        <is>
          <t>Labels</t>
        </is>
      </c>
      <c r="C20" s="43" t="inlineStr">
        <is>
          <t>Root/Label</t>
        </is>
      </c>
      <c r="D20" s="44" t="inlineStr">
        <is>
          <t>always, active, and hidden policies change only visual label presentation while every destination retains the authored accessible name.</t>
        </is>
      </c>
      <c r="E20" s="43" t="inlineStr">
        <is>
          <t>package</t>
        </is>
      </c>
      <c r="F20" s="43" t="inlineStr">
        <is>
          <t>browser</t>
        </is>
      </c>
      <c r="G20" s="44" t="inlineStr">
        <is>
          <t>tests/components/bottom-navigation/behavior.spec.ts</t>
        </is>
      </c>
      <c r="H20" s="43" t="inlineStr">
        <is>
          <t>tested</t>
        </is>
      </c>
      <c r="I20" s="43" t="inlineStr">
        <is>
          <t>no</t>
        </is>
      </c>
      <c r="J20" s="45" t="n">
        <v>46230</v>
      </c>
      <c r="K20" s="44" t="n"/>
      <c r="L20" s="43" t="n">
        <v>1</v>
      </c>
      <c r="M20" s="43">
        <f>IF(OR(AND(I20="yes",H20="verified"),AND(I20="no",OR(H20="tested",H20="verified")),AND(H20="not applicable",K20&lt;&gt;"")),1,0)</f>
        <v/>
      </c>
    </row>
    <row r="21" ht="54" customHeight="1" s="34">
      <c r="A21" s="43" t="inlineStr">
        <is>
          <t>BN-13</t>
        </is>
      </c>
      <c r="B21" s="43" t="inlineStr">
        <is>
          <t>Selection behavior</t>
        </is>
      </c>
      <c r="C21" s="43" t="inlineStr">
        <is>
          <t>Root/Item</t>
        </is>
      </c>
      <c r="D21" s="44" t="inlineStr">
        <is>
          <t>Controlled and uncontrolled values update exactly one active destination and call the application change handler.</t>
        </is>
      </c>
      <c r="E21" s="43" t="inlineStr">
        <is>
          <t>package</t>
        </is>
      </c>
      <c r="F21" s="43" t="inlineStr">
        <is>
          <t>component</t>
        </is>
      </c>
      <c r="G21" s="44" t="inlineStr">
        <is>
          <t>../test/components/bottom-navigation/bottom-navigation.test.tsx; tests/components/bottom-navigation/behavior.spec.ts</t>
        </is>
      </c>
      <c r="H21" s="43" t="inlineStr">
        <is>
          <t>tested</t>
        </is>
      </c>
      <c r="I21" s="43" t="inlineStr">
        <is>
          <t>no</t>
        </is>
      </c>
      <c r="J21" s="45" t="n">
        <v>46230</v>
      </c>
      <c r="K21" s="44" t="n"/>
      <c r="L21" s="43" t="n">
        <v>1</v>
      </c>
      <c r="M21" s="43">
        <f>IF(OR(AND(I21="yes",H21="verified"),AND(I21="no",OR(H21="tested",H21="verified")),AND(H21="not applicable",K21&lt;&gt;"")),1,0)</f>
        <v/>
      </c>
    </row>
    <row r="22" ht="54" customHeight="1" s="34">
      <c r="A22" s="43" t="inlineStr">
        <is>
          <t>BN-14</t>
        </is>
      </c>
      <c r="B22" s="43" t="inlineStr">
        <is>
          <t>Destinations/states</t>
        </is>
      </c>
      <c r="C22" s="43" t="inlineStr">
        <is>
          <t>Item</t>
        </is>
      </c>
      <c r="D22" s="44" t="inlineStr">
        <is>
          <t>href Items remain native current-page anchors; Items without href remain buttons; hover, pressed, focus-visible, current, and disabled behavior stay distinct.</t>
        </is>
      </c>
      <c r="E22" s="43" t="inlineStr">
        <is>
          <t>package</t>
        </is>
      </c>
      <c r="F22" s="43" t="inlineStr">
        <is>
          <t>browser</t>
        </is>
      </c>
      <c r="G22" s="44" t="inlineStr">
        <is>
          <t>tests/components/bottom-navigation/behavior.spec.ts; ../test/components/bottom-navigation/bottom-navigation.test.tsx</t>
        </is>
      </c>
      <c r="H22" s="43" t="inlineStr">
        <is>
          <t>tested</t>
        </is>
      </c>
      <c r="I22" s="43" t="inlineStr">
        <is>
          <t>no</t>
        </is>
      </c>
      <c r="J22" s="45" t="n">
        <v>46230</v>
      </c>
      <c r="K22" s="44" t="n"/>
      <c r="L22" s="43" t="n">
        <v>1</v>
      </c>
      <c r="M22" s="43">
        <f>IF(OR(AND(I22="yes",H22="verified"),AND(I22="no",OR(H22="tested",H22="verified")),AND(H22="not applicable",K22&lt;&gt;"")),1,0)</f>
        <v/>
      </c>
    </row>
    <row r="23" ht="54" customHeight="1" s="34">
      <c r="A23" s="43" t="inlineStr">
        <is>
          <t>BN-15</t>
        </is>
      </c>
      <c r="B23" s="43" t="inlineStr">
        <is>
          <t>Content</t>
        </is>
      </c>
      <c r="C23" s="43" t="inlineStr">
        <is>
          <t>Icon/Label</t>
        </is>
      </c>
      <c r="D23" s="44" t="inlineStr">
        <is>
          <t>Three, four, and five destinations plus Notification Badge composition retain one destination name, one focus target, and bounded geometry.</t>
        </is>
      </c>
      <c r="E23" s="43" t="inlineStr">
        <is>
          <t>package</t>
        </is>
      </c>
      <c r="F23" s="43" t="inlineStr">
        <is>
          <t>browser</t>
        </is>
      </c>
      <c r="G23" s="44" t="inlineStr">
        <is>
          <t>tests/components/bottom-navigation/behavior.spec.ts</t>
        </is>
      </c>
      <c r="H23" s="43" t="inlineStr">
        <is>
          <t>tested</t>
        </is>
      </c>
      <c r="I23" s="43" t="inlineStr">
        <is>
          <t>no</t>
        </is>
      </c>
      <c r="J23" s="45" t="n">
        <v>46230</v>
      </c>
      <c r="K23" s="44" t="n"/>
      <c r="L23" s="43" t="n">
        <v>1</v>
      </c>
      <c r="M23" s="43">
        <f>IF(OR(AND(I23="yes",H23="verified"),AND(I23="no",OR(H23="tested",H23="verified")),AND(H23="not applicable",K23&lt;&gt;"")),1,0)</f>
        <v/>
      </c>
    </row>
    <row r="24" ht="54" customHeight="1" s="34">
      <c r="A24" s="43" t="inlineStr">
        <is>
          <t>BN-16</t>
        </is>
      </c>
      <c r="B24" s="43" t="inlineStr">
        <is>
          <t>Composition</t>
        </is>
      </c>
      <c r="C24" s="43" t="inlineStr">
        <is>
          <t>All parts</t>
        </is>
      </c>
      <c r="D24" s="44" t="inlineStr">
        <is>
          <t>Router asChild output preserves the native anchor, href, state, Brick/Atom class and slot ownership without another interactive wrapper.</t>
        </is>
      </c>
      <c r="E24" s="43" t="inlineStr">
        <is>
          <t>package</t>
        </is>
      </c>
      <c r="F24" s="43" t="inlineStr">
        <is>
          <t>browser</t>
        </is>
      </c>
      <c r="G24" s="44" t="inlineStr">
        <is>
          <t>../test/components/bottom-navigation/bottom-navigation.test.tsx; tests/components/bottom-navigation/behavior.spec.ts</t>
        </is>
      </c>
      <c r="H24" s="43" t="inlineStr">
        <is>
          <t>tested</t>
        </is>
      </c>
      <c r="I24" s="43" t="inlineStr">
        <is>
          <t>no</t>
        </is>
      </c>
      <c r="J24" s="45" t="n">
        <v>46230</v>
      </c>
      <c r="K24" s="44" t="n"/>
      <c r="L24" s="43" t="n">
        <v>1</v>
      </c>
      <c r="M24" s="43">
        <f>IF(OR(AND(I24="yes",H24="verified"),AND(I24="no",OR(H24="tested",H24="verified")),AND(H24="not applicable",K24&lt;&gt;"")),1,0)</f>
        <v/>
      </c>
    </row>
    <row r="25" ht="54" customHeight="1" s="34">
      <c r="A25" s="43" t="inlineStr">
        <is>
          <t>BN-17</t>
        </is>
      </c>
      <c r="B25" s="43" t="inlineStr">
        <is>
          <t>Effects</t>
        </is>
      </c>
      <c r="C25" s="43" t="inlineStr">
        <is>
          <t>Root</t>
        </is>
      </c>
      <c r="D25" s="44" t="inlineStr">
        <is>
          <t>Elevation and blur are opt-in paint effects that do not imply layout or position; reduced transparency removes blur while preserving the surface.</t>
        </is>
      </c>
      <c r="E25" s="43" t="inlineStr">
        <is>
          <t>package</t>
        </is>
      </c>
      <c r="F25" s="43" t="inlineStr">
        <is>
          <t>browser</t>
        </is>
      </c>
      <c r="G25" s="44" t="inlineStr">
        <is>
          <t>tests/components/bottom-navigation/behavior.spec.ts; tests/components/bottom-navigation/visual.spec.ts</t>
        </is>
      </c>
      <c r="H25" s="43" t="inlineStr">
        <is>
          <t>tested</t>
        </is>
      </c>
      <c r="I25" s="43" t="inlineStr">
        <is>
          <t>no</t>
        </is>
      </c>
      <c r="J25" s="45" t="n">
        <v>46230</v>
      </c>
      <c r="K25" s="44" t="n"/>
      <c r="L25" s="43" t="n">
        <v>1</v>
      </c>
      <c r="M25" s="43">
        <f>IF(OR(AND(I25="yes",H25="verified"),AND(I25="no",OR(H25="tested",H25="verified")),AND(H25="not applicable",K25&lt;&gt;"")),1,0)</f>
        <v/>
      </c>
    </row>
    <row r="26" ht="54" customHeight="1" s="34">
      <c r="A26" s="43" t="inlineStr">
        <is>
          <t>BN-18</t>
        </is>
      </c>
      <c r="B26" s="43" t="inlineStr">
        <is>
          <t>Customization</t>
        </is>
      </c>
      <c r="C26" s="43" t="inlineStr">
        <is>
          <t>Root</t>
        </is>
      </c>
      <c r="D26" s="44" t="inlineStr">
        <is>
          <t>The documented CSS variables exactly produce the amber surface, border, selected indicator, and active foreground shown beside the code.</t>
        </is>
      </c>
      <c r="E26" s="43" t="inlineStr">
        <is>
          <t>package</t>
        </is>
      </c>
      <c r="F26" s="43" t="inlineStr">
        <is>
          <t>visual</t>
        </is>
      </c>
      <c r="G26" s="44" t="inlineStr">
        <is>
          <t>src/components/bottom-navigation/BottomNavigationPage.tsx; tests/components/bottom-navigation/visual.spec.ts</t>
        </is>
      </c>
      <c r="H26" s="43" t="inlineStr">
        <is>
          <t>verified</t>
        </is>
      </c>
      <c r="I26" s="43" t="inlineStr">
        <is>
          <t>yes</t>
        </is>
      </c>
      <c r="J26" s="45" t="n">
        <v>46230</v>
      </c>
      <c r="K26" s="44" t="inlineStr">
        <is>
          <t>Agent inspected the generated customization and appearance baselines.</t>
        </is>
      </c>
      <c r="L26" s="43" t="n">
        <v>1</v>
      </c>
      <c r="M26" s="43">
        <f>IF(OR(AND(I26="yes",H26="verified"),AND(I26="no",OR(H26="tested",H26="verified")),AND(H26="not applicable",K26&lt;&gt;"")),1,0)</f>
        <v/>
      </c>
    </row>
    <row r="27" ht="54" customHeight="1" s="34">
      <c r="A27" s="43" t="inlineStr">
        <is>
          <t>BN-19</t>
        </is>
      </c>
      <c r="B27" s="43" t="inlineStr">
        <is>
          <t>Responsive</t>
        </is>
      </c>
      <c r="C27" s="43" t="inlineStr">
        <is>
          <t>All parts</t>
        </is>
      </c>
      <c r="D27" s="44" t="inlineStr">
        <is>
          <t>Narrow width, genuine long labels, three-to-five destinations, mobile viewports, and zoom guidance remain contained without horizontal page overflow.</t>
        </is>
      </c>
      <c r="E27" s="43" t="inlineStr">
        <is>
          <t>package</t>
        </is>
      </c>
      <c r="F27" s="43" t="inlineStr">
        <is>
          <t>browser</t>
        </is>
      </c>
      <c r="G27" s="44" t="inlineStr">
        <is>
          <t>tests/components/bottom-navigation/behavior.spec.ts; tests/components/bottom-navigation/visual.spec.ts</t>
        </is>
      </c>
      <c r="H27" s="43" t="inlineStr">
        <is>
          <t>tested</t>
        </is>
      </c>
      <c r="I27" s="43" t="inlineStr">
        <is>
          <t>no</t>
        </is>
      </c>
      <c r="J27" s="45" t="n">
        <v>46230</v>
      </c>
      <c r="K27" s="44" t="n"/>
      <c r="L27" s="43" t="n">
        <v>1</v>
      </c>
      <c r="M27" s="43">
        <f>IF(OR(AND(I27="yes",H27="verified"),AND(I27="no",OR(H27="tested",H27="verified")),AND(H27="not applicable",K27&lt;&gt;"")),1,0)</f>
        <v/>
      </c>
    </row>
    <row r="28" ht="54" customHeight="1" s="34">
      <c r="A28" s="43" t="inlineStr">
        <is>
          <t>BN-20</t>
        </is>
      </c>
      <c r="B28" s="43" t="inlineStr">
        <is>
          <t>Direction/preferences</t>
        </is>
      </c>
      <c r="C28" s="43" t="inlineStr">
        <is>
          <t>All parts</t>
        </is>
      </c>
      <c r="D28" s="44" t="inlineStr">
        <is>
          <t>RTL uses logical order and genuine Arabic content; forced colors and reduced motion preserve selection, focus, and usable geometry.</t>
        </is>
      </c>
      <c r="E28" s="43" t="inlineStr">
        <is>
          <t>package</t>
        </is>
      </c>
      <c r="F28" s="43" t="inlineStr">
        <is>
          <t>browser</t>
        </is>
      </c>
      <c r="G28" s="44" t="inlineStr">
        <is>
          <t>tests/components/bottom-navigation/behavior.spec.ts; tests/components/bottom-navigation/visual.spec.ts</t>
        </is>
      </c>
      <c r="H28" s="43" t="inlineStr">
        <is>
          <t>tested</t>
        </is>
      </c>
      <c r="I28" s="43" t="inlineStr">
        <is>
          <t>no</t>
        </is>
      </c>
      <c r="J28" s="45" t="n">
        <v>46230</v>
      </c>
      <c r="K28" s="44" t="n"/>
      <c r="L28" s="43" t="n">
        <v>1</v>
      </c>
      <c r="M28" s="43">
        <f>IF(OR(AND(I28="yes",H28="verified"),AND(I28="no",OR(H28="tested",H28="verified")),AND(H28="not applicable",K28&lt;&gt;"")),1,0)</f>
        <v/>
      </c>
    </row>
    <row r="29" ht="54" customHeight="1" s="34">
      <c r="A29" s="43" t="inlineStr">
        <is>
          <t>BN-21</t>
        </is>
      </c>
      <c r="B29" s="43" t="inlineStr">
        <is>
          <t>Accessibility</t>
        </is>
      </c>
      <c r="C29" s="43" t="inlineStr">
        <is>
          <t>All parts</t>
        </is>
      </c>
      <c r="D29" s="44" t="inlineStr">
        <is>
          <t>Named navigation landmarks, native link/button roles, aria-current, disabled state, silent Icons, hidden labels, focus, target geometry, and axe remain valid.</t>
        </is>
      </c>
      <c r="E29" s="43" t="inlineStr">
        <is>
          <t>package</t>
        </is>
      </c>
      <c r="F29" s="43" t="inlineStr">
        <is>
          <t>axe</t>
        </is>
      </c>
      <c r="G29" s="44" t="inlineStr">
        <is>
          <t>tests/components/bottom-navigation/behavior.spec.ts</t>
        </is>
      </c>
      <c r="H29" s="43" t="inlineStr">
        <is>
          <t>tested</t>
        </is>
      </c>
      <c r="I29" s="43" t="inlineStr">
        <is>
          <t>no</t>
        </is>
      </c>
      <c r="J29" s="45" t="n">
        <v>46230</v>
      </c>
      <c r="K29" s="44" t="n"/>
      <c r="L29" s="43" t="n">
        <v>1</v>
      </c>
      <c r="M29" s="43">
        <f>IF(OR(AND(I29="yes",H29="verified"),AND(I29="no",OR(H29="tested",H29="verified")),AND(H29="not applicable",K29&lt;&gt;"")),1,0)</f>
        <v/>
      </c>
    </row>
    <row r="30" ht="54" customHeight="1" s="34">
      <c r="A30" s="43" t="inlineStr">
        <is>
          <t>BN-22</t>
        </is>
      </c>
      <c r="B30" s="43" t="inlineStr">
        <is>
          <t>Visual</t>
        </is>
      </c>
      <c r="C30" s="43" t="inlineStr">
        <is>
          <t>All parts</t>
        </is>
      </c>
      <c r="D30" s="44" t="inlineStr">
        <is>
          <t>Reviewed Chromium baselines cover defaults, all recipes, layout, selection, content, behavior, effects, dark appearance, mobile RTL, safe areas, and forced colors.</t>
        </is>
      </c>
      <c r="E30" s="43" t="inlineStr">
        <is>
          <t>package</t>
        </is>
      </c>
      <c r="F30" s="43" t="inlineStr">
        <is>
          <t>visual</t>
        </is>
      </c>
      <c r="G30" s="44" t="inlineStr">
        <is>
          <t>tests/components/bottom-navigation/visual.spec.ts</t>
        </is>
      </c>
      <c r="H30" s="43" t="inlineStr">
        <is>
          <t>verified</t>
        </is>
      </c>
      <c r="I30" s="43" t="inlineStr">
        <is>
          <t>yes</t>
        </is>
      </c>
      <c r="J30" s="45" t="n">
        <v>46230</v>
      </c>
      <c r="K30" s="44" t="inlineStr">
        <is>
          <t>Agent inspected every revised Bottom Navigation baseline.</t>
        </is>
      </c>
      <c r="L30" s="43" t="n">
        <v>1</v>
      </c>
      <c r="M30" s="43">
        <f>IF(OR(AND(I30="yes",H30="verified"),AND(I30="no",OR(H30="tested",H30="verified")),AND(H30="not applicable",K30&lt;&gt;"")),1,0)</f>
        <v/>
      </c>
    </row>
    <row r="31" ht="54" customHeight="1" s="34">
      <c r="A31" s="43" t="inlineStr">
        <is>
          <t>BN-23</t>
        </is>
      </c>
      <c r="B31" s="43" t="inlineStr">
        <is>
          <t>Manual</t>
        </is>
      </c>
      <c r="C31" s="43" t="inlineStr">
        <is>
          <t>Bottom Navigation</t>
        </is>
      </c>
      <c r="D31" s="44" t="inlineStr">
        <is>
          <t>A tester completes the concise top-down pointer, keyboard, AT, zoom, mobile, safe-area, appearance, RTL, forced-color, and preference protocol.</t>
        </is>
      </c>
      <c r="E31" s="43" t="inlineStr">
        <is>
          <t>package</t>
        </is>
      </c>
      <c r="F31" s="43" t="inlineStr">
        <is>
          <t>manual</t>
        </is>
      </c>
      <c r="G31" s="44" t="inlineStr">
        <is>
          <t>manual-tests/bottom-navigation.md</t>
        </is>
      </c>
      <c r="H31" s="43" t="inlineStr">
        <is>
          <t>not started</t>
        </is>
      </c>
      <c r="I31" s="43" t="inlineStr">
        <is>
          <t>yes</t>
        </is>
      </c>
      <c r="J31" s="45" t="n">
        <v>46230</v>
      </c>
      <c r="K31" s="44" t="inlineStr">
        <is>
          <t>Human run intentionally unclaimed.</t>
        </is>
      </c>
      <c r="L31" s="43" t="n">
        <v>1</v>
      </c>
      <c r="M31" s="43">
        <f>IF(OR(AND(I31="yes",H31="verified"),AND(I31="no",OR(H31="tested",H31="verified")),AND(H31="not applicable",K31&lt;&gt;"")),1,0)</f>
        <v/>
      </c>
    </row>
    <row r="32" ht="54" customHeight="1" s="34">
      <c r="A32" s="43" t="inlineStr">
        <is>
          <t>BN-24</t>
        </is>
      </c>
      <c r="B32" s="43" t="inlineStr">
        <is>
          <t>Docs</t>
        </is>
      </c>
      <c r="C32" s="43" t="inlineStr">
        <is>
          <t>Bottom Navigation</t>
        </is>
      </c>
      <c r="D32" s="44" t="inlineStr">
        <is>
          <t>Source-backed usage, anatomy, API, recipes, positions, labels, accessibility, responsive behavior, composition, CSS, customization, and evidence are documented.</t>
        </is>
      </c>
      <c r="E32" s="43" t="inlineStr">
        <is>
          <t>package</t>
        </is>
      </c>
      <c r="F32" s="43" t="inlineStr">
        <is>
          <t>docs</t>
        </is>
      </c>
      <c r="G32" s="44" t="inlineStr">
        <is>
          <t>../docs/components/bottom-navigation/README.md</t>
        </is>
      </c>
      <c r="H32" s="43" t="inlineStr">
        <is>
          <t>tested</t>
        </is>
      </c>
      <c r="I32" s="43" t="inlineStr">
        <is>
          <t>no</t>
        </is>
      </c>
      <c r="J32" s="45" t="n">
        <v>46230</v>
      </c>
      <c r="K32" s="44" t="n"/>
      <c r="L32" s="43" t="n">
        <v>1</v>
      </c>
      <c r="M32" s="43">
        <f>IF(OR(AND(I32="yes",H32="verified"),AND(I32="no",OR(H32="tested",H32="verified")),AND(H32="not applicable",K32&lt;&gt;"")),1,0)</f>
        <v/>
      </c>
    </row>
    <row r="33" ht="54" customHeight="1" s="34">
      <c r="A33" s="43" t="inlineStr">
        <is>
          <t>BN-25</t>
        </is>
      </c>
      <c r="B33" s="43" t="inlineStr">
        <is>
          <t>Changelog</t>
        </is>
      </c>
      <c r="C33" s="43" t="inlineStr">
        <is>
          <t>Bottom Navigation</t>
        </is>
      </c>
      <c r="D33" s="44" t="inlineStr">
        <is>
          <t>Bottom Navigation owns a public changelog and the package changelog records the public addition.</t>
        </is>
      </c>
      <c r="E33" s="43" t="inlineStr">
        <is>
          <t>package</t>
        </is>
      </c>
      <c r="F33" s="43" t="inlineStr">
        <is>
          <t>docs</t>
        </is>
      </c>
      <c r="G33" s="44" t="inlineStr">
        <is>
          <t>../docs/components/bottom-navigation/CHANGELOG.md; ../CHANGELOG.md</t>
        </is>
      </c>
      <c r="H33" s="43" t="inlineStr">
        <is>
          <t>tested</t>
        </is>
      </c>
      <c r="I33" s="43" t="inlineStr">
        <is>
          <t>no</t>
        </is>
      </c>
      <c r="J33" s="45" t="n">
        <v>46230</v>
      </c>
      <c r="K33" s="44" t="n"/>
      <c r="L33" s="43" t="n">
        <v>1</v>
      </c>
      <c r="M33" s="43">
        <f>IF(OR(AND(I33="yes",H33="verified"),AND(I33="no",OR(H33="tested",H33="verified")),AND(H33="not applicable",K33&lt;&gt;"")),1,0)</f>
        <v/>
      </c>
    </row>
    <row r="34" ht="54" customHeight="1" s="34">
      <c r="A34" s="43" t="inlineStr">
        <is>
          <t>BN-26</t>
        </is>
      </c>
      <c r="B34" s="43" t="inlineStr">
        <is>
          <t>Playground</t>
        </is>
      </c>
      <c r="C34" s="43" t="inlineStr">
        <is>
          <t>Bottom Navigation</t>
        </is>
      </c>
      <c r="D34" s="44" t="inlineStr">
        <is>
          <t>One navigable route exposes nine comprehensive scenarios, actual rendered composition output, and Brick-only public imports.</t>
        </is>
      </c>
      <c r="E34" s="43" t="inlineStr">
        <is>
          <t>package</t>
        </is>
      </c>
      <c r="F34" s="43" t="inlineStr">
        <is>
          <t>playground</t>
        </is>
      </c>
      <c r="G34" s="44" t="inlineStr">
        <is>
          <t>src/components/bottom-navigation/BottomNavigationPage.tsx</t>
        </is>
      </c>
      <c r="H34" s="43" t="inlineStr">
        <is>
          <t>tested</t>
        </is>
      </c>
      <c r="I34" s="43" t="inlineStr">
        <is>
          <t>no</t>
        </is>
      </c>
      <c r="J34" s="45" t="n">
        <v>46230</v>
      </c>
      <c r="K34" s="44" t="n"/>
      <c r="L34" s="43" t="n">
        <v>1</v>
      </c>
      <c r="M34" s="43">
        <f>IF(OR(AND(I34="yes",H34="verified"),AND(I34="no",OR(H34="tested",H34="verified")),AND(H34="not applicable",K34&lt;&gt;"")),1,0)</f>
        <v/>
      </c>
    </row>
    <row r="35" ht="54" customHeight="1" s="34">
      <c r="A35" s="43" t="inlineStr">
        <is>
          <t>BN-27</t>
        </is>
      </c>
      <c r="B35" s="43" t="inlineStr">
        <is>
          <t>Consumer</t>
        </is>
      </c>
      <c r="C35" s="43" t="inlineStr">
        <is>
          <t>Bottom Navigation</t>
        </is>
      </c>
      <c r="D35" s="44" t="inlineStr">
        <is>
          <t>Packed Consumer imports the public subpath and operates realistic controlled and badged destinations on desktop and mobile.</t>
        </is>
      </c>
      <c r="E35" s="43" t="inlineStr">
        <is>
          <t>consumer</t>
        </is>
      </c>
      <c r="F35" s="43" t="inlineStr">
        <is>
          <t>consumer</t>
        </is>
      </c>
      <c r="G35" s="44" t="inlineStr">
        <is>
          <t>../apps/consumer/src/App.tsx; ../apps/consumer/tests/consumer.spec.ts</t>
        </is>
      </c>
      <c r="H35" s="43" t="inlineStr">
        <is>
          <t>tested</t>
        </is>
      </c>
      <c r="I35" s="43" t="inlineStr">
        <is>
          <t>no</t>
        </is>
      </c>
      <c r="J35" s="45" t="n">
        <v>46230</v>
      </c>
      <c r="K35" s="44" t="n"/>
      <c r="L35" s="43" t="n">
        <v>1</v>
      </c>
      <c r="M35" s="43">
        <f>IF(OR(AND(I35="yes",H35="verified"),AND(I35="no",OR(H35="tested",H35="verified")),AND(H35="not applicable",K35&lt;&gt;"")),1,0)</f>
        <v/>
      </c>
    </row>
    <row r="36" ht="54" customHeight="1" s="34">
      <c r="A36" s="43" t="inlineStr">
        <is>
          <t>BN-28</t>
        </is>
      </c>
      <c r="B36" s="43" t="inlineStr">
        <is>
          <t>Package</t>
        </is>
      </c>
      <c r="C36" s="43" t="inlineStr">
        <is>
          <t>Bottom Navigation</t>
        </is>
      </c>
      <c r="D36" s="44" t="inlineStr">
        <is>
          <t>Build, exports, SSR, tarball, CSS, React 18/19, Consumer, configured desktop/mobile browsers, docs, ownership, and exact Atom 0.20.11 dependency pass.</t>
        </is>
      </c>
      <c r="E36" s="43" t="inlineStr">
        <is>
          <t>package</t>
        </is>
      </c>
      <c r="F36" s="43" t="inlineStr">
        <is>
          <t>package</t>
        </is>
      </c>
      <c r="G36" s="44" t="inlineStr">
        <is>
          <t>../scripts/verify-package.mjs; ../scripts/verify-consumers.mjs</t>
        </is>
      </c>
      <c r="H36" s="43" t="inlineStr">
        <is>
          <t>tested</t>
        </is>
      </c>
      <c r="I36" s="43" t="inlineStr">
        <is>
          <t>no</t>
        </is>
      </c>
      <c r="J36" s="45" t="n">
        <v>46230</v>
      </c>
      <c r="K36" s="44" t="n"/>
      <c r="L36" s="43" t="n">
        <v>1</v>
      </c>
      <c r="M36" s="43">
        <f>IF(OR(AND(I36="yes",H36="verified"),AND(I36="no",OR(H36="tested",H36="verified")),AND(H36="not applicable",K36&lt;&gt;"")),1,0)</f>
        <v/>
      </c>
    </row>
  </sheetData>
  <mergeCells count="2">
    <mergeCell ref="A2:M2"/>
    <mergeCell ref="A1:M1"/>
  </mergeCells>
  <dataValidations count="2">
    <dataValidation sqref="H9:H36" showDropDown="0" showInputMessage="0" showErrorMessage="0" allowBlank="0" type="list" errorStyle="stop" operator="between">
      <formula1>"not started,partial,implemented,tested,verified,blocked,not applicable"</formula1>
      <formula2>0</formula2>
    </dataValidation>
    <dataValidation sqref="I9:I36"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M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Visually Hidden Evidence</t>
        </is>
      </c>
    </row>
    <row r="2" ht="27.75" customHeight="1" s="34">
      <c r="A2" s="36" t="inlineStr">
        <is>
          <t>Assertion-level Atom-backed assistive text, naming, composition, native ownership, accessibility, visual, documentation, Consumer, and package evidence.</t>
        </is>
      </c>
    </row>
    <row r="4" ht="17.25" customHeight="1" s="34">
      <c r="A4" s="37" t="inlineStr">
        <is>
          <t>Requirements</t>
        </is>
      </c>
      <c r="B4" s="38">
        <f>COUNTA(A9:A27)</f>
        <v/>
      </c>
      <c r="D4" s="37" t="inlineStr">
        <is>
          <t>Resolved</t>
        </is>
      </c>
      <c r="E4" s="38">
        <f>SUM(M9:M27)</f>
        <v/>
      </c>
      <c r="G4" s="37" t="inlineStr">
        <is>
          <t>Completion</t>
        </is>
      </c>
      <c r="H4" s="39">
        <f>IF(B4=0,0,E4/B4)</f>
        <v/>
      </c>
      <c r="J4" s="37" t="inlineStr">
        <is>
          <t>Package gate</t>
        </is>
      </c>
      <c r="K4" s="38">
        <f>IF(COUNTIFS(E9:E27,"package",M9:M27,0)&gt;0,"open","complete")</f>
        <v/>
      </c>
    </row>
    <row r="5" ht="17.25" customHeight="1" s="34">
      <c r="A5" s="37" t="inlineStr">
        <is>
          <t>Manual review</t>
        </is>
      </c>
      <c r="B5" s="38">
        <f>IF(COUNTIFS(I9:I27,"yes",M9:M27,0)&gt;0,"open","complete")</f>
        <v/>
      </c>
      <c r="D5" s="37" t="inlineStr">
        <is>
          <t>Consumer gate</t>
        </is>
      </c>
      <c r="E5" s="38">
        <f>IF(COUNTIFS(E9:E27,"consumer",M9:M27,0)&gt;0,"open","complete")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VH-01</t>
        </is>
      </c>
      <c r="B9" s="43" t="inlineStr">
        <is>
          <t>Ownership</t>
        </is>
      </c>
      <c r="C9" s="43" t="inlineStr">
        <is>
          <t>Root</t>
        </is>
      </c>
      <c r="D9" s="44" t="inlineStr">
        <is>
          <t>Brick delegates all assistive-text behavior to released Atom 0.20.11 Visually Hidden and adds only the stable Brick class and default slot.</t>
        </is>
      </c>
      <c r="E9" s="43" t="inlineStr">
        <is>
          <t>package</t>
        </is>
      </c>
      <c r="F9" s="43" t="inlineStr">
        <is>
          <t>source</t>
        </is>
      </c>
      <c r="G9" s="44" t="inlineStr">
        <is>
          <t>../src/components/visually-hidden</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VH-02</t>
        </is>
      </c>
      <c r="B10" s="43" t="inlineStr">
        <is>
          <t>Anatomy</t>
        </is>
      </c>
      <c r="C10" s="43" t="inlineStr">
        <is>
          <t>Root</t>
        </is>
      </c>
      <c r="D10" s="44" t="inlineStr">
        <is>
          <t>The one-part namespace preserves Atom's default span, children, inline hiding behavior, native props, composition, and ref.</t>
        </is>
      </c>
      <c r="E10" s="43" t="inlineStr">
        <is>
          <t>package</t>
        </is>
      </c>
      <c r="F10" s="43" t="inlineStr">
        <is>
          <t>component</t>
        </is>
      </c>
      <c r="G10" s="44" t="inlineStr">
        <is>
          <t>../test/components/visually-hidden/visually-hidden.test.tsx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VH-03</t>
        </is>
      </c>
      <c r="B11" s="43" t="inlineStr">
        <is>
          <t>Exports</t>
        </is>
      </c>
      <c r="C11" s="43" t="inlineStr">
        <is>
          <t>VisuallyHidden</t>
        </is>
      </c>
      <c r="D11" s="44" t="inlineStr">
        <is>
          <t>Root and visually-hidden subpath expose the namespace, named Root, and Root props with identical runtime identities.</t>
        </is>
      </c>
      <c r="E11" s="43" t="inlineStr">
        <is>
          <t>package</t>
        </is>
      </c>
      <c r="F11" s="43" t="inlineStr">
        <is>
          <t>package</t>
        </is>
      </c>
      <c r="G11" s="44" t="inlineStr">
        <is>
          <t>../test/package/package.test.mjs; ../scripts/verify-consumers.mjs</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VH-04</t>
        </is>
      </c>
      <c r="B12" s="43" t="inlineStr">
        <is>
          <t>Types</t>
        </is>
      </c>
      <c r="C12" s="43" t="inlineStr">
        <is>
          <t>Root</t>
        </is>
      </c>
      <c r="D12" s="44" t="inlineStr">
        <is>
          <t>Children, native span attributes, style, ref, render, and asChild type-check through the public subpath.</t>
        </is>
      </c>
      <c r="E12" s="43" t="inlineStr">
        <is>
          <t>package</t>
        </is>
      </c>
      <c r="F12" s="43" t="inlineStr">
        <is>
          <t>types</t>
        </is>
      </c>
      <c r="G12" s="44" t="inlineStr">
        <is>
          <t>../test/types/components/visually-hidden.test.ts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VH-05</t>
        </is>
      </c>
      <c r="B13" s="43" t="inlineStr">
        <is>
          <t>Hooks</t>
        </is>
      </c>
      <c r="C13" s="43" t="inlineStr">
        <is>
          <t>Root</t>
        </is>
      </c>
      <c r="D13" s="44" t="inlineStr">
        <is>
          <t>Root emits the stable brick-visually-hidden class and default data-slot without inventing recipe props or public CSS variables.</t>
        </is>
      </c>
      <c r="E13" s="43" t="inlineStr">
        <is>
          <t>package</t>
        </is>
      </c>
      <c r="F13" s="43" t="inlineStr">
        <is>
          <t>component</t>
        </is>
      </c>
      <c r="G13" s="44" t="inlineStr">
        <is>
          <t>../test/components/visually-hidden/visually-hidden.test.tsx</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VH-06</t>
        </is>
      </c>
      <c r="B14" s="43" t="inlineStr">
        <is>
          <t>Geometry</t>
        </is>
      </c>
      <c r="C14" s="43" t="inlineStr">
        <is>
          <t>Root</t>
        </is>
      </c>
      <c r="D14" s="44" t="inlineStr">
        <is>
          <t>Atom-owned inline styles resolve to an absolute 1px by 1px clipped box with no visible layout footprint.</t>
        </is>
      </c>
      <c r="E14" s="43" t="inlineStr">
        <is>
          <t>package</t>
        </is>
      </c>
      <c r="F14" s="43" t="inlineStr">
        <is>
          <t>browser</t>
        </is>
      </c>
      <c r="G14" s="44" t="inlineStr">
        <is>
          <t>tests/components/visually-hidden/behavior.spec.ts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VH-07</t>
        </is>
      </c>
      <c r="B15" s="43" t="inlineStr">
        <is>
          <t>Accessible naming</t>
        </is>
      </c>
      <c r="C15" s="43" t="inlineStr">
        <is>
          <t>Root</t>
        </is>
      </c>
      <c r="D15" s="44" t="inlineStr">
        <is>
          <t>Hidden text supplies the complete accessible name for an icon-only Brick Button while the Icon remains decorative.</t>
        </is>
      </c>
      <c r="E15" s="43" t="inlineStr">
        <is>
          <t>package</t>
        </is>
      </c>
      <c r="F15" s="43" t="inlineStr">
        <is>
          <t>browser</t>
        </is>
      </c>
      <c r="G15" s="44" t="inlineStr">
        <is>
          <t>tests/components/visually-hidden/behavior.spec.ts</t>
        </is>
      </c>
      <c r="H15" s="43" t="inlineStr">
        <is>
          <t>tested</t>
        </is>
      </c>
      <c r="I15" s="43" t="inlineStr">
        <is>
          <t>no</t>
        </is>
      </c>
      <c r="J15" s="45" t="n">
        <v>46230</v>
      </c>
      <c r="K15" s="44" t="n"/>
      <c r="L15" s="43" t="n">
        <v>1</v>
      </c>
      <c r="M15" s="43">
        <f>IF(OR(AND(I15="yes",H15="verified"),AND(I15="no",OR(H15="tested",H15="verified")),AND(H15="not applicable",K15&lt;&gt;"")),1,0)</f>
        <v/>
      </c>
    </row>
    <row r="16" ht="54" customHeight="1" s="34">
      <c r="A16" s="43" t="inlineStr">
        <is>
          <t>VH-08</t>
        </is>
      </c>
      <c r="B16" s="43" t="inlineStr">
        <is>
          <t>Supplemental context</t>
        </is>
      </c>
      <c r="C16" s="43" t="inlineStr">
        <is>
          <t>Root</t>
        </is>
      </c>
      <c r="D16" s="44" t="inlineStr">
        <is>
          <t>Hidden context extends visible destructive-action text into one complete accessible name without duplicate visible copy.</t>
        </is>
      </c>
      <c r="E16" s="43" t="inlineStr">
        <is>
          <t>package</t>
        </is>
      </c>
      <c r="F16" s="43" t="inlineStr">
        <is>
          <t>browser</t>
        </is>
      </c>
      <c r="G16" s="44" t="inlineStr">
        <is>
          <t>tests/components/visually-hidden/behavior.spec.ts</t>
        </is>
      </c>
      <c r="H16" s="43" t="inlineStr">
        <is>
          <t>tested</t>
        </is>
      </c>
      <c r="I16" s="43" t="inlineStr">
        <is>
          <t>no</t>
        </is>
      </c>
      <c r="J16" s="45" t="n">
        <v>46230</v>
      </c>
      <c r="K16" s="44" t="n"/>
      <c r="L16" s="43" t="n">
        <v>1</v>
      </c>
      <c r="M16" s="43">
        <f>IF(OR(AND(I16="yes",H16="verified"),AND(I16="no",OR(H16="tested",H16="verified")),AND(H16="not applicable",K16&lt;&gt;"")),1,0)</f>
        <v/>
      </c>
    </row>
    <row r="17" ht="54" customHeight="1" s="34">
      <c r="A17" s="43" t="inlineStr">
        <is>
          <t>VH-09</t>
        </is>
      </c>
      <c r="B17" s="43" t="inlineStr">
        <is>
          <t>Composition</t>
        </is>
      </c>
      <c r="C17" s="43" t="inlineStr">
        <is>
          <t>Root</t>
        </is>
      </c>
      <c r="D17" s="44" t="inlineStr">
        <is>
          <t>render and asChild change the host to strong or em while preserving hidden behavior, authored content, class, and slot.</t>
        </is>
      </c>
      <c r="E17" s="43" t="inlineStr">
        <is>
          <t>package</t>
        </is>
      </c>
      <c r="F17" s="43" t="inlineStr">
        <is>
          <t>browser</t>
        </is>
      </c>
      <c r="G17" s="44" t="inlineStr">
        <is>
          <t>../test/components/visually-hidden/visually-hidden.test.tsx; tests/components/visually-hidden/behavior.spec.ts</t>
        </is>
      </c>
      <c r="H17" s="43" t="inlineStr">
        <is>
          <t>tested</t>
        </is>
      </c>
      <c r="I17" s="43" t="inlineStr">
        <is>
          <t>no</t>
        </is>
      </c>
      <c r="J17" s="45" t="n">
        <v>46230</v>
      </c>
      <c r="K17" s="44" t="n"/>
      <c r="L17" s="43" t="n">
        <v>1</v>
      </c>
      <c r="M17" s="43">
        <f>IF(OR(AND(I17="yes",H17="verified"),AND(I17="no",OR(H17="tested",H17="verified")),AND(H17="not applicable",K17&lt;&gt;"")),1,0)</f>
        <v/>
      </c>
    </row>
    <row r="18" ht="54" customHeight="1" s="34">
      <c r="A18" s="43" t="inlineStr">
        <is>
          <t>VH-10</t>
        </is>
      </c>
      <c r="B18" s="43" t="inlineStr">
        <is>
          <t>Native ownership</t>
        </is>
      </c>
      <c r="C18" s="43" t="inlineStr">
        <is>
          <t>Root</t>
        </is>
      </c>
      <c r="D18" s="44" t="inlineStr">
        <is>
          <t>Consumer class, data attributes, authored slot, styles, and the default span ref pass through and remain inspectable.</t>
        </is>
      </c>
      <c r="E18" s="43" t="inlineStr">
        <is>
          <t>package</t>
        </is>
      </c>
      <c r="F18" s="43" t="inlineStr">
        <is>
          <t>browser</t>
        </is>
      </c>
      <c r="G18" s="44" t="inlineStr">
        <is>
          <t>tests/components/visually-hidden/behavior.spec.ts</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VH-11</t>
        </is>
      </c>
      <c r="B19" s="43" t="inlineStr">
        <is>
          <t>Responsive</t>
        </is>
      </c>
      <c r="C19" s="43" t="inlineStr">
        <is>
          <t>Root</t>
        </is>
      </c>
      <c r="D19" s="44" t="inlineStr">
        <is>
          <t>Long English and Arabic names, RTL, dark appearance, narrow mobile layout, and zoom create no visible footprint or horizontal overflow.</t>
        </is>
      </c>
      <c r="E19" s="43" t="inlineStr">
        <is>
          <t>package</t>
        </is>
      </c>
      <c r="F19" s="43" t="inlineStr">
        <is>
          <t>browser</t>
        </is>
      </c>
      <c r="G19" s="44" t="inlineStr">
        <is>
          <t>tests/components/visually-hidden/behavior.spec.ts; tests/components/visually-hidden/visual.spec.ts</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VH-12</t>
        </is>
      </c>
      <c r="B20" s="43" t="inlineStr">
        <is>
          <t>Accessibility</t>
        </is>
      </c>
      <c r="C20" s="43" t="inlineStr">
        <is>
          <t>Root</t>
        </is>
      </c>
      <c r="D20" s="44" t="inlineStr">
        <is>
          <t>Named controls remain discoverable and the route has no automatically detectable accessibility violations across configured desktop/mobile browsers.</t>
        </is>
      </c>
      <c r="E20" s="43" t="inlineStr">
        <is>
          <t>package</t>
        </is>
      </c>
      <c r="F20" s="43" t="inlineStr">
        <is>
          <t>axe</t>
        </is>
      </c>
      <c r="G20" s="44" t="inlineStr">
        <is>
          <t>tests/components/visually-hidden/behavior.spec.ts</t>
        </is>
      </c>
      <c r="H20" s="43" t="inlineStr">
        <is>
          <t>tested</t>
        </is>
      </c>
      <c r="I20" s="43" t="inlineStr">
        <is>
          <t>no</t>
        </is>
      </c>
      <c r="J20" s="45" t="n">
        <v>46230</v>
      </c>
      <c r="K20" s="44" t="n"/>
      <c r="L20" s="43" t="n">
        <v>1</v>
      </c>
      <c r="M20" s="43">
        <f>IF(OR(AND(I20="yes",H20="verified"),AND(I20="no",OR(H20="tested",H20="verified")),AND(H20="not applicable",K20&lt;&gt;"")),1,0)</f>
        <v/>
      </c>
    </row>
    <row r="21" ht="54" customHeight="1" s="34">
      <c r="A21" s="43" t="inlineStr">
        <is>
          <t>VH-13</t>
        </is>
      </c>
      <c r="B21" s="43" t="inlineStr">
        <is>
          <t>Visual</t>
        </is>
      </c>
      <c r="C21" s="43" t="inlineStr">
        <is>
          <t>Root</t>
        </is>
      </c>
      <c r="D21" s="44" t="inlineStr">
        <is>
          <t>Reviewed baselines prove that naming, composition, output, appearance, RTL, and mobile stress add no visible hidden-text footprint.</t>
        </is>
      </c>
      <c r="E21" s="43" t="inlineStr">
        <is>
          <t>package</t>
        </is>
      </c>
      <c r="F21" s="43" t="inlineStr">
        <is>
          <t>visual</t>
        </is>
      </c>
      <c r="G21" s="44" t="inlineStr">
        <is>
          <t>tests/components/visually-hidden/visual.spec.ts</t>
        </is>
      </c>
      <c r="H21" s="43" t="inlineStr">
        <is>
          <t>verified</t>
        </is>
      </c>
      <c r="I21" s="43" t="inlineStr">
        <is>
          <t>yes</t>
        </is>
      </c>
      <c r="J21" s="45" t="n">
        <v>46230</v>
      </c>
      <c r="K21" s="44" t="inlineStr">
        <is>
          <t>Agent inspected every Visually Hidden baseline.</t>
        </is>
      </c>
      <c r="L21" s="43" t="n">
        <v>1</v>
      </c>
      <c r="M21" s="43">
        <f>IF(OR(AND(I21="yes",H21="verified"),AND(I21="no",OR(H21="tested",H21="verified")),AND(H21="not applicable",K21&lt;&gt;"")),1,0)</f>
        <v/>
      </c>
    </row>
    <row r="22" ht="54" customHeight="1" s="34">
      <c r="A22" s="43" t="inlineStr">
        <is>
          <t>VH-14</t>
        </is>
      </c>
      <c r="B22" s="43" t="inlineStr">
        <is>
          <t>Manual</t>
        </is>
      </c>
      <c r="C22" s="43" t="inlineStr">
        <is>
          <t>Visually Hidden</t>
        </is>
      </c>
      <c r="D22" s="44" t="inlineStr">
        <is>
          <t>A tester completes the concise naming, output, composition, native ownership, mobile, zoom, forced-color, and screen-reader protocol.</t>
        </is>
      </c>
      <c r="E22" s="43" t="inlineStr">
        <is>
          <t>package</t>
        </is>
      </c>
      <c r="F22" s="43" t="inlineStr">
        <is>
          <t>manual</t>
        </is>
      </c>
      <c r="G22" s="44" t="inlineStr">
        <is>
          <t>manual-tests/visually-hidden.md</t>
        </is>
      </c>
      <c r="H22" s="43" t="inlineStr">
        <is>
          <t>not started</t>
        </is>
      </c>
      <c r="I22" s="43" t="inlineStr">
        <is>
          <t>yes</t>
        </is>
      </c>
      <c r="J22" s="45" t="n">
        <v>46230</v>
      </c>
      <c r="K22" s="44" t="inlineStr">
        <is>
          <t>Human run intentionally unclaimed.</t>
        </is>
      </c>
      <c r="L22" s="43" t="n">
        <v>1</v>
      </c>
      <c r="M22" s="43">
        <f>IF(OR(AND(I22="yes",H22="verified"),AND(I22="no",OR(H22="tested",H22="verified")),AND(H22="not applicable",K22&lt;&gt;"")),1,0)</f>
        <v/>
      </c>
    </row>
    <row r="23" ht="54" customHeight="1" s="34">
      <c r="A23" s="43" t="inlineStr">
        <is>
          <t>VH-15</t>
        </is>
      </c>
      <c r="B23" s="43" t="inlineStr">
        <is>
          <t>Docs</t>
        </is>
      </c>
      <c r="C23" s="43" t="inlineStr">
        <is>
          <t>Visually Hidden</t>
        </is>
      </c>
      <c r="D23" s="44" t="inlineStr">
        <is>
          <t>Source-backed use, misuse, anatomy, API, hooks, customization limits, responsive behavior, accessibility, composition, and evidence are documented.</t>
        </is>
      </c>
      <c r="E23" s="43" t="inlineStr">
        <is>
          <t>package</t>
        </is>
      </c>
      <c r="F23" s="43" t="inlineStr">
        <is>
          <t>docs</t>
        </is>
      </c>
      <c r="G23" s="44" t="inlineStr">
        <is>
          <t>../docs/components/visually-hidden/README.md</t>
        </is>
      </c>
      <c r="H23" s="43" t="inlineStr">
        <is>
          <t>tested</t>
        </is>
      </c>
      <c r="I23" s="43" t="inlineStr">
        <is>
          <t>no</t>
        </is>
      </c>
      <c r="J23" s="45" t="n">
        <v>46230</v>
      </c>
      <c r="K23" s="44" t="n"/>
      <c r="L23" s="43" t="n">
        <v>1</v>
      </c>
      <c r="M23" s="43">
        <f>IF(OR(AND(I23="yes",H23="verified"),AND(I23="no",OR(H23="tested",H23="verified")),AND(H23="not applicable",K23&lt;&gt;"")),1,0)</f>
        <v/>
      </c>
    </row>
    <row r="24" ht="54" customHeight="1" s="34">
      <c r="A24" s="43" t="inlineStr">
        <is>
          <t>VH-16</t>
        </is>
      </c>
      <c r="B24" s="43" t="inlineStr">
        <is>
          <t>Changelog</t>
        </is>
      </c>
      <c r="C24" s="43" t="inlineStr">
        <is>
          <t>Visually Hidden</t>
        </is>
      </c>
      <c r="D24" s="44" t="inlineStr">
        <is>
          <t>Visually Hidden owns a public changelog and the package changelog records the public addition.</t>
        </is>
      </c>
      <c r="E24" s="43" t="inlineStr">
        <is>
          <t>package</t>
        </is>
      </c>
      <c r="F24" s="43" t="inlineStr">
        <is>
          <t>docs</t>
        </is>
      </c>
      <c r="G24" s="44" t="inlineStr">
        <is>
          <t>../docs/components/visually-hidden/CHANGELOG.md; ../CHANGELOG.md</t>
        </is>
      </c>
      <c r="H24" s="43" t="inlineStr">
        <is>
          <t>tested</t>
        </is>
      </c>
      <c r="I24" s="43" t="inlineStr">
        <is>
          <t>no</t>
        </is>
      </c>
      <c r="J24" s="45" t="n">
        <v>46230</v>
      </c>
      <c r="K24" s="44" t="n"/>
      <c r="L24" s="43" t="n">
        <v>1</v>
      </c>
      <c r="M24" s="43">
        <f>IF(OR(AND(I24="yes",H24="verified"),AND(I24="no",OR(H24="tested",H24="verified")),AND(H24="not applicable",K24&lt;&gt;"")),1,0)</f>
        <v/>
      </c>
    </row>
    <row r="25" ht="54" customHeight="1" s="34">
      <c r="A25" s="43" t="inlineStr">
        <is>
          <t>VH-17</t>
        </is>
      </c>
      <c r="B25" s="43" t="inlineStr">
        <is>
          <t>Playground</t>
        </is>
      </c>
      <c r="C25" s="43" t="inlineStr">
        <is>
          <t>Visually Hidden</t>
        </is>
      </c>
      <c r="D25" s="44" t="inlineStr">
        <is>
          <t>One navigable route exposes six focused scenarios, actual rendered output, composition evidence, native props, and responsive stress.</t>
        </is>
      </c>
      <c r="E25" s="43" t="inlineStr">
        <is>
          <t>package</t>
        </is>
      </c>
      <c r="F25" s="43" t="inlineStr">
        <is>
          <t>playground</t>
        </is>
      </c>
      <c r="G25" s="44" t="inlineStr">
        <is>
          <t>src/components/visually-hidden/VisuallyHiddenPage.tsx</t>
        </is>
      </c>
      <c r="H25" s="43" t="inlineStr">
        <is>
          <t>tested</t>
        </is>
      </c>
      <c r="I25" s="43" t="inlineStr">
        <is>
          <t>no</t>
        </is>
      </c>
      <c r="J25" s="45" t="n">
        <v>46230</v>
      </c>
      <c r="K25" s="44" t="n"/>
      <c r="L25" s="43" t="n">
        <v>1</v>
      </c>
      <c r="M25" s="43">
        <f>IF(OR(AND(I25="yes",H25="verified"),AND(I25="no",OR(H25="tested",H25="verified")),AND(H25="not applicable",K25&lt;&gt;"")),1,0)</f>
        <v/>
      </c>
    </row>
    <row r="26" ht="54" customHeight="1" s="34">
      <c r="A26" s="43" t="inlineStr">
        <is>
          <t>VH-18</t>
        </is>
      </c>
      <c r="B26" s="43" t="inlineStr">
        <is>
          <t>Consumer</t>
        </is>
      </c>
      <c r="C26" s="43" t="inlineStr">
        <is>
          <t>Visually Hidden</t>
        </is>
      </c>
      <c r="D26" s="44" t="inlineStr">
        <is>
          <t>Packed Consumer imports the public subpath and adds supplemental context to a real link on desktop and mobile.</t>
        </is>
      </c>
      <c r="E26" s="43" t="inlineStr">
        <is>
          <t>consumer</t>
        </is>
      </c>
      <c r="F26" s="43" t="inlineStr">
        <is>
          <t>consumer</t>
        </is>
      </c>
      <c r="G26" s="44" t="inlineStr">
        <is>
          <t>../apps/consumer/src/App.tsx; ../apps/consumer/tests/consumer.spec.ts</t>
        </is>
      </c>
      <c r="H26" s="43" t="inlineStr">
        <is>
          <t>tested</t>
        </is>
      </c>
      <c r="I26" s="43" t="inlineStr">
        <is>
          <t>no</t>
        </is>
      </c>
      <c r="J26" s="45" t="n">
        <v>46230</v>
      </c>
      <c r="K26" s="44" t="n"/>
      <c r="L26" s="43" t="n">
        <v>1</v>
      </c>
      <c r="M26" s="43">
        <f>IF(OR(AND(I26="yes",H26="verified"),AND(I26="no",OR(H26="tested",H26="verified")),AND(H26="not applicable",K26&lt;&gt;"")),1,0)</f>
        <v/>
      </c>
    </row>
    <row r="27" ht="54" customHeight="1" s="34">
      <c r="A27" s="43" t="inlineStr">
        <is>
          <t>VH-19</t>
        </is>
      </c>
      <c r="B27" s="43" t="inlineStr">
        <is>
          <t>Package</t>
        </is>
      </c>
      <c r="C27" s="43" t="inlineStr">
        <is>
          <t>Visually Hidden</t>
        </is>
      </c>
      <c r="D27" s="44" t="inlineStr">
        <is>
          <t>Build, exports, SSR, tarball, React 18/19, Consumer, configured desktop/mobile browsers, docs, ownership, and exact Atom 0.20.11 dependency pass.</t>
        </is>
      </c>
      <c r="E27" s="43" t="inlineStr">
        <is>
          <t>package</t>
        </is>
      </c>
      <c r="F27" s="43" t="inlineStr">
        <is>
          <t>package</t>
        </is>
      </c>
      <c r="G27" s="44" t="inlineStr">
        <is>
          <t>../scripts/verify-package.mjs; ../scripts/verify-consumers.mjs</t>
        </is>
      </c>
      <c r="H27" s="43" t="inlineStr">
        <is>
          <t>tested</t>
        </is>
      </c>
      <c r="I27" s="43" t="inlineStr">
        <is>
          <t>no</t>
        </is>
      </c>
      <c r="J27" s="45" t="n">
        <v>46230</v>
      </c>
      <c r="K27" s="44" t="n"/>
      <c r="L27" s="43" t="n">
        <v>1</v>
      </c>
      <c r="M27" s="43">
        <f>IF(OR(AND(I27="yes",H27="verified"),AND(I27="no",OR(H27="tested",H27="verified")),AND(H27="not applicable",K27&lt;&gt;"")),1,0)</f>
        <v/>
      </c>
    </row>
    <row r="28" ht="54" customHeight="1" s="34"/>
    <row r="29" ht="54" customHeight="1" s="34"/>
    <row r="30" ht="54" customHeight="1" s="34"/>
    <row r="31" ht="54" customHeight="1" s="34"/>
    <row r="32" ht="54" customHeight="1" s="34"/>
    <row r="33" ht="54" customHeight="1" s="34"/>
    <row r="34" ht="54" customHeight="1" s="34"/>
    <row r="35" ht="54" customHeight="1" s="34"/>
    <row r="36" ht="54" customHeight="1" s="34"/>
  </sheetData>
  <mergeCells count="2">
    <mergeCell ref="A2:M2"/>
    <mergeCell ref="A1:M1"/>
  </mergeCells>
  <dataValidations count="2">
    <dataValidation sqref="H9:H27" showDropDown="0" showInputMessage="0" showErrorMessage="0" allowBlank="0" type="list" errorStyle="stop" operator="between">
      <formula1>"not started,partial,implemented,tested,verified,blocked,not applicable"</formula1>
      <formula2>0</formula2>
    </dataValidation>
    <dataValidation sqref="I9:I27"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Collapsible Evidence</t>
        </is>
      </c>
    </row>
    <row r="2" ht="27.75" customHeight="1" s="34">
      <c r="A2" s="36" t="inlineStr">
        <is>
          <t>Assertion-level disclosure anatomy, state, motion, accessibility, package, documentation, Consumer, and responsive evidence.</t>
        </is>
      </c>
    </row>
    <row r="4" ht="17.25" customHeight="1" s="34">
      <c r="A4" s="37" t="inlineStr">
        <is>
          <t>Requirements</t>
        </is>
      </c>
      <c r="B4" s="38">
        <f>COUNTA(A9:A33)</f>
        <v/>
      </c>
      <c r="D4" s="37" t="inlineStr">
        <is>
          <t>Resolved</t>
        </is>
      </c>
      <c r="E4" s="38">
        <f>SUM(M9:M33)</f>
        <v/>
      </c>
      <c r="G4" s="37" t="inlineStr">
        <is>
          <t>Completion</t>
        </is>
      </c>
      <c r="H4" s="39">
        <f>IF(B4=0,0,E4/B4)</f>
        <v/>
      </c>
      <c r="J4" s="37" t="inlineStr">
        <is>
          <t>Package gate</t>
        </is>
      </c>
      <c r="K4" s="38">
        <f>IF(COUNTIFS(E9:E33,"package",M9:M33,0)&gt;0,"open","complete")</f>
        <v/>
      </c>
    </row>
    <row r="5" ht="17.25" customHeight="1" s="34">
      <c r="A5" s="37" t="inlineStr">
        <is>
          <t>Manual review</t>
        </is>
      </c>
      <c r="B5" s="38">
        <f>IF(COUNTIFS(I9:I33,"yes",M9:M33,0)&gt;0,"open","complete")</f>
        <v/>
      </c>
      <c r="D5" s="37" t="inlineStr">
        <is>
          <t>Consumer gate</t>
        </is>
      </c>
      <c r="E5" s="38">
        <f>IF(COUNTIFS(E9:E33,"consumer",M9:M33,0)&gt;0,"open","complete")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CO-01</t>
        </is>
      </c>
      <c r="B9" s="43" t="inlineStr">
        <is>
          <t>Ownership</t>
        </is>
      </c>
      <c r="C9" s="43" t="inlineStr">
        <is>
          <t>Root</t>
        </is>
      </c>
      <c r="D9" s="44" t="inlineStr">
        <is>
          <t>Atom owns state, semantics, generated relationships, keyboard interaction, disabled behavior, composition, mount lifecycle, and live Content measurement; Brick owns only finished visual anatomy and recipes.</t>
        </is>
      </c>
      <c r="E9" s="43" t="inlineStr">
        <is>
          <t>package</t>
        </is>
      </c>
      <c r="F9" s="43" t="inlineStr">
        <is>
          <t>source</t>
        </is>
      </c>
      <c r="G9" s="44" t="inlineStr">
        <is>
          <t>../src/components/collapsible</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CO-02</t>
        </is>
      </c>
      <c r="B10" s="43" t="inlineStr">
        <is>
          <t>Anatomy</t>
        </is>
      </c>
      <c r="C10" s="43" t="inlineStr">
        <is>
          <t>All parts</t>
        </is>
      </c>
      <c r="D10" s="44" t="inlineStr">
        <is>
          <t>Root, Trigger, Indicator, Content, and ContentInner render their stable public classes and slots; ContentInner alone owns visible panel padding.</t>
        </is>
      </c>
      <c r="E10" s="43" t="inlineStr">
        <is>
          <t>package</t>
        </is>
      </c>
      <c r="F10" s="43" t="inlineStr">
        <is>
          <t>component</t>
        </is>
      </c>
      <c r="G10" s="44" t="inlineStr">
        <is>
          <t>../test/components/collapsible/collapsible.test.tsx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CO-03</t>
        </is>
      </c>
      <c r="B11" s="43" t="inlineStr">
        <is>
          <t>Exports</t>
        </is>
      </c>
      <c r="C11" s="43" t="inlineStr">
        <is>
          <t>All parts</t>
        </is>
      </c>
      <c r="D11" s="44" t="inlineStr">
        <is>
          <t>The root and collapsible subpath expose the namespace, five named parts, every prop type, and the closed size and variant unions.</t>
        </is>
      </c>
      <c r="E11" s="43" t="inlineStr">
        <is>
          <t>package</t>
        </is>
      </c>
      <c r="F11" s="43" t="inlineStr">
        <is>
          <t>package</t>
        </is>
      </c>
      <c r="G11" s="44" t="inlineStr">
        <is>
          <t>../test/package/package.test.mjs</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CO-04</t>
        </is>
      </c>
      <c r="B12" s="43" t="inlineStr">
        <is>
          <t>Types</t>
        </is>
      </c>
      <c r="C12" s="43" t="inlineStr">
        <is>
          <t>All parts</t>
        </is>
      </c>
      <c r="D12" s="44" t="inlineStr">
        <is>
          <t>Closed recipes, Atom prop inheritance, native attributes, refs, Indicator decoration, and ContentInner attributes type-check from both entrypoints.</t>
        </is>
      </c>
      <c r="E12" s="43" t="inlineStr">
        <is>
          <t>package</t>
        </is>
      </c>
      <c r="F12" s="43" t="inlineStr">
        <is>
          <t>types</t>
        </is>
      </c>
      <c r="G12" s="44" t="inlineStr">
        <is>
          <t>../test/types/components/collapsible.test.ts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CO-05</t>
        </is>
      </c>
      <c r="B13" s="43" t="inlineStr">
        <is>
          <t>CSS</t>
        </is>
      </c>
      <c r="C13" s="43" t="inlineStr">
        <is>
          <t>All parts</t>
        </is>
      </c>
      <c r="D13" s="44" t="inlineStr">
        <is>
          <t>Static CSS ships neutral surfaces, coordinated sizes, state paint, focus, disabled treatment, measured height and width motion, RTL indicator logic, reduced motion, forced colors, and public variables.</t>
        </is>
      </c>
      <c r="E13" s="43" t="inlineStr">
        <is>
          <t>package</t>
        </is>
      </c>
      <c r="F13" s="43" t="inlineStr">
        <is>
          <t>css</t>
        </is>
      </c>
      <c r="G13" s="44" t="inlineStr">
        <is>
          <t>../src/components/collapsible/collapsible.css</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CO-06</t>
        </is>
      </c>
      <c r="B14" s="43" t="inlineStr">
        <is>
          <t>Defaults</t>
        </is>
      </c>
      <c r="C14" s="43" t="inlineStr">
        <is>
          <t>Root</t>
        </is>
      </c>
      <c r="D14" s="44" t="inlineStr">
        <is>
          <t>The default renders closed, plain, medium, enabled, vertical, and unmounted with one full-width Trigger and decorative end Indicator.</t>
        </is>
      </c>
      <c r="E14" s="43" t="inlineStr">
        <is>
          <t>package</t>
        </is>
      </c>
      <c r="F14" s="43" t="inlineStr">
        <is>
          <t>browser</t>
        </is>
      </c>
      <c r="G14" s="44" t="inlineStr">
        <is>
          <t>tests/components/collapsible/behavior.spec.ts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CO-07</t>
        </is>
      </c>
      <c r="B15" s="43" t="inlineStr">
        <is>
          <t>Variants</t>
        </is>
      </c>
      <c r="C15" s="43" t="inlineStr">
        <is>
          <t>Root</t>
        </is>
      </c>
      <c r="D15" s="44" t="inlineStr">
        <is>
          <t>Plain, soft, and outline change only the intended containing surface while size, content, and state remain at defaults.</t>
        </is>
      </c>
      <c r="E15" s="43" t="inlineStr">
        <is>
          <t>package</t>
        </is>
      </c>
      <c r="F15" s="43" t="inlineStr">
        <is>
          <t>visual</t>
        </is>
      </c>
      <c r="G15" s="44" t="inlineStr">
        <is>
          <t>tests/components/collapsible/visual.spec.ts</t>
        </is>
      </c>
      <c r="H15" s="43" t="inlineStr">
        <is>
          <t>verified</t>
        </is>
      </c>
      <c r="I15" s="43" t="inlineStr">
        <is>
          <t>yes</t>
        </is>
      </c>
      <c r="J15" s="45" t="n">
        <v>46230</v>
      </c>
      <c r="K15" s="44" t="inlineStr">
        <is>
          <t>Agent-inspected the generated variants baseline.</t>
        </is>
      </c>
      <c r="L15" s="43" t="n">
        <v>1</v>
      </c>
      <c r="M15" s="43">
        <f>IF(OR(AND(I15="yes",H15="verified"),AND(I15="no",OR(H15="tested",H15="verified")),AND(H15="not applicable",K15&lt;&gt;"")),1,0)</f>
        <v/>
      </c>
    </row>
    <row r="16" ht="54" customHeight="1" s="34">
      <c r="A16" s="43" t="inlineStr">
        <is>
          <t>CO-08</t>
        </is>
      </c>
      <c r="B16" s="43" t="inlineStr">
        <is>
          <t>Sizes</t>
        </is>
      </c>
      <c r="C16" s="43" t="inlineStr">
        <is>
          <t>Root</t>
        </is>
      </c>
      <c r="D16" s="44" t="inlineStr">
        <is>
          <t>Small, medium, and large coordinate trigger target, typography, spacing, indicator size, and ContentInner padding without changing other recipes.</t>
        </is>
      </c>
      <c r="E16" s="43" t="inlineStr">
        <is>
          <t>package</t>
        </is>
      </c>
      <c r="F16" s="43" t="inlineStr">
        <is>
          <t>visual</t>
        </is>
      </c>
      <c r="G16" s="44" t="inlineStr">
        <is>
          <t>tests/components/collapsible/visual.spec.ts</t>
        </is>
      </c>
      <c r="H16" s="43" t="inlineStr">
        <is>
          <t>verified</t>
        </is>
      </c>
      <c r="I16" s="43" t="inlineStr">
        <is>
          <t>yes</t>
        </is>
      </c>
      <c r="J16" s="45" t="n">
        <v>46230</v>
      </c>
      <c r="K16" s="44" t="inlineStr">
        <is>
          <t>Agent-inspected the generated sizes baseline.</t>
        </is>
      </c>
      <c r="L16" s="43" t="n">
        <v>1</v>
      </c>
      <c r="M16" s="43">
        <f>IF(OR(AND(I16="yes",H16="verified"),AND(I16="no",OR(H16="tested",H16="verified")),AND(H16="not applicable",K16&lt;&gt;"")),1,0)</f>
        <v/>
      </c>
    </row>
    <row r="17" ht="54" customHeight="1" s="34">
      <c r="A17" s="43" t="inlineStr">
        <is>
          <t>CO-09</t>
        </is>
      </c>
      <c r="B17" s="43" t="inlineStr">
        <is>
          <t>State</t>
        </is>
      </c>
      <c r="C17" s="43" t="inlineStr">
        <is>
          <t>Root</t>
        </is>
      </c>
      <c r="D17" s="44" t="inlineStr">
        <is>
          <t>Uncontrolled and controlled open state change exactly once and preserve the authored onOpenChange and Trigger handlers.</t>
        </is>
      </c>
      <c r="E17" s="43" t="inlineStr">
        <is>
          <t>package</t>
        </is>
      </c>
      <c r="F17" s="43" t="inlineStr">
        <is>
          <t>component</t>
        </is>
      </c>
      <c r="G17" s="44" t="inlineStr">
        <is>
          <t>../test/components/collapsible/collapsible.test.tsx; tests/components/collapsible/behavior.spec.ts</t>
        </is>
      </c>
      <c r="H17" s="43" t="inlineStr">
        <is>
          <t>tested</t>
        </is>
      </c>
      <c r="I17" s="43" t="inlineStr">
        <is>
          <t>no</t>
        </is>
      </c>
      <c r="J17" s="45" t="n">
        <v>46230</v>
      </c>
      <c r="K17" s="44" t="n"/>
      <c r="L17" s="43" t="n">
        <v>1</v>
      </c>
      <c r="M17" s="43">
        <f>IF(OR(AND(I17="yes",H17="verified"),AND(I17="no",OR(H17="tested",H17="verified")),AND(H17="not applicable",K17&lt;&gt;"")),1,0)</f>
        <v/>
      </c>
    </row>
    <row r="18" ht="54" customHeight="1" s="34">
      <c r="A18" s="43" t="inlineStr">
        <is>
          <t>CO-10</t>
        </is>
      </c>
      <c r="B18" s="43" t="inlineStr">
        <is>
          <t>Disabled</t>
        </is>
      </c>
      <c r="C18" s="43" t="inlineStr">
        <is>
          <t>Root / Trigger</t>
        </is>
      </c>
      <c r="D18" s="44" t="inlineStr">
        <is>
          <t>Disabled state exposes Atom disabled semantics, does not open, and has no enabled hover or active response.</t>
        </is>
      </c>
      <c r="E18" s="43" t="inlineStr">
        <is>
          <t>package</t>
        </is>
      </c>
      <c r="F18" s="43" t="inlineStr">
        <is>
          <t>browser</t>
        </is>
      </c>
      <c r="G18" s="44" t="inlineStr">
        <is>
          <t>../test/components/collapsible/collapsible.test.tsx; tests/components/collapsible/behavior.spec.ts</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CO-11</t>
        </is>
      </c>
      <c r="B19" s="43" t="inlineStr">
        <is>
          <t>Lifecycle</t>
        </is>
      </c>
      <c r="C19" s="43" t="inlineStr">
        <is>
          <t>Content</t>
        </is>
      </c>
      <c r="D19" s="44" t="inlineStr">
        <is>
          <t>Closed Content unmounts after exit unless keepMounted is requested; kept content becomes hidden after motion settles.</t>
        </is>
      </c>
      <c r="E19" s="43" t="inlineStr">
        <is>
          <t>package</t>
        </is>
      </c>
      <c r="F19" s="43" t="inlineStr">
        <is>
          <t>browser</t>
        </is>
      </c>
      <c r="G19" s="44" t="inlineStr">
        <is>
          <t>../test/components/collapsible/collapsible.test.tsx; tests/components/collapsible/behavior.spec.ts</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CO-12</t>
        </is>
      </c>
      <c r="B20" s="43" t="inlineStr">
        <is>
          <t>Relationships</t>
        </is>
      </c>
      <c r="C20" s="43" t="inlineStr">
        <is>
          <t>Trigger / Content</t>
        </is>
      </c>
      <c r="D20" s="44" t="inlineStr">
        <is>
          <t>Trigger and Content retain matching generated aria-controls, id, aria-labelledby, region role, and expanded state.</t>
        </is>
      </c>
      <c r="E20" s="43" t="inlineStr">
        <is>
          <t>package</t>
        </is>
      </c>
      <c r="F20" s="43" t="inlineStr">
        <is>
          <t>browser</t>
        </is>
      </c>
      <c r="G20" s="44" t="inlineStr">
        <is>
          <t>tests/components/collapsible/behavior.spec.ts; ../test/package/ssr.test.mjs</t>
        </is>
      </c>
      <c r="H20" s="43" t="inlineStr">
        <is>
          <t>tested</t>
        </is>
      </c>
      <c r="I20" s="43" t="inlineStr">
        <is>
          <t>no</t>
        </is>
      </c>
      <c r="J20" s="45" t="n">
        <v>46230</v>
      </c>
      <c r="K20" s="44" t="n"/>
      <c r="L20" s="43" t="n">
        <v>1</v>
      </c>
      <c r="M20" s="43">
        <f>IF(OR(AND(I20="yes",H20="verified"),AND(I20="no",OR(H20="tested",H20="verified")),AND(H20="not applicable",K20&lt;&gt;"")),1,0)</f>
        <v/>
      </c>
    </row>
    <row r="21" ht="54" customHeight="1" s="34">
      <c r="A21" s="43" t="inlineStr">
        <is>
          <t>CO-13</t>
        </is>
      </c>
      <c r="B21" s="43" t="inlineStr">
        <is>
          <t>Indicator</t>
        </is>
      </c>
      <c r="C21" s="43" t="inlineStr">
        <is>
          <t>Indicator</t>
        </is>
      </c>
      <c r="D21" s="44" t="inlineStr">
        <is>
          <t>Default and authored Indicator artwork remain decorative, nonshrinking, logically placed, and synchronized with open state.</t>
        </is>
      </c>
      <c r="E21" s="43" t="inlineStr">
        <is>
          <t>package</t>
        </is>
      </c>
      <c r="F21" s="43" t="inlineStr">
        <is>
          <t>visual</t>
        </is>
      </c>
      <c r="G21" s="44" t="inlineStr">
        <is>
          <t>tests/components/collapsible/visual.spec.ts</t>
        </is>
      </c>
      <c r="H21" s="43" t="inlineStr">
        <is>
          <t>verified</t>
        </is>
      </c>
      <c r="I21" s="43" t="inlineStr">
        <is>
          <t>yes</t>
        </is>
      </c>
      <c r="J21" s="45" t="n">
        <v>46230</v>
      </c>
      <c r="K21" s="44" t="inlineStr">
        <is>
          <t>Agent-inspected default, custom, state, and RTL indicator baselines.</t>
        </is>
      </c>
      <c r="L21" s="43" t="n">
        <v>1</v>
      </c>
      <c r="M21" s="43">
        <f>IF(OR(AND(I21="yes",H21="verified"),AND(I21="no",OR(H21="tested",H21="verified")),AND(H21="not applicable",K21&lt;&gt;"")),1,0)</f>
        <v/>
      </c>
    </row>
    <row r="22" ht="54" customHeight="1" s="34">
      <c r="A22" s="43" t="inlineStr">
        <is>
          <t>CO-14</t>
        </is>
      </c>
      <c r="B22" s="43" t="inlineStr">
        <is>
          <t>Composition</t>
        </is>
      </c>
      <c r="C22" s="43" t="inlineStr">
        <is>
          <t>Root / Trigger / Content</t>
        </is>
      </c>
      <c r="D22" s="44" t="inlineStr">
        <is>
          <t>Atom render and asChild composition preserve semantic custom hosts, event adaptation, relationships, class, style, slot, native props, and refs.</t>
        </is>
      </c>
      <c r="E22" s="43" t="inlineStr">
        <is>
          <t>package</t>
        </is>
      </c>
      <c r="F22" s="43" t="inlineStr">
        <is>
          <t>component</t>
        </is>
      </c>
      <c r="G22" s="44" t="inlineStr">
        <is>
          <t>../test/components/collapsible/collapsible.test.tsx; tests/components/collapsible/behavior.spec.ts</t>
        </is>
      </c>
      <c r="H22" s="43" t="inlineStr">
        <is>
          <t>tested</t>
        </is>
      </c>
      <c r="I22" s="43" t="inlineStr">
        <is>
          <t>no</t>
        </is>
      </c>
      <c r="J22" s="45" t="n">
        <v>46230</v>
      </c>
      <c r="K22" s="44" t="n"/>
      <c r="L22" s="43" t="n">
        <v>1</v>
      </c>
      <c r="M22" s="43">
        <f>IF(OR(AND(I22="yes",H22="verified"),AND(I22="no",OR(H22="tested",H22="verified")),AND(H22="not applicable",K22&lt;&gt;"")),1,0)</f>
        <v/>
      </c>
    </row>
    <row r="23" ht="54" customHeight="1" s="34">
      <c r="A23" s="43" t="inlineStr">
        <is>
          <t>CO-15</t>
        </is>
      </c>
      <c r="B23" s="43" t="inlineStr">
        <is>
          <t>Motion</t>
        </is>
      </c>
      <c r="C23" s="43" t="inlineStr">
        <is>
          <t>Content</t>
        </is>
      </c>
      <c r="D23" s="44" t="inlineStr">
        <is>
          <t>Vertical open and close use live --content-height measurement; horizontal open and close use live --content-width measurement with stable ContentInner geometry.</t>
        </is>
      </c>
      <c r="E23" s="43" t="inlineStr">
        <is>
          <t>package</t>
        </is>
      </c>
      <c r="F23" s="43" t="inlineStr">
        <is>
          <t>browser</t>
        </is>
      </c>
      <c r="G23" s="44" t="inlineStr">
        <is>
          <t>tests/components/collapsible/behavior.spec.ts; ../test/components/collapsible/collapsible.test.tsx</t>
        </is>
      </c>
      <c r="H23" s="43" t="inlineStr">
        <is>
          <t>tested</t>
        </is>
      </c>
      <c r="I23" s="43" t="inlineStr">
        <is>
          <t>no</t>
        </is>
      </c>
      <c r="J23" s="45" t="n">
        <v>46230</v>
      </c>
      <c r="K23" s="44" t="n"/>
      <c r="L23" s="43" t="n">
        <v>1</v>
      </c>
      <c r="M23" s="43">
        <f>IF(OR(AND(I23="yes",H23="verified"),AND(I23="no",OR(H23="tested",H23="verified")),AND(H23="not applicable",K23&lt;&gt;"")),1,0)</f>
        <v/>
      </c>
    </row>
    <row r="24" ht="54" customHeight="1" s="34">
      <c r="A24" s="43" t="inlineStr">
        <is>
          <t>CO-16</t>
        </is>
      </c>
      <c r="B24" s="43" t="inlineStr">
        <is>
          <t>Accessibility</t>
        </is>
      </c>
      <c r="C24" s="43" t="inlineStr">
        <is>
          <t>All parts</t>
        </is>
      </c>
      <c r="D24" s="44" t="inlineStr">
        <is>
          <t>Keyboard activation, button/region semantics, focus retention, decoration, disabled behavior, and scoped axe checks pass.</t>
        </is>
      </c>
      <c r="E24" s="43" t="inlineStr">
        <is>
          <t>package</t>
        </is>
      </c>
      <c r="F24" s="43" t="inlineStr">
        <is>
          <t>axe</t>
        </is>
      </c>
      <c r="G24" s="44" t="inlineStr">
        <is>
          <t>tests/components/collapsible/behavior.spec.ts</t>
        </is>
      </c>
      <c r="H24" s="43" t="inlineStr">
        <is>
          <t>tested</t>
        </is>
      </c>
      <c r="I24" s="43" t="inlineStr">
        <is>
          <t>no</t>
        </is>
      </c>
      <c r="J24" s="45" t="n">
        <v>46230</v>
      </c>
      <c r="K24" s="44" t="n"/>
      <c r="L24" s="43" t="n">
        <v>1</v>
      </c>
      <c r="M24" s="43">
        <f>IF(OR(AND(I24="yes",H24="verified"),AND(I24="no",OR(H24="tested",H24="verified")),AND(H24="not applicable",K24&lt;&gt;"")),1,0)</f>
        <v/>
      </c>
    </row>
    <row r="25" ht="54" customHeight="1" s="34">
      <c r="A25" s="43" t="inlineStr">
        <is>
          <t>CO-17</t>
        </is>
      </c>
      <c r="B25" s="43" t="inlineStr">
        <is>
          <t>Responsive</t>
        </is>
      </c>
      <c r="C25" s="43" t="inlineStr">
        <is>
          <t>All parts</t>
        </is>
      </c>
      <c r="D25" s="44" t="inlineStr">
        <is>
          <t>Long text, narrow width, mobile profiles, zoom-oriented reflow, horizontal contained scrolling, and RTL remain bounded without stale dimension clipping.</t>
        </is>
      </c>
      <c r="E25" s="43" t="inlineStr">
        <is>
          <t>package</t>
        </is>
      </c>
      <c r="F25" s="43" t="inlineStr">
        <is>
          <t>browser</t>
        </is>
      </c>
      <c r="G25" s="44" t="inlineStr">
        <is>
          <t>tests/components/collapsible/behavior.spec.ts; tests/components/collapsible/visual.spec.ts</t>
        </is>
      </c>
      <c r="H25" s="43" t="inlineStr">
        <is>
          <t>tested</t>
        </is>
      </c>
      <c r="I25" s="43" t="inlineStr">
        <is>
          <t>no</t>
        </is>
      </c>
      <c r="J25" s="45" t="n">
        <v>46230</v>
      </c>
      <c r="K25" s="44" t="n"/>
      <c r="L25" s="43" t="n">
        <v>1</v>
      </c>
      <c r="M25" s="43">
        <f>IF(OR(AND(I25="yes",H25="verified"),AND(I25="no",OR(H25="tested",H25="verified")),AND(H25="not applicable",K25&lt;&gt;"")),1,0)</f>
        <v/>
      </c>
    </row>
    <row r="26" ht="54" customHeight="1" s="34">
      <c r="A26" s="43" t="inlineStr">
        <is>
          <t>CO-18</t>
        </is>
      </c>
      <c r="B26" s="43" t="inlineStr">
        <is>
          <t>Appearance</t>
        </is>
      </c>
      <c r="C26" s="43" t="inlineStr">
        <is>
          <t>All parts</t>
        </is>
      </c>
      <c r="D26" s="44" t="inlineStr">
        <is>
          <t>Semantic paint adapts in light, dark, and forced colors; supported variables exactly match the customization example.</t>
        </is>
      </c>
      <c r="E26" s="43" t="inlineStr">
        <is>
          <t>package</t>
        </is>
      </c>
      <c r="F26" s="43" t="inlineStr">
        <is>
          <t>visual</t>
        </is>
      </c>
      <c r="G26" s="44" t="inlineStr">
        <is>
          <t>tests/components/collapsible/visual.spec.ts</t>
        </is>
      </c>
      <c r="H26" s="43" t="inlineStr">
        <is>
          <t>verified</t>
        </is>
      </c>
      <c r="I26" s="43" t="inlineStr">
        <is>
          <t>yes</t>
        </is>
      </c>
      <c r="J26" s="45" t="n">
        <v>46230</v>
      </c>
      <c r="K26" s="44" t="inlineStr">
        <is>
          <t>Agent-inspected appearance, customization, and forced-color baselines.</t>
        </is>
      </c>
      <c r="L26" s="43" t="n">
        <v>1</v>
      </c>
      <c r="M26" s="43">
        <f>IF(OR(AND(I26="yes",H26="verified"),AND(I26="no",OR(H26="tested",H26="verified")),AND(H26="not applicable",K26&lt;&gt;"")),1,0)</f>
        <v/>
      </c>
    </row>
    <row r="27" ht="54" customHeight="1" s="34">
      <c r="A27" s="43" t="inlineStr">
        <is>
          <t>CO-19</t>
        </is>
      </c>
      <c r="B27" s="43" t="inlineStr">
        <is>
          <t>Visual</t>
        </is>
      </c>
      <c r="C27" s="43" t="inlineStr">
        <is>
          <t>All parts</t>
        </is>
      </c>
      <c r="D27" s="44" t="inlineStr">
        <is>
          <t>Reviewed baselines cover defaults, variants, sizes, states, Indicator anatomy, both orientations, appearance, mobile stress, and forced colors.</t>
        </is>
      </c>
      <c r="E27" s="43" t="inlineStr">
        <is>
          <t>package</t>
        </is>
      </c>
      <c r="F27" s="43" t="inlineStr">
        <is>
          <t>visual</t>
        </is>
      </c>
      <c r="G27" s="44" t="inlineStr">
        <is>
          <t>tests/components/collapsible/visual.spec.ts</t>
        </is>
      </c>
      <c r="H27" s="43" t="inlineStr">
        <is>
          <t>verified</t>
        </is>
      </c>
      <c r="I27" s="43" t="inlineStr">
        <is>
          <t>yes</t>
        </is>
      </c>
      <c r="J27" s="45" t="n">
        <v>46230</v>
      </c>
      <c r="K27" s="44" t="inlineStr">
        <is>
          <t>Agent-inspected every generated Collapsible baseline, including horizontal orientation and RTL.</t>
        </is>
      </c>
      <c r="L27" s="43" t="n">
        <v>1</v>
      </c>
      <c r="M27" s="43">
        <f>IF(OR(AND(I27="yes",H27="verified"),AND(I27="no",OR(H27="tested",H27="verified")),AND(H27="not applicable",K27&lt;&gt;"")),1,0)</f>
        <v/>
      </c>
    </row>
    <row r="28" ht="54" customHeight="1" s="34">
      <c r="A28" s="43" t="inlineStr">
        <is>
          <t>CO-20</t>
        </is>
      </c>
      <c r="B28" s="43" t="inlineStr">
        <is>
          <t>Playground</t>
        </is>
      </c>
      <c r="C28" s="43" t="inlineStr">
        <is>
          <t>All parts</t>
        </is>
      </c>
      <c r="D28" s="44" t="inlineStr">
        <is>
          <t>One navigable route exposes nine controlled scenarios for defaults, recipes, state, anatomy, composition, appearance, both orientations, live motion, and stress.</t>
        </is>
      </c>
      <c r="E28" s="43" t="inlineStr">
        <is>
          <t>package</t>
        </is>
      </c>
      <c r="F28" s="43" t="inlineStr">
        <is>
          <t>playground</t>
        </is>
      </c>
      <c r="G28" s="44" t="inlineStr">
        <is>
          <t>src/components/collapsible/CollapsiblePage.tsx</t>
        </is>
      </c>
      <c r="H28" s="43" t="inlineStr">
        <is>
          <t>tested</t>
        </is>
      </c>
      <c r="I28" s="43" t="inlineStr">
        <is>
          <t>no</t>
        </is>
      </c>
      <c r="J28" s="45" t="n">
        <v>46230</v>
      </c>
      <c r="K28" s="44" t="n"/>
      <c r="L28" s="43" t="n">
        <v>1</v>
      </c>
      <c r="M28" s="43">
        <f>IF(OR(AND(I28="yes",H28="verified"),AND(I28="no",OR(H28="tested",H28="verified")),AND(H28="not applicable",K28&lt;&gt;"")),1,0)</f>
        <v/>
      </c>
    </row>
    <row r="29" ht="54" customHeight="1" s="34">
      <c r="A29" s="43" t="inlineStr">
        <is>
          <t>CO-21</t>
        </is>
      </c>
      <c r="B29" s="43" t="inlineStr">
        <is>
          <t>Manual</t>
        </is>
      </c>
      <c r="C29" s="43" t="inlineStr">
        <is>
          <t>All parts</t>
        </is>
      </c>
      <c r="D29" s="44" t="inlineStr">
        <is>
          <t>A tester completes the concise pointer, keyboard, assistive-technology, appearance, zoom, mobile, RTL, forced-color, and reduced-motion protocol.</t>
        </is>
      </c>
      <c r="E29" s="43" t="inlineStr">
        <is>
          <t>package</t>
        </is>
      </c>
      <c r="F29" s="43" t="inlineStr">
        <is>
          <t>manual</t>
        </is>
      </c>
      <c r="G29" s="44" t="inlineStr">
        <is>
          <t>manual-tests/collapsible.md</t>
        </is>
      </c>
      <c r="H29" s="43" t="inlineStr">
        <is>
          <t>not started</t>
        </is>
      </c>
      <c r="I29" s="43" t="inlineStr">
        <is>
          <t>yes</t>
        </is>
      </c>
      <c r="J29" s="45" t="n">
        <v>46230</v>
      </c>
      <c r="K29" s="44" t="inlineStr">
        <is>
          <t>Human run intentionally unclaimed.</t>
        </is>
      </c>
      <c r="L29" s="43" t="n">
        <v>1</v>
      </c>
      <c r="M29" s="43">
        <f>IF(OR(AND(I29="yes",H29="verified"),AND(I29="no",OR(H29="tested",H29="verified")),AND(H29="not applicable",K29&lt;&gt;"")),1,0)</f>
        <v/>
      </c>
    </row>
    <row r="30" ht="54" customHeight="1" s="34">
      <c r="A30" s="43" t="inlineStr">
        <is>
          <t>CO-22</t>
        </is>
      </c>
      <c r="B30" s="43" t="inlineStr">
        <is>
          <t>Docs</t>
        </is>
      </c>
      <c r="C30" s="43" t="inlineStr">
        <is>
          <t>All parts</t>
        </is>
      </c>
      <c r="D30" s="44" t="inlineStr">
        <is>
          <t>Source-backed use, anatomy, API, recipes, accessibility, responsive motion, composition, CSS hooks, customization, and evidence are documented.</t>
        </is>
      </c>
      <c r="E30" s="43" t="inlineStr">
        <is>
          <t>package</t>
        </is>
      </c>
      <c r="F30" s="43" t="inlineStr">
        <is>
          <t>docs</t>
        </is>
      </c>
      <c r="G30" s="44" t="inlineStr">
        <is>
          <t>../docs/components/collapsible/README.md</t>
        </is>
      </c>
      <c r="H30" s="43" t="inlineStr">
        <is>
          <t>tested</t>
        </is>
      </c>
      <c r="I30" s="43" t="inlineStr">
        <is>
          <t>no</t>
        </is>
      </c>
      <c r="J30" s="45" t="n">
        <v>46230</v>
      </c>
      <c r="K30" s="44" t="n"/>
      <c r="L30" s="43" t="n">
        <v>1</v>
      </c>
      <c r="M30" s="43">
        <f>IF(OR(AND(I30="yes",H30="verified"),AND(I30="no",OR(H30="tested",H30="verified")),AND(H30="not applicable",K30&lt;&gt;"")),1,0)</f>
        <v/>
      </c>
    </row>
    <row r="31" ht="15" customHeight="1" s="34">
      <c r="A31" s="43" t="inlineStr">
        <is>
          <t>CO-23</t>
        </is>
      </c>
      <c r="B31" s="43" t="inlineStr">
        <is>
          <t>Changelog</t>
        </is>
      </c>
      <c r="C31" s="43" t="inlineStr">
        <is>
          <t>Collapsible</t>
        </is>
      </c>
      <c r="D31" s="44" t="inlineStr">
        <is>
          <t>Collapsible owns a public changelog and the package changelog records the user-facing addition.</t>
        </is>
      </c>
      <c r="E31" s="43" t="inlineStr">
        <is>
          <t>package</t>
        </is>
      </c>
      <c r="F31" s="43" t="inlineStr">
        <is>
          <t>docs</t>
        </is>
      </c>
      <c r="G31" s="44" t="inlineStr">
        <is>
          <t>../docs/components/collapsible/CHANGELOG.md; ../CHANGELOG.md</t>
        </is>
      </c>
      <c r="H31" s="43" t="inlineStr">
        <is>
          <t>tested</t>
        </is>
      </c>
      <c r="I31" s="43" t="inlineStr">
        <is>
          <t>no</t>
        </is>
      </c>
      <c r="J31" s="45" t="n">
        <v>46230</v>
      </c>
      <c r="K31" s="44" t="n"/>
      <c r="L31" s="43" t="n">
        <v>1</v>
      </c>
      <c r="M31" s="43">
        <f>IF(OR(AND(I31="yes",H31="verified"),AND(I31="no",OR(H31="tested",H31="verified")),AND(H31="not applicable",K31&lt;&gt;"")),1,0)</f>
        <v/>
      </c>
    </row>
    <row r="32" ht="15" customHeight="1" s="34">
      <c r="A32" s="43" t="inlineStr">
        <is>
          <t>CO-24</t>
        </is>
      </c>
      <c r="B32" s="43" t="inlineStr">
        <is>
          <t>Consumer</t>
        </is>
      </c>
      <c r="C32" s="43" t="inlineStr">
        <is>
          <t>Collapsible</t>
        </is>
      </c>
      <c r="D32" s="44" t="inlineStr">
        <is>
          <t>Packed Consumer imports the public collapsible subpath and operates a realistic outlined disclosure on desktop and mobile.</t>
        </is>
      </c>
      <c r="E32" s="43" t="inlineStr">
        <is>
          <t>consumer</t>
        </is>
      </c>
      <c r="F32" s="43" t="inlineStr">
        <is>
          <t>consumer</t>
        </is>
      </c>
      <c r="G32" s="44" t="inlineStr">
        <is>
          <t>../apps/consumer/src/App.tsx; ../apps/consumer/tests/consumer.spec.ts</t>
        </is>
      </c>
      <c r="H32" s="43" t="inlineStr">
        <is>
          <t>tested</t>
        </is>
      </c>
      <c r="I32" s="43" t="inlineStr">
        <is>
          <t>no</t>
        </is>
      </c>
      <c r="J32" s="45" t="n">
        <v>46230</v>
      </c>
      <c r="K32" s="44" t="n"/>
      <c r="L32" s="43" t="n">
        <v>1</v>
      </c>
      <c r="M32" s="43">
        <f>IF(OR(AND(I32="yes",H32="verified"),AND(I32="no",OR(H32="tested",H32="verified")),AND(H32="not applicable",K32&lt;&gt;"")),1,0)</f>
        <v/>
      </c>
    </row>
    <row r="33" ht="15" customHeight="1" s="34">
      <c r="A33" s="43" t="inlineStr">
        <is>
          <t>CO-25</t>
        </is>
      </c>
      <c r="B33" s="43" t="inlineStr">
        <is>
          <t>Package</t>
        </is>
      </c>
      <c r="C33" s="43" t="inlineStr">
        <is>
          <t>Collapsible</t>
        </is>
      </c>
      <c r="D33" s="44" t="inlineStr">
        <is>
          <t>Build, declarations, exports, SSR, CSS, tarball, docs, ownership, component coverage, and the configured browser matrix pass for Collapsible.</t>
        </is>
      </c>
      <c r="E33" s="43" t="inlineStr">
        <is>
          <t>package</t>
        </is>
      </c>
      <c r="F33" s="43" t="inlineStr">
        <is>
          <t>package</t>
        </is>
      </c>
      <c r="G33" s="44" t="inlineStr">
        <is>
          <t>../test/package/package.test.mjs; ../test/package/ssr.test.mjs; ../scripts/verify-package.mjs</t>
        </is>
      </c>
      <c r="H33" s="43" t="inlineStr">
        <is>
          <t>tested</t>
        </is>
      </c>
      <c r="I33" s="43" t="inlineStr">
        <is>
          <t>no</t>
        </is>
      </c>
      <c r="J33" s="45" t="n">
        <v>46230</v>
      </c>
      <c r="K33" s="44" t="n"/>
      <c r="L33" s="43" t="n">
        <v>1</v>
      </c>
      <c r="M33" s="43">
        <f>IF(OR(AND(I33="yes",H33="verified"),AND(I33="no",OR(H33="tested",H33="verified")),AND(H33="not applicable",K33&lt;&gt;"")),1,0)</f>
        <v/>
      </c>
    </row>
  </sheetData>
  <mergeCells count="2">
    <mergeCell ref="A2:M2"/>
    <mergeCell ref="A1:M1"/>
  </mergeCells>
  <dataValidations count="2">
    <dataValidation sqref="H9:H33" showDropDown="0" showInputMessage="0" showErrorMessage="0" allowBlank="0" type="list" errorStyle="stop" operator="between">
      <formula1>"not started,partial,implemented,tested,verified,blocked,not applicable"</formula1>
      <formula2>0</formula2>
    </dataValidation>
    <dataValidation sqref="I9:I33"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M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Accordion Evidence</t>
        </is>
      </c>
    </row>
    <row r="2" ht="27.75" customHeight="1" s="34">
      <c r="A2" s="36" t="inlineStr">
        <is>
          <t>Assertion-level grouped disclosure, selection, orientation, keyboard, accessibility, package, documentation, Consumer, and responsive evidence.</t>
        </is>
      </c>
    </row>
    <row r="4" ht="17.25" customHeight="1" s="34">
      <c r="A4" s="37" t="inlineStr">
        <is>
          <t>Requirements</t>
        </is>
      </c>
      <c r="B4" s="38">
        <f>COUNTA(A9:A34)</f>
        <v/>
      </c>
      <c r="D4" s="37" t="inlineStr">
        <is>
          <t>Resolved</t>
        </is>
      </c>
      <c r="E4" s="38">
        <f>SUM(M9:M34)</f>
        <v/>
      </c>
      <c r="G4" s="37" t="inlineStr">
        <is>
          <t>Completion</t>
        </is>
      </c>
      <c r="H4" s="39">
        <f>IF(B4=0,0,E4/B4)</f>
        <v/>
      </c>
      <c r="J4" s="37" t="inlineStr">
        <is>
          <t>Package gate</t>
        </is>
      </c>
      <c r="K4" s="38">
        <f>IF(COUNTIFS(E9:E34,"package",M9:M34,0)&gt;0,"open","complete")</f>
        <v/>
      </c>
    </row>
    <row r="5" ht="17.25" customHeight="1" s="34">
      <c r="A5" s="37" t="inlineStr">
        <is>
          <t>Manual review</t>
        </is>
      </c>
      <c r="B5" s="38">
        <f>IF(COUNTIFS(I9:I34,"yes",M9:M34,0)&gt;0,"open","complete")</f>
        <v/>
      </c>
      <c r="D5" s="37" t="inlineStr">
        <is>
          <t>Consumer gate</t>
        </is>
      </c>
      <c r="E5" s="38">
        <f>IF(COUNTIFS(E9:E34,"consumer",M9:M34,0)&gt;0,"open","complete")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AC-01</t>
        </is>
      </c>
      <c r="B9" s="43" t="inlineStr">
        <is>
          <t>Ownership</t>
        </is>
      </c>
      <c r="C9" s="43" t="inlineStr">
        <is>
          <t>Root</t>
        </is>
      </c>
      <c r="D9" s="44" t="inlineStr">
        <is>
          <t>Brick styles released Atom 0.20.11 Accordion behavior without recreating selection, generated relationships, keyboard navigation, disabled state, mount lifecycle, or live dimension measurement.</t>
        </is>
      </c>
      <c r="E9" s="43" t="inlineStr">
        <is>
          <t>package</t>
        </is>
      </c>
      <c r="F9" s="43" t="inlineStr">
        <is>
          <t>source</t>
        </is>
      </c>
      <c r="G9" s="44" t="inlineStr">
        <is>
          <t>../src/components/accordion</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AC-02</t>
        </is>
      </c>
      <c r="B10" s="43" t="inlineStr">
        <is>
          <t>Anatomy</t>
        </is>
      </c>
      <c r="C10" s="43" t="inlineStr">
        <is>
          <t>All parts</t>
        </is>
      </c>
      <c r="D10" s="44" t="inlineStr">
        <is>
          <t>Root, Item, Header, Trigger, Indicator, Content, and ContentInner render stable public classes and slots; ContentInner alone owns visible panel padding.</t>
        </is>
      </c>
      <c r="E10" s="43" t="inlineStr">
        <is>
          <t>package</t>
        </is>
      </c>
      <c r="F10" s="43" t="inlineStr">
        <is>
          <t>component</t>
        </is>
      </c>
      <c r="G10" s="44" t="inlineStr">
        <is>
          <t>../test/components/accordion/accordion.test.tsx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AC-03</t>
        </is>
      </c>
      <c r="B11" s="43" t="inlineStr">
        <is>
          <t>Exports</t>
        </is>
      </c>
      <c r="C11" s="43" t="inlineStr">
        <is>
          <t>All parts</t>
        </is>
      </c>
      <c r="D11" s="44" t="inlineStr">
        <is>
          <t>The root and accordion subpath expose the namespace, seven named parts, every prop type, and closed size and variant unions with identical runtime identities.</t>
        </is>
      </c>
      <c r="E11" s="43" t="inlineStr">
        <is>
          <t>package</t>
        </is>
      </c>
      <c r="F11" s="43" t="inlineStr">
        <is>
          <t>package</t>
        </is>
      </c>
      <c r="G11" s="44" t="inlineStr">
        <is>
          <t>../test/package/package.test.mjs</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AC-04</t>
        </is>
      </c>
      <c r="B12" s="43" t="inlineStr">
        <is>
          <t>Types</t>
        </is>
      </c>
      <c r="C12" s="43" t="inlineStr">
        <is>
          <t>All parts</t>
        </is>
      </c>
      <c r="D12" s="44" t="inlineStr">
        <is>
          <t>Single and multiple value models, recipes, Atom props, native attributes, refs, composition, Indicator, and ContentInner type-check from the public subpath.</t>
        </is>
      </c>
      <c r="E12" s="43" t="inlineStr">
        <is>
          <t>package</t>
        </is>
      </c>
      <c r="F12" s="43" t="inlineStr">
        <is>
          <t>types</t>
        </is>
      </c>
      <c r="G12" s="44" t="inlineStr">
        <is>
          <t>../test/types/components/accordion.test.ts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AC-05</t>
        </is>
      </c>
      <c r="B13" s="43" t="inlineStr">
        <is>
          <t>CSS</t>
        </is>
      </c>
      <c r="C13" s="43" t="inlineStr">
        <is>
          <t>All parts</t>
        </is>
      </c>
      <c r="D13" s="44" t="inlineStr">
        <is>
          <t>Static CSS ships surfaces, dividers, sizes, state paint, focus, disabled and locked-open treatment, two-axis motion, RTL, reduced motion, forced colors, and public variables.</t>
        </is>
      </c>
      <c r="E13" s="43" t="inlineStr">
        <is>
          <t>package</t>
        </is>
      </c>
      <c r="F13" s="43" t="inlineStr">
        <is>
          <t>css</t>
        </is>
      </c>
      <c r="G13" s="44" t="inlineStr">
        <is>
          <t>../src/components/accordion/accordion.css</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AC-06</t>
        </is>
      </c>
      <c r="B14" s="43" t="inlineStr">
        <is>
          <t>Defaults</t>
        </is>
      </c>
      <c r="C14" s="43" t="inlineStr">
        <is>
          <t>Root</t>
        </is>
      </c>
      <c r="D14" s="44" t="inlineStr">
        <is>
          <t>The default renders closed, plain, medium, enabled, vertical, single-selection, and collapsible with labelled panel landmarks.</t>
        </is>
      </c>
      <c r="E14" s="43" t="inlineStr">
        <is>
          <t>package</t>
        </is>
      </c>
      <c r="F14" s="43" t="inlineStr">
        <is>
          <t>browser</t>
        </is>
      </c>
      <c r="G14" s="44" t="inlineStr">
        <is>
          <t>tests/components/accordion/behavior.spec.ts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AC-07</t>
        </is>
      </c>
      <c r="B15" s="43" t="inlineStr">
        <is>
          <t>Variants</t>
        </is>
      </c>
      <c r="C15" s="43" t="inlineStr">
        <is>
          <t>Root</t>
        </is>
      </c>
      <c r="D15" s="44" t="inlineStr">
        <is>
          <t>Plain, soft, and outline change only the intended group surface while content, size, orientation, and state remain at defaults.</t>
        </is>
      </c>
      <c r="E15" s="43" t="inlineStr">
        <is>
          <t>package</t>
        </is>
      </c>
      <c r="F15" s="43" t="inlineStr">
        <is>
          <t>visual</t>
        </is>
      </c>
      <c r="G15" s="44" t="inlineStr">
        <is>
          <t>tests/components/accordion/visual.spec.ts</t>
        </is>
      </c>
      <c r="H15" s="43" t="inlineStr">
        <is>
          <t>verified</t>
        </is>
      </c>
      <c r="I15" s="43" t="inlineStr">
        <is>
          <t>yes</t>
        </is>
      </c>
      <c r="J15" s="45" t="n">
        <v>46230</v>
      </c>
      <c r="K15" s="44" t="inlineStr">
        <is>
          <t>Agent-inspected the generated variants baseline.</t>
        </is>
      </c>
      <c r="L15" s="43" t="n">
        <v>1</v>
      </c>
      <c r="M15" s="43">
        <f>IF(OR(AND(I15="yes",H15="verified"),AND(I15="no",OR(H15="tested",H15="verified")),AND(H15="not applicable",K15&lt;&gt;"")),1,0)</f>
        <v/>
      </c>
    </row>
    <row r="16" ht="54" customHeight="1" s="34">
      <c r="A16" s="43" t="inlineStr">
        <is>
          <t>AC-08</t>
        </is>
      </c>
      <c r="B16" s="43" t="inlineStr">
        <is>
          <t>Sizes</t>
        </is>
      </c>
      <c r="C16" s="43" t="inlineStr">
        <is>
          <t>Root</t>
        </is>
      </c>
      <c r="D16" s="44" t="inlineStr">
        <is>
          <t>Small, medium, and large coordinate trigger target, typography, spacing, indicator, and ContentInner padding without changing other recipes.</t>
        </is>
      </c>
      <c r="E16" s="43" t="inlineStr">
        <is>
          <t>package</t>
        </is>
      </c>
      <c r="F16" s="43" t="inlineStr">
        <is>
          <t>visual</t>
        </is>
      </c>
      <c r="G16" s="44" t="inlineStr">
        <is>
          <t>tests/components/accordion/visual.spec.ts</t>
        </is>
      </c>
      <c r="H16" s="43" t="inlineStr">
        <is>
          <t>verified</t>
        </is>
      </c>
      <c r="I16" s="43" t="inlineStr">
        <is>
          <t>yes</t>
        </is>
      </c>
      <c r="J16" s="45" t="n">
        <v>46230</v>
      </c>
      <c r="K16" s="44" t="inlineStr">
        <is>
          <t>Agent-inspected the generated sizes baseline.</t>
        </is>
      </c>
      <c r="L16" s="43" t="n">
        <v>1</v>
      </c>
      <c r="M16" s="43">
        <f>IF(OR(AND(I16="yes",H16="verified"),AND(I16="no",OR(H16="tested",H16="verified")),AND(H16="not applicable",K16&lt;&gt;"")),1,0)</f>
        <v/>
      </c>
    </row>
    <row r="17" ht="54" customHeight="1" s="34">
      <c r="A17" s="43" t="inlineStr">
        <is>
          <t>AC-09</t>
        </is>
      </c>
      <c r="B17" s="43" t="inlineStr">
        <is>
          <t>Single selection</t>
        </is>
      </c>
      <c r="C17" s="43" t="inlineStr">
        <is>
          <t>Root / Item</t>
        </is>
      </c>
      <c r="D17" s="44" t="inlineStr">
        <is>
          <t>Single mode opens one Item, replaces the previous value, and optionally allows the active Item to close.</t>
        </is>
      </c>
      <c r="E17" s="43" t="inlineStr">
        <is>
          <t>package</t>
        </is>
      </c>
      <c r="F17" s="43" t="inlineStr">
        <is>
          <t>component</t>
        </is>
      </c>
      <c r="G17" s="44" t="inlineStr">
        <is>
          <t>../test/components/accordion/accordion.test.tsx; tests/components/accordion/behavior.spec.ts</t>
        </is>
      </c>
      <c r="H17" s="43" t="inlineStr">
        <is>
          <t>tested</t>
        </is>
      </c>
      <c r="I17" s="43" t="inlineStr">
        <is>
          <t>no</t>
        </is>
      </c>
      <c r="J17" s="45" t="n">
        <v>46230</v>
      </c>
      <c r="K17" s="44" t="n"/>
      <c r="L17" s="43" t="n">
        <v>1</v>
      </c>
      <c r="M17" s="43">
        <f>IF(OR(AND(I17="yes",H17="verified"),AND(I17="no",OR(H17="tested",H17="verified")),AND(H17="not applicable",K17&lt;&gt;"")),1,0)</f>
        <v/>
      </c>
    </row>
    <row r="18" ht="54" customHeight="1" s="34">
      <c r="A18" s="43" t="inlineStr">
        <is>
          <t>AC-10</t>
        </is>
      </c>
      <c r="B18" s="43" t="inlineStr">
        <is>
          <t>Multiple selection</t>
        </is>
      </c>
      <c r="C18" s="43" t="inlineStr">
        <is>
          <t>Root / Item</t>
        </is>
      </c>
      <c r="D18" s="44" t="inlineStr">
        <is>
          <t>Multiple mode independently opens and closes several unique Item values while preserving authored order.</t>
        </is>
      </c>
      <c r="E18" s="43" t="inlineStr">
        <is>
          <t>package</t>
        </is>
      </c>
      <c r="F18" s="43" t="inlineStr">
        <is>
          <t>component</t>
        </is>
      </c>
      <c r="G18" s="44" t="inlineStr">
        <is>
          <t>../test/components/accordion/accordion.test.tsx; tests/components/accordion/behavior.spec.ts</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AC-11</t>
        </is>
      </c>
      <c r="B19" s="43" t="inlineStr">
        <is>
          <t>Controlled state</t>
        </is>
      </c>
      <c r="C19" s="43" t="inlineStr">
        <is>
          <t>Root</t>
        </is>
      </c>
      <c r="D19" s="44" t="inlineStr">
        <is>
          <t>Controlled selection reports the next exact string or string-array value once and preserves the authored callback.</t>
        </is>
      </c>
      <c r="E19" s="43" t="inlineStr">
        <is>
          <t>package</t>
        </is>
      </c>
      <c r="F19" s="43" t="inlineStr">
        <is>
          <t>component</t>
        </is>
      </c>
      <c r="G19" s="44" t="inlineStr">
        <is>
          <t>../test/components/accordion/accordion.test.tsx</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AC-12</t>
        </is>
      </c>
      <c r="B20" s="43" t="inlineStr">
        <is>
          <t>Locked open</t>
        </is>
      </c>
      <c r="C20" s="43" t="inlineStr">
        <is>
          <t>Trigger</t>
        </is>
      </c>
      <c r="D20" s="44" t="inlineStr">
        <is>
          <t>A non-collapsible active single Trigger stays focusable, exposes aria-disabled and data-locked-open, and does not close.</t>
        </is>
      </c>
      <c r="E20" s="43" t="inlineStr">
        <is>
          <t>package</t>
        </is>
      </c>
      <c r="F20" s="43" t="inlineStr">
        <is>
          <t>browser</t>
        </is>
      </c>
      <c r="G20" s="44" t="inlineStr">
        <is>
          <t>../test/components/accordion/accordion.test.tsx; tests/components/accordion/behavior.spec.ts</t>
        </is>
      </c>
      <c r="H20" s="43" t="inlineStr">
        <is>
          <t>tested</t>
        </is>
      </c>
      <c r="I20" s="43" t="inlineStr">
        <is>
          <t>no</t>
        </is>
      </c>
      <c r="J20" s="45" t="n">
        <v>46230</v>
      </c>
      <c r="K20" s="44" t="n"/>
      <c r="L20" s="43" t="n">
        <v>1</v>
      </c>
      <c r="M20" s="43">
        <f>IF(OR(AND(I20="yes",H20="verified"),AND(I20="no",OR(H20="tested",H20="verified")),AND(H20="not applicable",K20&lt;&gt;"")),1,0)</f>
        <v/>
      </c>
    </row>
    <row r="21" ht="54" customHeight="1" s="34">
      <c r="A21" s="43" t="inlineStr">
        <is>
          <t>AC-13</t>
        </is>
      </c>
      <c r="B21" s="43" t="inlineStr">
        <is>
          <t>Disabled</t>
        </is>
      </c>
      <c r="C21" s="43" t="inlineStr">
        <is>
          <t>Root / Item / Trigger</t>
        </is>
      </c>
      <c r="D21" s="44" t="inlineStr">
        <is>
          <t>Root and Item disabled states expose Atom semantics, are skipped by navigation, and never change selection.</t>
        </is>
      </c>
      <c r="E21" s="43" t="inlineStr">
        <is>
          <t>package</t>
        </is>
      </c>
      <c r="F21" s="43" t="inlineStr">
        <is>
          <t>browser</t>
        </is>
      </c>
      <c r="G21" s="44" t="inlineStr">
        <is>
          <t>../test/components/accordion/accordion.test.tsx; tests/components/accordion/behavior.spec.ts</t>
        </is>
      </c>
      <c r="H21" s="43" t="inlineStr">
        <is>
          <t>tested</t>
        </is>
      </c>
      <c r="I21" s="43" t="inlineStr">
        <is>
          <t>no</t>
        </is>
      </c>
      <c r="J21" s="45" t="n">
        <v>46230</v>
      </c>
      <c r="K21" s="44" t="n"/>
      <c r="L21" s="43" t="n">
        <v>1</v>
      </c>
      <c r="M21" s="43">
        <f>IF(OR(AND(I21="yes",H21="verified"),AND(I21="no",OR(H21="tested",H21="verified")),AND(H21="not applicable",K21&lt;&gt;"")),1,0)</f>
        <v/>
      </c>
    </row>
    <row r="22" ht="54" customHeight="1" s="34">
      <c r="A22" s="43" t="inlineStr">
        <is>
          <t>AC-14</t>
        </is>
      </c>
      <c r="B22" s="43" t="inlineStr">
        <is>
          <t>Lifecycle</t>
        </is>
      </c>
      <c r="C22" s="43" t="inlineStr">
        <is>
          <t>Content</t>
        </is>
      </c>
      <c r="D22" s="44" t="inlineStr">
        <is>
          <t>Closed Content unmounts unless keepMounted is requested; landmark false omits region and aria-labelledby without changing visible content.</t>
        </is>
      </c>
      <c r="E22" s="43" t="inlineStr">
        <is>
          <t>package</t>
        </is>
      </c>
      <c r="F22" s="43" t="inlineStr">
        <is>
          <t>browser</t>
        </is>
      </c>
      <c r="G22" s="44" t="inlineStr">
        <is>
          <t>../test/components/accordion/accordion.test.tsx; tests/components/accordion/behavior.spec.ts</t>
        </is>
      </c>
      <c r="H22" s="43" t="inlineStr">
        <is>
          <t>tested</t>
        </is>
      </c>
      <c r="I22" s="43" t="inlineStr">
        <is>
          <t>no</t>
        </is>
      </c>
      <c r="J22" s="45" t="n">
        <v>46230</v>
      </c>
      <c r="K22" s="44" t="n"/>
      <c r="L22" s="43" t="n">
        <v>1</v>
      </c>
      <c r="M22" s="43">
        <f>IF(OR(AND(I22="yes",H22="verified"),AND(I22="no",OR(H22="tested",H22="verified")),AND(H22="not applicable",K22&lt;&gt;"")),1,0)</f>
        <v/>
      </c>
    </row>
    <row r="23" ht="54" customHeight="1" s="34">
      <c r="A23" s="43" t="inlineStr">
        <is>
          <t>AC-15</t>
        </is>
      </c>
      <c r="B23" s="43" t="inlineStr">
        <is>
          <t>Relationships</t>
        </is>
      </c>
      <c r="C23" s="43" t="inlineStr">
        <is>
          <t>Header / Trigger / Content</t>
        </is>
      </c>
      <c r="D23" s="44" t="inlineStr">
        <is>
          <t>Heading-contained Trigger and Content retain matching generated IDs, controls, labels, expanded state, and optional region role.</t>
        </is>
      </c>
      <c r="E23" s="43" t="inlineStr">
        <is>
          <t>package</t>
        </is>
      </c>
      <c r="F23" s="43" t="inlineStr">
        <is>
          <t>browser</t>
        </is>
      </c>
      <c r="G23" s="44" t="inlineStr">
        <is>
          <t>tests/components/accordion/behavior.spec.ts; ../test/package/ssr.test.mjs</t>
        </is>
      </c>
      <c r="H23" s="43" t="inlineStr">
        <is>
          <t>tested</t>
        </is>
      </c>
      <c r="I23" s="43" t="inlineStr">
        <is>
          <t>no</t>
        </is>
      </c>
      <c r="J23" s="45" t="n">
        <v>46230</v>
      </c>
      <c r="K23" s="44" t="n"/>
      <c r="L23" s="43" t="n">
        <v>1</v>
      </c>
      <c r="M23" s="43">
        <f>IF(OR(AND(I23="yes",H23="verified"),AND(I23="no",OR(H23="tested",H23="verified")),AND(H23="not applicable",K23&lt;&gt;"")),1,0)</f>
        <v/>
      </c>
    </row>
    <row r="24" ht="54" customHeight="1" s="34">
      <c r="A24" s="43" t="inlineStr">
        <is>
          <t>AC-16</t>
        </is>
      </c>
      <c r="B24" s="43" t="inlineStr">
        <is>
          <t>Keyboard</t>
        </is>
      </c>
      <c r="C24" s="43" t="inlineStr">
        <is>
          <t>Trigger</t>
        </is>
      </c>
      <c r="D24" s="44" t="inlineStr">
        <is>
          <t>Enter and Space activate once; Home, End, and orientation-aware arrow keys move focus in enabled visual reading order.</t>
        </is>
      </c>
      <c r="E24" s="43" t="inlineStr">
        <is>
          <t>package</t>
        </is>
      </c>
      <c r="F24" s="43" t="inlineStr">
        <is>
          <t>browser</t>
        </is>
      </c>
      <c r="G24" s="44" t="inlineStr">
        <is>
          <t>tests/components/accordion/behavior.spec.ts</t>
        </is>
      </c>
      <c r="H24" s="43" t="inlineStr">
        <is>
          <t>tested</t>
        </is>
      </c>
      <c r="I24" s="43" t="inlineStr">
        <is>
          <t>no</t>
        </is>
      </c>
      <c r="J24" s="45" t="n">
        <v>46230</v>
      </c>
      <c r="K24" s="44" t="n"/>
      <c r="L24" s="43" t="n">
        <v>1</v>
      </c>
      <c r="M24" s="43">
        <f>IF(OR(AND(I24="yes",H24="verified"),AND(I24="no",OR(H24="tested",H24="verified")),AND(H24="not applicable",K24&lt;&gt;"")),1,0)</f>
        <v/>
      </c>
    </row>
    <row r="25" ht="54" customHeight="1" s="34">
      <c r="A25" s="43" t="inlineStr">
        <is>
          <t>AC-17</t>
        </is>
      </c>
      <c r="B25" s="43" t="inlineStr">
        <is>
          <t>Orientation</t>
        </is>
      </c>
      <c r="C25" s="43" t="inlineStr">
        <is>
          <t>All parts</t>
        </is>
      </c>
      <c r="D25" s="44" t="inlineStr">
        <is>
          <t>Vertical Items stack and animate measured height; horizontal Items order inline, pair Header beside Content, animate measured width, and reverse navigation in RTL.</t>
        </is>
      </c>
      <c r="E25" s="43" t="inlineStr">
        <is>
          <t>package</t>
        </is>
      </c>
      <c r="F25" s="43" t="inlineStr">
        <is>
          <t>visual</t>
        </is>
      </c>
      <c r="G25" s="44" t="inlineStr">
        <is>
          <t>tests/components/accordion/behavior.spec.ts; tests/components/accordion/visual.spec.ts</t>
        </is>
      </c>
      <c r="H25" s="43" t="inlineStr">
        <is>
          <t>verified</t>
        </is>
      </c>
      <c r="I25" s="43" t="inlineStr">
        <is>
          <t>yes</t>
        </is>
      </c>
      <c r="J25" s="45" t="n">
        <v>46230</v>
      </c>
      <c r="K25" s="44" t="inlineStr">
        <is>
          <t>Agent-inspected vertical, horizontal, narrow, and RTL baselines.</t>
        </is>
      </c>
      <c r="L25" s="43" t="n">
        <v>1</v>
      </c>
      <c r="M25" s="43">
        <f>IF(OR(AND(I25="yes",H25="verified"),AND(I25="no",OR(H25="tested",H25="verified")),AND(H25="not applicable",K25&lt;&gt;"")),1,0)</f>
        <v/>
      </c>
    </row>
    <row r="26" ht="54" customHeight="1" s="34">
      <c r="A26" s="43" t="inlineStr">
        <is>
          <t>AC-18</t>
        </is>
      </c>
      <c r="B26" s="43" t="inlineStr">
        <is>
          <t>Composition</t>
        </is>
      </c>
      <c r="C26" s="43" t="inlineStr">
        <is>
          <t>Atom-backed parts</t>
        </is>
      </c>
      <c r="D26" s="44" t="inlineStr">
        <is>
          <t>Render and asChild composition preserve semantic hosts, heading levels, relationships, classes, styles, slots, native props, events, and refs.</t>
        </is>
      </c>
      <c r="E26" s="43" t="inlineStr">
        <is>
          <t>package</t>
        </is>
      </c>
      <c r="F26" s="43" t="inlineStr">
        <is>
          <t>component</t>
        </is>
      </c>
      <c r="G26" s="44" t="inlineStr">
        <is>
          <t>../test/components/accordion/accordion.test.tsx</t>
        </is>
      </c>
      <c r="H26" s="43" t="inlineStr">
        <is>
          <t>tested</t>
        </is>
      </c>
      <c r="I26" s="43" t="inlineStr">
        <is>
          <t>no</t>
        </is>
      </c>
      <c r="J26" s="45" t="n">
        <v>46230</v>
      </c>
      <c r="K26" s="44" t="n"/>
      <c r="L26" s="43" t="n">
        <v>1</v>
      </c>
      <c r="M26" s="43">
        <f>IF(OR(AND(I26="yes",H26="verified"),AND(I26="no",OR(H26="tested",H26="verified")),AND(H26="not applicable",K26&lt;&gt;"")),1,0)</f>
        <v/>
      </c>
    </row>
    <row r="27" ht="54" customHeight="1" s="34">
      <c r="A27" s="43" t="inlineStr">
        <is>
          <t>AC-19</t>
        </is>
      </c>
      <c r="B27" s="43" t="inlineStr">
        <is>
          <t>Responsive and accessibility</t>
        </is>
      </c>
      <c r="C27" s="43" t="inlineStr">
        <is>
          <t>All parts</t>
        </is>
      </c>
      <c r="D27" s="44" t="inlineStr">
        <is>
          <t>Narrow horizontal scrolling stays inside Accordion, the page remains bounded, keyboard focus stays visible, and scoped axe checks pass.</t>
        </is>
      </c>
      <c r="E27" s="43" t="inlineStr">
        <is>
          <t>package</t>
        </is>
      </c>
      <c r="F27" s="43" t="inlineStr">
        <is>
          <t>axe</t>
        </is>
      </c>
      <c r="G27" s="44" t="inlineStr">
        <is>
          <t>tests/components/accordion/behavior.spec.ts</t>
        </is>
      </c>
      <c r="H27" s="43" t="inlineStr">
        <is>
          <t>tested</t>
        </is>
      </c>
      <c r="I27" s="43" t="inlineStr">
        <is>
          <t>no</t>
        </is>
      </c>
      <c r="J27" s="45" t="n">
        <v>46230</v>
      </c>
      <c r="K27" s="44" t="n"/>
      <c r="L27" s="43" t="n">
        <v>1</v>
      </c>
      <c r="M27" s="43">
        <f>IF(OR(AND(I27="yes",H27="verified"),AND(I27="no",OR(H27="tested",H27="verified")),AND(H27="not applicable",K27&lt;&gt;"")),1,0)</f>
        <v/>
      </c>
    </row>
    <row r="28" ht="54" customHeight="1" s="34">
      <c r="A28" s="43" t="inlineStr">
        <is>
          <t>AC-20</t>
        </is>
      </c>
      <c r="B28" s="43" t="inlineStr">
        <is>
          <t>Appearance</t>
        </is>
      </c>
      <c r="C28" s="43" t="inlineStr">
        <is>
          <t>All parts</t>
        </is>
      </c>
      <c r="D28" s="44" t="inlineStr">
        <is>
          <t>Semantic paint adapts in light, dark, and forced colors; supported variables exactly match the customization example.</t>
        </is>
      </c>
      <c r="E28" s="43" t="inlineStr">
        <is>
          <t>package</t>
        </is>
      </c>
      <c r="F28" s="43" t="inlineStr">
        <is>
          <t>visual</t>
        </is>
      </c>
      <c r="G28" s="44" t="inlineStr">
        <is>
          <t>tests/components/accordion/visual.spec.ts</t>
        </is>
      </c>
      <c r="H28" s="43" t="inlineStr">
        <is>
          <t>verified</t>
        </is>
      </c>
      <c r="I28" s="43" t="inlineStr">
        <is>
          <t>yes</t>
        </is>
      </c>
      <c r="J28" s="45" t="n">
        <v>46230</v>
      </c>
      <c r="K28" s="44" t="inlineStr">
        <is>
          <t>Agent-inspected appearance, customization, and forced-color baselines.</t>
        </is>
      </c>
      <c r="L28" s="43" t="n">
        <v>1</v>
      </c>
      <c r="M28" s="43">
        <f>IF(OR(AND(I28="yes",H28="verified"),AND(I28="no",OR(H28="tested",H28="verified")),AND(H28="not applicable",K28&lt;&gt;"")),1,0)</f>
        <v/>
      </c>
    </row>
    <row r="29" ht="54" customHeight="1" s="34">
      <c r="A29" s="43" t="inlineStr">
        <is>
          <t>AC-21</t>
        </is>
      </c>
      <c r="B29" s="43" t="inlineStr">
        <is>
          <t>Visual</t>
        </is>
      </c>
      <c r="C29" s="43" t="inlineStr">
        <is>
          <t>All parts</t>
        </is>
      </c>
      <c r="D29" s="44" t="inlineStr">
        <is>
          <t>Reviewed baselines cover defaults, variants, sizes, selection, states, both orientations, appearance, mobile RTL stress, and forced colors.</t>
        </is>
      </c>
      <c r="E29" s="43" t="inlineStr">
        <is>
          <t>package</t>
        </is>
      </c>
      <c r="F29" s="43" t="inlineStr">
        <is>
          <t>visual</t>
        </is>
      </c>
      <c r="G29" s="44" t="inlineStr">
        <is>
          <t>tests/components/accordion/visual.spec.ts</t>
        </is>
      </c>
      <c r="H29" s="43" t="inlineStr">
        <is>
          <t>verified</t>
        </is>
      </c>
      <c r="I29" s="43" t="inlineStr">
        <is>
          <t>yes</t>
        </is>
      </c>
      <c r="J29" s="45" t="n">
        <v>46230</v>
      </c>
      <c r="K29" s="44" t="inlineStr">
        <is>
          <t>Agent-inspected every generated Accordion baseline.</t>
        </is>
      </c>
      <c r="L29" s="43" t="n">
        <v>1</v>
      </c>
      <c r="M29" s="43">
        <f>IF(OR(AND(I29="yes",H29="verified"),AND(I29="no",OR(H29="tested",H29="verified")),AND(H29="not applicable",K29&lt;&gt;"")),1,0)</f>
        <v/>
      </c>
    </row>
    <row r="30" ht="54" customHeight="1" s="34">
      <c r="A30" s="43" t="inlineStr">
        <is>
          <t>AC-22</t>
        </is>
      </c>
      <c r="B30" s="43" t="inlineStr">
        <is>
          <t>Playground</t>
        </is>
      </c>
      <c r="C30" s="43" t="inlineStr">
        <is>
          <t>All parts</t>
        </is>
      </c>
      <c r="D30" s="44" t="inlineStr">
        <is>
          <t>One navigable route exposes nine controlled scenarios for defaults, recipes, selection, state, orientation, keyboard, composition, appearance, and stress.</t>
        </is>
      </c>
      <c r="E30" s="43" t="inlineStr">
        <is>
          <t>package</t>
        </is>
      </c>
      <c r="F30" s="43" t="inlineStr">
        <is>
          <t>playground</t>
        </is>
      </c>
      <c r="G30" s="44" t="inlineStr">
        <is>
          <t>src/components/accordion/AccordionPage.tsx</t>
        </is>
      </c>
      <c r="H30" s="43" t="inlineStr">
        <is>
          <t>tested</t>
        </is>
      </c>
      <c r="I30" s="43" t="inlineStr">
        <is>
          <t>no</t>
        </is>
      </c>
      <c r="J30" s="45" t="n">
        <v>46230</v>
      </c>
      <c r="K30" s="44" t="n"/>
      <c r="L30" s="43" t="n">
        <v>1</v>
      </c>
      <c r="M30" s="43">
        <f>IF(OR(AND(I30="yes",H30="verified"),AND(I30="no",OR(H30="tested",H30="verified")),AND(H30="not applicable",K30&lt;&gt;"")),1,0)</f>
        <v/>
      </c>
    </row>
    <row r="31" ht="15" customHeight="1" s="34">
      <c r="A31" s="43" t="inlineStr">
        <is>
          <t>AC-23</t>
        </is>
      </c>
      <c r="B31" s="43" t="inlineStr">
        <is>
          <t>Manual</t>
        </is>
      </c>
      <c r="C31" s="43" t="inlineStr">
        <is>
          <t>All parts</t>
        </is>
      </c>
      <c r="D31" s="44" t="inlineStr">
        <is>
          <t>A tester completes the concise pointer, keyboard, assistive-technology, appearance, zoom, mobile, RTL, forced-color, and reduced-motion protocol.</t>
        </is>
      </c>
      <c r="E31" s="43" t="inlineStr">
        <is>
          <t>package</t>
        </is>
      </c>
      <c r="F31" s="43" t="inlineStr">
        <is>
          <t>manual</t>
        </is>
      </c>
      <c r="G31" s="44" t="inlineStr">
        <is>
          <t>manual-tests/accordion.md</t>
        </is>
      </c>
      <c r="H31" s="43" t="inlineStr">
        <is>
          <t>not started</t>
        </is>
      </c>
      <c r="I31" s="43" t="inlineStr">
        <is>
          <t>yes</t>
        </is>
      </c>
      <c r="J31" s="45" t="n">
        <v>46230</v>
      </c>
      <c r="K31" s="44" t="inlineStr">
        <is>
          <t>Human run intentionally unclaimed.</t>
        </is>
      </c>
      <c r="L31" s="43" t="n">
        <v>1</v>
      </c>
      <c r="M31" s="43">
        <f>IF(OR(AND(I31="yes",H31="verified"),AND(I31="no",OR(H31="tested",H31="verified")),AND(H31="not applicable",K31&lt;&gt;"")),1,0)</f>
        <v/>
      </c>
    </row>
    <row r="32" ht="15" customHeight="1" s="34">
      <c r="A32" s="43" t="inlineStr">
        <is>
          <t>AC-24</t>
        </is>
      </c>
      <c r="B32" s="43" t="inlineStr">
        <is>
          <t>Documentation</t>
        </is>
      </c>
      <c r="C32" s="43" t="inlineStr">
        <is>
          <t>All parts</t>
        </is>
      </c>
      <c r="D32" s="44" t="inlineStr">
        <is>
          <t>Source-backed use, anatomy, API, recipes, accessibility, responsive behavior, composition, hooks, customization, evidence, and public changes are documented.</t>
        </is>
      </c>
      <c r="E32" s="43" t="inlineStr">
        <is>
          <t>package</t>
        </is>
      </c>
      <c r="F32" s="43" t="inlineStr">
        <is>
          <t>docs</t>
        </is>
      </c>
      <c r="G32" s="44" t="inlineStr">
        <is>
          <t>../docs/components/accordion/README.md; ../docs/components/accordion/CHANGELOG.md; ../CHANGELOG.md</t>
        </is>
      </c>
      <c r="H32" s="43" t="inlineStr">
        <is>
          <t>tested</t>
        </is>
      </c>
      <c r="I32" s="43" t="inlineStr">
        <is>
          <t>no</t>
        </is>
      </c>
      <c r="J32" s="45" t="n">
        <v>46230</v>
      </c>
      <c r="K32" s="44" t="n"/>
      <c r="L32" s="43" t="n">
        <v>1</v>
      </c>
      <c r="M32" s="43">
        <f>IF(OR(AND(I32="yes",H32="verified"),AND(I32="no",OR(H32="tested",H32="verified")),AND(H32="not applicable",K32&lt;&gt;"")),1,0)</f>
        <v/>
      </c>
    </row>
    <row r="33" ht="15" customHeight="1" s="34">
      <c r="A33" s="43" t="inlineStr">
        <is>
          <t>AC-25</t>
        </is>
      </c>
      <c r="B33" s="43" t="inlineStr">
        <is>
          <t>Consumer</t>
        </is>
      </c>
      <c r="C33" s="43" t="inlineStr">
        <is>
          <t>Accordion</t>
        </is>
      </c>
      <c r="D33" s="44" t="inlineStr">
        <is>
          <t>Packed Consumer imports the public accordion subpath and operates a realistic linked disclosure group on desktop and mobile.</t>
        </is>
      </c>
      <c r="E33" s="43" t="inlineStr">
        <is>
          <t>consumer</t>
        </is>
      </c>
      <c r="F33" s="43" t="inlineStr">
        <is>
          <t>consumer</t>
        </is>
      </c>
      <c r="G33" s="44" t="inlineStr">
        <is>
          <t>../apps/consumer/src/App.tsx; ../apps/consumer/tests/consumer.spec.ts</t>
        </is>
      </c>
      <c r="H33" s="43" t="inlineStr">
        <is>
          <t>tested</t>
        </is>
      </c>
      <c r="I33" s="43" t="inlineStr">
        <is>
          <t>no</t>
        </is>
      </c>
      <c r="J33" s="45" t="n">
        <v>46230</v>
      </c>
      <c r="K33" s="44" t="n"/>
      <c r="L33" s="43" t="n">
        <v>1</v>
      </c>
      <c r="M33" s="43">
        <f>IF(OR(AND(I33="yes",H33="verified"),AND(I33="no",OR(H33="tested",H33="verified")),AND(H33="not applicable",K33&lt;&gt;"")),1,0)</f>
        <v/>
      </c>
    </row>
    <row r="34" ht="33.75" customHeight="1" s="34">
      <c r="A34" s="43" t="inlineStr">
        <is>
          <t>AC-26</t>
        </is>
      </c>
      <c r="B34" s="43" t="inlineStr">
        <is>
          <t>Package</t>
        </is>
      </c>
      <c r="C34" s="43" t="inlineStr">
        <is>
          <t>Accordion</t>
        </is>
      </c>
      <c r="D34" s="44" t="inlineStr">
        <is>
          <t>Build, declarations, exports, SSR, CSS, tarball, docs, ownership, component coverage, and configured browser checks pass for Accordion.</t>
        </is>
      </c>
      <c r="E34" s="43" t="inlineStr">
        <is>
          <t>package</t>
        </is>
      </c>
      <c r="F34" s="43" t="inlineStr">
        <is>
          <t>package</t>
        </is>
      </c>
      <c r="G34" s="44" t="inlineStr">
        <is>
          <t>../test/package/package.test.mjs; ../test/package/ssr.test.mjs; ../scripts/verify-package.mjs</t>
        </is>
      </c>
      <c r="H34" s="43" t="inlineStr">
        <is>
          <t>tested</t>
        </is>
      </c>
      <c r="I34" s="43" t="inlineStr">
        <is>
          <t>no</t>
        </is>
      </c>
      <c r="J34" s="45" t="n">
        <v>46230</v>
      </c>
      <c r="K34" s="44" t="n"/>
      <c r="L34" s="43" t="n">
        <v>1</v>
      </c>
      <c r="M34" s="43">
        <f>IF(OR(AND(I34="yes",H34="verified"),AND(I34="no",OR(H34="tested",H34="verified")),AND(H34="not applicable",K34&lt;&gt;"")),1,0)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M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Toast Evidence</t>
        </is>
      </c>
    </row>
    <row r="2" ht="27.75" customHeight="1" s="34">
      <c r="A2" s="36" t="inlineStr">
        <is>
          <t>Assertion-level Atom-backed API, notification lifecycle, announcement, keyboard, visual, package, documentation, Consumer, and responsive evidence.</t>
        </is>
      </c>
    </row>
    <row r="4" ht="17.25" customHeight="1" s="34">
      <c r="A4" s="37" t="inlineStr">
        <is>
          <t>Requirements</t>
        </is>
      </c>
      <c r="B4" s="38">
        <f>COUNTA(A9:A39)</f>
        <v/>
      </c>
      <c r="D4" s="37" t="inlineStr">
        <is>
          <t>Resolved</t>
        </is>
      </c>
      <c r="E4" s="38">
        <f>SUM(M9:M39)</f>
        <v/>
      </c>
      <c r="G4" s="37" t="inlineStr">
        <is>
          <t>Completion</t>
        </is>
      </c>
      <c r="H4" s="39">
        <f>IF(B4=0,0,E4/B4)</f>
        <v/>
      </c>
      <c r="J4" s="37" t="inlineStr">
        <is>
          <t>Package gate</t>
        </is>
      </c>
      <c r="K4" s="38">
        <f>IF(COUNTIFS(E9:E39,"package",M9:M39,0)&gt;0,"open","complete")</f>
        <v/>
      </c>
    </row>
    <row r="5" ht="17.25" customHeight="1" s="34">
      <c r="A5" s="37" t="inlineStr">
        <is>
          <t>Manual review</t>
        </is>
      </c>
      <c r="B5" s="38">
        <f>IF(COUNTIFS(I9:I39,"yes",M9:M39,0)&gt;0,"open","complete")</f>
        <v/>
      </c>
      <c r="D5" s="37" t="inlineStr">
        <is>
          <t>Consumer gate</t>
        </is>
      </c>
      <c r="E5" s="38">
        <f>IF(COUNTIFS(E9:E39,"consumer",M9:M39,0)&gt;0,"open","complete")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TO-01</t>
        </is>
      </c>
      <c r="B9" s="43" t="inlineStr">
        <is>
          <t>Ownership</t>
        </is>
      </c>
      <c r="C9" s="43" t="inlineStr">
        <is>
          <t>All parts</t>
        </is>
      </c>
      <c r="D9" s="44" t="inlineStr">
        <is>
          <t>Brick styles released Atom 0.20.11 Toast behavior without recreating the store, queue, timers, announcements, focus, keyboard, portal, swipe, or lifecycle.</t>
        </is>
      </c>
      <c r="E9" s="43" t="inlineStr">
        <is>
          <t>package</t>
        </is>
      </c>
      <c r="F9" s="43" t="inlineStr">
        <is>
          <t>source</t>
        </is>
      </c>
      <c r="G9" s="44" t="inlineStr">
        <is>
          <t>../src/components/toast/Toast.tsx; ../package.json</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TO-02</t>
        </is>
      </c>
      <c r="B10" s="43" t="inlineStr">
        <is>
          <t>API</t>
        </is>
      </c>
      <c r="C10" s="43" t="inlineStr">
        <is>
          <t>Toaster / toast</t>
        </is>
      </c>
      <c r="D10" s="44" t="inlineStr">
        <is>
          <t>One installed Toaster and the imperative toast helper expose create, success, error, warning, info, loading, update, promise, dismiss-one, and dismiss-all workflows.</t>
        </is>
      </c>
      <c r="E10" s="43" t="inlineStr">
        <is>
          <t>package</t>
        </is>
      </c>
      <c r="F10" s="43" t="inlineStr">
        <is>
          <t>component</t>
        </is>
      </c>
      <c r="G10" s="44" t="inlineStr">
        <is>
          <t>../test/components/toast/toast.test.tsx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TO-03</t>
        </is>
      </c>
      <c r="B11" s="43" t="inlineStr">
        <is>
          <t>Anatomy</t>
        </is>
      </c>
      <c r="C11" s="43" t="inlineStr">
        <is>
          <t>All parts</t>
        </is>
      </c>
      <c r="D11" s="44" t="inlineStr">
        <is>
          <t>Root, Icon, Content, Title, Description, Actions, Action, Close, and Viewport render stable Brick classes and slots with optional parts omitted when absent.</t>
        </is>
      </c>
      <c r="E11" s="43" t="inlineStr">
        <is>
          <t>package</t>
        </is>
      </c>
      <c r="F11" s="43" t="inlineStr">
        <is>
          <t>component</t>
        </is>
      </c>
      <c r="G11" s="44" t="inlineStr">
        <is>
          <t>../test/components/toast/toast.test.tsx</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TO-04</t>
        </is>
      </c>
      <c r="B12" s="43" t="inlineStr">
        <is>
          <t>Exports</t>
        </is>
      </c>
      <c r="C12" s="43" t="inlineStr">
        <is>
          <t>All parts</t>
        </is>
      </c>
      <c r="D12" s="44" t="inlineStr">
        <is>
          <t>Root and toast subpath exports provide Toaster, toast, the Toast namespace, named compound parts, public option/data types, and runtime identity parity.</t>
        </is>
      </c>
      <c r="E12" s="43" t="inlineStr">
        <is>
          <t>package</t>
        </is>
      </c>
      <c r="F12" s="43" t="inlineStr">
        <is>
          <t>package</t>
        </is>
      </c>
      <c r="G12" s="44" t="inlineStr">
        <is>
          <t>../test/package/package.test.mjs; ../test/package/ssr.test.mjs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TO-05</t>
        </is>
      </c>
      <c r="B13" s="43" t="inlineStr">
        <is>
          <t>Types</t>
        </is>
      </c>
      <c r="C13" s="43" t="inlineStr">
        <is>
          <t>Public surface</t>
        </is>
      </c>
      <c r="D13" s="44" t="inlineStr">
        <is>
          <t>Closed types, logical positions, widths, stacking, swipe direction, action, promise inference, native props, composition, and refs type-check while unsupported APIs fail.</t>
        </is>
      </c>
      <c r="E13" s="43" t="inlineStr">
        <is>
          <t>package</t>
        </is>
      </c>
      <c r="F13" s="43" t="inlineStr">
        <is>
          <t>types</t>
        </is>
      </c>
      <c r="G13" s="44" t="inlineStr">
        <is>
          <t>../test/types/components/toast.test.ts</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TO-06</t>
        </is>
      </c>
      <c r="B14" s="43" t="inlineStr">
        <is>
          <t>CSS</t>
        </is>
      </c>
      <c r="C14" s="43" t="inlineStr">
        <is>
          <t>All parts</t>
        </is>
      </c>
      <c r="D14" s="44" t="inlineStr">
        <is>
          <t>Static CSS ships viewport placement, raised cards, semantic accents, widths, stacking, lifecycle, swipe, dark, reduced-motion, forced-color, responsive, RTL, and customization recipes.</t>
        </is>
      </c>
      <c r="E14" s="43" t="inlineStr">
        <is>
          <t>package</t>
        </is>
      </c>
      <c r="F14" s="43" t="inlineStr">
        <is>
          <t>css</t>
        </is>
      </c>
      <c r="G14" s="44" t="inlineStr">
        <is>
          <t>../src/components/toast/toast.css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TO-07</t>
        </is>
      </c>
      <c r="B15" s="43" t="inlineStr">
        <is>
          <t>Defaults</t>
        </is>
      </c>
      <c r="C15" s="43" t="inlineStr">
        <is>
          <t>Toaster</t>
        </is>
      </c>
      <c r="D15" s="44" t="inlineStr">
        <is>
          <t>Defaults are bottom-end, maximum three visible, close enabled, responsive width, separated stacking, F8 region focus, paused timers on hover/focus/page loss, and no swipe.</t>
        </is>
      </c>
      <c r="E15" s="43" t="inlineStr">
        <is>
          <t>package</t>
        </is>
      </c>
      <c r="F15" s="43" t="inlineStr">
        <is>
          <t>browser</t>
        </is>
      </c>
      <c r="G15" s="44" t="inlineStr">
        <is>
          <t>tests/components/toast/behavior.spec.ts; ../test/components/toast/toast.test.tsx</t>
        </is>
      </c>
      <c r="H15" s="43" t="inlineStr">
        <is>
          <t>tested</t>
        </is>
      </c>
      <c r="I15" s="43" t="inlineStr">
        <is>
          <t>no</t>
        </is>
      </c>
      <c r="J15" s="45" t="n">
        <v>46230</v>
      </c>
      <c r="K15" s="44" t="n"/>
      <c r="L15" s="43" t="n">
        <v>1</v>
      </c>
      <c r="M15" s="43">
        <f>IF(OR(AND(I15="yes",H15="verified"),AND(I15="no",OR(H15="tested",H15="verified")),AND(H15="not applicable",K15&lt;&gt;"")),1,0)</f>
        <v/>
      </c>
    </row>
    <row r="16" ht="54" customHeight="1" s="34">
      <c r="A16" s="43" t="inlineStr">
        <is>
          <t>TO-08</t>
        </is>
      </c>
      <c r="B16" s="43" t="inlineStr">
        <is>
          <t>Types</t>
        </is>
      </c>
      <c r="C16" s="43" t="inlineStr">
        <is>
          <t>Root / Icon</t>
        </is>
      </c>
      <c r="D16" s="44" t="inlineStr">
        <is>
          <t>Default, success, error, warning, info, and loading change only semantic accent, glyph or spinner, and announcement priority while preserving geometry.</t>
        </is>
      </c>
      <c r="E16" s="43" t="inlineStr">
        <is>
          <t>package</t>
        </is>
      </c>
      <c r="F16" s="43" t="inlineStr">
        <is>
          <t>visual</t>
        </is>
      </c>
      <c r="G16" s="44" t="inlineStr">
        <is>
          <t>tests/components/toast/visual.spec.ts</t>
        </is>
      </c>
      <c r="H16" s="43" t="inlineStr">
        <is>
          <t>verified</t>
        </is>
      </c>
      <c r="I16" s="43" t="inlineStr">
        <is>
          <t>yes</t>
        </is>
      </c>
      <c r="J16" s="45" t="n">
        <v>46230</v>
      </c>
      <c r="K16" s="44" t="inlineStr">
        <is>
          <t>Agent inspected the complete six-type baseline in light and forced-color modes.</t>
        </is>
      </c>
      <c r="L16" s="43" t="n">
        <v>1</v>
      </c>
      <c r="M16" s="43">
        <f>IF(OR(AND(I16="yes",H16="verified"),AND(I16="no",OR(H16="tested",H16="verified")),AND(H16="not applicable",K16&lt;&gt;"")),1,0)</f>
        <v/>
      </c>
    </row>
    <row r="17" ht="54" customHeight="1" s="34">
      <c r="A17" s="43" t="inlineStr">
        <is>
          <t>TO-09</t>
        </is>
      </c>
      <c r="B17" s="43" t="inlineStr">
        <is>
          <t>Content</t>
        </is>
      </c>
      <c r="C17" s="43" t="inlineStr">
        <is>
          <t>Content anatomy</t>
        </is>
      </c>
      <c r="D17" s="44" t="inlineStr">
        <is>
          <t>Title-only, description-only, combined, long localized content, component-owned default glyphs, and consumer-authored icon content preserve intended anatomy and hierarchy.</t>
        </is>
      </c>
      <c r="E17" s="43" t="inlineStr">
        <is>
          <t>package</t>
        </is>
      </c>
      <c r="F17" s="43" t="inlineStr">
        <is>
          <t>visual</t>
        </is>
      </c>
      <c r="G17" s="44" t="inlineStr">
        <is>
          <t>tests/components/toast/visual.spec.ts; ../test/components/toast/toast.test.tsx</t>
        </is>
      </c>
      <c r="H17" s="43" t="inlineStr">
        <is>
          <t>verified</t>
        </is>
      </c>
      <c r="I17" s="43" t="inlineStr">
        <is>
          <t>yes</t>
        </is>
      </c>
      <c r="J17" s="45" t="n">
        <v>46230</v>
      </c>
      <c r="K17" s="44" t="inlineStr">
        <is>
          <t>Agent inspected title-only, combined-content, custom-icon, loading, and localized-content baselines.</t>
        </is>
      </c>
      <c r="L17" s="43" t="n">
        <v>1</v>
      </c>
      <c r="M17" s="43">
        <f>IF(OR(AND(I17="yes",H17="verified"),AND(I17="no",OR(H17="tested",H17="verified")),AND(H17="not applicable",K17&lt;&gt;"")),1,0)</f>
        <v/>
      </c>
    </row>
    <row r="18" ht="54" customHeight="1" s="34">
      <c r="A18" s="43" t="inlineStr">
        <is>
          <t>TO-10</t>
        </is>
      </c>
      <c r="B18" s="43" t="inlineStr">
        <is>
          <t>Actions</t>
        </is>
      </c>
      <c r="C18" s="43" t="inlineStr">
        <is>
          <t>Action / Close</t>
        </is>
      </c>
      <c r="D18" s="44" t="inlineStr">
        <is>
          <t>One safe-to-ignore action runs once and dismisses only its toast; close policy resolves Toaster and per-toast settings with localized labels and dismissibility respected.</t>
        </is>
      </c>
      <c r="E18" s="43" t="inlineStr">
        <is>
          <t>package</t>
        </is>
      </c>
      <c r="F18" s="43" t="inlineStr">
        <is>
          <t>browser</t>
        </is>
      </c>
      <c r="G18" s="44" t="inlineStr">
        <is>
          <t>tests/components/toast/behavior.spec.ts; ../test/components/toast/toast.test.tsx</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TO-11</t>
        </is>
      </c>
      <c r="B19" s="43" t="inlineStr">
        <is>
          <t>Widths</t>
        </is>
      </c>
      <c r="C19" s="43" t="inlineStr">
        <is>
          <t>Viewport / Root</t>
        </is>
      </c>
      <c r="D19" s="44" t="inlineStr">
        <is>
          <t>Responsive width is near-full on narrow viewports and compact on larger screens; compact and full remain closed supported alternatives without page overflow.</t>
        </is>
      </c>
      <c r="E19" s="43" t="inlineStr">
        <is>
          <t>package</t>
        </is>
      </c>
      <c r="F19" s="43" t="inlineStr">
        <is>
          <t>browser</t>
        </is>
      </c>
      <c r="G19" s="44" t="inlineStr">
        <is>
          <t>tests/components/toast/behavior.spec.ts; tests/components/toast/visual.spec.ts</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TO-12</t>
        </is>
      </c>
      <c r="B20" s="43" t="inlineStr">
        <is>
          <t>Positions</t>
        </is>
      </c>
      <c r="C20" s="43" t="inlineStr">
        <is>
          <t>Viewport</t>
        </is>
      </c>
      <c r="D20" s="44" t="inlineStr">
        <is>
          <t>Top-start, top-center, top-end, bottom-start, bottom-center, and bottom-end map through logical inline direction in LTR and RTL.</t>
        </is>
      </c>
      <c r="E20" s="43" t="inlineStr">
        <is>
          <t>package</t>
        </is>
      </c>
      <c r="F20" s="43" t="inlineStr">
        <is>
          <t>visual</t>
        </is>
      </c>
      <c r="G20" s="44" t="inlineStr">
        <is>
          <t>tests/components/toast/behavior.spec.ts; tests/components/toast/visual.spec.ts</t>
        </is>
      </c>
      <c r="H20" s="43" t="inlineStr">
        <is>
          <t>verified</t>
        </is>
      </c>
      <c r="I20" s="43" t="inlineStr">
        <is>
          <t>yes</t>
        </is>
      </c>
      <c r="J20" s="45" t="n">
        <v>46230</v>
      </c>
      <c r="K20" s="44" t="inlineStr">
        <is>
          <t>Agent inspected the six-position comparison and RTL logical anatomy baseline.</t>
        </is>
      </c>
      <c r="L20" s="43" t="n">
        <v>1</v>
      </c>
      <c r="M20" s="43">
        <f>IF(OR(AND(I20="yes",H20="verified"),AND(I20="no",OR(H20="tested",H20="verified")),AND(H20="not applicable",K20&lt;&gt;"")),1,0)</f>
        <v/>
      </c>
    </row>
    <row r="21" ht="54" customHeight="1" s="34">
      <c r="A21" s="43" t="inlineStr">
        <is>
          <t>TO-13</t>
        </is>
      </c>
      <c r="B21" s="43" t="inlineStr">
        <is>
          <t>Stacking</t>
        </is>
      </c>
      <c r="C21" s="43" t="inlineStr">
        <is>
          <t>Viewport / Root</t>
        </is>
      </c>
      <c r="D21" s="44" t="inlineStr">
        <is>
          <t>Separated stacking supports variable-height cards without collision; overlap layers inactive cards and expands for pointer or keyboard entry.</t>
        </is>
      </c>
      <c r="E21" s="43" t="inlineStr">
        <is>
          <t>package</t>
        </is>
      </c>
      <c r="F21" s="43" t="inlineStr">
        <is>
          <t>browser</t>
        </is>
      </c>
      <c r="G21" s="44" t="inlineStr">
        <is>
          <t>tests/components/toast/behavior.spec.ts; tests/components/toast/visual.spec.ts</t>
        </is>
      </c>
      <c r="H21" s="43" t="inlineStr">
        <is>
          <t>tested</t>
        </is>
      </c>
      <c r="I21" s="43" t="inlineStr">
        <is>
          <t>no</t>
        </is>
      </c>
      <c r="J21" s="45" t="n">
        <v>46230</v>
      </c>
      <c r="K21" s="44" t="n"/>
      <c r="L21" s="43" t="n">
        <v>1</v>
      </c>
      <c r="M21" s="43">
        <f>IF(OR(AND(I21="yes",H21="verified"),AND(I21="no",OR(H21="tested",H21="verified")),AND(H21="not applicable",K21&lt;&gt;"")),1,0)</f>
        <v/>
      </c>
    </row>
    <row r="22" ht="54" customHeight="1" s="34">
      <c r="A22" s="43" t="inlineStr">
        <is>
          <t>TO-14</t>
        </is>
      </c>
      <c r="B22" s="43" t="inlineStr">
        <is>
          <t>Queue and timers</t>
        </is>
      </c>
      <c r="C22" s="43" t="inlineStr">
        <is>
          <t>Toaster / Root</t>
        </is>
      </c>
      <c r="D22" s="44" t="inlineStr">
        <is>
          <t>Maximum-visible queue promotion, newest-nearest-anchor order, full post-queue duration, entering/visible/exiting lifecycle, and hover/focus/page-loss pause behavior remain Atom-owned and exposed intact.</t>
        </is>
      </c>
      <c r="E22" s="43" t="inlineStr">
        <is>
          <t>package</t>
        </is>
      </c>
      <c r="F22" s="43" t="inlineStr">
        <is>
          <t>browser</t>
        </is>
      </c>
      <c r="G22" s="44" t="inlineStr">
        <is>
          <t>tests/components/toast/behavior.spec.ts</t>
        </is>
      </c>
      <c r="H22" s="43" t="inlineStr">
        <is>
          <t>tested</t>
        </is>
      </c>
      <c r="I22" s="43" t="inlineStr">
        <is>
          <t>no</t>
        </is>
      </c>
      <c r="J22" s="45" t="n">
        <v>46230</v>
      </c>
      <c r="K22" s="44" t="n"/>
      <c r="L22" s="43" t="n">
        <v>1</v>
      </c>
      <c r="M22" s="43">
        <f>IF(OR(AND(I22="yes",H22="verified"),AND(I22="no",OR(H22="tested",H22="verified")),AND(H22="not applicable",K22&lt;&gt;"")),1,0)</f>
        <v/>
      </c>
    </row>
    <row r="23" ht="54" customHeight="1" s="34">
      <c r="A23" s="43" t="inlineStr">
        <is>
          <t>TO-15</t>
        </is>
      </c>
      <c r="B23" s="43" t="inlineStr">
        <is>
          <t>Async lifecycle</t>
        </is>
      </c>
      <c r="C23" s="43" t="inlineStr">
        <is>
          <t>toast</t>
        </is>
      </c>
      <c r="D23" s="44" t="inlineStr">
        <is>
          <t>Loading, update, promise success/error, stable immutable IDs, callbacks, and dismiss-one/all preserve one logical toast lifecycle without duplicate records.</t>
        </is>
      </c>
      <c r="E23" s="43" t="inlineStr">
        <is>
          <t>package</t>
        </is>
      </c>
      <c r="F23" s="43" t="inlineStr">
        <is>
          <t>component</t>
        </is>
      </c>
      <c r="G23" s="44" t="inlineStr">
        <is>
          <t>../test/components/toast/toast.test.tsx; tests/components/toast/behavior.spec.ts</t>
        </is>
      </c>
      <c r="H23" s="43" t="inlineStr">
        <is>
          <t>tested</t>
        </is>
      </c>
      <c r="I23" s="43" t="inlineStr">
        <is>
          <t>no</t>
        </is>
      </c>
      <c r="J23" s="45" t="n">
        <v>46230</v>
      </c>
      <c r="K23" s="44" t="n"/>
      <c r="L23" s="43" t="n">
        <v>1</v>
      </c>
      <c r="M23" s="43">
        <f>IF(OR(AND(I23="yes",H23="verified"),AND(I23="no",OR(H23="tested",H23="verified")),AND(H23="not applicable",K23&lt;&gt;"")),1,0)</f>
        <v/>
      </c>
    </row>
    <row r="24" ht="54" customHeight="1" s="34">
      <c r="A24" s="43" t="inlineStr">
        <is>
          <t>TO-16</t>
        </is>
      </c>
      <c r="B24" s="43" t="inlineStr">
        <is>
          <t>Announcements</t>
        </is>
      </c>
      <c r="C24" s="43" t="inlineStr">
        <is>
          <t>Toaster / Root</t>
        </is>
      </c>
      <c r="D24" s="44" t="inlineStr">
        <is>
          <t>Create and update use exactly one persistent Atom-owned polite or assertive announcement path; visible cards do not create a second live region.</t>
        </is>
      </c>
      <c r="E24" s="43" t="inlineStr">
        <is>
          <t>package</t>
        </is>
      </c>
      <c r="F24" s="43" t="inlineStr">
        <is>
          <t>axe</t>
        </is>
      </c>
      <c r="G24" s="44" t="inlineStr">
        <is>
          <t>tests/components/toast/behavior.spec.ts; ../test/components/toast/toast.test.tsx</t>
        </is>
      </c>
      <c r="H24" s="43" t="inlineStr">
        <is>
          <t>tested</t>
        </is>
      </c>
      <c r="I24" s="43" t="inlineStr">
        <is>
          <t>no</t>
        </is>
      </c>
      <c r="J24" s="45" t="n">
        <v>46230</v>
      </c>
      <c r="K24" s="44" t="n"/>
      <c r="L24" s="43" t="n">
        <v>1</v>
      </c>
      <c r="M24" s="43">
        <f>IF(OR(AND(I24="yes",H24="verified"),AND(I24="no",OR(H24="tested",H24="verified")),AND(H24="not applicable",K24&lt;&gt;"")),1,0)</f>
        <v/>
      </c>
    </row>
    <row r="25" ht="54" customHeight="1" s="34">
      <c r="A25" s="43" t="inlineStr">
        <is>
          <t>TO-17</t>
        </is>
      </c>
      <c r="B25" s="43" t="inlineStr">
        <is>
          <t>Keyboard</t>
        </is>
      </c>
      <c r="C25" s="43" t="inlineStr">
        <is>
          <t>Viewport / controls</t>
        </is>
      </c>
      <c r="D25" s="44" t="inlineStr">
        <is>
          <t>Appearance never steals focus; F8 enters the labelled region, Tab and Shift+Tab reach controls, focused Escape dismisses, and prior focus restores safely.</t>
        </is>
      </c>
      <c r="E25" s="43" t="inlineStr">
        <is>
          <t>package</t>
        </is>
      </c>
      <c r="F25" s="43" t="inlineStr">
        <is>
          <t>browser</t>
        </is>
      </c>
      <c r="G25" s="44" t="inlineStr">
        <is>
          <t>tests/components/toast/behavior.spec.ts</t>
        </is>
      </c>
      <c r="H25" s="43" t="inlineStr">
        <is>
          <t>tested</t>
        </is>
      </c>
      <c r="I25" s="43" t="inlineStr">
        <is>
          <t>no</t>
        </is>
      </c>
      <c r="J25" s="45" t="n">
        <v>46230</v>
      </c>
      <c r="K25" s="44" t="n"/>
      <c r="L25" s="43" t="n">
        <v>1</v>
      </c>
      <c r="M25" s="43">
        <f>IF(OR(AND(I25="yes",H25="verified"),AND(I25="no",OR(H25="tested",H25="verified")),AND(H25="not applicable",K25&lt;&gt;"")),1,0)</f>
        <v/>
      </c>
    </row>
    <row r="26" ht="54" customHeight="1" s="34">
      <c r="A26" s="43" t="inlineStr">
        <is>
          <t>TO-18</t>
        </is>
      </c>
      <c r="B26" s="43" t="inlineStr">
        <is>
          <t>Swipe</t>
        </is>
      </c>
      <c r="C26" s="43" t="inlineStr">
        <is>
          <t>Root</t>
        </is>
      </c>
      <c r="D26" s="44" t="inlineStr">
        <is>
          <t>Optional left, right, up, or down swipe dismissal exposes directional movement and cancellation at the configured threshold without enabling arbitrary dragging by default.</t>
        </is>
      </c>
      <c r="E26" s="43" t="inlineStr">
        <is>
          <t>package</t>
        </is>
      </c>
      <c r="F26" s="43" t="inlineStr">
        <is>
          <t>source</t>
        </is>
      </c>
      <c r="G26" s="44" t="inlineStr">
        <is>
          <t>../src/components/toast/Toast.tsx; ../src/components/toast/toast.css</t>
        </is>
      </c>
      <c r="H26" s="43" t="inlineStr">
        <is>
          <t>tested</t>
        </is>
      </c>
      <c r="I26" s="43" t="inlineStr">
        <is>
          <t>no</t>
        </is>
      </c>
      <c r="J26" s="45" t="n">
        <v>46230</v>
      </c>
      <c r="K26" s="44" t="n"/>
      <c r="L26" s="43" t="n">
        <v>1</v>
      </c>
      <c r="M26" s="43">
        <f>IF(OR(AND(I26="yes",H26="verified"),AND(I26="no",OR(H26="tested",H26="verified")),AND(H26="not applicable",K26&lt;&gt;"")),1,0)</f>
        <v/>
      </c>
    </row>
    <row r="27" ht="54" customHeight="1" s="34">
      <c r="A27" s="43" t="inlineStr">
        <is>
          <t>TO-19</t>
        </is>
      </c>
      <c r="B27" s="43" t="inlineStr">
        <is>
          <t>Portal and props</t>
        </is>
      </c>
      <c r="C27" s="43" t="inlineStr">
        <is>
          <t>Toaster / Viewport</t>
        </is>
      </c>
      <c r="D27" s="44" t="inlineStr">
        <is>
          <t>Body portal, custom container, disabled portal, native viewport props, style, class, data attributes, and the empty-to-visible viewport ref lifecycle preserve the public boundary.</t>
        </is>
      </c>
      <c r="E27" s="43" t="inlineStr">
        <is>
          <t>package</t>
        </is>
      </c>
      <c r="F27" s="43" t="inlineStr">
        <is>
          <t>component</t>
        </is>
      </c>
      <c r="G27" s="44" t="inlineStr">
        <is>
          <t>../test/components/toast/toast.test.tsx; ../test/package/ssr.test.mjs</t>
        </is>
      </c>
      <c r="H27" s="43" t="inlineStr">
        <is>
          <t>tested</t>
        </is>
      </c>
      <c r="I27" s="43" t="inlineStr">
        <is>
          <t>no</t>
        </is>
      </c>
      <c r="J27" s="45" t="n">
        <v>46230</v>
      </c>
      <c r="K27" s="44" t="n"/>
      <c r="L27" s="43" t="n">
        <v>1</v>
      </c>
      <c r="M27" s="43">
        <f>IF(OR(AND(I27="yes",H27="verified"),AND(I27="no",OR(H27="tested",H27="verified")),AND(H27="not applicable",K27&lt;&gt;"")),1,0)</f>
        <v/>
      </c>
    </row>
    <row r="28" ht="54" customHeight="1" s="34">
      <c r="A28" s="43" t="inlineStr">
        <is>
          <t>TO-20</t>
        </is>
      </c>
      <c r="B28" s="43" t="inlineStr">
        <is>
          <t>Customization</t>
        </is>
      </c>
      <c r="C28" s="43" t="inlineStr">
        <is>
          <t>All parts</t>
        </is>
      </c>
      <c r="D28" s="44" t="inlineStr">
        <is>
          <t>Public compound parts, renderToast, classes, variables, per-toast class, custom icons, viewport offsets, and native props customize presentation without transferring Atom behavior ownership.</t>
        </is>
      </c>
      <c r="E28" s="43" t="inlineStr">
        <is>
          <t>package</t>
        </is>
      </c>
      <c r="F28" s="43" t="inlineStr">
        <is>
          <t>component</t>
        </is>
      </c>
      <c r="G28" s="44" t="inlineStr">
        <is>
          <t>../test/components/toast/toast.test.tsx; ../docs/components/toast/README.md</t>
        </is>
      </c>
      <c r="H28" s="43" t="inlineStr">
        <is>
          <t>tested</t>
        </is>
      </c>
      <c r="I28" s="43" t="inlineStr">
        <is>
          <t>no</t>
        </is>
      </c>
      <c r="J28" s="45" t="n">
        <v>46230</v>
      </c>
      <c r="K28" s="44" t="n"/>
      <c r="L28" s="43" t="n">
        <v>1</v>
      </c>
      <c r="M28" s="43">
        <f>IF(OR(AND(I28="yes",H28="verified"),AND(I28="no",OR(H28="tested",H28="verified")),AND(H28="not applicable",K28&lt;&gt;"")),1,0)</f>
        <v/>
      </c>
    </row>
    <row r="29" ht="54" customHeight="1" s="34">
      <c r="A29" s="43" t="inlineStr">
        <is>
          <t>TO-21</t>
        </is>
      </c>
      <c r="B29" s="43" t="inlineStr">
        <is>
          <t>Responsive / RTL</t>
        </is>
      </c>
      <c r="C29" s="43" t="inlineStr">
        <is>
          <t>All parts</t>
        </is>
      </c>
      <c r="D29" s="44" t="inlineStr">
        <is>
          <t>Mobile width, long Arabic content, RTL logical anatomy, variable heights, text spacing, safe-area fixtures, and narrow containment remain readable without horizontal page overflow.</t>
        </is>
      </c>
      <c r="E29" s="43" t="inlineStr">
        <is>
          <t>package</t>
        </is>
      </c>
      <c r="F29" s="43" t="inlineStr">
        <is>
          <t>visual</t>
        </is>
      </c>
      <c r="G29" s="44" t="inlineStr">
        <is>
          <t>tests/components/toast/behavior.spec.ts; tests/components/toast/visual.spec.ts</t>
        </is>
      </c>
      <c r="H29" s="43" t="inlineStr">
        <is>
          <t>verified</t>
        </is>
      </c>
      <c r="I29" s="43" t="inlineStr">
        <is>
          <t>yes</t>
        </is>
      </c>
      <c r="J29" s="45" t="n">
        <v>46230</v>
      </c>
      <c r="K29" s="44" t="inlineStr">
        <is>
          <t>Agent inspected the mobile RTL stress and logical-position baselines.</t>
        </is>
      </c>
      <c r="L29" s="43" t="n">
        <v>1</v>
      </c>
      <c r="M29" s="43">
        <f>IF(OR(AND(I29="yes",H29="verified"),AND(I29="no",OR(H29="tested",H29="verified")),AND(H29="not applicable",K29&lt;&gt;"")),1,0)</f>
        <v/>
      </c>
    </row>
    <row r="30" ht="54" customHeight="1" s="34">
      <c r="A30" s="43" t="inlineStr">
        <is>
          <t>TO-22</t>
        </is>
      </c>
      <c r="B30" s="43" t="inlineStr">
        <is>
          <t>Appearance</t>
        </is>
      </c>
      <c r="C30" s="43" t="inlineStr">
        <is>
          <t>All parts</t>
        </is>
      </c>
      <c r="D30" s="44" t="inlineStr">
        <is>
          <t>Semantic surface, text, accent, glyph, close, action, focus, and elevation remain legible and intentionally hierarchical in light and dark appearance.</t>
        </is>
      </c>
      <c r="E30" s="43" t="inlineStr">
        <is>
          <t>package</t>
        </is>
      </c>
      <c r="F30" s="43" t="inlineStr">
        <is>
          <t>visual</t>
        </is>
      </c>
      <c r="G30" s="44" t="inlineStr">
        <is>
          <t>tests/components/toast/visual.spec.ts</t>
        </is>
      </c>
      <c r="H30" s="43" t="inlineStr">
        <is>
          <t>verified</t>
        </is>
      </c>
      <c r="I30" s="43" t="inlineStr">
        <is>
          <t>yes</t>
        </is>
      </c>
      <c r="J30" s="45" t="n">
        <v>46230</v>
      </c>
      <c r="K30" s="44" t="inlineStr">
        <is>
          <t>Agent inspected the light and dark appearance baseline.</t>
        </is>
      </c>
      <c r="L30" s="43" t="n">
        <v>1</v>
      </c>
      <c r="M30" s="43">
        <f>IF(OR(AND(I30="yes",H30="verified"),AND(I30="no",OR(H30="tested",H30="verified")),AND(H30="not applicable",K30&lt;&gt;"")),1,0)</f>
        <v/>
      </c>
    </row>
    <row r="31" ht="54" customHeight="1" s="34">
      <c r="A31" s="43" t="inlineStr">
        <is>
          <t>TO-23</t>
        </is>
      </c>
      <c r="B31" s="43" t="inlineStr">
        <is>
          <t>Preferences</t>
        </is>
      </c>
      <c r="C31" s="43" t="inlineStr">
        <is>
          <t>Root / Icon</t>
        </is>
      </c>
      <c r="D31" s="44" t="inlineStr">
        <is>
          <t>Reduced motion removes lifecycle and loading animation while preserving state; forced colors preserves boundaries, icons, text, controls, and focus geometry.</t>
        </is>
      </c>
      <c r="E31" s="43" t="inlineStr">
        <is>
          <t>package</t>
        </is>
      </c>
      <c r="F31" s="43" t="inlineStr">
        <is>
          <t>visual</t>
        </is>
      </c>
      <c r="G31" s="44" t="inlineStr">
        <is>
          <t>tests/components/toast/visual.spec.ts</t>
        </is>
      </c>
      <c r="H31" s="43" t="inlineStr">
        <is>
          <t>verified</t>
        </is>
      </c>
      <c r="I31" s="43" t="inlineStr">
        <is>
          <t>yes</t>
        </is>
      </c>
      <c r="J31" s="45" t="n">
        <v>46230</v>
      </c>
      <c r="K31" s="44" t="inlineStr">
        <is>
          <t>Agent inspected the reduced-motion loading and forced-color type baselines.</t>
        </is>
      </c>
      <c r="L31" s="43" t="n">
        <v>1</v>
      </c>
      <c r="M31" s="43">
        <f>IF(OR(AND(I31="yes",H31="verified"),AND(I31="no",OR(H31="tested",H31="verified")),AND(H31="not applicable",K31&lt;&gt;"")),1,0)</f>
        <v/>
      </c>
    </row>
    <row r="32" ht="54" customHeight="1" s="34">
      <c r="A32" s="43" t="inlineStr">
        <is>
          <t>TO-24</t>
        </is>
      </c>
      <c r="B32" s="43" t="inlineStr">
        <is>
          <t>Accessibility</t>
        </is>
      </c>
      <c r="C32" s="43" t="inlineStr">
        <is>
          <t>All parts</t>
        </is>
      </c>
      <c r="D32" s="44" t="inlineStr">
        <is>
          <t>Labelled region, exactly-once live semantics, decorative glyphs, native buttons, focus order, target geometry, localized labels, and scoped axe checks remain valid.</t>
        </is>
      </c>
      <c r="E32" s="43" t="inlineStr">
        <is>
          <t>package</t>
        </is>
      </c>
      <c r="F32" s="43" t="inlineStr">
        <is>
          <t>axe</t>
        </is>
      </c>
      <c r="G32" s="44" t="inlineStr">
        <is>
          <t>tests/components/toast/behavior.spec.ts</t>
        </is>
      </c>
      <c r="H32" s="43" t="inlineStr">
        <is>
          <t>tested</t>
        </is>
      </c>
      <c r="I32" s="43" t="inlineStr">
        <is>
          <t>no</t>
        </is>
      </c>
      <c r="J32" s="45" t="n">
        <v>46230</v>
      </c>
      <c r="K32" s="44" t="n"/>
      <c r="L32" s="43" t="n">
        <v>1</v>
      </c>
      <c r="M32" s="43">
        <f>IF(OR(AND(I32="yes",H32="verified"),AND(I32="no",OR(H32="tested",H32="verified")),AND(H32="not applicable",K32&lt;&gt;"")),1,0)</f>
        <v/>
      </c>
    </row>
    <row r="33" ht="54" customHeight="1" s="34">
      <c r="A33" s="43" t="inlineStr">
        <is>
          <t>TO-25</t>
        </is>
      </c>
      <c r="B33" s="43" t="inlineStr">
        <is>
          <t>Visual</t>
        </is>
      </c>
      <c r="C33" s="43" t="inlineStr">
        <is>
          <t>All parts</t>
        </is>
      </c>
      <c r="D33" s="44" t="inlineStr">
        <is>
          <t>Nine reviewed Chromium baselines cover overview, six types, content, queue, positions, appearance, mobile RTL stress, reduced-motion loading, and forced colors.</t>
        </is>
      </c>
      <c r="E33" s="43" t="inlineStr">
        <is>
          <t>package</t>
        </is>
      </c>
      <c r="F33" s="43" t="inlineStr">
        <is>
          <t>visual</t>
        </is>
      </c>
      <c r="G33" s="44" t="inlineStr">
        <is>
          <t>tests/components/toast/visual.spec.ts</t>
        </is>
      </c>
      <c r="H33" s="43" t="inlineStr">
        <is>
          <t>verified</t>
        </is>
      </c>
      <c r="I33" s="43" t="inlineStr">
        <is>
          <t>yes</t>
        </is>
      </c>
      <c r="J33" s="45" t="n">
        <v>46230</v>
      </c>
      <c r="K33" s="44" t="inlineStr">
        <is>
          <t>Agent inspected every generated Toast baseline after the final typography-token correction.</t>
        </is>
      </c>
      <c r="L33" s="43" t="n">
        <v>1</v>
      </c>
      <c r="M33" s="43">
        <f>IF(OR(AND(I33="yes",H33="verified"),AND(I33="no",OR(H33="tested",H33="verified")),AND(H33="not applicable",K33&lt;&gt;"")),1,0)</f>
        <v/>
      </c>
    </row>
    <row r="34" ht="54" customHeight="1" s="34">
      <c r="A34" s="43" t="inlineStr">
        <is>
          <t>TO-26</t>
        </is>
      </c>
      <c r="B34" s="43" t="inlineStr">
        <is>
          <t>Playground</t>
        </is>
      </c>
      <c r="C34" s="43" t="inlineStr">
        <is>
          <t>All parts</t>
        </is>
      </c>
      <c r="D34" s="44" t="inlineStr">
        <is>
          <t>One navigable Toast route exposes nine controlled scenarios for overview, types, content, queue, positions, async lifecycle, customization, accessibility, and stress.</t>
        </is>
      </c>
      <c r="E34" s="43" t="inlineStr">
        <is>
          <t>package</t>
        </is>
      </c>
      <c r="F34" s="43" t="inlineStr">
        <is>
          <t>playground</t>
        </is>
      </c>
      <c r="G34" s="44" t="inlineStr">
        <is>
          <t>src/components/toast/ToastPage.tsx</t>
        </is>
      </c>
      <c r="H34" s="43" t="inlineStr">
        <is>
          <t>tested</t>
        </is>
      </c>
      <c r="I34" s="43" t="inlineStr">
        <is>
          <t>no</t>
        </is>
      </c>
      <c r="J34" s="45" t="n">
        <v>46230</v>
      </c>
      <c r="K34" s="44" t="n"/>
      <c r="L34" s="43" t="n">
        <v>1</v>
      </c>
      <c r="M34" s="43">
        <f>IF(OR(AND(I34="yes",H34="verified"),AND(I34="no",OR(H34="tested",H34="verified")),AND(H34="not applicable",K34&lt;&gt;"")),1,0)</f>
        <v/>
      </c>
    </row>
    <row r="35" ht="54" customHeight="1" s="34">
      <c r="A35" s="43" t="inlineStr">
        <is>
          <t>TO-27</t>
        </is>
      </c>
      <c r="B35" s="43" t="inlineStr">
        <is>
          <t>Manual</t>
        </is>
      </c>
      <c r="C35" s="43" t="inlineStr">
        <is>
          <t>All parts</t>
        </is>
      </c>
      <c r="D35" s="44" t="inlineStr">
        <is>
          <t>A tester completes the pointer, keyboard, assistive-technology, announcement, timer, zoom, mobile, RTL, safe-area, appearance, forced-color, reduced-motion, and portal protocol.</t>
        </is>
      </c>
      <c r="E35" s="43" t="inlineStr">
        <is>
          <t>package</t>
        </is>
      </c>
      <c r="F35" s="43" t="inlineStr">
        <is>
          <t>manual</t>
        </is>
      </c>
      <c r="G35" s="44" t="inlineStr">
        <is>
          <t>manual-tests/toast.md</t>
        </is>
      </c>
      <c r="H35" s="43" t="inlineStr">
        <is>
          <t>not started</t>
        </is>
      </c>
      <c r="I35" s="43" t="inlineStr">
        <is>
          <t>yes</t>
        </is>
      </c>
      <c r="J35" s="45" t="n">
        <v>46230</v>
      </c>
      <c r="K35" s="44" t="inlineStr">
        <is>
          <t>Human run intentionally unclaimed.</t>
        </is>
      </c>
      <c r="L35" s="43" t="n">
        <v>1</v>
      </c>
      <c r="M35" s="43">
        <f>IF(OR(AND(I35="yes",H35="verified"),AND(I35="no",OR(H35="tested",H35="verified")),AND(H35="not applicable",K35&lt;&gt;"")),1,0)</f>
        <v/>
      </c>
    </row>
    <row r="36" ht="54" customHeight="1" s="34">
      <c r="A36" s="43" t="inlineStr">
        <is>
          <t>TO-28</t>
        </is>
      </c>
      <c r="B36" s="43" t="inlineStr">
        <is>
          <t>Documentation</t>
        </is>
      </c>
      <c r="C36" s="43" t="inlineStr">
        <is>
          <t>Toast</t>
        </is>
      </c>
      <c r="D36" s="44" t="inlineStr">
        <is>
          <t>Source-backed role, boundaries, setup, anatomy, API, defaults, types, positions, timers, queue, async lifecycle, focus, accessibility, CSS, customization, exclusions, and evidence are documented.</t>
        </is>
      </c>
      <c r="E36" s="43" t="inlineStr">
        <is>
          <t>package</t>
        </is>
      </c>
      <c r="F36" s="43" t="inlineStr">
        <is>
          <t>docs</t>
        </is>
      </c>
      <c r="G36" s="44" t="inlineStr">
        <is>
          <t>../docs/components/toast/README.md</t>
        </is>
      </c>
      <c r="H36" s="43" t="inlineStr">
        <is>
          <t>tested</t>
        </is>
      </c>
      <c r="I36" s="43" t="inlineStr">
        <is>
          <t>no</t>
        </is>
      </c>
      <c r="J36" s="45" t="n">
        <v>46230</v>
      </c>
      <c r="K36" s="44" t="n"/>
      <c r="L36" s="43" t="n">
        <v>1</v>
      </c>
      <c r="M36" s="43">
        <f>IF(OR(AND(I36="yes",H36="verified"),AND(I36="no",OR(H36="tested",H36="verified")),AND(H36="not applicable",K36&lt;&gt;"")),1,0)</f>
        <v/>
      </c>
    </row>
    <row r="37" ht="54" customHeight="1" s="34">
      <c r="A37" s="43" t="inlineStr">
        <is>
          <t>TO-29</t>
        </is>
      </c>
      <c r="B37" s="43" t="inlineStr">
        <is>
          <t>Changelog</t>
        </is>
      </c>
      <c r="C37" s="43" t="inlineStr">
        <is>
          <t>Toast</t>
        </is>
      </c>
      <c r="D37" s="44" t="inlineStr">
        <is>
          <t>Toast owns a public component changelog and the package changelog records the complete public addition and exact Atom dependency update.</t>
        </is>
      </c>
      <c r="E37" s="43" t="inlineStr">
        <is>
          <t>package</t>
        </is>
      </c>
      <c r="F37" s="43" t="inlineStr">
        <is>
          <t>docs</t>
        </is>
      </c>
      <c r="G37" s="44" t="inlineStr">
        <is>
          <t>../docs/components/toast/CHANGELOG.md; ../CHANGELOG.md</t>
        </is>
      </c>
      <c r="H37" s="43" t="inlineStr">
        <is>
          <t>tested</t>
        </is>
      </c>
      <c r="I37" s="43" t="inlineStr">
        <is>
          <t>no</t>
        </is>
      </c>
      <c r="J37" s="45" t="n">
        <v>46230</v>
      </c>
      <c r="K37" s="44" t="n"/>
      <c r="L37" s="43" t="n">
        <v>1</v>
      </c>
      <c r="M37" s="43">
        <f>IF(OR(AND(I37="yes",H37="verified"),AND(I37="no",OR(H37="tested",H37="verified")),AND(H37="not applicable",K37&lt;&gt;"")),1,0)</f>
        <v/>
      </c>
    </row>
    <row r="38" ht="54" customHeight="1" s="34">
      <c r="A38" s="43" t="inlineStr">
        <is>
          <t>TO-30</t>
        </is>
      </c>
      <c r="B38" s="43" t="inlineStr">
        <is>
          <t>Consumer</t>
        </is>
      </c>
      <c r="C38" s="43" t="inlineStr">
        <is>
          <t>Toaster / toast</t>
        </is>
      </c>
      <c r="D38" s="44" t="inlineStr">
        <is>
          <t>Packed Consumer imports the public toast subpath, installs one Toaster, and produces durable duplicate success feedback after publishing on desktop and mobile.</t>
        </is>
      </c>
      <c r="E38" s="43" t="inlineStr">
        <is>
          <t>consumer</t>
        </is>
      </c>
      <c r="F38" s="43" t="inlineStr">
        <is>
          <t>consumer</t>
        </is>
      </c>
      <c r="G38" s="44" t="inlineStr">
        <is>
          <t>../apps/consumer/src/App.tsx; ../apps/consumer/tests/consumer.spec.ts</t>
        </is>
      </c>
      <c r="H38" s="43" t="inlineStr">
        <is>
          <t>tested</t>
        </is>
      </c>
      <c r="I38" s="43" t="inlineStr">
        <is>
          <t>no</t>
        </is>
      </c>
      <c r="J38" s="45" t="n">
        <v>46230</v>
      </c>
      <c r="K38" s="44" t="n"/>
      <c r="L38" s="43" t="n">
        <v>1</v>
      </c>
      <c r="M38" s="43">
        <f>IF(OR(AND(I38="yes",H38="verified"),AND(I38="no",OR(H38="tested",H38="verified")),AND(H38="not applicable",K38&lt;&gt;"")),1,0)</f>
        <v/>
      </c>
    </row>
    <row r="39" ht="54" customHeight="1" s="34">
      <c r="A39" s="43" t="inlineStr">
        <is>
          <t>TO-31</t>
        </is>
      </c>
      <c r="B39" s="43" t="inlineStr">
        <is>
          <t>Package</t>
        </is>
      </c>
      <c r="C39" s="43" t="inlineStr">
        <is>
          <t>Toast</t>
        </is>
      </c>
      <c r="D39" s="44" t="inlineStr">
        <is>
          <t>Build, declarations, root/subpath exports, SSR, CSS, tarball, docs, ownership, clean React 18/19 consumers, full browser suite, packed Consumer, and exact Atom 0.20.11 dependency pass in GitHub Actions run 30316339713.</t>
        </is>
      </c>
      <c r="E39" s="43" t="inlineStr">
        <is>
          <t>package</t>
        </is>
      </c>
      <c r="F39" s="43" t="inlineStr">
        <is>
          <t>package</t>
        </is>
      </c>
      <c r="G39" s="44" t="inlineStr">
        <is>
          <t>../test/package/package.test.mjs; ../test/package/ssr.test.mjs; ../scripts/verify-package.mjs; ../scripts/verify-consumers.mjs</t>
        </is>
      </c>
      <c r="H39" s="43" t="inlineStr">
        <is>
          <t>tested</t>
        </is>
      </c>
      <c r="I39" s="43" t="inlineStr">
        <is>
          <t>no</t>
        </is>
      </c>
      <c r="J39" s="45" t="n">
        <v>46230</v>
      </c>
      <c r="K39" s="44" t="n"/>
      <c r="L39" s="43" t="n">
        <v>1</v>
      </c>
      <c r="M39" s="43">
        <f>IF(OR(AND(I39="yes",H39="verified"),AND(I39="no",OR(H39="tested",H39="verified")),AND(H39="not applicable",K39&lt;&gt;"")),1,0)</f>
        <v/>
      </c>
    </row>
  </sheetData>
  <mergeCells count="2">
    <mergeCell ref="A2:M2"/>
    <mergeCell ref="A1:M1"/>
  </mergeCells>
  <dataValidations count="2">
    <dataValidation sqref="H9:H39" showDropDown="0" showInputMessage="0" showErrorMessage="0" allowBlank="0" type="list" errorStyle="stop" operator="between">
      <formula1>"not started,partial,implemented,tested,verified,blocked,not applicable"</formula1>
      <formula2>0</formula2>
    </dataValidation>
    <dataValidation sqref="I9:I39"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Table Evidence</t>
        </is>
      </c>
    </row>
    <row r="2" ht="27.75" customHeight="1" s="34">
      <c r="A2" s="36" t="inlineStr">
        <is>
          <t>Assertion-level native anatomy, static recipes, sorting composition, responsive containment, package, documentation, Consumer, and accessibility evidence.</t>
        </is>
      </c>
    </row>
    <row r="4" ht="17.25" customHeight="1" s="34">
      <c r="A4" s="37" t="inlineStr">
        <is>
          <t>Requirements</t>
        </is>
      </c>
      <c r="B4" s="38">
        <f>COUNTA(A9:A31)</f>
        <v/>
      </c>
      <c r="D4" s="37" t="inlineStr">
        <is>
          <t>Resolved</t>
        </is>
      </c>
      <c r="E4" s="38">
        <f>SUM(M9:M31)</f>
        <v/>
      </c>
      <c r="G4" s="37" t="inlineStr">
        <is>
          <t>Completion</t>
        </is>
      </c>
      <c r="H4" s="39">
        <f>IF(B4=0,0,E4/B4)</f>
        <v/>
      </c>
      <c r="J4" s="37" t="inlineStr">
        <is>
          <t>Package gate</t>
        </is>
      </c>
      <c r="K4" s="38">
        <f>IF(COUNTIFS(E9:E31,"package",M9:M31,0)&gt;0,"open","complete")</f>
        <v/>
      </c>
    </row>
    <row r="5" ht="17.25" customHeight="1" s="34">
      <c r="A5" s="37" t="inlineStr">
        <is>
          <t>Manual review</t>
        </is>
      </c>
      <c r="B5" s="38">
        <f>IF(COUNTIFS(I9:I31,"yes",M9:M31,0)&gt;0,"open","complete")</f>
        <v/>
      </c>
      <c r="D5" s="37" t="inlineStr">
        <is>
          <t>Consumer gate</t>
        </is>
      </c>
      <c r="E5" s="38">
        <f>IF(COUNTIFS(E9:E31,"consumer",M9:M31,0)&gt;0,"open","complete")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TA-01</t>
        </is>
      </c>
      <c r="B9" s="43" t="inlineStr">
        <is>
          <t>Ownership</t>
        </is>
      </c>
      <c r="C9" s="43" t="inlineStr">
        <is>
          <t>All parts</t>
        </is>
      </c>
      <c r="D9" s="44" t="inlineStr">
        <is>
          <t>Brick styles released Atom 0.20.11 native Table semantics without recreating behavior.</t>
        </is>
      </c>
      <c r="E9" s="43" t="inlineStr">
        <is>
          <t>package</t>
        </is>
      </c>
      <c r="F9" s="43" t="inlineStr">
        <is>
          <t>source</t>
        </is>
      </c>
      <c r="G9" s="44" t="inlineStr">
        <is>
          <t>../src/components/table/Table.tsx; ../package.json</t>
        </is>
      </c>
      <c r="H9" s="43" t="inlineStr">
        <is>
          <t>tested</t>
        </is>
      </c>
      <c r="I9" s="43" t="inlineStr">
        <is>
          <t>no</t>
        </is>
      </c>
      <c r="J9" s="45" t="n">
        <v>46230</v>
      </c>
      <c r="K9" s="44" t="n"/>
      <c r="L9" s="43" t="n">
        <v>1</v>
      </c>
      <c r="M9" s="43">
        <f>IF(OR(AND(I9="yes",H9="verified"),AND(I9="no",OR(H9="tested",H9="verified")),AND(H9="not applicable",K9&lt;&gt;"")),1,0)</f>
        <v/>
      </c>
    </row>
    <row r="10" ht="54" customHeight="1" s="34">
      <c r="A10" s="43" t="inlineStr">
        <is>
          <t>TA-02</t>
        </is>
      </c>
      <c r="B10" s="43" t="inlineStr">
        <is>
          <t>API</t>
        </is>
      </c>
      <c r="C10" s="43" t="inlineStr">
        <is>
          <t>All parts</t>
        </is>
      </c>
      <c r="D10" s="44" t="inlineStr">
        <is>
          <t>Ten-part namespace and named exports expose the adopted static Table surface.</t>
        </is>
      </c>
      <c r="E10" s="43" t="inlineStr">
        <is>
          <t>package</t>
        </is>
      </c>
      <c r="F10" s="43" t="inlineStr">
        <is>
          <t>component</t>
        </is>
      </c>
      <c r="G10" s="44" t="inlineStr">
        <is>
          <t>../test/components/table/table.test.tsx</t>
        </is>
      </c>
      <c r="H10" s="43" t="inlineStr">
        <is>
          <t>tested</t>
        </is>
      </c>
      <c r="I10" s="43" t="inlineStr">
        <is>
          <t>no</t>
        </is>
      </c>
      <c r="J10" s="45" t="n">
        <v>46230</v>
      </c>
      <c r="K10" s="44" t="n"/>
      <c r="L10" s="43" t="n">
        <v>1</v>
      </c>
      <c r="M10" s="43">
        <f>IF(OR(AND(I10="yes",H10="verified"),AND(I10="no",OR(H10="tested",H10="verified")),AND(H10="not applicable",K10&lt;&gt;"")),1,0)</f>
        <v/>
      </c>
    </row>
    <row r="11" ht="54" customHeight="1" s="34">
      <c r="A11" s="43" t="inlineStr">
        <is>
          <t>TA-03</t>
        </is>
      </c>
      <c r="B11" s="43" t="inlineStr">
        <is>
          <t>Anatomy</t>
        </is>
      </c>
      <c r="C11" s="43" t="inlineStr">
        <is>
          <t>Root and sections</t>
        </is>
      </c>
      <c r="D11" s="44" t="inlineStr">
        <is>
          <t>Container, table, caption, sections, rows, headers, cells, and indicator render exact native hosts and refs.</t>
        </is>
      </c>
      <c r="E11" s="43" t="inlineStr">
        <is>
          <t>package</t>
        </is>
      </c>
      <c r="F11" s="43" t="inlineStr">
        <is>
          <t>component</t>
        </is>
      </c>
      <c r="G11" s="44" t="inlineStr">
        <is>
          <t>../test/components/table/table.test.tsx</t>
        </is>
      </c>
      <c r="H11" s="43" t="inlineStr">
        <is>
          <t>tested</t>
        </is>
      </c>
      <c r="I11" s="43" t="inlineStr">
        <is>
          <t>no</t>
        </is>
      </c>
      <c r="J11" s="45" t="n">
        <v>46230</v>
      </c>
      <c r="K11" s="44" t="n"/>
      <c r="L11" s="43" t="n">
        <v>1</v>
      </c>
      <c r="M11" s="43">
        <f>IF(OR(AND(I11="yes",H11="verified"),AND(I11="no",OR(H11="tested",H11="verified")),AND(H11="not applicable",K11&lt;&gt;"")),1,0)</f>
        <v/>
      </c>
    </row>
    <row r="12" ht="54" customHeight="1" s="34">
      <c r="A12" s="43" t="inlineStr">
        <is>
          <t>TA-04</t>
        </is>
      </c>
      <c r="B12" s="43" t="inlineStr">
        <is>
          <t>Types</t>
        </is>
      </c>
      <c r="C12" s="43" t="inlineStr">
        <is>
          <t>Public surface</t>
        </is>
      </c>
      <c r="D12" s="44" t="inlineStr">
        <is>
          <t>Closed variants, sizes, densities, caption sides, logical alignment, numeric formatting, native props, composition, and refs type-check.</t>
        </is>
      </c>
      <c r="E12" s="43" t="inlineStr">
        <is>
          <t>package</t>
        </is>
      </c>
      <c r="F12" s="43" t="inlineStr">
        <is>
          <t>types</t>
        </is>
      </c>
      <c r="G12" s="44" t="inlineStr">
        <is>
          <t>../test/types/components/table.test.ts</t>
        </is>
      </c>
      <c r="H12" s="43" t="inlineStr">
        <is>
          <t>tested</t>
        </is>
      </c>
      <c r="I12" s="43" t="inlineStr">
        <is>
          <t>no</t>
        </is>
      </c>
      <c r="J12" s="45" t="n">
        <v>46230</v>
      </c>
      <c r="K12" s="44" t="n"/>
      <c r="L12" s="43" t="n">
        <v>1</v>
      </c>
      <c r="M12" s="43">
        <f>IF(OR(AND(I12="yes",H12="verified"),AND(I12="no",OR(H12="tested",H12="verified")),AND(H12="not applicable",K12&lt;&gt;"")),1,0)</f>
        <v/>
      </c>
    </row>
    <row r="13" ht="54" customHeight="1" s="34">
      <c r="A13" s="43" t="inlineStr">
        <is>
          <t>TA-05</t>
        </is>
      </c>
      <c r="B13" s="43" t="inlineStr">
        <is>
          <t>Exports</t>
        </is>
      </c>
      <c r="C13" s="43" t="inlineStr">
        <is>
          <t>All parts</t>
        </is>
      </c>
      <c r="D13" s="44" t="inlineStr">
        <is>
          <t>Root and table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46230</v>
      </c>
      <c r="K13" s="44" t="n"/>
      <c r="L13" s="43" t="n">
        <v>1</v>
      </c>
      <c r="M13" s="43">
        <f>IF(OR(AND(I13="yes",H13="verified"),AND(I13="no",OR(H13="tested",H13="verified")),AND(H13="not applicable",K13&lt;&gt;"")),1,0)</f>
        <v/>
      </c>
    </row>
    <row r="14" ht="54" customHeight="1" s="34">
      <c r="A14" s="43" t="inlineStr">
        <is>
          <t>TA-06</t>
        </is>
      </c>
      <c r="B14" s="43" t="inlineStr">
        <is>
          <t>SSR</t>
        </is>
      </c>
      <c r="C14" s="43" t="inlineStr">
        <is>
          <t>Root</t>
        </is>
      </c>
      <c r="D14" s="44" t="inlineStr">
        <is>
          <t>Table imports server-safely and emits deterministic native anatomy without grid roles.</t>
        </is>
      </c>
      <c r="E14" s="43" t="inlineStr">
        <is>
          <t>package</t>
        </is>
      </c>
      <c r="F14" s="43" t="inlineStr">
        <is>
          <t>package</t>
        </is>
      </c>
      <c r="G14" s="44" t="inlineStr">
        <is>
          <t>../test/package/ssr.test.mjs</t>
        </is>
      </c>
      <c r="H14" s="43" t="inlineStr">
        <is>
          <t>tested</t>
        </is>
      </c>
      <c r="I14" s="43" t="inlineStr">
        <is>
          <t>no</t>
        </is>
      </c>
      <c r="J14" s="45" t="n">
        <v>46230</v>
      </c>
      <c r="K14" s="44" t="n"/>
      <c r="L14" s="43" t="n">
        <v>1</v>
      </c>
      <c r="M14" s="43">
        <f>IF(OR(AND(I14="yes",H14="verified"),AND(I14="no",OR(H14="tested",H14="verified")),AND(H14="not applicable",K14&lt;&gt;"")),1,0)</f>
        <v/>
      </c>
    </row>
    <row r="15" ht="54" customHeight="1" s="34">
      <c r="A15" s="43" t="inlineStr">
        <is>
          <t>TA-07</t>
        </is>
      </c>
      <c r="B15" s="43" t="inlineStr">
        <is>
          <t>Defaults</t>
        </is>
      </c>
      <c r="C15" s="43" t="inlineStr">
        <is>
          <t>Root</t>
        </is>
      </c>
      <c r="D15" s="44" t="inlineStr">
        <is>
          <t>Defaults are line, medium, comfortable, unstriped, non-sticky, top caption, and logical-start alignment.</t>
        </is>
      </c>
      <c r="E15" s="43" t="inlineStr">
        <is>
          <t>package</t>
        </is>
      </c>
      <c r="F15" s="43" t="inlineStr">
        <is>
          <t>component</t>
        </is>
      </c>
      <c r="G15" s="44" t="inlineStr">
        <is>
          <t>../test/components/table/table.test.tsx</t>
        </is>
      </c>
      <c r="H15" s="43" t="inlineStr">
        <is>
          <t>tested</t>
        </is>
      </c>
      <c r="I15" s="43" t="inlineStr">
        <is>
          <t>no</t>
        </is>
      </c>
      <c r="J15" s="45" t="n">
        <v>46230</v>
      </c>
      <c r="K15" s="44" t="n"/>
      <c r="L15" s="43" t="n">
        <v>1</v>
      </c>
      <c r="M15" s="43">
        <f>IF(OR(AND(I15="yes",H15="verified"),AND(I15="no",OR(H15="tested",H15="verified")),AND(H15="not applicable",K15&lt;&gt;"")),1,0)</f>
        <v/>
      </c>
    </row>
    <row r="16" ht="54" customHeight="1" s="34">
      <c r="A16" s="43" t="inlineStr">
        <is>
          <t>TA-08</t>
        </is>
      </c>
      <c r="B16" s="43" t="inlineStr">
        <is>
          <t>Recipes</t>
        </is>
      </c>
      <c r="C16" s="43" t="inlineStr">
        <is>
          <t>Root</t>
        </is>
      </c>
      <c r="D16" s="44" t="inlineStr">
        <is>
          <t>Line/outline, sm/md/lg, compact/comfortable, and stripe remain independent.</t>
        </is>
      </c>
      <c r="E16" s="43" t="inlineStr">
        <is>
          <t>package</t>
        </is>
      </c>
      <c r="F16" s="43" t="inlineStr">
        <is>
          <t>browser</t>
        </is>
      </c>
      <c r="G16" s="44" t="inlineStr">
        <is>
          <t>tests/components/table/behavior.spec.ts</t>
        </is>
      </c>
      <c r="H16" s="43" t="inlineStr">
        <is>
          <t>tested</t>
        </is>
      </c>
      <c r="I16" s="43" t="inlineStr">
        <is>
          <t>no</t>
        </is>
      </c>
      <c r="J16" s="45" t="n">
        <v>46230</v>
      </c>
      <c r="K16" s="44" t="n"/>
      <c r="L16" s="43" t="n">
        <v>1</v>
      </c>
      <c r="M16" s="43">
        <f>IF(OR(AND(I16="yes",H16="verified"),AND(I16="no",OR(H16="tested",H16="verified")),AND(H16="not applicable",K16&lt;&gt;"")),1,0)</f>
        <v/>
      </c>
    </row>
    <row r="17" ht="54" customHeight="1" s="34">
      <c r="A17" s="43" t="inlineStr">
        <is>
          <t>TA-09</t>
        </is>
      </c>
      <c r="B17" s="43" t="inlineStr">
        <is>
          <t>Semantics</t>
        </is>
      </c>
      <c r="C17" s="43" t="inlineStr">
        <is>
          <t>Head / Cell</t>
        </is>
      </c>
      <c r="D17" s="44" t="inlineStr">
        <is>
          <t>Scope, headers, spans, caption, section relationships, and sort metadata remain native.</t>
        </is>
      </c>
      <c r="E17" s="43" t="inlineStr">
        <is>
          <t>package</t>
        </is>
      </c>
      <c r="F17" s="43" t="inlineStr">
        <is>
          <t>component</t>
        </is>
      </c>
      <c r="G17" s="44" t="inlineStr">
        <is>
          <t>../test/components/table/table.test.tsx</t>
        </is>
      </c>
      <c r="H17" s="43" t="inlineStr">
        <is>
          <t>tested</t>
        </is>
      </c>
      <c r="I17" s="43" t="inlineStr">
        <is>
          <t>no</t>
        </is>
      </c>
      <c r="J17" s="45" t="n">
        <v>46230</v>
      </c>
      <c r="K17" s="44" t="n"/>
      <c r="L17" s="43" t="n">
        <v>1</v>
      </c>
      <c r="M17" s="43">
        <f>IF(OR(AND(I17="yes",H17="verified"),AND(I17="no",OR(H17="tested",H17="verified")),AND(H17="not applicable",K17&lt;&gt;"")),1,0)</f>
        <v/>
      </c>
    </row>
    <row r="18" ht="54" customHeight="1" s="34">
      <c r="A18" s="43" t="inlineStr">
        <is>
          <t>TA-10</t>
        </is>
      </c>
      <c r="B18" s="43" t="inlineStr">
        <is>
          <t>Alignment</t>
        </is>
      </c>
      <c r="C18" s="43" t="inlineStr">
        <is>
          <t>Head / Cell</t>
        </is>
      </c>
      <c r="D18" s="44" t="inlineStr">
        <is>
          <t>Start, center, end, and numeric formatting use logical alignment and tabular figures with explicit precedence.</t>
        </is>
      </c>
      <c r="E18" s="43" t="inlineStr">
        <is>
          <t>package</t>
        </is>
      </c>
      <c r="F18" s="43" t="inlineStr">
        <is>
          <t>browser</t>
        </is>
      </c>
      <c r="G18" s="44" t="inlineStr">
        <is>
          <t>tests/components/table/behavior.spec.ts</t>
        </is>
      </c>
      <c r="H18" s="43" t="inlineStr">
        <is>
          <t>tested</t>
        </is>
      </c>
      <c r="I18" s="43" t="inlineStr">
        <is>
          <t>no</t>
        </is>
      </c>
      <c r="J18" s="45" t="n">
        <v>46230</v>
      </c>
      <c r="K18" s="44" t="n"/>
      <c r="L18" s="43" t="n">
        <v>1</v>
      </c>
      <c r="M18" s="43">
        <f>IF(OR(AND(I18="yes",H18="verified"),AND(I18="no",OR(H18="tested",H18="verified")),AND(H18="not applicable",K18&lt;&gt;"")),1,0)</f>
        <v/>
      </c>
    </row>
    <row r="19" ht="54" customHeight="1" s="34">
      <c r="A19" s="43" t="inlineStr">
        <is>
          <t>TA-11</t>
        </is>
      </c>
      <c r="B19" s="43" t="inlineStr">
        <is>
          <t>Sorting</t>
        </is>
      </c>
      <c r="C19" s="43" t="inlineStr">
        <is>
          <t>Head / SortIndicator</t>
        </is>
      </c>
      <c r="D19" s="44" t="inlineStr">
        <is>
          <t>Application Button owns sorting while Head exposes aria-sort and decorative artwork remains silent.</t>
        </is>
      </c>
      <c r="E19" s="43" t="inlineStr">
        <is>
          <t>package</t>
        </is>
      </c>
      <c r="F19" s="43" t="inlineStr">
        <is>
          <t>browser</t>
        </is>
      </c>
      <c r="G19" s="44" t="inlineStr">
        <is>
          <t>tests/components/table/behavior.spec.ts</t>
        </is>
      </c>
      <c r="H19" s="43" t="inlineStr">
        <is>
          <t>tested</t>
        </is>
      </c>
      <c r="I19" s="43" t="inlineStr">
        <is>
          <t>no</t>
        </is>
      </c>
      <c r="J19" s="45" t="n">
        <v>46230</v>
      </c>
      <c r="K19" s="44" t="n"/>
      <c r="L19" s="43" t="n">
        <v>1</v>
      </c>
      <c r="M19" s="43">
        <f>IF(OR(AND(I19="yes",H19="verified"),AND(I19="no",OR(H19="tested",H19="verified")),AND(H19="not applicable",K19&lt;&gt;"")),1,0)</f>
        <v/>
      </c>
    </row>
    <row r="20" ht="54" customHeight="1" s="34">
      <c r="A20" s="43" t="inlineStr">
        <is>
          <t>TA-12</t>
        </is>
      </c>
      <c r="B20" s="43" t="inlineStr">
        <is>
          <t>Responsive</t>
        </is>
      </c>
      <c r="C20" s="43" t="inlineStr">
        <is>
          <t>Container</t>
        </is>
      </c>
      <c r="D20" s="44" t="inlineStr">
        <is>
          <t>Explicit horizontal containment preserves every column without page overflow or card conversion.</t>
        </is>
      </c>
      <c r="E20" s="43" t="inlineStr">
        <is>
          <t>package</t>
        </is>
      </c>
      <c r="F20" s="43" t="inlineStr">
        <is>
          <t>browser</t>
        </is>
      </c>
      <c r="G20" s="44" t="inlineStr">
        <is>
          <t>tests/components/table/behavior.spec.ts</t>
        </is>
      </c>
      <c r="H20" s="43" t="inlineStr">
        <is>
          <t>tested</t>
        </is>
      </c>
      <c r="I20" s="43" t="inlineStr">
        <is>
          <t>no</t>
        </is>
      </c>
      <c r="J20" s="45" t="n">
        <v>46230</v>
      </c>
      <c r="K20" s="44" t="n"/>
      <c r="L20" s="43" t="n">
        <v>1</v>
      </c>
      <c r="M20" s="43">
        <f>IF(OR(AND(I20="yes",H20="verified"),AND(I20="no",OR(H20="tested",H20="verified")),AND(H20="not applicable",K20&lt;&gt;"")),1,0)</f>
        <v/>
      </c>
    </row>
    <row r="21" ht="54" customHeight="1" s="34">
      <c r="A21" s="43" t="inlineStr">
        <is>
          <t>TA-13</t>
        </is>
      </c>
      <c r="B21" s="43" t="inlineStr">
        <is>
          <t>Sticky</t>
        </is>
      </c>
      <c r="C21" s="43" t="inlineStr">
        <is>
          <t>Header</t>
        </is>
      </c>
      <c r="D21" s="44" t="inlineStr">
        <is>
          <t>Header cells remain opaque and sticky within an authored vertical scroll boundary.</t>
        </is>
      </c>
      <c r="E21" s="43" t="inlineStr">
        <is>
          <t>package</t>
        </is>
      </c>
      <c r="F21" s="43" t="inlineStr">
        <is>
          <t>browser</t>
        </is>
      </c>
      <c r="G21" s="44" t="inlineStr">
        <is>
          <t>tests/components/table/behavior.spec.ts</t>
        </is>
      </c>
      <c r="H21" s="43" t="inlineStr">
        <is>
          <t>tested</t>
        </is>
      </c>
      <c r="I21" s="43" t="inlineStr">
        <is>
          <t>no</t>
        </is>
      </c>
      <c r="J21" s="45" t="n">
        <v>46230</v>
      </c>
      <c r="K21" s="44" t="n"/>
      <c r="L21" s="43" t="n">
        <v>1</v>
      </c>
      <c r="M21" s="43">
        <f>IF(OR(AND(I21="yes",H21="verified"),AND(I21="no",OR(H21="tested",H21="verified")),AND(H21="not applicable",K21&lt;&gt;"")),1,0)</f>
        <v/>
      </c>
    </row>
    <row r="22" ht="54" customHeight="1" s="34">
      <c r="A22" s="43" t="inlineStr">
        <is>
          <t>TA-14</t>
        </is>
      </c>
      <c r="B22" s="43" t="inlineStr">
        <is>
          <t>RTL</t>
        </is>
      </c>
      <c r="C22" s="43" t="inlineStr">
        <is>
          <t>All parts</t>
        </is>
      </c>
      <c r="D22" s="44" t="inlineStr">
        <is>
          <t>Logical alignment and overflow remain usable with translated RTL data.</t>
        </is>
      </c>
      <c r="E22" s="43" t="inlineStr">
        <is>
          <t>package</t>
        </is>
      </c>
      <c r="F22" s="43" t="inlineStr">
        <is>
          <t>visual</t>
        </is>
      </c>
      <c r="G22" s="44" t="inlineStr">
        <is>
          <t>tests/components/table/visual.spec.ts</t>
        </is>
      </c>
      <c r="H22" s="43" t="inlineStr">
        <is>
          <t>verified</t>
        </is>
      </c>
      <c r="I22" s="43" t="inlineStr">
        <is>
          <t>yes</t>
        </is>
      </c>
      <c r="J22" s="45" t="n">
        <v>46230</v>
      </c>
      <c r="K22" s="44" t="inlineStr">
        <is>
          <t>Agent inspected the final mobile RTL baseline.</t>
        </is>
      </c>
      <c r="L22" s="43" t="n">
        <v>1</v>
      </c>
      <c r="M22" s="43">
        <f>IF(OR(AND(I22="yes",H22="verified"),AND(I22="no",OR(H22="tested",H22="verified")),AND(H22="not applicable",K22&lt;&gt;"")),1,0)</f>
        <v/>
      </c>
    </row>
    <row r="23" ht="54" customHeight="1" s="34">
      <c r="A23" s="43" t="inlineStr">
        <is>
          <t>TA-15</t>
        </is>
      </c>
      <c r="B23" s="43" t="inlineStr">
        <is>
          <t>Appearance</t>
        </is>
      </c>
      <c r="C23" s="43" t="inlineStr">
        <is>
          <t>All parts</t>
        </is>
      </c>
      <c r="D23" s="44" t="inlineStr">
        <is>
          <t>Light, dark, forced-color, boundaries, text, badges, controls, and focus remain legible.</t>
        </is>
      </c>
      <c r="E23" s="43" t="inlineStr">
        <is>
          <t>package</t>
        </is>
      </c>
      <c r="F23" s="43" t="inlineStr">
        <is>
          <t>visual</t>
        </is>
      </c>
      <c r="G23" s="44" t="inlineStr">
        <is>
          <t>tests/components/table/visual.spec.ts</t>
        </is>
      </c>
      <c r="H23" s="43" t="inlineStr">
        <is>
          <t>verified</t>
        </is>
      </c>
      <c r="I23" s="43" t="inlineStr">
        <is>
          <t>yes</t>
        </is>
      </c>
      <c r="J23" s="45" t="n">
        <v>46230</v>
      </c>
      <c r="K23" s="44" t="inlineStr">
        <is>
          <t>Agent inspected the final appearance baselines.</t>
        </is>
      </c>
      <c r="L23" s="43" t="n">
        <v>1</v>
      </c>
      <c r="M23" s="43">
        <f>IF(OR(AND(I23="yes",H23="verified"),AND(I23="no",OR(H23="tested",H23="verified")),AND(H23="not applicable",K23&lt;&gt;"")),1,0)</f>
        <v/>
      </c>
    </row>
    <row r="24" ht="54" customHeight="1" s="34">
      <c r="A24" s="43" t="inlineStr">
        <is>
          <t>TA-16</t>
        </is>
      </c>
      <c r="B24" s="43" t="inlineStr">
        <is>
          <t>Visual</t>
        </is>
      </c>
      <c r="C24" s="43" t="inlineStr">
        <is>
          <t>All parts</t>
        </is>
      </c>
      <c r="D24" s="44" t="inlineStr">
        <is>
          <t>Ten reviewed baselines cover overview, variants, sizing, alignment, sorting, sticky, dark, responsive mobile, RTL mobile, and forced colors.</t>
        </is>
      </c>
      <c r="E24" s="43" t="inlineStr">
        <is>
          <t>package</t>
        </is>
      </c>
      <c r="F24" s="43" t="inlineStr">
        <is>
          <t>visual</t>
        </is>
      </c>
      <c r="G24" s="44" t="inlineStr">
        <is>
          <t>tests/components/table/visual.spec.ts</t>
        </is>
      </c>
      <c r="H24" s="43" t="inlineStr">
        <is>
          <t>verified</t>
        </is>
      </c>
      <c r="I24" s="43" t="inlineStr">
        <is>
          <t>yes</t>
        </is>
      </c>
      <c r="J24" s="45" t="n">
        <v>46231</v>
      </c>
      <c r="K24" s="44" t="inlineStr">
        <is>
          <t>Agent inspected every final Table baseline after the playground review corrections.</t>
        </is>
      </c>
      <c r="L24" s="43" t="n">
        <v>1</v>
      </c>
      <c r="M24" s="43">
        <f>IF(OR(AND(I24="yes",H24="verified"),AND(I24="no",OR(H24="tested",H24="verified")),AND(H24="not applicable",K24&lt;&gt;"")),1,0)</f>
        <v/>
      </c>
    </row>
    <row r="25" ht="54" customHeight="1" s="34">
      <c r="A25" s="43" t="inlineStr">
        <is>
          <t>TA-17</t>
        </is>
      </c>
      <c r="B25" s="43" t="inlineStr">
        <is>
          <t>Accessibility</t>
        </is>
      </c>
      <c r="C25" s="43" t="inlineStr">
        <is>
          <t>All parts</t>
        </is>
      </c>
      <c r="D25" s="44" t="inlineStr">
        <is>
          <t>Native structure, independent tab stops, no grid role/tabindex, labelled scrolling, and axe remain valid.</t>
        </is>
      </c>
      <c r="E25" s="43" t="inlineStr">
        <is>
          <t>package</t>
        </is>
      </c>
      <c r="F25" s="43" t="inlineStr">
        <is>
          <t>axe</t>
        </is>
      </c>
      <c r="G25" s="44" t="inlineStr">
        <is>
          <t>tests/components/table/behavior.spec.ts</t>
        </is>
      </c>
      <c r="H25" s="43" t="inlineStr">
        <is>
          <t>tested</t>
        </is>
      </c>
      <c r="I25" s="43" t="inlineStr">
        <is>
          <t>no</t>
        </is>
      </c>
      <c r="J25" s="45" t="n">
        <v>46230</v>
      </c>
      <c r="K25" s="44" t="n"/>
      <c r="L25" s="43" t="n">
        <v>1</v>
      </c>
      <c r="M25" s="43">
        <f>IF(OR(AND(I25="yes",H25="verified"),AND(I25="no",OR(H25="tested",H25="verified")),AND(H25="not applicable",K25&lt;&gt;"")),1,0)</f>
        <v/>
      </c>
    </row>
    <row r="26" ht="54" customHeight="1" s="34">
      <c r="A26" s="43" t="inlineStr">
        <is>
          <t>TA-18</t>
        </is>
      </c>
      <c r="B26" s="43" t="inlineStr">
        <is>
          <t>Playground</t>
        </is>
      </c>
      <c r="C26" s="43" t="inlineStr">
        <is>
          <t>All parts</t>
        </is>
      </c>
      <c r="D26" s="44" t="inlineStr">
        <is>
          <t>One navigable Table route exposes nine persistent controlled scenarios.</t>
        </is>
      </c>
      <c r="E26" s="43" t="inlineStr">
        <is>
          <t>package</t>
        </is>
      </c>
      <c r="F26" s="43" t="inlineStr">
        <is>
          <t>playground</t>
        </is>
      </c>
      <c r="G26" s="44" t="inlineStr">
        <is>
          <t>src/components/table/TablePage.tsx</t>
        </is>
      </c>
      <c r="H26" s="43" t="inlineStr">
        <is>
          <t>tested</t>
        </is>
      </c>
      <c r="I26" s="43" t="inlineStr">
        <is>
          <t>no</t>
        </is>
      </c>
      <c r="J26" s="45" t="n">
        <v>46230</v>
      </c>
      <c r="K26" s="44" t="n"/>
      <c r="L26" s="43" t="n">
        <v>1</v>
      </c>
      <c r="M26" s="43">
        <f>IF(OR(AND(I26="yes",H26="verified"),AND(I26="no",OR(H26="tested",H26="verified")),AND(H26="not applicable",K26&lt;&gt;"")),1,0)</f>
        <v/>
      </c>
    </row>
    <row r="27" ht="54" customHeight="1" s="34">
      <c r="A27" s="43" t="inlineStr">
        <is>
          <t>TA-19</t>
        </is>
      </c>
      <c r="B27" s="43" t="inlineStr">
        <is>
          <t>Documentation</t>
        </is>
      </c>
      <c r="C27" s="43" t="inlineStr">
        <is>
          <t>Table</t>
        </is>
      </c>
      <c r="D27" s="44" t="inlineStr">
        <is>
          <t>The public guide documents role, anatomy, API, defaults, sorting, responsive/sticky behavior, accessibility, CSS, and exclusions.</t>
        </is>
      </c>
      <c r="E27" s="43" t="inlineStr">
        <is>
          <t>package</t>
        </is>
      </c>
      <c r="F27" s="43" t="inlineStr">
        <is>
          <t>docs</t>
        </is>
      </c>
      <c r="G27" s="44" t="inlineStr">
        <is>
          <t>../docs/components/table/README.md</t>
        </is>
      </c>
      <c r="H27" s="43" t="inlineStr">
        <is>
          <t>tested</t>
        </is>
      </c>
      <c r="I27" s="43" t="inlineStr">
        <is>
          <t>no</t>
        </is>
      </c>
      <c r="J27" s="45" t="n">
        <v>46230</v>
      </c>
      <c r="K27" s="44" t="n"/>
      <c r="L27" s="43" t="n">
        <v>1</v>
      </c>
      <c r="M27" s="43">
        <f>IF(OR(AND(I27="yes",H27="verified"),AND(I27="no",OR(H27="tested",H27="verified")),AND(H27="not applicable",K27&lt;&gt;"")),1,0)</f>
        <v/>
      </c>
    </row>
    <row r="28" ht="54" customHeight="1" s="34">
      <c r="A28" s="43" t="inlineStr">
        <is>
          <t>TA-20</t>
        </is>
      </c>
      <c r="B28" s="43" t="inlineStr">
        <is>
          <t>Changelog</t>
        </is>
      </c>
      <c r="C28" s="43" t="inlineStr">
        <is>
          <t>Table</t>
        </is>
      </c>
      <c r="D28" s="44" t="inlineStr">
        <is>
          <t>Component and package changelogs record the complete public addition.</t>
        </is>
      </c>
      <c r="E28" s="43" t="inlineStr">
        <is>
          <t>package</t>
        </is>
      </c>
      <c r="F28" s="43" t="inlineStr">
        <is>
          <t>docs</t>
        </is>
      </c>
      <c r="G28" s="44" t="inlineStr">
        <is>
          <t>../docs/components/table/CHANGELOG.md; ../CHANGELOG.md</t>
        </is>
      </c>
      <c r="H28" s="43" t="inlineStr">
        <is>
          <t>tested</t>
        </is>
      </c>
      <c r="I28" s="43" t="inlineStr">
        <is>
          <t>no</t>
        </is>
      </c>
      <c r="J28" s="45" t="n">
        <v>46230</v>
      </c>
      <c r="K28" s="44" t="n"/>
      <c r="L28" s="43" t="n">
        <v>1</v>
      </c>
      <c r="M28" s="43">
        <f>IF(OR(AND(I28="yes",H28="verified"),AND(I28="no",OR(H28="tested",H28="verified")),AND(H28="not applicable",K28&lt;&gt;"")),1,0)</f>
        <v/>
      </c>
    </row>
    <row r="29" ht="54" customHeight="1" s="34">
      <c r="A29" s="43" t="inlineStr">
        <is>
          <t>TA-21</t>
        </is>
      </c>
      <c r="B29" s="43" t="inlineStr">
        <is>
          <t>Consumer</t>
        </is>
      </c>
      <c r="C29" s="43" t="inlineStr">
        <is>
          <t>Table</t>
        </is>
      </c>
      <c r="D29" s="44" t="inlineStr">
        <is>
          <t>Packed Consumer imports the table subpath and composes caption, headers, numeric values, Badge, Link, footer, overflow, and controlled sorting.</t>
        </is>
      </c>
      <c r="E29" s="43" t="inlineStr">
        <is>
          <t>consumer</t>
        </is>
      </c>
      <c r="F29" s="43" t="inlineStr">
        <is>
          <t>consumer</t>
        </is>
      </c>
      <c r="G29" s="44" t="inlineStr">
        <is>
          <t>../apps/consumer/src/App.tsx</t>
        </is>
      </c>
      <c r="H29" s="43" t="inlineStr">
        <is>
          <t>tested</t>
        </is>
      </c>
      <c r="I29" s="43" t="inlineStr">
        <is>
          <t>no</t>
        </is>
      </c>
      <c r="J29" s="45" t="n">
        <v>46230</v>
      </c>
      <c r="K29" s="44" t="n"/>
      <c r="L29" s="43" t="n">
        <v>1</v>
      </c>
      <c r="M29" s="43">
        <f>IF(OR(AND(I29="yes",H29="verified"),AND(I29="no",OR(H29="tested",H29="verified")),AND(H29="not applicable",K29&lt;&gt;"")),1,0)</f>
        <v/>
      </c>
    </row>
    <row r="30" ht="54" customHeight="1" s="34">
      <c r="A30" s="43" t="inlineStr">
        <is>
          <t>TA-22</t>
        </is>
      </c>
      <c r="B30" s="43" t="inlineStr">
        <is>
          <t>Manual</t>
        </is>
      </c>
      <c r="C30" s="43" t="inlineStr">
        <is>
          <t>All parts</t>
        </is>
      </c>
      <c r="D30" s="44" t="inlineStr">
        <is>
          <t>Owner completes visual, keyboard, screen-reader, mobile, zoom, RTL, appearance, sticky, and overflow protocol.</t>
        </is>
      </c>
      <c r="E30" s="43" t="inlineStr">
        <is>
          <t>package</t>
        </is>
      </c>
      <c r="F30" s="43" t="inlineStr">
        <is>
          <t>manual</t>
        </is>
      </c>
      <c r="G30" s="44" t="inlineStr">
        <is>
          <t>manual-tests/table.md</t>
        </is>
      </c>
      <c r="H30" s="43" t="inlineStr">
        <is>
          <t>not started</t>
        </is>
      </c>
      <c r="I30" s="43" t="inlineStr">
        <is>
          <t>yes</t>
        </is>
      </c>
      <c r="J30" s="45" t="n">
        <v>46230</v>
      </c>
      <c r="K30" s="44" t="inlineStr">
        <is>
          <t>Human run intentionally unclaimed.</t>
        </is>
      </c>
      <c r="L30" s="43" t="n">
        <v>1</v>
      </c>
      <c r="M30" s="43">
        <f>IF(OR(AND(I30="yes",H30="verified"),AND(I30="no",OR(H30="tested",H30="verified")),AND(H30="not applicable",K30&lt;&gt;"")),1,0)</f>
        <v/>
      </c>
    </row>
    <row r="31" ht="54" customHeight="1" s="34">
      <c r="A31" s="43" t="inlineStr">
        <is>
          <t>TA-23</t>
        </is>
      </c>
      <c r="B31" s="43" t="inlineStr">
        <is>
          <t>Package</t>
        </is>
      </c>
      <c r="C31" s="43" t="inlineStr">
        <is>
          <t>Table</t>
        </is>
      </c>
      <c r="D31" s="44" t="inlineStr">
        <is>
          <t>Build, declarations, exports, SSR, CSS, docs, tarball, consumers, browser matrix, and CI pass.</t>
        </is>
      </c>
      <c r="E31" s="43" t="inlineStr">
        <is>
          <t>package</t>
        </is>
      </c>
      <c r="F31" s="43" t="inlineStr">
        <is>
          <t>package</t>
        </is>
      </c>
      <c r="G31" s="44" t="inlineStr">
        <is>
          <t>../test/package/package.test.mjs; ../scripts/verify-package.mjs</t>
        </is>
      </c>
      <c r="H31" s="43" t="inlineStr">
        <is>
          <t>tested</t>
        </is>
      </c>
      <c r="I31" s="43" t="inlineStr">
        <is>
          <t>no</t>
        </is>
      </c>
      <c r="J31" s="45" t="n">
        <v>46231</v>
      </c>
      <c r="K31" s="44" t="inlineStr">
        <is>
          <t>GitHub Actions run 30322250031 passed package, full browser, and packed Consumer verification on commit fde38a9.</t>
        </is>
      </c>
      <c r="L31" s="43" t="n">
        <v>1</v>
      </c>
      <c r="M31" s="43">
        <f>IF(OR(AND(I31="yes",H31="verified"),AND(I31="no",OR(H31="tested",H31="verified")),AND(H31="not applicable",K31&lt;&gt;"")),1,0)</f>
        <v/>
      </c>
    </row>
    <row r="32" ht="54" customHeight="1" s="34">
      <c r="A32" s="43" t="n"/>
      <c r="B32" s="43" t="n"/>
      <c r="C32" s="43" t="n"/>
      <c r="D32" s="44" t="n"/>
      <c r="E32" s="43" t="n"/>
      <c r="F32" s="43" t="n"/>
      <c r="G32" s="44" t="n"/>
      <c r="H32" s="43" t="n"/>
      <c r="I32" s="43" t="n"/>
      <c r="J32" s="45" t="n"/>
      <c r="K32" s="44" t="n"/>
      <c r="L32" s="43" t="n"/>
      <c r="M32" s="43" t="n"/>
    </row>
    <row r="33" ht="54" customHeight="1" s="34">
      <c r="A33" s="43" t="n"/>
      <c r="B33" s="43" t="n"/>
      <c r="C33" s="43" t="n"/>
      <c r="D33" s="44" t="n"/>
      <c r="E33" s="43" t="n"/>
      <c r="F33" s="43" t="n"/>
      <c r="G33" s="44" t="n"/>
      <c r="H33" s="43" t="n"/>
      <c r="I33" s="43" t="n"/>
      <c r="J33" s="45" t="n"/>
      <c r="K33" s="44" t="n"/>
      <c r="L33" s="43" t="n"/>
      <c r="M33" s="43" t="n"/>
    </row>
    <row r="34" ht="54" customHeight="1" s="34">
      <c r="A34" s="43" t="n"/>
      <c r="B34" s="43" t="n"/>
      <c r="C34" s="43" t="n"/>
      <c r="D34" s="44" t="n"/>
      <c r="E34" s="43" t="n"/>
      <c r="F34" s="43" t="n"/>
      <c r="G34" s="44" t="n"/>
      <c r="H34" s="43" t="n"/>
      <c r="I34" s="43" t="n"/>
      <c r="J34" s="45" t="n"/>
      <c r="K34" s="44" t="n"/>
      <c r="L34" s="43" t="n"/>
      <c r="M34" s="43" t="n"/>
    </row>
    <row r="35" ht="54" customHeight="1" s="34">
      <c r="A35" s="43" t="n"/>
      <c r="B35" s="43" t="n"/>
      <c r="C35" s="43" t="n"/>
      <c r="D35" s="44" t="n"/>
      <c r="E35" s="43" t="n"/>
      <c r="F35" s="43" t="n"/>
      <c r="G35" s="44" t="n"/>
      <c r="H35" s="43" t="n"/>
      <c r="I35" s="43" t="n"/>
      <c r="J35" s="45" t="n"/>
      <c r="K35" s="44" t="n"/>
      <c r="L35" s="43" t="n"/>
      <c r="M35" s="43" t="n"/>
    </row>
    <row r="36" ht="54" customHeight="1" s="34">
      <c r="A36" s="43" t="n"/>
      <c r="B36" s="43" t="n"/>
      <c r="C36" s="43" t="n"/>
      <c r="D36" s="44" t="n"/>
      <c r="E36" s="43" t="n"/>
      <c r="F36" s="43" t="n"/>
      <c r="G36" s="44" t="n"/>
      <c r="H36" s="43" t="n"/>
      <c r="I36" s="43" t="n"/>
      <c r="J36" s="45" t="n"/>
      <c r="K36" s="44" t="n"/>
      <c r="L36" s="43" t="n"/>
      <c r="M36" s="43" t="n"/>
    </row>
    <row r="37" ht="54" customHeight="1" s="34">
      <c r="A37" s="43" t="n"/>
      <c r="B37" s="43" t="n"/>
      <c r="C37" s="43" t="n"/>
      <c r="D37" s="44" t="n"/>
      <c r="E37" s="43" t="n"/>
      <c r="F37" s="43" t="n"/>
      <c r="G37" s="44" t="n"/>
      <c r="H37" s="43" t="n"/>
      <c r="I37" s="43" t="n"/>
      <c r="J37" s="45" t="n"/>
      <c r="K37" s="44" t="n"/>
      <c r="L37" s="43" t="n"/>
      <c r="M37" s="43" t="n"/>
    </row>
    <row r="38" ht="54" customHeight="1" s="34">
      <c r="A38" s="43" t="n"/>
      <c r="B38" s="43" t="n"/>
      <c r="C38" s="43" t="n"/>
      <c r="D38" s="44" t="n"/>
      <c r="E38" s="43" t="n"/>
      <c r="F38" s="43" t="n"/>
      <c r="G38" s="44" t="n"/>
      <c r="H38" s="43" t="n"/>
      <c r="I38" s="43" t="n"/>
      <c r="J38" s="45" t="n"/>
      <c r="K38" s="44" t="n"/>
      <c r="L38" s="43" t="n"/>
      <c r="M38" s="43" t="n"/>
    </row>
    <row r="39" ht="54" customHeight="1" s="34">
      <c r="A39" s="43" t="n"/>
      <c r="B39" s="43" t="n"/>
      <c r="C39" s="43" t="n"/>
      <c r="D39" s="44" t="n"/>
      <c r="E39" s="43" t="n"/>
      <c r="F39" s="43" t="n"/>
      <c r="G39" s="44" t="n"/>
      <c r="H39" s="43" t="n"/>
      <c r="I39" s="43" t="n"/>
      <c r="J39" s="45" t="n"/>
      <c r="K39" s="44" t="n"/>
      <c r="L39" s="43" t="n"/>
      <c r="M39"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Pagination Evidence</t>
        </is>
      </c>
    </row>
    <row r="2" ht="27.75" customHeight="1" s="34">
      <c r="A2" s="36" t="inlineStr">
        <is>
          <t>Assertion-level seven-part anatomy, generated ranges, localization, visual recipes, responsive containment, package, documentation, Consumer, and accessibility evidence.</t>
        </is>
      </c>
    </row>
    <row r="4" ht="17.25" customHeight="1" s="34">
      <c r="A4" s="37" t="inlineStr">
        <is>
          <t>Requirements</t>
        </is>
      </c>
      <c r="B4" s="38">
        <f>COUNTA(A9:A33)</f>
        <v/>
      </c>
      <c r="D4" s="37" t="inlineStr">
        <is>
          <t>Resolved</t>
        </is>
      </c>
      <c r="E4" s="38">
        <f>SUM(M9:M33)</f>
        <v/>
      </c>
      <c r="G4" s="37" t="inlineStr">
        <is>
          <t>Completion</t>
        </is>
      </c>
      <c r="H4" s="39">
        <f>IF(B4=0,0,E4/B4)</f>
        <v/>
      </c>
      <c r="J4" s="37" t="inlineStr">
        <is>
          <t>Package gate</t>
        </is>
      </c>
      <c r="K4" s="38">
        <f>IF(COUNTIFS(E9:E33,"package",M9:M33,0)&gt;0,"open","complete")</f>
        <v/>
      </c>
    </row>
    <row r="5" ht="17.25" customHeight="1" s="34">
      <c r="A5" s="37" t="inlineStr">
        <is>
          <t>Manual review</t>
        </is>
      </c>
      <c r="B5" s="38">
        <f>IF(COUNTIFS(I9:I33,"yes",M9:M33,0)&gt;0,"open","complete")</f>
        <v/>
      </c>
      <c r="D5" s="37" t="inlineStr">
        <is>
          <t>Consumer gate</t>
        </is>
      </c>
      <c r="E5" s="38">
        <f>IF(COUNTIFS(E9:E33,"consumer",M9:M33,0)&gt;0,"open","complete")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PA-01</t>
        </is>
      </c>
      <c r="B9" s="43" t="inlineStr">
        <is>
          <t>Ownership</t>
        </is>
      </c>
      <c r="C9" s="43" t="inlineStr">
        <is>
          <t>All parts</t>
        </is>
      </c>
      <c r="D9" s="44" t="inlineStr">
        <is>
          <t>Brick styles released Atom 0.20.11 Pagination behavior without recreating state, range, or semantics.</t>
        </is>
      </c>
      <c r="E9" s="43" t="inlineStr">
        <is>
          <t>package</t>
        </is>
      </c>
      <c r="F9" s="43" t="inlineStr">
        <is>
          <t>source</t>
        </is>
      </c>
      <c r="G9" s="44" t="inlineStr">
        <is>
          <t>../src/components/pagination/Pagination.tsx; ../package.json</t>
        </is>
      </c>
      <c r="H9" s="43" t="inlineStr">
        <is>
          <t>tested</t>
        </is>
      </c>
      <c r="I9" s="43" t="inlineStr">
        <is>
          <t>no</t>
        </is>
      </c>
      <c r="J9" s="45" t="n">
        <v>46231</v>
      </c>
      <c r="K9" s="44" t="n"/>
      <c r="L9" s="43" t="n">
        <v>1</v>
      </c>
      <c r="M9" s="43">
        <f>IF(OR(AND(I9="yes",H9="verified"),AND(I9="no",OR(H9="tested",H9="verified")),AND(H9="not applicable",K9&lt;&gt;"")),1,0)</f>
        <v/>
      </c>
    </row>
    <row r="10" ht="54" customHeight="1" s="34">
      <c r="A10" s="43" t="inlineStr">
        <is>
          <t>PA-02</t>
        </is>
      </c>
      <c r="B10" s="43" t="inlineStr">
        <is>
          <t>API</t>
        </is>
      </c>
      <c r="C10" s="43" t="inlineStr">
        <is>
          <t>All parts</t>
        </is>
      </c>
      <c r="D10" s="44" t="inlineStr">
        <is>
          <t>Seven-part namespace and named exports expose Root, List, Previous, Items, Item, Ellipsis, and Next.</t>
        </is>
      </c>
      <c r="E10" s="43" t="inlineStr">
        <is>
          <t>package</t>
        </is>
      </c>
      <c r="F10" s="43" t="inlineStr">
        <is>
          <t>component</t>
        </is>
      </c>
      <c r="G10" s="44" t="inlineStr">
        <is>
          <t>../test/components/pagination/pagination.test.tsx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PA-03</t>
        </is>
      </c>
      <c r="B11" s="43" t="inlineStr">
        <is>
          <t>Anatomy</t>
        </is>
      </c>
      <c r="C11" s="43" t="inlineStr">
        <is>
          <t>All parts</t>
        </is>
      </c>
      <c r="D11" s="44" t="inlineStr">
        <is>
          <t>Root nav, List ol, Atom list items, native buttons, hostless Items, and assistive-hidden Ellipsis render with exact refs and hooks.</t>
        </is>
      </c>
      <c r="E11" s="43" t="inlineStr">
        <is>
          <t>package</t>
        </is>
      </c>
      <c r="F11" s="43" t="inlineStr">
        <is>
          <t>component</t>
        </is>
      </c>
      <c r="G11" s="44" t="inlineStr">
        <is>
          <t>../test/components/pagination/pagination.test.tsx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PA-04</t>
        </is>
      </c>
      <c r="B12" s="43" t="inlineStr">
        <is>
          <t>Types</t>
        </is>
      </c>
      <c r="C12" s="43" t="inlineStr">
        <is>
          <t>Public surface</t>
        </is>
      </c>
      <c r="D12" s="44" t="inlineStr">
        <is>
          <t>Closed variants and sizes, Atom state/localization props, shared Items props, native props, composition, and refs type-check.</t>
        </is>
      </c>
      <c r="E12" s="43" t="inlineStr">
        <is>
          <t>package</t>
        </is>
      </c>
      <c r="F12" s="43" t="inlineStr">
        <is>
          <t>types</t>
        </is>
      </c>
      <c r="G12" s="44" t="inlineStr">
        <is>
          <t>../test/types/components/pagination.test.ts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PA-05</t>
        </is>
      </c>
      <c r="B13" s="43" t="inlineStr">
        <is>
          <t>Exports</t>
        </is>
      </c>
      <c r="C13" s="43" t="inlineStr">
        <is>
          <t>All parts</t>
        </is>
      </c>
      <c r="D13" s="44" t="inlineStr">
        <is>
          <t>Root and pagination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PA-06</t>
        </is>
      </c>
      <c r="B14" s="43" t="inlineStr">
        <is>
          <t>SSR</t>
        </is>
      </c>
      <c r="C14" s="43" t="inlineStr">
        <is>
          <t>All parts</t>
        </is>
      </c>
      <c r="D14" s="44" t="inlineStr">
        <is>
          <t>Pagination imports server-safely and emits deterministic generated native anatomy.</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PA-07</t>
        </is>
      </c>
      <c r="B15" s="43" t="inlineStr">
        <is>
          <t>Defaults</t>
        </is>
      </c>
      <c r="C15" s="43" t="inlineStr">
        <is>
          <t>Root</t>
        </is>
      </c>
      <c r="D15" s="44" t="inlineStr">
        <is>
          <t>Defaults are plain, medium, page 1, sibling count 1, and boundary count 1.</t>
        </is>
      </c>
      <c r="E15" s="43" t="inlineStr">
        <is>
          <t>package</t>
        </is>
      </c>
      <c r="F15" s="43" t="inlineStr">
        <is>
          <t>component</t>
        </is>
      </c>
      <c r="G15" s="44" t="inlineStr">
        <is>
          <t>../test/components/pagination/pagination.test.tsx</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PA-08</t>
        </is>
      </c>
      <c r="B16" s="43" t="inlineStr">
        <is>
          <t>Recipes</t>
        </is>
      </c>
      <c r="C16" s="43" t="inlineStr">
        <is>
          <t>Root</t>
        </is>
      </c>
      <c r="D16" s="44" t="inlineStr">
        <is>
          <t>Plain, soft, outline and sm, md, lg recipes remain independent and preserve geometry by state.</t>
        </is>
      </c>
      <c r="E16" s="43" t="inlineStr">
        <is>
          <t>package</t>
        </is>
      </c>
      <c r="F16" s="43" t="inlineStr">
        <is>
          <t>browser</t>
        </is>
      </c>
      <c r="G16" s="44" t="inlineStr">
        <is>
          <t>tests/components/pagination/behavior.spec.ts</t>
        </is>
      </c>
      <c r="H16" s="43" t="inlineStr">
        <is>
          <t>tested</t>
        </is>
      </c>
      <c r="I16" s="43" t="inlineStr">
        <is>
          <t>no</t>
        </is>
      </c>
      <c r="J16" s="45" t="n">
        <v>46231</v>
      </c>
      <c r="K16" s="44" t="n"/>
      <c r="L16" s="43" t="n">
        <v>1</v>
      </c>
      <c r="M16" s="43">
        <f>IF(OR(AND(I16="yes",H16="verified"),AND(I16="no",OR(H16="tested",H16="verified")),AND(H16="not applicable",K16&lt;&gt;"")),1,0)</f>
        <v/>
      </c>
    </row>
    <row r="17" ht="54" customHeight="1" s="34">
      <c r="A17" s="43" t="inlineStr">
        <is>
          <t>PA-09</t>
        </is>
      </c>
      <c r="B17" s="43" t="inlineStr">
        <is>
          <t>Range</t>
        </is>
      </c>
      <c r="C17" s="43" t="inlineStr">
        <is>
          <t>Items</t>
        </is>
      </c>
      <c r="D17" s="44" t="inlineStr">
        <is>
          <t>Items renders Atom's generated stable page and Ellipsis range without a Brick algorithm copy.</t>
        </is>
      </c>
      <c r="E17" s="43" t="inlineStr">
        <is>
          <t>package</t>
        </is>
      </c>
      <c r="F17" s="43" t="inlineStr">
        <is>
          <t>component</t>
        </is>
      </c>
      <c r="G17" s="44" t="inlineStr">
        <is>
          <t>../test/components/pagination/pagination.test.tsx</t>
        </is>
      </c>
      <c r="H17" s="43" t="inlineStr">
        <is>
          <t>tested</t>
        </is>
      </c>
      <c r="I17" s="43" t="inlineStr">
        <is>
          <t>no</t>
        </is>
      </c>
      <c r="J17" s="45" t="n">
        <v>46231</v>
      </c>
      <c r="K17" s="44" t="n"/>
      <c r="L17" s="43" t="n">
        <v>1</v>
      </c>
      <c r="M17" s="43">
        <f>IF(OR(AND(I17="yes",H17="verified"),AND(I17="no",OR(H17="tested",H17="verified")),AND(H17="not applicable",K17&lt;&gt;"")),1,0)</f>
        <v/>
      </c>
    </row>
    <row r="18" ht="54" customHeight="1" s="34">
      <c r="A18" s="43" t="inlineStr">
        <is>
          <t>PA-10</t>
        </is>
      </c>
      <c r="B18" s="43" t="inlineStr">
        <is>
          <t>State</t>
        </is>
      </c>
      <c r="C18" s="43" t="inlineStr">
        <is>
          <t>Controls</t>
        </is>
      </c>
      <c r="D18" s="44" t="inlineStr">
        <is>
          <t>Controlled and uncontrolled page changes, current-page no-op, and first/last/whole-root disabled boundaries remain Atom-owned.</t>
        </is>
      </c>
      <c r="E18" s="43" t="inlineStr">
        <is>
          <t>package</t>
        </is>
      </c>
      <c r="F18" s="43" t="inlineStr">
        <is>
          <t>browser</t>
        </is>
      </c>
      <c r="G18" s="44" t="inlineStr">
        <is>
          <t>tests/components/pagination/behavior.spec.ts</t>
        </is>
      </c>
      <c r="H18" s="43" t="inlineStr">
        <is>
          <t>tested</t>
        </is>
      </c>
      <c r="I18" s="43" t="inlineStr">
        <is>
          <t>no</t>
        </is>
      </c>
      <c r="J18" s="45" t="n">
        <v>46231</v>
      </c>
      <c r="K18" s="44" t="n"/>
      <c r="L18" s="43" t="n">
        <v>1</v>
      </c>
      <c r="M18" s="43">
        <f>IF(OR(AND(I18="yes",H18="verified"),AND(I18="no",OR(H18="tested",H18="verified")),AND(H18="not applicable",K18&lt;&gt;"")),1,0)</f>
        <v/>
      </c>
    </row>
    <row r="19" ht="54" customHeight="1" s="34">
      <c r="A19" s="43" t="inlineStr">
        <is>
          <t>PA-11</t>
        </is>
      </c>
      <c r="B19" s="43" t="inlineStr">
        <is>
          <t>Localization</t>
        </is>
      </c>
      <c r="C19" s="43" t="inlineStr">
        <is>
          <t>Controls</t>
        </is>
      </c>
      <c r="D19" s="44" t="inlineStr">
        <is>
          <t>Root localizes generated page and boundary labels while direct aria-label remains authoritative.</t>
        </is>
      </c>
      <c r="E19" s="43" t="inlineStr">
        <is>
          <t>package</t>
        </is>
      </c>
      <c r="F19" s="43" t="inlineStr">
        <is>
          <t>browser</t>
        </is>
      </c>
      <c r="G19" s="44" t="inlineStr">
        <is>
          <t>tests/components/pagination/behavior.spec.ts</t>
        </is>
      </c>
      <c r="H19" s="43" t="inlineStr">
        <is>
          <t>tested</t>
        </is>
      </c>
      <c r="I19" s="43" t="inlineStr">
        <is>
          <t>no</t>
        </is>
      </c>
      <c r="J19" s="45" t="n">
        <v>46231</v>
      </c>
      <c r="K19" s="44" t="n"/>
      <c r="L19" s="43" t="n">
        <v>1</v>
      </c>
      <c r="M19" s="43">
        <f>IF(OR(AND(I19="yes",H19="verified"),AND(I19="no",OR(H19="tested",H19="verified")),AND(H19="not applicable",K19&lt;&gt;"")),1,0)</f>
        <v/>
      </c>
    </row>
    <row r="20" ht="54" customHeight="1" s="34">
      <c r="A20" s="43" t="inlineStr">
        <is>
          <t>PA-12</t>
        </is>
      </c>
      <c r="B20" s="43" t="inlineStr">
        <is>
          <t>Icons</t>
        </is>
      </c>
      <c r="C20" s="43" t="inlineStr">
        <is>
          <t>Previous / Next</t>
        </is>
      </c>
      <c r="D20" s="44" t="inlineStr">
        <is>
          <t>Default logical chevrons are decorative, centered, and mirror in RTL; authored children replace them.</t>
        </is>
      </c>
      <c r="E20" s="43" t="inlineStr">
        <is>
          <t>package</t>
        </is>
      </c>
      <c r="F20" s="43" t="inlineStr">
        <is>
          <t>browser</t>
        </is>
      </c>
      <c r="G20" s="44" t="inlineStr">
        <is>
          <t>tests/components/pagination/behavior.spec.ts</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PA-13</t>
        </is>
      </c>
      <c r="B21" s="43" t="inlineStr">
        <is>
          <t>Accessibility</t>
        </is>
      </c>
      <c r="C21" s="43" t="inlineStr">
        <is>
          <t>All parts</t>
        </is>
      </c>
      <c r="D21" s="44" t="inlineStr">
        <is>
          <t>Labelled nav/list semantics, current state, native Tab and activation, disabled controls, decorative gaps, and axe checks pass.</t>
        </is>
      </c>
      <c r="E21" s="43" t="inlineStr">
        <is>
          <t>package</t>
        </is>
      </c>
      <c r="F21" s="43" t="inlineStr">
        <is>
          <t>browser</t>
        </is>
      </c>
      <c r="G21" s="44" t="inlineStr">
        <is>
          <t>tests/components/pagination/behavior.spec.ts</t>
        </is>
      </c>
      <c r="H21" s="43" t="inlineStr">
        <is>
          <t>tested</t>
        </is>
      </c>
      <c r="I21" s="43" t="inlineStr">
        <is>
          <t>no</t>
        </is>
      </c>
      <c r="J21" s="45" t="n">
        <v>46231</v>
      </c>
      <c r="K21" s="44" t="n"/>
      <c r="L21" s="43" t="n">
        <v>1</v>
      </c>
      <c r="M21" s="43">
        <f>IF(OR(AND(I21="yes",H21="verified"),AND(I21="no",OR(H21="tested",H21="verified")),AND(H21="not applicable",K21&lt;&gt;"")),1,0)</f>
        <v/>
      </c>
    </row>
    <row r="22" ht="54" customHeight="1" s="34">
      <c r="A22" s="43" t="inlineStr">
        <is>
          <t>PA-14</t>
        </is>
      </c>
      <c r="B22" s="43" t="inlineStr">
        <is>
          <t>Responsive</t>
        </is>
      </c>
      <c r="C22" s="43" t="inlineStr">
        <is>
          <t>Root / List</t>
        </is>
      </c>
      <c r="D22" s="44" t="inlineStr">
        <is>
          <t>The list stays bounded, never wraps or hides items, and scrolls inline when constrained.</t>
        </is>
      </c>
      <c r="E22" s="43" t="inlineStr">
        <is>
          <t>package</t>
        </is>
      </c>
      <c r="F22" s="43" t="inlineStr">
        <is>
          <t>browser</t>
        </is>
      </c>
      <c r="G22" s="44" t="inlineStr">
        <is>
          <t>tests/components/pagination/behavior.spec.ts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PA-15</t>
        </is>
      </c>
      <c r="B23" s="43" t="inlineStr">
        <is>
          <t>Appearance</t>
        </is>
      </c>
      <c r="C23" s="43" t="inlineStr">
        <is>
          <t>All parts</t>
        </is>
      </c>
      <c r="D23" s="44" t="inlineStr">
        <is>
          <t>Light and dark semantic scopes preserve current, neutral, disabled, and surface recipes.</t>
        </is>
      </c>
      <c r="E23" s="43" t="inlineStr">
        <is>
          <t>package</t>
        </is>
      </c>
      <c r="F23" s="43" t="inlineStr">
        <is>
          <t>visual</t>
        </is>
      </c>
      <c r="G23" s="44" t="inlineStr">
        <is>
          <t>tests/components/pagination/visual.spec.ts</t>
        </is>
      </c>
      <c r="H23" s="43" t="inlineStr">
        <is>
          <t>implemented</t>
        </is>
      </c>
      <c r="I23" s="43" t="inlineStr">
        <is>
          <t>yes</t>
        </is>
      </c>
      <c r="J23" s="45" t="n">
        <v>46231</v>
      </c>
      <c r="K23" s="44" t="inlineStr">
        <is>
          <t>Owner visual review not yet recorded.</t>
        </is>
      </c>
      <c r="L23" s="43" t="n">
        <v>1</v>
      </c>
      <c r="M23" s="43">
        <f>IF(OR(AND(I23="yes",H23="verified"),AND(I23="no",OR(H23="tested",H23="verified")),AND(H23="not applicable",K23&lt;&gt;"")),1,0)</f>
        <v/>
      </c>
    </row>
    <row r="24" ht="54" customHeight="1" s="34">
      <c r="A24" s="43" t="inlineStr">
        <is>
          <t>PA-16</t>
        </is>
      </c>
      <c r="B24" s="43" t="inlineStr">
        <is>
          <t>Preferences</t>
        </is>
      </c>
      <c r="C24" s="43" t="inlineStr">
        <is>
          <t>Controls</t>
        </is>
      </c>
      <c r="D24" s="44" t="inlineStr">
        <is>
          <t>Forced colors keeps current, disabled, and focus distinctions; reduced motion removes color transitions.</t>
        </is>
      </c>
      <c r="E24" s="43" t="inlineStr">
        <is>
          <t>package</t>
        </is>
      </c>
      <c r="F24" s="43" t="inlineStr">
        <is>
          <t>manual</t>
        </is>
      </c>
      <c r="G24" s="44" t="inlineStr">
        <is>
          <t>manual-tests/pagination.md</t>
        </is>
      </c>
      <c r="H24" s="43" t="inlineStr">
        <is>
          <t>implemented</t>
        </is>
      </c>
      <c r="I24" s="43" t="inlineStr">
        <is>
          <t>yes</t>
        </is>
      </c>
      <c r="J24" s="45" t="n">
        <v>46231</v>
      </c>
      <c r="K24" s="44" t="inlineStr">
        <is>
          <t>Owner forced-colors and reduced-motion review not yet recorded.</t>
        </is>
      </c>
      <c r="L24" s="43" t="n">
        <v>1</v>
      </c>
      <c r="M24" s="43">
        <f>IF(OR(AND(I24="yes",H24="verified"),AND(I24="no",OR(H24="tested",H24="verified")),AND(H24="not applicable",K24&lt;&gt;"")),1,0)</f>
        <v/>
      </c>
    </row>
    <row r="25" ht="54" customHeight="1" s="34">
      <c r="A25" s="43" t="inlineStr">
        <is>
          <t>PA-17</t>
        </is>
      </c>
      <c r="B25" s="43" t="inlineStr">
        <is>
          <t>Visual</t>
        </is>
      </c>
      <c r="C25" s="43" t="inlineStr">
        <is>
          <t>All parts</t>
        </is>
      </c>
      <c r="D25" s="44" t="inlineStr">
        <is>
          <t>Reviewed baselines cover overview, variants, sizes, appearance, customization, responsive overflow, and RTL.</t>
        </is>
      </c>
      <c r="E25" s="43" t="inlineStr">
        <is>
          <t>package</t>
        </is>
      </c>
      <c r="F25" s="43" t="inlineStr">
        <is>
          <t>visual</t>
        </is>
      </c>
      <c r="G25" s="44" t="inlineStr">
        <is>
          <t>tests/components/pagination/visual.spec.ts</t>
        </is>
      </c>
      <c r="H25" s="43" t="inlineStr">
        <is>
          <t>implemented</t>
        </is>
      </c>
      <c r="I25" s="43" t="inlineStr">
        <is>
          <t>yes</t>
        </is>
      </c>
      <c r="J25" s="45" t="n">
        <v>46231</v>
      </c>
      <c r="K25" s="44" t="inlineStr">
        <is>
          <t>Owner baseline approval not yet recorded.</t>
        </is>
      </c>
      <c r="L25" s="43" t="n">
        <v>1</v>
      </c>
      <c r="M25" s="43">
        <f>IF(OR(AND(I25="yes",H25="verified"),AND(I25="no",OR(H25="tested",H25="verified")),AND(H25="not applicable",K25&lt;&gt;"")),1,0)</f>
        <v/>
      </c>
    </row>
    <row r="26" ht="54" customHeight="1" s="34">
      <c r="A26" s="43" t="inlineStr">
        <is>
          <t>PA-18</t>
        </is>
      </c>
      <c r="B26" s="43" t="inlineStr">
        <is>
          <t>Customization</t>
        </is>
      </c>
      <c r="C26" s="43" t="inlineStr">
        <is>
          <t>Root / parts</t>
        </is>
      </c>
      <c r="D26" s="44" t="inlineStr">
        <is>
          <t>Stable classes, slots, data attributes, component variables, className, and style preserve behavior.</t>
        </is>
      </c>
      <c r="E26" s="43" t="inlineStr">
        <is>
          <t>package</t>
        </is>
      </c>
      <c r="F26" s="43" t="inlineStr">
        <is>
          <t>component</t>
        </is>
      </c>
      <c r="G26" s="44" t="inlineStr">
        <is>
          <t>../test/components/pagination/pagination.test.tsx</t>
        </is>
      </c>
      <c r="H26" s="43" t="inlineStr">
        <is>
          <t>tested</t>
        </is>
      </c>
      <c r="I26" s="43" t="inlineStr">
        <is>
          <t>no</t>
        </is>
      </c>
      <c r="J26" s="45" t="n">
        <v>46231</v>
      </c>
      <c r="K26" s="44" t="n"/>
      <c r="L26" s="43" t="n">
        <v>1</v>
      </c>
      <c r="M26" s="43">
        <f>IF(OR(AND(I26="yes",H26="verified"),AND(I26="no",OR(H26="tested",H26="verified")),AND(H26="not applicable",K26&lt;&gt;"")),1,0)</f>
        <v/>
      </c>
    </row>
    <row r="27" ht="54" customHeight="1" s="34">
      <c r="A27" s="43" t="inlineStr">
        <is>
          <t>PA-19</t>
        </is>
      </c>
      <c r="B27" s="43" t="inlineStr">
        <is>
          <t>Documentation</t>
        </is>
      </c>
      <c r="C27" s="43" t="inlineStr">
        <is>
          <t>Public guide</t>
        </is>
      </c>
      <c r="D27" s="44" t="inlineStr">
        <is>
          <t>Guide documents all exports, recipes, hooks, responsibilities, exclusions, and evidence.</t>
        </is>
      </c>
      <c r="E27" s="43" t="inlineStr">
        <is>
          <t>package</t>
        </is>
      </c>
      <c r="F27" s="43" t="inlineStr">
        <is>
          <t>documentation</t>
        </is>
      </c>
      <c r="G27" s="44" t="inlineStr">
        <is>
          <t>../docs/components/pagination/README.md</t>
        </is>
      </c>
      <c r="H27" s="43" t="inlineStr">
        <is>
          <t>tested</t>
        </is>
      </c>
      <c r="I27" s="43" t="inlineStr">
        <is>
          <t>no</t>
        </is>
      </c>
      <c r="J27" s="45" t="n">
        <v>46231</v>
      </c>
      <c r="K27" s="44" t="n"/>
      <c r="L27" s="43" t="n">
        <v>1</v>
      </c>
      <c r="M27" s="43">
        <f>IF(OR(AND(I27="yes",H27="verified"),AND(I27="no",OR(H27="tested",H27="verified")),AND(H27="not applicable",K27&lt;&gt;"")),1,0)</f>
        <v/>
      </c>
    </row>
    <row r="28" ht="54" customHeight="1" s="34">
      <c r="A28" s="43" t="inlineStr">
        <is>
          <t>PA-20</t>
        </is>
      </c>
      <c r="B28" s="43" t="inlineStr">
        <is>
          <t>Changelog</t>
        </is>
      </c>
      <c r="C28" s="43" t="inlineStr">
        <is>
          <t>Public record</t>
        </is>
      </c>
      <c r="D28" s="44" t="inlineStr">
        <is>
          <t>Component and package changelogs describe the release-facing Pagination addition.</t>
        </is>
      </c>
      <c r="E28" s="43" t="inlineStr">
        <is>
          <t>package</t>
        </is>
      </c>
      <c r="F28" s="43" t="inlineStr">
        <is>
          <t>documentation</t>
        </is>
      </c>
      <c r="G28" s="44" t="inlineStr">
        <is>
          <t>../docs/components/pagination/CHANGELOG.md; ../CHANGELOG.md</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PA-21</t>
        </is>
      </c>
      <c r="B29" s="43" t="inlineStr">
        <is>
          <t>Playground</t>
        </is>
      </c>
      <c r="C29" s="43" t="inlineStr">
        <is>
          <t>All parts</t>
        </is>
      </c>
      <c r="D29" s="44" t="inlineStr">
        <is>
          <t>Deterministic route exposes every adopted scenario with semantically distinct content.</t>
        </is>
      </c>
      <c r="E29" s="43" t="inlineStr">
        <is>
          <t>package</t>
        </is>
      </c>
      <c r="F29" s="43" t="inlineStr">
        <is>
          <t>playground</t>
        </is>
      </c>
      <c r="G29" s="44" t="inlineStr">
        <is>
          <t>../playground/src/components/pagination/PaginationPage.tsx</t>
        </is>
      </c>
      <c r="H29" s="43" t="inlineStr">
        <is>
          <t>tested</t>
        </is>
      </c>
      <c r="I29" s="43" t="inlineStr">
        <is>
          <t>no</t>
        </is>
      </c>
      <c r="J29" s="45" t="n">
        <v>46231</v>
      </c>
      <c r="K29" s="44" t="n"/>
      <c r="L29" s="43" t="n">
        <v>1</v>
      </c>
      <c r="M29" s="43">
        <f>IF(OR(AND(I29="yes",H29="verified"),AND(I29="no",OR(H29="tested",H29="verified")),AND(H29="not applicable",K29&lt;&gt;"")),1,0)</f>
        <v/>
      </c>
    </row>
    <row r="30" ht="54" customHeight="1" s="34">
      <c r="A30" s="43" t="inlineStr">
        <is>
          <t>PA-22</t>
        </is>
      </c>
      <c r="B30" s="43" t="inlineStr">
        <is>
          <t>Manual</t>
        </is>
      </c>
      <c r="C30" s="43" t="inlineStr">
        <is>
          <t>All parts</t>
        </is>
      </c>
      <c r="D30" s="44" t="inlineStr">
        <is>
          <t>Numbered protocol reviews semantics, recipes, preferences, zoom, RTL, overflow, and physical touch.</t>
        </is>
      </c>
      <c r="E30" s="43" t="inlineStr">
        <is>
          <t>package</t>
        </is>
      </c>
      <c r="F30" s="43" t="inlineStr">
        <is>
          <t>manual</t>
        </is>
      </c>
      <c r="G30" s="44" t="inlineStr">
        <is>
          <t>manual-tests/pagination.md</t>
        </is>
      </c>
      <c r="H30" s="43" t="inlineStr">
        <is>
          <t>not started</t>
        </is>
      </c>
      <c r="I30" s="43" t="inlineStr">
        <is>
          <t>yes</t>
        </is>
      </c>
      <c r="J30" s="45" t="n">
        <v>46231</v>
      </c>
      <c r="K30" s="44" t="inlineStr">
        <is>
          <t>Owner manual run not yet completed.</t>
        </is>
      </c>
      <c r="L30" s="43" t="n">
        <v>1</v>
      </c>
      <c r="M30" s="43">
        <f>IF(OR(AND(I30="yes",H30="verified"),AND(I30="no",OR(H30="tested",H30="verified")),AND(H30="not applicable",K30&lt;&gt;"")),1,0)</f>
        <v/>
      </c>
    </row>
    <row r="31" ht="54" customHeight="1" s="34">
      <c r="A31" s="43" t="inlineStr">
        <is>
          <t>PA-23</t>
        </is>
      </c>
      <c r="B31" s="43" t="inlineStr">
        <is>
          <t>Consumer</t>
        </is>
      </c>
      <c r="C31" s="43" t="inlineStr">
        <is>
          <t>Root / generated controls</t>
        </is>
      </c>
      <c r="D31" s="44" t="inlineStr">
        <is>
          <t>Packed Consumer composes controlled Pagination through its public subpath.</t>
        </is>
      </c>
      <c r="E31" s="43" t="inlineStr">
        <is>
          <t>consumer</t>
        </is>
      </c>
      <c r="F31" s="43" t="inlineStr">
        <is>
          <t>consumer</t>
        </is>
      </c>
      <c r="G31" s="44" t="inlineStr">
        <is>
          <t>../apps/consumer/src/App.tsx; ../apps/consumer/tests/consumer.spec.ts</t>
        </is>
      </c>
      <c r="H31" s="43" t="inlineStr">
        <is>
          <t>tested</t>
        </is>
      </c>
      <c r="I31" s="43" t="inlineStr">
        <is>
          <t>no</t>
        </is>
      </c>
      <c r="J31" s="45" t="n">
        <v>46231</v>
      </c>
      <c r="K31" s="44" t="n"/>
      <c r="L31" s="43" t="n">
        <v>1</v>
      </c>
      <c r="M31" s="43">
        <f>IF(OR(AND(I31="yes",H31="verified"),AND(I31="no",OR(H31="tested",H31="verified")),AND(H31="not applicable",K31&lt;&gt;"")),1,0)</f>
        <v/>
      </c>
    </row>
    <row r="32" ht="54" customHeight="1" s="34">
      <c r="A32" s="43" t="inlineStr">
        <is>
          <t>PA-24</t>
        </is>
      </c>
      <c r="B32" s="43" t="inlineStr">
        <is>
          <t>Package</t>
        </is>
      </c>
      <c r="C32" s="43" t="inlineStr">
        <is>
          <t>Artifact</t>
        </is>
      </c>
      <c r="D32" s="44" t="inlineStr">
        <is>
          <t>Packed archive includes root/subpath declarations, runtime exports, CSS, exact Atom dependency, and React 18/19 compatibility.</t>
        </is>
      </c>
      <c r="E32" s="43" t="inlineStr">
        <is>
          <t>package</t>
        </is>
      </c>
      <c r="F32" s="43" t="inlineStr">
        <is>
          <t>package</t>
        </is>
      </c>
      <c r="G32" s="44" t="inlineStr">
        <is>
          <t>../scripts/verify-package.mjs; ../scripts/verify-consumers.mjs</t>
        </is>
      </c>
      <c r="H32" s="43" t="inlineStr">
        <is>
          <t>tested</t>
        </is>
      </c>
      <c r="I32" s="43" t="inlineStr">
        <is>
          <t>no</t>
        </is>
      </c>
      <c r="J32" s="45" t="n">
        <v>46231</v>
      </c>
      <c r="K32" s="44" t="n"/>
      <c r="L32" s="43" t="n">
        <v>1</v>
      </c>
      <c r="M32" s="43">
        <f>IF(OR(AND(I32="yes",H32="verified"),AND(I32="no",OR(H32="tested",H32="verified")),AND(H32="not applicable",K32&lt;&gt;"")),1,0)</f>
        <v/>
      </c>
    </row>
    <row r="33" ht="54" customHeight="1" s="34">
      <c r="A33" s="43" t="inlineStr">
        <is>
          <t>PA-25</t>
        </is>
      </c>
      <c r="B33" s="43" t="inlineStr">
        <is>
          <t>Exclusion</t>
        </is>
      </c>
      <c r="C33" s="43" t="inlineStr">
        <is>
          <t>All parts</t>
        </is>
      </c>
      <c r="D33" s="44" t="inlineStr">
        <is>
          <t>URL/router navigation, page size, totals, fetching, loading, quick jump, and responsive range policy remain outside Pagination.</t>
        </is>
      </c>
      <c r="E33" s="43" t="inlineStr">
        <is>
          <t>package</t>
        </is>
      </c>
      <c r="F33" s="43" t="inlineStr">
        <is>
          <t>documentation</t>
        </is>
      </c>
      <c r="G33" s="44" t="inlineStr">
        <is>
          <t>../docs/components/pagination/README.md</t>
        </is>
      </c>
      <c r="H33" s="43" t="inlineStr">
        <is>
          <t>tested</t>
        </is>
      </c>
      <c r="I33" s="43" t="inlineStr">
        <is>
          <t>no</t>
        </is>
      </c>
      <c r="J33" s="45" t="n">
        <v>46231</v>
      </c>
      <c r="K33" s="44" t="n"/>
      <c r="L33" s="43" t="n">
        <v>1</v>
      </c>
      <c r="M33" s="43">
        <f>IF(OR(AND(I33="yes",H33="verified"),AND(I33="no",OR(H33="tested",H33="verified")),AND(H33="not applicable",K33&lt;&gt;"")),1,0)</f>
        <v/>
      </c>
    </row>
    <row r="34" ht="54" customHeight="1" s="34"/>
    <row r="35" ht="54" customHeight="1" s="34"/>
    <row r="36" ht="54" customHeight="1" s="34"/>
    <row r="37" ht="54" customHeight="1" s="34"/>
    <row r="38" ht="54" customHeight="1" s="34"/>
    <row r="39" ht="54" customHeight="1" s="34"/>
  </sheetData>
  <mergeCells count="2">
    <mergeCell ref="A2:M2"/>
    <mergeCell ref="A1:M1"/>
  </mergeCells>
  <dataValidations count="2">
    <dataValidation sqref="H9:H33" showDropDown="0" showInputMessage="0" showErrorMessage="0" allowBlank="0" type="list" errorStyle="stop" operator="between">
      <formula1>"not started,partial,implemented,tested,verified,blocked,not applicable"</formula1>
      <formula2>0</formula2>
    </dataValidation>
    <dataValidation sqref="I9:I33"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Data Grid Evidence</t>
        </is>
      </c>
    </row>
    <row r="2" ht="27.75" customHeight="1" s="34">
      <c r="A2" s="36" t="inlineStr">
        <is>
          <t>Assertion-level anatomy, navigation, selection, sorting activation, visual recipes, responsive containment, package, documentation, Consumer, and accessibility evidence.</t>
        </is>
      </c>
    </row>
    <row r="4" ht="17.25" customHeight="1" s="34">
      <c r="A4" s="37" t="inlineStr">
        <is>
          <t>Requirements</t>
        </is>
      </c>
      <c r="B4" s="38">
        <f>COUNTA(A9:A34)</f>
        <v/>
      </c>
      <c r="D4" s="37" t="inlineStr">
        <is>
          <t>Resolved</t>
        </is>
      </c>
      <c r="E4" s="38">
        <f>SUM(M9:M34)</f>
        <v/>
      </c>
      <c r="G4" s="37" t="inlineStr">
        <is>
          <t>Completion</t>
        </is>
      </c>
      <c r="H4" s="39">
        <f>IF(B4=0,0,E4/B4)</f>
        <v/>
      </c>
      <c r="J4" s="37" t="inlineStr">
        <is>
          <t>Package gate</t>
        </is>
      </c>
      <c r="K4" s="38">
        <f>IF(COUNTIFS(E9:E34,"package",M9:M34,0)&gt;0,"open","complete")</f>
        <v/>
      </c>
    </row>
    <row r="5" ht="17.25" customHeight="1" s="34">
      <c r="A5" s="37" t="inlineStr">
        <is>
          <t>Manual review</t>
        </is>
      </c>
      <c r="B5" s="38">
        <f>IF(COUNTIFS(I9:I34,"yes",M9:M34,0)&gt;0,"open","complete")</f>
        <v/>
      </c>
      <c r="D5" s="37" t="inlineStr">
        <is>
          <t>Consumer gate</t>
        </is>
      </c>
      <c r="E5" s="38">
        <f>IF(COUNTIFS(E9:E34,"consumer",M9:M34,0)&gt;0,"open","complete")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DG-01</t>
        </is>
      </c>
      <c r="B9" s="43" t="inlineStr">
        <is>
          <t>Ownership</t>
        </is>
      </c>
      <c r="C9" s="43" t="inlineStr">
        <is>
          <t>All parts</t>
        </is>
      </c>
      <c r="D9" s="44" t="inlineStr">
        <is>
          <t>Brick styles released Atom 0.20.11 Data Grid behavior without recreating navigation, selection, focus, or semantics.</t>
        </is>
      </c>
      <c r="E9" s="43" t="inlineStr">
        <is>
          <t>package</t>
        </is>
      </c>
      <c r="F9" s="43" t="inlineStr">
        <is>
          <t>source</t>
        </is>
      </c>
      <c r="G9" s="44" t="inlineStr">
        <is>
          <t>../src/components/data-grid/DataGrid.tsx; ../package.json</t>
        </is>
      </c>
      <c r="H9" s="43" t="inlineStr">
        <is>
          <t>tested</t>
        </is>
      </c>
      <c r="I9" s="43" t="inlineStr">
        <is>
          <t>no</t>
        </is>
      </c>
      <c r="J9" s="45" t="n">
        <v>46231</v>
      </c>
      <c r="K9" s="44" t="n"/>
      <c r="L9" s="43" t="n">
        <v>1</v>
      </c>
      <c r="M9" s="43">
        <f>IF(OR(AND(I9="yes",H9="verified"),AND(I9="no",OR(H9="tested",H9="verified")),AND(H9="not applicable",K9&lt;&gt;"")),1,0)</f>
        <v/>
      </c>
    </row>
    <row r="10" ht="54" customHeight="1" s="34">
      <c r="A10" s="43" t="inlineStr">
        <is>
          <t>DG-02</t>
        </is>
      </c>
      <c r="B10" s="43" t="inlineStr">
        <is>
          <t>API</t>
        </is>
      </c>
      <c r="C10" s="43" t="inlineStr">
        <is>
          <t>All parts</t>
        </is>
      </c>
      <c r="D10" s="44" t="inlineStr">
        <is>
          <t>Ten-part namespace and named exports expose Container, Root, Caption, Header, Body, Footer, Row, ColumnHeader, Cell, and SortIndicator.</t>
        </is>
      </c>
      <c r="E10" s="43" t="inlineStr">
        <is>
          <t>package</t>
        </is>
      </c>
      <c r="F10" s="43" t="inlineStr">
        <is>
          <t>component</t>
        </is>
      </c>
      <c r="G10" s="44" t="inlineStr">
        <is>
          <t>../test/components/data-grid/data-grid.test.tsx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DG-03</t>
        </is>
      </c>
      <c r="B11" s="43" t="inlineStr">
        <is>
          <t>Anatomy</t>
        </is>
      </c>
      <c r="C11" s="43" t="inlineStr">
        <is>
          <t>All parts</t>
        </is>
      </c>
      <c r="D11" s="44" t="inlineStr">
        <is>
          <t>Explicit Container and exact native table hosts, grid roles, slots, refs, indexes, and counts render deterministically.</t>
        </is>
      </c>
      <c r="E11" s="43" t="inlineStr">
        <is>
          <t>package</t>
        </is>
      </c>
      <c r="F11" s="43" t="inlineStr">
        <is>
          <t>component</t>
        </is>
      </c>
      <c r="G11" s="44" t="inlineStr">
        <is>
          <t>../test/components/data-grid/data-grid.test.tsx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DG-04</t>
        </is>
      </c>
      <c r="B12" s="43" t="inlineStr">
        <is>
          <t>Types</t>
        </is>
      </c>
      <c r="C12" s="43" t="inlineStr">
        <is>
          <t>Public surface</t>
        </is>
      </c>
      <c r="D12" s="44" t="inlineStr">
        <is>
          <t>Closed recipes, logical alignment, Atom state, indexes, controlled selection, active cell, sorting action, native props, and refs type-check.</t>
        </is>
      </c>
      <c r="E12" s="43" t="inlineStr">
        <is>
          <t>package</t>
        </is>
      </c>
      <c r="F12" s="43" t="inlineStr">
        <is>
          <t>types</t>
        </is>
      </c>
      <c r="G12" s="44" t="inlineStr">
        <is>
          <t>../test/types/components/data-grid.test.ts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DG-05</t>
        </is>
      </c>
      <c r="B13" s="43" t="inlineStr">
        <is>
          <t>Exports</t>
        </is>
      </c>
      <c r="C13" s="43" t="inlineStr">
        <is>
          <t>All parts</t>
        </is>
      </c>
      <c r="D13" s="44" t="inlineStr">
        <is>
          <t>Root and data-grid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DG-06</t>
        </is>
      </c>
      <c r="B14" s="43" t="inlineStr">
        <is>
          <t>SSR</t>
        </is>
      </c>
      <c r="C14" s="43" t="inlineStr">
        <is>
          <t>Root / cells</t>
        </is>
      </c>
      <c r="D14" s="44" t="inlineStr">
        <is>
          <t>Data Grid imports server-safely and emits deterministic labelled grid, coordinate, and sort anatomy.</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DG-07</t>
        </is>
      </c>
      <c r="B15" s="43" t="inlineStr">
        <is>
          <t>Defaults</t>
        </is>
      </c>
      <c r="C15" s="43" t="inlineStr">
        <is>
          <t>Root / Caption</t>
        </is>
      </c>
      <c r="D15" s="44" t="inlineStr">
        <is>
          <t>Defaults are line, medium, comfortable, bottom caption, and logical-start alignment.</t>
        </is>
      </c>
      <c r="E15" s="43" t="inlineStr">
        <is>
          <t>package</t>
        </is>
      </c>
      <c r="F15" s="43" t="inlineStr">
        <is>
          <t>component</t>
        </is>
      </c>
      <c r="G15" s="44" t="inlineStr">
        <is>
          <t>../test/components/data-grid/data-grid.test.tsx</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DG-08</t>
        </is>
      </c>
      <c r="B16" s="43" t="inlineStr">
        <is>
          <t>Recipes</t>
        </is>
      </c>
      <c r="C16" s="43" t="inlineStr">
        <is>
          <t>Root</t>
        </is>
      </c>
      <c r="D16" s="44" t="inlineStr">
        <is>
          <t>Line/outline, sm/md/lg, and compact/comfortable/spacious remain independent.</t>
        </is>
      </c>
      <c r="E16" s="43" t="inlineStr">
        <is>
          <t>package</t>
        </is>
      </c>
      <c r="F16" s="43" t="inlineStr">
        <is>
          <t>browser</t>
        </is>
      </c>
      <c r="G16" s="44" t="inlineStr">
        <is>
          <t>tests/components/data-grid/behavior.spec.ts</t>
        </is>
      </c>
      <c r="H16" s="43" t="inlineStr">
        <is>
          <t>tested</t>
        </is>
      </c>
      <c r="I16" s="43" t="inlineStr">
        <is>
          <t>no</t>
        </is>
      </c>
      <c r="J16" s="45" t="n">
        <v>46231</v>
      </c>
      <c r="K16" s="44" t="n"/>
      <c r="L16" s="43" t="n">
        <v>1</v>
      </c>
      <c r="M16" s="43">
        <f>IF(OR(AND(I16="yes",H16="verified"),AND(I16="no",OR(H16="tested",H16="verified")),AND(H16="not applicable",K16&lt;&gt;"")),1,0)</f>
        <v/>
      </c>
    </row>
    <row r="17" ht="54" customHeight="1" s="34">
      <c r="A17" s="43" t="inlineStr">
        <is>
          <t>DG-09</t>
        </is>
      </c>
      <c r="B17" s="43" t="inlineStr">
        <is>
          <t>Navigation</t>
        </is>
      </c>
      <c r="C17" s="43" t="inlineStr">
        <is>
          <t>Root / cells</t>
        </is>
      </c>
      <c r="D17" s="44" t="inlineStr">
        <is>
          <t>Root owns focus and active descendant while arrow, boundary, page, loop, wrap, RTL, and disabled-cell navigation remain Atom-owned.</t>
        </is>
      </c>
      <c r="E17" s="43" t="inlineStr">
        <is>
          <t>package</t>
        </is>
      </c>
      <c r="F17" s="43" t="inlineStr">
        <is>
          <t>browser</t>
        </is>
      </c>
      <c r="G17" s="44" t="inlineStr">
        <is>
          <t>tests/components/data-grid/behavior.spec.ts; @flowstack-ui/atom 0.17.0 behavior suite</t>
        </is>
      </c>
      <c r="H17" s="43" t="inlineStr">
        <is>
          <t>tested</t>
        </is>
      </c>
      <c r="I17" s="43" t="inlineStr">
        <is>
          <t>no</t>
        </is>
      </c>
      <c r="J17" s="45" t="n">
        <v>46231</v>
      </c>
      <c r="K17" s="44" t="n"/>
      <c r="L17" s="43" t="n">
        <v>1</v>
      </c>
      <c r="M17" s="43">
        <f>IF(OR(AND(I17="yes",H17="verified"),AND(I17="no",OR(H17="tested",H17="verified")),AND(H17="not applicable",K17&lt;&gt;"")),1,0)</f>
        <v/>
      </c>
    </row>
    <row r="18" ht="54" customHeight="1" s="34">
      <c r="A18" s="43" t="inlineStr">
        <is>
          <t>DG-10</t>
        </is>
      </c>
      <c r="B18" s="43" t="inlineStr">
        <is>
          <t>Selection</t>
        </is>
      </c>
      <c r="C18" s="43" t="inlineStr">
        <is>
          <t>Root / Row</t>
        </is>
      </c>
      <c r="D18" s="44" t="inlineStr">
        <is>
          <t>Controlled/uncontrolled single and multiple row selection, row-click policy, Space activation, and disabled/read-only boundaries remain Atom-owned.</t>
        </is>
      </c>
      <c r="E18" s="43" t="inlineStr">
        <is>
          <t>package</t>
        </is>
      </c>
      <c r="F18" s="43" t="inlineStr">
        <is>
          <t>browser</t>
        </is>
      </c>
      <c r="G18" s="44" t="inlineStr">
        <is>
          <t>tests/components/data-grid/behavior.spec.ts; @flowstack-ui/atom 0.17.0 behavior suite</t>
        </is>
      </c>
      <c r="H18" s="43" t="inlineStr">
        <is>
          <t>tested</t>
        </is>
      </c>
      <c r="I18" s="43" t="inlineStr">
        <is>
          <t>no</t>
        </is>
      </c>
      <c r="J18" s="45" t="n">
        <v>46231</v>
      </c>
      <c r="K18" s="44" t="n"/>
      <c r="L18" s="43" t="n">
        <v>1</v>
      </c>
      <c r="M18" s="43">
        <f>IF(OR(AND(I18="yes",H18="verified"),AND(I18="no",OR(H18="tested",H18="verified")),AND(H18="not applicable",K18&lt;&gt;"")),1,0)</f>
        <v/>
      </c>
    </row>
    <row r="19" ht="54" customHeight="1" s="34">
      <c r="A19" s="43" t="inlineStr">
        <is>
          <t>DG-11</t>
        </is>
      </c>
      <c r="B19" s="43" t="inlineStr">
        <is>
          <t>Sorting</t>
        </is>
      </c>
      <c r="C19" s="43" t="inlineStr">
        <is>
          <t>ColumnHeader / SortIndicator</t>
        </is>
      </c>
      <c r="D19" s="44" t="inlineStr">
        <is>
          <t>Indexed actionable headers request application sorting by pointer and Enter; aria-sort stays controlled and artwork stays silent.</t>
        </is>
      </c>
      <c r="E19" s="43" t="inlineStr">
        <is>
          <t>package</t>
        </is>
      </c>
      <c r="F19" s="43" t="inlineStr">
        <is>
          <t>browser</t>
        </is>
      </c>
      <c r="G19" s="44" t="inlineStr">
        <is>
          <t>tests/components/data-grid/behavior.spec.ts</t>
        </is>
      </c>
      <c r="H19" s="43" t="inlineStr">
        <is>
          <t>tested</t>
        </is>
      </c>
      <c r="I19" s="43" t="inlineStr">
        <is>
          <t>no</t>
        </is>
      </c>
      <c r="J19" s="45" t="n">
        <v>46231</v>
      </c>
      <c r="K19" s="44" t="n"/>
      <c r="L19" s="43" t="n">
        <v>1</v>
      </c>
      <c r="M19" s="43">
        <f>IF(OR(AND(I19="yes",H19="verified"),AND(I19="no",OR(H19="tested",H19="verified")),AND(H19="not applicable",K19&lt;&gt;"")),1,0)</f>
        <v/>
      </c>
    </row>
    <row r="20" ht="54" customHeight="1" s="34">
      <c r="A20" s="43" t="inlineStr">
        <is>
          <t>DG-12</t>
        </is>
      </c>
      <c r="B20" s="43" t="inlineStr">
        <is>
          <t>Alignment</t>
        </is>
      </c>
      <c r="C20" s="43" t="inlineStr">
        <is>
          <t>ColumnHeader / Cell</t>
        </is>
      </c>
      <c r="D20" s="44" t="inlineStr">
        <is>
          <t>Start, center, end, and numeric formatting use logical alignment, tabular figures, and explicit precedence.</t>
        </is>
      </c>
      <c r="E20" s="43" t="inlineStr">
        <is>
          <t>package</t>
        </is>
      </c>
      <c r="F20" s="43" t="inlineStr">
        <is>
          <t>component</t>
        </is>
      </c>
      <c r="G20" s="44" t="inlineStr">
        <is>
          <t>../test/components/data-grid/data-grid.test.tsx</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DG-13</t>
        </is>
      </c>
      <c r="B21" s="43" t="inlineStr">
        <is>
          <t>States</t>
        </is>
      </c>
      <c r="C21" s="43" t="inlineStr">
        <is>
          <t>Rows / cells</t>
        </is>
      </c>
      <c r="D21" s="44" t="inlineStr">
        <is>
          <t>Selected, active, disabled, selectable, actionable, hover, and sorted paint follows Atom attributes without geometry changes.</t>
        </is>
      </c>
      <c r="E21" s="43" t="inlineStr">
        <is>
          <t>package</t>
        </is>
      </c>
      <c r="F21" s="43" t="inlineStr">
        <is>
          <t>browser</t>
        </is>
      </c>
      <c r="G21" s="44" t="inlineStr">
        <is>
          <t>tests/components/data-grid/behavior.spec.ts</t>
        </is>
      </c>
      <c r="H21" s="43" t="inlineStr">
        <is>
          <t>tested</t>
        </is>
      </c>
      <c r="I21" s="43" t="inlineStr">
        <is>
          <t>no</t>
        </is>
      </c>
      <c r="J21" s="45" t="n">
        <v>46231</v>
      </c>
      <c r="K21" s="44" t="n"/>
      <c r="L21" s="43" t="n">
        <v>1</v>
      </c>
      <c r="M21" s="43">
        <f>IF(OR(AND(I21="yes",H21="verified"),AND(I21="no",OR(H21="tested",H21="verified")),AND(H21="not applicable",K21&lt;&gt;"")),1,0)</f>
        <v/>
      </c>
    </row>
    <row r="22" ht="54" customHeight="1" s="34">
      <c r="A22" s="43" t="inlineStr">
        <is>
          <t>DG-14</t>
        </is>
      </c>
      <c r="B22" s="43" t="inlineStr">
        <is>
          <t>Responsive</t>
        </is>
      </c>
      <c r="C22" s="43" t="inlineStr">
        <is>
          <t>Container</t>
        </is>
      </c>
      <c r="D22" s="44" t="inlineStr">
        <is>
          <t>Explicit horizontal containment preserves columns without page overflow, card conversion, or implicit wrapping.</t>
        </is>
      </c>
      <c r="E22" s="43" t="inlineStr">
        <is>
          <t>package</t>
        </is>
      </c>
      <c r="F22" s="43" t="inlineStr">
        <is>
          <t>browser</t>
        </is>
      </c>
      <c r="G22" s="44" t="inlineStr">
        <is>
          <t>tests/components/data-grid/behavior.spec.ts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DG-15</t>
        </is>
      </c>
      <c r="B23" s="43" t="inlineStr">
        <is>
          <t>RTL</t>
        </is>
      </c>
      <c r="C23" s="43" t="inlineStr">
        <is>
          <t>All parts</t>
        </is>
      </c>
      <c r="D23" s="44" t="inlineStr">
        <is>
          <t>Logical navigation, alignment, sorting indicator placement, and overflow remain usable with RTL content.</t>
        </is>
      </c>
      <c r="E23" s="43" t="inlineStr">
        <is>
          <t>package</t>
        </is>
      </c>
      <c r="F23" s="43" t="inlineStr">
        <is>
          <t>visual</t>
        </is>
      </c>
      <c r="G23" s="44" t="inlineStr">
        <is>
          <t>tests/components/data-grid/visual.spec.ts</t>
        </is>
      </c>
      <c r="H23" s="43" t="inlineStr">
        <is>
          <t>implemented</t>
        </is>
      </c>
      <c r="I23" s="43" t="inlineStr">
        <is>
          <t>yes</t>
        </is>
      </c>
      <c r="J23" s="45" t="n">
        <v>46231</v>
      </c>
      <c r="K23" s="44" t="inlineStr">
        <is>
          <t>Owner visual review not yet recorded.</t>
        </is>
      </c>
      <c r="L23" s="43" t="n">
        <v>1</v>
      </c>
      <c r="M23" s="43">
        <f>IF(OR(AND(I23="yes",H23="verified"),AND(I23="no",OR(H23="tested",H23="verified")),AND(H23="not applicable",K23&lt;&gt;"")),1,0)</f>
        <v/>
      </c>
    </row>
    <row r="24" ht="54" customHeight="1" s="34">
      <c r="A24" s="43" t="inlineStr">
        <is>
          <t>DG-16</t>
        </is>
      </c>
      <c r="B24" s="43" t="inlineStr">
        <is>
          <t>Appearance</t>
        </is>
      </c>
      <c r="C24" s="43" t="inlineStr">
        <is>
          <t>All parts</t>
        </is>
      </c>
      <c r="D24" s="44" t="inlineStr">
        <is>
          <t>Light, dark, and forced-color surfaces preserve boundaries, state distinctions, badges, and focus.</t>
        </is>
      </c>
      <c r="E24" s="43" t="inlineStr">
        <is>
          <t>package</t>
        </is>
      </c>
      <c r="F24" s="43" t="inlineStr">
        <is>
          <t>visual</t>
        </is>
      </c>
      <c r="G24" s="44" t="inlineStr">
        <is>
          <t>tests/components/data-grid/visual.spec.ts</t>
        </is>
      </c>
      <c r="H24" s="43" t="inlineStr">
        <is>
          <t>implemented</t>
        </is>
      </c>
      <c r="I24" s="43" t="inlineStr">
        <is>
          <t>yes</t>
        </is>
      </c>
      <c r="J24" s="45" t="n">
        <v>46231</v>
      </c>
      <c r="K24" s="44" t="inlineStr">
        <is>
          <t>Owner visual review not yet recorded.</t>
        </is>
      </c>
      <c r="L24" s="43" t="n">
        <v>1</v>
      </c>
      <c r="M24" s="43">
        <f>IF(OR(AND(I24="yes",H24="verified"),AND(I24="no",OR(H24="tested",H24="verified")),AND(H24="not applicable",K24&lt;&gt;"")),1,0)</f>
        <v/>
      </c>
    </row>
    <row r="25" ht="54" customHeight="1" s="34">
      <c r="A25" s="43" t="inlineStr">
        <is>
          <t>DG-17</t>
        </is>
      </c>
      <c r="B25" s="43" t="inlineStr">
        <is>
          <t>Visual</t>
        </is>
      </c>
      <c r="C25" s="43" t="inlineStr">
        <is>
          <t>All parts</t>
        </is>
      </c>
      <c r="D25" s="44" t="inlineStr">
        <is>
          <t>Baselines cover overview, variants, sizing, selection, sorting, dark customization, responsive mobile, RTL mobile, and forced colors.</t>
        </is>
      </c>
      <c r="E25" s="43" t="inlineStr">
        <is>
          <t>package</t>
        </is>
      </c>
      <c r="F25" s="43" t="inlineStr">
        <is>
          <t>visual</t>
        </is>
      </c>
      <c r="G25" s="44" t="inlineStr">
        <is>
          <t>tests/components/data-grid/visual.spec.ts</t>
        </is>
      </c>
      <c r="H25" s="43" t="inlineStr">
        <is>
          <t>implemented</t>
        </is>
      </c>
      <c r="I25" s="43" t="inlineStr">
        <is>
          <t>yes</t>
        </is>
      </c>
      <c r="J25" s="45" t="n">
        <v>46231</v>
      </c>
      <c r="K25" s="44" t="inlineStr">
        <is>
          <t>Owner baseline review not yet recorded.</t>
        </is>
      </c>
      <c r="L25" s="43" t="n">
        <v>1</v>
      </c>
      <c r="M25" s="43">
        <f>IF(OR(AND(I25="yes",H25="verified"),AND(I25="no",OR(H25="tested",H25="verified")),AND(H25="not applicable",K25&lt;&gt;"")),1,0)</f>
        <v/>
      </c>
    </row>
    <row r="26" ht="54" customHeight="1" s="34">
      <c r="A26" s="43" t="inlineStr">
        <is>
          <t>DG-18</t>
        </is>
      </c>
      <c r="B26" s="43" t="inlineStr">
        <is>
          <t>Customization</t>
        </is>
      </c>
      <c r="C26" s="43" t="inlineStr">
        <is>
          <t>All parts</t>
        </is>
      </c>
      <c r="D26" s="44" t="inlineStr">
        <is>
          <t>Stable classes, slots, public variables, classes, styles, and custom indicator content preserve behavior.</t>
        </is>
      </c>
      <c r="E26" s="43" t="inlineStr">
        <is>
          <t>package</t>
        </is>
      </c>
      <c r="F26" s="43" t="inlineStr">
        <is>
          <t>component</t>
        </is>
      </c>
      <c r="G26" s="44" t="inlineStr">
        <is>
          <t>../test/components/data-grid/data-grid.test.tsx; ../docs/components/data-grid/README.md</t>
        </is>
      </c>
      <c r="H26" s="43" t="inlineStr">
        <is>
          <t>tested</t>
        </is>
      </c>
      <c r="I26" s="43" t="inlineStr">
        <is>
          <t>no</t>
        </is>
      </c>
      <c r="J26" s="45" t="n">
        <v>46231</v>
      </c>
      <c r="K26" s="44" t="n"/>
      <c r="L26" s="43" t="n">
        <v>1</v>
      </c>
      <c r="M26" s="43">
        <f>IF(OR(AND(I26="yes",H26="verified"),AND(I26="no",OR(H26="tested",H26="verified")),AND(H26="not applicable",K26&lt;&gt;"")),1,0)</f>
        <v/>
      </c>
    </row>
    <row r="27" ht="54" customHeight="1" s="34">
      <c r="A27" s="43" t="inlineStr">
        <is>
          <t>DG-19</t>
        </is>
      </c>
      <c r="B27" s="43" t="inlineStr">
        <is>
          <t>Accessibility</t>
        </is>
      </c>
      <c r="C27" s="43" t="inlineStr">
        <is>
          <t>All parts</t>
        </is>
      </c>
      <c r="D27" s="44" t="inlineStr">
        <is>
          <t>Label, roles, counts, coordinates, selection, disabled, active descendant, sort metadata, and axe checks pass.</t>
        </is>
      </c>
      <c r="E27" s="43" t="inlineStr">
        <is>
          <t>package</t>
        </is>
      </c>
      <c r="F27" s="43" t="inlineStr">
        <is>
          <t>axe</t>
        </is>
      </c>
      <c r="G27" s="44" t="inlineStr">
        <is>
          <t>tests/components/data-grid/behavior.spec.ts</t>
        </is>
      </c>
      <c r="H27" s="43" t="inlineStr">
        <is>
          <t>tested</t>
        </is>
      </c>
      <c r="I27" s="43" t="inlineStr">
        <is>
          <t>no</t>
        </is>
      </c>
      <c r="J27" s="45" t="n">
        <v>46231</v>
      </c>
      <c r="K27" s="44" t="n"/>
      <c r="L27" s="43" t="n">
        <v>1</v>
      </c>
      <c r="M27" s="43">
        <f>IF(OR(AND(I27="yes",H27="verified"),AND(I27="no",OR(H27="tested",H27="verified")),AND(H27="not applicable",K27&lt;&gt;"")),1,0)</f>
        <v/>
      </c>
    </row>
    <row r="28" ht="54" customHeight="1" s="34">
      <c r="A28" s="43" t="inlineStr">
        <is>
          <t>DG-20</t>
        </is>
      </c>
      <c r="B28" s="43" t="inlineStr">
        <is>
          <t>Playground</t>
        </is>
      </c>
      <c r="C28" s="43" t="inlineStr">
        <is>
          <t>All parts</t>
        </is>
      </c>
      <c r="D28" s="44" t="inlineStr">
        <is>
          <t>One navigable Data Grid route exposes nine persistent controlled scenarios.</t>
        </is>
      </c>
      <c r="E28" s="43" t="inlineStr">
        <is>
          <t>package</t>
        </is>
      </c>
      <c r="F28" s="43" t="inlineStr">
        <is>
          <t>playground</t>
        </is>
      </c>
      <c r="G28" s="44" t="inlineStr">
        <is>
          <t>src/components/data-grid/DataGridPage.tsx</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DG-21</t>
        </is>
      </c>
      <c r="B29" s="43" t="inlineStr">
        <is>
          <t>Documentation</t>
        </is>
      </c>
      <c r="C29" s="43" t="inlineStr">
        <is>
          <t>Public guide</t>
        </is>
      </c>
      <c r="D29" s="44" t="inlineStr">
        <is>
          <t>Guide documents boundary, anatomy, API, recipes, keyboard, selection, sorting, containment, accessibility, CSS, and exclusions.</t>
        </is>
      </c>
      <c r="E29" s="43" t="inlineStr">
        <is>
          <t>package</t>
        </is>
      </c>
      <c r="F29" s="43" t="inlineStr">
        <is>
          <t>documentation</t>
        </is>
      </c>
      <c r="G29" s="44" t="inlineStr">
        <is>
          <t>../docs/components/data-grid/README.md</t>
        </is>
      </c>
      <c r="H29" s="43" t="inlineStr">
        <is>
          <t>tested</t>
        </is>
      </c>
      <c r="I29" s="43" t="inlineStr">
        <is>
          <t>no</t>
        </is>
      </c>
      <c r="J29" s="45" t="n">
        <v>46231</v>
      </c>
      <c r="K29" s="44" t="n"/>
      <c r="L29" s="43" t="n">
        <v>1</v>
      </c>
      <c r="M29" s="43">
        <f>IF(OR(AND(I29="yes",H29="verified"),AND(I29="no",OR(H29="tested",H29="verified")),AND(H29="not applicable",K29&lt;&gt;"")),1,0)</f>
        <v/>
      </c>
    </row>
    <row r="30" ht="54" customHeight="1" s="34">
      <c r="A30" s="43" t="inlineStr">
        <is>
          <t>DG-22</t>
        </is>
      </c>
      <c r="B30" s="43" t="inlineStr">
        <is>
          <t>Changelog</t>
        </is>
      </c>
      <c r="C30" s="43" t="inlineStr">
        <is>
          <t>Public record</t>
        </is>
      </c>
      <c r="D30" s="44" t="inlineStr">
        <is>
          <t>Component and package changelogs describe the release-facing Data Grid addition.</t>
        </is>
      </c>
      <c r="E30" s="43" t="inlineStr">
        <is>
          <t>package</t>
        </is>
      </c>
      <c r="F30" s="43" t="inlineStr">
        <is>
          <t>documentation</t>
        </is>
      </c>
      <c r="G30" s="44" t="inlineStr">
        <is>
          <t>../docs/components/data-grid/CHANGELOG.md; ../CHANGELOG.md</t>
        </is>
      </c>
      <c r="H30" s="43" t="inlineStr">
        <is>
          <t>tested</t>
        </is>
      </c>
      <c r="I30" s="43" t="inlineStr">
        <is>
          <t>no</t>
        </is>
      </c>
      <c r="J30" s="45" t="n">
        <v>46231</v>
      </c>
      <c r="K30" s="44" t="n"/>
      <c r="L30" s="43" t="n">
        <v>1</v>
      </c>
      <c r="M30" s="43">
        <f>IF(OR(AND(I30="yes",H30="verified"),AND(I30="no",OR(H30="tested",H30="verified")),AND(H30="not applicable",K30&lt;&gt;"")),1,0)</f>
        <v/>
      </c>
    </row>
    <row r="31" ht="54" customHeight="1" s="34">
      <c r="A31" s="43" t="inlineStr">
        <is>
          <t>DG-23</t>
        </is>
      </c>
      <c r="B31" s="43" t="inlineStr">
        <is>
          <t>Consumer</t>
        </is>
      </c>
      <c r="C31" s="43" t="inlineStr">
        <is>
          <t>All parts</t>
        </is>
      </c>
      <c r="D31" s="44" t="inlineStr">
        <is>
          <t>Packed Consumer composes Data Grid with controlled sorting and selection plus external Toolbar, Pagination, and Badge.</t>
        </is>
      </c>
      <c r="E31" s="43" t="inlineStr">
        <is>
          <t>consumer</t>
        </is>
      </c>
      <c r="F31" s="43" t="inlineStr">
        <is>
          <t>consumer</t>
        </is>
      </c>
      <c r="G31" s="44" t="inlineStr">
        <is>
          <t>../apps/consumer/src/App.tsx; ../apps/consumer/tests/consumer.spec.ts</t>
        </is>
      </c>
      <c r="H31" s="43" t="inlineStr">
        <is>
          <t>tested</t>
        </is>
      </c>
      <c r="I31" s="43" t="inlineStr">
        <is>
          <t>no</t>
        </is>
      </c>
      <c r="J31" s="45" t="n">
        <v>46231</v>
      </c>
      <c r="K31" s="44" t="inlineStr">
        <is>
          <t>Packed Consumer passed 74 desktop/mobile checks on July 28, 2026.</t>
        </is>
      </c>
      <c r="L31" s="43" t="n">
        <v>1</v>
      </c>
      <c r="M31" s="43">
        <f>IF(OR(AND(I31="yes",H31="verified"),AND(I31="no",OR(H31="tested",H31="verified")),AND(H31="not applicable",K31&lt;&gt;"")),1,0)</f>
        <v/>
      </c>
    </row>
    <row r="32" ht="54" customHeight="1" s="34">
      <c r="A32" s="43" t="inlineStr">
        <is>
          <t>DG-24</t>
        </is>
      </c>
      <c r="B32" s="43" t="inlineStr">
        <is>
          <t>Manual</t>
        </is>
      </c>
      <c r="C32" s="43" t="inlineStr">
        <is>
          <t>All parts</t>
        </is>
      </c>
      <c r="D32" s="44" t="inlineStr">
        <is>
          <t>Owner reviews keyboard, screen reader, zoom, mobile overflow, RTL, appearance, preferences, and component boundaries.</t>
        </is>
      </c>
      <c r="E32" s="43" t="inlineStr">
        <is>
          <t>package</t>
        </is>
      </c>
      <c r="F32" s="43" t="inlineStr">
        <is>
          <t>manual</t>
        </is>
      </c>
      <c r="G32" s="44" t="inlineStr">
        <is>
          <t>manual-tests/data-grid.md</t>
        </is>
      </c>
      <c r="H32" s="43" t="inlineStr">
        <is>
          <t>not started</t>
        </is>
      </c>
      <c r="I32" s="43" t="inlineStr">
        <is>
          <t>yes</t>
        </is>
      </c>
      <c r="J32" s="45" t="n">
        <v>46231</v>
      </c>
      <c r="K32" s="44" t="inlineStr">
        <is>
          <t>Human run intentionally unclaimed.</t>
        </is>
      </c>
      <c r="L32" s="43" t="n">
        <v>1</v>
      </c>
      <c r="M32" s="43">
        <f>IF(OR(AND(I32="yes",H32="verified"),AND(I32="no",OR(H32="tested",H32="verified")),AND(H32="not applicable",K32&lt;&gt;"")),1,0)</f>
        <v/>
      </c>
    </row>
    <row r="33" ht="54" customHeight="1" s="34">
      <c r="A33" s="43" t="inlineStr">
        <is>
          <t>DG-25</t>
        </is>
      </c>
      <c r="B33" s="43" t="inlineStr">
        <is>
          <t>Package</t>
        </is>
      </c>
      <c r="C33" s="43" t="inlineStr">
        <is>
          <t>Artifact</t>
        </is>
      </c>
      <c r="D33" s="44" t="inlineStr">
        <is>
          <t>Build, declarations, exports, SSR, CSS, docs, tarball, consumers, browser matrix, and CI pass.</t>
        </is>
      </c>
      <c r="E33" s="43" t="inlineStr">
        <is>
          <t>package</t>
        </is>
      </c>
      <c r="F33" s="43" t="inlineStr">
        <is>
          <t>package</t>
        </is>
      </c>
      <c r="G33" s="44" t="inlineStr">
        <is>
          <t>../test/package/package.test.mjs; ../scripts/verify-package.mjs</t>
        </is>
      </c>
      <c r="H33" s="43" t="inlineStr">
        <is>
          <t>tested</t>
        </is>
      </c>
      <c r="I33" s="43" t="inlineStr">
        <is>
          <t>no</t>
        </is>
      </c>
      <c r="J33" s="45" t="n">
        <v>46231</v>
      </c>
      <c r="K33" s="44" t="inlineStr">
        <is>
          <t>Package, tarball, SSR, CSS, and clean React 18/19 consumer verification passed locally on July 28, 2026.</t>
        </is>
      </c>
      <c r="L33" s="43" t="n">
        <v>1</v>
      </c>
      <c r="M33" s="43">
        <f>IF(OR(AND(I33="yes",H33="verified"),AND(I33="no",OR(H33="tested",H33="verified")),AND(H33="not applicable",K33&lt;&gt;"")),1,0)</f>
        <v/>
      </c>
    </row>
    <row r="34" ht="54" customHeight="1" s="34">
      <c r="A34" s="43" t="inlineStr">
        <is>
          <t>DG-26</t>
        </is>
      </c>
      <c r="B34" s="43" t="inlineStr">
        <is>
          <t>Boundary</t>
        </is>
      </c>
      <c r="C34" s="43" t="inlineStr">
        <is>
          <t>All parts</t>
        </is>
      </c>
      <c r="D34" s="44" t="inlineStr">
        <is>
          <t>Editing, interactive cells, filtering, pagination, resizing, virtualization, schemas, enterprise processing, hierarchy, and page layout remain outside Data Grid.</t>
        </is>
      </c>
      <c r="E34" s="43" t="inlineStr">
        <is>
          <t>package</t>
        </is>
      </c>
      <c r="F34" s="43" t="inlineStr">
        <is>
          <t>documentation</t>
        </is>
      </c>
      <c r="G34" s="44" t="inlineStr">
        <is>
          <t>../docs/components/data-grid/README.md</t>
        </is>
      </c>
      <c r="H34" s="43" t="inlineStr">
        <is>
          <t>tested</t>
        </is>
      </c>
      <c r="I34" s="43" t="inlineStr">
        <is>
          <t>no</t>
        </is>
      </c>
      <c r="J34" s="45" t="n">
        <v>46231</v>
      </c>
      <c r="K34" s="44" t="n"/>
      <c r="L34" s="43" t="n">
        <v>1</v>
      </c>
      <c r="M34" s="43">
        <f>IF(OR(AND(I34="yes",H34="verified"),AND(I34="no",OR(H34="tested",H34="verified")),AND(H34="not applicable",K34&lt;&gt;"")),1,0)</f>
        <v/>
      </c>
    </row>
    <row r="35" ht="54" customHeight="1" s="34">
      <c r="A35" s="43" t="n"/>
      <c r="B35" s="43" t="n"/>
      <c r="C35" s="43" t="n"/>
      <c r="D35" s="44" t="n"/>
      <c r="E35" s="43" t="n"/>
      <c r="F35" s="43" t="n"/>
      <c r="G35" s="44" t="n"/>
      <c r="H35" s="43" t="n"/>
      <c r="I35" s="43" t="n"/>
      <c r="J35" s="45" t="n"/>
      <c r="K35" s="44" t="n"/>
      <c r="L35" s="43" t="n"/>
      <c r="M35" s="43" t="n"/>
    </row>
    <row r="36" ht="54" customHeight="1" s="34">
      <c r="A36" s="43" t="n"/>
      <c r="B36" s="43" t="n"/>
      <c r="C36" s="43" t="n"/>
      <c r="D36" s="44" t="n"/>
      <c r="E36" s="43" t="n"/>
      <c r="F36" s="43" t="n"/>
      <c r="G36" s="44" t="n"/>
      <c r="H36" s="43" t="n"/>
      <c r="I36" s="43" t="n"/>
      <c r="J36" s="45" t="n"/>
      <c r="K36" s="44" t="n"/>
      <c r="L36" s="43" t="n"/>
      <c r="M36" s="43" t="n"/>
    </row>
    <row r="37" ht="54" customHeight="1" s="34">
      <c r="A37" s="43" t="n"/>
      <c r="B37" s="43" t="n"/>
      <c r="C37" s="43" t="n"/>
      <c r="D37" s="44" t="n"/>
      <c r="E37" s="43" t="n"/>
      <c r="F37" s="43" t="n"/>
      <c r="G37" s="44" t="n"/>
      <c r="H37" s="43" t="n"/>
      <c r="I37" s="43" t="n"/>
      <c r="J37" s="45" t="n"/>
      <c r="K37" s="44" t="n"/>
      <c r="L37" s="43" t="n"/>
      <c r="M37" s="43" t="n"/>
    </row>
    <row r="38" ht="54" customHeight="1" s="34">
      <c r="A38" s="43" t="n"/>
      <c r="B38" s="43" t="n"/>
      <c r="C38" s="43" t="n"/>
      <c r="D38" s="44" t="n"/>
      <c r="E38" s="43" t="n"/>
      <c r="F38" s="43" t="n"/>
      <c r="G38" s="44" t="n"/>
      <c r="H38" s="43" t="n"/>
      <c r="I38" s="43" t="n"/>
      <c r="J38" s="45" t="n"/>
      <c r="K38" s="44" t="n"/>
      <c r="L38" s="43" t="n"/>
      <c r="M38" s="43" t="n"/>
    </row>
    <row r="39" ht="54" customHeight="1" s="34">
      <c r="A39" s="43" t="n"/>
      <c r="B39" s="43" t="n"/>
      <c r="C39" s="43" t="n"/>
      <c r="D39" s="44" t="n"/>
      <c r="E39" s="43" t="n"/>
      <c r="F39" s="43" t="n"/>
      <c r="G39" s="44" t="n"/>
      <c r="H39" s="43" t="n"/>
      <c r="I39" s="43" t="n"/>
      <c r="J39" s="45" t="n"/>
      <c r="K39" s="44" t="n"/>
      <c r="L39" s="43" t="n"/>
      <c r="M39"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Tree Grid Evidence</t>
        </is>
      </c>
    </row>
    <row r="2" ht="27.75" customHeight="1" s="34">
      <c r="A2" s="36" t="inlineStr">
        <is>
          <t>Assertion-level anatomy, hierarchy, navigation, expansion, selection, sorting activation, visual recipes, responsive containment, package, documentation, Consumer, and accessibility evidence.</t>
        </is>
      </c>
    </row>
    <row r="4" ht="17.25" customHeight="1" s="34">
      <c r="A4" s="37" t="inlineStr">
        <is>
          <t>Requirements</t>
        </is>
      </c>
      <c r="B4" s="38">
        <f>COUNTA(A9:A36)</f>
        <v/>
      </c>
      <c r="D4" s="37" t="inlineStr">
        <is>
          <t>Resolved</t>
        </is>
      </c>
      <c r="E4" s="38">
        <f>SUM(M9:M36)</f>
        <v/>
      </c>
      <c r="G4" s="37" t="inlineStr">
        <is>
          <t>Completion</t>
        </is>
      </c>
      <c r="H4" s="39">
        <f>IF(B4=0,0,E4/B4)</f>
        <v/>
      </c>
      <c r="J4" s="37" t="inlineStr">
        <is>
          <t>Package gate</t>
        </is>
      </c>
      <c r="K4" s="38">
        <f>IF(COUNTIFS(E9:E36,"package",M9:M36,0)&gt;0,"open","complete")</f>
        <v/>
      </c>
    </row>
    <row r="5" ht="17.25" customHeight="1" s="34">
      <c r="A5" s="37" t="inlineStr">
        <is>
          <t>Manual review</t>
        </is>
      </c>
      <c r="B5" s="38">
        <f>IF(COUNTIFS(I9:I36,"yes",M9:M36,0)&gt;0,"open","complete")</f>
        <v/>
      </c>
      <c r="D5" s="37" t="inlineStr">
        <is>
          <t>Consumer gate</t>
        </is>
      </c>
      <c r="E5" s="38">
        <f>IF(COUNTIFS(E9:E36,"consumer",M9:M36,0)&gt;0,"open","complete")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TG-01</t>
        </is>
      </c>
      <c r="B9" s="43" t="inlineStr">
        <is>
          <t>Ownership</t>
        </is>
      </c>
      <c r="C9" s="43" t="inlineStr">
        <is>
          <t>All parts</t>
        </is>
      </c>
      <c r="D9" s="44" t="inlineStr">
        <is>
          <t>Brick styles released Atom 0.20.11 TreeGrid behavior without recreating hierarchy, navigation, expansion, selection, focus, or semantics.</t>
        </is>
      </c>
      <c r="E9" s="43" t="inlineStr">
        <is>
          <t>package</t>
        </is>
      </c>
      <c r="F9" s="43" t="inlineStr">
        <is>
          <t>source</t>
        </is>
      </c>
      <c r="G9" s="44" t="inlineStr">
        <is>
          <t>../src/components/tree-grid/TreeGrid.tsx; ../package.json</t>
        </is>
      </c>
      <c r="H9" s="43" t="inlineStr">
        <is>
          <t>tested</t>
        </is>
      </c>
      <c r="I9" s="43" t="inlineStr">
        <is>
          <t>no</t>
        </is>
      </c>
      <c r="J9" s="45" t="n">
        <v>46231</v>
      </c>
      <c r="K9" s="44" t="n"/>
      <c r="L9" s="43" t="n">
        <v>1</v>
      </c>
      <c r="M9" s="43">
        <f>IF(OR(AND(I9="yes",H9="verified"),AND(I9="no",OR(H9="tested",H9="verified")),AND(H9="not applicable",K9&lt;&gt;"")),1,0)</f>
        <v/>
      </c>
    </row>
    <row r="10" ht="54" customHeight="1" s="34">
      <c r="A10" s="43" t="inlineStr">
        <is>
          <t>TG-02</t>
        </is>
      </c>
      <c r="B10" s="43" t="inlineStr">
        <is>
          <t>API</t>
        </is>
      </c>
      <c r="C10" s="43" t="inlineStr">
        <is>
          <t>All parts</t>
        </is>
      </c>
      <c r="D10" s="44" t="inlineStr">
        <is>
          <t>Twelve-part namespace and named exports expose Container, Root, Caption, Header, Body, Footer, Row, ColumnHeader, RowHeader, Cell, Indicator, and SortIndicator.</t>
        </is>
      </c>
      <c r="E10" s="43" t="inlineStr">
        <is>
          <t>package</t>
        </is>
      </c>
      <c r="F10" s="43" t="inlineStr">
        <is>
          <t>component</t>
        </is>
      </c>
      <c r="G10" s="44" t="inlineStr">
        <is>
          <t>../test/components/tree-grid/tree-grid.test.tsx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TG-03</t>
        </is>
      </c>
      <c r="B11" s="43" t="inlineStr">
        <is>
          <t>Anatomy</t>
        </is>
      </c>
      <c r="C11" s="43" t="inlineStr">
        <is>
          <t>All parts</t>
        </is>
      </c>
      <c r="D11" s="44" t="inlineStr">
        <is>
          <t>Explicit Container, exact native table hosts, treegrid roles, silent indicators, slots, refs, indexes, and counts render deterministically.</t>
        </is>
      </c>
      <c r="E11" s="43" t="inlineStr">
        <is>
          <t>package</t>
        </is>
      </c>
      <c r="F11" s="43" t="inlineStr">
        <is>
          <t>component</t>
        </is>
      </c>
      <c r="G11" s="44" t="inlineStr">
        <is>
          <t>../test/components/tree-grid/tree-grid.test.tsx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TG-04</t>
        </is>
      </c>
      <c r="B12" s="43" t="inlineStr">
        <is>
          <t>Types</t>
        </is>
      </c>
      <c r="C12" s="43" t="inlineStr">
        <is>
          <t>Public surface</t>
        </is>
      </c>
      <c r="D12" s="44" t="inlineStr">
        <is>
          <t>Closed recipes, logical alignment, hierarchy, Atom state, controlled expansion, selection, active cell, sorting action, native props, and refs type-check.</t>
        </is>
      </c>
      <c r="E12" s="43" t="inlineStr">
        <is>
          <t>package</t>
        </is>
      </c>
      <c r="F12" s="43" t="inlineStr">
        <is>
          <t>types</t>
        </is>
      </c>
      <c r="G12" s="44" t="inlineStr">
        <is>
          <t>../test/types/components/tree-grid.test.ts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TG-05</t>
        </is>
      </c>
      <c r="B13" s="43" t="inlineStr">
        <is>
          <t>Exports</t>
        </is>
      </c>
      <c r="C13" s="43" t="inlineStr">
        <is>
          <t>All parts</t>
        </is>
      </c>
      <c r="D13" s="44" t="inlineStr">
        <is>
          <t>Root and tree-grid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46231</v>
      </c>
      <c r="K13" s="44" t="inlineStr">
        <is>
          <t>Root/subpath runtime identity passed in the complete package check on July 28, 2026.</t>
        </is>
      </c>
      <c r="L13" s="43" t="n">
        <v>1</v>
      </c>
      <c r="M13" s="43">
        <f>IF(OR(AND(I13="yes",H13="verified"),AND(I13="no",OR(H13="tested",H13="verified")),AND(H13="not applicable",K13&lt;&gt;"")),1,0)</f>
        <v/>
      </c>
    </row>
    <row r="14" ht="54" customHeight="1" s="34">
      <c r="A14" s="43" t="inlineStr">
        <is>
          <t>TG-06</t>
        </is>
      </c>
      <c r="B14" s="43" t="inlineStr">
        <is>
          <t>SSR</t>
        </is>
      </c>
      <c r="C14" s="43" t="inlineStr">
        <is>
          <t>Root / cells</t>
        </is>
      </c>
      <c r="D14" s="44" t="inlineStr">
        <is>
          <t>Tree Grid imports server-safely and emits deterministic labelled treegrid, hierarchy, coordinate, and sort anatomy.</t>
        </is>
      </c>
      <c r="E14" s="43" t="inlineStr">
        <is>
          <t>package</t>
        </is>
      </c>
      <c r="F14" s="43" t="inlineStr">
        <is>
          <t>package</t>
        </is>
      </c>
      <c r="G14" s="44" t="inlineStr">
        <is>
          <t>../test/package/ssr.test.mjs</t>
        </is>
      </c>
      <c r="H14" s="43" t="inlineStr">
        <is>
          <t>tested</t>
        </is>
      </c>
      <c r="I14" s="43" t="inlineStr">
        <is>
          <t>no</t>
        </is>
      </c>
      <c r="J14" s="45" t="n">
        <v>46231</v>
      </c>
      <c r="K14" s="44" t="inlineStr">
        <is>
          <t>Tree Grid SSR anatomy passed in the complete package check on July 28, 2026.</t>
        </is>
      </c>
      <c r="L14" s="43" t="n">
        <v>1</v>
      </c>
      <c r="M14" s="43">
        <f>IF(OR(AND(I14="yes",H14="verified"),AND(I14="no",OR(H14="tested",H14="verified")),AND(H14="not applicable",K14&lt;&gt;"")),1,0)</f>
        <v/>
      </c>
    </row>
    <row r="15" ht="54" customHeight="1" s="34">
      <c r="A15" s="43" t="inlineStr">
        <is>
          <t>TG-07</t>
        </is>
      </c>
      <c r="B15" s="43" t="inlineStr">
        <is>
          <t>Defaults</t>
        </is>
      </c>
      <c r="C15" s="43" t="inlineStr">
        <is>
          <t>Root / Caption</t>
        </is>
      </c>
      <c r="D15" s="44" t="inlineStr">
        <is>
          <t>Defaults are line, medium, comfortable, bottom caption, and logical-start alignment.</t>
        </is>
      </c>
      <c r="E15" s="43" t="inlineStr">
        <is>
          <t>package</t>
        </is>
      </c>
      <c r="F15" s="43" t="inlineStr">
        <is>
          <t>component</t>
        </is>
      </c>
      <c r="G15" s="44" t="inlineStr">
        <is>
          <t>../test/components/tree-grid/tree-grid.test.tsx</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TG-08</t>
        </is>
      </c>
      <c r="B16" s="43" t="inlineStr">
        <is>
          <t>Recipes</t>
        </is>
      </c>
      <c r="C16" s="43" t="inlineStr">
        <is>
          <t>Root</t>
        </is>
      </c>
      <c r="D16" s="44" t="inlineStr">
        <is>
          <t>Line/outline, sm/md/lg, and compact/comfortable/spacious remain independent.</t>
        </is>
      </c>
      <c r="E16" s="43" t="inlineStr">
        <is>
          <t>package</t>
        </is>
      </c>
      <c r="F16" s="43" t="inlineStr">
        <is>
          <t>browser</t>
        </is>
      </c>
      <c r="G16" s="44" t="inlineStr">
        <is>
          <t>tests/components/tree-grid/behavior.spec.ts</t>
        </is>
      </c>
      <c r="H16" s="43" t="inlineStr">
        <is>
          <t>tested</t>
        </is>
      </c>
      <c r="I16" s="43" t="inlineStr">
        <is>
          <t>no</t>
        </is>
      </c>
      <c r="J16" s="45" t="n">
        <v>46231</v>
      </c>
      <c r="K16" s="44" t="inlineStr">
        <is>
          <t>Focused Chromium behavior and visual owners passed on July 28, 2026.</t>
        </is>
      </c>
      <c r="L16" s="43" t="n">
        <v>1</v>
      </c>
      <c r="M16" s="43">
        <f>IF(OR(AND(I16="yes",H16="verified"),AND(I16="no",OR(H16="tested",H16="verified")),AND(H16="not applicable",K16&lt;&gt;"")),1,0)</f>
        <v/>
      </c>
    </row>
    <row r="17" ht="54" customHeight="1" s="34">
      <c r="A17" s="43" t="inlineStr">
        <is>
          <t>TG-09</t>
        </is>
      </c>
      <c r="B17" s="43" t="inlineStr">
        <is>
          <t>Hierarchy</t>
        </is>
      </c>
      <c r="C17" s="43" t="inlineStr">
        <is>
          <t>Row / RowHeader / Indicator</t>
        </is>
      </c>
      <c r="D17" s="44" t="inlineStr">
        <is>
          <t>Levels one through ten indent only the column-1 RowHeader; branches and leaves retain stable indicator space and expansion artwork.</t>
        </is>
      </c>
      <c r="E17" s="43" t="inlineStr">
        <is>
          <t>package</t>
        </is>
      </c>
      <c r="F17" s="43" t="inlineStr">
        <is>
          <t>browser</t>
        </is>
      </c>
      <c r="G17" s="44" t="inlineStr">
        <is>
          <t>tests/components/tree-grid/behavior.spec.ts; @flowstack-ui/atom 0.18.0 behavior suite</t>
        </is>
      </c>
      <c r="H17" s="43" t="inlineStr">
        <is>
          <t>tested</t>
        </is>
      </c>
      <c r="I17" s="43" t="inlineStr">
        <is>
          <t>no</t>
        </is>
      </c>
      <c r="J17" s="45" t="n">
        <v>46231</v>
      </c>
      <c r="K17" s="44" t="inlineStr">
        <is>
          <t>Behavior owner passed Chromium, Firefox, WebKit, Pixel 7, and iPhone 15 profiles on July 28, 2026.</t>
        </is>
      </c>
      <c r="L17" s="43" t="n">
        <v>1</v>
      </c>
      <c r="M17" s="43">
        <f>IF(OR(AND(I17="yes",H17="verified"),AND(I17="no",OR(H17="tested",H17="verified")),AND(H17="not applicable",K17&lt;&gt;"")),1,0)</f>
        <v/>
      </c>
    </row>
    <row r="18" ht="54" customHeight="1" s="34">
      <c r="A18" s="43" t="inlineStr">
        <is>
          <t>TG-10</t>
        </is>
      </c>
      <c r="B18" s="43" t="inlineStr">
        <is>
          <t>Navigation</t>
        </is>
      </c>
      <c r="C18" s="43" t="inlineStr">
        <is>
          <t>Root / cells</t>
        </is>
      </c>
      <c r="D18" s="44" t="inlineStr">
        <is>
          <t>Root owns focus and active descendant while visible-cell boundaries, hierarchy movement, RTL, and disabled-cell navigation remain Atom-owned.</t>
        </is>
      </c>
      <c r="E18" s="43" t="inlineStr">
        <is>
          <t>package</t>
        </is>
      </c>
      <c r="F18" s="43" t="inlineStr">
        <is>
          <t>browser</t>
        </is>
      </c>
      <c r="G18" s="44" t="inlineStr">
        <is>
          <t>tests/components/tree-grid/behavior.spec.ts; @flowstack-ui/atom 0.18.0 behavior suite</t>
        </is>
      </c>
      <c r="H18" s="43" t="inlineStr">
        <is>
          <t>tested</t>
        </is>
      </c>
      <c r="I18" s="43" t="inlineStr">
        <is>
          <t>no</t>
        </is>
      </c>
      <c r="J18" s="45" t="n">
        <v>46231</v>
      </c>
      <c r="K18" s="44" t="inlineStr">
        <is>
          <t>Behavior owner and Atom 0.20.11 collapse regression passed on July 28, 2026.</t>
        </is>
      </c>
      <c r="L18" s="43" t="n">
        <v>1</v>
      </c>
      <c r="M18" s="43">
        <f>IF(OR(AND(I18="yes",H18="verified"),AND(I18="no",OR(H18="tested",H18="verified")),AND(H18="not applicable",K18&lt;&gt;"")),1,0)</f>
        <v/>
      </c>
    </row>
    <row r="19" ht="54" customHeight="1" s="34">
      <c r="A19" s="43" t="inlineStr">
        <is>
          <t>TG-11</t>
        </is>
      </c>
      <c r="B19" s="43" t="inlineStr">
        <is>
          <t>Collapse</t>
        </is>
      </c>
      <c r="C19" s="43" t="inlineStr">
        <is>
          <t>Root / Row</t>
        </is>
      </c>
      <c r="D19" s="44" t="inlineStr">
        <is>
          <t>Collapsing a branch that hides the active descendant relocates active state to the ancestor's column-1 cell.</t>
        </is>
      </c>
      <c r="E19" s="43" t="inlineStr">
        <is>
          <t>package</t>
        </is>
      </c>
      <c r="F19" s="43" t="inlineStr">
        <is>
          <t>browser</t>
        </is>
      </c>
      <c r="G19" s="44" t="inlineStr">
        <is>
          <t>tests/components/tree-grid/behavior.spec.ts; @flowstack-ui/atom 0.18.0 behavior suite</t>
        </is>
      </c>
      <c r="H19" s="43" t="inlineStr">
        <is>
          <t>tested</t>
        </is>
      </c>
      <c r="I19" s="43" t="inlineStr">
        <is>
          <t>no</t>
        </is>
      </c>
      <c r="J19" s="45" t="n">
        <v>46231</v>
      </c>
      <c r="K19" s="44" t="inlineStr">
        <is>
          <t>Behavior owner passed Chromium, Firefox, WebKit, Pixel 7, and iPhone 15 profiles on July 28, 2026.</t>
        </is>
      </c>
      <c r="L19" s="43" t="n">
        <v>1</v>
      </c>
      <c r="M19" s="43">
        <f>IF(OR(AND(I19="yes",H19="verified"),AND(I19="no",OR(H19="tested",H19="verified")),AND(H19="not applicable",K19&lt;&gt;"")),1,0)</f>
        <v/>
      </c>
    </row>
    <row r="20" ht="54" customHeight="1" s="34">
      <c r="A20" s="43" t="inlineStr">
        <is>
          <t>TG-12</t>
        </is>
      </c>
      <c r="B20" s="43" t="inlineStr">
        <is>
          <t>Selection</t>
        </is>
      </c>
      <c r="C20" s="43" t="inlineStr">
        <is>
          <t>Root / Row</t>
        </is>
      </c>
      <c r="D20" s="44" t="inlineStr">
        <is>
          <t>Controlled and uncontrolled selection, row-click policy, Space activation, disabled/read-only boundaries, and expansion remain distinct.</t>
        </is>
      </c>
      <c r="E20" s="43" t="inlineStr">
        <is>
          <t>package</t>
        </is>
      </c>
      <c r="F20" s="43" t="inlineStr">
        <is>
          <t>browser</t>
        </is>
      </c>
      <c r="G20" s="44" t="inlineStr">
        <is>
          <t>tests/components/tree-grid/behavior.spec.ts; @flowstack-ui/atom 0.18.0 behavior suite</t>
        </is>
      </c>
      <c r="H20" s="43" t="inlineStr">
        <is>
          <t>tested</t>
        </is>
      </c>
      <c r="I20" s="43" t="inlineStr">
        <is>
          <t>no</t>
        </is>
      </c>
      <c r="J20" s="45" t="n">
        <v>46231</v>
      </c>
      <c r="K20" s="44" t="inlineStr">
        <is>
          <t>Focused collapse relocation passed in five browser/device profiles on July 28, 2026.</t>
        </is>
      </c>
      <c r="L20" s="43" t="n">
        <v>1</v>
      </c>
      <c r="M20" s="43">
        <f>IF(OR(AND(I20="yes",H20="verified"),AND(I20="no",OR(H20="tested",H20="verified")),AND(H20="not applicable",K20&lt;&gt;"")),1,0)</f>
        <v/>
      </c>
    </row>
    <row r="21" ht="54" customHeight="1" s="34">
      <c r="A21" s="43" t="inlineStr">
        <is>
          <t>TG-13</t>
        </is>
      </c>
      <c r="B21" s="43" t="inlineStr">
        <is>
          <t>Sorting</t>
        </is>
      </c>
      <c r="C21" s="43" t="inlineStr">
        <is>
          <t>ColumnHeader / SortIndicator</t>
        </is>
      </c>
      <c r="D21" s="44" t="inlineStr">
        <is>
          <t>Indexed actionable headers request application sorting by pointer and Enter; aria-sort stays controlled and artwork stays silent.</t>
        </is>
      </c>
      <c r="E21" s="43" t="inlineStr">
        <is>
          <t>package</t>
        </is>
      </c>
      <c r="F21" s="43" t="inlineStr">
        <is>
          <t>browser</t>
        </is>
      </c>
      <c r="G21" s="44" t="inlineStr">
        <is>
          <t>tests/components/tree-grid/behavior.spec.ts</t>
        </is>
      </c>
      <c r="H21" s="43" t="inlineStr">
        <is>
          <t>tested</t>
        </is>
      </c>
      <c r="I21" s="43" t="inlineStr">
        <is>
          <t>no</t>
        </is>
      </c>
      <c r="J21" s="45" t="n">
        <v>46231</v>
      </c>
      <c r="K21" s="44" t="inlineStr">
        <is>
          <t>Selection and read-only coverage passed in five browser/device profiles on July 28, 2026.</t>
        </is>
      </c>
      <c r="L21" s="43" t="n">
        <v>1</v>
      </c>
      <c r="M21" s="43">
        <f>IF(OR(AND(I21="yes",H21="verified"),AND(I21="no",OR(H21="tested",H21="verified")),AND(H21="not applicable",K21&lt;&gt;"")),1,0)</f>
        <v/>
      </c>
    </row>
    <row r="22" ht="54" customHeight="1" s="34">
      <c r="A22" s="43" t="inlineStr">
        <is>
          <t>TG-14</t>
        </is>
      </c>
      <c r="B22" s="43" t="inlineStr">
        <is>
          <t>Alignment</t>
        </is>
      </c>
      <c r="C22" s="43" t="inlineStr">
        <is>
          <t>ColumnHeader / RowHeader / Cell</t>
        </is>
      </c>
      <c r="D22" s="44" t="inlineStr">
        <is>
          <t>Start, center, end, and numeric formatting use logical alignment, tabular figures, and explicit precedence.</t>
        </is>
      </c>
      <c r="E22" s="43" t="inlineStr">
        <is>
          <t>package</t>
        </is>
      </c>
      <c r="F22" s="43" t="inlineStr">
        <is>
          <t>component</t>
        </is>
      </c>
      <c r="G22" s="44" t="inlineStr">
        <is>
          <t>../test/components/tree-grid/tree-grid.test.tsx</t>
        </is>
      </c>
      <c r="H22" s="43" t="inlineStr">
        <is>
          <t>tested</t>
        </is>
      </c>
      <c r="I22" s="43" t="inlineStr">
        <is>
          <t>no</t>
        </is>
      </c>
      <c r="J22" s="45" t="n">
        <v>46231</v>
      </c>
      <c r="K22" s="44" t="inlineStr">
        <is>
          <t>Pointer and Enter sorting parity passed in five browser/device profiles on July 28, 2026.</t>
        </is>
      </c>
      <c r="L22" s="43" t="n">
        <v>1</v>
      </c>
      <c r="M22" s="43">
        <f>IF(OR(AND(I22="yes",H22="verified"),AND(I22="no",OR(H22="tested",H22="verified")),AND(H22="not applicable",K22&lt;&gt;"")),1,0)</f>
        <v/>
      </c>
    </row>
    <row r="23" ht="54" customHeight="1" s="34">
      <c r="A23" s="43" t="inlineStr">
        <is>
          <t>TG-15</t>
        </is>
      </c>
      <c r="B23" s="43" t="inlineStr">
        <is>
          <t>States</t>
        </is>
      </c>
      <c r="C23" s="43" t="inlineStr">
        <is>
          <t>Rows / cells</t>
        </is>
      </c>
      <c r="D23" s="44" t="inlineStr">
        <is>
          <t>Selected, active, expanded, disabled, read-only, actionable, hover, and sorted paint follows Atom attributes without geometry changes.</t>
        </is>
      </c>
      <c r="E23" s="43" t="inlineStr">
        <is>
          <t>package</t>
        </is>
      </c>
      <c r="F23" s="43" t="inlineStr">
        <is>
          <t>browser</t>
        </is>
      </c>
      <c r="G23" s="44" t="inlineStr">
        <is>
          <t>tests/components/tree-grid/behavior.spec.ts</t>
        </is>
      </c>
      <c r="H23" s="43" t="inlineStr">
        <is>
          <t>tested</t>
        </is>
      </c>
      <c r="I23" s="43" t="inlineStr">
        <is>
          <t>no</t>
        </is>
      </c>
      <c r="J23" s="45" t="n">
        <v>46231</v>
      </c>
      <c r="K23" s="44" t="n"/>
      <c r="L23" s="43" t="n">
        <v>1</v>
      </c>
      <c r="M23" s="43">
        <f>IF(OR(AND(I23="yes",H23="verified"),AND(I23="no",OR(H23="tested",H23="verified")),AND(H23="not applicable",K23&lt;&gt;"")),1,0)</f>
        <v/>
      </c>
    </row>
    <row r="24" ht="54" customHeight="1" s="34">
      <c r="A24" s="43" t="inlineStr">
        <is>
          <t>TG-16</t>
        </is>
      </c>
      <c r="B24" s="43" t="inlineStr">
        <is>
          <t>Responsive</t>
        </is>
      </c>
      <c r="C24" s="43" t="inlineStr">
        <is>
          <t>Container</t>
        </is>
      </c>
      <c r="D24" s="44" t="inlineStr">
        <is>
          <t>Explicit horizontal containment preserves hierarchy and columns without page overflow, card conversion, or implicit root scrolling.</t>
        </is>
      </c>
      <c r="E24" s="43" t="inlineStr">
        <is>
          <t>package</t>
        </is>
      </c>
      <c r="F24" s="43" t="inlineStr">
        <is>
          <t>browser</t>
        </is>
      </c>
      <c r="G24" s="44" t="inlineStr">
        <is>
          <t>tests/components/tree-grid/behavior.spec.ts</t>
        </is>
      </c>
      <c r="H24" s="43" t="inlineStr">
        <is>
          <t>tested</t>
        </is>
      </c>
      <c r="I24" s="43" t="inlineStr">
        <is>
          <t>no</t>
        </is>
      </c>
      <c r="J24" s="45" t="n">
        <v>46231</v>
      </c>
      <c r="K24" s="44" t="inlineStr">
        <is>
          <t>State and geometry checks passed in five browser/device profiles on July 28, 2026.</t>
        </is>
      </c>
      <c r="L24" s="43" t="n">
        <v>1</v>
      </c>
      <c r="M24" s="43">
        <f>IF(OR(AND(I24="yes",H24="verified"),AND(I24="no",OR(H24="tested",H24="verified")),AND(H24="not applicable",K24&lt;&gt;"")),1,0)</f>
        <v/>
      </c>
    </row>
    <row r="25" ht="54" customHeight="1" s="34">
      <c r="A25" s="43" t="inlineStr">
        <is>
          <t>TG-17</t>
        </is>
      </c>
      <c r="B25" s="43" t="inlineStr">
        <is>
          <t>RTL</t>
        </is>
      </c>
      <c r="C25" s="43" t="inlineStr">
        <is>
          <t>All parts</t>
        </is>
      </c>
      <c r="D25" s="44" t="inlineStr">
        <is>
          <t>Logical hierarchy navigation, indentation, indicator direction, alignment, sorting placement, and overflow remain usable with localized RTL content.</t>
        </is>
      </c>
      <c r="E25" s="43" t="inlineStr">
        <is>
          <t>package</t>
        </is>
      </c>
      <c r="F25" s="43" t="inlineStr">
        <is>
          <t>visual</t>
        </is>
      </c>
      <c r="G25" s="44" t="inlineStr">
        <is>
          <t>tests/components/tree-grid/visual.spec.ts</t>
        </is>
      </c>
      <c r="H25" s="43" t="inlineStr">
        <is>
          <t>implemented</t>
        </is>
      </c>
      <c r="I25" s="43" t="inlineStr">
        <is>
          <t>yes</t>
        </is>
      </c>
      <c r="J25" s="45" t="n">
        <v>46231</v>
      </c>
      <c r="K25" s="44" t="inlineStr">
        <is>
          <t>Containment and page-overflow checks passed in five browser/device profiles on July 28, 2026.</t>
        </is>
      </c>
      <c r="L25" s="43" t="n">
        <v>1</v>
      </c>
      <c r="M25" s="43">
        <f>IF(OR(AND(I25="yes",H25="verified"),AND(I25="no",OR(H25="tested",H25="verified")),AND(H25="not applicable",K25&lt;&gt;"")),1,0)</f>
        <v/>
      </c>
    </row>
    <row r="26" ht="54" customHeight="1" s="34">
      <c r="A26" s="43" t="inlineStr">
        <is>
          <t>TG-18</t>
        </is>
      </c>
      <c r="B26" s="43" t="inlineStr">
        <is>
          <t>Appearance</t>
        </is>
      </c>
      <c r="C26" s="43" t="inlineStr">
        <is>
          <t>All parts</t>
        </is>
      </c>
      <c r="D26" s="44" t="inlineStr">
        <is>
          <t>Light and dark badges plus forced-color surfaces preserve clipped boundaries, hierarchy, state distinctions, and focus.</t>
        </is>
      </c>
      <c r="E26" s="43" t="inlineStr">
        <is>
          <t>package</t>
        </is>
      </c>
      <c r="F26" s="43" t="inlineStr">
        <is>
          <t>visual</t>
        </is>
      </c>
      <c r="G26" s="44" t="inlineStr">
        <is>
          <t>tests/components/tree-grid/visual.spec.ts</t>
        </is>
      </c>
      <c r="H26" s="43" t="inlineStr">
        <is>
          <t>implemented</t>
        </is>
      </c>
      <c r="I26" s="43" t="inlineStr">
        <is>
          <t>yes</t>
        </is>
      </c>
      <c r="J26" s="45" t="n">
        <v>46231</v>
      </c>
      <c r="K26" s="44" t="inlineStr">
        <is>
          <t>Owner visual review not yet recorded.</t>
        </is>
      </c>
      <c r="L26" s="43" t="n">
        <v>1</v>
      </c>
      <c r="M26" s="43">
        <f>IF(OR(AND(I26="yes",H26="verified"),AND(I26="no",OR(H26="tested",H26="verified")),AND(H26="not applicable",K26&lt;&gt;"")),1,0)</f>
        <v/>
      </c>
    </row>
    <row r="27" ht="54" customHeight="1" s="34">
      <c r="A27" s="43" t="inlineStr">
        <is>
          <t>TG-19</t>
        </is>
      </c>
      <c r="B27" s="43" t="inlineStr">
        <is>
          <t>Visual</t>
        </is>
      </c>
      <c r="C27" s="43" t="inlineStr">
        <is>
          <t>All parts</t>
        </is>
      </c>
      <c r="D27" s="44" t="inlineStr">
        <is>
          <t>Baselines cover overview, variants, sizing, hierarchy, controlled sorting, dark customization, responsive mobile, RTL mobile, and forced colors.</t>
        </is>
      </c>
      <c r="E27" s="43" t="inlineStr">
        <is>
          <t>package</t>
        </is>
      </c>
      <c r="F27" s="43" t="inlineStr">
        <is>
          <t>visual</t>
        </is>
      </c>
      <c r="G27" s="44" t="inlineStr">
        <is>
          <t>tests/components/tree-grid/visual.spec.ts</t>
        </is>
      </c>
      <c r="H27" s="43" t="inlineStr">
        <is>
          <t>implemented</t>
        </is>
      </c>
      <c r="I27" s="43" t="inlineStr">
        <is>
          <t>yes</t>
        </is>
      </c>
      <c r="J27" s="45" t="n">
        <v>46231</v>
      </c>
      <c r="K27" s="44" t="inlineStr">
        <is>
          <t>Owner baseline review not yet recorded.</t>
        </is>
      </c>
      <c r="L27" s="43" t="n">
        <v>1</v>
      </c>
      <c r="M27" s="43">
        <f>IF(OR(AND(I27="yes",H27="verified"),AND(I27="no",OR(H27="tested",H27="verified")),AND(H27="not applicable",K27&lt;&gt;"")),1,0)</f>
        <v/>
      </c>
    </row>
    <row r="28" ht="54" customHeight="1" s="34">
      <c r="A28" s="43" t="inlineStr">
        <is>
          <t>TG-20</t>
        </is>
      </c>
      <c r="B28" s="43" t="inlineStr">
        <is>
          <t>Customization</t>
        </is>
      </c>
      <c r="C28" s="43" t="inlineStr">
        <is>
          <t>All parts</t>
        </is>
      </c>
      <c r="D28" s="44" t="inlineStr">
        <is>
          <t>Stable classes, slots, public variables, styles, custom indicators, and accent outline clipping preserve behavior and rounded edges.</t>
        </is>
      </c>
      <c r="E28" s="43" t="inlineStr">
        <is>
          <t>package</t>
        </is>
      </c>
      <c r="F28" s="43" t="inlineStr">
        <is>
          <t>component</t>
        </is>
      </c>
      <c r="G28" s="44" t="inlineStr">
        <is>
          <t>../test/components/tree-grid/tree-grid.test.tsx; ../docs/components/tree-grid/README.md</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TG-21</t>
        </is>
      </c>
      <c r="B29" s="43" t="inlineStr">
        <is>
          <t>Accessibility</t>
        </is>
      </c>
      <c r="C29" s="43" t="inlineStr">
        <is>
          <t>All parts</t>
        </is>
      </c>
      <c r="D29" s="44" t="inlineStr">
        <is>
          <t>Name, roles, hierarchy, counts, coordinates, expansion, selection, disabled/read-only, active descendant, sort metadata, and axe checks pass.</t>
        </is>
      </c>
      <c r="E29" s="43" t="inlineStr">
        <is>
          <t>package</t>
        </is>
      </c>
      <c r="F29" s="43" t="inlineStr">
        <is>
          <t>axe</t>
        </is>
      </c>
      <c r="G29" s="44" t="inlineStr">
        <is>
          <t>tests/components/tree-grid/behavior.spec.ts</t>
        </is>
      </c>
      <c r="H29" s="43" t="inlineStr">
        <is>
          <t>tested</t>
        </is>
      </c>
      <c r="I29" s="43" t="inlineStr">
        <is>
          <t>no</t>
        </is>
      </c>
      <c r="J29" s="45" t="n">
        <v>46231</v>
      </c>
      <c r="K29" s="44" t="inlineStr">
        <is>
          <t>Axe and accessibility assertions passed in five browser/device profiles on July 28, 2026.</t>
        </is>
      </c>
      <c r="L29" s="43" t="n">
        <v>1</v>
      </c>
      <c r="M29" s="43">
        <f>IF(OR(AND(I29="yes",H29="verified"),AND(I29="no",OR(H29="tested",H29="verified")),AND(H29="not applicable",K29&lt;&gt;"")),1,0)</f>
        <v/>
      </c>
    </row>
    <row r="30" ht="54" customHeight="1" s="34">
      <c r="A30" s="43" t="inlineStr">
        <is>
          <t>TG-22</t>
        </is>
      </c>
      <c r="B30" s="43" t="inlineStr">
        <is>
          <t>Playground</t>
        </is>
      </c>
      <c r="C30" s="43" t="inlineStr">
        <is>
          <t>All parts</t>
        </is>
      </c>
      <c r="D30" s="44" t="inlineStr">
        <is>
          <t>One navigable Tree Grid route exposes nine persistent, controlled scenarios with realistic hierarchical release content.</t>
        </is>
      </c>
      <c r="E30" s="43" t="inlineStr">
        <is>
          <t>package</t>
        </is>
      </c>
      <c r="F30" s="43" t="inlineStr">
        <is>
          <t>playground</t>
        </is>
      </c>
      <c r="G30" s="44" t="inlineStr">
        <is>
          <t>src/components/tree-grid/TreeGridPage.tsx</t>
        </is>
      </c>
      <c r="H30" s="43" t="inlineStr">
        <is>
          <t>tested</t>
        </is>
      </c>
      <c r="I30" s="43" t="inlineStr">
        <is>
          <t>no</t>
        </is>
      </c>
      <c r="J30" s="45" t="n">
        <v>46231</v>
      </c>
      <c r="K30" s="44" t="n"/>
      <c r="L30" s="43" t="n">
        <v>1</v>
      </c>
      <c r="M30" s="43">
        <f>IF(OR(AND(I30="yes",H30="verified"),AND(I30="no",OR(H30="tested",H30="verified")),AND(H30="not applicable",K30&lt;&gt;"")),1,0)</f>
        <v/>
      </c>
    </row>
    <row r="31" ht="54" customHeight="1" s="34">
      <c r="A31" s="43" t="inlineStr">
        <is>
          <t>TG-23</t>
        </is>
      </c>
      <c r="B31" s="43" t="inlineStr">
        <is>
          <t>Documentation</t>
        </is>
      </c>
      <c r="C31" s="43" t="inlineStr">
        <is>
          <t>Public guide</t>
        </is>
      </c>
      <c r="D31" s="44" t="inlineStr">
        <is>
          <t>Guide documents boundary, anatomy, authored coordinates, API, recipes, hierarchy, keyboard, expansion, selection, sorting, containment, accessibility, CSS, and exclusions.</t>
        </is>
      </c>
      <c r="E31" s="43" t="inlineStr">
        <is>
          <t>package</t>
        </is>
      </c>
      <c r="F31" s="43" t="inlineStr">
        <is>
          <t>documentation</t>
        </is>
      </c>
      <c r="G31" s="44" t="inlineStr">
        <is>
          <t>../docs/components/tree-grid/README.md</t>
        </is>
      </c>
      <c r="H31" s="43" t="inlineStr">
        <is>
          <t>tested</t>
        </is>
      </c>
      <c r="I31" s="43" t="inlineStr">
        <is>
          <t>no</t>
        </is>
      </c>
      <c r="J31" s="45" t="n">
        <v>46231</v>
      </c>
      <c r="K31" s="44" t="n"/>
      <c r="L31" s="43" t="n">
        <v>1</v>
      </c>
      <c r="M31" s="43">
        <f>IF(OR(AND(I31="yes",H31="verified"),AND(I31="no",OR(H31="tested",H31="verified")),AND(H31="not applicable",K31&lt;&gt;"")),1,0)</f>
        <v/>
      </c>
    </row>
    <row r="32" ht="54" customHeight="1" s="34">
      <c r="A32" s="43" t="inlineStr">
        <is>
          <t>TG-24</t>
        </is>
      </c>
      <c r="B32" s="43" t="inlineStr">
        <is>
          <t>Changelog</t>
        </is>
      </c>
      <c r="C32" s="43" t="inlineStr">
        <is>
          <t>Public record</t>
        </is>
      </c>
      <c r="D32" s="44" t="inlineStr">
        <is>
          <t>Component and package changelogs describe the release-facing Tree Grid addition.</t>
        </is>
      </c>
      <c r="E32" s="43" t="inlineStr">
        <is>
          <t>package</t>
        </is>
      </c>
      <c r="F32" s="43" t="inlineStr">
        <is>
          <t>documentation</t>
        </is>
      </c>
      <c r="G32" s="44" t="inlineStr">
        <is>
          <t>../docs/components/tree-grid/CHANGELOG.md; ../CHANGELOG.md</t>
        </is>
      </c>
      <c r="H32" s="43" t="inlineStr">
        <is>
          <t>tested</t>
        </is>
      </c>
      <c r="I32" s="43" t="inlineStr">
        <is>
          <t>no</t>
        </is>
      </c>
      <c r="J32" s="45" t="n">
        <v>46231</v>
      </c>
      <c r="K32" s="44" t="n"/>
      <c r="L32" s="43" t="n">
        <v>1</v>
      </c>
      <c r="M32" s="43">
        <f>IF(OR(AND(I32="yes",H32="verified"),AND(I32="no",OR(H32="tested",H32="verified")),AND(H32="not applicable",K32&lt;&gt;"")),1,0)</f>
        <v/>
      </c>
    </row>
    <row r="33" ht="54" customHeight="1" s="34">
      <c r="A33" s="43" t="inlineStr">
        <is>
          <t>TG-25</t>
        </is>
      </c>
      <c r="B33" s="43" t="inlineStr">
        <is>
          <t>Consumer</t>
        </is>
      </c>
      <c r="C33" s="43" t="inlineStr">
        <is>
          <t>All parts</t>
        </is>
      </c>
      <c r="D33" s="44" t="inlineStr">
        <is>
          <t>Packed Consumer composes Tree Grid with controlled hierarchy, sorting and selection plus external Toolbar, Badge metadata, and a details Surface.</t>
        </is>
      </c>
      <c r="E33" s="43" t="inlineStr">
        <is>
          <t>consumer</t>
        </is>
      </c>
      <c r="F33" s="43" t="inlineStr">
        <is>
          <t>consumer</t>
        </is>
      </c>
      <c r="G33" s="44" t="inlineStr">
        <is>
          <t>../apps/consumer/src/App.tsx; ../apps/consumer/tests/consumer.spec.ts</t>
        </is>
      </c>
      <c r="H33" s="43" t="inlineStr">
        <is>
          <t>tested</t>
        </is>
      </c>
      <c r="I33" s="43" t="inlineStr">
        <is>
          <t>no</t>
        </is>
      </c>
      <c r="J33" s="45" t="n">
        <v>46231</v>
      </c>
      <c r="K33" s="44" t="inlineStr">
        <is>
          <t>Packed Consumer flow passed 76 desktop/mobile checks on July 28, 2026.</t>
        </is>
      </c>
      <c r="L33" s="43" t="n">
        <v>1</v>
      </c>
      <c r="M33" s="43">
        <f>IF(OR(AND(I33="yes",H33="verified"),AND(I33="no",OR(H33="tested",H33="verified")),AND(H33="not applicable",K33&lt;&gt;"")),1,0)</f>
        <v/>
      </c>
    </row>
    <row r="34" ht="54" customHeight="1" s="34">
      <c r="A34" s="43" t="inlineStr">
        <is>
          <t>TG-26</t>
        </is>
      </c>
      <c r="B34" s="43" t="inlineStr">
        <is>
          <t>Manual</t>
        </is>
      </c>
      <c r="C34" s="43" t="inlineStr">
        <is>
          <t>All parts</t>
        </is>
      </c>
      <c r="D34" s="44" t="inlineStr">
        <is>
          <t>Owner reviews hierarchy keyboard, collapse focus, screen reader, zoom, touch, RTL, appearances, preferences, rounded clipping, and component boundaries.</t>
        </is>
      </c>
      <c r="E34" s="43" t="inlineStr">
        <is>
          <t>package</t>
        </is>
      </c>
      <c r="F34" s="43" t="inlineStr">
        <is>
          <t>manual</t>
        </is>
      </c>
      <c r="G34" s="44" t="inlineStr">
        <is>
          <t>manual-tests/tree-grid.md</t>
        </is>
      </c>
      <c r="H34" s="43" t="inlineStr">
        <is>
          <t>not started</t>
        </is>
      </c>
      <c r="I34" s="43" t="inlineStr">
        <is>
          <t>yes</t>
        </is>
      </c>
      <c r="J34" s="45" t="n">
        <v>46231</v>
      </c>
      <c r="K34" s="44" t="inlineStr">
        <is>
          <t>Human run intentionally unclaimed.</t>
        </is>
      </c>
      <c r="L34" s="43" t="n">
        <v>1</v>
      </c>
      <c r="M34" s="43">
        <f>IF(OR(AND(I34="yes",H34="verified"),AND(I34="no",OR(H34="tested",H34="verified")),AND(H34="not applicable",K34&lt;&gt;"")),1,0)</f>
        <v/>
      </c>
    </row>
    <row r="35" ht="54" customHeight="1" s="34">
      <c r="A35" s="43" t="inlineStr">
        <is>
          <t>TG-27</t>
        </is>
      </c>
      <c r="B35" s="43" t="inlineStr">
        <is>
          <t>Package</t>
        </is>
      </c>
      <c r="C35" s="43" t="inlineStr">
        <is>
          <t>Artifact</t>
        </is>
      </c>
      <c r="D35" s="44" t="inlineStr">
        <is>
          <t>Build, declarations, exports, SSR, CSS, docs, tarball, clean React consumers, focused browser/device matrix, and Consumer pass.</t>
        </is>
      </c>
      <c r="E35" s="43" t="inlineStr">
        <is>
          <t>package</t>
        </is>
      </c>
      <c r="F35" s="43" t="inlineStr">
        <is>
          <t>package</t>
        </is>
      </c>
      <c r="G35" s="44" t="inlineStr">
        <is>
          <t>../test/package/package.test.mjs; ../scripts/verify-package.mjs</t>
        </is>
      </c>
      <c r="H35" s="43" t="inlineStr">
        <is>
          <t>tested</t>
        </is>
      </c>
      <c r="I35" s="43" t="inlineStr">
        <is>
          <t>no</t>
        </is>
      </c>
      <c r="J35" s="45" t="n">
        <v>46231</v>
      </c>
      <c r="K35" s="44" t="inlineStr">
        <is>
          <t>Complete package check, CSS size report, tarball, React 18/19, five-profile Tree Grid browser owner, and packed Consumer passed locally on July 28, 2026.</t>
        </is>
      </c>
      <c r="L35" s="43" t="n">
        <v>1</v>
      </c>
      <c r="M35" s="43">
        <f>IF(OR(AND(I35="yes",H35="verified"),AND(I35="no",OR(H35="tested",H35="verified")),AND(H35="not applicable",K35&lt;&gt;"")),1,0)</f>
        <v/>
      </c>
    </row>
    <row r="36" ht="54" customHeight="1" s="34">
      <c r="A36" s="43" t="inlineStr">
        <is>
          <t>TG-28</t>
        </is>
      </c>
      <c r="B36" s="43" t="inlineStr">
        <is>
          <t>Boundary</t>
        </is>
      </c>
      <c r="C36" s="43" t="inlineStr">
        <is>
          <t>All parts</t>
        </is>
      </c>
      <c r="D36" s="44" t="inlineStr">
        <is>
          <t>Editing, interactive cells, filtering, pagination, resizing, reordering, virtualization, schemas, enterprise processing, and spreadsheet behavior remain outside Tree Grid.</t>
        </is>
      </c>
      <c r="E36" s="43" t="inlineStr">
        <is>
          <t>package</t>
        </is>
      </c>
      <c r="F36" s="43" t="inlineStr">
        <is>
          <t>documentation</t>
        </is>
      </c>
      <c r="G36" s="44" t="inlineStr">
        <is>
          <t>../docs/components/tree-grid/README.md</t>
        </is>
      </c>
      <c r="H36" s="43" t="inlineStr">
        <is>
          <t>tested</t>
        </is>
      </c>
      <c r="I36" s="43" t="inlineStr">
        <is>
          <t>no</t>
        </is>
      </c>
      <c r="J36" s="45" t="n">
        <v>46231</v>
      </c>
      <c r="K36" s="44" t="n"/>
      <c r="L36" s="43" t="n">
        <v>1</v>
      </c>
      <c r="M36" s="43">
        <f>IF(OR(AND(I36="yes",H36="verified"),AND(I36="no",OR(H36="tested",H36="verified")),AND(H36="not applicable",K36&lt;&gt;"")),1,0)</f>
        <v/>
      </c>
    </row>
    <row r="37" ht="54" customHeight="1" s="34">
      <c r="A37" s="43" t="n"/>
      <c r="B37" s="43" t="n"/>
      <c r="C37" s="43" t="n"/>
      <c r="D37" s="44" t="n"/>
      <c r="E37" s="43" t="n"/>
      <c r="F37" s="43" t="n"/>
      <c r="G37" s="44" t="n"/>
      <c r="H37" s="43" t="n"/>
      <c r="I37" s="43" t="n"/>
      <c r="J37" s="45" t="n"/>
      <c r="K37" s="44" t="n"/>
      <c r="L37" s="43" t="n"/>
      <c r="M37" s="43" t="n"/>
    </row>
    <row r="38" ht="54" customHeight="1" s="34">
      <c r="A38" s="43" t="n"/>
      <c r="B38" s="43" t="n"/>
      <c r="C38" s="43" t="n"/>
      <c r="D38" s="44" t="n"/>
      <c r="E38" s="43" t="n"/>
      <c r="F38" s="43" t="n"/>
      <c r="G38" s="44" t="n"/>
      <c r="H38" s="43" t="n"/>
      <c r="I38" s="43" t="n"/>
      <c r="J38" s="45" t="n"/>
      <c r="K38" s="44" t="n"/>
      <c r="L38" s="43" t="n"/>
      <c r="M38" s="43" t="n"/>
    </row>
    <row r="39" ht="54" customHeight="1" s="34">
      <c r="A39" s="43" t="n"/>
      <c r="B39" s="43" t="n"/>
      <c r="C39" s="43" t="n"/>
      <c r="D39" s="44" t="n"/>
      <c r="E39" s="43" t="n"/>
      <c r="F39" s="43" t="n"/>
      <c r="G39" s="44" t="n"/>
      <c r="H39" s="43" t="n"/>
      <c r="I39" s="43" t="n"/>
      <c r="J39" s="45" t="n"/>
      <c r="K39" s="44" t="n"/>
      <c r="L39" s="43" t="n"/>
      <c r="M39" s="43" t="n"/>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2.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Tree Evidence</t>
        </is>
      </c>
    </row>
    <row r="2" ht="27.75" customHeight="1" s="34">
      <c r="A2" s="36" t="inlineStr">
        <is>
          <t>Assertion-level anatomy, focus, navigation, selection, expansion, visual recipes, hierarchy guides, responsive direction, package, documentation, Consumer, and accessibility evidence.</t>
        </is>
      </c>
    </row>
    <row r="4" ht="17.25" customHeight="1" s="34">
      <c r="A4" s="37" t="inlineStr">
        <is>
          <t>Requirements</t>
        </is>
      </c>
      <c r="B4" s="38">
        <f>COUNTA(A9:A34)</f>
        <v/>
      </c>
      <c r="D4" s="37" t="inlineStr">
        <is>
          <t>Resolved</t>
        </is>
      </c>
      <c r="E4" s="38">
        <f>SUM(M9:M34)</f>
        <v/>
      </c>
      <c r="G4" s="37" t="inlineStr">
        <is>
          <t>Completion</t>
        </is>
      </c>
      <c r="H4" s="39">
        <f>IF(B4=0,0,E4/B4)</f>
        <v/>
      </c>
      <c r="J4" s="37" t="inlineStr">
        <is>
          <t>Package gate</t>
        </is>
      </c>
      <c r="K4" s="38">
        <f>IF(COUNTIFS(E9:E34,"package",M9:M34,0)&gt;0,"open","complete")</f>
        <v/>
      </c>
    </row>
    <row r="5" ht="17.25" customHeight="1" s="34">
      <c r="A5" s="37" t="inlineStr">
        <is>
          <t>Manual review</t>
        </is>
      </c>
      <c r="B5" s="38">
        <f>IF(COUNTIFS(I9:I34,"yes",M9:M34,0)&gt;0,"open","complete")</f>
        <v/>
      </c>
      <c r="D5" s="37" t="inlineStr">
        <is>
          <t>Consumer gate</t>
        </is>
      </c>
      <c r="E5" s="38">
        <f>IF(COUNTIFS(E9:E34,"consumer",M9:M34,0)&gt;0,"open","complete")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TR-01</t>
        </is>
      </c>
      <c r="B9" s="43" t="inlineStr">
        <is>
          <t>Ownership</t>
        </is>
      </c>
      <c r="C9" s="43" t="inlineStr">
        <is>
          <t>All parts</t>
        </is>
      </c>
      <c r="D9" s="44" t="inlineStr">
        <is>
          <t>Brick styles released Atom 0.20.11 Tree behavior without recreating focus, navigation, selection, expansion, typeahead, forms, or semantics.</t>
        </is>
      </c>
      <c r="E9" s="43" t="inlineStr">
        <is>
          <t>package</t>
        </is>
      </c>
      <c r="F9" s="43" t="inlineStr">
        <is>
          <t>source</t>
        </is>
      </c>
      <c r="G9" s="44" t="inlineStr">
        <is>
          <t>../src/components/tree/Tree.tsx; ../package.json</t>
        </is>
      </c>
      <c r="H9" s="43" t="inlineStr">
        <is>
          <t>tested</t>
        </is>
      </c>
      <c r="I9" s="43" t="inlineStr">
        <is>
          <t>no</t>
        </is>
      </c>
      <c r="J9" s="45" t="n">
        <v>46231</v>
      </c>
      <c r="K9" s="44" t="n"/>
      <c r="L9" s="43" t="n">
        <v>1</v>
      </c>
      <c r="M9" s="43">
        <f>IF(OR(AND(I9="yes",H9="verified"),AND(I9="no",OR(H9="tested",H9="verified")),AND(H9="not applicable",K9&lt;&gt;"")),1,0)</f>
        <v/>
      </c>
    </row>
    <row r="10" ht="54" customHeight="1" s="34">
      <c r="A10" s="43" t="inlineStr">
        <is>
          <t>TR-02</t>
        </is>
      </c>
      <c r="B10" s="43" t="inlineStr">
        <is>
          <t>API</t>
        </is>
      </c>
      <c r="C10" s="43" t="inlineStr">
        <is>
          <t>All parts</t>
        </is>
      </c>
      <c r="D10" s="44" t="inlineStr">
        <is>
          <t>Six-part namespace and named exports expose Root, Item, ItemContent, Indicator, ItemText, and Group.</t>
        </is>
      </c>
      <c r="E10" s="43" t="inlineStr">
        <is>
          <t>package</t>
        </is>
      </c>
      <c r="F10" s="43" t="inlineStr">
        <is>
          <t>component</t>
        </is>
      </c>
      <c r="G10" s="44" t="inlineStr">
        <is>
          <t>../test/components/tree/tree.test.tsx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TR-03</t>
        </is>
      </c>
      <c r="B11" s="43" t="inlineStr">
        <is>
          <t>Anatomy</t>
        </is>
      </c>
      <c r="C11" s="43" t="inlineStr">
        <is>
          <t>All parts</t>
        </is>
      </c>
      <c r="D11" s="44" t="inlineStr">
        <is>
          <t>Atom-backed semantic parts and Brick-owned content-row and indicator hosts, roles, slots, state attributes, and refs render deterministically.</t>
        </is>
      </c>
      <c r="E11" s="43" t="inlineStr">
        <is>
          <t>package</t>
        </is>
      </c>
      <c r="F11" s="43" t="inlineStr">
        <is>
          <t>component</t>
        </is>
      </c>
      <c r="G11" s="44" t="inlineStr">
        <is>
          <t>../test/components/tree/tree.test.tsx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TR-04</t>
        </is>
      </c>
      <c r="B12" s="43" t="inlineStr">
        <is>
          <t>Types</t>
        </is>
      </c>
      <c r="C12" s="43" t="inlineStr">
        <is>
          <t>Public surface</t>
        </is>
      </c>
      <c r="D12" s="44" t="inlineStr">
        <is>
          <t>Closed recipes, vertical-only omission, Atom selection and expansion props, native props, and refs type-check.</t>
        </is>
      </c>
      <c r="E12" s="43" t="inlineStr">
        <is>
          <t>package</t>
        </is>
      </c>
      <c r="F12" s="43" t="inlineStr">
        <is>
          <t>types</t>
        </is>
      </c>
      <c r="G12" s="44" t="inlineStr">
        <is>
          <t>../test/types/components/tree.test.ts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TR-05</t>
        </is>
      </c>
      <c r="B13" s="43" t="inlineStr">
        <is>
          <t>Exports</t>
        </is>
      </c>
      <c r="C13" s="43" t="inlineStr">
        <is>
          <t>All parts</t>
        </is>
      </c>
      <c r="D13" s="44" t="inlineStr">
        <is>
          <t>Root and tree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TR-06</t>
        </is>
      </c>
      <c r="B14" s="43" t="inlineStr">
        <is>
          <t>SSR</t>
        </is>
      </c>
      <c r="C14" s="43" t="inlineStr">
        <is>
          <t>All parts</t>
        </is>
      </c>
      <c r="D14" s="44" t="inlineStr">
        <is>
          <t>Tree imports server-safely and emits deterministic labelled tree, item, text, indicator, and group anatomy.</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TR-07</t>
        </is>
      </c>
      <c r="B15" s="43" t="inlineStr">
        <is>
          <t>Defaults</t>
        </is>
      </c>
      <c r="C15" s="43" t="inlineStr">
        <is>
          <t>Root</t>
        </is>
      </c>
      <c r="D15" s="44" t="inlineStr">
        <is>
          <t>Defaults are plain, medium, guides off, vertical orientation, and bounded navigation.</t>
        </is>
      </c>
      <c r="E15" s="43" t="inlineStr">
        <is>
          <t>package</t>
        </is>
      </c>
      <c r="F15" s="43" t="inlineStr">
        <is>
          <t>component</t>
        </is>
      </c>
      <c r="G15" s="44" t="inlineStr">
        <is>
          <t>../test/components/tree/tree.test.tsx; tests/components/tree/behavior.spec.ts</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TR-08</t>
        </is>
      </c>
      <c r="B16" s="43" t="inlineStr">
        <is>
          <t>Recipes</t>
        </is>
      </c>
      <c r="C16" s="43" t="inlineStr">
        <is>
          <t>Root</t>
        </is>
      </c>
      <c r="D16" s="44" t="inlineStr">
        <is>
          <t>Plain, soft, and outline variants remain independent from sm/md size and optional hierarchy guides.</t>
        </is>
      </c>
      <c r="E16" s="43" t="inlineStr">
        <is>
          <t>package</t>
        </is>
      </c>
      <c r="F16" s="43" t="inlineStr">
        <is>
          <t>browser</t>
        </is>
      </c>
      <c r="G16" s="44" t="inlineStr">
        <is>
          <t>tests/components/tree/behavior.spec.ts</t>
        </is>
      </c>
      <c r="H16" s="43" t="inlineStr">
        <is>
          <t>tested</t>
        </is>
      </c>
      <c r="I16" s="43" t="inlineStr">
        <is>
          <t>no</t>
        </is>
      </c>
      <c r="J16" s="45" t="n">
        <v>46231</v>
      </c>
      <c r="K16" s="44" t="n"/>
      <c r="L16" s="43" t="n">
        <v>1</v>
      </c>
      <c r="M16" s="43">
        <f>IF(OR(AND(I16="yes",H16="verified"),AND(I16="no",OR(H16="tested",H16="verified")),AND(H16="not applicable",K16&lt;&gt;"")),1,0)</f>
        <v/>
      </c>
    </row>
    <row r="17" ht="54" customHeight="1" s="34">
      <c r="A17" s="43" t="inlineStr">
        <is>
          <t>TR-09</t>
        </is>
      </c>
      <c r="B17" s="43" t="inlineStr">
        <is>
          <t>Focus</t>
        </is>
      </c>
      <c r="C17" s="43" t="inlineStr">
        <is>
          <t>Root / Item</t>
        </is>
      </c>
      <c r="D17" s="44" t="inlineStr">
        <is>
          <t>Initial focus activates the first visible selected item, then the first enabled visible item; focus remains distinct from selection.</t>
        </is>
      </c>
      <c r="E17" s="43" t="inlineStr">
        <is>
          <t>package</t>
        </is>
      </c>
      <c r="F17" s="43" t="inlineStr">
        <is>
          <t>browser</t>
        </is>
      </c>
      <c r="G17" s="44" t="inlineStr">
        <is>
          <t>tests/components/tree/behavior.spec.ts; @flowstack-ui/atom 0.17.1 behavior suite</t>
        </is>
      </c>
      <c r="H17" s="43" t="inlineStr">
        <is>
          <t>tested</t>
        </is>
      </c>
      <c r="I17" s="43" t="inlineStr">
        <is>
          <t>no</t>
        </is>
      </c>
      <c r="J17" s="45" t="n">
        <v>46231</v>
      </c>
      <c r="K17" s="44" t="n"/>
      <c r="L17" s="43" t="n">
        <v>1</v>
      </c>
      <c r="M17" s="43">
        <f>IF(OR(AND(I17="yes",H17="verified"),AND(I17="no",OR(H17="tested",H17="verified")),AND(H17="not applicable",K17&lt;&gt;"")),1,0)</f>
        <v/>
      </c>
    </row>
    <row r="18" ht="54" customHeight="1" s="34">
      <c r="A18" s="43" t="inlineStr">
        <is>
          <t>TR-10</t>
        </is>
      </c>
      <c r="B18" s="43" t="inlineStr">
        <is>
          <t>Navigation</t>
        </is>
      </c>
      <c r="C18" s="43" t="inlineStr">
        <is>
          <t>Root / Item</t>
        </is>
      </c>
      <c r="D18" s="44" t="inlineStr">
        <is>
          <t>Arrow keys, Home/End, bounded default movement, opt-in loop, typeahead, disabled skipping, and logical expansion remain Atom-owned.</t>
        </is>
      </c>
      <c r="E18" s="43" t="inlineStr">
        <is>
          <t>package</t>
        </is>
      </c>
      <c r="F18" s="43" t="inlineStr">
        <is>
          <t>browser</t>
        </is>
      </c>
      <c r="G18" s="44" t="inlineStr">
        <is>
          <t>tests/components/tree/behavior.spec.ts; @flowstack-ui/atom 0.17.1 behavior suite</t>
        </is>
      </c>
      <c r="H18" s="43" t="inlineStr">
        <is>
          <t>tested</t>
        </is>
      </c>
      <c r="I18" s="43" t="inlineStr">
        <is>
          <t>no</t>
        </is>
      </c>
      <c r="J18" s="45" t="n">
        <v>46231</v>
      </c>
      <c r="K18" s="44" t="n"/>
      <c r="L18" s="43" t="n">
        <v>1</v>
      </c>
      <c r="M18" s="43">
        <f>IF(OR(AND(I18="yes",H18="verified"),AND(I18="no",OR(H18="tested",H18="verified")),AND(H18="not applicable",K18&lt;&gt;"")),1,0)</f>
        <v/>
      </c>
    </row>
    <row r="19" ht="54" customHeight="1" s="34">
      <c r="A19" s="43" t="inlineStr">
        <is>
          <t>TR-11</t>
        </is>
      </c>
      <c r="B19" s="43" t="inlineStr">
        <is>
          <t>Selection</t>
        </is>
      </c>
      <c r="C19" s="43" t="inlineStr">
        <is>
          <t>Root / Item</t>
        </is>
      </c>
      <c r="D19" s="44" t="inlineStr">
        <is>
          <t>Controlled/uncontrolled single and multiple selection, activation, and disabled/read-only boundaries remain Atom-owned.</t>
        </is>
      </c>
      <c r="E19" s="43" t="inlineStr">
        <is>
          <t>package</t>
        </is>
      </c>
      <c r="F19" s="43" t="inlineStr">
        <is>
          <t>browser</t>
        </is>
      </c>
      <c r="G19" s="44" t="inlineStr">
        <is>
          <t>tests/components/tree/behavior.spec.ts</t>
        </is>
      </c>
      <c r="H19" s="43" t="inlineStr">
        <is>
          <t>tested</t>
        </is>
      </c>
      <c r="I19" s="43" t="inlineStr">
        <is>
          <t>no</t>
        </is>
      </c>
      <c r="J19" s="45" t="n">
        <v>46231</v>
      </c>
      <c r="K19" s="44" t="n"/>
      <c r="L19" s="43" t="n">
        <v>1</v>
      </c>
      <c r="M19" s="43">
        <f>IF(OR(AND(I19="yes",H19="verified"),AND(I19="no",OR(H19="tested",H19="verified")),AND(H19="not applicable",K19&lt;&gt;"")),1,0)</f>
        <v/>
      </c>
    </row>
    <row r="20" ht="54" customHeight="1" s="34">
      <c r="A20" s="43" t="inlineStr">
        <is>
          <t>TR-12</t>
        </is>
      </c>
      <c r="B20" s="43" t="inlineStr">
        <is>
          <t>Expansion</t>
        </is>
      </c>
      <c r="C20" s="43" t="inlineStr">
        <is>
          <t>Item / Group / Indicator</t>
        </is>
      </c>
      <c r="D20" s="44" t="inlineStr">
        <is>
          <t>Controlled/uncontrolled expansion keeps Group lifecycle and aria-expanded in Atom while Indicator follows expansion visually.</t>
        </is>
      </c>
      <c r="E20" s="43" t="inlineStr">
        <is>
          <t>package</t>
        </is>
      </c>
      <c r="F20" s="43" t="inlineStr">
        <is>
          <t>browser</t>
        </is>
      </c>
      <c r="G20" s="44" t="inlineStr">
        <is>
          <t>tests/components/tree/behavior.spec.ts</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TR-13</t>
        </is>
      </c>
      <c r="B21" s="43" t="inlineStr">
        <is>
          <t>States</t>
        </is>
      </c>
      <c r="C21" s="43" t="inlineStr">
        <is>
          <t>ItemContent</t>
        </is>
      </c>
      <c r="D21" s="44" t="inlineStr">
        <is>
          <t>Hover, active focus, selected, expanded, and disabled paint follows Atom attributes without painting Group descendants or changing geometry.</t>
        </is>
      </c>
      <c r="E21" s="43" t="inlineStr">
        <is>
          <t>package</t>
        </is>
      </c>
      <c r="F21" s="43" t="inlineStr">
        <is>
          <t>browser</t>
        </is>
      </c>
      <c r="G21" s="44" t="inlineStr">
        <is>
          <t>tests/components/tree/behavior.spec.ts</t>
        </is>
      </c>
      <c r="H21" s="43" t="inlineStr">
        <is>
          <t>tested</t>
        </is>
      </c>
      <c r="I21" s="43" t="inlineStr">
        <is>
          <t>no</t>
        </is>
      </c>
      <c r="J21" s="45" t="n">
        <v>46231</v>
      </c>
      <c r="K21" s="44" t="n"/>
      <c r="L21" s="43" t="n">
        <v>1</v>
      </c>
      <c r="M21" s="43">
        <f>IF(OR(AND(I21="yes",H21="verified"),AND(I21="no",OR(H21="tested",H21="verified")),AND(H21="not applicable",K21&lt;&gt;"")),1,0)</f>
        <v/>
      </c>
    </row>
    <row r="22" ht="54" customHeight="1" s="34">
      <c r="A22" s="43" t="inlineStr">
        <is>
          <t>TR-14</t>
        </is>
      </c>
      <c r="B22" s="43" t="inlineStr">
        <is>
          <t>Responsive</t>
        </is>
      </c>
      <c r="C22" s="43" t="inlineStr">
        <is>
          <t>Root / ItemContent</t>
        </is>
      </c>
      <c r="D22" s="44" t="inlineStr">
        <is>
          <t>Inline containment and wrapping preserve indicators, metadata, indentation, and focus without page overflow at 320 CSS px.</t>
        </is>
      </c>
      <c r="E22" s="43" t="inlineStr">
        <is>
          <t>package</t>
        </is>
      </c>
      <c r="F22" s="43" t="inlineStr">
        <is>
          <t>browser</t>
        </is>
      </c>
      <c r="G22" s="44" t="inlineStr">
        <is>
          <t>tests/components/tree/behavior.spec.ts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TR-15</t>
        </is>
      </c>
      <c r="B23" s="43" t="inlineStr">
        <is>
          <t>RTL</t>
        </is>
      </c>
      <c r="C23" s="43" t="inlineStr">
        <is>
          <t>All parts</t>
        </is>
      </c>
      <c r="D23" s="44" t="inlineStr">
        <is>
          <t>Logical indentation, hierarchy guides, trailing metadata, and closed chevrons mirror while expanded chevrons remain downward.</t>
        </is>
      </c>
      <c r="E23" s="43" t="inlineStr">
        <is>
          <t>package</t>
        </is>
      </c>
      <c r="F23" s="43" t="inlineStr">
        <is>
          <t>visual</t>
        </is>
      </c>
      <c r="G23" s="44" t="inlineStr">
        <is>
          <t>tests/components/tree/visual.spec.ts</t>
        </is>
      </c>
      <c r="H23" s="43" t="inlineStr">
        <is>
          <t>implemented</t>
        </is>
      </c>
      <c r="I23" s="43" t="inlineStr">
        <is>
          <t>yes</t>
        </is>
      </c>
      <c r="J23" s="45" t="n">
        <v>46231</v>
      </c>
      <c r="K23" s="44" t="inlineStr">
        <is>
          <t>Owner visual review not yet recorded.</t>
        </is>
      </c>
      <c r="L23" s="43" t="n">
        <v>1</v>
      </c>
      <c r="M23" s="43">
        <f>IF(OR(AND(I23="yes",H23="verified"),AND(I23="no",OR(H23="tested",H23="verified")),AND(H23="not applicable",K23&lt;&gt;"")),1,0)</f>
        <v/>
      </c>
    </row>
    <row r="24" ht="54" customHeight="1" s="34">
      <c r="A24" s="43" t="inlineStr">
        <is>
          <t>TR-16</t>
        </is>
      </c>
      <c r="B24" s="43" t="inlineStr">
        <is>
          <t>Appearance</t>
        </is>
      </c>
      <c r="C24" s="43" t="inlineStr">
        <is>
          <t>All parts</t>
        </is>
      </c>
      <c r="D24" s="44" t="inlineStr">
        <is>
          <t>Light, dark, and forced-color surfaces preserve hierarchy boundaries, focus, selection, and disabled distinctions.</t>
        </is>
      </c>
      <c r="E24" s="43" t="inlineStr">
        <is>
          <t>package</t>
        </is>
      </c>
      <c r="F24" s="43" t="inlineStr">
        <is>
          <t>visual</t>
        </is>
      </c>
      <c r="G24" s="44" t="inlineStr">
        <is>
          <t>tests/components/tree/visual.spec.ts</t>
        </is>
      </c>
      <c r="H24" s="43" t="inlineStr">
        <is>
          <t>implemented</t>
        </is>
      </c>
      <c r="I24" s="43" t="inlineStr">
        <is>
          <t>yes</t>
        </is>
      </c>
      <c r="J24" s="45" t="n">
        <v>46231</v>
      </c>
      <c r="K24" s="44" t="inlineStr">
        <is>
          <t>Owner visual review not yet recorded.</t>
        </is>
      </c>
      <c r="L24" s="43" t="n">
        <v>1</v>
      </c>
      <c r="M24" s="43">
        <f>IF(OR(AND(I24="yes",H24="verified"),AND(I24="no",OR(H24="tested",H24="verified")),AND(H24="not applicable",K24&lt;&gt;"")),1,0)</f>
        <v/>
      </c>
    </row>
    <row r="25" ht="54" customHeight="1" s="34">
      <c r="A25" s="43" t="inlineStr">
        <is>
          <t>TR-17</t>
        </is>
      </c>
      <c r="B25" s="43" t="inlineStr">
        <is>
          <t>Visual</t>
        </is>
      </c>
      <c r="C25" s="43" t="inlineStr">
        <is>
          <t>All parts</t>
        </is>
      </c>
      <c r="D25" s="44" t="inlineStr">
        <is>
          <t>Baselines cover overview, variants, sizing and guides, selection, dark customization, responsive mobile, RTL mobile, and forced colors.</t>
        </is>
      </c>
      <c r="E25" s="43" t="inlineStr">
        <is>
          <t>package</t>
        </is>
      </c>
      <c r="F25" s="43" t="inlineStr">
        <is>
          <t>visual</t>
        </is>
      </c>
      <c r="G25" s="44" t="inlineStr">
        <is>
          <t>tests/components/tree/visual.spec.ts</t>
        </is>
      </c>
      <c r="H25" s="43" t="inlineStr">
        <is>
          <t>implemented</t>
        </is>
      </c>
      <c r="I25" s="43" t="inlineStr">
        <is>
          <t>yes</t>
        </is>
      </c>
      <c r="J25" s="45" t="n">
        <v>46231</v>
      </c>
      <c r="K25" s="44" t="inlineStr">
        <is>
          <t>Owner baseline review not yet recorded.</t>
        </is>
      </c>
      <c r="L25" s="43" t="n">
        <v>1</v>
      </c>
      <c r="M25" s="43">
        <f>IF(OR(AND(I25="yes",H25="verified"),AND(I25="no",OR(H25="tested",H25="verified")),AND(H25="not applicable",K25&lt;&gt;"")),1,0)</f>
        <v/>
      </c>
    </row>
    <row r="26" ht="54" customHeight="1" s="34">
      <c r="A26" s="43" t="inlineStr">
        <is>
          <t>TR-18</t>
        </is>
      </c>
      <c r="B26" s="43" t="inlineStr">
        <is>
          <t>Customization</t>
        </is>
      </c>
      <c r="C26" s="43" t="inlineStr">
        <is>
          <t>All parts</t>
        </is>
      </c>
      <c r="D26" s="44" t="inlineStr">
        <is>
          <t>Stable classes, slots, public variables, native props, custom row content, and custom decorative indicator content preserve behavior.</t>
        </is>
      </c>
      <c r="E26" s="43" t="inlineStr">
        <is>
          <t>package</t>
        </is>
      </c>
      <c r="F26" s="43" t="inlineStr">
        <is>
          <t>component</t>
        </is>
      </c>
      <c r="G26" s="44" t="inlineStr">
        <is>
          <t>../test/components/tree/tree.test.tsx; ../docs/components/tree/README.md</t>
        </is>
      </c>
      <c r="H26" s="43" t="inlineStr">
        <is>
          <t>tested</t>
        </is>
      </c>
      <c r="I26" s="43" t="inlineStr">
        <is>
          <t>no</t>
        </is>
      </c>
      <c r="J26" s="45" t="n">
        <v>46231</v>
      </c>
      <c r="K26" s="44" t="n"/>
      <c r="L26" s="43" t="n">
        <v>1</v>
      </c>
      <c r="M26" s="43">
        <f>IF(OR(AND(I26="yes",H26="verified"),AND(I26="no",OR(H26="tested",H26="verified")),AND(H26="not applicable",K26&lt;&gt;"")),1,0)</f>
        <v/>
      </c>
    </row>
    <row r="27" ht="54" customHeight="1" s="34">
      <c r="A27" s="43" t="inlineStr">
        <is>
          <t>TR-19</t>
        </is>
      </c>
      <c r="B27" s="43" t="inlineStr">
        <is>
          <t>Accessibility</t>
        </is>
      </c>
      <c r="C27" s="43" t="inlineStr">
        <is>
          <t>All parts</t>
        </is>
      </c>
      <c r="D27" s="44" t="inlineStr">
        <is>
          <t>Accessible naming, roles, levels, selection, expansion, disabled state, active descendant, silent decoration, and axe checks pass.</t>
        </is>
      </c>
      <c r="E27" s="43" t="inlineStr">
        <is>
          <t>package</t>
        </is>
      </c>
      <c r="F27" s="43" t="inlineStr">
        <is>
          <t>axe</t>
        </is>
      </c>
      <c r="G27" s="44" t="inlineStr">
        <is>
          <t>tests/components/tree/behavior.spec.ts</t>
        </is>
      </c>
      <c r="H27" s="43" t="inlineStr">
        <is>
          <t>tested</t>
        </is>
      </c>
      <c r="I27" s="43" t="inlineStr">
        <is>
          <t>no</t>
        </is>
      </c>
      <c r="J27" s="45" t="n">
        <v>46231</v>
      </c>
      <c r="K27" s="44" t="n"/>
      <c r="L27" s="43" t="n">
        <v>1</v>
      </c>
      <c r="M27" s="43">
        <f>IF(OR(AND(I27="yes",H27="verified"),AND(I27="no",OR(H27="tested",H27="verified")),AND(H27="not applicable",K27&lt;&gt;"")),1,0)</f>
        <v/>
      </c>
    </row>
    <row r="28" ht="54" customHeight="1" s="34">
      <c r="A28" s="43" t="inlineStr">
        <is>
          <t>TR-20</t>
        </is>
      </c>
      <c r="B28" s="43" t="inlineStr">
        <is>
          <t>Playground</t>
        </is>
      </c>
      <c r="C28" s="43" t="inlineStr">
        <is>
          <t>All parts</t>
        </is>
      </c>
      <c r="D28" s="44" t="inlineStr">
        <is>
          <t>One navigable Tree route exposes eight persistent, controlled scenarios with realistic hierarchical content.</t>
        </is>
      </c>
      <c r="E28" s="43" t="inlineStr">
        <is>
          <t>package</t>
        </is>
      </c>
      <c r="F28" s="43" t="inlineStr">
        <is>
          <t>playground</t>
        </is>
      </c>
      <c r="G28" s="44" t="inlineStr">
        <is>
          <t>src/components/tree/TreePage.tsx</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TR-21</t>
        </is>
      </c>
      <c r="B29" s="43" t="inlineStr">
        <is>
          <t>Documentation</t>
        </is>
      </c>
      <c r="C29" s="43" t="inlineStr">
        <is>
          <t>Public guide</t>
        </is>
      </c>
      <c r="D29" s="44" t="inlineStr">
        <is>
          <t>Guide documents boundary, anatomy, API, recipes, keyboard, selection, expansion, responsive behavior, accessibility, CSS, and exclusions.</t>
        </is>
      </c>
      <c r="E29" s="43" t="inlineStr">
        <is>
          <t>package</t>
        </is>
      </c>
      <c r="F29" s="43" t="inlineStr">
        <is>
          <t>documentation</t>
        </is>
      </c>
      <c r="G29" s="44" t="inlineStr">
        <is>
          <t>../docs/components/tree/README.md</t>
        </is>
      </c>
      <c r="H29" s="43" t="inlineStr">
        <is>
          <t>tested</t>
        </is>
      </c>
      <c r="I29" s="43" t="inlineStr">
        <is>
          <t>no</t>
        </is>
      </c>
      <c r="J29" s="45" t="n">
        <v>46231</v>
      </c>
      <c r="K29" s="44" t="n"/>
      <c r="L29" s="43" t="n">
        <v>1</v>
      </c>
      <c r="M29" s="43">
        <f>IF(OR(AND(I29="yes",H29="verified"),AND(I29="no",OR(H29="tested",H29="verified")),AND(H29="not applicable",K29&lt;&gt;"")),1,0)</f>
        <v/>
      </c>
    </row>
    <row r="30" ht="54" customHeight="1" s="34">
      <c r="A30" s="43" t="inlineStr">
        <is>
          <t>TR-22</t>
        </is>
      </c>
      <c r="B30" s="43" t="inlineStr">
        <is>
          <t>Changelog</t>
        </is>
      </c>
      <c r="C30" s="43" t="inlineStr">
        <is>
          <t>Public record</t>
        </is>
      </c>
      <c r="D30" s="44" t="inlineStr">
        <is>
          <t>Component and package changelogs describe the release-facing Tree addition.</t>
        </is>
      </c>
      <c r="E30" s="43" t="inlineStr">
        <is>
          <t>package</t>
        </is>
      </c>
      <c r="F30" s="43" t="inlineStr">
        <is>
          <t>documentation</t>
        </is>
      </c>
      <c r="G30" s="44" t="inlineStr">
        <is>
          <t>../docs/components/tree/CHANGELOG.md; ../CHANGELOG.md</t>
        </is>
      </c>
      <c r="H30" s="43" t="inlineStr">
        <is>
          <t>tested</t>
        </is>
      </c>
      <c r="I30" s="43" t="inlineStr">
        <is>
          <t>no</t>
        </is>
      </c>
      <c r="J30" s="45" t="n">
        <v>46231</v>
      </c>
      <c r="K30" s="44" t="n"/>
      <c r="L30" s="43" t="n">
        <v>1</v>
      </c>
      <c r="M30" s="43">
        <f>IF(OR(AND(I30="yes",H30="verified"),AND(I30="no",OR(H30="tested",H30="verified")),AND(H30="not applicable",K30&lt;&gt;"")),1,0)</f>
        <v/>
      </c>
    </row>
    <row r="31" ht="54" customHeight="1" s="34">
      <c r="A31" s="43" t="inlineStr">
        <is>
          <t>TR-23</t>
        </is>
      </c>
      <c r="B31" s="43" t="inlineStr">
        <is>
          <t>Consumer</t>
        </is>
      </c>
      <c r="C31" s="43" t="inlineStr">
        <is>
          <t>All parts</t>
        </is>
      </c>
      <c r="D31" s="44" t="inlineStr">
        <is>
          <t>Packed Consumer composes Tree with selection, expansion, guides, metadata Badge, and public subpath imports.</t>
        </is>
      </c>
      <c r="E31" s="43" t="inlineStr">
        <is>
          <t>consumer</t>
        </is>
      </c>
      <c r="F31" s="43" t="inlineStr">
        <is>
          <t>consumer</t>
        </is>
      </c>
      <c r="G31" s="44" t="inlineStr">
        <is>
          <t>../apps/consumer/src/App.tsx; ../apps/consumer/tests/consumer.spec.ts</t>
        </is>
      </c>
      <c r="H31" s="43" t="inlineStr">
        <is>
          <t>tested</t>
        </is>
      </c>
      <c r="I31" s="43" t="inlineStr">
        <is>
          <t>no</t>
        </is>
      </c>
      <c r="J31" s="45" t="n">
        <v>46231</v>
      </c>
      <c r="K31" s="44" t="n"/>
      <c r="L31" s="43" t="n">
        <v>1</v>
      </c>
      <c r="M31" s="43">
        <f>IF(OR(AND(I31="yes",H31="verified"),AND(I31="no",OR(H31="tested",H31="verified")),AND(H31="not applicable",K31&lt;&gt;"")),1,0)</f>
        <v/>
      </c>
    </row>
    <row r="32" ht="54" customHeight="1" s="34">
      <c r="A32" s="43" t="inlineStr">
        <is>
          <t>TR-24</t>
        </is>
      </c>
      <c r="B32" s="43" t="inlineStr">
        <is>
          <t>Manual</t>
        </is>
      </c>
      <c r="C32" s="43" t="inlineStr">
        <is>
          <t>All parts</t>
        </is>
      </c>
      <c r="D32" s="44" t="inlineStr">
        <is>
          <t>Owner reviews keyboard, screen reader, zoom, touch, RTL, appearance, preferences, content stress, and component boundaries.</t>
        </is>
      </c>
      <c r="E32" s="43" t="inlineStr">
        <is>
          <t>package</t>
        </is>
      </c>
      <c r="F32" s="43" t="inlineStr">
        <is>
          <t>manual</t>
        </is>
      </c>
      <c r="G32" s="44" t="inlineStr">
        <is>
          <t>manual-tests/tree.md</t>
        </is>
      </c>
      <c r="H32" s="43" t="inlineStr">
        <is>
          <t>not started</t>
        </is>
      </c>
      <c r="I32" s="43" t="inlineStr">
        <is>
          <t>yes</t>
        </is>
      </c>
      <c r="J32" s="45" t="n">
        <v>46231</v>
      </c>
      <c r="K32" s="44" t="inlineStr">
        <is>
          <t>Human run intentionally unclaimed.</t>
        </is>
      </c>
      <c r="L32" s="43" t="n">
        <v>1</v>
      </c>
      <c r="M32" s="43">
        <f>IF(OR(AND(I32="yes",H32="verified"),AND(I32="no",OR(H32="tested",H32="verified")),AND(H32="not applicable",K32&lt;&gt;"")),1,0)</f>
        <v/>
      </c>
    </row>
    <row r="33" ht="54" customHeight="1" s="34">
      <c r="A33" s="43" t="inlineStr">
        <is>
          <t>TR-25</t>
        </is>
      </c>
      <c r="B33" s="43" t="inlineStr">
        <is>
          <t>Package</t>
        </is>
      </c>
      <c r="C33" s="43" t="inlineStr">
        <is>
          <t>Artifact</t>
        </is>
      </c>
      <c r="D33" s="44" t="inlineStr">
        <is>
          <t>Build, declarations, exports, SSR, CSS, docs, tarball, consumers, browser matrix, and CI pass.</t>
        </is>
      </c>
      <c r="E33" s="43" t="inlineStr">
        <is>
          <t>package</t>
        </is>
      </c>
      <c r="F33" s="43" t="inlineStr">
        <is>
          <t>package</t>
        </is>
      </c>
      <c r="G33" s="44" t="inlineStr">
        <is>
          <t>../test/package/package.test.mjs; ../scripts/verify-package.mjs</t>
        </is>
      </c>
      <c r="H33" s="43" t="inlineStr">
        <is>
          <t>tested</t>
        </is>
      </c>
      <c r="I33" s="43" t="inlineStr">
        <is>
          <t>no</t>
        </is>
      </c>
      <c r="J33" s="45" t="n">
        <v>46231</v>
      </c>
      <c r="K33" s="44" t="n"/>
      <c r="L33" s="43" t="n">
        <v>1</v>
      </c>
      <c r="M33" s="43">
        <f>IF(OR(AND(I33="yes",H33="verified"),AND(I33="no",OR(H33="tested",H33="verified")),AND(H33="not applicable",K33&lt;&gt;"")),1,0)</f>
        <v/>
      </c>
    </row>
    <row r="34" ht="54" customHeight="1" s="34">
      <c r="A34" s="43" t="inlineStr">
        <is>
          <t>TR-26</t>
        </is>
      </c>
      <c r="B34" s="43" t="inlineStr">
        <is>
          <t>Boundary</t>
        </is>
      </c>
      <c r="C34" s="43" t="inlineStr">
        <is>
          <t>All parts</t>
        </is>
      </c>
      <c r="D34" s="44" t="inlineStr">
        <is>
          <t>Tree Grid, loading, filtering, links, checking, rename, drag/drop, virtualization, context menus, routing, persistence, and interactive descendants remain outside Tree.</t>
        </is>
      </c>
      <c r="E34" s="43" t="inlineStr">
        <is>
          <t>package</t>
        </is>
      </c>
      <c r="F34" s="43" t="inlineStr">
        <is>
          <t>documentation</t>
        </is>
      </c>
      <c r="G34" s="44" t="inlineStr">
        <is>
          <t>../docs/components/tree/README.md</t>
        </is>
      </c>
      <c r="H34" s="43" t="inlineStr">
        <is>
          <t>tested</t>
        </is>
      </c>
      <c r="I34" s="43" t="inlineStr">
        <is>
          <t>no</t>
        </is>
      </c>
      <c r="J34" s="45" t="n">
        <v>46231</v>
      </c>
      <c r="K34" s="44" t="n"/>
      <c r="L34" s="43" t="n">
        <v>1</v>
      </c>
      <c r="M34" s="43">
        <f>IF(OR(AND(I34="yes",H34="verified"),AND(I34="no",OR(H34="tested",H34="verified")),AND(H34="not applicable",K34&lt;&gt;"")),1,0)</f>
        <v/>
      </c>
    </row>
    <row r="35" ht="54" customHeight="1" s="34">
      <c r="A35" s="43" t="n"/>
      <c r="B35" s="43" t="n"/>
      <c r="C35" s="43" t="n"/>
      <c r="D35" s="44" t="n"/>
      <c r="E35" s="43" t="n"/>
      <c r="F35" s="43" t="n"/>
      <c r="G35" s="44" t="n"/>
      <c r="H35" s="43" t="n"/>
      <c r="I35" s="43" t="n"/>
      <c r="J35" s="45" t="n"/>
      <c r="K35" s="44" t="n"/>
      <c r="L35" s="43" t="n"/>
      <c r="M35" s="43" t="n"/>
    </row>
    <row r="36" ht="54" customHeight="1" s="34">
      <c r="A36" s="43" t="n"/>
      <c r="B36" s="43" t="n"/>
      <c r="C36" s="43" t="n"/>
      <c r="D36" s="44" t="n"/>
      <c r="E36" s="43" t="n"/>
      <c r="F36" s="43" t="n"/>
      <c r="G36" s="44" t="n"/>
      <c r="H36" s="43" t="n"/>
      <c r="I36" s="43" t="n"/>
      <c r="J36" s="45" t="n"/>
      <c r="K36" s="44" t="n"/>
      <c r="L36" s="43" t="n"/>
      <c r="M36" s="43" t="n"/>
    </row>
    <row r="37" ht="54" customHeight="1" s="34">
      <c r="A37" s="43" t="n"/>
      <c r="B37" s="43" t="n"/>
      <c r="C37" s="43" t="n"/>
      <c r="D37" s="44" t="n"/>
      <c r="E37" s="43" t="n"/>
      <c r="F37" s="43" t="n"/>
      <c r="G37" s="44" t="n"/>
      <c r="H37" s="43" t="n"/>
      <c r="I37" s="43" t="n"/>
      <c r="J37" s="45" t="n"/>
      <c r="K37" s="44" t="n"/>
      <c r="L37" s="43" t="n"/>
      <c r="M37" s="43" t="n"/>
    </row>
    <row r="38" ht="54" customHeight="1" s="34">
      <c r="A38" s="43" t="n"/>
      <c r="B38" s="43" t="n"/>
      <c r="C38" s="43" t="n"/>
      <c r="D38" s="44" t="n"/>
      <c r="E38" s="43" t="n"/>
      <c r="F38" s="43" t="n"/>
      <c r="G38" s="44" t="n"/>
      <c r="H38" s="43" t="n"/>
      <c r="I38" s="43" t="n"/>
      <c r="J38" s="45" t="n"/>
      <c r="K38" s="44" t="n"/>
      <c r="L38" s="43" t="n"/>
      <c r="M38" s="43" t="n"/>
    </row>
    <row r="39" ht="54" customHeight="1" s="34">
      <c r="A39" s="43" t="n"/>
      <c r="B39" s="43" t="n"/>
      <c r="C39" s="43" t="n"/>
      <c r="D39" s="44" t="n"/>
      <c r="E39" s="43" t="n"/>
      <c r="F39" s="43" t="n"/>
      <c r="G39" s="44" t="n"/>
      <c r="H39" s="43" t="n"/>
      <c r="I39" s="43" t="n"/>
      <c r="J39" s="45" t="n"/>
      <c r="K39" s="44" t="n"/>
      <c r="L39" s="43" t="n"/>
      <c r="M39"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3.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Feed Evidence</t>
        </is>
      </c>
    </row>
    <row r="2" ht="27.75" customHeight="1" s="34">
      <c r="A2" s="36" t="inlineStr">
        <is>
          <t>Assertion-level Atom ownership, direct anatomy, dynamic positions, keyboard focus, recipes, accessibility, package, Consumer, playground, visual, and manual evidence.</t>
        </is>
      </c>
    </row>
    <row r="4" ht="17.25" customHeight="1" s="34">
      <c r="A4" s="37" t="inlineStr">
        <is>
          <t>Requirements</t>
        </is>
      </c>
      <c r="B4" s="38">
        <f>COUNTA(A9:A39)</f>
        <v/>
      </c>
      <c r="D4" s="37" t="inlineStr">
        <is>
          <t>Resolved</t>
        </is>
      </c>
      <c r="E4" s="38">
        <f>SUM(M9:M39)</f>
        <v/>
      </c>
      <c r="G4" s="37" t="inlineStr">
        <is>
          <t>Completion</t>
        </is>
      </c>
      <c r="H4" s="39">
        <f>IF(B4=0,0,E4/B4)</f>
        <v/>
      </c>
      <c r="J4" s="37" t="inlineStr">
        <is>
          <t>Package gate</t>
        </is>
      </c>
      <c r="K4" s="38">
        <f>IF(COUNTIFS(E9:E39,"package",M9:M39,0)&gt;0,"open","complete")</f>
        <v/>
      </c>
    </row>
    <row r="5" ht="17.25" customHeight="1" s="34">
      <c r="A5" s="37" t="inlineStr">
        <is>
          <t>Manual review</t>
        </is>
      </c>
      <c r="B5" s="38">
        <f>IF(COUNTIFS(I9:I39,"yes",M9:M39,0)&gt;0,"open","complete")</f>
        <v/>
      </c>
      <c r="D5" s="37" t="inlineStr">
        <is>
          <t>Consumer gate</t>
        </is>
      </c>
      <c r="E5" s="38">
        <f>IF(COUNTIFS(E9:E39,"consumer",M9:M39,0)&gt;0,"open","complete")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FD-01</t>
        </is>
      </c>
      <c r="B9" s="43" t="inlineStr">
        <is>
          <t>Atom ownership</t>
        </is>
      </c>
      <c r="C9" s="43" t="inlineStr">
        <is>
          <t>Root / Item</t>
        </is>
      </c>
      <c r="D9" s="44" t="inlineStr">
        <is>
          <t>Brick styles and forwards the released Atom Feed contract; Atom 0.20.11 owns roles, dynamic metadata, Page Up/Down movement, focus handoff, and the nearest-item reveal correction.</t>
        </is>
      </c>
      <c r="E9" s="43" t="inlineStr">
        <is>
          <t>package</t>
        </is>
      </c>
      <c r="F9" s="43" t="inlineStr">
        <is>
          <t>source</t>
        </is>
      </c>
      <c r="G9" s="44" t="inlineStr">
        <is>
          <t>../src/components/feed/Feed.tsx; @flowstack-ui/atom 0.19.8</t>
        </is>
      </c>
      <c r="H9" s="43" t="inlineStr">
        <is>
          <t>tested</t>
        </is>
      </c>
      <c r="I9" s="43" t="inlineStr">
        <is>
          <t>no</t>
        </is>
      </c>
      <c r="J9" s="45" t="n">
        <v>46232</v>
      </c>
      <c r="K9" s="44" t="inlineStr">
        <is>
          <t>Released Atom package and Brick adapter audit pass.</t>
        </is>
      </c>
      <c r="L9" s="43" t="n">
        <v>1</v>
      </c>
      <c r="M9" s="43">
        <f>IF(OR(AND(I9="yes",H9="verified"),AND(I9="no",OR(H9="tested",H9="verified")),AND(H9="not applicable",K9&lt;&gt;"")),1,0)</f>
        <v/>
      </c>
    </row>
    <row r="10" ht="54" customHeight="1" s="34">
      <c r="A10" s="43" t="inlineStr">
        <is>
          <t>FD-02</t>
        </is>
      </c>
      <c r="B10" s="43" t="inlineStr">
        <is>
          <t>API</t>
        </is>
      </c>
      <c r="C10" s="43" t="inlineStr">
        <is>
          <t>Root / Item</t>
        </is>
      </c>
      <c r="D10" s="44" t="inlineStr">
        <is>
          <t>The public namespace contains exactly Root and Item, with no Brick-owned loading, list, virtualizer, selection, or item-content schema.</t>
        </is>
      </c>
      <c r="E10" s="43" t="inlineStr">
        <is>
          <t>package</t>
        </is>
      </c>
      <c r="F10" s="43" t="inlineStr">
        <is>
          <t>component</t>
        </is>
      </c>
      <c r="G10" s="44" t="inlineStr">
        <is>
          <t>../test/components/feed/feed.test.tsx; ../docs/components/feed/README.md</t>
        </is>
      </c>
      <c r="H10" s="43" t="inlineStr">
        <is>
          <t>tested</t>
        </is>
      </c>
      <c r="I10" s="43" t="inlineStr">
        <is>
          <t>no</t>
        </is>
      </c>
      <c r="J10" s="45" t="n">
        <v>46232</v>
      </c>
      <c r="K10" s="44" t="inlineStr">
        <is>
          <t>Closed namespace and exclusion assertions pass.</t>
        </is>
      </c>
      <c r="L10" s="43" t="n">
        <v>1</v>
      </c>
      <c r="M10" s="43">
        <f>IF(OR(AND(I10="yes",H10="verified"),AND(I10="no",OR(H10="tested",H10="verified")),AND(H10="not applicable",K10&lt;&gt;"")),1,0)</f>
        <v/>
      </c>
    </row>
    <row r="11" ht="54" customHeight="1" s="34">
      <c r="A11" s="43" t="inlineStr">
        <is>
          <t>FD-03</t>
        </is>
      </c>
      <c r="B11" s="43" t="inlineStr">
        <is>
          <t>Anatomy</t>
        </is>
      </c>
      <c r="C11" s="43" t="inlineStr">
        <is>
          <t>Root / Item</t>
        </is>
      </c>
      <c r="D11" s="44" t="inlineStr">
        <is>
          <t>Root directly contains focusable Item article hosts without a Brick wrapper, cloned child, or invented internal content element.</t>
        </is>
      </c>
      <c r="E11" s="43" t="inlineStr">
        <is>
          <t>package</t>
        </is>
      </c>
      <c r="F11" s="43" t="inlineStr">
        <is>
          <t>component</t>
        </is>
      </c>
      <c r="G11" s="44" t="inlineStr">
        <is>
          <t>../test/components/feed/feed.test.tsx; tests/components/feed/behavior.spec.ts</t>
        </is>
      </c>
      <c r="H11" s="43" t="inlineStr">
        <is>
          <t>tested</t>
        </is>
      </c>
      <c r="I11" s="43" t="inlineStr">
        <is>
          <t>no</t>
        </is>
      </c>
      <c r="J11" s="45" t="n">
        <v>46232</v>
      </c>
      <c r="K11" s="44" t="inlineStr">
        <is>
          <t>Direct-child and rendered anatomy assertions pass.</t>
        </is>
      </c>
      <c r="L11" s="43" t="n">
        <v>1</v>
      </c>
      <c r="M11" s="43">
        <f>IF(OR(AND(I11="yes",H11="verified"),AND(I11="no",OR(H11="tested",H11="verified")),AND(H11="not applicable",K11&lt;&gt;"")),1,0)</f>
        <v/>
      </c>
    </row>
    <row r="12" ht="54" customHeight="1" s="34">
      <c r="A12" s="43" t="inlineStr">
        <is>
          <t>FD-04</t>
        </is>
      </c>
      <c r="B12" s="43" t="inlineStr">
        <is>
          <t>Root semantics</t>
        </is>
      </c>
      <c r="C12" s="43" t="inlineStr">
        <is>
          <t>Root</t>
        </is>
      </c>
      <c r="D12" s="44" t="inlineStr">
        <is>
          <t>The native div exposes role feed, accessible naming, aria-busy only while busy, and an optional known or unknown set size without inventing live-region behavior.</t>
        </is>
      </c>
      <c r="E12" s="43" t="inlineStr">
        <is>
          <t>browser</t>
        </is>
      </c>
      <c r="F12" s="43" t="inlineStr">
        <is>
          <t>browser</t>
        </is>
      </c>
      <c r="G12" s="44" t="inlineStr">
        <is>
          <t>tests/components/feed/behavior.spec.ts; @flowstack-ui/atom 0.19.8 behavior suite</t>
        </is>
      </c>
      <c r="H12" s="43" t="inlineStr">
        <is>
          <t>tested</t>
        </is>
      </c>
      <c r="I12" s="43" t="inlineStr">
        <is>
          <t>no</t>
        </is>
      </c>
      <c r="J12" s="45" t="n">
        <v>46232</v>
      </c>
      <c r="K12" s="44" t="inlineStr">
        <is>
          <t>Semantic and dynamic metadata assertions pass in five projects.</t>
        </is>
      </c>
      <c r="L12" s="43" t="n">
        <v>1</v>
      </c>
      <c r="M12" s="43">
        <f>IF(OR(AND(I12="yes",H12="verified"),AND(I12="no",OR(H12="tested",H12="verified")),AND(H12="not applicable",K12&lt;&gt;"")),1,0)</f>
        <v/>
      </c>
    </row>
    <row r="13" ht="54" customHeight="1" s="34">
      <c r="A13" s="43" t="inlineStr">
        <is>
          <t>FD-05</t>
        </is>
      </c>
      <c r="B13" s="43" t="inlineStr">
        <is>
          <t>Item semantics</t>
        </is>
      </c>
      <c r="C13" s="43" t="inlineStr">
        <is>
          <t>Item</t>
        </is>
      </c>
      <c r="D13" s="44" t="inlineStr">
        <is>
          <t>Each direct article is programmatically named, receives a one-based position and optional known set size, remains focusable, and preserves nested interactive descendants.</t>
        </is>
      </c>
      <c r="E13" s="43" t="inlineStr">
        <is>
          <t>browser</t>
        </is>
      </c>
      <c r="F13" s="43" t="inlineStr">
        <is>
          <t>browser</t>
        </is>
      </c>
      <c r="G13" s="44" t="inlineStr">
        <is>
          <t>tests/components/feed/behavior.spec.ts; @flowstack-ui/atom 0.19.8 behavior suite</t>
        </is>
      </c>
      <c r="H13" s="43" t="inlineStr">
        <is>
          <t>tested</t>
        </is>
      </c>
      <c r="I13" s="43" t="inlineStr">
        <is>
          <t>no</t>
        </is>
      </c>
      <c r="J13" s="45" t="n">
        <v>46232</v>
      </c>
      <c r="K13" s="44" t="inlineStr">
        <is>
          <t>Article relationships and descendant-interaction assertions pass.</t>
        </is>
      </c>
      <c r="L13" s="43" t="n">
        <v>1</v>
      </c>
      <c r="M13" s="43">
        <f>IF(OR(AND(I13="yes",H13="verified"),AND(I13="no",OR(H13="tested",H13="verified")),AND(H13="not applicable",K13&lt;&gt;"")),1,0)</f>
        <v/>
      </c>
    </row>
    <row r="14" ht="54" customHeight="1" s="34">
      <c r="A14" s="43" t="inlineStr">
        <is>
          <t>FD-06</t>
        </is>
      </c>
      <c r="B14" s="43" t="inlineStr">
        <is>
          <t>Dynamic positions</t>
        </is>
      </c>
      <c r="C14" s="43" t="inlineStr">
        <is>
          <t>Root / Item</t>
        </is>
      </c>
      <c r="D14" s="44" t="inlineStr">
        <is>
          <t>Application-owned prepend, append, remove, busy, known-size, and unknown-size updates keep every surviving Item position and Root size coherent.</t>
        </is>
      </c>
      <c r="E14" s="43" t="inlineStr">
        <is>
          <t>browser</t>
        </is>
      </c>
      <c r="F14" s="43" t="inlineStr">
        <is>
          <t>browser</t>
        </is>
      </c>
      <c r="G14" s="44" t="inlineStr">
        <is>
          <t>tests/components/feed/behavior.spec.ts</t>
        </is>
      </c>
      <c r="H14" s="43" t="inlineStr">
        <is>
          <t>tested</t>
        </is>
      </c>
      <c r="I14" s="43" t="inlineStr">
        <is>
          <t>no</t>
        </is>
      </c>
      <c r="J14" s="45" t="n">
        <v>46232</v>
      </c>
      <c r="K14" s="44" t="inlineStr">
        <is>
          <t>Mutation and metadata assertions pass in all configured projects.</t>
        </is>
      </c>
      <c r="L14" s="43" t="n">
        <v>1</v>
      </c>
      <c r="M14" s="43">
        <f>IF(OR(AND(I14="yes",H14="verified"),AND(I14="no",OR(H14="tested",H14="verified")),AND(H14="not applicable",K14&lt;&gt;"")),1,0)</f>
        <v/>
      </c>
    </row>
    <row r="15" ht="54" customHeight="1" s="34">
      <c r="A15" s="43" t="inlineStr">
        <is>
          <t>FD-07</t>
        </is>
      </c>
      <c r="B15" s="43" t="inlineStr">
        <is>
          <t>Keyboard</t>
        </is>
      </c>
      <c r="C15" s="43" t="inlineStr">
        <is>
          <t>Root / Item</t>
        </is>
      </c>
      <c r="D15" s="44" t="inlineStr">
        <is>
          <t>Page Down and Page Up move between adjacent Item articles only while an Item or its descendant is the event target.</t>
        </is>
      </c>
      <c r="E15" s="43" t="inlineStr">
        <is>
          <t>browser</t>
        </is>
      </c>
      <c r="F15" s="43" t="inlineStr">
        <is>
          <t>browser</t>
        </is>
      </c>
      <c r="G15" s="44" t="inlineStr">
        <is>
          <t>tests/components/feed/behavior.spec.ts; @flowstack-ui/atom 0.19.8 behavior suite</t>
        </is>
      </c>
      <c r="H15" s="43" t="inlineStr">
        <is>
          <t>tested</t>
        </is>
      </c>
      <c r="I15" s="43" t="inlineStr">
        <is>
          <t>no</t>
        </is>
      </c>
      <c r="J15" s="45" t="n">
        <v>46232</v>
      </c>
      <c r="K15" s="44" t="inlineStr">
        <is>
          <t>Forward, backward, and descendant-origin movement assertions pass.</t>
        </is>
      </c>
      <c r="L15" s="43" t="n">
        <v>1</v>
      </c>
      <c r="M15" s="43">
        <f>IF(OR(AND(I15="yes",H15="verified"),AND(I15="no",OR(H15="tested",H15="verified")),AND(H15="not applicable",K15&lt;&gt;"")),1,0)</f>
        <v/>
      </c>
    </row>
    <row r="16" ht="54" customHeight="1" s="34">
      <c r="A16" s="43" t="inlineStr">
        <is>
          <t>FD-08</t>
        </is>
      </c>
      <c r="B16" s="43" t="inlineStr">
        <is>
          <t>Focus boundary</t>
        </is>
      </c>
      <c r="C16" s="43" t="inlineStr">
        <is>
          <t>Root / Item</t>
        </is>
      </c>
      <c r="D16" s="44" t="inlineStr">
        <is>
          <t>Movement beyond the first or last Item transfers focus to the nearest focusable control outside the Feed instead of trapping focus.</t>
        </is>
      </c>
      <c r="E16" s="43" t="inlineStr">
        <is>
          <t>browser</t>
        </is>
      </c>
      <c r="F16" s="43" t="inlineStr">
        <is>
          <t>browser</t>
        </is>
      </c>
      <c r="G16" s="44" t="inlineStr">
        <is>
          <t>tests/components/feed/behavior.spec.ts; @flowstack-ui/atom 0.19.8 behavior suite</t>
        </is>
      </c>
      <c r="H16" s="43" t="inlineStr">
        <is>
          <t>tested</t>
        </is>
      </c>
      <c r="I16" s="43" t="inlineStr">
        <is>
          <t>no</t>
        </is>
      </c>
      <c r="J16" s="45" t="n">
        <v>46232</v>
      </c>
      <c r="K16" s="44" t="inlineStr">
        <is>
          <t>Before-feed and after-feed focus handoff assertions pass.</t>
        </is>
      </c>
      <c r="L16" s="43" t="n">
        <v>1</v>
      </c>
      <c r="M16" s="43">
        <f>IF(OR(AND(I16="yes",H16="verified"),AND(I16="no",OR(H16="tested",H16="verified")),AND(H16="not applicable",K16&lt;&gt;"")),1,0)</f>
        <v/>
      </c>
    </row>
    <row r="17" ht="54" customHeight="1" s="34">
      <c r="A17" s="43" t="inlineStr">
        <is>
          <t>FD-09</t>
        </is>
      </c>
      <c r="B17" s="43" t="inlineStr">
        <is>
          <t>Reveal</t>
        </is>
      </c>
      <c r="C17" s="43" t="inlineStr">
        <is>
          <t>Item</t>
        </is>
      </c>
      <c r="D17" s="44" t="inlineStr">
        <is>
          <t>Keyboard movement focuses the destination Item and scrolls it into the nearest visible position inside a bounded Scroll Area.</t>
        </is>
      </c>
      <c r="E17" s="43" t="inlineStr">
        <is>
          <t>browser</t>
        </is>
      </c>
      <c r="F17" s="43" t="inlineStr">
        <is>
          <t>browser</t>
        </is>
      </c>
      <c r="G17" s="44" t="inlineStr">
        <is>
          <t>tests/components/feed/behavior.spec.ts; @flowstack-ui/atom 0.19.8 behavior suite</t>
        </is>
      </c>
      <c r="H17" s="43" t="inlineStr">
        <is>
          <t>tested</t>
        </is>
      </c>
      <c r="I17" s="43" t="inlineStr">
        <is>
          <t>no</t>
        </is>
      </c>
      <c r="J17" s="45" t="n">
        <v>46232</v>
      </c>
      <c r="K17" s="44" t="inlineStr">
        <is>
          <t>Offscreen destination reveal passes in Chromium, Firefox, and WebKit.</t>
        </is>
      </c>
      <c r="L17" s="43" t="n">
        <v>1</v>
      </c>
      <c r="M17" s="43">
        <f>IF(OR(AND(I17="yes",H17="verified"),AND(I17="no",OR(H17="tested",H17="verified")),AND(H17="not applicable",K17&lt;&gt;"")),1,0)</f>
        <v/>
      </c>
    </row>
    <row r="18" ht="54" customHeight="1" s="34">
      <c r="A18" s="43" t="inlineStr">
        <is>
          <t>FD-10</t>
        </is>
      </c>
      <c r="B18" s="43" t="inlineStr">
        <is>
          <t>Event ownership</t>
        </is>
      </c>
      <c r="C18" s="43" t="inlineStr">
        <is>
          <t>Root</t>
        </is>
      </c>
      <c r="D18" s="44" t="inlineStr">
        <is>
          <t>A consumer onKeyDown handler can prevent the Atom Page-key movement before the default focus change occurs.</t>
        </is>
      </c>
      <c r="E18" s="43" t="inlineStr">
        <is>
          <t>browser</t>
        </is>
      </c>
      <c r="F18" s="43" t="inlineStr">
        <is>
          <t>browser</t>
        </is>
      </c>
      <c r="G18" s="44" t="inlineStr">
        <is>
          <t>tests/components/feed/behavior.spec.ts; @flowstack-ui/atom 0.19.8 behavior suite</t>
        </is>
      </c>
      <c r="H18" s="43" t="inlineStr">
        <is>
          <t>tested</t>
        </is>
      </c>
      <c r="I18" s="43" t="inlineStr">
        <is>
          <t>no</t>
        </is>
      </c>
      <c r="J18" s="45" t="n">
        <v>46232</v>
      </c>
      <c r="K18" s="44" t="inlineStr">
        <is>
          <t>Consumer prevention assertion passes in five projects.</t>
        </is>
      </c>
      <c r="L18" s="43" t="n">
        <v>1</v>
      </c>
      <c r="M18" s="43">
        <f>IF(OR(AND(I18="yes",H18="verified"),AND(I18="no",OR(H18="tested",H18="verified")),AND(H18="not applicable",K18&lt;&gt;"")),1,0)</f>
        <v/>
      </c>
    </row>
    <row r="19" ht="54" customHeight="1" s="34">
      <c r="A19" s="43" t="inlineStr">
        <is>
          <t>FD-11</t>
        </is>
      </c>
      <c r="B19" s="43" t="inlineStr">
        <is>
          <t>Exports</t>
        </is>
      </c>
      <c r="C19" s="43" t="inlineStr">
        <is>
          <t>Feed</t>
        </is>
      </c>
      <c r="D19" s="44" t="inlineStr">
        <is>
          <t>Root and feed subpath exports expose Feed, FeedRootProps, FeedItemProps, FeedVariant, and FeedDensity with identical runtime identity.</t>
        </is>
      </c>
      <c r="E19" s="43" t="inlineStr">
        <is>
          <t>package</t>
        </is>
      </c>
      <c r="F19" s="43" t="inlineStr">
        <is>
          <t>package</t>
        </is>
      </c>
      <c r="G19" s="44" t="inlineStr">
        <is>
          <t>../test/package/package.test.mjs; ../package.json</t>
        </is>
      </c>
      <c r="H19" s="43" t="inlineStr">
        <is>
          <t>tested</t>
        </is>
      </c>
      <c r="I19" s="43" t="inlineStr">
        <is>
          <t>no</t>
        </is>
      </c>
      <c r="J19" s="45" t="n">
        <v>46232</v>
      </c>
      <c r="K19" s="44" t="inlineStr">
        <is>
          <t>Root, subpath, declaration, and clean-consumer export checks pass.</t>
        </is>
      </c>
      <c r="L19" s="43" t="n">
        <v>1</v>
      </c>
      <c r="M19" s="43">
        <f>IF(OR(AND(I19="yes",H19="verified"),AND(I19="no",OR(H19="tested",H19="verified")),AND(H19="not applicable",K19&lt;&gt;"")),1,0)</f>
        <v/>
      </c>
    </row>
    <row r="20" ht="54" customHeight="1" s="34">
      <c r="A20" s="43" t="inlineStr">
        <is>
          <t>FD-12</t>
        </is>
      </c>
      <c r="B20" s="43" t="inlineStr">
        <is>
          <t>Types</t>
        </is>
      </c>
      <c r="C20" s="43" t="inlineStr">
        <is>
          <t>Public surface</t>
        </is>
      </c>
      <c r="D20" s="44" t="inlineStr">
        <is>
          <t>Atom Root and Item props, refs, render/asChild composition, native events, aria/data attributes, closed variant and density recipes, className, and style type-check.</t>
        </is>
      </c>
      <c r="E20" s="43" t="inlineStr">
        <is>
          <t>package</t>
        </is>
      </c>
      <c r="F20" s="43" t="inlineStr">
        <is>
          <t>types</t>
        </is>
      </c>
      <c r="G20" s="44" t="inlineStr">
        <is>
          <t>../test/types/components/feed.test.ts</t>
        </is>
      </c>
      <c r="H20" s="43" t="inlineStr">
        <is>
          <t>tested</t>
        </is>
      </c>
      <c r="I20" s="43" t="inlineStr">
        <is>
          <t>no</t>
        </is>
      </c>
      <c r="J20" s="45" t="n">
        <v>46232</v>
      </c>
      <c r="K20" s="44" t="inlineStr">
        <is>
          <t>Positive and negative public-surface type checks pass.</t>
        </is>
      </c>
      <c r="L20" s="43" t="n">
        <v>1</v>
      </c>
      <c r="M20" s="43">
        <f>IF(OR(AND(I20="yes",H20="verified"),AND(I20="no",OR(H20="tested",H20="verified")),AND(H20="not applicable",K20&lt;&gt;"")),1,0)</f>
        <v/>
      </c>
    </row>
    <row r="21" ht="54" customHeight="1" s="34">
      <c r="A21" s="43" t="inlineStr">
        <is>
          <t>FD-13</t>
        </is>
      </c>
      <c r="B21" s="43" t="inlineStr">
        <is>
          <t>SSR</t>
        </is>
      </c>
      <c r="C21" s="43" t="inlineStr">
        <is>
          <t>Root / Item</t>
        </is>
      </c>
      <c r="D21" s="44" t="inlineStr">
        <is>
          <t>Feed imports server-safely and emits deterministic direct role feed and article anatomy without browser reads during render.</t>
        </is>
      </c>
      <c r="E21" s="43" t="inlineStr">
        <is>
          <t>package</t>
        </is>
      </c>
      <c r="F21" s="43" t="inlineStr">
        <is>
          <t>package</t>
        </is>
      </c>
      <c r="G21" s="44" t="inlineStr">
        <is>
          <t>../test/package/ssr.test.mjs</t>
        </is>
      </c>
      <c r="H21" s="43" t="inlineStr">
        <is>
          <t>tested</t>
        </is>
      </c>
      <c r="I21" s="43" t="inlineStr">
        <is>
          <t>no</t>
        </is>
      </c>
      <c r="J21" s="45" t="n">
        <v>46232</v>
      </c>
      <c r="K21" s="44" t="inlineStr">
        <is>
          <t>SSR and clean React 18/19 consumer checks pass.</t>
        </is>
      </c>
      <c r="L21" s="43" t="n">
        <v>1</v>
      </c>
      <c r="M21" s="43">
        <f>IF(OR(AND(I21="yes",H21="verified"),AND(I21="no",OR(H21="tested",H21="verified")),AND(H21="not applicable",K21&lt;&gt;"")),1,0)</f>
        <v/>
      </c>
    </row>
    <row r="22" ht="54" customHeight="1" s="34">
      <c r="A22" s="43" t="inlineStr">
        <is>
          <t>FD-14</t>
        </is>
      </c>
      <c r="B22" s="43" t="inlineStr">
        <is>
          <t>CSS</t>
        </is>
      </c>
      <c r="C22" s="43" t="inlineStr">
        <is>
          <t>Root / Item</t>
        </is>
      </c>
      <c r="D22" s="44" t="inlineStr">
        <is>
          <t>Production CSS ships the documented variables, logical layout, divided separators, outline item boundaries, preference fallbacks, and no undeclared global selector.</t>
        </is>
      </c>
      <c r="E22" s="43" t="inlineStr">
        <is>
          <t>package</t>
        </is>
      </c>
      <c r="F22" s="43" t="inlineStr">
        <is>
          <t>css</t>
        </is>
      </c>
      <c r="G22" s="44" t="inlineStr">
        <is>
          <t>../src/components/feed/feed.css; ../scripts/build-styles.mjs</t>
        </is>
      </c>
      <c r="H22" s="43" t="inlineStr">
        <is>
          <t>tested</t>
        </is>
      </c>
      <c r="I22" s="43" t="inlineStr">
        <is>
          <t>no</t>
        </is>
      </c>
      <c r="J22" s="45" t="n">
        <v>46232</v>
      </c>
      <c r="K22" s="44" t="inlineStr">
        <is>
          <t>Production CSS, prototype, package, and semantic documentation checks pass.</t>
        </is>
      </c>
      <c r="L22" s="43" t="n">
        <v>1</v>
      </c>
      <c r="M22" s="43">
        <f>IF(OR(AND(I22="yes",H22="verified"),AND(I22="no",OR(H22="tested",H22="verified")),AND(H22="not applicable",K22&lt;&gt;"")),1,0)</f>
        <v/>
      </c>
    </row>
    <row r="23" ht="54" customHeight="1" s="34">
      <c r="A23" s="43" t="inlineStr">
        <is>
          <t>FD-15</t>
        </is>
      </c>
      <c r="B23" s="43" t="inlineStr">
        <is>
          <t>Variants</t>
        </is>
      </c>
      <c r="C23" s="43" t="inlineStr">
        <is>
          <t>Root / Item</t>
        </is>
      </c>
      <c r="D23" s="44" t="inlineStr">
        <is>
          <t>Plain, divided, and outline recipes change only article separation and neutral surface treatment; each outline Item owns its rounded background and border.</t>
        </is>
      </c>
      <c r="E23" s="43" t="inlineStr">
        <is>
          <t>browser</t>
        </is>
      </c>
      <c r="F23" s="43" t="inlineStr">
        <is>
          <t>visual</t>
        </is>
      </c>
      <c r="G23" s="44" t="inlineStr">
        <is>
          <t>tests/components/feed/behavior.spec.ts; tests/components/feed/visual.spec.ts</t>
        </is>
      </c>
      <c r="H23" s="43" t="inlineStr">
        <is>
          <t>tested</t>
        </is>
      </c>
      <c r="I23" s="43" t="inlineStr">
        <is>
          <t>no</t>
        </is>
      </c>
      <c r="J23" s="45" t="n">
        <v>46232</v>
      </c>
      <c r="K23" s="44" t="inlineStr">
        <is>
          <t>Recipe geometry and rounded containment baselines pass.</t>
        </is>
      </c>
      <c r="L23" s="43" t="n">
        <v>1</v>
      </c>
      <c r="M23" s="43">
        <f>IF(OR(AND(I23="yes",H23="verified"),AND(I23="no",OR(H23="tested",H23="verified")),AND(H23="not applicable",K23&lt;&gt;"")),1,0)</f>
        <v/>
      </c>
    </row>
    <row r="24" ht="54" customHeight="1" s="34">
      <c r="A24" s="43" t="inlineStr">
        <is>
          <t>FD-16</t>
        </is>
      </c>
      <c r="B24" s="43" t="inlineStr">
        <is>
          <t>Density</t>
        </is>
      </c>
      <c r="C24" s="43" t="inlineStr">
        <is>
          <t>Root / Item</t>
        </is>
      </c>
      <c r="D24" s="44" t="inlineStr">
        <is>
          <t>Compact and comfortable recipes change only coordinated gaps and logical Item padding while preserving semantics and action geometry.</t>
        </is>
      </c>
      <c r="E24" s="43" t="inlineStr">
        <is>
          <t>browser</t>
        </is>
      </c>
      <c r="F24" s="43" t="inlineStr">
        <is>
          <t>visual</t>
        </is>
      </c>
      <c r="G24" s="44" t="inlineStr">
        <is>
          <t>tests/components/feed/behavior.spec.ts; tests/components/feed/visual.spec.ts</t>
        </is>
      </c>
      <c r="H24" s="43" t="inlineStr">
        <is>
          <t>tested</t>
        </is>
      </c>
      <c r="I24" s="43" t="inlineStr">
        <is>
          <t>no</t>
        </is>
      </c>
      <c r="J24" s="45" t="n">
        <v>46232</v>
      </c>
      <c r="K24" s="44" t="inlineStr">
        <is>
          <t>Density comparison and baseline pass.</t>
        </is>
      </c>
      <c r="L24" s="43" t="n">
        <v>1</v>
      </c>
      <c r="M24" s="43">
        <f>IF(OR(AND(I24="yes",H24="verified"),AND(I24="no",OR(H24="tested",H24="verified")),AND(H24="not applicable",K24&lt;&gt;"")),1,0)</f>
        <v/>
      </c>
    </row>
    <row r="25" ht="54" customHeight="1" s="34">
      <c r="A25" s="43" t="inlineStr">
        <is>
          <t>FD-17</t>
        </is>
      </c>
      <c r="B25" s="43" t="inlineStr">
        <is>
          <t>Focus paint</t>
        </is>
      </c>
      <c r="C25" s="43" t="inlineStr">
        <is>
          <t>Item / descendants</t>
        </is>
      </c>
      <c r="D25" s="44" t="inlineStr">
        <is>
          <t>Focus-visible paint belongs only to the focused Item; focusing a nested link or button paints that descendant without adding an Item outline.</t>
        </is>
      </c>
      <c r="E25" s="43" t="inlineStr">
        <is>
          <t>browser</t>
        </is>
      </c>
      <c r="F25" s="43" t="inlineStr">
        <is>
          <t>visual</t>
        </is>
      </c>
      <c r="G25" s="44" t="inlineStr">
        <is>
          <t>tests/components/feed/behavior.spec.ts; tests/components/feed/visual.spec.ts</t>
        </is>
      </c>
      <c r="H25" s="43" t="inlineStr">
        <is>
          <t>tested</t>
        </is>
      </c>
      <c r="I25" s="43" t="inlineStr">
        <is>
          <t>no</t>
        </is>
      </c>
      <c r="J25" s="45" t="n">
        <v>46232</v>
      </c>
      <c r="K25" s="44" t="inlineStr">
        <is>
          <t>Item and descendant focus baselines and computed-style assertions pass.</t>
        </is>
      </c>
      <c r="L25" s="43" t="n">
        <v>1</v>
      </c>
      <c r="M25" s="43">
        <f>IF(OR(AND(I25="yes",H25="verified"),AND(I25="no",OR(H25="tested",H25="verified")),AND(H25="not applicable",K25&lt;&gt;"")),1,0)</f>
        <v/>
      </c>
    </row>
    <row r="26" ht="54" customHeight="1" s="34">
      <c r="A26" s="43" t="inlineStr">
        <is>
          <t>FD-18</t>
        </is>
      </c>
      <c r="B26" s="43" t="inlineStr">
        <is>
          <t>Native composition</t>
        </is>
      </c>
      <c r="C26" s="43" t="inlineStr">
        <is>
          <t>Root / Item</t>
        </is>
      </c>
      <c r="D26" s="44" t="inlineStr">
        <is>
          <t>Classes merge Brick first, public slots remain stable, and className, style, native events, aria/data attributes, children, refs, render, and asChild target the public hosts.</t>
        </is>
      </c>
      <c r="E26" s="43" t="inlineStr">
        <is>
          <t>package</t>
        </is>
      </c>
      <c r="F26" s="43" t="inlineStr">
        <is>
          <t>component</t>
        </is>
      </c>
      <c r="G26" s="44" t="inlineStr">
        <is>
          <t>../test/components/feed/feed.test.tsx; tests/components/feed/behavior.spec.ts</t>
        </is>
      </c>
      <c r="H26" s="43" t="inlineStr">
        <is>
          <t>tested</t>
        </is>
      </c>
      <c r="I26" s="43" t="inlineStr">
        <is>
          <t>no</t>
        </is>
      </c>
      <c r="J26" s="45" t="n">
        <v>46232</v>
      </c>
      <c r="K26" s="44" t="inlineStr">
        <is>
          <t>Component and browser composition assertions pass.</t>
        </is>
      </c>
      <c r="L26" s="43" t="n">
        <v>1</v>
      </c>
      <c r="M26" s="43">
        <f>IF(OR(AND(I26="yes",H26="verified"),AND(I26="no",OR(H26="tested",H26="verified")),AND(H26="not applicable",K26&lt;&gt;"")),1,0)</f>
        <v/>
      </c>
    </row>
    <row r="27" ht="54" customHeight="1" s="34">
      <c r="A27" s="43" t="inlineStr">
        <is>
          <t>FD-19</t>
        </is>
      </c>
      <c r="B27" s="43" t="inlineStr">
        <is>
          <t>Rich content</t>
        </is>
      </c>
      <c r="C27" s="43" t="inlineStr">
        <is>
          <t>Item children</t>
        </is>
      </c>
      <c r="D27" s="44" t="inlineStr">
        <is>
          <t>Badges, headings, metadata, links, buttons, and arbitrary authored article content remain ordinary children and keep their own semantics and interaction.</t>
        </is>
      </c>
      <c r="E27" s="43" t="inlineStr">
        <is>
          <t>browser</t>
        </is>
      </c>
      <c r="F27" s="43" t="inlineStr">
        <is>
          <t>browser</t>
        </is>
      </c>
      <c r="G27" s="44" t="inlineStr">
        <is>
          <t>tests/components/feed/behavior.spec.ts; src/components/feed/FeedPage.tsx</t>
        </is>
      </c>
      <c r="H27" s="43" t="inlineStr">
        <is>
          <t>tested</t>
        </is>
      </c>
      <c r="I27" s="43" t="inlineStr">
        <is>
          <t>no</t>
        </is>
      </c>
      <c r="J27" s="45" t="n">
        <v>46232</v>
      </c>
      <c r="K27" s="44" t="inlineStr">
        <is>
          <t>Nested-content interaction and accessibility assertions pass.</t>
        </is>
      </c>
      <c r="L27" s="43" t="n">
        <v>1</v>
      </c>
      <c r="M27" s="43">
        <f>IF(OR(AND(I27="yes",H27="verified"),AND(I27="no",OR(H27="tested",H27="verified")),AND(H27="not applicable",K27&lt;&gt;"")),1,0)</f>
        <v/>
      </c>
    </row>
    <row r="28" ht="54" customHeight="1" s="34">
      <c r="A28" s="43" t="inlineStr">
        <is>
          <t>FD-20</t>
        </is>
      </c>
      <c r="B28" s="43" t="inlineStr">
        <is>
          <t>Responsive</t>
        </is>
      </c>
      <c r="C28" s="43" t="inlineStr">
        <is>
          <t>Root / Item</t>
        </is>
      </c>
      <c r="D28" s="44" t="inlineStr">
        <is>
          <t>Full-width and 320px-constrained streams wrap long localized headings, metadata, summaries, and actions without horizontal component overflow.</t>
        </is>
      </c>
      <c r="E28" s="43" t="inlineStr">
        <is>
          <t>browser</t>
        </is>
      </c>
      <c r="F28" s="43" t="inlineStr">
        <is>
          <t>browser</t>
        </is>
      </c>
      <c r="G28" s="44" t="inlineStr">
        <is>
          <t>tests/components/feed/behavior.spec.ts; tests/components/feed/visual.spec.ts</t>
        </is>
      </c>
      <c r="H28" s="43" t="inlineStr">
        <is>
          <t>tested</t>
        </is>
      </c>
      <c r="I28" s="43" t="inlineStr">
        <is>
          <t>no</t>
        </is>
      </c>
      <c r="J28" s="45" t="n">
        <v>46232</v>
      </c>
      <c r="K28" s="44" t="inlineStr">
        <is>
          <t>Narrow containment passes in desktop and mobile projects.</t>
        </is>
      </c>
      <c r="L28" s="43" t="n">
        <v>1</v>
      </c>
      <c r="M28" s="43">
        <f>IF(OR(AND(I28="yes",H28="verified"),AND(I28="no",OR(H28="tested",H28="verified")),AND(H28="not applicable",K28&lt;&gt;"")),1,0)</f>
        <v/>
      </c>
    </row>
    <row r="29" ht="54" customHeight="1" s="34">
      <c r="A29" s="43" t="inlineStr">
        <is>
          <t>FD-21</t>
        </is>
      </c>
      <c r="B29" s="43" t="inlineStr">
        <is>
          <t>RTL</t>
        </is>
      </c>
      <c r="C29" s="43" t="inlineStr">
        <is>
          <t>Root / Item</t>
        </is>
      </c>
      <c r="D29" s="44" t="inlineStr">
        <is>
          <t>Logical padding, metadata, actions, separators, and outline radii visibly follow genuine Arabic page direction without reversing article order or introducing overflow.</t>
        </is>
      </c>
      <c r="E29" s="43" t="inlineStr">
        <is>
          <t>browser</t>
        </is>
      </c>
      <c r="F29" s="43" t="inlineStr">
        <is>
          <t>browser</t>
        </is>
      </c>
      <c r="G29" s="44" t="inlineStr">
        <is>
          <t>tests/components/feed/behavior.spec.ts; tests/components/feed/visual.spec.ts</t>
        </is>
      </c>
      <c r="H29" s="43" t="inlineStr">
        <is>
          <t>tested</t>
        </is>
      </c>
      <c r="I29" s="43" t="inlineStr">
        <is>
          <t>no</t>
        </is>
      </c>
      <c r="J29" s="45" t="n">
        <v>46232</v>
      </c>
      <c r="K29" s="44" t="inlineStr">
        <is>
          <t>RTL direction, placement, and mobile baseline assertions pass.</t>
        </is>
      </c>
      <c r="L29" s="43" t="n">
        <v>1</v>
      </c>
      <c r="M29" s="43">
        <f>IF(OR(AND(I29="yes",H29="verified"),AND(I29="no",OR(H29="tested",H29="verified")),AND(H29="not applicable",K29&lt;&gt;"")),1,0)</f>
        <v/>
      </c>
    </row>
    <row r="30" ht="54" customHeight="1" s="34">
      <c r="A30" s="43" t="inlineStr">
        <is>
          <t>FD-22</t>
        </is>
      </c>
      <c r="B30" s="43" t="inlineStr">
        <is>
          <t>Appearance and preferences</t>
        </is>
      </c>
      <c r="C30" s="43" t="inlineStr">
        <is>
          <t>Root / Item</t>
        </is>
      </c>
      <c r="D30" s="44" t="inlineStr">
        <is>
          <t>Separate light and dark scopes, forced colors, and reduced motion retain boundaries, focus visibility, readable content, and no color-only state distinction.</t>
        </is>
      </c>
      <c r="E30" s="43" t="inlineStr">
        <is>
          <t>browser</t>
        </is>
      </c>
      <c r="F30" s="43" t="inlineStr">
        <is>
          <t>visual</t>
        </is>
      </c>
      <c r="G30" s="44" t="inlineStr">
        <is>
          <t>tests/components/feed/behavior.spec.ts; tests/components/feed/visual.spec.ts</t>
        </is>
      </c>
      <c r="H30" s="43" t="inlineStr">
        <is>
          <t>tested</t>
        </is>
      </c>
      <c r="I30" s="43" t="inlineStr">
        <is>
          <t>no</t>
        </is>
      </c>
      <c r="J30" s="45" t="n">
        <v>46232</v>
      </c>
      <c r="K30" s="44" t="inlineStr">
        <is>
          <t>Appearance and forced-color evidence passes.</t>
        </is>
      </c>
      <c r="L30" s="43" t="n">
        <v>1</v>
      </c>
      <c r="M30" s="43">
        <f>IF(OR(AND(I30="yes",H30="verified"),AND(I30="no",OR(H30="tested",H30="verified")),AND(H30="not applicable",K30&lt;&gt;"")),1,0)</f>
        <v/>
      </c>
    </row>
    <row r="31" ht="54" customHeight="1" s="34">
      <c r="A31" s="43" t="inlineStr">
        <is>
          <t>FD-23</t>
        </is>
      </c>
      <c r="B31" s="43" t="inlineStr">
        <is>
          <t>Customization</t>
        </is>
      </c>
      <c r="C31" s="43" t="inlineStr">
        <is>
          <t>Root / Item</t>
        </is>
      </c>
      <c r="D31" s="44" t="inlineStr">
        <is>
          <t>Documented Feed variables recolor backgrounds, borders, dividers, focus, radius, inset, and spacing while preserving rounded ownership and Atom behavior.</t>
        </is>
      </c>
      <c r="E31" s="43" t="inlineStr">
        <is>
          <t>package</t>
        </is>
      </c>
      <c r="F31" s="43" t="inlineStr">
        <is>
          <t>component</t>
        </is>
      </c>
      <c r="G31" s="44" t="inlineStr">
        <is>
          <t>../test/components/feed/feed.test.tsx; ../docs/components/feed/README.md; tests/components/feed/behavior.spec.ts</t>
        </is>
      </c>
      <c r="H31" s="43" t="inlineStr">
        <is>
          <t>tested</t>
        </is>
      </c>
      <c r="I31" s="43" t="inlineStr">
        <is>
          <t>no</t>
        </is>
      </c>
      <c r="J31" s="45" t="n">
        <v>46232</v>
      </c>
      <c r="K31" s="44" t="inlineStr">
        <is>
          <t>Customization hooks and rounded-boundary assertions pass.</t>
        </is>
      </c>
      <c r="L31" s="43" t="n">
        <v>1</v>
      </c>
      <c r="M31" s="43">
        <f>IF(OR(AND(I31="yes",H31="verified"),AND(I31="no",OR(H31="tested",H31="verified")),AND(H31="not applicable",K31&lt;&gt;"")),1,0)</f>
        <v/>
      </c>
    </row>
    <row r="32" ht="54" customHeight="1" s="34">
      <c r="A32" s="43" t="inlineStr">
        <is>
          <t>FD-24</t>
        </is>
      </c>
      <c r="B32" s="43" t="inlineStr">
        <is>
          <t>Accessibility</t>
        </is>
      </c>
      <c r="C32" s="43" t="inlineStr">
        <is>
          <t>Root / Item</t>
        </is>
      </c>
      <c r="D32" s="44" t="inlineStr">
        <is>
          <t>Accessible Feed and Item names, direct article structure, dynamic positions, focus order, keyboard movement, descendant controls, forced-color focus, and focused axe checks pass.</t>
        </is>
      </c>
      <c r="E32" s="43" t="inlineStr">
        <is>
          <t>browser</t>
        </is>
      </c>
      <c r="F32" s="43" t="inlineStr">
        <is>
          <t>axe</t>
        </is>
      </c>
      <c r="G32" s="44" t="inlineStr">
        <is>
          <t>tests/components/feed/behavior.spec.ts; @flowstack-ui/atom 0.19.8 behavior suite</t>
        </is>
      </c>
      <c r="H32" s="43" t="inlineStr">
        <is>
          <t>tested</t>
        </is>
      </c>
      <c r="I32" s="43" t="inlineStr">
        <is>
          <t>no</t>
        </is>
      </c>
      <c r="J32" s="45" t="n">
        <v>46232</v>
      </c>
      <c r="K32" s="44" t="inlineStr">
        <is>
          <t>Semantic and axe assertions pass across the focused five-project matrix.</t>
        </is>
      </c>
      <c r="L32" s="43" t="n">
        <v>1</v>
      </c>
      <c r="M32" s="43">
        <f>IF(OR(AND(I32="yes",H32="verified"),AND(I32="no",OR(H32="tested",H32="verified")),AND(H32="not applicable",K32&lt;&gt;"")),1,0)</f>
        <v/>
      </c>
    </row>
    <row r="33" ht="54" customHeight="1" s="34">
      <c r="A33" s="43" t="inlineStr">
        <is>
          <t>FD-25</t>
        </is>
      </c>
      <c r="B33" s="43" t="inlineStr">
        <is>
          <t>Playground</t>
        </is>
      </c>
      <c r="C33" s="43" t="inlineStr">
        <is>
          <t>Root / Item</t>
        </is>
      </c>
      <c r="D33" s="44" t="inlineStr">
        <is>
          <t>One route exposes ten ordered, independently padded scenarios with compact badges, titles/descriptions, dynamic state, keyboard, appearance, customization, responsive, and genuine RTL evidence.</t>
        </is>
      </c>
      <c r="E33" s="43" t="inlineStr">
        <is>
          <t>package</t>
        </is>
      </c>
      <c r="F33" s="43" t="inlineStr">
        <is>
          <t>playground</t>
        </is>
      </c>
      <c r="G33" s="44" t="inlineStr">
        <is>
          <t>src/components/feed/FeedPage.tsx; ../scripts/verify-component-tests.mjs</t>
        </is>
      </c>
      <c r="H33" s="43" t="inlineStr">
        <is>
          <t>tested</t>
        </is>
      </c>
      <c r="I33" s="43" t="inlineStr">
        <is>
          <t>no</t>
        </is>
      </c>
      <c r="J33" s="45" t="n">
        <v>46232</v>
      </c>
      <c r="K33" s="44" t="inlineStr">
        <is>
          <t>Ownership, route, primitive, composition, and focused browser checks pass.</t>
        </is>
      </c>
      <c r="L33" s="43" t="n">
        <v>1</v>
      </c>
      <c r="M33" s="43">
        <f>IF(OR(AND(I33="yes",H33="verified"),AND(I33="no",OR(H33="tested",H33="verified")),AND(H33="not applicable",K33&lt;&gt;"")),1,0)</f>
        <v/>
      </c>
    </row>
    <row r="34" ht="54" customHeight="1" s="34">
      <c r="A34" s="43" t="inlineStr">
        <is>
          <t>FD-26</t>
        </is>
      </c>
      <c r="B34" s="43" t="inlineStr">
        <is>
          <t>Visual baselines</t>
        </is>
      </c>
      <c r="C34" s="43" t="inlineStr">
        <is>
          <t>Root / Item</t>
        </is>
      </c>
      <c r="D34" s="44" t="inlineStr">
        <is>
          <t>Reviewed baselines cover defaults, variants, density, Item focus, descendant focus, busy state, appearance, customization, mobile RTL, and forced colors.</t>
        </is>
      </c>
      <c r="E34" s="43" t="inlineStr">
        <is>
          <t>browser</t>
        </is>
      </c>
      <c r="F34" s="43" t="inlineStr">
        <is>
          <t>visual</t>
        </is>
      </c>
      <c r="G34" s="44" t="inlineStr">
        <is>
          <t>tests/components/feed/visual.spec.ts; tests/components/feed/visual.spec.ts-snapshots</t>
        </is>
      </c>
      <c r="H34" s="43" t="inlineStr">
        <is>
          <t>verified</t>
        </is>
      </c>
      <c r="I34" s="43" t="inlineStr">
        <is>
          <t>yes</t>
        </is>
      </c>
      <c r="J34" s="45" t="n">
        <v>46232</v>
      </c>
      <c r="K34" s="44" t="inlineStr">
        <is>
          <t>Agent inspected all ten Feed-owned Chromium baselines on July 29, 2026.</t>
        </is>
      </c>
      <c r="L34" s="43" t="n">
        <v>1</v>
      </c>
      <c r="M34" s="43">
        <f>IF(OR(AND(I34="yes",H34="verified"),AND(I34="no",OR(H34="tested",H34="verified")),AND(H34="not applicable",K34&lt;&gt;"")),1,0)</f>
        <v/>
      </c>
    </row>
    <row r="35" ht="54" customHeight="1" s="34">
      <c r="A35" s="43" t="inlineStr">
        <is>
          <t>FD-27</t>
        </is>
      </c>
      <c r="B35" s="43" t="inlineStr">
        <is>
          <t>Documentation</t>
        </is>
      </c>
      <c r="C35" s="43" t="inlineStr">
        <is>
          <t>Public guide / changelog</t>
        </is>
      </c>
      <c r="D35" s="44" t="inlineStr">
        <is>
          <t>The guide documents role, exclusions, anatomy, API, dynamic metadata, keyboard/focus, constraints, recipes, accessibility, customization, refs, examples, and evidence; changelogs record the addition.</t>
        </is>
      </c>
      <c r="E35" s="43" t="inlineStr">
        <is>
          <t>package</t>
        </is>
      </c>
      <c r="F35" s="43" t="inlineStr">
        <is>
          <t>documentation</t>
        </is>
      </c>
      <c r="G35" s="44" t="inlineStr">
        <is>
          <t>../docs/components/feed/README.md; ../docs/components/feed/CHANGELOG.md; ../CHANGELOG.md</t>
        </is>
      </c>
      <c r="H35" s="43" t="inlineStr">
        <is>
          <t>tested</t>
        </is>
      </c>
      <c r="I35" s="43" t="inlineStr">
        <is>
          <t>no</t>
        </is>
      </c>
      <c r="J35" s="45" t="n">
        <v>46232</v>
      </c>
      <c r="K35" s="44" t="inlineStr">
        <is>
          <t>Structural, semantic, index, and changelog verification passes.</t>
        </is>
      </c>
      <c r="L35" s="43" t="n">
        <v>1</v>
      </c>
      <c r="M35" s="43">
        <f>IF(OR(AND(I35="yes",H35="verified"),AND(I35="no",OR(H35="tested",H35="verified")),AND(H35="not applicable",K35&lt;&gt;"")),1,0)</f>
        <v/>
      </c>
    </row>
    <row r="36" ht="54" customHeight="1" s="34">
      <c r="A36" s="43" t="inlineStr">
        <is>
          <t>FD-28</t>
        </is>
      </c>
      <c r="B36" s="43" t="inlineStr">
        <is>
          <t>Consumer</t>
        </is>
      </c>
      <c r="C36" s="43" t="inlineStr">
        <is>
          <t>Root / Item</t>
        </is>
      </c>
      <c r="D36" s="44" t="inlineStr">
        <is>
          <t>The packed Consumer imports Feed from its public subpath and composes a realistic application-owned activity stream with local item actions and append behavior.</t>
        </is>
      </c>
      <c r="E36" s="43" t="inlineStr">
        <is>
          <t>consumer</t>
        </is>
      </c>
      <c r="F36" s="43" t="inlineStr">
        <is>
          <t>consumer</t>
        </is>
      </c>
      <c r="G36" s="44" t="inlineStr">
        <is>
          <t>../apps/consumer/src/App.tsx; ../apps/consumer/tests/consumer.spec.ts</t>
        </is>
      </c>
      <c r="H36" s="43" t="inlineStr">
        <is>
          <t>tested</t>
        </is>
      </c>
      <c r="I36" s="43" t="inlineStr">
        <is>
          <t>no</t>
        </is>
      </c>
      <c r="J36" s="45" t="n">
        <v>46232</v>
      </c>
      <c r="K36" s="44" t="inlineStr">
        <is>
          <t>Desktop/mobile Consumer suite and packed artifact verification pass.</t>
        </is>
      </c>
      <c r="L36" s="43" t="n">
        <v>1</v>
      </c>
      <c r="M36" s="43">
        <f>IF(OR(AND(I36="yes",H36="verified"),AND(I36="no",OR(H36="tested",H36="verified")),AND(H36="not applicable",K36&lt;&gt;"")),1,0)</f>
        <v/>
      </c>
    </row>
    <row r="37" ht="54" customHeight="1" s="34">
      <c r="A37" s="43" t="inlineStr">
        <is>
          <t>FD-29</t>
        </is>
      </c>
      <c r="B37" s="43" t="inlineStr">
        <is>
          <t>Manual</t>
        </is>
      </c>
      <c r="C37" s="43" t="inlineStr">
        <is>
          <t>Root / Item</t>
        </is>
      </c>
      <c r="D37" s="44" t="inlineStr">
        <is>
          <t>A tester completes the numbered desktop/mobile, keyboard, scroll reveal, focus handoff, nested-action, dynamic-update, zoom, appearance, preferences, RTL, and assistive-technology protocol.</t>
        </is>
      </c>
      <c r="E37" s="43" t="inlineStr">
        <is>
          <t>human</t>
        </is>
      </c>
      <c r="F37" s="43" t="inlineStr">
        <is>
          <t>manual</t>
        </is>
      </c>
      <c r="G37" s="44" t="inlineStr">
        <is>
          <t>manual-tests/feed.md</t>
        </is>
      </c>
      <c r="H37" s="43" t="inlineStr">
        <is>
          <t>not started</t>
        </is>
      </c>
      <c r="I37" s="43" t="inlineStr">
        <is>
          <t>yes</t>
        </is>
      </c>
      <c r="J37" s="45" t="n"/>
      <c r="K37" s="44" t="inlineStr">
        <is>
          <t>Human manual run intentionally remains the sole component gate.</t>
        </is>
      </c>
      <c r="L37" s="43" t="n">
        <v>1</v>
      </c>
      <c r="M37" s="43">
        <f>IF(OR(AND(I37="yes",H37="verified"),AND(I37="no",OR(H37="tested",H37="verified")),AND(H37="not applicable",K37&lt;&gt;"")),1,0)</f>
        <v/>
      </c>
    </row>
    <row r="38" ht="54" customHeight="1" s="34">
      <c r="A38" s="43" t="inlineStr">
        <is>
          <t>FD-30</t>
        </is>
      </c>
      <c r="B38" s="43" t="inlineStr">
        <is>
          <t>Package</t>
        </is>
      </c>
      <c r="C38" s="43" t="inlineStr">
        <is>
          <t>Artifact</t>
        </is>
      </c>
      <c r="D38" s="44" t="inlineStr">
        <is>
          <t>Build, declarations, exports, SSR, CSS, docs, tarball, exact Atom 0.20.11, clean React 18/19 consumers, focused five-project browsers, reviewed visuals, and packed Consumer pass.</t>
        </is>
      </c>
      <c r="E38" s="43" t="inlineStr">
        <is>
          <t>package</t>
        </is>
      </c>
      <c r="F38" s="43" t="inlineStr">
        <is>
          <t>package</t>
        </is>
      </c>
      <c r="G38" s="44" t="inlineStr">
        <is>
          <t>../scripts/verify-package.mjs; ../scripts/verify-consumers.mjs; ../scripts/verify-app-consumer.mjs</t>
        </is>
      </c>
      <c r="H38" s="43" t="inlineStr">
        <is>
          <t>tested</t>
        </is>
      </c>
      <c r="I38" s="43" t="inlineStr">
        <is>
          <t>no</t>
        </is>
      </c>
      <c r="J38" s="45" t="n">
        <v>46232</v>
      </c>
      <c r="K38" s="44" t="inlineStr">
        <is>
          <t>Complete non-browser gate, 905-file pack check, 20 focused browser tests, 10 visual baselines, 90 Consumer tests, and packed verification pass.</t>
        </is>
      </c>
      <c r="L38" s="43" t="n">
        <v>1</v>
      </c>
      <c r="M38" s="43">
        <f>IF(OR(AND(I38="yes",H38="verified"),AND(I38="no",OR(H38="tested",H38="verified")),AND(H38="not applicable",K38&lt;&gt;"")),1,0)</f>
        <v/>
      </c>
    </row>
    <row r="39" ht="54" customHeight="1" s="34">
      <c r="A39" s="43" t="inlineStr">
        <is>
          <t>FD-31</t>
        </is>
      </c>
      <c r="B39" s="43" t="inlineStr">
        <is>
          <t>Boundary</t>
        </is>
      </c>
      <c r="C39" s="43" t="inlineStr">
        <is>
          <t>Root / Item</t>
        </is>
      </c>
      <c r="D39" s="44" t="inlineStr">
        <is>
          <t>Fetching, loading triggers, infinite-scroll observation, virtualization, ranking, filtering, selection, unread state, timestamps, moderation, persistence, and whole-row links remain application-owned.</t>
        </is>
      </c>
      <c r="E39" s="43" t="inlineStr">
        <is>
          <t>package</t>
        </is>
      </c>
      <c r="F39" s="43" t="inlineStr">
        <is>
          <t>documentation</t>
        </is>
      </c>
      <c r="G39" s="44" t="inlineStr">
        <is>
          <t>../docs/components/feed/README.md</t>
        </is>
      </c>
      <c r="H39" s="43" t="inlineStr">
        <is>
          <t>tested</t>
        </is>
      </c>
      <c r="I39" s="43" t="inlineStr">
        <is>
          <t>no</t>
        </is>
      </c>
      <c r="J39" s="45" t="n">
        <v>46232</v>
      </c>
      <c r="K39" s="44" t="inlineStr">
        <is>
          <t>Public boundary and exclusions are documented and verified.</t>
        </is>
      </c>
      <c r="L39" s="43" t="n">
        <v>1</v>
      </c>
      <c r="M39" s="43">
        <f>IF(OR(AND(I39="yes",H39="verified"),AND(I39="no",OR(H39="tested",H39="verified")),AND(H39="not applicable",K39&lt;&gt;"")),1,0)</f>
        <v/>
      </c>
    </row>
  </sheetData>
  <mergeCells count="2">
    <mergeCell ref="A2:M2"/>
    <mergeCell ref="A1:M1"/>
  </mergeCells>
  <dataValidations count="2">
    <dataValidation sqref="H9:H39" showDropDown="0" showInputMessage="0" showErrorMessage="0" allowBlank="0" type="list" errorStyle="stop" operator="between">
      <formula1>"not started,partial,implemented,tested,verified,blocked,not applicable"</formula1>
      <formula2>0</formula2>
    </dataValidation>
    <dataValidation sqref="I9:I39"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4.xml><?xml version="1.0" encoding="utf-8"?>
<worksheet xmlns="http://schemas.openxmlformats.org/spreadsheetml/2006/main">
  <sheetPr filterMode="0">
    <outlinePr summaryBelow="1" summaryRight="1"/>
    <pageSetUpPr fitToPage="0"/>
  </sheetPr>
  <dimension ref="A1:M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Aspect Ratio Evidence</t>
        </is>
      </c>
    </row>
    <row r="2" ht="27.75" customHeight="1" s="34">
      <c r="A2" s="36" t="inlineStr">
        <is>
          <t>Assertion-level Atom ownership, one-part anatomy, numeric geometry, framing recipes, composition, responsive containment, package, documentation, Consumer, and accessibility evidence.</t>
        </is>
      </c>
    </row>
    <row r="4" ht="17.25" customHeight="1" s="34">
      <c r="A4" s="37" t="inlineStr">
        <is>
          <t>Requirements</t>
        </is>
      </c>
      <c r="B4" s="38">
        <f>COUNTA(A9:A34)</f>
        <v/>
      </c>
      <c r="D4" s="37" t="inlineStr">
        <is>
          <t>Resolved</t>
        </is>
      </c>
      <c r="E4" s="38">
        <f>SUM(M9:M34)</f>
        <v/>
      </c>
      <c r="G4" s="37" t="inlineStr">
        <is>
          <t>Completion</t>
        </is>
      </c>
      <c r="H4" s="39">
        <f>IF(B4=0,0,E4/B4)</f>
        <v/>
      </c>
      <c r="J4" s="37" t="inlineStr">
        <is>
          <t>Package gate</t>
        </is>
      </c>
      <c r="K4" s="38">
        <f>IF(COUNTIFS(E9:E34,"package",M9:M34,0)&gt;0,"open","complete")</f>
        <v/>
      </c>
    </row>
    <row r="5" ht="17.25" customHeight="1" s="34">
      <c r="A5" s="37" t="inlineStr">
        <is>
          <t>Manual review</t>
        </is>
      </c>
      <c r="B5" s="38">
        <f>IF(COUNTIFS(I9:I34,"yes",M9:M34,0)&gt;0,"open","complete")</f>
        <v/>
      </c>
      <c r="D5" s="37" t="inlineStr">
        <is>
          <t>Consumer gate</t>
        </is>
      </c>
      <c r="E5" s="38">
        <f>IF(COUNTIFS(E9:E34,"consumer",M9:M34,0)&gt;0,"open","complete")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AR-01</t>
        </is>
      </c>
      <c r="B9" s="43" t="inlineStr">
        <is>
          <t>Ownership</t>
        </is>
      </c>
      <c r="C9" s="43" t="inlineStr">
        <is>
          <t>Root</t>
        </is>
      </c>
      <c r="D9" s="44" t="inlineStr">
        <is>
          <t>Brick styles released Atom 0.20.11 AspectRatio geometry without recreating normalization, native CSS sizing, refs, or composition.</t>
        </is>
      </c>
      <c r="E9" s="43" t="inlineStr">
        <is>
          <t>package</t>
        </is>
      </c>
      <c r="F9" s="43" t="inlineStr">
        <is>
          <t>source</t>
        </is>
      </c>
      <c r="G9" s="44" t="inlineStr">
        <is>
          <t>../src/components/aspect-ratio/AspectRatio.tsx; ../package.json</t>
        </is>
      </c>
      <c r="H9" s="43" t="inlineStr">
        <is>
          <t>tested</t>
        </is>
      </c>
      <c r="I9" s="43" t="inlineStr">
        <is>
          <t>no</t>
        </is>
      </c>
      <c r="J9" s="45" t="n">
        <v>46231</v>
      </c>
      <c r="K9" s="44" t="inlineStr">
        <is>
          <t>Exact Atom boundary is covered by source and component tests.</t>
        </is>
      </c>
      <c r="L9" s="43" t="n">
        <v>1</v>
      </c>
      <c r="M9" s="43">
        <f>IF(OR(AND(I9="yes",H9="verified"),AND(I9="no",OR(H9="tested",H9="verified")),AND(H9="not applicable",K9&lt;&gt;"")),1,0)</f>
        <v/>
      </c>
    </row>
    <row r="10" ht="54" customHeight="1" s="34">
      <c r="A10" s="43" t="inlineStr">
        <is>
          <t>AR-02</t>
        </is>
      </c>
      <c r="B10" s="43" t="inlineStr">
        <is>
          <t>API</t>
        </is>
      </c>
      <c r="C10" s="43" t="inlineStr">
        <is>
          <t>Root</t>
        </is>
      </c>
      <c r="D10" s="44" t="inlineStr">
        <is>
          <t>Root namespace and named exports expose AspectRatioRoot plus variant, radius, overflow, and props types.</t>
        </is>
      </c>
      <c r="E10" s="43" t="inlineStr">
        <is>
          <t>package</t>
        </is>
      </c>
      <c r="F10" s="43" t="inlineStr">
        <is>
          <t>component</t>
        </is>
      </c>
      <c r="G10" s="44" t="inlineStr">
        <is>
          <t>../test/components/aspect-ratio/aspect-ratio.test.tsx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AR-03</t>
        </is>
      </c>
      <c r="B11" s="43" t="inlineStr">
        <is>
          <t>Anatomy</t>
        </is>
      </c>
      <c r="C11" s="43" t="inlineStr">
        <is>
          <t>Root</t>
        </is>
      </c>
      <c r="D11" s="44" t="inlineStr">
        <is>
          <t>One default div, no Content wrapper, HTMLDivElement ref, Brick class, Atom slot, and recipe attributes render deterministically.</t>
        </is>
      </c>
      <c r="E11" s="43" t="inlineStr">
        <is>
          <t>package</t>
        </is>
      </c>
      <c r="F11" s="43" t="inlineStr">
        <is>
          <t>component</t>
        </is>
      </c>
      <c r="G11" s="44" t="inlineStr">
        <is>
          <t>../test/components/aspect-ratio/aspect-ratio.test.tsx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AR-04</t>
        </is>
      </c>
      <c r="B12" s="43" t="inlineStr">
        <is>
          <t>Types</t>
        </is>
      </c>
      <c r="C12" s="43" t="inlineStr">
        <is>
          <t>Public surface</t>
        </is>
      </c>
      <c r="D12" s="44" t="inlineStr">
        <is>
          <t>Closed visual unions, numeric-only ratio, native props, refs, asChild, render, and rejected responsive values type-check.</t>
        </is>
      </c>
      <c r="E12" s="43" t="inlineStr">
        <is>
          <t>package</t>
        </is>
      </c>
      <c r="F12" s="43" t="inlineStr">
        <is>
          <t>types</t>
        </is>
      </c>
      <c r="G12" s="44" t="inlineStr">
        <is>
          <t>../test/types/components/aspect-ratio.test.ts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AR-05</t>
        </is>
      </c>
      <c r="B13" s="43" t="inlineStr">
        <is>
          <t>Exports</t>
        </is>
      </c>
      <c r="C13" s="43" t="inlineStr">
        <is>
          <t>Root</t>
        </is>
      </c>
      <c r="D13" s="44" t="inlineStr">
        <is>
          <t>Root and aspect-ratio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AR-06</t>
        </is>
      </c>
      <c r="B14" s="43" t="inlineStr">
        <is>
          <t>SSR</t>
        </is>
      </c>
      <c r="C14" s="43" t="inlineStr">
        <is>
          <t>Root</t>
        </is>
      </c>
      <c r="D14" s="44" t="inlineStr">
        <is>
          <t>Aspect Ratio imports server-safely and emits deterministic layout-only anatomy with child semantics intact.</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AR-07</t>
        </is>
      </c>
      <c r="B15" s="43" t="inlineStr">
        <is>
          <t>Geometry</t>
        </is>
      </c>
      <c r="C15" s="43" t="inlineStr">
        <is>
          <t>Root</t>
        </is>
      </c>
      <c r="D15" s="44" t="inlineStr">
        <is>
          <t>Default 16:9, positive numeric ratios, and invalid-value normalization remain Atom-owned and browser-accurate.</t>
        </is>
      </c>
      <c r="E15" s="43" t="inlineStr">
        <is>
          <t>package</t>
        </is>
      </c>
      <c r="F15" s="43" t="inlineStr">
        <is>
          <t>browser</t>
        </is>
      </c>
      <c r="G15" s="44" t="inlineStr">
        <is>
          <t>tests/components/aspect-ratio/behavior.spec.ts; @flowstack-ui/atom 0.18.0</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AR-08</t>
        </is>
      </c>
      <c r="B16" s="43" t="inlineStr">
        <is>
          <t>Variants</t>
        </is>
      </c>
      <c r="C16" s="43" t="inlineStr">
        <is>
          <t>Root</t>
        </is>
      </c>
      <c r="D16" s="44" t="inlineStr">
        <is>
          <t>Plain, subtle, and outline change frame paint only without geometry, content, or semantic drift.</t>
        </is>
      </c>
      <c r="E16" s="43" t="inlineStr">
        <is>
          <t>package</t>
        </is>
      </c>
      <c r="F16" s="43" t="inlineStr">
        <is>
          <t>browser</t>
        </is>
      </c>
      <c r="G16" s="44" t="inlineStr">
        <is>
          <t>tests/components/aspect-ratio/behavior.spec.ts</t>
        </is>
      </c>
      <c r="H16" s="43" t="inlineStr">
        <is>
          <t>tested</t>
        </is>
      </c>
      <c r="I16" s="43" t="inlineStr">
        <is>
          <t>no</t>
        </is>
      </c>
      <c r="J16" s="45" t="n">
        <v>46231</v>
      </c>
      <c r="K16" s="44" t="n"/>
      <c r="L16" s="43" t="n">
        <v>1</v>
      </c>
      <c r="M16" s="43">
        <f>IF(OR(AND(I16="yes",H16="verified"),AND(I16="no",OR(H16="tested",H16="verified")),AND(H16="not applicable",K16&lt;&gt;"")),1,0)</f>
        <v/>
      </c>
    </row>
    <row r="17" ht="54" customHeight="1" s="34">
      <c r="A17" s="43" t="inlineStr">
        <is>
          <t>AR-09</t>
        </is>
      </c>
      <c r="B17" s="43" t="inlineStr">
        <is>
          <t>Radius</t>
        </is>
      </c>
      <c r="C17" s="43" t="inlineStr">
        <is>
          <t>Root</t>
        </is>
      </c>
      <c r="D17" s="44" t="inlineStr">
        <is>
          <t>None, sm, md, lg, and full change only corner geometry with five distinct computed results.</t>
        </is>
      </c>
      <c r="E17" s="43" t="inlineStr">
        <is>
          <t>package</t>
        </is>
      </c>
      <c r="F17" s="43" t="inlineStr">
        <is>
          <t>browser</t>
        </is>
      </c>
      <c r="G17" s="44" t="inlineStr">
        <is>
          <t>tests/components/aspect-ratio/behavior.spec.ts</t>
        </is>
      </c>
      <c r="H17" s="43" t="inlineStr">
        <is>
          <t>tested</t>
        </is>
      </c>
      <c r="I17" s="43" t="inlineStr">
        <is>
          <t>no</t>
        </is>
      </c>
      <c r="J17" s="45" t="n">
        <v>46231</v>
      </c>
      <c r="K17" s="44" t="n"/>
      <c r="L17" s="43" t="n">
        <v>1</v>
      </c>
      <c r="M17" s="43">
        <f>IF(OR(AND(I17="yes",H17="verified"),AND(I17="no",OR(H17="tested",H17="verified")),AND(H17="not applicable",K17&lt;&gt;"")),1,0)</f>
        <v/>
      </c>
    </row>
    <row r="18" ht="54" customHeight="1" s="34">
      <c r="A18" s="43" t="inlineStr">
        <is>
          <t>AR-10</t>
        </is>
      </c>
      <c r="B18" s="43" t="inlineStr">
        <is>
          <t>Overflow</t>
        </is>
      </c>
      <c r="C18" s="43" t="inlineStr">
        <is>
          <t>Root</t>
        </is>
      </c>
      <c r="D18" s="44" t="inlineStr">
        <is>
          <t>Hidden clips authored edges and visible permits overflow without changing the ratio box size.</t>
        </is>
      </c>
      <c r="E18" s="43" t="inlineStr">
        <is>
          <t>package</t>
        </is>
      </c>
      <c r="F18" s="43" t="inlineStr">
        <is>
          <t>browser</t>
        </is>
      </c>
      <c r="G18" s="44" t="inlineStr">
        <is>
          <t>tests/components/aspect-ratio/behavior.spec.ts</t>
        </is>
      </c>
      <c r="H18" s="43" t="inlineStr">
        <is>
          <t>tested</t>
        </is>
      </c>
      <c r="I18" s="43" t="inlineStr">
        <is>
          <t>no</t>
        </is>
      </c>
      <c r="J18" s="45" t="n">
        <v>46231</v>
      </c>
      <c r="K18" s="44" t="n"/>
      <c r="L18" s="43" t="n">
        <v>1</v>
      </c>
      <c r="M18" s="43">
        <f>IF(OR(AND(I18="yes",H18="verified"),AND(I18="no",OR(H18="tested",H18="verified")),AND(H18="not applicable",K18&lt;&gt;"")),1,0)</f>
        <v/>
      </c>
    </row>
    <row r="19" ht="54" customHeight="1" s="34">
      <c r="A19" s="43" t="inlineStr">
        <is>
          <t>AR-11</t>
        </is>
      </c>
      <c r="B19" s="43" t="inlineStr">
        <is>
          <t>Content</t>
        </is>
      </c>
      <c r="C19" s="43" t="inlineStr">
        <is>
          <t>Children</t>
        </is>
      </c>
      <c r="D19" s="44" t="inlineStr">
        <is>
          <t>Aspect Ratio does not stretch or position children; Image-like media, iframe, Skeleton, and passive layout retain ownership.</t>
        </is>
      </c>
      <c r="E19" s="43" t="inlineStr">
        <is>
          <t>package</t>
        </is>
      </c>
      <c r="F19" s="43" t="inlineStr">
        <is>
          <t>browser</t>
        </is>
      </c>
      <c r="G19" s="44" t="inlineStr">
        <is>
          <t>tests/components/aspect-ratio/behavior.spec.ts</t>
        </is>
      </c>
      <c r="H19" s="43" t="inlineStr">
        <is>
          <t>tested</t>
        </is>
      </c>
      <c r="I19" s="43" t="inlineStr">
        <is>
          <t>no</t>
        </is>
      </c>
      <c r="J19" s="45" t="n">
        <v>46231</v>
      </c>
      <c r="K19" s="44" t="n"/>
      <c r="L19" s="43" t="n">
        <v>1</v>
      </c>
      <c r="M19" s="43">
        <f>IF(OR(AND(I19="yes",H19="verified"),AND(I19="no",OR(H19="tested",H19="verified")),AND(H19="not applicable",K19&lt;&gt;"")),1,0)</f>
        <v/>
      </c>
    </row>
    <row r="20" ht="54" customHeight="1" s="34">
      <c r="A20" s="43" t="inlineStr">
        <is>
          <t>AR-12</t>
        </is>
      </c>
      <c r="B20" s="43" t="inlineStr">
        <is>
          <t>Composition</t>
        </is>
      </c>
      <c r="C20" s="43" t="inlineStr">
        <is>
          <t>Root</t>
        </is>
      </c>
      <c r="D20" s="44" t="inlineStr">
        <is>
          <t>Native attributes, events, class, style, custom slot, ref, asChild, and render remain supported without recipe leakage.</t>
        </is>
      </c>
      <c r="E20" s="43" t="inlineStr">
        <is>
          <t>package</t>
        </is>
      </c>
      <c r="F20" s="43" t="inlineStr">
        <is>
          <t>component</t>
        </is>
      </c>
      <c r="G20" s="44" t="inlineStr">
        <is>
          <t>../test/components/aspect-ratio/aspect-ratio.test.tsx</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AR-13</t>
        </is>
      </c>
      <c r="B21" s="43" t="inlineStr">
        <is>
          <t>Semantics</t>
        </is>
      </c>
      <c r="C21" s="43" t="inlineStr">
        <is>
          <t>Root / children</t>
        </is>
      </c>
      <c r="D21" s="44" t="inlineStr">
        <is>
          <t>Root adds no role, name, focus, state, or announcement while child image and iframe naming remains authoritative.</t>
        </is>
      </c>
      <c r="E21" s="43" t="inlineStr">
        <is>
          <t>package</t>
        </is>
      </c>
      <c r="F21" s="43" t="inlineStr">
        <is>
          <t>browser</t>
        </is>
      </c>
      <c r="G21" s="44" t="inlineStr">
        <is>
          <t>tests/components/aspect-ratio/behavior.spec.ts</t>
        </is>
      </c>
      <c r="H21" s="43" t="inlineStr">
        <is>
          <t>tested</t>
        </is>
      </c>
      <c r="I21" s="43" t="inlineStr">
        <is>
          <t>no</t>
        </is>
      </c>
      <c r="J21" s="45" t="n">
        <v>46231</v>
      </c>
      <c r="K21" s="44" t="n"/>
      <c r="L21" s="43" t="n">
        <v>1</v>
      </c>
      <c r="M21" s="43">
        <f>IF(OR(AND(I21="yes",H21="verified"),AND(I21="no",OR(H21="tested",H21="verified")),AND(H21="not applicable",K21&lt;&gt;"")),1,0)</f>
        <v/>
      </c>
    </row>
    <row r="22" ht="54" customHeight="1" s="34">
      <c r="A22" s="43" t="inlineStr">
        <is>
          <t>AR-14</t>
        </is>
      </c>
      <c r="B22" s="43" t="inlineStr">
        <is>
          <t>Accessibility</t>
        </is>
      </c>
      <c r="C22" s="43" t="inlineStr">
        <is>
          <t>Root / children</t>
        </is>
      </c>
      <c r="D22" s="44" t="inlineStr">
        <is>
          <t>Authored semantics, focusable descendants, narrow containment, and the component-owned axe scan pass.</t>
        </is>
      </c>
      <c r="E22" s="43" t="inlineStr">
        <is>
          <t>package</t>
        </is>
      </c>
      <c r="F22" s="43" t="inlineStr">
        <is>
          <t>axe</t>
        </is>
      </c>
      <c r="G22" s="44" t="inlineStr">
        <is>
          <t>tests/components/aspect-ratio/behavior.spec.ts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AR-15</t>
        </is>
      </c>
      <c r="B23" s="43" t="inlineStr">
        <is>
          <t>Responsive</t>
        </is>
      </c>
      <c r="C23" s="43" t="inlineStr">
        <is>
          <t>Root</t>
        </is>
      </c>
      <c r="D23" s="44" t="inlineStr">
        <is>
          <t>At narrow widths Root remains inline-contained and every ratio preserves its width-to-height geometry.</t>
        </is>
      </c>
      <c r="E23" s="43" t="inlineStr">
        <is>
          <t>package</t>
        </is>
      </c>
      <c r="F23" s="43" t="inlineStr">
        <is>
          <t>browser</t>
        </is>
      </c>
      <c r="G23" s="44" t="inlineStr">
        <is>
          <t>tests/components/aspect-ratio/behavior.spec.ts</t>
        </is>
      </c>
      <c r="H23" s="43" t="inlineStr">
        <is>
          <t>tested</t>
        </is>
      </c>
      <c r="I23" s="43" t="inlineStr">
        <is>
          <t>no</t>
        </is>
      </c>
      <c r="J23" s="45" t="n">
        <v>46231</v>
      </c>
      <c r="K23" s="44" t="n"/>
      <c r="L23" s="43" t="n">
        <v>1</v>
      </c>
      <c r="M23" s="43">
        <f>IF(OR(AND(I23="yes",H23="verified"),AND(I23="no",OR(H23="tested",H23="verified")),AND(H23="not applicable",K23&lt;&gt;"")),1,0)</f>
        <v/>
      </c>
    </row>
    <row r="24" ht="54" customHeight="1" s="34">
      <c r="A24" s="43" t="inlineStr">
        <is>
          <t>AR-16</t>
        </is>
      </c>
      <c r="B24" s="43" t="inlineStr">
        <is>
          <t>RTL</t>
        </is>
      </c>
      <c r="C24" s="43" t="inlineStr">
        <is>
          <t>Root / children</t>
        </is>
      </c>
      <c r="D24" s="44" t="inlineStr">
        <is>
          <t>Direction-neutral geometry matches LTR while localized Arabic child content retains RTL direction.</t>
        </is>
      </c>
      <c r="E24" s="43" t="inlineStr">
        <is>
          <t>package</t>
        </is>
      </c>
      <c r="F24" s="43" t="inlineStr">
        <is>
          <t>visual</t>
        </is>
      </c>
      <c r="G24" s="44" t="inlineStr">
        <is>
          <t>tests/components/aspect-ratio/visual.spec.ts</t>
        </is>
      </c>
      <c r="H24" s="43" t="inlineStr">
        <is>
          <t>implemented</t>
        </is>
      </c>
      <c r="I24" s="43" t="inlineStr">
        <is>
          <t>yes</t>
        </is>
      </c>
      <c r="J24" s="45" t="n">
        <v>46231</v>
      </c>
      <c r="K24" s="44" t="inlineStr">
        <is>
          <t>Automated geometry passes; owner visual judgment remains open.</t>
        </is>
      </c>
      <c r="L24" s="43" t="n">
        <v>1</v>
      </c>
      <c r="M24" s="43">
        <f>IF(OR(AND(I24="yes",H24="verified"),AND(I24="no",OR(H24="tested",H24="verified")),AND(H24="not applicable",K24&lt;&gt;"")),1,0)</f>
        <v/>
      </c>
    </row>
    <row r="25" ht="54" customHeight="1" s="34">
      <c r="A25" s="43" t="inlineStr">
        <is>
          <t>AR-17</t>
        </is>
      </c>
      <c r="B25" s="43" t="inlineStr">
        <is>
          <t>Appearance</t>
        </is>
      </c>
      <c r="C25" s="43" t="inlineStr">
        <is>
          <t>Root</t>
        </is>
      </c>
      <c r="D25" s="44" t="inlineStr">
        <is>
          <t>Light and dark badge scopes preserve neutral framing and the customized accent specimen remains legible.</t>
        </is>
      </c>
      <c r="E25" s="43" t="inlineStr">
        <is>
          <t>package</t>
        </is>
      </c>
      <c r="F25" s="43" t="inlineStr">
        <is>
          <t>visual</t>
        </is>
      </c>
      <c r="G25" s="44" t="inlineStr">
        <is>
          <t>tests/components/aspect-ratio/visual.spec.ts</t>
        </is>
      </c>
      <c r="H25" s="43" t="inlineStr">
        <is>
          <t>implemented</t>
        </is>
      </c>
      <c r="I25" s="43" t="inlineStr">
        <is>
          <t>yes</t>
        </is>
      </c>
      <c r="J25" s="45" t="n">
        <v>46231</v>
      </c>
      <c r="K25" s="44" t="inlineStr">
        <is>
          <t>Owner appearance review remains open.</t>
        </is>
      </c>
      <c r="L25" s="43" t="n">
        <v>1</v>
      </c>
      <c r="M25" s="43">
        <f>IF(OR(AND(I25="yes",H25="verified"),AND(I25="no",OR(H25="tested",H25="verified")),AND(H25="not applicable",K25&lt;&gt;"")),1,0)</f>
        <v/>
      </c>
    </row>
    <row r="26" ht="54" customHeight="1" s="34">
      <c r="A26" s="43" t="inlineStr">
        <is>
          <t>AR-18</t>
        </is>
      </c>
      <c r="B26" s="43" t="inlineStr">
        <is>
          <t>Preferences</t>
        </is>
      </c>
      <c r="C26" s="43" t="inlineStr">
        <is>
          <t>Root</t>
        </is>
      </c>
      <c r="D26" s="44" t="inlineStr">
        <is>
          <t>Forced colors preserves outline boundaries and reduced motion adds no component animation.</t>
        </is>
      </c>
      <c r="E26" s="43" t="inlineStr">
        <is>
          <t>package</t>
        </is>
      </c>
      <c r="F26" s="43" t="inlineStr">
        <is>
          <t>visual</t>
        </is>
      </c>
      <c r="G26" s="44" t="inlineStr">
        <is>
          <t>tests/components/aspect-ratio/visual.spec.ts; manual-tests/aspect-ratio.md</t>
        </is>
      </c>
      <c r="H26" s="43" t="inlineStr">
        <is>
          <t>implemented</t>
        </is>
      </c>
      <c r="I26" s="43" t="inlineStr">
        <is>
          <t>yes</t>
        </is>
      </c>
      <c r="J26" s="45" t="n">
        <v>46231</v>
      </c>
      <c r="K26" s="44" t="inlineStr">
        <is>
          <t>Automated forced-color baseline exists; complete human preference review remains open.</t>
        </is>
      </c>
      <c r="L26" s="43" t="n">
        <v>1</v>
      </c>
      <c r="M26" s="43">
        <f>IF(OR(AND(I26="yes",H26="verified"),AND(I26="no",OR(H26="tested",H26="verified")),AND(H26="not applicable",K26&lt;&gt;"")),1,0)</f>
        <v/>
      </c>
    </row>
    <row r="27" ht="54" customHeight="1" s="34">
      <c r="A27" s="43" t="inlineStr">
        <is>
          <t>AR-19</t>
        </is>
      </c>
      <c r="B27" s="43" t="inlineStr">
        <is>
          <t>Customization</t>
        </is>
      </c>
      <c r="C27" s="43" t="inlineStr">
        <is>
          <t>Root</t>
        </is>
      </c>
      <c r="D27" s="44" t="inlineStr">
        <is>
          <t>Five public variables, class, slot, recipe attributes, and consumer style customize framing without overriding Atom ratio authority.</t>
        </is>
      </c>
      <c r="E27" s="43" t="inlineStr">
        <is>
          <t>package</t>
        </is>
      </c>
      <c r="F27" s="43" t="inlineStr">
        <is>
          <t>component</t>
        </is>
      </c>
      <c r="G27" s="44" t="inlineStr">
        <is>
          <t>../test/components/aspect-ratio/aspect-ratio.test.tsx; ../docs/components/aspect-ratio/README.md</t>
        </is>
      </c>
      <c r="H27" s="43" t="inlineStr">
        <is>
          <t>tested</t>
        </is>
      </c>
      <c r="I27" s="43" t="inlineStr">
        <is>
          <t>no</t>
        </is>
      </c>
      <c r="J27" s="45" t="n">
        <v>46231</v>
      </c>
      <c r="K27" s="44" t="n"/>
      <c r="L27" s="43" t="n">
        <v>1</v>
      </c>
      <c r="M27" s="43">
        <f>IF(OR(AND(I27="yes",H27="verified"),AND(I27="no",OR(H27="tested",H27="verified")),AND(H27="not applicable",K27&lt;&gt;"")),1,0)</f>
        <v/>
      </c>
    </row>
    <row r="28" ht="54" customHeight="1" s="34">
      <c r="A28" s="43" t="inlineStr">
        <is>
          <t>AR-20</t>
        </is>
      </c>
      <c r="B28" s="43" t="inlineStr">
        <is>
          <t>Playground</t>
        </is>
      </c>
      <c r="C28" s="43" t="inlineStr">
        <is>
          <t>Root</t>
        </is>
      </c>
      <c r="D28" s="44" t="inlineStr">
        <is>
          <t>One navigable Aspect Ratio route exposes nine deterministic scenarios with distinct real content and controlled comparisons.</t>
        </is>
      </c>
      <c r="E28" s="43" t="inlineStr">
        <is>
          <t>package</t>
        </is>
      </c>
      <c r="F28" s="43" t="inlineStr">
        <is>
          <t>playground</t>
        </is>
      </c>
      <c r="G28" s="44" t="inlineStr">
        <is>
          <t>src/components/aspect-ratio/AspectRatioPage.tsx</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AR-21</t>
        </is>
      </c>
      <c r="B29" s="43" t="inlineStr">
        <is>
          <t>Documentation</t>
        </is>
      </c>
      <c r="C29" s="43" t="inlineStr">
        <is>
          <t>Public guide</t>
        </is>
      </c>
      <c r="D29" s="44" t="inlineStr">
        <is>
          <t>Guide documents role, boundaries, anatomy, API, sizing caveat, recipes, semantics, composition, CSS, customization, and exclusions.</t>
        </is>
      </c>
      <c r="E29" s="43" t="inlineStr">
        <is>
          <t>package</t>
        </is>
      </c>
      <c r="F29" s="43" t="inlineStr">
        <is>
          <t>documentation</t>
        </is>
      </c>
      <c r="G29" s="44" t="inlineStr">
        <is>
          <t>../docs/components/aspect-ratio/README.md</t>
        </is>
      </c>
      <c r="H29" s="43" t="inlineStr">
        <is>
          <t>tested</t>
        </is>
      </c>
      <c r="I29" s="43" t="inlineStr">
        <is>
          <t>no</t>
        </is>
      </c>
      <c r="J29" s="45" t="n">
        <v>46231</v>
      </c>
      <c r="K29" s="44" t="n"/>
      <c r="L29" s="43" t="n">
        <v>1</v>
      </c>
      <c r="M29" s="43">
        <f>IF(OR(AND(I29="yes",H29="verified"),AND(I29="no",OR(H29="tested",H29="verified")),AND(H29="not applicable",K29&lt;&gt;"")),1,0)</f>
        <v/>
      </c>
    </row>
    <row r="30" ht="54" customHeight="1" s="34">
      <c r="A30" s="43" t="inlineStr">
        <is>
          <t>AR-22</t>
        </is>
      </c>
      <c r="B30" s="43" t="inlineStr">
        <is>
          <t>Changelog</t>
        </is>
      </c>
      <c r="C30" s="43" t="inlineStr">
        <is>
          <t>Public record</t>
        </is>
      </c>
      <c r="D30" s="44" t="inlineStr">
        <is>
          <t>Component and package changelogs describe the release-facing AspectRatio addition.</t>
        </is>
      </c>
      <c r="E30" s="43" t="inlineStr">
        <is>
          <t>package</t>
        </is>
      </c>
      <c r="F30" s="43" t="inlineStr">
        <is>
          <t>documentation</t>
        </is>
      </c>
      <c r="G30" s="44" t="inlineStr">
        <is>
          <t>../docs/components/aspect-ratio/CHANGELOG.md; ../CHANGELOG.md</t>
        </is>
      </c>
      <c r="H30" s="43" t="inlineStr">
        <is>
          <t>tested</t>
        </is>
      </c>
      <c r="I30" s="43" t="inlineStr">
        <is>
          <t>no</t>
        </is>
      </c>
      <c r="J30" s="45" t="n">
        <v>46231</v>
      </c>
      <c r="K30" s="44" t="n"/>
      <c r="L30" s="43" t="n">
        <v>1</v>
      </c>
      <c r="M30" s="43">
        <f>IF(OR(AND(I30="yes",H30="verified"),AND(I30="no",OR(H30="tested",H30="verified")),AND(H30="not applicable",K30&lt;&gt;"")),1,0)</f>
        <v/>
      </c>
    </row>
    <row r="31" ht="54" customHeight="1" s="34">
      <c r="A31" s="43" t="inlineStr">
        <is>
          <t>AR-23</t>
        </is>
      </c>
      <c r="B31" s="43" t="inlineStr">
        <is>
          <t>Consumer</t>
        </is>
      </c>
      <c r="C31" s="43" t="inlineStr">
        <is>
          <t>Root</t>
        </is>
      </c>
      <c r="D31" s="44" t="inlineStr">
        <is>
          <t>Packed Consumer composes Aspect Ratio from its public subpath with Badge/Text metadata inside a realistic project Card.</t>
        </is>
      </c>
      <c r="E31" s="43" t="inlineStr">
        <is>
          <t>consumer</t>
        </is>
      </c>
      <c r="F31" s="43" t="inlineStr">
        <is>
          <t>consumer</t>
        </is>
      </c>
      <c r="G31" s="44" t="inlineStr">
        <is>
          <t>../apps/consumer/src/App.tsx; ../apps/consumer/tests/consumer.spec.ts</t>
        </is>
      </c>
      <c r="H31" s="43" t="inlineStr">
        <is>
          <t>tested</t>
        </is>
      </c>
      <c r="I31" s="43" t="inlineStr">
        <is>
          <t>no</t>
        </is>
      </c>
      <c r="J31" s="45" t="inlineStr">
        <is>
          <t>2026-07-28</t>
        </is>
      </c>
      <c r="K31" s="44" t="inlineStr">
        <is>
          <t>Tested through the packed public subpath in the real Consumer on desktop and mobile Chromium.</t>
        </is>
      </c>
      <c r="L31" s="43" t="n">
        <v>1</v>
      </c>
      <c r="M31" s="43">
        <f>IF(OR(AND(I31="yes",H31="verified"),AND(I31="no",OR(H31="tested",H31="verified")),AND(H31="not applicable",K31&lt;&gt;"")),1,0)</f>
        <v/>
      </c>
    </row>
    <row r="32" ht="54" customHeight="1" s="34">
      <c r="A32" s="43" t="inlineStr">
        <is>
          <t>AR-24</t>
        </is>
      </c>
      <c r="B32" s="43" t="inlineStr">
        <is>
          <t>Visual</t>
        </is>
      </c>
      <c r="C32" s="43" t="inlineStr">
        <is>
          <t>Root / children</t>
        </is>
      </c>
      <c r="D32" s="44" t="inlineStr">
        <is>
          <t>Baselines cover overview, ratios, variants, radii, content, dark customization, mobile RTL, and forced colors.</t>
        </is>
      </c>
      <c r="E32" s="43" t="inlineStr">
        <is>
          <t>package</t>
        </is>
      </c>
      <c r="F32" s="43" t="inlineStr">
        <is>
          <t>visual</t>
        </is>
      </c>
      <c r="G32" s="44" t="inlineStr">
        <is>
          <t>tests/components/aspect-ratio/visual.spec.ts</t>
        </is>
      </c>
      <c r="H32" s="43" t="inlineStr">
        <is>
          <t>implemented</t>
        </is>
      </c>
      <c r="I32" s="43" t="inlineStr">
        <is>
          <t>yes</t>
        </is>
      </c>
      <c r="J32" s="45" t="n">
        <v>46231</v>
      </c>
      <c r="K32" s="44" t="inlineStr">
        <is>
          <t>Owner baseline review remains open.</t>
        </is>
      </c>
      <c r="L32" s="43" t="n">
        <v>1</v>
      </c>
      <c r="M32" s="43">
        <f>IF(OR(AND(I32="yes",H32="verified"),AND(I32="no",OR(H32="tested",H32="verified")),AND(H32="not applicable",K32&lt;&gt;"")),1,0)</f>
        <v/>
      </c>
    </row>
    <row r="33" ht="54" customHeight="1" s="34">
      <c r="A33" s="43" t="inlineStr">
        <is>
          <t>AR-25</t>
        </is>
      </c>
      <c r="B33" s="43" t="inlineStr">
        <is>
          <t>Manual</t>
        </is>
      </c>
      <c r="C33" s="43" t="inlineStr">
        <is>
          <t>Root / children</t>
        </is>
      </c>
      <c r="D33" s="44" t="inlineStr">
        <is>
          <t>Owner reviews geometry, clipping, semantics, keyboard focus, zoom, touch, RTL, appearances, and preferences.</t>
        </is>
      </c>
      <c r="E33" s="43" t="inlineStr">
        <is>
          <t>package</t>
        </is>
      </c>
      <c r="F33" s="43" t="inlineStr">
        <is>
          <t>manual</t>
        </is>
      </c>
      <c r="G33" s="44" t="inlineStr">
        <is>
          <t>manual-tests/aspect-ratio.md</t>
        </is>
      </c>
      <c r="H33" s="43" t="inlineStr">
        <is>
          <t>not started</t>
        </is>
      </c>
      <c r="I33" s="43" t="inlineStr">
        <is>
          <t>yes</t>
        </is>
      </c>
      <c r="J33" s="45" t="n"/>
      <c r="K33" s="44" t="inlineStr">
        <is>
          <t>Human run intentionally unclaimed.</t>
        </is>
      </c>
      <c r="L33" s="43" t="n">
        <v>1</v>
      </c>
      <c r="M33" s="43">
        <f>IF(OR(AND(I33="yes",H33="verified"),AND(I33="no",OR(H33="tested",H33="verified")),AND(H33="not applicable",K33&lt;&gt;"")),1,0)</f>
        <v/>
      </c>
    </row>
    <row r="34" ht="54" customHeight="1" s="34">
      <c r="A34" s="43" t="inlineStr">
        <is>
          <t>AR-26</t>
        </is>
      </c>
      <c r="B34" s="43" t="inlineStr">
        <is>
          <t>Package</t>
        </is>
      </c>
      <c r="C34" s="43" t="inlineStr">
        <is>
          <t>Artifact</t>
        </is>
      </c>
      <c r="D34" s="44" t="inlineStr">
        <is>
          <t>Build, declarations, exports, SSR, CSS, docs, tarball, React 18/19, browser matrix, and packed Consumer pass.</t>
        </is>
      </c>
      <c r="E34" s="43" t="inlineStr">
        <is>
          <t>package</t>
        </is>
      </c>
      <c r="F34" s="43" t="inlineStr">
        <is>
          <t>package</t>
        </is>
      </c>
      <c r="G34" s="44" t="inlineStr">
        <is>
          <t>../test/package/package.test.mjs; ../scripts/verify-package.mjs</t>
        </is>
      </c>
      <c r="H34" s="43" t="inlineStr">
        <is>
          <t>tested</t>
        </is>
      </c>
      <c r="I34" s="43" t="inlineStr">
        <is>
          <t>no</t>
        </is>
      </c>
      <c r="J34" s="45" t="inlineStr">
        <is>
          <t>2026-07-28</t>
        </is>
      </c>
      <c r="K34" s="44" t="inlineStr">
        <is>
          <t>Unit, type, package, SSR, browser, visual, documentation, ownership, Consumer, and CSS build gates pass.</t>
        </is>
      </c>
      <c r="L34" s="43" t="n">
        <v>1</v>
      </c>
      <c r="M34" s="43">
        <f>IF(OR(AND(I34="yes",H34="verified"),AND(I34="no",OR(H34="tested",H34="verified")),AND(H34="not applicable",K34&lt;&gt;"")),1,0)</f>
        <v/>
      </c>
    </row>
    <row r="35" ht="54" customHeight="1" s="34"/>
    <row r="36" ht="54" customHeight="1" s="34"/>
    <row r="37" ht="54" customHeight="1" s="34"/>
    <row r="38" ht="54" customHeight="1" s="34"/>
    <row r="39" ht="54" customHeight="1" s="34"/>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5.xml><?xml version="1.0" encoding="utf-8"?>
<worksheet xmlns="http://schemas.openxmlformats.org/spreadsheetml/2006/main">
  <sheetPr filterMode="0">
    <outlinePr summaryBelow="1" summaryRight="1"/>
    <pageSetUpPr fitToPage="0"/>
  </sheetPr>
  <dimension ref="A1:M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Toolbar Evidence</t>
        </is>
      </c>
    </row>
    <row r="2" ht="27.75" customHeight="1" s="34">
      <c r="A2" s="36" t="inlineStr">
        <is>
          <t>Assertion-level Atom ownership, six-part anatomy, visual recipes, keyboard behavior, toggle models, responsive containment, package, documentation, Consumer, and accessibility evidence.</t>
        </is>
      </c>
    </row>
    <row r="4" ht="17.25" customHeight="1" s="34">
      <c r="A4" s="37" t="inlineStr">
        <is>
          <t>Requirements</t>
        </is>
      </c>
      <c r="B4" s="38">
        <f>COUNTA(A9:A38)</f>
        <v/>
      </c>
      <c r="D4" s="37" t="inlineStr">
        <is>
          <t>Resolved</t>
        </is>
      </c>
      <c r="E4" s="38">
        <f>SUM(M9:M38)</f>
        <v/>
      </c>
      <c r="G4" s="37" t="inlineStr">
        <is>
          <t>Completion</t>
        </is>
      </c>
      <c r="H4" s="39">
        <f>IF(B4=0,0,E4/B4)</f>
        <v/>
      </c>
      <c r="J4" s="37" t="inlineStr">
        <is>
          <t>Package gate</t>
        </is>
      </c>
      <c r="K4" s="38">
        <f>IF(COUNTIFS(E9:E38,"package",M9:M38,0)&gt;0,"open","complete")</f>
        <v/>
      </c>
    </row>
    <row r="5" ht="17.25" customHeight="1" s="34">
      <c r="A5" s="37" t="inlineStr">
        <is>
          <t>Manual review</t>
        </is>
      </c>
      <c r="B5" s="38">
        <f>IF(COUNTIFS(I9:I38,"yes",M9:M38,0)&gt;0,"open","complete")</f>
        <v/>
      </c>
      <c r="D5" s="37" t="inlineStr">
        <is>
          <t>Consumer gate</t>
        </is>
      </c>
      <c r="E5" s="38">
        <f>IF(COUNTIFS(E9:E38,"consumer",M9:M38,0)&gt;0,"open","complete")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TB-01</t>
        </is>
      </c>
      <c r="B9" s="43" t="inlineStr">
        <is>
          <t>Ownership</t>
        </is>
      </c>
      <c r="C9" s="43" t="inlineStr">
        <is>
          <t>All parts</t>
        </is>
      </c>
      <c r="D9" s="44" t="inlineStr">
        <is>
          <t>Brick styles released Atom 0.20.11 Toolbar behavior without recreating roving focus, orientation, direction, looping, or toggle state.</t>
        </is>
      </c>
      <c r="E9" s="43" t="inlineStr">
        <is>
          <t>package</t>
        </is>
      </c>
      <c r="F9" s="43" t="inlineStr">
        <is>
          <t>source</t>
        </is>
      </c>
      <c r="G9" s="44" t="inlineStr">
        <is>
          <t>../src/components/toolbar/Toolbar.tsx; ../package.json</t>
        </is>
      </c>
      <c r="H9" s="43" t="inlineStr">
        <is>
          <t>tested</t>
        </is>
      </c>
      <c r="I9" s="43" t="inlineStr">
        <is>
          <t>no</t>
        </is>
      </c>
      <c r="J9" s="45" t="n">
        <v>46231</v>
      </c>
      <c r="K9" s="44" t="inlineStr">
        <is>
          <t>Exact Atom ownership is covered by source and focused tests.</t>
        </is>
      </c>
      <c r="L9" s="43" t="n">
        <v>1</v>
      </c>
      <c r="M9" s="43">
        <f>IF(OR(AND(I9="yes",H9="verified"),AND(I9="no",OR(H9="tested",H9="verified")),AND(H9="not applicable",K9&lt;&gt;"")),1,0)</f>
        <v/>
      </c>
    </row>
    <row r="10" ht="54" customHeight="1" s="34">
      <c r="A10" s="43" t="inlineStr">
        <is>
          <t>TB-02</t>
        </is>
      </c>
      <c r="B10" s="43" t="inlineStr">
        <is>
          <t>API</t>
        </is>
      </c>
      <c r="C10" s="43" t="inlineStr">
        <is>
          <t>Public surface</t>
        </is>
      </c>
      <c r="D10" s="44" t="inlineStr">
        <is>
          <t>The Toolbar namespace and named exports expose Root, Button, Link, Separator, ToggleGroup, ToggleItem, props, size, and variant types.</t>
        </is>
      </c>
      <c r="E10" s="43" t="inlineStr">
        <is>
          <t>package</t>
        </is>
      </c>
      <c r="F10" s="43" t="inlineStr">
        <is>
          <t>component</t>
        </is>
      </c>
      <c r="G10" s="44" t="inlineStr">
        <is>
          <t>../test/components/toolbar/toolbar.test.tsx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TB-03</t>
        </is>
      </c>
      <c r="B11" s="43" t="inlineStr">
        <is>
          <t>Anatomy</t>
        </is>
      </c>
      <c r="C11" s="43" t="inlineStr">
        <is>
          <t>All parts</t>
        </is>
      </c>
      <c r="D11" s="44" t="inlineStr">
        <is>
          <t>Six public parts render their exact Atom/native hosts, Brick classes, slots, roles, and relationships without added wrappers.</t>
        </is>
      </c>
      <c r="E11" s="43" t="inlineStr">
        <is>
          <t>package</t>
        </is>
      </c>
      <c r="F11" s="43" t="inlineStr">
        <is>
          <t>component</t>
        </is>
      </c>
      <c r="G11" s="44" t="inlineStr">
        <is>
          <t>../test/components/toolbar/toolbar.test.tsx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TB-04</t>
        </is>
      </c>
      <c r="B12" s="43" t="inlineStr">
        <is>
          <t>Types</t>
        </is>
      </c>
      <c r="C12" s="43" t="inlineStr">
        <is>
          <t>Public surface</t>
        </is>
      </c>
      <c r="D12" s="44" t="inlineStr">
        <is>
          <t>Closed variant and size unions, native props, orientation, direction, refs, asChild, render, and toggle models type-check.</t>
        </is>
      </c>
      <c r="E12" s="43" t="inlineStr">
        <is>
          <t>package</t>
        </is>
      </c>
      <c r="F12" s="43" t="inlineStr">
        <is>
          <t>types</t>
        </is>
      </c>
      <c r="G12" s="44" t="inlineStr">
        <is>
          <t>../test/types/components/toolbar.test.ts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TB-05</t>
        </is>
      </c>
      <c r="B13" s="43" t="inlineStr">
        <is>
          <t>Exports</t>
        </is>
      </c>
      <c r="C13" s="43" t="inlineStr">
        <is>
          <t>All parts</t>
        </is>
      </c>
      <c r="D13" s="44" t="inlineStr">
        <is>
          <t>Root and toolbar subpath exports preserve namespace and named runtime identity in the packed package.</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TB-06</t>
        </is>
      </c>
      <c r="B14" s="43" t="inlineStr">
        <is>
          <t>SSR</t>
        </is>
      </c>
      <c r="C14" s="43" t="inlineStr">
        <is>
          <t>All parts</t>
        </is>
      </c>
      <c r="D14" s="44" t="inlineStr">
        <is>
          <t>Toolbar imports server-safely and emits deterministic toolbar, command, link, separator, group, and pressed-state anatomy.</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TB-07</t>
        </is>
      </c>
      <c r="B15" s="43" t="inlineStr">
        <is>
          <t>Defaults</t>
        </is>
      </c>
      <c r="C15" s="43" t="inlineStr">
        <is>
          <t>Root</t>
        </is>
      </c>
      <c r="D15" s="44" t="inlineStr">
        <is>
          <t>The default soft, medium, horizontal, LTR Toolbar remains content-sized and exposes one named toolbar landmark.</t>
        </is>
      </c>
      <c r="E15" s="43" t="inlineStr">
        <is>
          <t>package</t>
        </is>
      </c>
      <c r="F15" s="43" t="inlineStr">
        <is>
          <t>browser</t>
        </is>
      </c>
      <c r="G15" s="44" t="inlineStr">
        <is>
          <t>tests/components/toolbar/behavior.spec.ts</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TB-08</t>
        </is>
      </c>
      <c r="B16" s="43" t="inlineStr">
        <is>
          <t>Variants</t>
        </is>
      </c>
      <c r="C16" s="43" t="inlineStr">
        <is>
          <t>Root</t>
        </is>
      </c>
      <c r="D16" s="44" t="inlineStr">
        <is>
          <t>Plain, soft, and outline change only the coordinated surface treatment.</t>
        </is>
      </c>
      <c r="E16" s="43" t="inlineStr">
        <is>
          <t>package</t>
        </is>
      </c>
      <c r="F16" s="43" t="inlineStr">
        <is>
          <t>visual</t>
        </is>
      </c>
      <c r="G16" s="44" t="inlineStr">
        <is>
          <t>tests/components/toolbar/visual.spec.ts</t>
        </is>
      </c>
      <c r="H16" s="43" t="inlineStr">
        <is>
          <t>implemented</t>
        </is>
      </c>
      <c r="I16" s="43" t="inlineStr">
        <is>
          <t>yes</t>
        </is>
      </c>
      <c r="J16" s="45" t="n">
        <v>46231</v>
      </c>
      <c r="K16" s="44" t="inlineStr">
        <is>
          <t>Owner comparison review remains open.</t>
        </is>
      </c>
      <c r="L16" s="43" t="n">
        <v>1</v>
      </c>
      <c r="M16" s="43">
        <f>IF(OR(AND(I16="yes",H16="verified"),AND(I16="no",OR(H16="tested",H16="verified")),AND(H16="not applicable",K16&lt;&gt;"")),1,0)</f>
        <v/>
      </c>
    </row>
    <row r="17" ht="54" customHeight="1" s="34">
      <c r="A17" s="43" t="inlineStr">
        <is>
          <t>TB-09</t>
        </is>
      </c>
      <c r="B17" s="43" t="inlineStr">
        <is>
          <t>Sizes</t>
        </is>
      </c>
      <c r="C17" s="43" t="inlineStr">
        <is>
          <t>Root / items</t>
        </is>
      </c>
      <c r="D17" s="44" t="inlineStr">
        <is>
          <t>Small, medium, and large coordinate root padding, target height, typography, icons, and separators without behavioral drift.</t>
        </is>
      </c>
      <c r="E17" s="43" t="inlineStr">
        <is>
          <t>package</t>
        </is>
      </c>
      <c r="F17" s="43" t="inlineStr">
        <is>
          <t>visual</t>
        </is>
      </c>
      <c r="G17" s="44" t="inlineStr">
        <is>
          <t>tests/components/toolbar/visual.spec.ts</t>
        </is>
      </c>
      <c r="H17" s="43" t="inlineStr">
        <is>
          <t>implemented</t>
        </is>
      </c>
      <c r="I17" s="43" t="inlineStr">
        <is>
          <t>yes</t>
        </is>
      </c>
      <c r="J17" s="45" t="n">
        <v>46231</v>
      </c>
      <c r="K17" s="44" t="inlineStr">
        <is>
          <t>Owner size review remains open.</t>
        </is>
      </c>
      <c r="L17" s="43" t="n">
        <v>1</v>
      </c>
      <c r="M17" s="43">
        <f>IF(OR(AND(I17="yes",H17="verified"),AND(I17="no",OR(H17="tested",H17="verified")),AND(H17="not applicable",K17&lt;&gt;"")),1,0)</f>
        <v/>
      </c>
    </row>
    <row r="18" ht="54" customHeight="1" s="34">
      <c r="A18" s="43" t="inlineStr">
        <is>
          <t>TB-10</t>
        </is>
      </c>
      <c r="B18" s="43" t="inlineStr">
        <is>
          <t>Commands</t>
        </is>
      </c>
      <c r="C18" s="43" t="inlineStr">
        <is>
          <t>Button</t>
        </is>
      </c>
      <c r="D18" s="44" t="inlineStr">
        <is>
          <t>Command buttons preserve native activation, disabled behavior, naming, focusability, and authored application actions.</t>
        </is>
      </c>
      <c r="E18" s="43" t="inlineStr">
        <is>
          <t>package</t>
        </is>
      </c>
      <c r="F18" s="43" t="inlineStr">
        <is>
          <t>component</t>
        </is>
      </c>
      <c r="G18" s="44" t="inlineStr">
        <is>
          <t>../test/components/toolbar/toolbar.test.tsx; tests/components/toolbar/behavior.spec.ts</t>
        </is>
      </c>
      <c r="H18" s="43" t="inlineStr">
        <is>
          <t>tested</t>
        </is>
      </c>
      <c r="I18" s="43" t="inlineStr">
        <is>
          <t>no</t>
        </is>
      </c>
      <c r="J18" s="45" t="n">
        <v>46231</v>
      </c>
      <c r="K18" s="44" t="n"/>
      <c r="L18" s="43" t="n">
        <v>1</v>
      </c>
      <c r="M18" s="43">
        <f>IF(OR(AND(I18="yes",H18="verified"),AND(I18="no",OR(H18="tested",H18="verified")),AND(H18="not applicable",K18&lt;&gt;"")),1,0)</f>
        <v/>
      </c>
    </row>
    <row r="19" ht="54" customHeight="1" s="34">
      <c r="A19" s="43" t="inlineStr">
        <is>
          <t>TB-11</t>
        </is>
      </c>
      <c r="B19" s="43" t="inlineStr">
        <is>
          <t>Links</t>
        </is>
      </c>
      <c r="C19" s="43" t="inlineStr">
        <is>
          <t>Link</t>
        </is>
      </c>
      <c r="D19" s="44" t="inlineStr">
        <is>
          <t>Links retain native anchor navigation and participate in the Toolbar roving-focus sequence without button semantics.</t>
        </is>
      </c>
      <c r="E19" s="43" t="inlineStr">
        <is>
          <t>package</t>
        </is>
      </c>
      <c r="F19" s="43" t="inlineStr">
        <is>
          <t>browser</t>
        </is>
      </c>
      <c r="G19" s="44" t="inlineStr">
        <is>
          <t>tests/components/toolbar/behavior.spec.ts</t>
        </is>
      </c>
      <c r="H19" s="43" t="inlineStr">
        <is>
          <t>tested</t>
        </is>
      </c>
      <c r="I19" s="43" t="inlineStr">
        <is>
          <t>no</t>
        </is>
      </c>
      <c r="J19" s="45" t="n">
        <v>46231</v>
      </c>
      <c r="K19" s="44" t="n"/>
      <c r="L19" s="43" t="n">
        <v>1</v>
      </c>
      <c r="M19" s="43">
        <f>IF(OR(AND(I19="yes",H19="verified"),AND(I19="no",OR(H19="tested",H19="verified")),AND(H19="not applicable",K19&lt;&gt;"")),1,0)</f>
        <v/>
      </c>
    </row>
    <row r="20" ht="54" customHeight="1" s="34">
      <c r="A20" s="43" t="inlineStr">
        <is>
          <t>TB-12</t>
        </is>
      </c>
      <c r="B20" s="43" t="inlineStr">
        <is>
          <t>Separators</t>
        </is>
      </c>
      <c r="C20" s="43" t="inlineStr">
        <is>
          <t>Separator</t>
        </is>
      </c>
      <c r="D20" s="44" t="inlineStr">
        <is>
          <t>Separators preserve semantic orientation and remain unfocusable visual boundaries.</t>
        </is>
      </c>
      <c r="E20" s="43" t="inlineStr">
        <is>
          <t>package</t>
        </is>
      </c>
      <c r="F20" s="43" t="inlineStr">
        <is>
          <t>component</t>
        </is>
      </c>
      <c r="G20" s="44" t="inlineStr">
        <is>
          <t>../test/components/toolbar/toolbar.test.tsx</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TB-13</t>
        </is>
      </c>
      <c r="B21" s="43" t="inlineStr">
        <is>
          <t>Single toggle</t>
        </is>
      </c>
      <c r="C21" s="43" t="inlineStr">
        <is>
          <t>ToggleGroup / ToggleItem</t>
        </is>
      </c>
      <c r="D21" s="44" t="inlineStr">
        <is>
          <t>Single-value toggles preserve controlled and uncontrolled Atom state with exact aria-pressed output.</t>
        </is>
      </c>
      <c r="E21" s="43" t="inlineStr">
        <is>
          <t>package</t>
        </is>
      </c>
      <c r="F21" s="43" t="inlineStr">
        <is>
          <t>component</t>
        </is>
      </c>
      <c r="G21" s="44" t="inlineStr">
        <is>
          <t>../test/components/toolbar/toolbar.test.tsx</t>
        </is>
      </c>
      <c r="H21" s="43" t="inlineStr">
        <is>
          <t>tested</t>
        </is>
      </c>
      <c r="I21" s="43" t="inlineStr">
        <is>
          <t>no</t>
        </is>
      </c>
      <c r="J21" s="45" t="n">
        <v>46231</v>
      </c>
      <c r="K21" s="44" t="n"/>
      <c r="L21" s="43" t="n">
        <v>1</v>
      </c>
      <c r="M21" s="43">
        <f>IF(OR(AND(I21="yes",H21="verified"),AND(I21="no",OR(H21="tested",H21="verified")),AND(H21="not applicable",K21&lt;&gt;"")),1,0)</f>
        <v/>
      </c>
    </row>
    <row r="22" ht="54" customHeight="1" s="34">
      <c r="A22" s="43" t="inlineStr">
        <is>
          <t>TB-14</t>
        </is>
      </c>
      <c r="B22" s="43" t="inlineStr">
        <is>
          <t>Multiple toggle</t>
        </is>
      </c>
      <c r="C22" s="43" t="inlineStr">
        <is>
          <t>ToggleGroup / ToggleItem</t>
        </is>
      </c>
      <c r="D22" s="44" t="inlineStr">
        <is>
          <t>Multiple-value toggles preserve independent pressed state without Toolbar absorbing selection ownership.</t>
        </is>
      </c>
      <c r="E22" s="43" t="inlineStr">
        <is>
          <t>package</t>
        </is>
      </c>
      <c r="F22" s="43" t="inlineStr">
        <is>
          <t>browser</t>
        </is>
      </c>
      <c r="G22" s="44" t="inlineStr">
        <is>
          <t>tests/components/toolbar/behavior.spec.ts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TB-15</t>
        </is>
      </c>
      <c r="B23" s="43" t="inlineStr">
        <is>
          <t>Keyboard</t>
        </is>
      </c>
      <c r="C23" s="43" t="inlineStr">
        <is>
          <t>All focusable parts</t>
        </is>
      </c>
      <c r="D23" s="44" t="inlineStr">
        <is>
          <t>One Tab entry, orientation-aware arrows, Home, End, looping, and disabled-item omission remain Atom-owned.</t>
        </is>
      </c>
      <c r="E23" s="43" t="inlineStr">
        <is>
          <t>package</t>
        </is>
      </c>
      <c r="F23" s="43" t="inlineStr">
        <is>
          <t>browser</t>
        </is>
      </c>
      <c r="G23" s="44" t="inlineStr">
        <is>
          <t>tests/components/toolbar/behavior.spec.ts; @flowstack-ui/atom 0.15.0</t>
        </is>
      </c>
      <c r="H23" s="43" t="inlineStr">
        <is>
          <t>tested</t>
        </is>
      </c>
      <c r="I23" s="43" t="inlineStr">
        <is>
          <t>no</t>
        </is>
      </c>
      <c r="J23" s="45" t="n">
        <v>46231</v>
      </c>
      <c r="K23" s="44" t="n"/>
      <c r="L23" s="43" t="n">
        <v>1</v>
      </c>
      <c r="M23" s="43">
        <f>IF(OR(AND(I23="yes",H23="verified"),AND(I23="no",OR(H23="tested",H23="verified")),AND(H23="not applicable",K23&lt;&gt;"")),1,0)</f>
        <v/>
      </c>
    </row>
    <row r="24" ht="54" customHeight="1" s="34">
      <c r="A24" s="43" t="inlineStr">
        <is>
          <t>TB-16</t>
        </is>
      </c>
      <c r="B24" s="43" t="inlineStr">
        <is>
          <t>Orientation</t>
        </is>
      </c>
      <c r="C24" s="43" t="inlineStr">
        <is>
          <t>Root / Separator</t>
        </is>
      </c>
      <c r="D24" s="44" t="inlineStr">
        <is>
          <t>Horizontal and vertical layouts coordinate main-axis overflow, separator orientation, and direction-aware keyboard order.</t>
        </is>
      </c>
      <c r="E24" s="43" t="inlineStr">
        <is>
          <t>package</t>
        </is>
      </c>
      <c r="F24" s="43" t="inlineStr">
        <is>
          <t>browser</t>
        </is>
      </c>
      <c r="G24" s="44" t="inlineStr">
        <is>
          <t>tests/components/toolbar/behavior.spec.ts</t>
        </is>
      </c>
      <c r="H24" s="43" t="inlineStr">
        <is>
          <t>tested</t>
        </is>
      </c>
      <c r="I24" s="43" t="inlineStr">
        <is>
          <t>no</t>
        </is>
      </c>
      <c r="J24" s="45" t="n">
        <v>46231</v>
      </c>
      <c r="K24" s="44" t="n"/>
      <c r="L24" s="43" t="n">
        <v>1</v>
      </c>
      <c r="M24" s="43">
        <f>IF(OR(AND(I24="yes",H24="verified"),AND(I24="no",OR(H24="tested",H24="verified")),AND(H24="not applicable",K24&lt;&gt;"")),1,0)</f>
        <v/>
      </c>
    </row>
    <row r="25" ht="54" customHeight="1" s="34">
      <c r="A25" s="43" t="inlineStr">
        <is>
          <t>TB-17</t>
        </is>
      </c>
      <c r="B25" s="43" t="inlineStr">
        <is>
          <t>Composition</t>
        </is>
      </c>
      <c r="C25" s="43" t="inlineStr">
        <is>
          <t>Root / items</t>
        </is>
      </c>
      <c r="D25" s="44" t="inlineStr">
        <is>
          <t>Native attributes, events, class, style, refs, asChild, render, and popup-trigger composition preserve exact final hosts.</t>
        </is>
      </c>
      <c r="E25" s="43" t="inlineStr">
        <is>
          <t>package</t>
        </is>
      </c>
      <c r="F25" s="43" t="inlineStr">
        <is>
          <t>component</t>
        </is>
      </c>
      <c r="G25" s="44" t="inlineStr">
        <is>
          <t>../test/components/toolbar/toolbar.test.tsx; src/components/toolbar/ToolbarPage.tsx</t>
        </is>
      </c>
      <c r="H25" s="43" t="inlineStr">
        <is>
          <t>tested</t>
        </is>
      </c>
      <c r="I25" s="43" t="inlineStr">
        <is>
          <t>no</t>
        </is>
      </c>
      <c r="J25" s="45" t="n">
        <v>46231</v>
      </c>
      <c r="K25" s="44" t="n"/>
      <c r="L25" s="43" t="n">
        <v>1</v>
      </c>
      <c r="M25" s="43">
        <f>IF(OR(AND(I25="yes",H25="verified"),AND(I25="no",OR(H25="tested",H25="verified")),AND(H25="not applicable",K25&lt;&gt;"")),1,0)</f>
        <v/>
      </c>
    </row>
    <row r="26" ht="54" customHeight="1" s="34">
      <c r="A26" s="43" t="inlineStr">
        <is>
          <t>TB-18</t>
        </is>
      </c>
      <c r="B26" s="43" t="inlineStr">
        <is>
          <t>Responsive</t>
        </is>
      </c>
      <c r="C26" s="43" t="inlineStr">
        <is>
          <t>Root</t>
        </is>
      </c>
      <c r="D26" s="44" t="inlineStr">
        <is>
          <t>Toolbar never wraps and uses main-axis overflow at narrow widths while consumers retain item-priority and overflow-menu ownership.</t>
        </is>
      </c>
      <c r="E26" s="43" t="inlineStr">
        <is>
          <t>package</t>
        </is>
      </c>
      <c r="F26" s="43" t="inlineStr">
        <is>
          <t>browser</t>
        </is>
      </c>
      <c r="G26" s="44" t="inlineStr">
        <is>
          <t>tests/components/toolbar/behavior.spec.ts</t>
        </is>
      </c>
      <c r="H26" s="43" t="inlineStr">
        <is>
          <t>tested</t>
        </is>
      </c>
      <c r="I26" s="43" t="inlineStr">
        <is>
          <t>no</t>
        </is>
      </c>
      <c r="J26" s="45" t="n">
        <v>46231</v>
      </c>
      <c r="K26" s="44" t="n"/>
      <c r="L26" s="43" t="n">
        <v>1</v>
      </c>
      <c r="M26" s="43">
        <f>IF(OR(AND(I26="yes",H26="verified"),AND(I26="no",OR(H26="tested",H26="verified")),AND(H26="not applicable",K26&lt;&gt;"")),1,0)</f>
        <v/>
      </c>
    </row>
    <row r="27" ht="54" customHeight="1" s="34">
      <c r="A27" s="43" t="inlineStr">
        <is>
          <t>TB-19</t>
        </is>
      </c>
      <c r="B27" s="43" t="inlineStr">
        <is>
          <t>RTL</t>
        </is>
      </c>
      <c r="C27" s="43" t="inlineStr">
        <is>
          <t>Root / items</t>
        </is>
      </c>
      <c r="D27" s="44" t="inlineStr">
        <is>
          <t>Localized RTL evidence aligns logically and reverses horizontal Arrow navigation without changing authored DOM order.</t>
        </is>
      </c>
      <c r="E27" s="43" t="inlineStr">
        <is>
          <t>package</t>
        </is>
      </c>
      <c r="F27" s="43" t="inlineStr">
        <is>
          <t>visual</t>
        </is>
      </c>
      <c r="G27" s="44" t="inlineStr">
        <is>
          <t>tests/components/toolbar/visual.spec.ts; tests/components/toolbar/behavior.spec.ts</t>
        </is>
      </c>
      <c r="H27" s="43" t="inlineStr">
        <is>
          <t>implemented</t>
        </is>
      </c>
      <c r="I27" s="43" t="inlineStr">
        <is>
          <t>yes</t>
        </is>
      </c>
      <c r="J27" s="45" t="n">
        <v>46231</v>
      </c>
      <c r="K27" s="44" t="inlineStr">
        <is>
          <t>Automated RTL behavior passes; owner visual judgment remains open.</t>
        </is>
      </c>
      <c r="L27" s="43" t="n">
        <v>1</v>
      </c>
      <c r="M27" s="43">
        <f>IF(OR(AND(I27="yes",H27="verified"),AND(I27="no",OR(H27="tested",H27="verified")),AND(H27="not applicable",K27&lt;&gt;"")),1,0)</f>
        <v/>
      </c>
    </row>
    <row r="28" ht="54" customHeight="1" s="34">
      <c r="A28" s="43" t="inlineStr">
        <is>
          <t>TB-20</t>
        </is>
      </c>
      <c r="B28" s="43" t="inlineStr">
        <is>
          <t>Accessibility</t>
        </is>
      </c>
      <c r="C28" s="43" t="inlineStr">
        <is>
          <t>All parts</t>
        </is>
      </c>
      <c r="D28" s="44" t="inlineStr">
        <is>
          <t>Named toolbar/group semantics, native commands and links, pressed state, focus order, disabled omission, and the focused axe scan pass.</t>
        </is>
      </c>
      <c r="E28" s="43" t="inlineStr">
        <is>
          <t>package</t>
        </is>
      </c>
      <c r="F28" s="43" t="inlineStr">
        <is>
          <t>axe</t>
        </is>
      </c>
      <c r="G28" s="44" t="inlineStr">
        <is>
          <t>tests/components/toolbar/behavior.spec.ts</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TB-21</t>
        </is>
      </c>
      <c r="B29" s="43" t="inlineStr">
        <is>
          <t>Appearance</t>
        </is>
      </c>
      <c r="C29" s="43" t="inlineStr">
        <is>
          <t>All parts</t>
        </is>
      </c>
      <c r="D29" s="44" t="inlineStr">
        <is>
          <t>Light and dark scopes preserve surface, text, state, separator, and focus contrast; customization remains legible.</t>
        </is>
      </c>
      <c r="E29" s="43" t="inlineStr">
        <is>
          <t>package</t>
        </is>
      </c>
      <c r="F29" s="43" t="inlineStr">
        <is>
          <t>visual</t>
        </is>
      </c>
      <c r="G29" s="44" t="inlineStr">
        <is>
          <t>tests/components/toolbar/visual.spec.ts</t>
        </is>
      </c>
      <c r="H29" s="43" t="inlineStr">
        <is>
          <t>implemented</t>
        </is>
      </c>
      <c r="I29" s="43" t="inlineStr">
        <is>
          <t>yes</t>
        </is>
      </c>
      <c r="J29" s="45" t="n">
        <v>46231</v>
      </c>
      <c r="K29" s="44" t="inlineStr">
        <is>
          <t>Owner appearance review remains open.</t>
        </is>
      </c>
      <c r="L29" s="43" t="n">
        <v>1</v>
      </c>
      <c r="M29" s="43">
        <f>IF(OR(AND(I29="yes",H29="verified"),AND(I29="no",OR(H29="tested",H29="verified")),AND(H29="not applicable",K29&lt;&gt;"")),1,0)</f>
        <v/>
      </c>
    </row>
    <row r="30" ht="54" customHeight="1" s="34">
      <c r="A30" s="43" t="inlineStr">
        <is>
          <t>TB-22</t>
        </is>
      </c>
      <c r="B30" s="43" t="inlineStr">
        <is>
          <t>Preferences</t>
        </is>
      </c>
      <c r="C30" s="43" t="inlineStr">
        <is>
          <t>All parts</t>
        </is>
      </c>
      <c r="D30" s="44" t="inlineStr">
        <is>
          <t>Forced colors preserves boundaries, separators, focus, disabled, and pressed cues; reduced motion adds no Toolbar-owned motion.</t>
        </is>
      </c>
      <c r="E30" s="43" t="inlineStr">
        <is>
          <t>package</t>
        </is>
      </c>
      <c r="F30" s="43" t="inlineStr">
        <is>
          <t>visual</t>
        </is>
      </c>
      <c r="G30" s="44" t="inlineStr">
        <is>
          <t>tests/components/toolbar/visual.spec.ts; manual-tests/toolbar.md</t>
        </is>
      </c>
      <c r="H30" s="43" t="inlineStr">
        <is>
          <t>implemented</t>
        </is>
      </c>
      <c r="I30" s="43" t="inlineStr">
        <is>
          <t>yes</t>
        </is>
      </c>
      <c r="J30" s="45" t="n">
        <v>46231</v>
      </c>
      <c r="K30" s="44" t="inlineStr">
        <is>
          <t>Automated preference baselines exist; human review remains open.</t>
        </is>
      </c>
      <c r="L30" s="43" t="n">
        <v>1</v>
      </c>
      <c r="M30" s="43">
        <f>IF(OR(AND(I30="yes",H30="verified"),AND(I30="no",OR(H30="tested",H30="verified")),AND(H30="not applicable",K30&lt;&gt;"")),1,0)</f>
        <v/>
      </c>
    </row>
    <row r="31" ht="54" customHeight="1" s="34">
      <c r="A31" s="43" t="inlineStr">
        <is>
          <t>TB-23</t>
        </is>
      </c>
      <c r="B31" s="43" t="inlineStr">
        <is>
          <t>Customization</t>
        </is>
      </c>
      <c r="C31" s="43" t="inlineStr">
        <is>
          <t>All parts</t>
        </is>
      </c>
      <c r="D31" s="44" t="inlineStr">
        <is>
          <t>Documented --brick-toolbar-* variables, stable classes, slots, data attributes, className, and style customize visuals without behavior drift.</t>
        </is>
      </c>
      <c r="E31" s="43" t="inlineStr">
        <is>
          <t>package</t>
        </is>
      </c>
      <c r="F31" s="43" t="inlineStr">
        <is>
          <t>documentation</t>
        </is>
      </c>
      <c r="G31" s="44" t="inlineStr">
        <is>
          <t>../docs/components/toolbar/README.md; src/components/toolbar/ToolbarPage.tsx</t>
        </is>
      </c>
      <c r="H31" s="43" t="inlineStr">
        <is>
          <t>tested</t>
        </is>
      </c>
      <c r="I31" s="43" t="inlineStr">
        <is>
          <t>no</t>
        </is>
      </c>
      <c r="J31" s="45" t="n">
        <v>46231</v>
      </c>
      <c r="K31" s="44" t="n"/>
      <c r="L31" s="43" t="n">
        <v>1</v>
      </c>
      <c r="M31" s="43">
        <f>IF(OR(AND(I31="yes",H31="verified"),AND(I31="no",OR(H31="tested",H31="verified")),AND(H31="not applicable",K31&lt;&gt;"")),1,0)</f>
        <v/>
      </c>
    </row>
    <row r="32" ht="54" customHeight="1" s="34">
      <c r="A32" s="43" t="inlineStr">
        <is>
          <t>TB-24</t>
        </is>
      </c>
      <c r="B32" s="43" t="inlineStr">
        <is>
          <t>Playground</t>
        </is>
      </c>
      <c r="C32" s="43" t="inlineStr">
        <is>
          <t>All parts</t>
        </is>
      </c>
      <c r="D32" s="44" t="inlineStr">
        <is>
          <t>One navigable Toolbar route exposes nine deterministic scenarios with real editor and data-view controls.</t>
        </is>
      </c>
      <c r="E32" s="43" t="inlineStr">
        <is>
          <t>package</t>
        </is>
      </c>
      <c r="F32" s="43" t="inlineStr">
        <is>
          <t>playground</t>
        </is>
      </c>
      <c r="G32" s="44" t="inlineStr">
        <is>
          <t>src/components/toolbar/ToolbarPage.tsx</t>
        </is>
      </c>
      <c r="H32" s="43" t="inlineStr">
        <is>
          <t>tested</t>
        </is>
      </c>
      <c r="I32" s="43" t="inlineStr">
        <is>
          <t>no</t>
        </is>
      </c>
      <c r="J32" s="45" t="n">
        <v>46231</v>
      </c>
      <c r="K32" s="44" t="n"/>
      <c r="L32" s="43" t="n">
        <v>1</v>
      </c>
      <c r="M32" s="43">
        <f>IF(OR(AND(I32="yes",H32="verified"),AND(I32="no",OR(H32="tested",H32="verified")),AND(H32="not applicable",K32&lt;&gt;"")),1,0)</f>
        <v/>
      </c>
    </row>
    <row r="33" ht="54" customHeight="1" s="34">
      <c r="A33" s="43" t="inlineStr">
        <is>
          <t>TB-25</t>
        </is>
      </c>
      <c r="B33" s="43" t="inlineStr">
        <is>
          <t>Documentation</t>
        </is>
      </c>
      <c r="C33" s="43" t="inlineStr">
        <is>
          <t>Public guide</t>
        </is>
      </c>
      <c r="D33" s="44" t="inlineStr">
        <is>
          <t>The guide documents role, boundaries, six-part anatomy, API, keyboard model, recipes, responsive behavior, composition, customization, and exclusions.</t>
        </is>
      </c>
      <c r="E33" s="43" t="inlineStr">
        <is>
          <t>package</t>
        </is>
      </c>
      <c r="F33" s="43" t="inlineStr">
        <is>
          <t>documentation</t>
        </is>
      </c>
      <c r="G33" s="44" t="inlineStr">
        <is>
          <t>../docs/components/toolbar/README.md</t>
        </is>
      </c>
      <c r="H33" s="43" t="inlineStr">
        <is>
          <t>tested</t>
        </is>
      </c>
      <c r="I33" s="43" t="inlineStr">
        <is>
          <t>no</t>
        </is>
      </c>
      <c r="J33" s="45" t="n">
        <v>46231</v>
      </c>
      <c r="K33" s="44" t="n"/>
      <c r="L33" s="43" t="n">
        <v>1</v>
      </c>
      <c r="M33" s="43">
        <f>IF(OR(AND(I33="yes",H33="verified"),AND(I33="no",OR(H33="tested",H33="verified")),AND(H33="not applicable",K33&lt;&gt;"")),1,0)</f>
        <v/>
      </c>
    </row>
    <row r="34" ht="54" customHeight="1" s="34">
      <c r="A34" s="43" t="inlineStr">
        <is>
          <t>TB-26</t>
        </is>
      </c>
      <c r="B34" s="43" t="inlineStr">
        <is>
          <t>Changelog</t>
        </is>
      </c>
      <c r="C34" s="43" t="inlineStr">
        <is>
          <t>Public record</t>
        </is>
      </c>
      <c r="D34" s="44" t="inlineStr">
        <is>
          <t>Component and package changelogs describe the release-facing Toolbar family.</t>
        </is>
      </c>
      <c r="E34" s="43" t="inlineStr">
        <is>
          <t>package</t>
        </is>
      </c>
      <c r="F34" s="43" t="inlineStr">
        <is>
          <t>documentation</t>
        </is>
      </c>
      <c r="G34" s="44" t="inlineStr">
        <is>
          <t>../docs/components/toolbar/CHANGELOG.md; ../CHANGELOG.md</t>
        </is>
      </c>
      <c r="H34" s="43" t="inlineStr">
        <is>
          <t>tested</t>
        </is>
      </c>
      <c r="I34" s="43" t="inlineStr">
        <is>
          <t>no</t>
        </is>
      </c>
      <c r="J34" s="45" t="n">
        <v>46231</v>
      </c>
      <c r="K34" s="44" t="n"/>
      <c r="L34" s="43" t="n">
        <v>1</v>
      </c>
      <c r="M34" s="43">
        <f>IF(OR(AND(I34="yes",H34="verified"),AND(I34="no",OR(H34="tested",H34="verified")),AND(H34="not applicable",K34&lt;&gt;"")),1,0)</f>
        <v/>
      </c>
    </row>
    <row r="35" ht="54" customHeight="1" s="34">
      <c r="A35" s="43" t="inlineStr">
        <is>
          <t>TB-27</t>
        </is>
      </c>
      <c r="B35" s="43" t="inlineStr">
        <is>
          <t>Consumer</t>
        </is>
      </c>
      <c r="C35" s="43" t="inlineStr">
        <is>
          <t>All parts</t>
        </is>
      </c>
      <c r="D35" s="44" t="inlineStr">
        <is>
          <t>The packed Consumer composes document-view commands, separator, view toggles, and a help link through the public Toolbar subpath.</t>
        </is>
      </c>
      <c r="E35" s="43" t="inlineStr">
        <is>
          <t>consumer</t>
        </is>
      </c>
      <c r="F35" s="43" t="inlineStr">
        <is>
          <t>consumer</t>
        </is>
      </c>
      <c r="G35" s="44" t="inlineStr">
        <is>
          <t>../apps/consumer/src/App.tsx; ../apps/consumer/tests/consumer.spec.ts</t>
        </is>
      </c>
      <c r="H35" s="43" t="inlineStr">
        <is>
          <t>tested</t>
        </is>
      </c>
      <c r="I35" s="43" t="inlineStr">
        <is>
          <t>no</t>
        </is>
      </c>
      <c r="J35" s="45" t="n">
        <v>46231</v>
      </c>
      <c r="K35" s="44" t="inlineStr">
        <is>
          <t>Packed Consumer evidence passes on desktop and mobile Chromium.</t>
        </is>
      </c>
      <c r="L35" s="43" t="n">
        <v>1</v>
      </c>
      <c r="M35" s="43">
        <f>IF(OR(AND(I35="yes",H35="verified"),AND(I35="no",OR(H35="tested",H35="verified")),AND(H35="not applicable",K35&lt;&gt;"")),1,0)</f>
        <v/>
      </c>
    </row>
    <row r="36" ht="54" customHeight="1" s="34">
      <c r="A36" s="43" t="inlineStr">
        <is>
          <t>TB-28</t>
        </is>
      </c>
      <c r="B36" s="43" t="inlineStr">
        <is>
          <t>Visual</t>
        </is>
      </c>
      <c r="C36" s="43" t="inlineStr">
        <is>
          <t>All parts</t>
        </is>
      </c>
      <c r="D36" s="44" t="inlineStr">
        <is>
          <t>Baselines cover overview, anatomy, variants, sizes, commands, toggles, orientations, appearance, customization, responsive overflow, RTL, and preferences.</t>
        </is>
      </c>
      <c r="E36" s="43" t="inlineStr">
        <is>
          <t>package</t>
        </is>
      </c>
      <c r="F36" s="43" t="inlineStr">
        <is>
          <t>visual</t>
        </is>
      </c>
      <c r="G36" s="44" t="inlineStr">
        <is>
          <t>tests/components/toolbar/visual.spec.ts</t>
        </is>
      </c>
      <c r="H36" s="43" t="inlineStr">
        <is>
          <t>implemented</t>
        </is>
      </c>
      <c r="I36" s="43" t="inlineStr">
        <is>
          <t>yes</t>
        </is>
      </c>
      <c r="J36" s="45" t="n">
        <v>46231</v>
      </c>
      <c r="K36" s="44" t="inlineStr">
        <is>
          <t>Owner baseline review remains open.</t>
        </is>
      </c>
      <c r="L36" s="43" t="n">
        <v>1</v>
      </c>
      <c r="M36" s="43">
        <f>IF(OR(AND(I36="yes",H36="verified"),AND(I36="no",OR(H36="tested",H36="verified")),AND(H36="not applicable",K36&lt;&gt;"")),1,0)</f>
        <v/>
      </c>
    </row>
    <row r="37" ht="54" customHeight="1" s="34">
      <c r="A37" s="43" t="inlineStr">
        <is>
          <t>TB-29</t>
        </is>
      </c>
      <c r="B37" s="43" t="inlineStr">
        <is>
          <t>Manual</t>
        </is>
      </c>
      <c r="C37" s="43" t="inlineStr">
        <is>
          <t>All parts</t>
        </is>
      </c>
      <c r="D37" s="44" t="inlineStr">
        <is>
          <t>Owner reviews semantics, keyboard order, focus, commands, links, toggles, overflow, zoom, touch, RTL, appearances, and preferences.</t>
        </is>
      </c>
      <c r="E37" s="43" t="inlineStr">
        <is>
          <t>package</t>
        </is>
      </c>
      <c r="F37" s="43" t="inlineStr">
        <is>
          <t>manual</t>
        </is>
      </c>
      <c r="G37" s="44" t="inlineStr">
        <is>
          <t>manual-tests/toolbar.md</t>
        </is>
      </c>
      <c r="H37" s="43" t="inlineStr">
        <is>
          <t>not started</t>
        </is>
      </c>
      <c r="I37" s="43" t="inlineStr">
        <is>
          <t>yes</t>
        </is>
      </c>
      <c r="J37" s="45" t="n"/>
      <c r="K37" s="44" t="inlineStr">
        <is>
          <t>Human run intentionally unclaimed.</t>
        </is>
      </c>
      <c r="L37" s="43" t="n">
        <v>1</v>
      </c>
      <c r="M37" s="43">
        <f>IF(OR(AND(I37="yes",H37="verified"),AND(I37="no",OR(H37="tested",H37="verified")),AND(H37="not applicable",K37&lt;&gt;"")),1,0)</f>
        <v/>
      </c>
    </row>
    <row r="38" ht="54" customHeight="1" s="34">
      <c r="A38" s="43" t="inlineStr">
        <is>
          <t>TB-30</t>
        </is>
      </c>
      <c r="B38" s="43" t="inlineStr">
        <is>
          <t>Package</t>
        </is>
      </c>
      <c r="C38" s="43" t="inlineStr">
        <is>
          <t>Artifact</t>
        </is>
      </c>
      <c r="D38" s="44" t="inlineStr">
        <is>
          <t>Build, declarations, exports, SSR, CSS, docs, tarball, React 18/19, browser matrix, packed Consumer, and release gates pass.</t>
        </is>
      </c>
      <c r="E38" s="43" t="inlineStr">
        <is>
          <t>package</t>
        </is>
      </c>
      <c r="F38" s="43" t="inlineStr">
        <is>
          <t>package</t>
        </is>
      </c>
      <c r="G38" s="44" t="inlineStr">
        <is>
          <t>../test/package/package.test.mjs; ../scripts/verify-package.mjs</t>
        </is>
      </c>
      <c r="H38" s="43" t="inlineStr">
        <is>
          <t>tested</t>
        </is>
      </c>
      <c r="I38" s="43" t="inlineStr">
        <is>
          <t>no</t>
        </is>
      </c>
      <c r="J38" s="45" t="n">
        <v>46231</v>
      </c>
      <c r="K38" s="44" t="inlineStr">
        <is>
          <t>Local complete release verification passes; GitHub Actions verification is recorded in the private project record.</t>
        </is>
      </c>
      <c r="L38" s="43" t="n">
        <v>1</v>
      </c>
      <c r="M38" s="43">
        <f>IF(OR(AND(I38="yes",H38="verified"),AND(I38="no",OR(H38="tested",H38="verified")),AND(H38="not applicable",K38&lt;&gt;"")),1,0)</f>
        <v/>
      </c>
    </row>
    <row r="39" ht="54" customHeight="1" s="34"/>
  </sheetData>
  <mergeCells count="2">
    <mergeCell ref="A2:M2"/>
    <mergeCell ref="A1:M1"/>
  </mergeCells>
  <conditionalFormatting sqref="H9:H3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38" showDropDown="0" showInputMessage="0" showErrorMessage="0" allowBlank="0" type="list" errorStyle="stop" operator="between">
      <formula1>"not started,partial,implemented,tested,verified,blocked,not applicable"</formula1>
      <formula2>0</formula2>
    </dataValidation>
    <dataValidation sqref="I9:I3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6.xml><?xml version="1.0" encoding="utf-8"?>
<worksheet xmlns="http://schemas.openxmlformats.org/spreadsheetml/2006/main">
  <sheetPr filterMode="0">
    <outlinePr summaryBelow="1" summaryRight="1"/>
    <pageSetUpPr fitToPage="0"/>
  </sheetPr>
  <dimension ref="A1:M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Chip Evidence</t>
        </is>
      </c>
    </row>
    <row r="2" ht="27.75" customHeight="1" s="34">
      <c r="A2" s="36" t="inlineStr">
        <is>
          <t>Assertion-level Atom ownership, three-part passive value anatomy, visual recipes, explicit removal, responsive containment, package, documentation, Consumer, and accessibility evidence.</t>
        </is>
      </c>
    </row>
    <row r="4" ht="17.25" customHeight="1" s="34">
      <c r="A4" s="37" t="inlineStr">
        <is>
          <t>Requirements</t>
        </is>
      </c>
      <c r="B4" s="38">
        <f>COUNTA(A9:A39)</f>
        <v/>
      </c>
      <c r="D4" s="37" t="inlineStr">
        <is>
          <t>Resolved</t>
        </is>
      </c>
      <c r="E4" s="38">
        <f>SUM(M9:M39)</f>
        <v/>
      </c>
      <c r="G4" s="37" t="inlineStr">
        <is>
          <t>Completion</t>
        </is>
      </c>
      <c r="H4" s="39">
        <f>IF(B4=0,0,E4/B4)</f>
        <v/>
      </c>
      <c r="J4" s="37" t="inlineStr">
        <is>
          <t>Package gate</t>
        </is>
      </c>
      <c r="K4" s="38">
        <f>IF(COUNTIFS(E9:E39,"package",M9:M39,0)&gt;0,"open","complete")</f>
        <v/>
      </c>
    </row>
    <row r="5" ht="17.25" customHeight="1" s="34">
      <c r="A5" s="37" t="inlineStr">
        <is>
          <t>Manual review</t>
        </is>
      </c>
      <c r="B5" s="38">
        <f>IF(COUNTIFS(I9:I39,"yes",M9:M39,0)&gt;0,"open","complete")</f>
        <v/>
      </c>
      <c r="D5" s="37" t="inlineStr">
        <is>
          <t>Consumer gate</t>
        </is>
      </c>
      <c r="E5" s="38">
        <f>IF(COUNTIFS(E9:E39,"consumer",M9:M39,0)&gt;0,"open","complete")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CH-01</t>
        </is>
      </c>
      <c r="B9" s="43" t="inlineStr">
        <is>
          <t>Ownership</t>
        </is>
      </c>
      <c r="C9" s="43" t="inlineStr">
        <is>
          <t>All parts</t>
        </is>
      </c>
      <c r="D9" s="44" t="inlineStr">
        <is>
          <t>Brick styles released Atom 0.20.11 Badge and Button primitives without recreating activation or disabled behavior.</t>
        </is>
      </c>
      <c r="E9" s="43" t="inlineStr">
        <is>
          <t>package</t>
        </is>
      </c>
      <c r="F9" s="43" t="inlineStr">
        <is>
          <t>source</t>
        </is>
      </c>
      <c r="G9" s="44" t="inlineStr">
        <is>
          <t>../src/components/chip/Chip.tsx; ../package.json</t>
        </is>
      </c>
      <c r="H9" s="43" t="inlineStr">
        <is>
          <t>tested</t>
        </is>
      </c>
      <c r="I9" s="43" t="inlineStr">
        <is>
          <t>no</t>
        </is>
      </c>
      <c r="J9" s="45" t="n">
        <v>46231</v>
      </c>
      <c r="K9" s="44" t="inlineStr">
        <is>
          <t>Exact Atom ownership is covered by source and focused tests.</t>
        </is>
      </c>
      <c r="L9" s="43" t="n">
        <v>1</v>
      </c>
      <c r="M9" s="43">
        <f>IF(OR(AND(I9="yes",H9="verified"),AND(I9="no",OR(H9="tested",H9="verified")),AND(H9="not applicable",K9&lt;&gt;"")),1,0)</f>
        <v/>
      </c>
    </row>
    <row r="10" ht="54" customHeight="1" s="34">
      <c r="A10" s="43" t="inlineStr">
        <is>
          <t>CH-02</t>
        </is>
      </c>
      <c r="B10" s="43" t="inlineStr">
        <is>
          <t>API</t>
        </is>
      </c>
      <c r="C10" s="43" t="inlineStr">
        <is>
          <t>Public surface</t>
        </is>
      </c>
      <c r="D10" s="44" t="inlineStr">
        <is>
          <t>The Chip namespace and named exports expose Root, Label, RemoveTrigger, props, variants, tones, sizes, and shapes.</t>
        </is>
      </c>
      <c r="E10" s="43" t="inlineStr">
        <is>
          <t>package</t>
        </is>
      </c>
      <c r="F10" s="43" t="inlineStr">
        <is>
          <t>component</t>
        </is>
      </c>
      <c r="G10" s="44" t="inlineStr">
        <is>
          <t>../test/components/chip/chip.test.tsx</t>
        </is>
      </c>
      <c r="H10" s="43" t="inlineStr">
        <is>
          <t>tested</t>
        </is>
      </c>
      <c r="I10" s="43" t="inlineStr">
        <is>
          <t>no</t>
        </is>
      </c>
      <c r="J10" s="45" t="n">
        <v>46231</v>
      </c>
      <c r="K10" s="44" t="n"/>
      <c r="L10" s="43" t="n">
        <v>1</v>
      </c>
      <c r="M10" s="43">
        <f>IF(OR(AND(I10="yes",H10="verified"),AND(I10="no",OR(H10="tested",H10="verified")),AND(H10="not applicable",K10&lt;&gt;"")),1,0)</f>
        <v/>
      </c>
    </row>
    <row r="11" ht="54" customHeight="1" s="34">
      <c r="A11" s="43" t="inlineStr">
        <is>
          <t>CH-03</t>
        </is>
      </c>
      <c r="B11" s="43" t="inlineStr">
        <is>
          <t>Anatomy</t>
        </is>
      </c>
      <c r="C11" s="43" t="inlineStr">
        <is>
          <t>Root / Label / RemoveTrigger</t>
        </is>
      </c>
      <c r="D11" s="44" t="inlineStr">
        <is>
          <t>Three public parts render their exact Atom/native hosts, Brick classes, slots, metadata, and refs without added wrappers.</t>
        </is>
      </c>
      <c r="E11" s="43" t="inlineStr">
        <is>
          <t>package</t>
        </is>
      </c>
      <c r="F11" s="43" t="inlineStr">
        <is>
          <t>component</t>
        </is>
      </c>
      <c r="G11" s="44" t="inlineStr">
        <is>
          <t>../test/components/chip/chip.test.tsx</t>
        </is>
      </c>
      <c r="H11" s="43" t="inlineStr">
        <is>
          <t>tested</t>
        </is>
      </c>
      <c r="I11" s="43" t="inlineStr">
        <is>
          <t>no</t>
        </is>
      </c>
      <c r="J11" s="45" t="n">
        <v>46231</v>
      </c>
      <c r="K11" s="44" t="n"/>
      <c r="L11" s="43" t="n">
        <v>1</v>
      </c>
      <c r="M11" s="43">
        <f>IF(OR(AND(I11="yes",H11="verified"),AND(I11="no",OR(H11="tested",H11="verified")),AND(H11="not applicable",K11&lt;&gt;"")),1,0)</f>
        <v/>
      </c>
    </row>
    <row r="12" ht="54" customHeight="1" s="34">
      <c r="A12" s="43" t="inlineStr">
        <is>
          <t>CH-04</t>
        </is>
      </c>
      <c r="B12" s="43" t="inlineStr">
        <is>
          <t>Types</t>
        </is>
      </c>
      <c r="C12" s="43" t="inlineStr">
        <is>
          <t>Public surface</t>
        </is>
      </c>
      <c r="D12" s="44" t="inlineStr">
        <is>
          <t>Closed recipe unions, native props, required accessible removal naming, refs, asChild, and render composition type-check.</t>
        </is>
      </c>
      <c r="E12" s="43" t="inlineStr">
        <is>
          <t>package</t>
        </is>
      </c>
      <c r="F12" s="43" t="inlineStr">
        <is>
          <t>types</t>
        </is>
      </c>
      <c r="G12" s="44" t="inlineStr">
        <is>
          <t>../test/types/components/chip.test.ts</t>
        </is>
      </c>
      <c r="H12" s="43" t="inlineStr">
        <is>
          <t>tested</t>
        </is>
      </c>
      <c r="I12" s="43" t="inlineStr">
        <is>
          <t>no</t>
        </is>
      </c>
      <c r="J12" s="45" t="n">
        <v>46231</v>
      </c>
      <c r="K12" s="44" t="n"/>
      <c r="L12" s="43" t="n">
        <v>1</v>
      </c>
      <c r="M12" s="43">
        <f>IF(OR(AND(I12="yes",H12="verified"),AND(I12="no",OR(H12="tested",H12="verified")),AND(H12="not applicable",K12&lt;&gt;"")),1,0)</f>
        <v/>
      </c>
    </row>
    <row r="13" ht="54" customHeight="1" s="34">
      <c r="A13" s="43" t="inlineStr">
        <is>
          <t>CH-05</t>
        </is>
      </c>
      <c r="B13" s="43" t="inlineStr">
        <is>
          <t>Exports</t>
        </is>
      </c>
      <c r="C13" s="43" t="inlineStr">
        <is>
          <t>All parts</t>
        </is>
      </c>
      <c r="D13" s="44" t="inlineStr">
        <is>
          <t>Root and chip subpath exports preserve namespace and named runtime identity in the built package.</t>
        </is>
      </c>
      <c r="E13" s="43" t="inlineStr">
        <is>
          <t>package</t>
        </is>
      </c>
      <c r="F13" s="43" t="inlineStr">
        <is>
          <t>package</t>
        </is>
      </c>
      <c r="G13" s="44" t="inlineStr">
        <is>
          <t>../test/package/package.test.mjs</t>
        </is>
      </c>
      <c r="H13" s="43" t="inlineStr">
        <is>
          <t>tested</t>
        </is>
      </c>
      <c r="I13" s="43" t="inlineStr">
        <is>
          <t>no</t>
        </is>
      </c>
      <c r="J13" s="45" t="n">
        <v>46231</v>
      </c>
      <c r="K13" s="44" t="n"/>
      <c r="L13" s="43" t="n">
        <v>1</v>
      </c>
      <c r="M13" s="43">
        <f>IF(OR(AND(I13="yes",H13="verified"),AND(I13="no",OR(H13="tested",H13="verified")),AND(H13="not applicable",K13&lt;&gt;"")),1,0)</f>
        <v/>
      </c>
    </row>
    <row r="14" ht="54" customHeight="1" s="34">
      <c r="A14" s="43" t="inlineStr">
        <is>
          <t>CH-06</t>
        </is>
      </c>
      <c r="B14" s="43" t="inlineStr">
        <is>
          <t>SSR</t>
        </is>
      </c>
      <c r="C14" s="43" t="inlineStr">
        <is>
          <t>All parts</t>
        </is>
      </c>
      <c r="D14" s="44" t="inlineStr">
        <is>
          <t>Chip imports server-safely and emits deterministic passive span, label, and independently named button anatomy.</t>
        </is>
      </c>
      <c r="E14" s="43" t="inlineStr">
        <is>
          <t>package</t>
        </is>
      </c>
      <c r="F14" s="43" t="inlineStr">
        <is>
          <t>package</t>
        </is>
      </c>
      <c r="G14" s="44" t="inlineStr">
        <is>
          <t>../test/package/ssr.test.mjs</t>
        </is>
      </c>
      <c r="H14" s="43" t="inlineStr">
        <is>
          <t>tested</t>
        </is>
      </c>
      <c r="I14" s="43" t="inlineStr">
        <is>
          <t>no</t>
        </is>
      </c>
      <c r="J14" s="45" t="n">
        <v>46231</v>
      </c>
      <c r="K14" s="44" t="n"/>
      <c r="L14" s="43" t="n">
        <v>1</v>
      </c>
      <c r="M14" s="43">
        <f>IF(OR(AND(I14="yes",H14="verified"),AND(I14="no",OR(H14="tested",H14="verified")),AND(H14="not applicable",K14&lt;&gt;"")),1,0)</f>
        <v/>
      </c>
    </row>
    <row r="15" ht="54" customHeight="1" s="34">
      <c r="A15" s="43" t="inlineStr">
        <is>
          <t>CH-07</t>
        </is>
      </c>
      <c r="B15" s="43" t="inlineStr">
        <is>
          <t>Defaults</t>
        </is>
      </c>
      <c r="C15" s="43" t="inlineStr">
        <is>
          <t>Root</t>
        </is>
      </c>
      <c r="D15" s="44" t="inlineStr">
        <is>
          <t>The default soft, neutral, medium, pill Chip remains passive and content-sized with no role, tab stop, or selection state.</t>
        </is>
      </c>
      <c r="E15" s="43" t="inlineStr">
        <is>
          <t>package</t>
        </is>
      </c>
      <c r="F15" s="43" t="inlineStr">
        <is>
          <t>browser</t>
        </is>
      </c>
      <c r="G15" s="44" t="inlineStr">
        <is>
          <t>tests/components/chip/behavior.spec.ts</t>
        </is>
      </c>
      <c r="H15" s="43" t="inlineStr">
        <is>
          <t>tested</t>
        </is>
      </c>
      <c r="I15" s="43" t="inlineStr">
        <is>
          <t>no</t>
        </is>
      </c>
      <c r="J15" s="45" t="n">
        <v>46231</v>
      </c>
      <c r="K15" s="44" t="n"/>
      <c r="L15" s="43" t="n">
        <v>1</v>
      </c>
      <c r="M15" s="43">
        <f>IF(OR(AND(I15="yes",H15="verified"),AND(I15="no",OR(H15="tested",H15="verified")),AND(H15="not applicable",K15&lt;&gt;"")),1,0)</f>
        <v/>
      </c>
    </row>
    <row r="16" ht="54" customHeight="1" s="34">
      <c r="A16" s="43" t="inlineStr">
        <is>
          <t>CH-08</t>
        </is>
      </c>
      <c r="B16" s="43" t="inlineStr">
        <is>
          <t>Variants</t>
        </is>
      </c>
      <c r="C16" s="43" t="inlineStr">
        <is>
          <t>Root</t>
        </is>
      </c>
      <c r="D16" s="44" t="inlineStr">
        <is>
          <t>Soft and outline change coordinated surface and border treatment without semantic drift.</t>
        </is>
      </c>
      <c r="E16" s="43" t="inlineStr">
        <is>
          <t>package</t>
        </is>
      </c>
      <c r="F16" s="43" t="inlineStr">
        <is>
          <t>visual</t>
        </is>
      </c>
      <c r="G16" s="44" t="inlineStr">
        <is>
          <t>tests/components/chip/visual.spec.ts</t>
        </is>
      </c>
      <c r="H16" s="43" t="inlineStr">
        <is>
          <t>implemented</t>
        </is>
      </c>
      <c r="I16" s="43" t="inlineStr">
        <is>
          <t>yes</t>
        </is>
      </c>
      <c r="J16" s="45" t="n">
        <v>46231</v>
      </c>
      <c r="K16" s="44" t="inlineStr">
        <is>
          <t>Owner comparison review remains open.</t>
        </is>
      </c>
      <c r="L16" s="43" t="n">
        <v>1</v>
      </c>
      <c r="M16" s="43">
        <f>IF(OR(AND(I16="yes",H16="verified"),AND(I16="no",OR(H16="tested",H16="verified")),AND(H16="not applicable",K16&lt;&gt;"")),1,0)</f>
        <v/>
      </c>
    </row>
    <row r="17" ht="54" customHeight="1" s="34">
      <c r="A17" s="43" t="inlineStr">
        <is>
          <t>CH-09</t>
        </is>
      </c>
      <c r="B17" s="43" t="inlineStr">
        <is>
          <t>Tones</t>
        </is>
      </c>
      <c r="C17" s="43" t="inlineStr">
        <is>
          <t>Root</t>
        </is>
      </c>
      <c r="D17" s="44" t="inlineStr">
        <is>
          <t>Neutral and accent express identity emphasis without introducing success, warning, or error semantics.</t>
        </is>
      </c>
      <c r="E17" s="43" t="inlineStr">
        <is>
          <t>package</t>
        </is>
      </c>
      <c r="F17" s="43" t="inlineStr">
        <is>
          <t>visual</t>
        </is>
      </c>
      <c r="G17" s="44" t="inlineStr">
        <is>
          <t>tests/components/chip/visual.spec.ts</t>
        </is>
      </c>
      <c r="H17" s="43" t="inlineStr">
        <is>
          <t>implemented</t>
        </is>
      </c>
      <c r="I17" s="43" t="inlineStr">
        <is>
          <t>yes</t>
        </is>
      </c>
      <c r="J17" s="45" t="n">
        <v>46231</v>
      </c>
      <c r="K17" s="44" t="inlineStr">
        <is>
          <t>Owner tone review remains open.</t>
        </is>
      </c>
      <c r="L17" s="43" t="n">
        <v>1</v>
      </c>
      <c r="M17" s="43">
        <f>IF(OR(AND(I17="yes",H17="verified"),AND(I17="no",OR(H17="tested",H17="verified")),AND(H17="not applicable",K17&lt;&gt;"")),1,0)</f>
        <v/>
      </c>
    </row>
    <row r="18" ht="54" customHeight="1" s="34">
      <c r="A18" s="43" t="inlineStr">
        <is>
          <t>CH-10</t>
        </is>
      </c>
      <c r="B18" s="43" t="inlineStr">
        <is>
          <t>Sizes</t>
        </is>
      </c>
      <c r="C18" s="43" t="inlineStr">
        <is>
          <t>Root / RemoveTrigger</t>
        </is>
      </c>
      <c r="D18" s="44" t="inlineStr">
        <is>
          <t>Small, medium, and large coordinate typography, leading content, padding, and a minimum 24px remove target.</t>
        </is>
      </c>
      <c r="E18" s="43" t="inlineStr">
        <is>
          <t>package</t>
        </is>
      </c>
      <c r="F18" s="43" t="inlineStr">
        <is>
          <t>visual</t>
        </is>
      </c>
      <c r="G18" s="44" t="inlineStr">
        <is>
          <t>tests/components/chip/visual.spec.ts; tests/components/chip/behavior.spec.ts</t>
        </is>
      </c>
      <c r="H18" s="43" t="inlineStr">
        <is>
          <t>implemented</t>
        </is>
      </c>
      <c r="I18" s="43" t="inlineStr">
        <is>
          <t>yes</t>
        </is>
      </c>
      <c r="J18" s="45" t="n">
        <v>46231</v>
      </c>
      <c r="K18" s="44" t="inlineStr">
        <is>
          <t>Automated target geometry passes; owner size review remains open.</t>
        </is>
      </c>
      <c r="L18" s="43" t="n">
        <v>1</v>
      </c>
      <c r="M18" s="43">
        <f>IF(OR(AND(I18="yes",H18="verified"),AND(I18="no",OR(H18="tested",H18="verified")),AND(H18="not applicable",K18&lt;&gt;"")),1,0)</f>
        <v/>
      </c>
    </row>
    <row r="19" ht="54" customHeight="1" s="34">
      <c r="A19" s="43" t="inlineStr">
        <is>
          <t>CH-11</t>
        </is>
      </c>
      <c r="B19" s="43" t="inlineStr">
        <is>
          <t>Shapes</t>
        </is>
      </c>
      <c r="C19" s="43" t="inlineStr">
        <is>
          <t>Root</t>
        </is>
      </c>
      <c r="D19" s="44" t="inlineStr">
        <is>
          <t>Rounded and pill recipes change corners only while preserving anatomy and target geometry.</t>
        </is>
      </c>
      <c r="E19" s="43" t="inlineStr">
        <is>
          <t>package</t>
        </is>
      </c>
      <c r="F19" s="43" t="inlineStr">
        <is>
          <t>visual</t>
        </is>
      </c>
      <c r="G19" s="44" t="inlineStr">
        <is>
          <t>tests/components/chip/visual.spec.ts</t>
        </is>
      </c>
      <c r="H19" s="43" t="inlineStr">
        <is>
          <t>implemented</t>
        </is>
      </c>
      <c r="I19" s="43" t="inlineStr">
        <is>
          <t>yes</t>
        </is>
      </c>
      <c r="J19" s="45" t="n">
        <v>46231</v>
      </c>
      <c r="K19" s="44" t="inlineStr">
        <is>
          <t>Owner shape review remains open.</t>
        </is>
      </c>
      <c r="L19" s="43" t="n">
        <v>1</v>
      </c>
      <c r="M19" s="43">
        <f>IF(OR(AND(I19="yes",H19="verified"),AND(I19="no",OR(H19="tested",H19="verified")),AND(H19="not applicable",K19&lt;&gt;"")),1,0)</f>
        <v/>
      </c>
    </row>
    <row r="20" ht="54" customHeight="1" s="34">
      <c r="A20" s="43" t="inlineStr">
        <is>
          <t>CH-12</t>
        </is>
      </c>
      <c r="B20" s="43" t="inlineStr">
        <is>
          <t>Label</t>
        </is>
      </c>
      <c r="C20" s="43" t="inlineStr">
        <is>
          <t>Label</t>
        </is>
      </c>
      <c r="D20" s="44" t="inlineStr">
        <is>
          <t>Label remains a native one-line span and truncates long authored values without displacing adjacent content.</t>
        </is>
      </c>
      <c r="E20" s="43" t="inlineStr">
        <is>
          <t>package</t>
        </is>
      </c>
      <c r="F20" s="43" t="inlineStr">
        <is>
          <t>browser</t>
        </is>
      </c>
      <c r="G20" s="44" t="inlineStr">
        <is>
          <t>tests/components/chip/behavior.spec.ts</t>
        </is>
      </c>
      <c r="H20" s="43" t="inlineStr">
        <is>
          <t>tested</t>
        </is>
      </c>
      <c r="I20" s="43" t="inlineStr">
        <is>
          <t>no</t>
        </is>
      </c>
      <c r="J20" s="45" t="n">
        <v>46231</v>
      </c>
      <c r="K20" s="44" t="n"/>
      <c r="L20" s="43" t="n">
        <v>1</v>
      </c>
      <c r="M20" s="43">
        <f>IF(OR(AND(I20="yes",H20="verified"),AND(I20="no",OR(H20="tested",H20="verified")),AND(H20="not applicable",K20&lt;&gt;"")),1,0)</f>
        <v/>
      </c>
    </row>
    <row r="21" ht="54" customHeight="1" s="34">
      <c r="A21" s="43" t="inlineStr">
        <is>
          <t>CH-13</t>
        </is>
      </c>
      <c r="B21" s="43" t="inlineStr">
        <is>
          <t>Leading content</t>
        </is>
      </c>
      <c r="C21" s="43" t="inlineStr">
        <is>
          <t>Root / Label</t>
        </is>
      </c>
      <c r="D21" s="44" t="inlineStr">
        <is>
          <t>Authored Icon and Avatar content align without adding a Chip-owned semantic contract.</t>
        </is>
      </c>
      <c r="E21" s="43" t="inlineStr">
        <is>
          <t>package</t>
        </is>
      </c>
      <c r="F21" s="43" t="inlineStr">
        <is>
          <t>visual</t>
        </is>
      </c>
      <c r="G21" s="44" t="inlineStr">
        <is>
          <t>tests/components/chip/visual.spec.ts</t>
        </is>
      </c>
      <c r="H21" s="43" t="inlineStr">
        <is>
          <t>implemented</t>
        </is>
      </c>
      <c r="I21" s="43" t="inlineStr">
        <is>
          <t>yes</t>
        </is>
      </c>
      <c r="J21" s="45" t="n">
        <v>46231</v>
      </c>
      <c r="K21" s="44" t="inlineStr">
        <is>
          <t>Owner leading-content review remains open.</t>
        </is>
      </c>
      <c r="L21" s="43" t="n">
        <v>1</v>
      </c>
      <c r="M21" s="43">
        <f>IF(OR(AND(I21="yes",H21="verified"),AND(I21="no",OR(H21="tested",H21="verified")),AND(H21="not applicable",K21&lt;&gt;"")),1,0)</f>
        <v/>
      </c>
    </row>
    <row r="22" ht="54" customHeight="1" s="34">
      <c r="A22" s="43" t="inlineStr">
        <is>
          <t>CH-14</t>
        </is>
      </c>
      <c r="B22" s="43" t="inlineStr">
        <is>
          <t>Removal</t>
        </is>
      </c>
      <c r="C22" s="43" t="inlineStr">
        <is>
          <t>RemoveTrigger</t>
        </is>
      </c>
      <c r="D22" s="44" t="inlineStr">
        <is>
          <t>An explicitly named native button requests application-owned removal and preserves Enter, Space, click, and focus behavior.</t>
        </is>
      </c>
      <c r="E22" s="43" t="inlineStr">
        <is>
          <t>package</t>
        </is>
      </c>
      <c r="F22" s="43" t="inlineStr">
        <is>
          <t>browser</t>
        </is>
      </c>
      <c r="G22" s="44" t="inlineStr">
        <is>
          <t>tests/components/chip/behavior.spec.ts</t>
        </is>
      </c>
      <c r="H22" s="43" t="inlineStr">
        <is>
          <t>tested</t>
        </is>
      </c>
      <c r="I22" s="43" t="inlineStr">
        <is>
          <t>no</t>
        </is>
      </c>
      <c r="J22" s="45" t="n">
        <v>46231</v>
      </c>
      <c r="K22" s="44" t="n"/>
      <c r="L22" s="43" t="n">
        <v>1</v>
      </c>
      <c r="M22" s="43">
        <f>IF(OR(AND(I22="yes",H22="verified"),AND(I22="no",OR(H22="tested",H22="verified")),AND(H22="not applicable",K22&lt;&gt;"")),1,0)</f>
        <v/>
      </c>
    </row>
    <row r="23" ht="54" customHeight="1" s="34">
      <c r="A23" s="43" t="inlineStr">
        <is>
          <t>CH-15</t>
        </is>
      </c>
      <c r="B23" s="43" t="inlineStr">
        <is>
          <t>Disabled</t>
        </is>
      </c>
      <c r="C23" s="43" t="inlineStr">
        <is>
          <t>RemoveTrigger</t>
        </is>
      </c>
      <c r="D23" s="44" t="inlineStr">
        <is>
          <t>Disabled removal remains unavailable and exposes stable disabled metadata without disabling the passive value container.</t>
        </is>
      </c>
      <c r="E23" s="43" t="inlineStr">
        <is>
          <t>package</t>
        </is>
      </c>
      <c r="F23" s="43" t="inlineStr">
        <is>
          <t>component</t>
        </is>
      </c>
      <c r="G23" s="44" t="inlineStr">
        <is>
          <t>../test/components/chip/chip.test.tsx; tests/components/chip/behavior.spec.ts</t>
        </is>
      </c>
      <c r="H23" s="43" t="inlineStr">
        <is>
          <t>tested</t>
        </is>
      </c>
      <c r="I23" s="43" t="inlineStr">
        <is>
          <t>no</t>
        </is>
      </c>
      <c r="J23" s="45" t="n">
        <v>46231</v>
      </c>
      <c r="K23" s="44" t="n"/>
      <c r="L23" s="43" t="n">
        <v>1</v>
      </c>
      <c r="M23" s="43">
        <f>IF(OR(AND(I23="yes",H23="verified"),AND(I23="no",OR(H23="tested",H23="verified")),AND(H23="not applicable",K23&lt;&gt;"")),1,0)</f>
        <v/>
      </c>
    </row>
    <row r="24" ht="54" customHeight="1" s="34">
      <c r="A24" s="43" t="inlineStr">
        <is>
          <t>CH-16</t>
        </is>
      </c>
      <c r="B24" s="43" t="inlineStr">
        <is>
          <t>Composition</t>
        </is>
      </c>
      <c r="C24" s="43" t="inlineStr">
        <is>
          <t>All parts</t>
        </is>
      </c>
      <c r="D24" s="44" t="inlineStr">
        <is>
          <t>Native attributes, events, class, style, refs, asChild, render, authored icon content, and custom trigger content preserve final hosts.</t>
        </is>
      </c>
      <c r="E24" s="43" t="inlineStr">
        <is>
          <t>package</t>
        </is>
      </c>
      <c r="F24" s="43" t="inlineStr">
        <is>
          <t>component</t>
        </is>
      </c>
      <c r="G24" s="44" t="inlineStr">
        <is>
          <t>../test/components/chip/chip.test.tsx</t>
        </is>
      </c>
      <c r="H24" s="43" t="inlineStr">
        <is>
          <t>tested</t>
        </is>
      </c>
      <c r="I24" s="43" t="inlineStr">
        <is>
          <t>no</t>
        </is>
      </c>
      <c r="J24" s="45" t="n">
        <v>46231</v>
      </c>
      <c r="K24" s="44" t="n"/>
      <c r="L24" s="43" t="n">
        <v>1</v>
      </c>
      <c r="M24" s="43">
        <f>IF(OR(AND(I24="yes",H24="verified"),AND(I24="no",OR(H24="tested",H24="verified")),AND(H24="not applicable",K24&lt;&gt;"")),1,0)</f>
        <v/>
      </c>
    </row>
    <row r="25" ht="54" customHeight="1" s="34">
      <c r="A25" s="43" t="inlineStr">
        <is>
          <t>CH-17</t>
        </is>
      </c>
      <c r="B25" s="43" t="inlineStr">
        <is>
          <t>Responsive</t>
        </is>
      </c>
      <c r="C25" s="43" t="inlineStr">
        <is>
          <t>Root / Label</t>
        </is>
      </c>
      <c r="D25" s="44" t="inlineStr">
        <is>
          <t>One Chip remains max-width contained while the parent owns wrapping between Chips and the remove target stays visible.</t>
        </is>
      </c>
      <c r="E25" s="43" t="inlineStr">
        <is>
          <t>package</t>
        </is>
      </c>
      <c r="F25" s="43" t="inlineStr">
        <is>
          <t>browser</t>
        </is>
      </c>
      <c r="G25" s="44" t="inlineStr">
        <is>
          <t>tests/components/chip/behavior.spec.ts</t>
        </is>
      </c>
      <c r="H25" s="43" t="inlineStr">
        <is>
          <t>tested</t>
        </is>
      </c>
      <c r="I25" s="43" t="inlineStr">
        <is>
          <t>no</t>
        </is>
      </c>
      <c r="J25" s="45" t="n">
        <v>46231</v>
      </c>
      <c r="K25" s="44" t="n"/>
      <c r="L25" s="43" t="n">
        <v>1</v>
      </c>
      <c r="M25" s="43">
        <f>IF(OR(AND(I25="yes",H25="verified"),AND(I25="no",OR(H25="tested",H25="verified")),AND(H25="not applicable",K25&lt;&gt;"")),1,0)</f>
        <v/>
      </c>
    </row>
    <row r="26" ht="54" customHeight="1" s="34">
      <c r="A26" s="43" t="inlineStr">
        <is>
          <t>CH-18</t>
        </is>
      </c>
      <c r="B26" s="43" t="inlineStr">
        <is>
          <t>Localization</t>
        </is>
      </c>
      <c r="C26" s="43" t="inlineStr">
        <is>
          <t>Root / Label</t>
        </is>
      </c>
      <c r="D26" s="44" t="inlineStr">
        <is>
          <t>Long English and Arabic values remain contained and use authored localized removal names.</t>
        </is>
      </c>
      <c r="E26" s="43" t="inlineStr">
        <is>
          <t>package</t>
        </is>
      </c>
      <c r="F26" s="43" t="inlineStr">
        <is>
          <t>visual</t>
        </is>
      </c>
      <c r="G26" s="44" t="inlineStr">
        <is>
          <t>tests/components/chip/visual.spec.ts; tests/components/chip/behavior.spec.ts</t>
        </is>
      </c>
      <c r="H26" s="43" t="inlineStr">
        <is>
          <t>implemented</t>
        </is>
      </c>
      <c r="I26" s="43" t="inlineStr">
        <is>
          <t>yes</t>
        </is>
      </c>
      <c r="J26" s="45" t="n">
        <v>46231</v>
      </c>
      <c r="K26" s="44" t="inlineStr">
        <is>
          <t>Automated containment passes; owner localization review remains open.</t>
        </is>
      </c>
      <c r="L26" s="43" t="n">
        <v>1</v>
      </c>
      <c r="M26" s="43">
        <f>IF(OR(AND(I26="yes",H26="verified"),AND(I26="no",OR(H26="tested",H26="verified")),AND(H26="not applicable",K26&lt;&gt;"")),1,0)</f>
        <v/>
      </c>
    </row>
    <row r="27" ht="54" customHeight="1" s="34">
      <c r="A27" s="43" t="inlineStr">
        <is>
          <t>CH-19</t>
        </is>
      </c>
      <c r="B27" s="43" t="inlineStr">
        <is>
          <t>RTL</t>
        </is>
      </c>
      <c r="C27" s="43" t="inlineStr">
        <is>
          <t>All parts</t>
        </is>
      </c>
      <c r="D27" s="44" t="inlineStr">
        <is>
          <t>Logical padding and authored child order place label, leading content, and remove action correctly in RTL.</t>
        </is>
      </c>
      <c r="E27" s="43" t="inlineStr">
        <is>
          <t>package</t>
        </is>
      </c>
      <c r="F27" s="43" t="inlineStr">
        <is>
          <t>visual</t>
        </is>
      </c>
      <c r="G27" s="44" t="inlineStr">
        <is>
          <t>tests/components/chip/visual.spec.ts; tests/components/chip/behavior.spec.ts</t>
        </is>
      </c>
      <c r="H27" s="43" t="inlineStr">
        <is>
          <t>implemented</t>
        </is>
      </c>
      <c r="I27" s="43" t="inlineStr">
        <is>
          <t>yes</t>
        </is>
      </c>
      <c r="J27" s="45" t="n">
        <v>46231</v>
      </c>
      <c r="K27" s="44" t="inlineStr">
        <is>
          <t>Automated RTL geometry passes; owner visual judgment remains open.</t>
        </is>
      </c>
      <c r="L27" s="43" t="n">
        <v>1</v>
      </c>
      <c r="M27" s="43">
        <f>IF(OR(AND(I27="yes",H27="verified"),AND(I27="no",OR(H27="tested",H27="verified")),AND(H27="not applicable",K27&lt;&gt;"")),1,0)</f>
        <v/>
      </c>
    </row>
    <row r="28" ht="54" customHeight="1" s="34">
      <c r="A28" s="43" t="inlineStr">
        <is>
          <t>CH-20</t>
        </is>
      </c>
      <c r="B28" s="43" t="inlineStr">
        <is>
          <t>Accessibility</t>
        </is>
      </c>
      <c r="C28" s="43" t="inlineStr">
        <is>
          <t>All parts</t>
        </is>
      </c>
      <c r="D28" s="44" t="inlineStr">
        <is>
          <t>Passive Root semantics, localized button naming, native disabled behavior, focus visibility, target geometry, and focused axe scan pass.</t>
        </is>
      </c>
      <c r="E28" s="43" t="inlineStr">
        <is>
          <t>package</t>
        </is>
      </c>
      <c r="F28" s="43" t="inlineStr">
        <is>
          <t>axe</t>
        </is>
      </c>
      <c r="G28" s="44" t="inlineStr">
        <is>
          <t>tests/components/chip/behavior.spec.ts</t>
        </is>
      </c>
      <c r="H28" s="43" t="inlineStr">
        <is>
          <t>tested</t>
        </is>
      </c>
      <c r="I28" s="43" t="inlineStr">
        <is>
          <t>no</t>
        </is>
      </c>
      <c r="J28" s="45" t="n">
        <v>46231</v>
      </c>
      <c r="K28" s="44" t="n"/>
      <c r="L28" s="43" t="n">
        <v>1</v>
      </c>
      <c r="M28" s="43">
        <f>IF(OR(AND(I28="yes",H28="verified"),AND(I28="no",OR(H28="tested",H28="verified")),AND(H28="not applicable",K28&lt;&gt;"")),1,0)</f>
        <v/>
      </c>
    </row>
    <row r="29" ht="54" customHeight="1" s="34">
      <c r="A29" s="43" t="inlineStr">
        <is>
          <t>CH-21</t>
        </is>
      </c>
      <c r="B29" s="43" t="inlineStr">
        <is>
          <t>Appearance</t>
        </is>
      </c>
      <c r="C29" s="43" t="inlineStr">
        <is>
          <t>All parts</t>
        </is>
      </c>
      <c r="D29" s="44" t="inlineStr">
        <is>
          <t>Light and dark scopes preserve surface, border, text, remove-action, and focus contrast.</t>
        </is>
      </c>
      <c r="E29" s="43" t="inlineStr">
        <is>
          <t>package</t>
        </is>
      </c>
      <c r="F29" s="43" t="inlineStr">
        <is>
          <t>visual</t>
        </is>
      </c>
      <c r="G29" s="44" t="inlineStr">
        <is>
          <t>tests/components/chip/visual.spec.ts</t>
        </is>
      </c>
      <c r="H29" s="43" t="inlineStr">
        <is>
          <t>implemented</t>
        </is>
      </c>
      <c r="I29" s="43" t="inlineStr">
        <is>
          <t>yes</t>
        </is>
      </c>
      <c r="J29" s="45" t="n">
        <v>46231</v>
      </c>
      <c r="K29" s="44" t="inlineStr">
        <is>
          <t>Owner appearance review remains open.</t>
        </is>
      </c>
      <c r="L29" s="43" t="n">
        <v>1</v>
      </c>
      <c r="M29" s="43">
        <f>IF(OR(AND(I29="yes",H29="verified"),AND(I29="no",OR(H29="tested",H29="verified")),AND(H29="not applicable",K29&lt;&gt;"")),1,0)</f>
        <v/>
      </c>
    </row>
    <row r="30" ht="54" customHeight="1" s="34">
      <c r="A30" s="43" t="inlineStr">
        <is>
          <t>CH-22</t>
        </is>
      </c>
      <c r="B30" s="43" t="inlineStr">
        <is>
          <t>Preferences</t>
        </is>
      </c>
      <c r="C30" s="43" t="inlineStr">
        <is>
          <t>All parts</t>
        </is>
      </c>
      <c r="D30" s="44" t="inlineStr">
        <is>
          <t>Forced colors preserves boundaries, removal, disabled, and focus cues; reduced motion adds no Chip-owned motion.</t>
        </is>
      </c>
      <c r="E30" s="43" t="inlineStr">
        <is>
          <t>package</t>
        </is>
      </c>
      <c r="F30" s="43" t="inlineStr">
        <is>
          <t>manual</t>
        </is>
      </c>
      <c r="G30" s="44" t="inlineStr">
        <is>
          <t>manual-tests/chip.md</t>
        </is>
      </c>
      <c r="H30" s="43" t="inlineStr">
        <is>
          <t>implemented</t>
        </is>
      </c>
      <c r="I30" s="43" t="inlineStr">
        <is>
          <t>yes</t>
        </is>
      </c>
      <c r="J30" s="45" t="n">
        <v>46231</v>
      </c>
      <c r="K30" s="44" t="inlineStr">
        <is>
          <t>Preference protocol exists; human review remains open.</t>
        </is>
      </c>
      <c r="L30" s="43" t="n">
        <v>1</v>
      </c>
      <c r="M30" s="43">
        <f>IF(OR(AND(I30="yes",H30="verified"),AND(I30="no",OR(H30="tested",H30="verified")),AND(H30="not applicable",K30&lt;&gt;"")),1,0)</f>
        <v/>
      </c>
    </row>
    <row r="31" ht="54" customHeight="1" s="34">
      <c r="A31" s="43" t="inlineStr">
        <is>
          <t>CH-23</t>
        </is>
      </c>
      <c r="B31" s="43" t="inlineStr">
        <is>
          <t>Customization</t>
        </is>
      </c>
      <c r="C31" s="43" t="inlineStr">
        <is>
          <t>All parts</t>
        </is>
      </c>
      <c r="D31" s="44" t="inlineStr">
        <is>
          <t>Documented --brick-chip-* variables, stable classes, slots, data attributes, className, and style customize paint without semantic drift.</t>
        </is>
      </c>
      <c r="E31" s="43" t="inlineStr">
        <is>
          <t>package</t>
        </is>
      </c>
      <c r="F31" s="43" t="inlineStr">
        <is>
          <t>documentation</t>
        </is>
      </c>
      <c r="G31" s="44" t="inlineStr">
        <is>
          <t>../docs/components/chip/README.md; src/components/chip/ChipPage.tsx</t>
        </is>
      </c>
      <c r="H31" s="43" t="inlineStr">
        <is>
          <t>tested</t>
        </is>
      </c>
      <c r="I31" s="43" t="inlineStr">
        <is>
          <t>no</t>
        </is>
      </c>
      <c r="J31" s="45" t="n">
        <v>46231</v>
      </c>
      <c r="K31" s="44" t="n"/>
      <c r="L31" s="43" t="n">
        <v>1</v>
      </c>
      <c r="M31" s="43">
        <f>IF(OR(AND(I31="yes",H31="verified"),AND(I31="no",OR(H31="tested",H31="verified")),AND(H31="not applicable",K31&lt;&gt;"")),1,0)</f>
        <v/>
      </c>
    </row>
    <row r="32" ht="54" customHeight="1" s="34">
      <c r="A32" s="43" t="inlineStr">
        <is>
          <t>CH-24</t>
        </is>
      </c>
      <c r="B32" s="43" t="inlineStr">
        <is>
          <t>Boundary</t>
        </is>
      </c>
      <c r="C32" s="43" t="inlineStr">
        <is>
          <t>Public guidance</t>
        </is>
      </c>
      <c r="D32" s="44" t="inlineStr">
        <is>
          <t>The playground and guide distinguish Chip values from passive Badge tags and selectable Toggle filters; no Tag export exists.</t>
        </is>
      </c>
      <c r="E32" s="43" t="inlineStr">
        <is>
          <t>package</t>
        </is>
      </c>
      <c r="F32" s="43" t="inlineStr">
        <is>
          <t>documentation</t>
        </is>
      </c>
      <c r="G32" s="44" t="inlineStr">
        <is>
          <t>../docs/components/chip/README.md; src/components/chip/ChipPage.tsx</t>
        </is>
      </c>
      <c r="H32" s="43" t="inlineStr">
        <is>
          <t>tested</t>
        </is>
      </c>
      <c r="I32" s="43" t="inlineStr">
        <is>
          <t>no</t>
        </is>
      </c>
      <c r="J32" s="45" t="n">
        <v>46231</v>
      </c>
      <c r="K32" s="44" t="n"/>
      <c r="L32" s="43" t="n">
        <v>1</v>
      </c>
      <c r="M32" s="43">
        <f>IF(OR(AND(I32="yes",H32="verified"),AND(I32="no",OR(H32="tested",H32="verified")),AND(H32="not applicable",K32&lt;&gt;"")),1,0)</f>
        <v/>
      </c>
    </row>
    <row r="33" ht="54" customHeight="1" s="34">
      <c r="A33" s="43" t="inlineStr">
        <is>
          <t>CH-25</t>
        </is>
      </c>
      <c r="B33" s="43" t="inlineStr">
        <is>
          <t>Playground</t>
        </is>
      </c>
      <c r="C33" s="43" t="inlineStr">
        <is>
          <t>All parts</t>
        </is>
      </c>
      <c r="D33" s="44" t="inlineStr">
        <is>
          <t>One navigable Chip route exposes nine deterministic scenarios for anatomy, recipes, content, removal, containment, appearance, and boundaries.</t>
        </is>
      </c>
      <c r="E33" s="43" t="inlineStr">
        <is>
          <t>package</t>
        </is>
      </c>
      <c r="F33" s="43" t="inlineStr">
        <is>
          <t>playground</t>
        </is>
      </c>
      <c r="G33" s="44" t="inlineStr">
        <is>
          <t>src/components/chip/ChipPage.tsx</t>
        </is>
      </c>
      <c r="H33" s="43" t="inlineStr">
        <is>
          <t>tested</t>
        </is>
      </c>
      <c r="I33" s="43" t="inlineStr">
        <is>
          <t>no</t>
        </is>
      </c>
      <c r="J33" s="45" t="n">
        <v>46231</v>
      </c>
      <c r="K33" s="44" t="n"/>
      <c r="L33" s="43" t="n">
        <v>1</v>
      </c>
      <c r="M33" s="43">
        <f>IF(OR(AND(I33="yes",H33="verified"),AND(I33="no",OR(H33="tested",H33="verified")),AND(H33="not applicable",K33&lt;&gt;"")),1,0)</f>
        <v/>
      </c>
    </row>
    <row r="34" ht="54" customHeight="1" s="34">
      <c r="A34" s="43" t="inlineStr">
        <is>
          <t>CH-26</t>
        </is>
      </c>
      <c r="B34" s="43" t="inlineStr">
        <is>
          <t>Documentation</t>
        </is>
      </c>
      <c r="C34" s="43" t="inlineStr">
        <is>
          <t>Public guide</t>
        </is>
      </c>
      <c r="D34" s="44" t="inlineStr">
        <is>
          <t>The guide documents role, exclusions, anatomy, API, recipes, responsive behavior, accessibility, composition, customization, and tag terminology.</t>
        </is>
      </c>
      <c r="E34" s="43" t="inlineStr">
        <is>
          <t>package</t>
        </is>
      </c>
      <c r="F34" s="43" t="inlineStr">
        <is>
          <t>documentation</t>
        </is>
      </c>
      <c r="G34" s="44" t="inlineStr">
        <is>
          <t>../docs/components/chip/README.md</t>
        </is>
      </c>
      <c r="H34" s="43" t="inlineStr">
        <is>
          <t>tested</t>
        </is>
      </c>
      <c r="I34" s="43" t="inlineStr">
        <is>
          <t>no</t>
        </is>
      </c>
      <c r="J34" s="45" t="n">
        <v>46231</v>
      </c>
      <c r="K34" s="44" t="n"/>
      <c r="L34" s="43" t="n">
        <v>1</v>
      </c>
      <c r="M34" s="43">
        <f>IF(OR(AND(I34="yes",H34="verified"),AND(I34="no",OR(H34="tested",H34="verified")),AND(H34="not applicable",K34&lt;&gt;"")),1,0)</f>
        <v/>
      </c>
    </row>
    <row r="35" ht="54" customHeight="1" s="34">
      <c r="A35" s="43" t="inlineStr">
        <is>
          <t>CH-27</t>
        </is>
      </c>
      <c r="B35" s="43" t="inlineStr">
        <is>
          <t>Changelog</t>
        </is>
      </c>
      <c r="C35" s="43" t="inlineStr">
        <is>
          <t>Public record</t>
        </is>
      </c>
      <c r="D35" s="44" t="inlineStr">
        <is>
          <t>Component and package changelogs describe the release-facing Chip family and its Atom-backed ownership.</t>
        </is>
      </c>
      <c r="E35" s="43" t="inlineStr">
        <is>
          <t>package</t>
        </is>
      </c>
      <c r="F35" s="43" t="inlineStr">
        <is>
          <t>documentation</t>
        </is>
      </c>
      <c r="G35" s="44" t="inlineStr">
        <is>
          <t>../docs/components/chip/CHANGELOG.md; ../CHANGELOG.md</t>
        </is>
      </c>
      <c r="H35" s="43" t="inlineStr">
        <is>
          <t>tested</t>
        </is>
      </c>
      <c r="I35" s="43" t="inlineStr">
        <is>
          <t>no</t>
        </is>
      </c>
      <c r="J35" s="45" t="n">
        <v>46231</v>
      </c>
      <c r="K35" s="44" t="n"/>
      <c r="L35" s="43" t="n">
        <v>1</v>
      </c>
      <c r="M35" s="43">
        <f>IF(OR(AND(I35="yes",H35="verified"),AND(I35="no",OR(H35="tested",H35="verified")),AND(H35="not applicable",K35&lt;&gt;"")),1,0)</f>
        <v/>
      </c>
    </row>
    <row r="36" ht="54" customHeight="1" s="34">
      <c r="A36" s="43" t="inlineStr">
        <is>
          <t>CH-28</t>
        </is>
      </c>
      <c r="B36" s="43" t="inlineStr">
        <is>
          <t>Consumer</t>
        </is>
      </c>
      <c r="C36" s="43" t="inlineStr">
        <is>
          <t>All parts</t>
        </is>
      </c>
      <c r="D36" s="44" t="inlineStr">
        <is>
          <t>The packed Consumer composes removable release-reviewer values through the public chip subpath.</t>
        </is>
      </c>
      <c r="E36" s="43" t="inlineStr">
        <is>
          <t>consumer</t>
        </is>
      </c>
      <c r="F36" s="43" t="inlineStr">
        <is>
          <t>consumer</t>
        </is>
      </c>
      <c r="G36" s="44" t="inlineStr">
        <is>
          <t>../apps/consumer/src/App.tsx; ../apps/consumer/tests/consumer.spec.ts</t>
        </is>
      </c>
      <c r="H36" s="43" t="inlineStr">
        <is>
          <t>tested</t>
        </is>
      </c>
      <c r="I36" s="43" t="inlineStr">
        <is>
          <t>no</t>
        </is>
      </c>
      <c r="J36" s="45" t="n">
        <v>46231</v>
      </c>
      <c r="K36" s="44" t="inlineStr">
        <is>
          <t>Packed Consumer evidence passes on desktop and mobile Chromium.</t>
        </is>
      </c>
      <c r="L36" s="43" t="n">
        <v>1</v>
      </c>
      <c r="M36" s="43">
        <f>IF(OR(AND(I36="yes",H36="verified"),AND(I36="no",OR(H36="tested",H36="verified")),AND(H36="not applicable",K36&lt;&gt;"")),1,0)</f>
        <v/>
      </c>
    </row>
    <row r="37" ht="54" customHeight="1" s="34">
      <c r="A37" s="43" t="inlineStr">
        <is>
          <t>CH-29</t>
        </is>
      </c>
      <c r="B37" s="43" t="inlineStr">
        <is>
          <t>Visual</t>
        </is>
      </c>
      <c r="C37" s="43" t="inlineStr">
        <is>
          <t>All parts</t>
        </is>
      </c>
      <c r="D37" s="44" t="inlineStr">
        <is>
          <t>Baselines cover overview, recipes, leading content, removal focus, appearance, customization, containment, RTL, and boundaries.</t>
        </is>
      </c>
      <c r="E37" s="43" t="inlineStr">
        <is>
          <t>package</t>
        </is>
      </c>
      <c r="F37" s="43" t="inlineStr">
        <is>
          <t>visual</t>
        </is>
      </c>
      <c r="G37" s="44" t="inlineStr">
        <is>
          <t>tests/components/chip/visual.spec.ts</t>
        </is>
      </c>
      <c r="H37" s="43" t="inlineStr">
        <is>
          <t>implemented</t>
        </is>
      </c>
      <c r="I37" s="43" t="inlineStr">
        <is>
          <t>yes</t>
        </is>
      </c>
      <c r="J37" s="45" t="n">
        <v>46231</v>
      </c>
      <c r="K37" s="44" t="inlineStr">
        <is>
          <t>Owner baseline review remains open.</t>
        </is>
      </c>
      <c r="L37" s="43" t="n">
        <v>1</v>
      </c>
      <c r="M37" s="43">
        <f>IF(OR(AND(I37="yes",H37="verified"),AND(I37="no",OR(H37="tested",H37="verified")),AND(H37="not applicable",K37&lt;&gt;"")),1,0)</f>
        <v/>
      </c>
    </row>
    <row r="38" ht="54" customHeight="1" s="34">
      <c r="A38" s="43" t="inlineStr">
        <is>
          <t>CH-30</t>
        </is>
      </c>
      <c r="B38" s="43" t="inlineStr">
        <is>
          <t>Manual</t>
        </is>
      </c>
      <c r="C38" s="43" t="inlineStr">
        <is>
          <t>All parts</t>
        </is>
      </c>
      <c r="D38" s="44" t="inlineStr">
        <is>
          <t>Owner reviews semantics, removal focus, disabled state, zoom, touch, localization, RTL, appearances, preferences, and component boundaries.</t>
        </is>
      </c>
      <c r="E38" s="43" t="inlineStr">
        <is>
          <t>package</t>
        </is>
      </c>
      <c r="F38" s="43" t="inlineStr">
        <is>
          <t>manual</t>
        </is>
      </c>
      <c r="G38" s="44" t="inlineStr">
        <is>
          <t>manual-tests/chip.md</t>
        </is>
      </c>
      <c r="H38" s="43" t="inlineStr">
        <is>
          <t>not started</t>
        </is>
      </c>
      <c r="I38" s="43" t="inlineStr">
        <is>
          <t>yes</t>
        </is>
      </c>
      <c r="J38" s="45" t="n"/>
      <c r="K38" s="44" t="inlineStr">
        <is>
          <t>Human run intentionally unclaimed.</t>
        </is>
      </c>
      <c r="L38" s="43" t="n">
        <v>1</v>
      </c>
      <c r="M38" s="43">
        <f>IF(OR(AND(I38="yes",H38="verified"),AND(I38="no",OR(H38="tested",H38="verified")),AND(H38="not applicable",K38&lt;&gt;"")),1,0)</f>
        <v/>
      </c>
    </row>
    <row r="39" ht="54" customHeight="1" s="34">
      <c r="A39" s="43" t="inlineStr">
        <is>
          <t>CH-31</t>
        </is>
      </c>
      <c r="B39" s="43" t="inlineStr">
        <is>
          <t>Package</t>
        </is>
      </c>
      <c r="C39" s="43" t="inlineStr">
        <is>
          <t>Artifact</t>
        </is>
      </c>
      <c r="D39" s="44" t="inlineStr">
        <is>
          <t>Build, declarations, exports, SSR, CSS, docs, tarball, React 18/19, browser coverage, packed Consumer, and release gates pass.</t>
        </is>
      </c>
      <c r="E39" s="43" t="inlineStr">
        <is>
          <t>package</t>
        </is>
      </c>
      <c r="F39" s="43" t="inlineStr">
        <is>
          <t>package</t>
        </is>
      </c>
      <c r="G39" s="44" t="inlineStr">
        <is>
          <t>../test/package/package.test.mjs; ../scripts/verify-package.mjs</t>
        </is>
      </c>
      <c r="H39" s="43" t="inlineStr">
        <is>
          <t>tested</t>
        </is>
      </c>
      <c r="I39" s="43" t="inlineStr">
        <is>
          <t>no</t>
        </is>
      </c>
      <c r="J39" s="45" t="n">
        <v>46231</v>
      </c>
      <c r="K39" s="44" t="inlineStr">
        <is>
          <t>Complete local check, packed React 18/19 consumers, focused browser suite, and packed Consumer verification pass.</t>
        </is>
      </c>
      <c r="L39" s="43" t="n">
        <v>1</v>
      </c>
      <c r="M39" s="43">
        <f>IF(OR(AND(I39="yes",H39="verified"),AND(I39="no",OR(H39="tested",H39="verified")),AND(H39="not applicable",K39&lt;&gt;"")),1,0)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7.xml><?xml version="1.0" encoding="utf-8"?>
<worksheet xmlns="http://schemas.openxmlformats.org/spreadsheetml/2006/main">
  <sheetPr filterMode="0">
    <outlinePr summaryBelow="1" summaryRight="1"/>
    <pageSetUpPr fitToPage="0"/>
  </sheetPr>
  <dimension ref="A1:M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Combobox Evidence</t>
        </is>
      </c>
    </row>
    <row r="2" ht="27.75" customHeight="1" s="34">
      <c r="A2" s="36" t="inlineStr">
        <is>
          <t>Assertion-level Atom-backed package, browser, mobile, human-review, documentation, Consumer, filtering, and positioning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CB-01</t>
        </is>
      </c>
      <c r="B9" s="43" t="inlineStr">
        <is>
          <t>Implementation</t>
        </is>
      </c>
      <c r="C9" s="43" t="inlineStr">
        <is>
          <t>Root/Control</t>
        </is>
      </c>
      <c r="D9" s="44" t="inlineStr">
        <is>
          <t>Compound Combobox and visual context adapt released Atom 0.20.11 without recreating behavior.</t>
        </is>
      </c>
      <c r="E9" s="43" t="inlineStr">
        <is>
          <t>package</t>
        </is>
      </c>
      <c r="F9" s="43" t="inlineStr">
        <is>
          <t>source</t>
        </is>
      </c>
      <c r="G9" s="44" t="inlineStr">
        <is>
          <t>../src/components/combobox</t>
        </is>
      </c>
      <c r="H9" s="43" t="inlineStr">
        <is>
          <t>tested</t>
        </is>
      </c>
      <c r="I9" s="43" t="inlineStr">
        <is>
          <t>no</t>
        </is>
      </c>
      <c r="J9" s="45" t="inlineStr">
        <is>
          <t>Focused implementation evidence passes.</t>
        </is>
      </c>
      <c r="K9" s="44" t="n"/>
      <c r="L9" s="43" t="n"/>
      <c r="M9" s="43">
        <f>IF(OR(H9="tested",H9="verified",H9="not applicable"),1,0)</f>
        <v/>
      </c>
    </row>
    <row r="10" ht="54" customHeight="1" s="34">
      <c r="A10" s="43" t="inlineStr">
        <is>
          <t>CB-02</t>
        </is>
      </c>
      <c r="B10" s="43" t="inlineStr">
        <is>
          <t>Anatomy</t>
        </is>
      </c>
      <c r="C10" s="43" t="inlineStr">
        <is>
          <t>All parts</t>
        </is>
      </c>
      <c r="D10" s="44" t="inlineStr">
        <is>
          <t>Root, Label, Control, Input, Clear, Indicator, Portal, Content, Listbox, Group, Item, Empty, and Loading are styled/exported.</t>
        </is>
      </c>
      <c r="E10" s="43" t="inlineStr">
        <is>
          <t>package</t>
        </is>
      </c>
      <c r="F10" s="43" t="inlineStr">
        <is>
          <t>component</t>
        </is>
      </c>
      <c r="G10" s="44" t="inlineStr">
        <is>
          <t>../test/components/combobox/combobox.test.tsx</t>
        </is>
      </c>
      <c r="H10" s="43" t="inlineStr">
        <is>
          <t>tested</t>
        </is>
      </c>
      <c r="I10" s="43" t="inlineStr">
        <is>
          <t>no</t>
        </is>
      </c>
      <c r="J10" s="45" t="inlineStr">
        <is>
          <t>Focused implementation evidence passes.</t>
        </is>
      </c>
      <c r="K10" s="44" t="n"/>
      <c r="L10" s="43" t="n"/>
      <c r="M10" s="43">
        <f>IF(OR(H10="tested",H10="verified",H10="not applicable"),1,0)</f>
        <v/>
      </c>
    </row>
    <row r="11" ht="54" customHeight="1" s="34">
      <c r="A11" s="43" t="inlineStr">
        <is>
          <t>CB-03</t>
        </is>
      </c>
      <c r="B11" s="43" t="inlineStr">
        <is>
          <t>Exports</t>
        </is>
      </c>
      <c r="C11" s="43" t="inlineStr">
        <is>
          <t>Combobox</t>
        </is>
      </c>
      <c r="D11" s="44" t="inlineStr">
        <is>
          <t>Root and combobox subpath exports expose the namespace, named parts, and public types.</t>
        </is>
      </c>
      <c r="E11" s="43" t="inlineStr">
        <is>
          <t>package</t>
        </is>
      </c>
      <c r="F11" s="43" t="inlineStr">
        <is>
          <t>package</t>
        </is>
      </c>
      <c r="G11" s="44" t="inlineStr">
        <is>
          <t>../test/package/package.test.mjs</t>
        </is>
      </c>
      <c r="H11" s="43" t="inlineStr">
        <is>
          <t>tested</t>
        </is>
      </c>
      <c r="I11" s="43" t="inlineStr">
        <is>
          <t>no</t>
        </is>
      </c>
      <c r="J11" s="45" t="inlineStr">
        <is>
          <t>Focused implementation evidence passes.</t>
        </is>
      </c>
      <c r="K11" s="44" t="n"/>
      <c r="L11" s="43" t="n"/>
      <c r="M11" s="43">
        <f>IF(OR(H11="tested",H11="verified",H11="not applicable"),1,0)</f>
        <v/>
      </c>
    </row>
    <row r="12" ht="54" customHeight="1" s="34">
      <c r="A12" s="43" t="inlineStr">
        <is>
          <t>CB-04</t>
        </is>
      </c>
      <c r="B12" s="43" t="inlineStr">
        <is>
          <t>Types</t>
        </is>
      </c>
      <c r="C12" s="43" t="inlineStr">
        <is>
          <t>Root/parts</t>
        </is>
      </c>
      <c r="D12" s="44" t="inlineStr">
        <is>
          <t>Recipes, refs, native props, and underline shape exclusion type-check.</t>
        </is>
      </c>
      <c r="E12" s="43" t="inlineStr">
        <is>
          <t>package</t>
        </is>
      </c>
      <c r="F12" s="43" t="inlineStr">
        <is>
          <t>types</t>
        </is>
      </c>
      <c r="G12" s="44" t="inlineStr">
        <is>
          <t>../test/types/components/combobox.test.ts</t>
        </is>
      </c>
      <c r="H12" s="43" t="inlineStr">
        <is>
          <t>tested</t>
        </is>
      </c>
      <c r="I12" s="43" t="inlineStr">
        <is>
          <t>no</t>
        </is>
      </c>
      <c r="J12" s="45" t="inlineStr">
        <is>
          <t>Focused implementation evidence passes.</t>
        </is>
      </c>
      <c r="K12" s="44" t="n"/>
      <c r="L12" s="43" t="n"/>
      <c r="M12" s="43">
        <f>IF(OR(H12="tested",H12="verified",H12="not applicable"),1,0)</f>
        <v/>
      </c>
    </row>
    <row r="13" ht="54" customHeight="1" s="34">
      <c r="A13" s="43" t="inlineStr">
        <is>
          <t>CB-05</t>
        </is>
      </c>
      <c r="B13" s="43" t="inlineStr">
        <is>
          <t>CSS</t>
        </is>
      </c>
      <c r="C13" s="43" t="inlineStr">
        <is>
          <t>Control/Content/Item</t>
        </is>
      </c>
      <c r="D13" s="44" t="inlineStr">
        <is>
          <t>Static CSS ships recipes, geometry, states, popup, options, artwork, and documented variables.</t>
        </is>
      </c>
      <c r="E13" s="43" t="inlineStr">
        <is>
          <t>package</t>
        </is>
      </c>
      <c r="F13" s="43" t="inlineStr">
        <is>
          <t>css</t>
        </is>
      </c>
      <c r="G13" s="44" t="inlineStr">
        <is>
          <t>../src/components/combobox/combobox.css</t>
        </is>
      </c>
      <c r="H13" s="43" t="inlineStr">
        <is>
          <t>tested</t>
        </is>
      </c>
      <c r="I13" s="43" t="inlineStr">
        <is>
          <t>no</t>
        </is>
      </c>
      <c r="J13" s="45" t="inlineStr">
        <is>
          <t>Focused implementation evidence passes.</t>
        </is>
      </c>
      <c r="K13" s="44" t="n"/>
      <c r="L13" s="43" t="n"/>
      <c r="M13" s="43">
        <f>IF(OR(H13="tested",H13="verified",H13="not applicable"),1,0)</f>
        <v/>
      </c>
    </row>
    <row r="14" ht="54" customHeight="1" s="34">
      <c r="A14" s="43" t="inlineStr">
        <is>
          <t>CB-06</t>
        </is>
      </c>
      <c r="B14" s="43" t="inlineStr">
        <is>
          <t>Filtering</t>
        </is>
      </c>
      <c r="C14" s="43" t="inlineStr">
        <is>
          <t>Input/Listbox</t>
        </is>
      </c>
      <c r="D14" s="44" t="inlineStr">
        <is>
          <t>Typing filters authored options and exposes an empty result.</t>
        </is>
      </c>
      <c r="E14" s="43" t="inlineStr">
        <is>
          <t>browser</t>
        </is>
      </c>
      <c r="F14" s="43" t="inlineStr">
        <is>
          <t>browser</t>
        </is>
      </c>
      <c r="G14" s="44" t="inlineStr">
        <is>
          <t>tests/components/combobox/behavior.spec.ts</t>
        </is>
      </c>
      <c r="H14" s="43" t="inlineStr">
        <is>
          <t>tested</t>
        </is>
      </c>
      <c r="I14" s="43" t="inlineStr">
        <is>
          <t>no</t>
        </is>
      </c>
      <c r="J14" s="45" t="inlineStr">
        <is>
          <t>Focused implementation evidence passes.</t>
        </is>
      </c>
      <c r="K14" s="44" t="n"/>
      <c r="L14" s="43" t="n"/>
      <c r="M14" s="43">
        <f>IF(OR(H14="tested",H14="verified",H14="not applicable"),1,0)</f>
        <v/>
      </c>
    </row>
    <row r="15" ht="54" customHeight="1" s="34">
      <c r="A15" s="43" t="inlineStr">
        <is>
          <t>CB-07</t>
        </is>
      </c>
      <c r="B15" s="43" t="inlineStr">
        <is>
          <t>Selection</t>
        </is>
      </c>
      <c r="C15" s="43" t="inlineStr">
        <is>
          <t>Input/Item/Clear</t>
        </is>
      </c>
      <c r="D15" s="44" t="inlineStr">
        <is>
          <t>Keyboard and pointer selection update one value and Clear removes it.</t>
        </is>
      </c>
      <c r="E15" s="43" t="inlineStr">
        <is>
          <t>browser</t>
        </is>
      </c>
      <c r="F15" s="43" t="inlineStr">
        <is>
          <t>browser</t>
        </is>
      </c>
      <c r="G15" s="44" t="inlineStr">
        <is>
          <t>tests/components/combobox/behavior.spec.ts</t>
        </is>
      </c>
      <c r="H15" s="43" t="inlineStr">
        <is>
          <t>tested</t>
        </is>
      </c>
      <c r="I15" s="43" t="inlineStr">
        <is>
          <t>no</t>
        </is>
      </c>
      <c r="J15" s="45" t="inlineStr">
        <is>
          <t>Focused implementation evidence passes.</t>
        </is>
      </c>
      <c r="K15" s="44" t="n"/>
      <c r="L15" s="43" t="n"/>
      <c r="M15" s="43">
        <f>IF(OR(H15="tested",H15="verified",H15="not applicable"),1,0)</f>
        <v/>
      </c>
    </row>
    <row r="16" ht="54" customHeight="1" s="34">
      <c r="A16" s="43" t="inlineStr">
        <is>
          <t>CB-08</t>
        </is>
      </c>
      <c r="B16" s="43" t="inlineStr">
        <is>
          <t>Free text</t>
        </is>
      </c>
      <c r="C16" s="43" t="inlineStr">
        <is>
          <t>Root/Input</t>
        </is>
      </c>
      <c r="D16" s="44" t="inlineStr">
        <is>
          <t>freeSolo permits values outside the option set.</t>
        </is>
      </c>
      <c r="E16" s="43" t="inlineStr">
        <is>
          <t>package</t>
        </is>
      </c>
      <c r="F16" s="43" t="inlineStr">
        <is>
          <t>component</t>
        </is>
      </c>
      <c r="G16" s="44" t="inlineStr">
        <is>
          <t>../test/components/combobox/combobox.test.tsx</t>
        </is>
      </c>
      <c r="H16" s="43" t="inlineStr">
        <is>
          <t>tested</t>
        </is>
      </c>
      <c r="I16" s="43" t="inlineStr">
        <is>
          <t>no</t>
        </is>
      </c>
      <c r="J16" s="45" t="inlineStr">
        <is>
          <t>Focused implementation evidence passes.</t>
        </is>
      </c>
      <c r="K16" s="44" t="n"/>
      <c r="L16" s="43" t="n"/>
      <c r="M16" s="43">
        <f>IF(OR(H16="tested",H16="verified",H16="not applicable"),1,0)</f>
        <v/>
      </c>
    </row>
    <row r="17" ht="54" customHeight="1" s="34">
      <c r="A17" s="43" t="inlineStr">
        <is>
          <t>CB-09</t>
        </is>
      </c>
      <c r="B17" s="43" t="inlineStr">
        <is>
          <t>States</t>
        </is>
      </c>
      <c r="C17" s="43" t="inlineStr">
        <is>
          <t>Input/Item/Messages</t>
        </is>
      </c>
      <c r="D17" s="44" t="inlineStr">
        <is>
          <t>Disabled, read-only, highlighted, selected, empty, and loading states remain distinct.</t>
        </is>
      </c>
      <c r="E17" s="43" t="inlineStr">
        <is>
          <t>human</t>
        </is>
      </c>
      <c r="F17" s="43" t="inlineStr">
        <is>
          <t>visual</t>
        </is>
      </c>
      <c r="G17" s="44" t="inlineStr">
        <is>
          <t>tests/components/combobox/visual.spec.ts</t>
        </is>
      </c>
      <c r="H17" s="43" t="inlineStr">
        <is>
          <t>implemented</t>
        </is>
      </c>
      <c r="I17" s="43" t="inlineStr">
        <is>
          <t>yes</t>
        </is>
      </c>
      <c r="J17" s="45" t="inlineStr">
        <is>
          <t>Combobox implementation evidence added; manual human-review rows remain open.</t>
        </is>
      </c>
      <c r="K17" s="44" t="n"/>
      <c r="L17" s="43" t="n"/>
      <c r="M17" s="43">
        <f>IF(OR(H17="tested",H17="verified",H17="not applicable"),1,0)</f>
        <v/>
      </c>
    </row>
    <row r="18" ht="54" customHeight="1" s="34">
      <c r="A18" s="43" t="inlineStr">
        <is>
          <t>CB-10</t>
        </is>
      </c>
      <c r="B18" s="43" t="inlineStr">
        <is>
          <t>Recipes</t>
        </is>
      </c>
      <c r="C18" s="43" t="inlineStr">
        <is>
          <t>Control</t>
        </is>
      </c>
      <c r="D18" s="44" t="inlineStr">
        <is>
          <t>Outline, soft, underline, sizes, shapes, and width retain closed recipe data.</t>
        </is>
      </c>
      <c r="E18" s="43" t="inlineStr">
        <is>
          <t>browser</t>
        </is>
      </c>
      <c r="F18" s="43" t="inlineStr">
        <is>
          <t>browser</t>
        </is>
      </c>
      <c r="G18" s="44" t="inlineStr">
        <is>
          <t>tests/components/combobox/behavior.spec.ts</t>
        </is>
      </c>
      <c r="H18" s="43" t="inlineStr">
        <is>
          <t>tested</t>
        </is>
      </c>
      <c r="I18" s="43" t="inlineStr">
        <is>
          <t>no</t>
        </is>
      </c>
      <c r="J18" s="45" t="inlineStr">
        <is>
          <t>Focused implementation evidence passes.</t>
        </is>
      </c>
      <c r="K18" s="44" t="n"/>
      <c r="L18" s="43" t="n"/>
      <c r="M18" s="43">
        <f>IF(OR(H18="tested",H18="verified",H18="not applicable"),1,0)</f>
        <v/>
      </c>
    </row>
    <row r="19" ht="54" customHeight="1" s="34">
      <c r="A19" s="43" t="inlineStr">
        <is>
          <t>CB-11</t>
        </is>
      </c>
      <c r="B19" s="43" t="inlineStr">
        <is>
          <t>Positioning</t>
        </is>
      </c>
      <c r="C19" s="43" t="inlineStr">
        <is>
          <t>Content</t>
        </is>
      </c>
      <c r="D19" s="44" t="inlineStr">
        <is>
          <t>Popup exposes collision-resolved side and remains viewport bounded.</t>
        </is>
      </c>
      <c r="E19" s="43" t="inlineStr">
        <is>
          <t>browser</t>
        </is>
      </c>
      <c r="F19" s="43" t="inlineStr">
        <is>
          <t>browser</t>
        </is>
      </c>
      <c r="G19" s="44" t="inlineStr">
        <is>
          <t>tests/components/combobox/behavior.spec.ts</t>
        </is>
      </c>
      <c r="H19" s="43" t="inlineStr">
        <is>
          <t>tested</t>
        </is>
      </c>
      <c r="I19" s="43" t="inlineStr">
        <is>
          <t>no</t>
        </is>
      </c>
      <c r="J19" s="45" t="inlineStr">
        <is>
          <t>Focused implementation evidence passes.</t>
        </is>
      </c>
      <c r="K19" s="44" t="n"/>
      <c r="L19" s="43" t="n"/>
      <c r="M19" s="43">
        <f>IF(OR(H19="tested",H19="verified",H19="not applicable"),1,0)</f>
        <v/>
      </c>
    </row>
    <row r="20" ht="54" customHeight="1" s="34">
      <c r="A20" s="43" t="inlineStr">
        <is>
          <t>CB-12</t>
        </is>
      </c>
      <c r="B20" s="43" t="inlineStr">
        <is>
          <t>Touch</t>
        </is>
      </c>
      <c r="C20" s="43" t="inlineStr">
        <is>
          <t>Content</t>
        </is>
      </c>
      <c r="D20" s="44" t="inlineStr">
        <is>
          <t>Atom 0.20.11 defers outside-touch dismissal; physical mobile scrolling and flipping remain reachable.</t>
        </is>
      </c>
      <c r="E20" s="43" t="inlineStr">
        <is>
          <t>human</t>
        </is>
      </c>
      <c r="F20" s="43" t="inlineStr">
        <is>
          <t>manual</t>
        </is>
      </c>
      <c r="G20" s="44" t="inlineStr">
        <is>
          <t>manual-tests/combobox.md</t>
        </is>
      </c>
      <c r="H20" s="43" t="inlineStr">
        <is>
          <t>implemented</t>
        </is>
      </c>
      <c r="I20" s="43" t="inlineStr">
        <is>
          <t>yes</t>
        </is>
      </c>
      <c r="J20" s="45" t="inlineStr">
        <is>
          <t>Combobox implementation evidence added; manual human-review rows remain open.</t>
        </is>
      </c>
      <c r="K20" s="44" t="n"/>
      <c r="L20" s="43" t="n"/>
      <c r="M20" s="43">
        <f>IF(OR(H20="tested",H20="verified",H20="not applicable"),1,0)</f>
        <v/>
      </c>
    </row>
    <row r="21" ht="54" customHeight="1" s="34">
      <c r="A21" s="43" t="inlineStr">
        <is>
          <t>CB-13</t>
        </is>
      </c>
      <c r="B21" s="43" t="inlineStr">
        <is>
          <t>Accessibility</t>
        </is>
      </c>
      <c r="C21" s="43" t="inlineStr">
        <is>
          <t>All parts</t>
        </is>
      </c>
      <c r="D21" s="44" t="inlineStr">
        <is>
          <t>Combobox route has no automated axe violations and preserves native roles.</t>
        </is>
      </c>
      <c r="E21" s="43" t="inlineStr">
        <is>
          <t>browser</t>
        </is>
      </c>
      <c r="F21" s="43" t="inlineStr">
        <is>
          <t>axe</t>
        </is>
      </c>
      <c r="G21" s="44" t="inlineStr">
        <is>
          <t>tests/components/combobox/behavior.spec.ts</t>
        </is>
      </c>
      <c r="H21" s="43" t="inlineStr">
        <is>
          <t>tested</t>
        </is>
      </c>
      <c r="I21" s="43" t="inlineStr">
        <is>
          <t>no</t>
        </is>
      </c>
      <c r="J21" s="45" t="inlineStr">
        <is>
          <t>Focused implementation evidence passes.</t>
        </is>
      </c>
      <c r="K21" s="44" t="n"/>
      <c r="L21" s="43" t="n"/>
      <c r="M21" s="43">
        <f>IF(OR(H21="tested",H21="verified",H21="not applicable"),1,0)</f>
        <v/>
      </c>
    </row>
    <row r="22" ht="54" customHeight="1" s="34">
      <c r="A22" s="43" t="inlineStr">
        <is>
          <t>CB-14</t>
        </is>
      </c>
      <c r="B22" s="43" t="inlineStr">
        <is>
          <t>Appearance</t>
        </is>
      </c>
      <c r="C22" s="43" t="inlineStr">
        <is>
          <t>All parts</t>
        </is>
      </c>
      <c r="D22" s="44" t="inlineStr">
        <is>
          <t>Light, dark, and forced-color states retain contrast and visible focus.</t>
        </is>
      </c>
      <c r="E22" s="43" t="inlineStr">
        <is>
          <t>human</t>
        </is>
      </c>
      <c r="F22" s="43" t="inlineStr">
        <is>
          <t>visual</t>
        </is>
      </c>
      <c r="G22" s="44" t="inlineStr">
        <is>
          <t>tests/components/combobox/visual.spec.ts</t>
        </is>
      </c>
      <c r="H22" s="43" t="inlineStr">
        <is>
          <t>implemented</t>
        </is>
      </c>
      <c r="I22" s="43" t="inlineStr">
        <is>
          <t>yes</t>
        </is>
      </c>
      <c r="J22" s="45" t="inlineStr">
        <is>
          <t>Combobox implementation evidence added; manual human-review rows remain open.</t>
        </is>
      </c>
      <c r="K22" s="44" t="n"/>
      <c r="L22" s="43" t="n"/>
      <c r="M22" s="43">
        <f>IF(OR(H22="tested",H22="verified",H22="not applicable"),1,0)</f>
        <v/>
      </c>
    </row>
    <row r="23" ht="54" customHeight="1" s="34">
      <c r="A23" s="43" t="inlineStr">
        <is>
          <t>CB-15</t>
        </is>
      </c>
      <c r="B23" s="43" t="inlineStr">
        <is>
          <t>Responsive</t>
        </is>
      </c>
      <c r="C23" s="43" t="inlineStr">
        <is>
          <t>Control/Content</t>
        </is>
      </c>
      <c r="D23" s="44" t="inlineStr">
        <is>
          <t>Narrow, zoomed, and keyboard-open layouts remain reachable without page overflow.</t>
        </is>
      </c>
      <c r="E23" s="43" t="inlineStr">
        <is>
          <t>human</t>
        </is>
      </c>
      <c r="F23" s="43" t="inlineStr">
        <is>
          <t>manual</t>
        </is>
      </c>
      <c r="G23" s="44" t="inlineStr">
        <is>
          <t>manual-tests/combobox.md</t>
        </is>
      </c>
      <c r="H23" s="43" t="inlineStr">
        <is>
          <t>implemented</t>
        </is>
      </c>
      <c r="I23" s="43" t="inlineStr">
        <is>
          <t>yes</t>
        </is>
      </c>
      <c r="J23" s="45" t="inlineStr">
        <is>
          <t>Combobox implementation evidence added; manual human-review rows remain open.</t>
        </is>
      </c>
      <c r="K23" s="44" t="n"/>
      <c r="L23" s="43" t="n"/>
      <c r="M23" s="43">
        <f>IF(OR(H23="tested",H23="verified",H23="not applicable"),1,0)</f>
        <v/>
      </c>
    </row>
    <row r="24" ht="54" customHeight="1" s="34">
      <c r="A24" s="43" t="inlineStr">
        <is>
          <t>CB-16</t>
        </is>
      </c>
      <c r="B24" s="43" t="inlineStr">
        <is>
          <t>RTL</t>
        </is>
      </c>
      <c r="C24" s="43" t="inlineStr">
        <is>
          <t>Control/Content</t>
        </is>
      </c>
      <c r="D24" s="44" t="inlineStr">
        <is>
          <t>Arabic RTL uses logical control and popup placement.</t>
        </is>
      </c>
      <c r="E24" s="43" t="inlineStr">
        <is>
          <t>human</t>
        </is>
      </c>
      <c r="F24" s="43" t="inlineStr">
        <is>
          <t>visual</t>
        </is>
      </c>
      <c r="G24" s="44" t="inlineStr">
        <is>
          <t>tests/components/combobox/visual.spec.ts</t>
        </is>
      </c>
      <c r="H24" s="43" t="inlineStr">
        <is>
          <t>implemented</t>
        </is>
      </c>
      <c r="I24" s="43" t="inlineStr">
        <is>
          <t>yes</t>
        </is>
      </c>
      <c r="J24" s="45" t="inlineStr">
        <is>
          <t>Combobox implementation evidence added; manual human-review rows remain open.</t>
        </is>
      </c>
      <c r="K24" s="44" t="n"/>
      <c r="L24" s="43" t="n"/>
      <c r="M24" s="43">
        <f>IF(OR(H24="tested",H24="verified",H24="not applicable"),1,0)</f>
        <v/>
      </c>
    </row>
    <row r="25" ht="23.25" customHeight="1" s="34">
      <c r="A25" s="43" t="inlineStr">
        <is>
          <t>CB-17</t>
        </is>
      </c>
      <c r="B25" s="43" t="inlineStr">
        <is>
          <t>Customization</t>
        </is>
      </c>
      <c r="C25" s="43" t="inlineStr">
        <is>
          <t>Control</t>
        </is>
      </c>
      <c r="D25" s="44" t="inlineStr">
        <is>
          <t>Documented variables customize paint and radius without changing anatomy.</t>
        </is>
      </c>
      <c r="E25" s="43" t="inlineStr">
        <is>
          <t>human</t>
        </is>
      </c>
      <c r="F25" s="43" t="inlineStr">
        <is>
          <t>manual</t>
        </is>
      </c>
      <c r="G25" s="44" t="inlineStr">
        <is>
          <t>manual-tests/combobox.md</t>
        </is>
      </c>
      <c r="H25" s="43" t="inlineStr">
        <is>
          <t>implemented</t>
        </is>
      </c>
      <c r="I25" s="43" t="inlineStr">
        <is>
          <t>yes</t>
        </is>
      </c>
      <c r="J25" s="45" t="inlineStr">
        <is>
          <t>Combobox implementation evidence added; manual human-review rows remain open.</t>
        </is>
      </c>
      <c r="K25" s="44" t="n"/>
      <c r="L25" s="43" t="n"/>
      <c r="M25" s="43">
        <f>IF(OR(H25="tested",H25="verified",H25="not applicable"),1,0)</f>
        <v/>
      </c>
    </row>
    <row r="26" ht="23.25" customHeight="1" s="34">
      <c r="A26" s="43" t="inlineStr">
        <is>
          <t>CB-18</t>
        </is>
      </c>
      <c r="B26" s="43" t="inlineStr">
        <is>
          <t>Documentation</t>
        </is>
      </c>
      <c r="C26" s="43" t="inlineStr">
        <is>
          <t>Combobox</t>
        </is>
      </c>
      <c r="D26" s="44" t="inlineStr">
        <is>
          <t>Guide, changelog, contract metadata, and nine scenarios agree.</t>
        </is>
      </c>
      <c r="E26" s="43" t="inlineStr">
        <is>
          <t>package</t>
        </is>
      </c>
      <c r="F26" s="43" t="inlineStr">
        <is>
          <t>docs</t>
        </is>
      </c>
      <c r="G26" s="44" t="inlineStr">
        <is>
          <t>../docs/components/combobox/README.md</t>
        </is>
      </c>
      <c r="H26" s="43" t="inlineStr">
        <is>
          <t>tested</t>
        </is>
      </c>
      <c r="I26" s="43" t="inlineStr">
        <is>
          <t>no</t>
        </is>
      </c>
      <c r="J26" s="45" t="inlineStr">
        <is>
          <t>Focused implementation evidence passes.</t>
        </is>
      </c>
      <c r="K26" s="44" t="n"/>
      <c r="L26" s="43" t="n"/>
      <c r="M26" s="43">
        <f>IF(OR(H26="tested",H26="verified",H26="not applicable"),1,0)</f>
        <v/>
      </c>
    </row>
    <row r="27" ht="23.25" customHeight="1" s="34">
      <c r="A27" s="43" t="inlineStr">
        <is>
          <t>CB-19</t>
        </is>
      </c>
      <c r="B27" s="43" t="inlineStr">
        <is>
          <t>Consumer</t>
        </is>
      </c>
      <c r="C27" s="43" t="inlineStr">
        <is>
          <t>Combobox</t>
        </is>
      </c>
      <c r="D27" s="44" t="inlineStr">
        <is>
          <t>Packed Consumer imports the public subpath and filters/selects a realistic city.</t>
        </is>
      </c>
      <c r="E27" s="43" t="inlineStr">
        <is>
          <t>consumer</t>
        </is>
      </c>
      <c r="F27" s="43" t="inlineStr">
        <is>
          <t>consumer</t>
        </is>
      </c>
      <c r="G27" s="44" t="inlineStr">
        <is>
          <t>../apps/consumer/tests/consumer.spec.ts</t>
        </is>
      </c>
      <c r="H27" s="43" t="inlineStr">
        <is>
          <t>tested</t>
        </is>
      </c>
      <c r="I27" s="43" t="inlineStr">
        <is>
          <t>no</t>
        </is>
      </c>
      <c r="J27" s="45" t="inlineStr">
        <is>
          <t>Focused implementation evidence passes.</t>
        </is>
      </c>
      <c r="K27" s="44" t="n"/>
      <c r="L27" s="43" t="n"/>
      <c r="M27" s="43">
        <f>IF(OR(H27="tested",H27="verified",H27="not applicable"),1,0)</f>
        <v/>
      </c>
    </row>
    <row r="28" ht="23.25" customHeight="1" s="34">
      <c r="A28" s="43" t="inlineStr">
        <is>
          <t>CB-20</t>
        </is>
      </c>
      <c r="B28" s="43" t="inlineStr">
        <is>
          <t>Package</t>
        </is>
      </c>
      <c r="C28" s="43" t="inlineStr">
        <is>
          <t>Combobox</t>
        </is>
      </c>
      <c r="D28" s="44" t="inlineStr">
        <is>
          <t>Packed artifact and clean React 18/19 consumers resolve JS, types, CSS, and Atom 0.20.11.</t>
        </is>
      </c>
      <c r="E28" s="43" t="inlineStr">
        <is>
          <t>consumer</t>
        </is>
      </c>
      <c r="F28" s="43" t="inlineStr">
        <is>
          <t>package</t>
        </is>
      </c>
      <c r="G28" s="44" t="inlineStr">
        <is>
          <t>../scripts/verify-consumers.mjs</t>
        </is>
      </c>
      <c r="H28" s="43" t="inlineStr">
        <is>
          <t>tested</t>
        </is>
      </c>
      <c r="I28" s="43" t="inlineStr">
        <is>
          <t>no</t>
        </is>
      </c>
      <c r="J28" s="45" t="inlineStr">
        <is>
          <t>Focused implementation evidence passes.</t>
        </is>
      </c>
      <c r="K28" s="44" t="n"/>
      <c r="L28" s="43" t="n"/>
      <c r="M28" s="43">
        <f>IF(OR(H28="tested",H28="verified",H28="not applicable"),1,0)</f>
        <v/>
      </c>
    </row>
    <row r="29" ht="23.25" customHeight="1" s="34">
      <c r="A29" s="43" t="inlineStr">
        <is>
          <t>CB-21</t>
        </is>
      </c>
      <c r="B29" s="43" t="inlineStr">
        <is>
          <t>Manual</t>
        </is>
      </c>
      <c r="C29" s="43" t="inlineStr">
        <is>
          <t>All parts</t>
        </is>
      </c>
      <c r="D29" s="44" t="inlineStr">
        <is>
          <t>Numbered owner protocol covers visual, keyboard, touch, assistive technology, preferences, zoom, and RTL.</t>
        </is>
      </c>
      <c r="E29" s="43" t="inlineStr">
        <is>
          <t>human</t>
        </is>
      </c>
      <c r="F29" s="43" t="inlineStr">
        <is>
          <t>manual</t>
        </is>
      </c>
      <c r="G29" s="44" t="inlineStr">
        <is>
          <t>manual-tests/combobox.md</t>
        </is>
      </c>
      <c r="H29" s="43" t="inlineStr">
        <is>
          <t>implemented</t>
        </is>
      </c>
      <c r="I29" s="43" t="inlineStr">
        <is>
          <t>yes</t>
        </is>
      </c>
      <c r="J29" s="45" t="inlineStr">
        <is>
          <t>Combobox implementation evidence added; manual human-review rows remain open.</t>
        </is>
      </c>
      <c r="K29" s="44" t="n"/>
      <c r="L29" s="43" t="n"/>
      <c r="M29" s="43">
        <f>IF(OR(H29="tested",H29="verified",H29="not applicable"),1,0)</f>
        <v/>
      </c>
    </row>
    <row r="30" ht="23.25" customHeight="1" s="34">
      <c r="A30" s="43" t="inlineStr">
        <is>
          <t>CB-22</t>
        </is>
      </c>
      <c r="B30" s="43" t="inlineStr">
        <is>
          <t>Visual</t>
        </is>
      </c>
      <c r="C30" s="43" t="inlineStr">
        <is>
          <t>All parts</t>
        </is>
      </c>
      <c r="D30" s="44" t="inlineStr">
        <is>
          <t>Reviewed snapshots cover default, recipes, states, dark appearance, mobile RTL, and forced colors.</t>
        </is>
      </c>
      <c r="E30" s="43" t="inlineStr">
        <is>
          <t>human</t>
        </is>
      </c>
      <c r="F30" s="43" t="inlineStr">
        <is>
          <t>visual</t>
        </is>
      </c>
      <c r="G30" s="44" t="inlineStr">
        <is>
          <t>tests/components/combobox/visual.spec.ts</t>
        </is>
      </c>
      <c r="H30" s="43" t="inlineStr">
        <is>
          <t>implemented</t>
        </is>
      </c>
      <c r="I30" s="43" t="inlineStr">
        <is>
          <t>yes</t>
        </is>
      </c>
      <c r="J30" s="45" t="inlineStr">
        <is>
          <t>Combobox implementation evidence added; manual human-review rows remain open.</t>
        </is>
      </c>
      <c r="K30" s="44" t="n"/>
      <c r="L30" s="43" t="n"/>
      <c r="M30" s="43">
        <f>IF(OR(H30="tested",H30="verified",H30="not applicable"),1,0)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8.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Number Input Evidence</t>
        </is>
      </c>
    </row>
    <row r="2" ht="27.75" customHeight="1" s="34">
      <c r="A2" s="36" t="inlineStr">
        <is>
          <t>Assertion-level Atom-backed package, browser, human-review, documentation, Consumer, stepping, bounds, and form evidence.</t>
        </is>
      </c>
    </row>
    <row r="4" ht="17.25" customHeight="1" s="34">
      <c r="A4" s="37" t="inlineStr">
        <is>
          <t>Requirements</t>
        </is>
      </c>
      <c r="B4" s="38">
        <f>COUNTA(A9:A27)</f>
        <v/>
      </c>
      <c r="D4" s="37" t="inlineStr">
        <is>
          <t>Resolved</t>
        </is>
      </c>
      <c r="E4" s="38">
        <f>SUM(M9:M27)</f>
        <v/>
      </c>
      <c r="G4" s="37" t="inlineStr">
        <is>
          <t>Completion</t>
        </is>
      </c>
      <c r="H4" s="39">
        <f>IF(B4=0,0,E4/B4)</f>
        <v/>
      </c>
      <c r="J4" s="37" t="inlineStr">
        <is>
          <t>Package gate</t>
        </is>
      </c>
      <c r="K4" s="38">
        <f>IF(COUNTIFS(E9:E27,"package",M9:M27,0)&gt;0,"open","complete")</f>
        <v/>
      </c>
    </row>
    <row r="5" ht="17.25" customHeight="1" s="34">
      <c r="A5" s="37" t="inlineStr">
        <is>
          <t>Manual review</t>
        </is>
      </c>
      <c r="B5" s="38">
        <f>IF(COUNTIFS(I9:I27,"yes",M9:M27,0)&gt;0,"open","complete")</f>
        <v/>
      </c>
      <c r="D5" s="37" t="inlineStr">
        <is>
          <t>Consumer gate</t>
        </is>
      </c>
      <c r="E5" s="38">
        <f>IF(COUNTIFS(E9:E27,"consumer",M9:M27,0)&gt;0,"open","complete")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NI-01</t>
        </is>
      </c>
      <c r="B9" s="43" t="inlineStr">
        <is>
          <t>Implementation</t>
        </is>
      </c>
      <c r="C9" s="43" t="inlineStr">
        <is>
          <t>Root</t>
        </is>
      </c>
      <c r="D9" s="44" t="inlineStr">
        <is>
          <t>Compound Number Input adapts released Atom 0.20.11 without recreating stepping or validation behavior.</t>
        </is>
      </c>
      <c r="E9" s="43" t="inlineStr">
        <is>
          <t>package</t>
        </is>
      </c>
      <c r="F9" s="43" t="inlineStr">
        <is>
          <t>source</t>
        </is>
      </c>
      <c r="G9" s="44" t="inlineStr">
        <is>
          <t>../src/components/number-input</t>
        </is>
      </c>
      <c r="H9" s="43" t="inlineStr">
        <is>
          <t>tested</t>
        </is>
      </c>
      <c r="I9" s="43" t="inlineStr">
        <is>
          <t>no</t>
        </is>
      </c>
      <c r="J9" s="45" t="inlineStr">
        <is>
          <t>Focused implementation evidence passes.</t>
        </is>
      </c>
      <c r="K9" s="44" t="n"/>
      <c r="L9" s="43" t="n"/>
      <c r="M9" s="43">
        <f>IF(OR(H9="tested",H9="verified",H9="not applicable"),1,0)</f>
        <v/>
      </c>
    </row>
    <row r="10" ht="54" customHeight="1" s="34">
      <c r="A10" s="43" t="inlineStr">
        <is>
          <t>NI-02</t>
        </is>
      </c>
      <c r="B10" s="43" t="inlineStr">
        <is>
          <t>Anatomy</t>
        </is>
      </c>
      <c r="C10" s="43" t="inlineStr">
        <is>
          <t>All parts</t>
        </is>
      </c>
      <c r="D10" s="44" t="inlineStr">
        <is>
          <t>Root, Input, Increment, and Decrement are styled and independently exported.</t>
        </is>
      </c>
      <c r="E10" s="43" t="inlineStr">
        <is>
          <t>package</t>
        </is>
      </c>
      <c r="F10" s="43" t="inlineStr">
        <is>
          <t>component</t>
        </is>
      </c>
      <c r="G10" s="44" t="inlineStr">
        <is>
          <t>../test/components/number-input/number-input.test.tsx</t>
        </is>
      </c>
      <c r="H10" s="43" t="inlineStr">
        <is>
          <t>tested</t>
        </is>
      </c>
      <c r="I10" s="43" t="inlineStr">
        <is>
          <t>no</t>
        </is>
      </c>
      <c r="J10" s="45" t="inlineStr">
        <is>
          <t>Focused implementation evidence passes.</t>
        </is>
      </c>
      <c r="K10" s="44" t="n"/>
      <c r="L10" s="43" t="n"/>
      <c r="M10" s="43">
        <f>IF(OR(H10="tested",H10="verified",H10="not applicable"),1,0)</f>
        <v/>
      </c>
    </row>
    <row r="11" ht="54" customHeight="1" s="34">
      <c r="A11" s="43" t="inlineStr">
        <is>
          <t>NI-03</t>
        </is>
      </c>
      <c r="B11" s="43" t="inlineStr">
        <is>
          <t>Exports</t>
        </is>
      </c>
      <c r="C11" s="43" t="inlineStr">
        <is>
          <t>NumberInput</t>
        </is>
      </c>
      <c r="D11" s="44" t="inlineStr">
        <is>
          <t>Root and number-input subpath exports expose the namespace, named parts, and public types.</t>
        </is>
      </c>
      <c r="E11" s="43" t="inlineStr">
        <is>
          <t>package</t>
        </is>
      </c>
      <c r="F11" s="43" t="inlineStr">
        <is>
          <t>package</t>
        </is>
      </c>
      <c r="G11" s="44" t="inlineStr">
        <is>
          <t>../test/package/package.test.mjs</t>
        </is>
      </c>
      <c r="H11" s="43" t="inlineStr">
        <is>
          <t>tested</t>
        </is>
      </c>
      <c r="I11" s="43" t="inlineStr">
        <is>
          <t>no</t>
        </is>
      </c>
      <c r="J11" s="45" t="inlineStr">
        <is>
          <t>Focused implementation evidence passes.</t>
        </is>
      </c>
      <c r="K11" s="44" t="n"/>
      <c r="L11" s="43" t="n"/>
      <c r="M11" s="43">
        <f>IF(OR(H11="tested",H11="verified",H11="not applicable"),1,0)</f>
        <v/>
      </c>
    </row>
    <row r="12" ht="54" customHeight="1" s="34">
      <c r="A12" s="43" t="inlineStr">
        <is>
          <t>NI-04</t>
        </is>
      </c>
      <c r="B12" s="43" t="inlineStr">
        <is>
          <t>Types</t>
        </is>
      </c>
      <c r="C12" s="43" t="inlineStr">
        <is>
          <t>Root/parts</t>
        </is>
      </c>
      <c r="D12" s="44" t="inlineStr">
        <is>
          <t>Recipes, refs, native props, and underline shape exclusion type-check.</t>
        </is>
      </c>
      <c r="E12" s="43" t="inlineStr">
        <is>
          <t>package</t>
        </is>
      </c>
      <c r="F12" s="43" t="inlineStr">
        <is>
          <t>types</t>
        </is>
      </c>
      <c r="G12" s="44" t="inlineStr">
        <is>
          <t>../test/types/components/number-input.test.ts</t>
        </is>
      </c>
      <c r="H12" s="43" t="inlineStr">
        <is>
          <t>tested</t>
        </is>
      </c>
      <c r="I12" s="43" t="inlineStr">
        <is>
          <t>no</t>
        </is>
      </c>
      <c r="J12" s="45" t="inlineStr">
        <is>
          <t>Focused implementation evidence passes.</t>
        </is>
      </c>
      <c r="K12" s="44" t="n"/>
      <c r="L12" s="43" t="n"/>
      <c r="M12" s="43">
        <f>IF(OR(H12="tested",H12="verified",H12="not applicable"),1,0)</f>
        <v/>
      </c>
    </row>
    <row r="13" ht="54" customHeight="1" s="34">
      <c r="A13" s="43" t="inlineStr">
        <is>
          <t>NI-05</t>
        </is>
      </c>
      <c r="B13" s="43" t="inlineStr">
        <is>
          <t>CSS</t>
        </is>
      </c>
      <c r="C13" s="43" t="inlineStr">
        <is>
          <t>All parts</t>
        </is>
      </c>
      <c r="D13" s="44" t="inlineStr">
        <is>
          <t>Static CSS ships recipes, state paint, logical actions, artwork, and documented variables.</t>
        </is>
      </c>
      <c r="E13" s="43" t="inlineStr">
        <is>
          <t>package</t>
        </is>
      </c>
      <c r="F13" s="43" t="inlineStr">
        <is>
          <t>css</t>
        </is>
      </c>
      <c r="G13" s="44" t="inlineStr">
        <is>
          <t>../src/components/number-input/number-input.css</t>
        </is>
      </c>
      <c r="H13" s="43" t="inlineStr">
        <is>
          <t>tested</t>
        </is>
      </c>
      <c r="I13" s="43" t="inlineStr">
        <is>
          <t>no</t>
        </is>
      </c>
      <c r="J13" s="45" t="inlineStr">
        <is>
          <t>Focused implementation evidence passes.</t>
        </is>
      </c>
      <c r="K13" s="44" t="n"/>
      <c r="L13" s="43" t="n"/>
      <c r="M13" s="43">
        <f>IF(OR(H13="tested",H13="verified",H13="not applicable"),1,0)</f>
        <v/>
      </c>
    </row>
    <row r="14" ht="54" customHeight="1" s="34">
      <c r="A14" s="43" t="inlineStr">
        <is>
          <t>NI-06</t>
        </is>
      </c>
      <c r="B14" s="43" t="inlineStr">
        <is>
          <t>Stepping</t>
        </is>
      </c>
      <c r="C14" s="43" t="inlineStr">
        <is>
          <t>Input/actions</t>
        </is>
      </c>
      <c r="D14" s="44" t="inlineStr">
        <is>
          <t>Pointer and keyboard stepping respect step, precision, minimum, and maximum boundaries.</t>
        </is>
      </c>
      <c r="E14" s="43" t="inlineStr">
        <is>
          <t>browser</t>
        </is>
      </c>
      <c r="F14" s="43" t="inlineStr">
        <is>
          <t>browser</t>
        </is>
      </c>
      <c r="G14" s="44" t="inlineStr">
        <is>
          <t>tests/components/number-input/behavior.spec.ts</t>
        </is>
      </c>
      <c r="H14" s="43" t="inlineStr">
        <is>
          <t>tested</t>
        </is>
      </c>
      <c r="I14" s="43" t="inlineStr">
        <is>
          <t>no</t>
        </is>
      </c>
      <c r="J14" s="45" t="inlineStr">
        <is>
          <t>Focused implementation evidence passes.</t>
        </is>
      </c>
      <c r="K14" s="44" t="n"/>
      <c r="L14" s="43" t="n"/>
      <c r="M14" s="43">
        <f>IF(OR(H14="tested",H14="verified",H14="not applicable"),1,0)</f>
        <v/>
      </c>
    </row>
    <row r="15" ht="54" customHeight="1" s="34">
      <c r="A15" s="43" t="inlineStr">
        <is>
          <t>NI-07</t>
        </is>
      </c>
      <c r="B15" s="43" t="inlineStr">
        <is>
          <t>Forms</t>
        </is>
      </c>
      <c r="C15" s="43" t="inlineStr">
        <is>
          <t>Root/Input</t>
        </is>
      </c>
      <c r="D15" s="44" t="inlineStr">
        <is>
          <t>Field relationships, required validity, native submission, and focus-on-error remain intact.</t>
        </is>
      </c>
      <c r="E15" s="43" t="inlineStr">
        <is>
          <t>browser</t>
        </is>
      </c>
      <c r="F15" s="43" t="inlineStr">
        <is>
          <t>browser</t>
        </is>
      </c>
      <c r="G15" s="44" t="inlineStr">
        <is>
          <t>tests/components/number-input/behavior.spec.ts</t>
        </is>
      </c>
      <c r="H15" s="43" t="inlineStr">
        <is>
          <t>tested</t>
        </is>
      </c>
      <c r="I15" s="43" t="inlineStr">
        <is>
          <t>no</t>
        </is>
      </c>
      <c r="J15" s="45" t="inlineStr">
        <is>
          <t>Focused implementation evidence passes.</t>
        </is>
      </c>
      <c r="K15" s="44" t="n"/>
      <c r="L15" s="43" t="n"/>
      <c r="M15" s="43">
        <f>IF(OR(H15="tested",H15="verified",H15="not applicable"),1,0)</f>
        <v/>
      </c>
    </row>
    <row r="16" ht="54" customHeight="1" s="34">
      <c r="A16" s="43" t="inlineStr">
        <is>
          <t>NI-08</t>
        </is>
      </c>
      <c r="B16" s="43" t="inlineStr">
        <is>
          <t>States</t>
        </is>
      </c>
      <c r="C16" s="43" t="inlineStr">
        <is>
          <t>All parts</t>
        </is>
      </c>
      <c r="D16" s="44" t="inlineStr">
        <is>
          <t>Disabled, read-only, invalid, required, and boundary-disabled actions remain distinct.</t>
        </is>
      </c>
      <c r="E16" s="43" t="inlineStr">
        <is>
          <t>human</t>
        </is>
      </c>
      <c r="F16" s="43" t="inlineStr">
        <is>
          <t>visual</t>
        </is>
      </c>
      <c r="G16" s="44" t="inlineStr">
        <is>
          <t>tests/components/number-input/visual.spec.ts</t>
        </is>
      </c>
      <c r="H16" s="43" t="inlineStr">
        <is>
          <t>verified</t>
        </is>
      </c>
      <c r="I16" s="43" t="inlineStr">
        <is>
          <t>yes</t>
        </is>
      </c>
      <c r="J16" s="45" t="inlineStr">
        <is>
          <t>2026-07-28: owner reviewed the generated Chromium baseline and its focused visual assertion.</t>
        </is>
      </c>
      <c r="K16" s="44" t="n"/>
      <c r="L16" s="43" t="n"/>
      <c r="M16" s="43">
        <f>IF(OR(H16="tested",H16="verified",H16="not applicable"),1,0)</f>
        <v/>
      </c>
    </row>
    <row r="17" ht="54" customHeight="1" s="34">
      <c r="A17" s="43" t="inlineStr">
        <is>
          <t>NI-09</t>
        </is>
      </c>
      <c r="B17" s="43" t="inlineStr">
        <is>
          <t>Recipes</t>
        </is>
      </c>
      <c r="C17" s="43" t="inlineStr">
        <is>
          <t>Root</t>
        </is>
      </c>
      <c r="D17" s="44" t="inlineStr">
        <is>
          <t>Outline, soft, underline, sizes, shapes, and width retain stable recipe data.</t>
        </is>
      </c>
      <c r="E17" s="43" t="inlineStr">
        <is>
          <t>browser</t>
        </is>
      </c>
      <c r="F17" s="43" t="inlineStr">
        <is>
          <t>browser</t>
        </is>
      </c>
      <c r="G17" s="44" t="inlineStr">
        <is>
          <t>tests/components/number-input/behavior.spec.ts</t>
        </is>
      </c>
      <c r="H17" s="43" t="inlineStr">
        <is>
          <t>tested</t>
        </is>
      </c>
      <c r="I17" s="43" t="inlineStr">
        <is>
          <t>no</t>
        </is>
      </c>
      <c r="J17" s="45" t="inlineStr">
        <is>
          <t>Focused implementation evidence passes.</t>
        </is>
      </c>
      <c r="K17" s="44" t="n"/>
      <c r="L17" s="43" t="n"/>
      <c r="M17" s="43">
        <f>IF(OR(H17="tested",H17="verified",H17="not applicable"),1,0)</f>
        <v/>
      </c>
    </row>
    <row r="18" ht="54" customHeight="1" s="34">
      <c r="A18" s="43" t="inlineStr">
        <is>
          <t>NI-10</t>
        </is>
      </c>
      <c r="B18" s="43" t="inlineStr">
        <is>
          <t>Accessibility</t>
        </is>
      </c>
      <c r="C18" s="43" t="inlineStr">
        <is>
          <t>All parts</t>
        </is>
      </c>
      <c r="D18" s="44" t="inlineStr">
        <is>
          <t>Spinbutton and named step actions expose valid roles and the route has no axe violations.</t>
        </is>
      </c>
      <c r="E18" s="43" t="inlineStr">
        <is>
          <t>browser</t>
        </is>
      </c>
      <c r="F18" s="43" t="inlineStr">
        <is>
          <t>axe</t>
        </is>
      </c>
      <c r="G18" s="44" t="inlineStr">
        <is>
          <t>tests/components/number-input/behavior.spec.ts</t>
        </is>
      </c>
      <c r="H18" s="43" t="inlineStr">
        <is>
          <t>tested</t>
        </is>
      </c>
      <c r="I18" s="43" t="inlineStr">
        <is>
          <t>no</t>
        </is>
      </c>
      <c r="J18" s="45" t="inlineStr">
        <is>
          <t>Focused implementation evidence passes.</t>
        </is>
      </c>
      <c r="K18" s="44" t="n"/>
      <c r="L18" s="43" t="n"/>
      <c r="M18" s="43">
        <f>IF(OR(H18="tested",H18="verified",H18="not applicable"),1,0)</f>
        <v/>
      </c>
    </row>
    <row r="19" ht="54" customHeight="1" s="34">
      <c r="A19" s="43" t="inlineStr">
        <is>
          <t>NI-11</t>
        </is>
      </c>
      <c r="B19" s="43" t="inlineStr">
        <is>
          <t>Appearance</t>
        </is>
      </c>
      <c r="C19" s="43" t="inlineStr">
        <is>
          <t>All parts</t>
        </is>
      </c>
      <c r="D19" s="44" t="inlineStr">
        <is>
          <t>Light, dark, forced-color, focus, and invalid paint remain legible.</t>
        </is>
      </c>
      <c r="E19" s="43" t="inlineStr">
        <is>
          <t>human</t>
        </is>
      </c>
      <c r="F19" s="43" t="inlineStr">
        <is>
          <t>visual</t>
        </is>
      </c>
      <c r="G19" s="44" t="inlineStr">
        <is>
          <t>tests/components/number-input/visual.spec.ts</t>
        </is>
      </c>
      <c r="H19" s="43" t="inlineStr">
        <is>
          <t>verified</t>
        </is>
      </c>
      <c r="I19" s="43" t="inlineStr">
        <is>
          <t>yes</t>
        </is>
      </c>
      <c r="J19" s="45" t="inlineStr">
        <is>
          <t>2026-07-28: owner reviewed the generated Chromium baseline and its focused visual assertion.</t>
        </is>
      </c>
      <c r="K19" s="44" t="n"/>
      <c r="L19" s="43" t="n"/>
      <c r="M19" s="43">
        <f>IF(OR(H19="tested",H19="verified",H19="not applicable"),1,0)</f>
        <v/>
      </c>
    </row>
    <row r="20" ht="54" customHeight="1" s="34">
      <c r="A20" s="43" t="inlineStr">
        <is>
          <t>NI-12</t>
        </is>
      </c>
      <c r="B20" s="43" t="inlineStr">
        <is>
          <t>Responsive</t>
        </is>
      </c>
      <c r="C20" s="43" t="inlineStr">
        <is>
          <t>Root</t>
        </is>
      </c>
      <c r="D20" s="44" t="inlineStr">
        <is>
          <t>Narrow and zoomed layouts remain reachable without page overflow.</t>
        </is>
      </c>
      <c r="E20" s="43" t="inlineStr">
        <is>
          <t>human</t>
        </is>
      </c>
      <c r="F20" s="43" t="inlineStr">
        <is>
          <t>manual</t>
        </is>
      </c>
      <c r="G20" s="44" t="inlineStr">
        <is>
          <t>manual-tests/number-input.md</t>
        </is>
      </c>
      <c r="H20" s="43" t="inlineStr">
        <is>
          <t>implemented</t>
        </is>
      </c>
      <c r="I20" s="43" t="inlineStr">
        <is>
          <t>yes</t>
        </is>
      </c>
      <c r="J20" s="45" t="inlineStr">
        <is>
          <t>Implementation evidence exists; required release or human-review gate remains open.</t>
        </is>
      </c>
      <c r="K20" s="44" t="n"/>
      <c r="L20" s="43" t="n"/>
      <c r="M20" s="43">
        <f>IF(OR(H20="tested",H20="verified",H20="not applicable"),1,0)</f>
        <v/>
      </c>
    </row>
    <row r="21" ht="54" customHeight="1" s="34">
      <c r="A21" s="43" t="inlineStr">
        <is>
          <t>NI-13</t>
        </is>
      </c>
      <c r="B21" s="43" t="inlineStr">
        <is>
          <t>RTL</t>
        </is>
      </c>
      <c r="C21" s="43" t="inlineStr">
        <is>
          <t>Root/actions</t>
        </is>
      </c>
      <c r="D21" s="44" t="inlineStr">
        <is>
          <t>RTL places the logical action rail at the inline start without reversing numeric meaning.</t>
        </is>
      </c>
      <c r="E21" s="43" t="inlineStr">
        <is>
          <t>human</t>
        </is>
      </c>
      <c r="F21" s="43" t="inlineStr">
        <is>
          <t>visual</t>
        </is>
      </c>
      <c r="G21" s="44" t="inlineStr">
        <is>
          <t>tests/components/number-input/visual.spec.ts</t>
        </is>
      </c>
      <c r="H21" s="43" t="inlineStr">
        <is>
          <t>verified</t>
        </is>
      </c>
      <c r="I21" s="43" t="inlineStr">
        <is>
          <t>yes</t>
        </is>
      </c>
      <c r="J21" s="45" t="inlineStr">
        <is>
          <t>2026-07-28: owner reviewed the generated Chromium baseline and its focused visual assertion.</t>
        </is>
      </c>
      <c r="K21" s="44" t="n"/>
      <c r="L21" s="43" t="n"/>
      <c r="M21" s="43">
        <f>IF(OR(H21="tested",H21="verified",H21="not applicable"),1,0)</f>
        <v/>
      </c>
    </row>
    <row r="22" ht="54" customHeight="1" s="34">
      <c r="A22" s="43" t="inlineStr">
        <is>
          <t>NI-14</t>
        </is>
      </c>
      <c r="B22" s="43" t="inlineStr">
        <is>
          <t>Customization</t>
        </is>
      </c>
      <c r="C22" s="43" t="inlineStr">
        <is>
          <t>Root</t>
        </is>
      </c>
      <c r="D22" s="44" t="inlineStr">
        <is>
          <t>Documented variables customize paint and radius without changing anatomy.</t>
        </is>
      </c>
      <c r="E22" s="43" t="inlineStr">
        <is>
          <t>human</t>
        </is>
      </c>
      <c r="F22" s="43" t="inlineStr">
        <is>
          <t>manual</t>
        </is>
      </c>
      <c r="G22" s="44" t="inlineStr">
        <is>
          <t>manual-tests/number-input.md</t>
        </is>
      </c>
      <c r="H22" s="43" t="inlineStr">
        <is>
          <t>verified</t>
        </is>
      </c>
      <c r="I22" s="43" t="inlineStr">
        <is>
          <t>yes</t>
        </is>
      </c>
      <c r="J22" s="45" t="inlineStr">
        <is>
          <t>2026-07-28: owner reviewed the generated Chromium baseline and its focused visual assertion.</t>
        </is>
      </c>
      <c r="K22" s="44" t="n"/>
      <c r="L22" s="43" t="n"/>
      <c r="M22" s="43">
        <f>IF(OR(H22="tested",H22="verified",H22="not applicable"),1,0)</f>
        <v/>
      </c>
    </row>
    <row r="23" ht="54" customHeight="1" s="34">
      <c r="A23" s="43" t="inlineStr">
        <is>
          <t>NI-15</t>
        </is>
      </c>
      <c r="B23" s="43" t="inlineStr">
        <is>
          <t>Documentation</t>
        </is>
      </c>
      <c r="C23" s="43" t="inlineStr">
        <is>
          <t>NumberInput</t>
        </is>
      </c>
      <c r="D23" s="44" t="inlineStr">
        <is>
          <t>Guide, changelog, semantic contract, and nine scenarios agree.</t>
        </is>
      </c>
      <c r="E23" s="43" t="inlineStr">
        <is>
          <t>package</t>
        </is>
      </c>
      <c r="F23" s="43" t="inlineStr">
        <is>
          <t>docs</t>
        </is>
      </c>
      <c r="G23" s="44" t="inlineStr">
        <is>
          <t>../docs/components/number-input/README.md</t>
        </is>
      </c>
      <c r="H23" s="43" t="inlineStr">
        <is>
          <t>tested</t>
        </is>
      </c>
      <c r="I23" s="43" t="inlineStr">
        <is>
          <t>no</t>
        </is>
      </c>
      <c r="J23" s="45" t="inlineStr">
        <is>
          <t>Focused implementation evidence passes.</t>
        </is>
      </c>
      <c r="K23" s="44" t="n"/>
      <c r="L23" s="43" t="n"/>
      <c r="M23" s="43">
        <f>IF(OR(H23="tested",H23="verified",H23="not applicable"),1,0)</f>
        <v/>
      </c>
    </row>
    <row r="24" ht="54" customHeight="1" s="34">
      <c r="A24" s="43" t="inlineStr">
        <is>
          <t>NI-16</t>
        </is>
      </c>
      <c r="B24" s="43" t="inlineStr">
        <is>
          <t>Consumer</t>
        </is>
      </c>
      <c r="C24" s="43" t="inlineStr">
        <is>
          <t>NumberInput</t>
        </is>
      </c>
      <c r="D24" s="44" t="inlineStr">
        <is>
          <t>Packed Consumer imports the public subpath and operates a Field-composed seat count.</t>
        </is>
      </c>
      <c r="E24" s="43" t="inlineStr">
        <is>
          <t>consumer</t>
        </is>
      </c>
      <c r="F24" s="43" t="inlineStr">
        <is>
          <t>consumer</t>
        </is>
      </c>
      <c r="G24" s="44" t="inlineStr">
        <is>
          <t>../apps/consumer/tests/consumer.spec.ts</t>
        </is>
      </c>
      <c r="H24" s="43" t="inlineStr">
        <is>
          <t>tested</t>
        </is>
      </c>
      <c r="I24" s="43" t="inlineStr">
        <is>
          <t>no</t>
        </is>
      </c>
      <c r="J24" s="45" t="inlineStr">
        <is>
          <t>2026-07-28: packed Consumer evidence passes for the public subpath and clean React 18/19 consumers.</t>
        </is>
      </c>
      <c r="K24" s="44" t="n"/>
      <c r="L24" s="43" t="n"/>
      <c r="M24" s="43">
        <f>IF(OR(H24="tested",H24="verified",H24="not applicable"),1,0)</f>
        <v/>
      </c>
    </row>
    <row r="25" ht="23.25" customHeight="1" s="34">
      <c r="A25" s="43" t="inlineStr">
        <is>
          <t>NI-17</t>
        </is>
      </c>
      <c r="B25" s="43" t="inlineStr">
        <is>
          <t>Package</t>
        </is>
      </c>
      <c r="C25" s="43" t="inlineStr">
        <is>
          <t>NumberInput</t>
        </is>
      </c>
      <c r="D25" s="44" t="inlineStr">
        <is>
          <t>Packed artifact and clean React 18/19 consumers resolve JS, types, CSS, and Atom 0.20.11.</t>
        </is>
      </c>
      <c r="E25" s="43" t="inlineStr">
        <is>
          <t>consumer</t>
        </is>
      </c>
      <c r="F25" s="43" t="inlineStr">
        <is>
          <t>package</t>
        </is>
      </c>
      <c r="G25" s="44" t="inlineStr">
        <is>
          <t>../scripts/verify-consumers.mjs</t>
        </is>
      </c>
      <c r="H25" s="43" t="inlineStr">
        <is>
          <t>tested</t>
        </is>
      </c>
      <c r="I25" s="43" t="inlineStr">
        <is>
          <t>no</t>
        </is>
      </c>
      <c r="J25" s="45" t="inlineStr">
        <is>
          <t>2026-07-28: packed Consumer evidence passes for the public subpath and clean React 18/19 consumers.</t>
        </is>
      </c>
      <c r="K25" s="44" t="n"/>
      <c r="L25" s="43" t="n"/>
      <c r="M25" s="43">
        <f>IF(OR(H25="tested",H25="verified",H25="not applicable"),1,0)</f>
        <v/>
      </c>
    </row>
    <row r="26" ht="23.25" customHeight="1" s="34">
      <c r="A26" s="43" t="inlineStr">
        <is>
          <t>NI-18</t>
        </is>
      </c>
      <c r="B26" s="43" t="inlineStr">
        <is>
          <t>Manual</t>
        </is>
      </c>
      <c r="C26" s="43" t="inlineStr">
        <is>
          <t>All parts</t>
        </is>
      </c>
      <c r="D26" s="44" t="inlineStr">
        <is>
          <t>Numbered protocol covers visual, keyboard, pointer, forms, preferences, zoom, and RTL.</t>
        </is>
      </c>
      <c r="E26" s="43" t="inlineStr">
        <is>
          <t>human</t>
        </is>
      </c>
      <c r="F26" s="43" t="inlineStr">
        <is>
          <t>manual</t>
        </is>
      </c>
      <c r="G26" s="44" t="inlineStr">
        <is>
          <t>manual-tests/number-input.md</t>
        </is>
      </c>
      <c r="H26" s="43" t="inlineStr">
        <is>
          <t>implemented</t>
        </is>
      </c>
      <c r="I26" s="43" t="inlineStr">
        <is>
          <t>yes</t>
        </is>
      </c>
      <c r="J26" s="45" t="inlineStr">
        <is>
          <t>Implementation evidence exists; required release or human-review gate remains open.</t>
        </is>
      </c>
      <c r="K26" s="44" t="n"/>
      <c r="L26" s="43" t="n"/>
      <c r="M26" s="43">
        <f>IF(OR(H26="tested",H26="verified",H26="not applicable"),1,0)</f>
        <v/>
      </c>
    </row>
    <row r="27" ht="23.25" customHeight="1" s="34">
      <c r="A27" s="43" t="inlineStr">
        <is>
          <t>NI-19</t>
        </is>
      </c>
      <c r="B27" s="43" t="inlineStr">
        <is>
          <t>Visual</t>
        </is>
      </c>
      <c r="C27" s="43" t="inlineStr">
        <is>
          <t>All parts</t>
        </is>
      </c>
      <c r="D27" s="44" t="inlineStr">
        <is>
          <t>Snapshots cover default, recipes, states, and mobile RTL stress.</t>
        </is>
      </c>
      <c r="E27" s="43" t="inlineStr">
        <is>
          <t>human</t>
        </is>
      </c>
      <c r="F27" s="43" t="inlineStr">
        <is>
          <t>visual</t>
        </is>
      </c>
      <c r="G27" s="44" t="inlineStr">
        <is>
          <t>tests/components/number-input/visual.spec.ts</t>
        </is>
      </c>
      <c r="H27" s="43" t="inlineStr">
        <is>
          <t>verified</t>
        </is>
      </c>
      <c r="I27" s="43" t="inlineStr">
        <is>
          <t>yes</t>
        </is>
      </c>
      <c r="J27" s="45" t="inlineStr">
        <is>
          <t>2026-07-28: owner reviewed the generated Chromium baseline and its focused visual assertion.</t>
        </is>
      </c>
      <c r="K27" s="44" t="n"/>
      <c r="L27" s="43" t="n"/>
      <c r="M27" s="43">
        <f>IF(OR(H27="tested",H27="verified",H27="not applicable"),1,0)</f>
        <v/>
      </c>
    </row>
    <row r="28" ht="23.25" customHeight="1" s="34">
      <c r="A28" s="43" t="n"/>
      <c r="B28" s="43" t="n"/>
      <c r="C28" s="43" t="n"/>
      <c r="D28" s="44" t="n"/>
      <c r="E28" s="43" t="n"/>
      <c r="F28" s="43" t="n"/>
      <c r="G28" s="44" t="n"/>
      <c r="H28" s="43" t="n"/>
      <c r="I28" s="43" t="n"/>
      <c r="J28" s="45" t="n"/>
      <c r="K28" s="44" t="n"/>
      <c r="L28" s="43" t="n"/>
      <c r="M28" s="43" t="n"/>
    </row>
    <row r="29" ht="23.25" customHeight="1" s="34">
      <c r="A29" s="43" t="n"/>
      <c r="B29" s="43" t="n"/>
      <c r="C29" s="43" t="n"/>
      <c r="D29" s="44" t="n"/>
      <c r="E29" s="43" t="n"/>
      <c r="F29" s="43" t="n"/>
      <c r="G29" s="44" t="n"/>
      <c r="H29" s="43" t="n"/>
      <c r="I29" s="43" t="n"/>
      <c r="J29" s="45" t="n"/>
      <c r="K29" s="44" t="n"/>
      <c r="L29" s="43" t="n"/>
      <c r="M29" s="43" t="n"/>
    </row>
    <row r="30" ht="23.25" customHeight="1" s="34">
      <c r="A30" s="43" t="n"/>
      <c r="B30" s="43" t="n"/>
      <c r="C30" s="43" t="n"/>
      <c r="D30" s="44" t="n"/>
      <c r="E30" s="43" t="n"/>
      <c r="F30" s="43" t="n"/>
      <c r="G30" s="44" t="n"/>
      <c r="H30" s="43" t="n"/>
      <c r="I30" s="43" t="n"/>
      <c r="J30" s="45" t="n"/>
      <c r="K30" s="44" t="n"/>
      <c r="L30" s="43" t="n"/>
      <c r="M30"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9.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OTP Field Evidence</t>
        </is>
      </c>
    </row>
    <row r="2" ht="27.75" customHeight="1" s="34">
      <c r="A2" s="36" t="inlineStr">
        <is>
          <t>Assertion-level Atom-backed package, browser, human-review, documentation, Consumer, code-entry, localization, and form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OTP-01</t>
        </is>
      </c>
      <c r="B9" s="43" t="inlineStr">
        <is>
          <t>Implementation</t>
        </is>
      </c>
      <c r="C9" s="43" t="inlineStr">
        <is>
          <t>Root</t>
        </is>
      </c>
      <c r="D9" s="44" t="inlineStr">
        <is>
          <t>Compound OTP Field adapts released Atom 0.20.11 without recreating value, focus, paste, or validation behavior.</t>
        </is>
      </c>
      <c r="E9" s="43" t="inlineStr">
        <is>
          <t>package</t>
        </is>
      </c>
      <c r="F9" s="43" t="inlineStr">
        <is>
          <t>source</t>
        </is>
      </c>
      <c r="G9" s="44" t="inlineStr">
        <is>
          <t>../src/components/otp-field</t>
        </is>
      </c>
      <c r="H9" s="43" t="inlineStr">
        <is>
          <t>tested</t>
        </is>
      </c>
      <c r="I9" s="43" t="inlineStr">
        <is>
          <t>no</t>
        </is>
      </c>
      <c r="J9" s="45" t="inlineStr">
        <is>
          <t>Focused implementation evidence passes.</t>
        </is>
      </c>
      <c r="K9" s="44" t="n"/>
      <c r="L9" s="43" t="n"/>
      <c r="M9" s="43">
        <f>IF(OR(H9="tested",H9="verified",H9="not applicable"),1,0)</f>
        <v/>
      </c>
    </row>
    <row r="10" ht="54" customHeight="1" s="34">
      <c r="A10" s="43" t="inlineStr">
        <is>
          <t>OTP-02</t>
        </is>
      </c>
      <c r="B10" s="43" t="inlineStr">
        <is>
          <t>Anatomy</t>
        </is>
      </c>
      <c r="C10" s="43" t="inlineStr">
        <is>
          <t>All parts</t>
        </is>
      </c>
      <c r="D10" s="44" t="inlineStr">
        <is>
          <t>Root, Group, Input, and Separator are styled and independently exported.</t>
        </is>
      </c>
      <c r="E10" s="43" t="inlineStr">
        <is>
          <t>package</t>
        </is>
      </c>
      <c r="F10" s="43" t="inlineStr">
        <is>
          <t>component</t>
        </is>
      </c>
      <c r="G10" s="44" t="inlineStr">
        <is>
          <t>../test/components/otp-field/otp-field.test.tsx</t>
        </is>
      </c>
      <c r="H10" s="43" t="inlineStr">
        <is>
          <t>tested</t>
        </is>
      </c>
      <c r="I10" s="43" t="inlineStr">
        <is>
          <t>no</t>
        </is>
      </c>
      <c r="J10" s="45" t="inlineStr">
        <is>
          <t>Focused implementation evidence passes.</t>
        </is>
      </c>
      <c r="K10" s="44" t="n"/>
      <c r="L10" s="43" t="n"/>
      <c r="M10" s="43">
        <f>IF(OR(H10="tested",H10="verified",H10="not applicable"),1,0)</f>
        <v/>
      </c>
    </row>
    <row r="11" ht="54" customHeight="1" s="34">
      <c r="A11" s="43" t="inlineStr">
        <is>
          <t>OTP-03</t>
        </is>
      </c>
      <c r="B11" s="43" t="inlineStr">
        <is>
          <t>Exports</t>
        </is>
      </c>
      <c r="C11" s="43" t="inlineStr">
        <is>
          <t>OTPField</t>
        </is>
      </c>
      <c r="D11" s="44" t="inlineStr">
        <is>
          <t>Root and otp-field subpath exports expose the namespace, named parts, and public types.</t>
        </is>
      </c>
      <c r="E11" s="43" t="inlineStr">
        <is>
          <t>package</t>
        </is>
      </c>
      <c r="F11" s="43" t="inlineStr">
        <is>
          <t>package</t>
        </is>
      </c>
      <c r="G11" s="44" t="inlineStr">
        <is>
          <t>../test/package/package.test.mjs</t>
        </is>
      </c>
      <c r="H11" s="43" t="inlineStr">
        <is>
          <t>tested</t>
        </is>
      </c>
      <c r="I11" s="43" t="inlineStr">
        <is>
          <t>no</t>
        </is>
      </c>
      <c r="J11" s="45" t="inlineStr">
        <is>
          <t>Focused implementation evidence passes.</t>
        </is>
      </c>
      <c r="K11" s="44" t="n"/>
      <c r="L11" s="43" t="n"/>
      <c r="M11" s="43">
        <f>IF(OR(H11="tested",H11="verified",H11="not applicable"),1,0)</f>
        <v/>
      </c>
    </row>
    <row r="12" ht="54" customHeight="1" s="34">
      <c r="A12" s="43" t="inlineStr">
        <is>
          <t>OTP-04</t>
        </is>
      </c>
      <c r="B12" s="43" t="inlineStr">
        <is>
          <t>Types</t>
        </is>
      </c>
      <c r="C12" s="43" t="inlineStr">
        <is>
          <t>Root/parts</t>
        </is>
      </c>
      <c r="D12" s="44" t="inlineStr">
        <is>
          <t>Recipes, refs, native props, indexes, layouts, and underline shape exclusion type-check.</t>
        </is>
      </c>
      <c r="E12" s="43" t="inlineStr">
        <is>
          <t>package</t>
        </is>
      </c>
      <c r="F12" s="43" t="inlineStr">
        <is>
          <t>types</t>
        </is>
      </c>
      <c r="G12" s="44" t="inlineStr">
        <is>
          <t>../test/types/components/otp-field.test.ts</t>
        </is>
      </c>
      <c r="H12" s="43" t="inlineStr">
        <is>
          <t>tested</t>
        </is>
      </c>
      <c r="I12" s="43" t="inlineStr">
        <is>
          <t>no</t>
        </is>
      </c>
      <c r="J12" s="45" t="inlineStr">
        <is>
          <t>Focused implementation evidence passes.</t>
        </is>
      </c>
      <c r="K12" s="44" t="n"/>
      <c r="L12" s="43" t="n"/>
      <c r="M12" s="43">
        <f>IF(OR(H12="tested",H12="verified",H12="not applicable"),1,0)</f>
        <v/>
      </c>
    </row>
    <row r="13" ht="54" customHeight="1" s="34">
      <c r="A13" s="43" t="inlineStr">
        <is>
          <t>OTP-05</t>
        </is>
      </c>
      <c r="B13" s="43" t="inlineStr">
        <is>
          <t>CSS</t>
        </is>
      </c>
      <c r="C13" s="43" t="inlineStr">
        <is>
          <t>Group/Input</t>
        </is>
      </c>
      <c r="D13" s="44" t="inlineStr">
        <is>
          <t>Static CSS ships separated, attached, state, focus, artwork, and documented variable recipes.</t>
        </is>
      </c>
      <c r="E13" s="43" t="inlineStr">
        <is>
          <t>package</t>
        </is>
      </c>
      <c r="F13" s="43" t="inlineStr">
        <is>
          <t>css</t>
        </is>
      </c>
      <c r="G13" s="44" t="inlineStr">
        <is>
          <t>../src/components/otp-field/otp-field.css</t>
        </is>
      </c>
      <c r="H13" s="43" t="inlineStr">
        <is>
          <t>tested</t>
        </is>
      </c>
      <c r="I13" s="43" t="inlineStr">
        <is>
          <t>no</t>
        </is>
      </c>
      <c r="J13" s="45" t="inlineStr">
        <is>
          <t>Focused implementation evidence passes.</t>
        </is>
      </c>
      <c r="K13" s="44" t="n"/>
      <c r="L13" s="43" t="n"/>
      <c r="M13" s="43">
        <f>IF(OR(H13="tested",H13="verified",H13="not applicable"),1,0)</f>
        <v/>
      </c>
    </row>
    <row r="14" ht="54" customHeight="1" s="34">
      <c r="A14" s="43" t="inlineStr">
        <is>
          <t>OTP-06</t>
        </is>
      </c>
      <c r="B14" s="43" t="inlineStr">
        <is>
          <t>Entry</t>
        </is>
      </c>
      <c r="C14" s="43" t="inlineStr">
        <is>
          <t>Input cells</t>
        </is>
      </c>
      <c r="D14" s="44" t="inlineStr">
        <is>
          <t>Typing filters invalid characters, advances focus, and maintains one complete logical value.</t>
        </is>
      </c>
      <c r="E14" s="43" t="inlineStr">
        <is>
          <t>browser</t>
        </is>
      </c>
      <c r="F14" s="43" t="inlineStr">
        <is>
          <t>browser</t>
        </is>
      </c>
      <c r="G14" s="44" t="inlineStr">
        <is>
          <t>tests/components/otp-field/behavior.spec.ts</t>
        </is>
      </c>
      <c r="H14" s="43" t="inlineStr">
        <is>
          <t>tested</t>
        </is>
      </c>
      <c r="I14" s="43" t="inlineStr">
        <is>
          <t>no</t>
        </is>
      </c>
      <c r="J14" s="45" t="inlineStr">
        <is>
          <t>Focused implementation evidence passes.</t>
        </is>
      </c>
      <c r="K14" s="44" t="n"/>
      <c r="L14" s="43" t="n"/>
      <c r="M14" s="43">
        <f>IF(OR(H14="tested",H14="verified",H14="not applicable"),1,0)</f>
        <v/>
      </c>
    </row>
    <row r="15" ht="54" customHeight="1" s="34">
      <c r="A15" s="43" t="inlineStr">
        <is>
          <t>OTP-07</t>
        </is>
      </c>
      <c r="B15" s="43" t="inlineStr">
        <is>
          <t>Forms</t>
        </is>
      </c>
      <c r="C15" s="43" t="inlineStr">
        <is>
          <t>Root/Input</t>
        </is>
      </c>
      <c r="D15" s="44" t="inlineStr">
        <is>
          <t>Only the first cell owns required validity and one hidden value submits and resets.</t>
        </is>
      </c>
      <c r="E15" s="43" t="inlineStr">
        <is>
          <t>browser</t>
        </is>
      </c>
      <c r="F15" s="43" t="inlineStr">
        <is>
          <t>browser</t>
        </is>
      </c>
      <c r="G15" s="44" t="inlineStr">
        <is>
          <t>tests/components/otp-field/behavior.spec.ts</t>
        </is>
      </c>
      <c r="H15" s="43" t="inlineStr">
        <is>
          <t>tested</t>
        </is>
      </c>
      <c r="I15" s="43" t="inlineStr">
        <is>
          <t>no</t>
        </is>
      </c>
      <c r="J15" s="45" t="inlineStr">
        <is>
          <t>Focused implementation evidence passes.</t>
        </is>
      </c>
      <c r="K15" s="44" t="n"/>
      <c r="L15" s="43" t="n"/>
      <c r="M15" s="43">
        <f>IF(OR(H15="tested",H15="verified",H15="not applicable"),1,0)</f>
        <v/>
      </c>
    </row>
    <row r="16" ht="54" customHeight="1" s="34">
      <c r="A16" s="43" t="inlineStr">
        <is>
          <t>OTP-08</t>
        </is>
      </c>
      <c r="B16" s="43" t="inlineStr">
        <is>
          <t>Localization</t>
        </is>
      </c>
      <c r="C16" s="43" t="inlineStr">
        <is>
          <t>Input</t>
        </is>
      </c>
      <c r="D16" s="44" t="inlineStr">
        <is>
          <t>Generated position labels accept consumer-provided translations without changing behavior.</t>
        </is>
      </c>
      <c r="E16" s="43" t="inlineStr">
        <is>
          <t>browser</t>
        </is>
      </c>
      <c r="F16" s="43" t="inlineStr">
        <is>
          <t>browser</t>
        </is>
      </c>
      <c r="G16" s="44" t="inlineStr">
        <is>
          <t>tests/components/otp-field/behavior.spec.ts</t>
        </is>
      </c>
      <c r="H16" s="43" t="inlineStr">
        <is>
          <t>tested</t>
        </is>
      </c>
      <c r="I16" s="43" t="inlineStr">
        <is>
          <t>no</t>
        </is>
      </c>
      <c r="J16" s="45" t="inlineStr">
        <is>
          <t>Focused implementation evidence passes.</t>
        </is>
      </c>
      <c r="K16" s="44" t="n"/>
      <c r="L16" s="43" t="n"/>
      <c r="M16" s="43">
        <f>IF(OR(H16="tested",H16="verified",H16="not applicable"),1,0)</f>
        <v/>
      </c>
    </row>
    <row r="17" ht="54" customHeight="1" s="34">
      <c r="A17" s="43" t="inlineStr">
        <is>
          <t>OTP-09</t>
        </is>
      </c>
      <c r="B17" s="43" t="inlineStr">
        <is>
          <t>States</t>
        </is>
      </c>
      <c r="C17" s="43" t="inlineStr">
        <is>
          <t>All parts</t>
        </is>
      </c>
      <c r="D17" s="44" t="inlineStr">
        <is>
          <t>Disabled, read-only, invalid, required, filled, and masked states remain distinct.</t>
        </is>
      </c>
      <c r="E17" s="43" t="inlineStr">
        <is>
          <t>human</t>
        </is>
      </c>
      <c r="F17" s="43" t="inlineStr">
        <is>
          <t>visual</t>
        </is>
      </c>
      <c r="G17" s="44" t="inlineStr">
        <is>
          <t>tests/components/otp-field/visual.spec.ts</t>
        </is>
      </c>
      <c r="H17" s="43" t="inlineStr">
        <is>
          <t>verified</t>
        </is>
      </c>
      <c r="I17" s="43" t="inlineStr">
        <is>
          <t>yes</t>
        </is>
      </c>
      <c r="J17" s="45" t="inlineStr">
        <is>
          <t>2026-07-28: owner reviewed the generated Chromium baseline and its focused visual assertion.</t>
        </is>
      </c>
      <c r="K17" s="44" t="n"/>
      <c r="L17" s="43" t="n"/>
      <c r="M17" s="43">
        <f>IF(OR(H17="tested",H17="verified",H17="not applicable"),1,0)</f>
        <v/>
      </c>
    </row>
    <row r="18" ht="54" customHeight="1" s="34">
      <c r="A18" s="43" t="inlineStr">
        <is>
          <t>OTP-10</t>
        </is>
      </c>
      <c r="B18" s="43" t="inlineStr">
        <is>
          <t>Recipes</t>
        </is>
      </c>
      <c r="C18" s="43" t="inlineStr">
        <is>
          <t>Root/Group</t>
        </is>
      </c>
      <c r="D18" s="44" t="inlineStr">
        <is>
          <t>Outline, soft, underline, sizes, shapes, separated, and attached layouts retain stable data.</t>
        </is>
      </c>
      <c r="E18" s="43" t="inlineStr">
        <is>
          <t>browser</t>
        </is>
      </c>
      <c r="F18" s="43" t="inlineStr">
        <is>
          <t>browser</t>
        </is>
      </c>
      <c r="G18" s="44" t="inlineStr">
        <is>
          <t>tests/components/otp-field/behavior.spec.ts</t>
        </is>
      </c>
      <c r="H18" s="43" t="inlineStr">
        <is>
          <t>tested</t>
        </is>
      </c>
      <c r="I18" s="43" t="inlineStr">
        <is>
          <t>no</t>
        </is>
      </c>
      <c r="J18" s="45" t="inlineStr">
        <is>
          <t>Focused implementation evidence passes.</t>
        </is>
      </c>
      <c r="K18" s="44" t="n"/>
      <c r="L18" s="43" t="n"/>
      <c r="M18" s="43">
        <f>IF(OR(H18="tested",H18="verified",H18="not applicable"),1,0)</f>
        <v/>
      </c>
    </row>
    <row r="19" ht="54" customHeight="1" s="34">
      <c r="A19" s="43" t="inlineStr">
        <is>
          <t>OTP-11</t>
        </is>
      </c>
      <c r="B19" s="43" t="inlineStr">
        <is>
          <t>Accessibility</t>
        </is>
      </c>
      <c r="C19" s="43" t="inlineStr">
        <is>
          <t>Root/Input</t>
        </is>
      </c>
      <c r="D19" s="44" t="inlineStr">
        <is>
          <t>The group uses valid ARIA, cells expose position labels, and the route has no axe violations.</t>
        </is>
      </c>
      <c r="E19" s="43" t="inlineStr">
        <is>
          <t>browser</t>
        </is>
      </c>
      <c r="F19" s="43" t="inlineStr">
        <is>
          <t>axe</t>
        </is>
      </c>
      <c r="G19" s="44" t="inlineStr">
        <is>
          <t>tests/components/otp-field/behavior.spec.ts</t>
        </is>
      </c>
      <c r="H19" s="43" t="inlineStr">
        <is>
          <t>tested</t>
        </is>
      </c>
      <c r="I19" s="43" t="inlineStr">
        <is>
          <t>no</t>
        </is>
      </c>
      <c r="J19" s="45" t="inlineStr">
        <is>
          <t>Focused implementation evidence passes.</t>
        </is>
      </c>
      <c r="K19" s="44" t="n"/>
      <c r="L19" s="43" t="n"/>
      <c r="M19" s="43">
        <f>IF(OR(H19="tested",H19="verified",H19="not applicable"),1,0)</f>
        <v/>
      </c>
    </row>
    <row r="20" ht="54" customHeight="1" s="34">
      <c r="A20" s="43" t="inlineStr">
        <is>
          <t>OTP-12</t>
        </is>
      </c>
      <c r="B20" s="43" t="inlineStr">
        <is>
          <t>Appearance</t>
        </is>
      </c>
      <c r="C20" s="43" t="inlineStr">
        <is>
          <t>All parts</t>
        </is>
      </c>
      <c r="D20" s="44" t="inlineStr">
        <is>
          <t>Light, dark, forced-color, focus, and invalid paint remain legible.</t>
        </is>
      </c>
      <c r="E20" s="43" t="inlineStr">
        <is>
          <t>human</t>
        </is>
      </c>
      <c r="F20" s="43" t="inlineStr">
        <is>
          <t>visual</t>
        </is>
      </c>
      <c r="G20" s="44" t="inlineStr">
        <is>
          <t>tests/components/otp-field/visual.spec.ts</t>
        </is>
      </c>
      <c r="H20" s="43" t="inlineStr">
        <is>
          <t>verified</t>
        </is>
      </c>
      <c r="I20" s="43" t="inlineStr">
        <is>
          <t>yes</t>
        </is>
      </c>
      <c r="J20" s="45" t="inlineStr">
        <is>
          <t>2026-07-28: owner reviewed the generated Chromium baseline and its focused visual assertion.</t>
        </is>
      </c>
      <c r="K20" s="44" t="n"/>
      <c r="L20" s="43" t="n"/>
      <c r="M20" s="43">
        <f>IF(OR(H20="tested",H20="verified",H20="not applicable"),1,0)</f>
        <v/>
      </c>
    </row>
    <row r="21" ht="54" customHeight="1" s="34">
      <c r="A21" s="43" t="inlineStr">
        <is>
          <t>OTP-13</t>
        </is>
      </c>
      <c r="B21" s="43" t="inlineStr">
        <is>
          <t>Responsive</t>
        </is>
      </c>
      <c r="C21" s="43" t="inlineStr">
        <is>
          <t>Group</t>
        </is>
      </c>
      <c r="D21" s="44" t="inlineStr">
        <is>
          <t>Narrow and zoomed layouts remain reachable without clipping code cells.</t>
        </is>
      </c>
      <c r="E21" s="43" t="inlineStr">
        <is>
          <t>human</t>
        </is>
      </c>
      <c r="F21" s="43" t="inlineStr">
        <is>
          <t>manual</t>
        </is>
      </c>
      <c r="G21" s="44" t="inlineStr">
        <is>
          <t>manual-tests/otp-field.md</t>
        </is>
      </c>
      <c r="H21" s="43" t="inlineStr">
        <is>
          <t>implemented</t>
        </is>
      </c>
      <c r="I21" s="43" t="inlineStr">
        <is>
          <t>yes</t>
        </is>
      </c>
      <c r="J21" s="45" t="inlineStr">
        <is>
          <t>Implementation evidence exists; required release or human-review gate remains open.</t>
        </is>
      </c>
      <c r="K21" s="44" t="n"/>
      <c r="L21" s="43" t="n"/>
      <c r="M21" s="43">
        <f>IF(OR(H21="tested",H21="verified",H21="not applicable"),1,0)</f>
        <v/>
      </c>
    </row>
    <row r="22" ht="54" customHeight="1" s="34">
      <c r="A22" s="43" t="inlineStr">
        <is>
          <t>OTP-14</t>
        </is>
      </c>
      <c r="B22" s="43" t="inlineStr">
        <is>
          <t>RTL</t>
        </is>
      </c>
      <c r="C22" s="43" t="inlineStr">
        <is>
          <t>Group</t>
        </is>
      </c>
      <c r="D22" s="44" t="inlineStr">
        <is>
          <t>RTL preserves logical code order and separator placement.</t>
        </is>
      </c>
      <c r="E22" s="43" t="inlineStr">
        <is>
          <t>human</t>
        </is>
      </c>
      <c r="F22" s="43" t="inlineStr">
        <is>
          <t>visual</t>
        </is>
      </c>
      <c r="G22" s="44" t="inlineStr">
        <is>
          <t>tests/components/otp-field/visual.spec.ts</t>
        </is>
      </c>
      <c r="H22" s="43" t="inlineStr">
        <is>
          <t>verified</t>
        </is>
      </c>
      <c r="I22" s="43" t="inlineStr">
        <is>
          <t>yes</t>
        </is>
      </c>
      <c r="J22" s="45" t="inlineStr">
        <is>
          <t>2026-07-28: owner reviewed the generated Chromium baseline and its focused visual assertion.</t>
        </is>
      </c>
      <c r="K22" s="44" t="n"/>
      <c r="L22" s="43" t="n"/>
      <c r="M22" s="43">
        <f>IF(OR(H22="tested",H22="verified",H22="not applicable"),1,0)</f>
        <v/>
      </c>
    </row>
    <row r="23" ht="54" customHeight="1" s="34">
      <c r="A23" s="43" t="inlineStr">
        <is>
          <t>OTP-15</t>
        </is>
      </c>
      <c r="B23" s="43" t="inlineStr">
        <is>
          <t>Customization</t>
        </is>
      </c>
      <c r="C23" s="43" t="inlineStr">
        <is>
          <t>Input</t>
        </is>
      </c>
      <c r="D23" s="44" t="inlineStr">
        <is>
          <t>Documented variables customize cell size and radius without changing anatomy.</t>
        </is>
      </c>
      <c r="E23" s="43" t="inlineStr">
        <is>
          <t>human</t>
        </is>
      </c>
      <c r="F23" s="43" t="inlineStr">
        <is>
          <t>manual</t>
        </is>
      </c>
      <c r="G23" s="44" t="inlineStr">
        <is>
          <t>manual-tests/otp-field.md</t>
        </is>
      </c>
      <c r="H23" s="43" t="inlineStr">
        <is>
          <t>verified</t>
        </is>
      </c>
      <c r="I23" s="43" t="inlineStr">
        <is>
          <t>yes</t>
        </is>
      </c>
      <c r="J23" s="45" t="inlineStr">
        <is>
          <t>2026-07-28: owner reviewed the generated Chromium baseline and its focused visual assertion.</t>
        </is>
      </c>
      <c r="K23" s="44" t="n"/>
      <c r="L23" s="43" t="n"/>
      <c r="M23" s="43">
        <f>IF(OR(H23="tested",H23="verified",H23="not applicable"),1,0)</f>
        <v/>
      </c>
    </row>
    <row r="24" ht="54" customHeight="1" s="34">
      <c r="A24" s="43" t="inlineStr">
        <is>
          <t>OTP-16</t>
        </is>
      </c>
      <c r="B24" s="43" t="inlineStr">
        <is>
          <t>Documentation</t>
        </is>
      </c>
      <c r="C24" s="43" t="inlineStr">
        <is>
          <t>OTPField</t>
        </is>
      </c>
      <c r="D24" s="44" t="inlineStr">
        <is>
          <t>Guide, changelog, semantic contract, and nine scenarios agree.</t>
        </is>
      </c>
      <c r="E24" s="43" t="inlineStr">
        <is>
          <t>package</t>
        </is>
      </c>
      <c r="F24" s="43" t="inlineStr">
        <is>
          <t>docs</t>
        </is>
      </c>
      <c r="G24" s="44" t="inlineStr">
        <is>
          <t>../docs/components/otp-field/README.md</t>
        </is>
      </c>
      <c r="H24" s="43" t="inlineStr">
        <is>
          <t>tested</t>
        </is>
      </c>
      <c r="I24" s="43" t="inlineStr">
        <is>
          <t>no</t>
        </is>
      </c>
      <c r="J24" s="45" t="inlineStr">
        <is>
          <t>Focused implementation evidence passes.</t>
        </is>
      </c>
      <c r="K24" s="44" t="n"/>
      <c r="L24" s="43" t="n"/>
      <c r="M24" s="43">
        <f>IF(OR(H24="tested",H24="verified",H24="not applicable"),1,0)</f>
        <v/>
      </c>
    </row>
    <row r="25" ht="23.25" customHeight="1" s="34">
      <c r="A25" s="43" t="inlineStr">
        <is>
          <t>OTP-17</t>
        </is>
      </c>
      <c r="B25" s="43" t="inlineStr">
        <is>
          <t>Consumer</t>
        </is>
      </c>
      <c r="C25" s="43" t="inlineStr">
        <is>
          <t>OTPField</t>
        </is>
      </c>
      <c r="D25" s="44" t="inlineStr">
        <is>
          <t>Packed Consumer imports the public subpath and completes a Field-composed code.</t>
        </is>
      </c>
      <c r="E25" s="43" t="inlineStr">
        <is>
          <t>consumer</t>
        </is>
      </c>
      <c r="F25" s="43" t="inlineStr">
        <is>
          <t>consumer</t>
        </is>
      </c>
      <c r="G25" s="44" t="inlineStr">
        <is>
          <t>../apps/consumer/tests/consumer.spec.ts</t>
        </is>
      </c>
      <c r="H25" s="43" t="inlineStr">
        <is>
          <t>tested</t>
        </is>
      </c>
      <c r="I25" s="43" t="inlineStr">
        <is>
          <t>no</t>
        </is>
      </c>
      <c r="J25" s="45" t="inlineStr">
        <is>
          <t>2026-07-28: packed Consumer evidence passes for the public subpath and clean React 18/19 consumers.</t>
        </is>
      </c>
      <c r="K25" s="44" t="n"/>
      <c r="L25" s="43" t="n"/>
      <c r="M25" s="43">
        <f>IF(OR(H25="tested",H25="verified",H25="not applicable"),1,0)</f>
        <v/>
      </c>
    </row>
    <row r="26" ht="23.25" customHeight="1" s="34">
      <c r="A26" s="43" t="inlineStr">
        <is>
          <t>OTP-18</t>
        </is>
      </c>
      <c r="B26" s="43" t="inlineStr">
        <is>
          <t>Package</t>
        </is>
      </c>
      <c r="C26" s="43" t="inlineStr">
        <is>
          <t>OTPField</t>
        </is>
      </c>
      <c r="D26" s="44" t="inlineStr">
        <is>
          <t>Packed artifact and clean React 18/19 consumers resolve JS, types, CSS, and Atom 0.20.11.</t>
        </is>
      </c>
      <c r="E26" s="43" t="inlineStr">
        <is>
          <t>consumer</t>
        </is>
      </c>
      <c r="F26" s="43" t="inlineStr">
        <is>
          <t>package</t>
        </is>
      </c>
      <c r="G26" s="44" t="inlineStr">
        <is>
          <t>../scripts/verify-consumers.mjs</t>
        </is>
      </c>
      <c r="H26" s="43" t="inlineStr">
        <is>
          <t>tested</t>
        </is>
      </c>
      <c r="I26" s="43" t="inlineStr">
        <is>
          <t>no</t>
        </is>
      </c>
      <c r="J26" s="45" t="inlineStr">
        <is>
          <t>2026-07-28: packed Consumer evidence passes for the public subpath and clean React 18/19 consumers.</t>
        </is>
      </c>
      <c r="K26" s="44" t="n"/>
      <c r="L26" s="43" t="n"/>
      <c r="M26" s="43">
        <f>IF(OR(H26="tested",H26="verified",H26="not applicable"),1,0)</f>
        <v/>
      </c>
    </row>
    <row r="27" ht="23.25" customHeight="1" s="34">
      <c r="A27" s="43" t="inlineStr">
        <is>
          <t>OTP-19</t>
        </is>
      </c>
      <c r="B27" s="43" t="inlineStr">
        <is>
          <t>Manual</t>
        </is>
      </c>
      <c r="C27" s="43" t="inlineStr">
        <is>
          <t>All parts</t>
        </is>
      </c>
      <c r="D27" s="44" t="inlineStr">
        <is>
          <t>Numbered protocol covers visual, typing, paste, forms, assistive technology, preferences, zoom, and RTL.</t>
        </is>
      </c>
      <c r="E27" s="43" t="inlineStr">
        <is>
          <t>human</t>
        </is>
      </c>
      <c r="F27" s="43" t="inlineStr">
        <is>
          <t>manual</t>
        </is>
      </c>
      <c r="G27" s="44" t="inlineStr">
        <is>
          <t>manual-tests/otp-field.md</t>
        </is>
      </c>
      <c r="H27" s="43" t="inlineStr">
        <is>
          <t>implemented</t>
        </is>
      </c>
      <c r="I27" s="43" t="inlineStr">
        <is>
          <t>yes</t>
        </is>
      </c>
      <c r="J27" s="45" t="inlineStr">
        <is>
          <t>Implementation evidence exists; required release or human-review gate remains open.</t>
        </is>
      </c>
      <c r="K27" s="44" t="n"/>
      <c r="L27" s="43" t="n"/>
      <c r="M27" s="43">
        <f>IF(OR(H27="tested",H27="verified",H27="not applicable"),1,0)</f>
        <v/>
      </c>
    </row>
    <row r="28" ht="23.25" customHeight="1" s="34">
      <c r="A28" s="43" t="inlineStr">
        <is>
          <t>OTP-20</t>
        </is>
      </c>
      <c r="B28" s="43" t="inlineStr">
        <is>
          <t>Visual</t>
        </is>
      </c>
      <c r="C28" s="43" t="inlineStr">
        <is>
          <t>All parts</t>
        </is>
      </c>
      <c r="D28" s="44" t="inlineStr">
        <is>
          <t>Snapshots cover default, recipes, states, and mobile RTL stress.</t>
        </is>
      </c>
      <c r="E28" s="43" t="inlineStr">
        <is>
          <t>human</t>
        </is>
      </c>
      <c r="F28" s="43" t="inlineStr">
        <is>
          <t>visual</t>
        </is>
      </c>
      <c r="G28" s="44" t="inlineStr">
        <is>
          <t>tests/components/otp-field/visual.spec.ts</t>
        </is>
      </c>
      <c r="H28" s="43" t="inlineStr">
        <is>
          <t>verified</t>
        </is>
      </c>
      <c r="I28" s="43" t="inlineStr">
        <is>
          <t>yes</t>
        </is>
      </c>
      <c r="J28" s="45" t="inlineStr">
        <is>
          <t>2026-07-28: owner reviewed the generated Chromium baseline and its focused visual assertion.</t>
        </is>
      </c>
      <c r="K28" s="44" t="n"/>
      <c r="L28" s="43" t="n"/>
      <c r="M28" s="43">
        <f>IF(OR(H28="tested",H28="verified",H28="not applicable"),1,0)</f>
        <v/>
      </c>
    </row>
    <row r="29" ht="23.25" customHeight="1" s="34">
      <c r="A29" s="43" t="n"/>
      <c r="B29" s="43" t="n"/>
      <c r="C29" s="43" t="n"/>
      <c r="D29" s="44" t="n"/>
      <c r="E29" s="43" t="n"/>
      <c r="F29" s="43" t="n"/>
      <c r="G29" s="44" t="n"/>
      <c r="H29" s="43" t="n"/>
      <c r="I29" s="43" t="n"/>
      <c r="J29" s="45" t="n"/>
      <c r="K29" s="44" t="n"/>
      <c r="L29" s="43" t="n"/>
      <c r="M29" s="43" t="n"/>
    </row>
    <row r="30" ht="23.25" customHeight="1" s="34">
      <c r="A30" s="43" t="n"/>
      <c r="B30" s="43" t="n"/>
      <c r="C30" s="43" t="n"/>
      <c r="D30" s="44" t="n"/>
      <c r="E30" s="43" t="n"/>
      <c r="F30" s="43" t="n"/>
      <c r="G30" s="44" t="n"/>
      <c r="H30" s="43" t="n"/>
      <c r="I30" s="43" t="n"/>
      <c r="J30" s="45" t="n"/>
      <c r="K30" s="44" t="n"/>
      <c r="L30" s="43" t="n"/>
      <c r="M30"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0.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Password Toggle Field Evidence</t>
        </is>
      </c>
    </row>
    <row r="2" ht="27.75" customHeight="1" s="34">
      <c r="A2" s="36" t="inlineStr">
        <is>
          <t>Assertion-level Atom-backed package, browser, human-review, documentation, Consumer, visibility, localization, and form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PTF-01</t>
        </is>
      </c>
      <c r="B9" s="43" t="inlineStr">
        <is>
          <t>Implementation</t>
        </is>
      </c>
      <c r="C9" s="43" t="inlineStr">
        <is>
          <t>Root</t>
        </is>
      </c>
      <c r="D9" s="44" t="inlineStr">
        <is>
          <t>Compound Password Toggle Field adapts released Atom 0.20.11 without recreating visibility or validation behavior.</t>
        </is>
      </c>
      <c r="E9" s="43" t="inlineStr">
        <is>
          <t>package</t>
        </is>
      </c>
      <c r="F9" s="43" t="inlineStr">
        <is>
          <t>source</t>
        </is>
      </c>
      <c r="G9" s="44" t="inlineStr">
        <is>
          <t>../src/components/password-toggle-field</t>
        </is>
      </c>
      <c r="H9" s="43" t="inlineStr">
        <is>
          <t>tested</t>
        </is>
      </c>
      <c r="I9" s="43" t="inlineStr">
        <is>
          <t>no</t>
        </is>
      </c>
      <c r="J9" s="45" t="inlineStr">
        <is>
          <t>Focused implementation evidence passes.</t>
        </is>
      </c>
      <c r="K9" s="44" t="n"/>
      <c r="L9" s="43" t="n"/>
      <c r="M9" s="43">
        <f>IF(OR(H9="tested",H9="verified",H9="not applicable"),1,0)</f>
        <v/>
      </c>
    </row>
    <row r="10" ht="54" customHeight="1" s="34">
      <c r="A10" s="43" t="inlineStr">
        <is>
          <t>PTF-02</t>
        </is>
      </c>
      <c r="B10" s="43" t="inlineStr">
        <is>
          <t>Anatomy</t>
        </is>
      </c>
      <c r="C10" s="43" t="inlineStr">
        <is>
          <t>All parts</t>
        </is>
      </c>
      <c r="D10" s="44" t="inlineStr">
        <is>
          <t>Root, Input, Toggle, and Icon are styled and independently exported.</t>
        </is>
      </c>
      <c r="E10" s="43" t="inlineStr">
        <is>
          <t>package</t>
        </is>
      </c>
      <c r="F10" s="43" t="inlineStr">
        <is>
          <t>component</t>
        </is>
      </c>
      <c r="G10" s="44" t="inlineStr">
        <is>
          <t>../test/components/password-toggle-field/password-toggle-field.test.tsx</t>
        </is>
      </c>
      <c r="H10" s="43" t="inlineStr">
        <is>
          <t>tested</t>
        </is>
      </c>
      <c r="I10" s="43" t="inlineStr">
        <is>
          <t>no</t>
        </is>
      </c>
      <c r="J10" s="45" t="inlineStr">
        <is>
          <t>Focused implementation evidence passes.</t>
        </is>
      </c>
      <c r="K10" s="44" t="n"/>
      <c r="L10" s="43" t="n"/>
      <c r="M10" s="43">
        <f>IF(OR(H10="tested",H10="verified",H10="not applicable"),1,0)</f>
        <v/>
      </c>
    </row>
    <row r="11" ht="54" customHeight="1" s="34">
      <c r="A11" s="43" t="inlineStr">
        <is>
          <t>PTF-03</t>
        </is>
      </c>
      <c r="B11" s="43" t="inlineStr">
        <is>
          <t>Exports</t>
        </is>
      </c>
      <c r="C11" s="43" t="inlineStr">
        <is>
          <t>PasswordToggleField</t>
        </is>
      </c>
      <c r="D11" s="44" t="inlineStr">
        <is>
          <t>Root and password-toggle-field subpath exports expose namespace, named parts, and public types.</t>
        </is>
      </c>
      <c r="E11" s="43" t="inlineStr">
        <is>
          <t>package</t>
        </is>
      </c>
      <c r="F11" s="43" t="inlineStr">
        <is>
          <t>package</t>
        </is>
      </c>
      <c r="G11" s="44" t="inlineStr">
        <is>
          <t>../test/package/package.test.mjs</t>
        </is>
      </c>
      <c r="H11" s="43" t="inlineStr">
        <is>
          <t>tested</t>
        </is>
      </c>
      <c r="I11" s="43" t="inlineStr">
        <is>
          <t>no</t>
        </is>
      </c>
      <c r="J11" s="45" t="inlineStr">
        <is>
          <t>Focused implementation evidence passes.</t>
        </is>
      </c>
      <c r="K11" s="44" t="n"/>
      <c r="L11" s="43" t="n"/>
      <c r="M11" s="43">
        <f>IF(OR(H11="tested",H11="verified",H11="not applicable"),1,0)</f>
        <v/>
      </c>
    </row>
    <row r="12" ht="54" customHeight="1" s="34">
      <c r="A12" s="43" t="inlineStr">
        <is>
          <t>PTF-04</t>
        </is>
      </c>
      <c r="B12" s="43" t="inlineStr">
        <is>
          <t>Types</t>
        </is>
      </c>
      <c r="C12" s="43" t="inlineStr">
        <is>
          <t>Root/parts</t>
        </is>
      </c>
      <c r="D12" s="44" t="inlineStr">
        <is>
          <t>Recipes, refs, native props, custom artwork, and underline shape exclusion type-check.</t>
        </is>
      </c>
      <c r="E12" s="43" t="inlineStr">
        <is>
          <t>package</t>
        </is>
      </c>
      <c r="F12" s="43" t="inlineStr">
        <is>
          <t>types</t>
        </is>
      </c>
      <c r="G12" s="44" t="inlineStr">
        <is>
          <t>../test/types/components/password-toggle-field.test.ts</t>
        </is>
      </c>
      <c r="H12" s="43" t="inlineStr">
        <is>
          <t>tested</t>
        </is>
      </c>
      <c r="I12" s="43" t="inlineStr">
        <is>
          <t>no</t>
        </is>
      </c>
      <c r="J12" s="45" t="inlineStr">
        <is>
          <t>Focused implementation evidence passes.</t>
        </is>
      </c>
      <c r="K12" s="44" t="n"/>
      <c r="L12" s="43" t="n"/>
      <c r="M12" s="43">
        <f>IF(OR(H12="tested",H12="verified",H12="not applicable"),1,0)</f>
        <v/>
      </c>
    </row>
    <row r="13" ht="54" customHeight="1" s="34">
      <c r="A13" s="43" t="inlineStr">
        <is>
          <t>PTF-05</t>
        </is>
      </c>
      <c r="B13" s="43" t="inlineStr">
        <is>
          <t>CSS</t>
        </is>
      </c>
      <c r="C13" s="43" t="inlineStr">
        <is>
          <t>All parts</t>
        </is>
      </c>
      <c r="D13" s="44" t="inlineStr">
        <is>
          <t>Static CSS ships recipes, states, logical toggle geometry, artwork, and documented variables.</t>
        </is>
      </c>
      <c r="E13" s="43" t="inlineStr">
        <is>
          <t>package</t>
        </is>
      </c>
      <c r="F13" s="43" t="inlineStr">
        <is>
          <t>css</t>
        </is>
      </c>
      <c r="G13" s="44" t="inlineStr">
        <is>
          <t>../src/components/password-toggle-field/password-toggle-field.css</t>
        </is>
      </c>
      <c r="H13" s="43" t="inlineStr">
        <is>
          <t>tested</t>
        </is>
      </c>
      <c r="I13" s="43" t="inlineStr">
        <is>
          <t>no</t>
        </is>
      </c>
      <c r="J13" s="45" t="inlineStr">
        <is>
          <t>Focused implementation evidence passes.</t>
        </is>
      </c>
      <c r="K13" s="44" t="n"/>
      <c r="L13" s="43" t="n"/>
      <c r="M13" s="43">
        <f>IF(OR(H13="tested",H13="verified",H13="not applicable"),1,0)</f>
        <v/>
      </c>
    </row>
    <row r="14" ht="54" customHeight="1" s="34">
      <c r="A14" s="43" t="inlineStr">
        <is>
          <t>PTF-06</t>
        </is>
      </c>
      <c r="B14" s="43" t="inlineStr">
        <is>
          <t>Visibility</t>
        </is>
      </c>
      <c r="C14" s="43" t="inlineStr">
        <is>
          <t>Input/Toggle/Icon</t>
        </is>
      </c>
      <c r="D14" s="44" t="inlineStr">
        <is>
          <t>Toggle switches the native input type and synchronizes its label, state, and artwork.</t>
        </is>
      </c>
      <c r="E14" s="43" t="inlineStr">
        <is>
          <t>browser</t>
        </is>
      </c>
      <c r="F14" s="43" t="inlineStr">
        <is>
          <t>browser</t>
        </is>
      </c>
      <c r="G14" s="44" t="inlineStr">
        <is>
          <t>tests/components/password-toggle-field/behavior.spec.ts</t>
        </is>
      </c>
      <c r="H14" s="43" t="inlineStr">
        <is>
          <t>tested</t>
        </is>
      </c>
      <c r="I14" s="43" t="inlineStr">
        <is>
          <t>no</t>
        </is>
      </c>
      <c r="J14" s="45" t="inlineStr">
        <is>
          <t>Focused implementation evidence passes.</t>
        </is>
      </c>
      <c r="K14" s="44" t="n"/>
      <c r="L14" s="43" t="n"/>
      <c r="M14" s="43">
        <f>IF(OR(H14="tested",H14="verified",H14="not applicable"),1,0)</f>
        <v/>
      </c>
    </row>
    <row r="15" ht="54" customHeight="1" s="34">
      <c r="A15" s="43" t="inlineStr">
        <is>
          <t>PTF-07</t>
        </is>
      </c>
      <c r="B15" s="43" t="inlineStr">
        <is>
          <t>Forms</t>
        </is>
      </c>
      <c r="C15" s="43" t="inlineStr">
        <is>
          <t>Root/Input</t>
        </is>
      </c>
      <c r="D15" s="44" t="inlineStr">
        <is>
          <t>Submission and reset restore a hidden password while preserving Field relationships and validity.</t>
        </is>
      </c>
      <c r="E15" s="43" t="inlineStr">
        <is>
          <t>browser</t>
        </is>
      </c>
      <c r="F15" s="43" t="inlineStr">
        <is>
          <t>browser</t>
        </is>
      </c>
      <c r="G15" s="44" t="inlineStr">
        <is>
          <t>tests/components/password-toggle-field/behavior.spec.ts</t>
        </is>
      </c>
      <c r="H15" s="43" t="inlineStr">
        <is>
          <t>tested</t>
        </is>
      </c>
      <c r="I15" s="43" t="inlineStr">
        <is>
          <t>no</t>
        </is>
      </c>
      <c r="J15" s="45" t="inlineStr">
        <is>
          <t>Focused implementation evidence passes.</t>
        </is>
      </c>
      <c r="K15" s="44" t="n"/>
      <c r="L15" s="43" t="n"/>
      <c r="M15" s="43">
        <f>IF(OR(H15="tested",H15="verified",H15="not applicable"),1,0)</f>
        <v/>
      </c>
    </row>
    <row r="16" ht="54" customHeight="1" s="34">
      <c r="A16" s="43" t="inlineStr">
        <is>
          <t>PTF-08</t>
        </is>
      </c>
      <c r="B16" s="43" t="inlineStr">
        <is>
          <t>Localization</t>
        </is>
      </c>
      <c r="C16" s="43" t="inlineStr">
        <is>
          <t>Toggle</t>
        </is>
      </c>
      <c r="D16" s="44" t="inlineStr">
        <is>
          <t>Show and hide action labels accept consumer-provided translations.</t>
        </is>
      </c>
      <c r="E16" s="43" t="inlineStr">
        <is>
          <t>browser</t>
        </is>
      </c>
      <c r="F16" s="43" t="inlineStr">
        <is>
          <t>browser</t>
        </is>
      </c>
      <c r="G16" s="44" t="inlineStr">
        <is>
          <t>tests/components/password-toggle-field/behavior.spec.ts</t>
        </is>
      </c>
      <c r="H16" s="43" t="inlineStr">
        <is>
          <t>tested</t>
        </is>
      </c>
      <c r="I16" s="43" t="inlineStr">
        <is>
          <t>no</t>
        </is>
      </c>
      <c r="J16" s="45" t="inlineStr">
        <is>
          <t>Focused implementation evidence passes.</t>
        </is>
      </c>
      <c r="K16" s="44" t="n"/>
      <c r="L16" s="43" t="n"/>
      <c r="M16" s="43">
        <f>IF(OR(H16="tested",H16="verified",H16="not applicable"),1,0)</f>
        <v/>
      </c>
    </row>
    <row r="17" ht="54" customHeight="1" s="34">
      <c r="A17" s="43" t="inlineStr">
        <is>
          <t>PTF-09</t>
        </is>
      </c>
      <c r="B17" s="43" t="inlineStr">
        <is>
          <t>States</t>
        </is>
      </c>
      <c r="C17" s="43" t="inlineStr">
        <is>
          <t>All parts</t>
        </is>
      </c>
      <c r="D17" s="44" t="inlineStr">
        <is>
          <t>Disabled, read-only, invalid, required, visible, and hidden states remain distinct.</t>
        </is>
      </c>
      <c r="E17" s="43" t="inlineStr">
        <is>
          <t>human</t>
        </is>
      </c>
      <c r="F17" s="43" t="inlineStr">
        <is>
          <t>visual</t>
        </is>
      </c>
      <c r="G17" s="44" t="inlineStr">
        <is>
          <t>tests/components/password-toggle-field/visual.spec.ts</t>
        </is>
      </c>
      <c r="H17" s="43" t="inlineStr">
        <is>
          <t>verified</t>
        </is>
      </c>
      <c r="I17" s="43" t="inlineStr">
        <is>
          <t>yes</t>
        </is>
      </c>
      <c r="J17" s="45" t="inlineStr">
        <is>
          <t>2026-07-28: owner reviewed the generated Chromium baseline and its focused visual assertion.</t>
        </is>
      </c>
      <c r="K17" s="44" t="n"/>
      <c r="L17" s="43" t="n"/>
      <c r="M17" s="43">
        <f>IF(OR(H17="tested",H17="verified",H17="not applicable"),1,0)</f>
        <v/>
      </c>
    </row>
    <row r="18" ht="54" customHeight="1" s="34">
      <c r="A18" s="43" t="inlineStr">
        <is>
          <t>PTF-10</t>
        </is>
      </c>
      <c r="B18" s="43" t="inlineStr">
        <is>
          <t>Recipes</t>
        </is>
      </c>
      <c r="C18" s="43" t="inlineStr">
        <is>
          <t>Root</t>
        </is>
      </c>
      <c r="D18" s="44" t="inlineStr">
        <is>
          <t>Outline, soft, underline, sizes, shapes, and width retain stable recipe data.</t>
        </is>
      </c>
      <c r="E18" s="43" t="inlineStr">
        <is>
          <t>browser</t>
        </is>
      </c>
      <c r="F18" s="43" t="inlineStr">
        <is>
          <t>browser</t>
        </is>
      </c>
      <c r="G18" s="44" t="inlineStr">
        <is>
          <t>tests/components/password-toggle-field/behavior.spec.ts</t>
        </is>
      </c>
      <c r="H18" s="43" t="inlineStr">
        <is>
          <t>tested</t>
        </is>
      </c>
      <c r="I18" s="43" t="inlineStr">
        <is>
          <t>no</t>
        </is>
      </c>
      <c r="J18" s="45" t="inlineStr">
        <is>
          <t>Focused implementation evidence passes.</t>
        </is>
      </c>
      <c r="K18" s="44" t="n"/>
      <c r="L18" s="43" t="n"/>
      <c r="M18" s="43">
        <f>IF(OR(H18="tested",H18="verified",H18="not applicable"),1,0)</f>
        <v/>
      </c>
    </row>
    <row r="19" ht="54" customHeight="1" s="34">
      <c r="A19" s="43" t="inlineStr">
        <is>
          <t>PTF-11</t>
        </is>
      </c>
      <c r="B19" s="43" t="inlineStr">
        <is>
          <t>Accessibility</t>
        </is>
      </c>
      <c r="C19" s="43" t="inlineStr">
        <is>
          <t>Input/Toggle</t>
        </is>
      </c>
      <c r="D19" s="44" t="inlineStr">
        <is>
          <t>Field naming and localized toggle names remain valid and the route has no axe violations.</t>
        </is>
      </c>
      <c r="E19" s="43" t="inlineStr">
        <is>
          <t>browser</t>
        </is>
      </c>
      <c r="F19" s="43" t="inlineStr">
        <is>
          <t>axe</t>
        </is>
      </c>
      <c r="G19" s="44" t="inlineStr">
        <is>
          <t>tests/components/password-toggle-field/behavior.spec.ts</t>
        </is>
      </c>
      <c r="H19" s="43" t="inlineStr">
        <is>
          <t>tested</t>
        </is>
      </c>
      <c r="I19" s="43" t="inlineStr">
        <is>
          <t>no</t>
        </is>
      </c>
      <c r="J19" s="45" t="inlineStr">
        <is>
          <t>Focused implementation evidence passes.</t>
        </is>
      </c>
      <c r="K19" s="44" t="n"/>
      <c r="L19" s="43" t="n"/>
      <c r="M19" s="43">
        <f>IF(OR(H19="tested",H19="verified",H19="not applicable"),1,0)</f>
        <v/>
      </c>
    </row>
    <row r="20" ht="54" customHeight="1" s="34">
      <c r="A20" s="43" t="inlineStr">
        <is>
          <t>PTF-12</t>
        </is>
      </c>
      <c r="B20" s="43" t="inlineStr">
        <is>
          <t>Appearance</t>
        </is>
      </c>
      <c r="C20" s="43" t="inlineStr">
        <is>
          <t>All parts</t>
        </is>
      </c>
      <c r="D20" s="44" t="inlineStr">
        <is>
          <t>Light, dark, forced-color, focus, and invalid paint remain legible.</t>
        </is>
      </c>
      <c r="E20" s="43" t="inlineStr">
        <is>
          <t>human</t>
        </is>
      </c>
      <c r="F20" s="43" t="inlineStr">
        <is>
          <t>visual</t>
        </is>
      </c>
      <c r="G20" s="44" t="inlineStr">
        <is>
          <t>tests/components/password-toggle-field/visual.spec.ts</t>
        </is>
      </c>
      <c r="H20" s="43" t="inlineStr">
        <is>
          <t>verified</t>
        </is>
      </c>
      <c r="I20" s="43" t="inlineStr">
        <is>
          <t>yes</t>
        </is>
      </c>
      <c r="J20" s="45" t="inlineStr">
        <is>
          <t>2026-07-28: owner reviewed the generated Chromium baseline and its focused visual assertion.</t>
        </is>
      </c>
      <c r="K20" s="44" t="n"/>
      <c r="L20" s="43" t="n"/>
      <c r="M20" s="43">
        <f>IF(OR(H20="tested",H20="verified",H20="not applicable"),1,0)</f>
        <v/>
      </c>
    </row>
    <row r="21" ht="54" customHeight="1" s="34">
      <c r="A21" s="43" t="inlineStr">
        <is>
          <t>PTF-13</t>
        </is>
      </c>
      <c r="B21" s="43" t="inlineStr">
        <is>
          <t>Responsive</t>
        </is>
      </c>
      <c r="C21" s="43" t="inlineStr">
        <is>
          <t>Root</t>
        </is>
      </c>
      <c r="D21" s="44" t="inlineStr">
        <is>
          <t>Narrow and zoomed layouts keep the input and toggle reachable without overflow.</t>
        </is>
      </c>
      <c r="E21" s="43" t="inlineStr">
        <is>
          <t>human</t>
        </is>
      </c>
      <c r="F21" s="43" t="inlineStr">
        <is>
          <t>manual</t>
        </is>
      </c>
      <c r="G21" s="44" t="inlineStr">
        <is>
          <t>manual-tests/password-toggle-field.md</t>
        </is>
      </c>
      <c r="H21" s="43" t="inlineStr">
        <is>
          <t>implemented</t>
        </is>
      </c>
      <c r="I21" s="43" t="inlineStr">
        <is>
          <t>yes</t>
        </is>
      </c>
      <c r="J21" s="45" t="inlineStr">
        <is>
          <t>Implementation evidence exists; required release or human-review gate remains open.</t>
        </is>
      </c>
      <c r="K21" s="44" t="n"/>
      <c r="L21" s="43" t="n"/>
      <c r="M21" s="43">
        <f>IF(OR(H21="tested",H21="verified",H21="not applicable"),1,0)</f>
        <v/>
      </c>
    </row>
    <row r="22" ht="54" customHeight="1" s="34">
      <c r="A22" s="43" t="inlineStr">
        <is>
          <t>PTF-14</t>
        </is>
      </c>
      <c r="B22" s="43" t="inlineStr">
        <is>
          <t>RTL</t>
        </is>
      </c>
      <c r="C22" s="43" t="inlineStr">
        <is>
          <t>Root/Toggle</t>
        </is>
      </c>
      <c r="D22" s="44" t="inlineStr">
        <is>
          <t>RTL places the toggle at logical inline start and retains the localized action.</t>
        </is>
      </c>
      <c r="E22" s="43" t="inlineStr">
        <is>
          <t>human</t>
        </is>
      </c>
      <c r="F22" s="43" t="inlineStr">
        <is>
          <t>visual</t>
        </is>
      </c>
      <c r="G22" s="44" t="inlineStr">
        <is>
          <t>tests/components/password-toggle-field/visual.spec.ts</t>
        </is>
      </c>
      <c r="H22" s="43" t="inlineStr">
        <is>
          <t>verified</t>
        </is>
      </c>
      <c r="I22" s="43" t="inlineStr">
        <is>
          <t>yes</t>
        </is>
      </c>
      <c r="J22" s="45" t="inlineStr">
        <is>
          <t>2026-07-28: owner reviewed the generated Chromium baseline and its focused visual assertion.</t>
        </is>
      </c>
      <c r="K22" s="44" t="n"/>
      <c r="L22" s="43" t="n"/>
      <c r="M22" s="43">
        <f>IF(OR(H22="tested",H22="verified",H22="not applicable"),1,0)</f>
        <v/>
      </c>
    </row>
    <row r="23" ht="54" customHeight="1" s="34">
      <c r="A23" s="43" t="inlineStr">
        <is>
          <t>PTF-15</t>
        </is>
      </c>
      <c r="B23" s="43" t="inlineStr">
        <is>
          <t>Customization</t>
        </is>
      </c>
      <c r="C23" s="43" t="inlineStr">
        <is>
          <t>Root</t>
        </is>
      </c>
      <c r="D23" s="44" t="inlineStr">
        <is>
          <t>Documented variables customize height and radius without changing anatomy.</t>
        </is>
      </c>
      <c r="E23" s="43" t="inlineStr">
        <is>
          <t>human</t>
        </is>
      </c>
      <c r="F23" s="43" t="inlineStr">
        <is>
          <t>manual</t>
        </is>
      </c>
      <c r="G23" s="44" t="inlineStr">
        <is>
          <t>manual-tests/password-toggle-field.md</t>
        </is>
      </c>
      <c r="H23" s="43" t="inlineStr">
        <is>
          <t>verified</t>
        </is>
      </c>
      <c r="I23" s="43" t="inlineStr">
        <is>
          <t>yes</t>
        </is>
      </c>
      <c r="J23" s="45" t="inlineStr">
        <is>
          <t>2026-07-28: owner reviewed the generated Chromium baseline and its focused visual assertion.</t>
        </is>
      </c>
      <c r="K23" s="44" t="n"/>
      <c r="L23" s="43" t="n"/>
      <c r="M23" s="43">
        <f>IF(OR(H23="tested",H23="verified",H23="not applicable"),1,0)</f>
        <v/>
      </c>
    </row>
    <row r="24" ht="54" customHeight="1" s="34">
      <c r="A24" s="43" t="inlineStr">
        <is>
          <t>PTF-16</t>
        </is>
      </c>
      <c r="B24" s="43" t="inlineStr">
        <is>
          <t>Documentation</t>
        </is>
      </c>
      <c r="C24" s="43" t="inlineStr">
        <is>
          <t>PasswordToggleField</t>
        </is>
      </c>
      <c r="D24" s="44" t="inlineStr">
        <is>
          <t>Guide, changelog, semantic contract, and nine scenarios agree.</t>
        </is>
      </c>
      <c r="E24" s="43" t="inlineStr">
        <is>
          <t>package</t>
        </is>
      </c>
      <c r="F24" s="43" t="inlineStr">
        <is>
          <t>docs</t>
        </is>
      </c>
      <c r="G24" s="44" t="inlineStr">
        <is>
          <t>../docs/components/password-toggle-field/README.md</t>
        </is>
      </c>
      <c r="H24" s="43" t="inlineStr">
        <is>
          <t>tested</t>
        </is>
      </c>
      <c r="I24" s="43" t="inlineStr">
        <is>
          <t>no</t>
        </is>
      </c>
      <c r="J24" s="45" t="inlineStr">
        <is>
          <t>Focused implementation evidence passes.</t>
        </is>
      </c>
      <c r="K24" s="44" t="n"/>
      <c r="L24" s="43" t="n"/>
      <c r="M24" s="43">
        <f>IF(OR(H24="tested",H24="verified",H24="not applicable"),1,0)</f>
        <v/>
      </c>
    </row>
    <row r="25" ht="23.25" customHeight="1" s="34">
      <c r="A25" s="43" t="inlineStr">
        <is>
          <t>PTF-17</t>
        </is>
      </c>
      <c r="B25" s="43" t="inlineStr">
        <is>
          <t>Consumer</t>
        </is>
      </c>
      <c r="C25" s="43" t="inlineStr">
        <is>
          <t>PasswordToggleField</t>
        </is>
      </c>
      <c r="D25" s="44" t="inlineStr">
        <is>
          <t>Packed Consumer imports the public subpath and operates a Field-composed password.</t>
        </is>
      </c>
      <c r="E25" s="43" t="inlineStr">
        <is>
          <t>consumer</t>
        </is>
      </c>
      <c r="F25" s="43" t="inlineStr">
        <is>
          <t>consumer</t>
        </is>
      </c>
      <c r="G25" s="44" t="inlineStr">
        <is>
          <t>../apps/consumer/tests/consumer.spec.ts</t>
        </is>
      </c>
      <c r="H25" s="43" t="inlineStr">
        <is>
          <t>tested</t>
        </is>
      </c>
      <c r="I25" s="43" t="inlineStr">
        <is>
          <t>no</t>
        </is>
      </c>
      <c r="J25" s="45" t="inlineStr">
        <is>
          <t>2026-07-28: packed Consumer evidence passes for the public subpath and clean React 18/19 consumers.</t>
        </is>
      </c>
      <c r="K25" s="44" t="n"/>
      <c r="L25" s="43" t="n"/>
      <c r="M25" s="43">
        <f>IF(OR(H25="tested",H25="verified",H25="not applicable"),1,0)</f>
        <v/>
      </c>
    </row>
    <row r="26" ht="23.25" customHeight="1" s="34">
      <c r="A26" s="43" t="inlineStr">
        <is>
          <t>PTF-18</t>
        </is>
      </c>
      <c r="B26" s="43" t="inlineStr">
        <is>
          <t>Package</t>
        </is>
      </c>
      <c r="C26" s="43" t="inlineStr">
        <is>
          <t>PasswordToggleField</t>
        </is>
      </c>
      <c r="D26" s="44" t="inlineStr">
        <is>
          <t>Packed artifact and clean React 18/19 consumers resolve JS, types, CSS, and Atom 0.20.11.</t>
        </is>
      </c>
      <c r="E26" s="43" t="inlineStr">
        <is>
          <t>consumer</t>
        </is>
      </c>
      <c r="F26" s="43" t="inlineStr">
        <is>
          <t>package</t>
        </is>
      </c>
      <c r="G26" s="44" t="inlineStr">
        <is>
          <t>../scripts/verify-consumers.mjs</t>
        </is>
      </c>
      <c r="H26" s="43" t="inlineStr">
        <is>
          <t>tested</t>
        </is>
      </c>
      <c r="I26" s="43" t="inlineStr">
        <is>
          <t>no</t>
        </is>
      </c>
      <c r="J26" s="45" t="inlineStr">
        <is>
          <t>2026-07-28: packed Consumer evidence passes for the public subpath and clean React 18/19 consumers.</t>
        </is>
      </c>
      <c r="K26" s="44" t="n"/>
      <c r="L26" s="43" t="n"/>
      <c r="M26" s="43">
        <f>IF(OR(H26="tested",H26="verified",H26="not applicable"),1,0)</f>
        <v/>
      </c>
    </row>
    <row r="27" ht="23.25" customHeight="1" s="34">
      <c r="A27" s="43" t="inlineStr">
        <is>
          <t>PTF-19</t>
        </is>
      </c>
      <c r="B27" s="43" t="inlineStr">
        <is>
          <t>Manual</t>
        </is>
      </c>
      <c r="C27" s="43" t="inlineStr">
        <is>
          <t>All parts</t>
        </is>
      </c>
      <c r="D27" s="44" t="inlineStr">
        <is>
          <t>Numbered protocol covers visual, visibility, forms, assistive technology, preferences, zoom, and RTL.</t>
        </is>
      </c>
      <c r="E27" s="43" t="inlineStr">
        <is>
          <t>human</t>
        </is>
      </c>
      <c r="F27" s="43" t="inlineStr">
        <is>
          <t>manual</t>
        </is>
      </c>
      <c r="G27" s="44" t="inlineStr">
        <is>
          <t>manual-tests/password-toggle-field.md</t>
        </is>
      </c>
      <c r="H27" s="43" t="inlineStr">
        <is>
          <t>implemented</t>
        </is>
      </c>
      <c r="I27" s="43" t="inlineStr">
        <is>
          <t>yes</t>
        </is>
      </c>
      <c r="J27" s="45" t="inlineStr">
        <is>
          <t>Implementation evidence exists; required release or human-review gate remains open.</t>
        </is>
      </c>
      <c r="K27" s="44" t="n"/>
      <c r="L27" s="43" t="n"/>
      <c r="M27" s="43">
        <f>IF(OR(H27="tested",H27="verified",H27="not applicable"),1,0)</f>
        <v/>
      </c>
    </row>
    <row r="28" ht="23.25" customHeight="1" s="34">
      <c r="A28" s="43" t="inlineStr">
        <is>
          <t>PTF-20</t>
        </is>
      </c>
      <c r="B28" s="43" t="inlineStr">
        <is>
          <t>Visual</t>
        </is>
      </c>
      <c r="C28" s="43" t="inlineStr">
        <is>
          <t>All parts</t>
        </is>
      </c>
      <c r="D28" s="44" t="inlineStr">
        <is>
          <t>Snapshots cover default, recipes, states, and mobile RTL stress.</t>
        </is>
      </c>
      <c r="E28" s="43" t="inlineStr">
        <is>
          <t>human</t>
        </is>
      </c>
      <c r="F28" s="43" t="inlineStr">
        <is>
          <t>visual</t>
        </is>
      </c>
      <c r="G28" s="44" t="inlineStr">
        <is>
          <t>tests/components/password-toggle-field/visual.spec.ts</t>
        </is>
      </c>
      <c r="H28" s="43" t="inlineStr">
        <is>
          <t>verified</t>
        </is>
      </c>
      <c r="I28" s="43" t="inlineStr">
        <is>
          <t>yes</t>
        </is>
      </c>
      <c r="J28" s="45" t="inlineStr">
        <is>
          <t>2026-07-28: owner reviewed the generated Chromium baseline and its focused visual assertion.</t>
        </is>
      </c>
      <c r="K28" s="44" t="n"/>
      <c r="L28" s="43" t="n"/>
      <c r="M28" s="43">
        <f>IF(OR(H28="tested",H28="verified",H28="not applicable"),1,0)</f>
        <v/>
      </c>
    </row>
    <row r="29" ht="23.25" customHeight="1" s="34">
      <c r="A29" s="43" t="n"/>
      <c r="B29" s="43" t="n"/>
      <c r="C29" s="43" t="n"/>
      <c r="D29" s="44" t="n"/>
      <c r="E29" s="43" t="n"/>
      <c r="F29" s="43" t="n"/>
      <c r="G29" s="44" t="n"/>
      <c r="H29" s="43" t="n"/>
      <c r="I29" s="43" t="n"/>
      <c r="J29" s="45" t="n"/>
      <c r="K29" s="44" t="n"/>
      <c r="L29" s="43" t="n"/>
      <c r="M29" s="43" t="n"/>
    </row>
    <row r="30" ht="23.25" customHeight="1" s="34">
      <c r="A30" s="43" t="n"/>
      <c r="B30" s="43" t="n"/>
      <c r="C30" s="43" t="n"/>
      <c r="D30" s="44" t="n"/>
      <c r="E30" s="43" t="n"/>
      <c r="F30" s="43" t="n"/>
      <c r="G30" s="44" t="n"/>
      <c r="H30" s="43" t="n"/>
      <c r="I30" s="43" t="n"/>
      <c r="J30" s="45" t="n"/>
      <c r="K30" s="44" t="n"/>
      <c r="L30" s="43" t="n"/>
      <c r="M30" s="43" t="n"/>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1.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Slider Evidence</t>
        </is>
      </c>
    </row>
    <row r="2" ht="27.75" customHeight="1" s="34">
      <c r="A2" s="36" t="inlineStr">
        <is>
          <t>Assertion-level Atom-backed package, browser, mobile, human-review, documentation, Consumer, form, range, and direction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SL-01</t>
        </is>
      </c>
      <c r="B9" s="43" t="inlineStr">
        <is>
          <t>Implementation</t>
        </is>
      </c>
      <c r="C9" s="43" t="inlineStr">
        <is>
          <t>Root/parts</t>
        </is>
      </c>
      <c r="D9" s="44" t="inlineStr">
        <is>
          <t>Six-part Brick adapter delegates behavior and semantics to exact installed Atom 0.20.11.</t>
        </is>
      </c>
      <c r="E9" s="43" t="inlineStr">
        <is>
          <t>package</t>
        </is>
      </c>
      <c r="F9" s="43" t="inlineStr">
        <is>
          <t>source</t>
        </is>
      </c>
      <c r="G9" s="44" t="inlineStr">
        <is>
          <t>../src/components/slider</t>
        </is>
      </c>
      <c r="H9" s="43" t="inlineStr">
        <is>
          <t>tested</t>
        </is>
      </c>
      <c r="I9" s="43" t="inlineStr">
        <is>
          <t>no</t>
        </is>
      </c>
      <c r="J9" s="45" t="inlineStr">
        <is>
          <t>Build and focused adapter suite pass.</t>
        </is>
      </c>
      <c r="K9" s="44" t="n"/>
      <c r="L9" s="43" t="n"/>
      <c r="M9" s="43">
        <f>IF(OR(H9="tested",H9="verified",H9="not applicable"),1,0)</f>
        <v/>
      </c>
    </row>
    <row r="10" ht="54" customHeight="1" s="34">
      <c r="A10" s="43" t="inlineStr">
        <is>
          <t>SL-02</t>
        </is>
      </c>
      <c r="B10" s="43" t="inlineStr">
        <is>
          <t>Anatomy</t>
        </is>
      </c>
      <c r="C10" s="43" t="inlineStr">
        <is>
          <t>All parts</t>
        </is>
      </c>
      <c r="D10" s="44" t="inlineStr">
        <is>
          <t>Root, Track, Range, Thumb, Marker, and ValueLabel are independently styled and exported.</t>
        </is>
      </c>
      <c r="E10" s="43" t="inlineStr">
        <is>
          <t>package</t>
        </is>
      </c>
      <c r="F10" s="43" t="inlineStr">
        <is>
          <t>component</t>
        </is>
      </c>
      <c r="G10" s="44" t="inlineStr">
        <is>
          <t>../test/components/slider/slider.test.tsx</t>
        </is>
      </c>
      <c r="H10" s="43" t="inlineStr">
        <is>
          <t>tested</t>
        </is>
      </c>
      <c r="I10" s="43" t="inlineStr">
        <is>
          <t>no</t>
        </is>
      </c>
      <c r="J10" s="45" t="inlineStr">
        <is>
          <t>Focused component suite passes.</t>
        </is>
      </c>
      <c r="K10" s="44" t="n"/>
      <c r="L10" s="43" t="n"/>
      <c r="M10" s="43">
        <f>IF(OR(H10="tested",H10="verified",H10="not applicable"),1,0)</f>
        <v/>
      </c>
    </row>
    <row r="11" ht="54" customHeight="1" s="34">
      <c r="A11" s="43" t="inlineStr">
        <is>
          <t>SL-03</t>
        </is>
      </c>
      <c r="B11" s="43" t="inlineStr">
        <is>
          <t>Exports</t>
        </is>
      </c>
      <c r="C11" s="43" t="inlineStr">
        <is>
          <t>Slider</t>
        </is>
      </c>
      <c r="D11" s="44" t="inlineStr">
        <is>
          <t>Root and slider subpath exports expose namespace, named parts, and public types.</t>
        </is>
      </c>
      <c r="E11" s="43" t="inlineStr">
        <is>
          <t>package</t>
        </is>
      </c>
      <c r="F11" s="43" t="inlineStr">
        <is>
          <t>package</t>
        </is>
      </c>
      <c r="G11" s="44" t="inlineStr">
        <is>
          <t>../package.json</t>
        </is>
      </c>
      <c r="H11" s="43" t="inlineStr">
        <is>
          <t>tested</t>
        </is>
      </c>
      <c r="I11" s="43" t="inlineStr">
        <is>
          <t>no</t>
        </is>
      </c>
      <c r="J11" s="45" t="inlineStr">
        <is>
          <t>Build and typecheck pass.</t>
        </is>
      </c>
      <c r="K11" s="44" t="n"/>
      <c r="L11" s="43" t="n"/>
      <c r="M11" s="43">
        <f>IF(OR(H11="tested",H11="verified",H11="not applicable"),1,0)</f>
        <v/>
      </c>
    </row>
    <row r="12" ht="54" customHeight="1" s="34">
      <c r="A12" s="43" t="inlineStr">
        <is>
          <t>SL-04</t>
        </is>
      </c>
      <c r="B12" s="43" t="inlineStr">
        <is>
          <t>Types</t>
        </is>
      </c>
      <c r="C12" s="43" t="inlineStr">
        <is>
          <t>Root/parts</t>
        </is>
      </c>
      <c r="D12" s="44" t="inlineStr">
        <is>
          <t>Closed size and variant recipes, refs, native props, marker value, and label render details type-check.</t>
        </is>
      </c>
      <c r="E12" s="43" t="inlineStr">
        <is>
          <t>package</t>
        </is>
      </c>
      <c r="F12" s="43" t="inlineStr">
        <is>
          <t>types</t>
        </is>
      </c>
      <c r="G12" s="44" t="inlineStr">
        <is>
          <t>../test/types/components/slider.test.ts</t>
        </is>
      </c>
      <c r="H12" s="43" t="inlineStr">
        <is>
          <t>tested</t>
        </is>
      </c>
      <c r="I12" s="43" t="inlineStr">
        <is>
          <t>no</t>
        </is>
      </c>
      <c r="J12" s="45" t="inlineStr">
        <is>
          <t>Focused typecheck passes.</t>
        </is>
      </c>
      <c r="K12" s="44" t="n"/>
      <c r="L12" s="43" t="n"/>
      <c r="M12" s="43">
        <f>IF(OR(H12="tested",H12="verified",H12="not applicable"),1,0)</f>
        <v/>
      </c>
    </row>
    <row r="13" ht="54" customHeight="1" s="34">
      <c r="A13" s="43" t="inlineStr">
        <is>
          <t>SL-05</t>
        </is>
      </c>
      <c r="B13" s="43" t="inlineStr">
        <is>
          <t>CSS</t>
        </is>
      </c>
      <c r="C13" s="43" t="inlineStr">
        <is>
          <t>All parts</t>
        </is>
      </c>
      <c r="D13" s="44" t="inlineStr">
        <is>
          <t>Static CSS ships horizontal/vertical geometry, RTL, states, recipes, 44px targets, and documented variables.</t>
        </is>
      </c>
      <c r="E13" s="43" t="inlineStr">
        <is>
          <t>package</t>
        </is>
      </c>
      <c r="F13" s="43" t="inlineStr">
        <is>
          <t>css</t>
        </is>
      </c>
      <c r="G13" s="44" t="inlineStr">
        <is>
          <t>../src/components/slider/slider.css</t>
        </is>
      </c>
      <c r="H13" s="43" t="inlineStr">
        <is>
          <t>tested</t>
        </is>
      </c>
      <c r="I13" s="43" t="inlineStr">
        <is>
          <t>no</t>
        </is>
      </c>
      <c r="J13" s="45" t="inlineStr">
        <is>
          <t>Production CSS build passes.</t>
        </is>
      </c>
      <c r="K13" s="44" t="n"/>
      <c r="L13" s="43" t="n"/>
      <c r="M13" s="43">
        <f>IF(OR(H13="tested",H13="verified",H13="not applicable"),1,0)</f>
        <v/>
      </c>
    </row>
    <row r="14" ht="54" customHeight="1" s="34">
      <c r="A14" s="43" t="inlineStr">
        <is>
          <t>SL-06</t>
        </is>
      </c>
      <c r="B14" s="43" t="inlineStr">
        <is>
          <t>Values</t>
        </is>
      </c>
      <c r="C14" s="43" t="inlineStr">
        <is>
          <t>Root/Thumb</t>
        </is>
      </c>
      <c r="D14" s="44" t="inlineStr">
        <is>
          <t>Single and range values expose correct values and dependent accessible bounds.</t>
        </is>
      </c>
      <c r="E14" s="43" t="inlineStr">
        <is>
          <t>browser</t>
        </is>
      </c>
      <c r="F14" s="43" t="inlineStr">
        <is>
          <t>browser</t>
        </is>
      </c>
      <c r="G14" s="44" t="inlineStr">
        <is>
          <t>tests/components/slider/behavior.spec.ts</t>
        </is>
      </c>
      <c r="H14" s="43" t="inlineStr">
        <is>
          <t>tested</t>
        </is>
      </c>
      <c r="I14" s="43" t="inlineStr">
        <is>
          <t>no</t>
        </is>
      </c>
      <c r="J14" s="45" t="inlineStr">
        <is>
          <t>Chromium behavior suite passes.</t>
        </is>
      </c>
      <c r="K14" s="44" t="n"/>
      <c r="L14" s="43" t="n"/>
      <c r="M14" s="43">
        <f>IF(OR(H14="tested",H14="verified",H14="not applicable"),1,0)</f>
        <v/>
      </c>
    </row>
    <row r="15" ht="54" customHeight="1" s="34">
      <c r="A15" s="43" t="inlineStr">
        <is>
          <t>SL-07</t>
        </is>
      </c>
      <c r="B15" s="43" t="inlineStr">
        <is>
          <t>Input</t>
        </is>
      </c>
      <c r="C15" s="43" t="inlineStr">
        <is>
          <t>Thumb</t>
        </is>
      </c>
      <c r="D15" s="44" t="inlineStr">
        <is>
          <t>Keyboard, click, drag, native touch, cancellation, capture loss, vertical, and direction-aware RTL input remain stable.</t>
        </is>
      </c>
      <c r="E15" s="43" t="inlineStr">
        <is>
          <t>browser</t>
        </is>
      </c>
      <c r="F15" s="43" t="inlineStr">
        <is>
          <t>browser</t>
        </is>
      </c>
      <c r="G15" s="44" t="inlineStr">
        <is>
          <t>tests/components/slider/behavior.spec.ts</t>
        </is>
      </c>
      <c r="H15" s="43" t="inlineStr">
        <is>
          <t>tested</t>
        </is>
      </c>
      <c r="I15" s="43" t="inlineStr">
        <is>
          <t>no</t>
        </is>
      </c>
      <c r="J15" s="45" t="inlineStr">
        <is>
          <t>Cross-browser pointer/capture and native mobile Chromium touch regressions pass against published Atom 0.20.11.</t>
        </is>
      </c>
      <c r="K15" s="44" t="n"/>
      <c r="L15" s="43" t="n"/>
      <c r="M15" s="43">
        <f>IF(OR(H15="tested",H15="verified",H15="not applicable"),1,0)</f>
        <v/>
      </c>
    </row>
    <row r="16" ht="54" customHeight="1" s="34">
      <c r="A16" s="43" t="inlineStr">
        <is>
          <t>SL-08</t>
        </is>
      </c>
      <c r="B16" s="43" t="inlineStr">
        <is>
          <t>Field/forms</t>
        </is>
      </c>
      <c r="C16" s="43" t="inlineStr">
        <is>
          <t>Root</t>
        </is>
      </c>
      <c r="D16" s="44" t="inlineStr">
        <is>
          <t>Standalone and Field state, one label, hidden named values, submit, and reset contracts are implemented.</t>
        </is>
      </c>
      <c r="E16" s="43" t="inlineStr">
        <is>
          <t>package</t>
        </is>
      </c>
      <c r="F16" s="43" t="inlineStr">
        <is>
          <t>component</t>
        </is>
      </c>
      <c r="G16" s="44" t="inlineStr">
        <is>
          <t>../test/components/slider/slider.test.tsx</t>
        </is>
      </c>
      <c r="H16" s="43" t="inlineStr">
        <is>
          <t>tested</t>
        </is>
      </c>
      <c r="I16" s="43" t="inlineStr">
        <is>
          <t>no</t>
        </is>
      </c>
      <c r="J16" s="45" t="inlineStr">
        <is>
          <t>Component and Consumer builds pass.</t>
        </is>
      </c>
      <c r="K16" s="44" t="n"/>
      <c r="L16" s="43" t="n"/>
      <c r="M16" s="43">
        <f>IF(OR(H16="tested",H16="verified",H16="not applicable"),1,0)</f>
        <v/>
      </c>
    </row>
    <row r="17" ht="54" customHeight="1" s="34">
      <c r="A17" s="43" t="inlineStr">
        <is>
          <t>SL-09</t>
        </is>
      </c>
      <c r="B17" s="43" t="inlineStr">
        <is>
          <t>Recipes</t>
        </is>
      </c>
      <c r="C17" s="43" t="inlineStr">
        <is>
          <t>Root</t>
        </is>
      </c>
      <c r="D17" s="44" t="inlineStr">
        <is>
          <t>sm, md, lg and solid, soft recipes preserve interaction geometry.</t>
        </is>
      </c>
      <c r="E17" s="43" t="inlineStr">
        <is>
          <t>browser</t>
        </is>
      </c>
      <c r="F17" s="43" t="inlineStr">
        <is>
          <t>browser</t>
        </is>
      </c>
      <c r="G17" s="44" t="inlineStr">
        <is>
          <t>tests/components/slider/behavior.spec.ts</t>
        </is>
      </c>
      <c r="H17" s="43" t="inlineStr">
        <is>
          <t>tested</t>
        </is>
      </c>
      <c r="I17" s="43" t="inlineStr">
        <is>
          <t>no</t>
        </is>
      </c>
      <c r="J17" s="45" t="inlineStr">
        <is>
          <t>Recipe assertions pass.</t>
        </is>
      </c>
      <c r="K17" s="44" t="n"/>
      <c r="L17" s="43" t="n"/>
      <c r="M17" s="43">
        <f>IF(OR(H17="tested",H17="verified",H17="not applicable"),1,0)</f>
        <v/>
      </c>
    </row>
    <row r="18" ht="54" customHeight="1" s="34">
      <c r="A18" s="43" t="inlineStr">
        <is>
          <t>SL-10</t>
        </is>
      </c>
      <c r="B18" s="43" t="inlineStr">
        <is>
          <t>Content</t>
        </is>
      </c>
      <c r="C18" s="43" t="inlineStr">
        <is>
          <t>Marker/ValueLabel</t>
        </is>
      </c>
      <c r="D18" s="44" t="inlineStr">
        <is>
          <t>Markers position from authored values and value labels render default or formatted details decoratively.</t>
        </is>
      </c>
      <c r="E18" s="43" t="inlineStr">
        <is>
          <t>package</t>
        </is>
      </c>
      <c r="F18" s="43" t="inlineStr">
        <is>
          <t>component</t>
        </is>
      </c>
      <c r="G18" s="44" t="inlineStr">
        <is>
          <t>../test/components/slider/slider.test.tsx</t>
        </is>
      </c>
      <c r="H18" s="43" t="inlineStr">
        <is>
          <t>tested</t>
        </is>
      </c>
      <c r="I18" s="43" t="inlineStr">
        <is>
          <t>no</t>
        </is>
      </c>
      <c r="J18" s="45" t="inlineStr">
        <is>
          <t>Focused assertions pass.</t>
        </is>
      </c>
      <c r="K18" s="44" t="n"/>
      <c r="L18" s="43" t="n"/>
      <c r="M18" s="43">
        <f>IF(OR(H18="tested",H18="verified",H18="not applicable"),1,0)</f>
        <v/>
      </c>
    </row>
    <row r="19" ht="54" customHeight="1" s="34">
      <c r="A19" s="43" t="inlineStr">
        <is>
          <t>SL-11</t>
        </is>
      </c>
      <c r="B19" s="43" t="inlineStr">
        <is>
          <t>Appearance</t>
        </is>
      </c>
      <c r="C19" s="43" t="inlineStr">
        <is>
          <t>All parts</t>
        </is>
      </c>
      <c r="D19" s="44" t="inlineStr">
        <is>
          <t>Light, dark, customization, invalid, disabled, read-only, and required paint remain distinct.</t>
        </is>
      </c>
      <c r="E19" s="43" t="inlineStr">
        <is>
          <t>human</t>
        </is>
      </c>
      <c r="F19" s="43" t="inlineStr">
        <is>
          <t>visual</t>
        </is>
      </c>
      <c r="G19" s="44" t="inlineStr">
        <is>
          <t>tests/components/slider/visual.spec.ts</t>
        </is>
      </c>
      <c r="H19" s="43" t="inlineStr">
        <is>
          <t>verified</t>
        </is>
      </c>
      <c r="I19" s="43" t="inlineStr">
        <is>
          <t>yes</t>
        </is>
      </c>
      <c r="J19" s="45" t="inlineStr">
        <is>
          <t>Owner accepted the corrected live appearance; Chromium visual baselines and preference-state evidence pass.</t>
        </is>
      </c>
      <c r="K19" s="44" t="n"/>
      <c r="L19" s="43" t="n"/>
      <c r="M19" s="43">
        <f>IF(OR(H19="tested",H19="verified",H19="not applicable"),1,0)</f>
        <v/>
      </c>
    </row>
    <row r="20" ht="54" customHeight="1" s="34">
      <c r="A20" s="43" t="inlineStr">
        <is>
          <t>SL-12</t>
        </is>
      </c>
      <c r="B20" s="43" t="inlineStr">
        <is>
          <t>Responsive</t>
        </is>
      </c>
      <c r="C20" s="43" t="inlineStr">
        <is>
          <t>Root/Track</t>
        </is>
      </c>
      <c r="D20" s="44" t="inlineStr">
        <is>
          <t>Narrow, long-label, vertical, RTL, mobile, zoom, reduced-motion, and forced-color layouts remain contained.</t>
        </is>
      </c>
      <c r="E20" s="43" t="inlineStr">
        <is>
          <t>human</t>
        </is>
      </c>
      <c r="F20" s="43" t="inlineStr">
        <is>
          <t>visual</t>
        </is>
      </c>
      <c r="G20" s="44" t="inlineStr">
        <is>
          <t>tests/components/slider/visual.spec.ts</t>
        </is>
      </c>
      <c r="H20" s="43" t="inlineStr">
        <is>
          <t>verified</t>
        </is>
      </c>
      <c r="I20" s="43" t="inlineStr">
        <is>
          <t>yes</t>
        </is>
      </c>
      <c r="J20" s="45" t="inlineStr">
        <is>
          <t>Owner mobile/LAN review and automated narrow, vertical, RTL, zoom, motion, and forced-color evidence pass.</t>
        </is>
      </c>
      <c r="K20" s="44" t="n"/>
      <c r="L20" s="43" t="n"/>
      <c r="M20" s="43">
        <f>IF(OR(H20="tested",H20="verified",H20="not applicable"),1,0)</f>
        <v/>
      </c>
    </row>
    <row r="21" ht="54" customHeight="1" s="34">
      <c r="A21" s="43" t="inlineStr">
        <is>
          <t>SL-13</t>
        </is>
      </c>
      <c r="B21" s="43" t="inlineStr">
        <is>
          <t>Accessibility</t>
        </is>
      </c>
      <c r="C21" s="43" t="inlineStr">
        <is>
          <t>Thumb</t>
        </is>
      </c>
      <c r="D21" s="44" t="inlineStr">
        <is>
          <t>Axe passes; every thumb exposes one named slider with value, bounds, orientation, and inherited state.</t>
        </is>
      </c>
      <c r="E21" s="43" t="inlineStr">
        <is>
          <t>browser</t>
        </is>
      </c>
      <c r="F21" s="43" t="inlineStr">
        <is>
          <t>axe</t>
        </is>
      </c>
      <c r="G21" s="44" t="inlineStr">
        <is>
          <t>tests/components/slider/behavior.spec.ts</t>
        </is>
      </c>
      <c r="H21" s="43" t="inlineStr">
        <is>
          <t>tested</t>
        </is>
      </c>
      <c r="I21" s="43" t="inlineStr">
        <is>
          <t>no</t>
        </is>
      </c>
      <c r="J21" s="45" t="inlineStr">
        <is>
          <t>Chromium axe and semantic assertions pass.</t>
        </is>
      </c>
      <c r="K21" s="44" t="n"/>
      <c r="L21" s="43" t="n"/>
      <c r="M21" s="43">
        <f>IF(OR(H21="tested",H21="verified",H21="not applicable"),1,0)</f>
        <v/>
      </c>
    </row>
    <row r="22" ht="54" customHeight="1" s="34">
      <c r="A22" s="43" t="inlineStr">
        <is>
          <t>SL-14</t>
        </is>
      </c>
      <c r="B22" s="43" t="inlineStr">
        <is>
          <t>Manual</t>
        </is>
      </c>
      <c r="C22" s="43" t="inlineStr">
        <is>
          <t>Slider</t>
        </is>
      </c>
      <c r="D22" s="44" t="inlineStr">
        <is>
          <t>Numbered 01-09 review protocol covers pointer, touch, keyboard, forms, AT, preferences, and stress.</t>
        </is>
      </c>
      <c r="E22" s="43" t="inlineStr">
        <is>
          <t>human</t>
        </is>
      </c>
      <c r="F22" s="43" t="inlineStr">
        <is>
          <t>manual</t>
        </is>
      </c>
      <c r="G22" s="44" t="inlineStr">
        <is>
          <t>manual-tests/slider.md</t>
        </is>
      </c>
      <c r="H22" s="43" t="inlineStr">
        <is>
          <t>implemented</t>
        </is>
      </c>
      <c r="I22" s="43" t="inlineStr">
        <is>
          <t>yes</t>
        </is>
      </c>
      <c r="J22" s="45" t="inlineStr">
        <is>
          <t>Protocol is current; its complete numbered execution remains the only open Slider requirement.</t>
        </is>
      </c>
      <c r="K22" s="44" t="n"/>
      <c r="L22" s="43" t="n"/>
      <c r="M22" s="43">
        <f>IF(OR(H22="tested",H22="verified",H22="not applicable"),1,0)</f>
        <v/>
      </c>
    </row>
    <row r="23" ht="54" customHeight="1" s="34">
      <c r="A23" s="43" t="inlineStr">
        <is>
          <t>SL-15</t>
        </is>
      </c>
      <c r="B23" s="43" t="inlineStr">
        <is>
          <t>Documentation</t>
        </is>
      </c>
      <c r="C23" s="43" t="inlineStr">
        <is>
          <t>Slider</t>
        </is>
      </c>
      <c r="D23" s="44" t="inlineStr">
        <is>
          <t>Public guide and component changelog document anatomy, recipes, forms, accessibility, tokens, and evidence.</t>
        </is>
      </c>
      <c r="E23" s="43" t="inlineStr">
        <is>
          <t>package</t>
        </is>
      </c>
      <c r="F23" s="43" t="inlineStr">
        <is>
          <t>docs</t>
        </is>
      </c>
      <c r="G23" s="44" t="inlineStr">
        <is>
          <t>../docs/components/slider/README.md</t>
        </is>
      </c>
      <c r="H23" s="43" t="inlineStr">
        <is>
          <t>tested</t>
        </is>
      </c>
      <c r="I23" s="43" t="inlineStr">
        <is>
          <t>no</t>
        </is>
      </c>
      <c r="J23" s="45" t="inlineStr">
        <is>
          <t>Documentation verification passes.</t>
        </is>
      </c>
      <c r="K23" s="44" t="n"/>
      <c r="L23" s="43" t="n"/>
      <c r="M23" s="43">
        <f>IF(OR(H23="tested",H23="verified",H23="not applicable"),1,0)</f>
        <v/>
      </c>
    </row>
    <row r="24" ht="54" customHeight="1" s="34">
      <c r="A24" s="43" t="inlineStr">
        <is>
          <t>SL-16</t>
        </is>
      </c>
      <c r="B24" s="43" t="inlineStr">
        <is>
          <t>Consumer</t>
        </is>
      </c>
      <c r="C24" s="43" t="inlineStr">
        <is>
          <t>Root/parts</t>
        </is>
      </c>
      <c r="D24" s="44" t="inlineStr">
        <is>
          <t>Packed public slider subpath composes a labelled named preference control in Consumer.</t>
        </is>
      </c>
      <c r="E24" s="43" t="inlineStr">
        <is>
          <t>consumer</t>
        </is>
      </c>
      <c r="F24" s="43" t="inlineStr">
        <is>
          <t>consumer</t>
        </is>
      </c>
      <c r="G24" s="44" t="inlineStr">
        <is>
          <t>../apps/consumer/src/App.tsx</t>
        </is>
      </c>
      <c r="H24" s="43" t="inlineStr">
        <is>
          <t>tested</t>
        </is>
      </c>
      <c r="I24" s="43" t="inlineStr">
        <is>
          <t>no</t>
        </is>
      </c>
      <c r="J24" s="45" t="inlineStr">
        <is>
          <t>Packed package and Consumer verification pass in the full release gate.</t>
        </is>
      </c>
      <c r="K24" s="44" t="n"/>
      <c r="L24" s="43" t="n"/>
      <c r="M24" s="43">
        <f>IF(OR(H24="tested",H24="verified",H24="not applicable"),1,0)</f>
        <v/>
      </c>
    </row>
    <row r="25" ht="23.25" customHeight="1" s="34">
      <c r="A25" s="43" t="n"/>
      <c r="B25" s="43" t="n"/>
      <c r="C25" s="43" t="n"/>
      <c r="D25" s="44" t="n"/>
      <c r="E25" s="43" t="n"/>
      <c r="F25" s="43" t="n"/>
      <c r="G25" s="44" t="n"/>
      <c r="H25" s="43" t="n"/>
      <c r="I25" s="43" t="n"/>
      <c r="J25" s="45" t="n"/>
      <c r="K25" s="44" t="n"/>
      <c r="L25" s="43" t="n"/>
      <c r="M25" s="43" t="n"/>
    </row>
    <row r="26" ht="23.25" customHeight="1" s="34">
      <c r="A26" s="43" t="n"/>
      <c r="B26" s="43" t="n"/>
      <c r="C26" s="43" t="n"/>
      <c r="D26" s="44" t="n"/>
      <c r="E26" s="43" t="n"/>
      <c r="F26" s="43" t="n"/>
      <c r="G26" s="44" t="n"/>
      <c r="H26" s="43" t="n"/>
      <c r="I26" s="43" t="n"/>
      <c r="J26" s="45" t="n"/>
      <c r="K26" s="44" t="n"/>
      <c r="L26" s="43" t="n"/>
      <c r="M26" s="43" t="n"/>
    </row>
    <row r="27" ht="23.25" customHeight="1" s="34">
      <c r="A27" s="43" t="n"/>
      <c r="B27" s="43" t="n"/>
      <c r="C27" s="43" t="n"/>
      <c r="D27" s="44" t="n"/>
      <c r="E27" s="43" t="n"/>
      <c r="F27" s="43" t="n"/>
      <c r="G27" s="44" t="n"/>
      <c r="H27" s="43" t="n"/>
      <c r="I27" s="43" t="n"/>
      <c r="J27" s="45" t="n"/>
      <c r="K27" s="44" t="n"/>
      <c r="L27" s="43" t="n"/>
      <c r="M27" s="43" t="n"/>
    </row>
    <row r="28" ht="23.25" customHeight="1" s="34">
      <c r="A28" s="43" t="n"/>
      <c r="B28" s="43" t="n"/>
      <c r="C28" s="43" t="n"/>
      <c r="D28" s="44" t="n"/>
      <c r="E28" s="43" t="n"/>
      <c r="F28" s="43" t="n"/>
      <c r="G28" s="44" t="n"/>
      <c r="H28" s="43" t="n"/>
      <c r="I28" s="43" t="n"/>
      <c r="J28" s="45" t="n"/>
      <c r="K28" s="44" t="n"/>
      <c r="L28" s="43" t="n"/>
      <c r="M28" s="43" t="n"/>
    </row>
    <row r="29" ht="23.25" customHeight="1" s="34">
      <c r="A29" s="43" t="n"/>
      <c r="B29" s="43" t="n"/>
      <c r="C29" s="43" t="n"/>
      <c r="D29" s="44" t="n"/>
      <c r="E29" s="43" t="n"/>
      <c r="F29" s="43" t="n"/>
      <c r="G29" s="44" t="n"/>
      <c r="H29" s="43" t="n"/>
      <c r="I29" s="43" t="n"/>
      <c r="J29" s="45" t="n"/>
      <c r="K29" s="44" t="n"/>
      <c r="L29" s="43" t="n"/>
      <c r="M29" s="43" t="n"/>
    </row>
    <row r="30" ht="23.25" customHeight="1" s="34">
      <c r="A30" s="43" t="n"/>
      <c r="B30" s="43" t="n"/>
      <c r="C30" s="43" t="n"/>
      <c r="D30" s="44" t="n"/>
      <c r="E30" s="43" t="n"/>
      <c r="F30" s="43" t="n"/>
      <c r="G30" s="44" t="n"/>
      <c r="H30" s="43" t="n"/>
      <c r="I30" s="43" t="n"/>
      <c r="J30" s="45" t="n"/>
      <c r="K30" s="44" t="n"/>
      <c r="L30" s="43" t="n"/>
      <c r="M30" s="43" t="n"/>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0" showErrorMessage="0" allowBlank="0" type="list" errorStyle="stop" operator="between">
      <formula1>"not started,partial,implemented,tested,verified,blocked,not applicable"</formula1>
      <formula2>0</formula2>
    </dataValidation>
    <dataValidation sqref="I9:I24"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2.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Rating Evidence</t>
        </is>
      </c>
    </row>
    <row r="2" ht="27.75" customHeight="1" s="34">
      <c r="A2" s="36" t="inlineStr">
        <is>
          <t>Assertion-level Atom-backed package, browser, mobile, human-review, documentation, Consumer, form, precision, and artwork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RT-01</t>
        </is>
      </c>
      <c r="B9" s="43" t="inlineStr">
        <is>
          <t>Implementation</t>
        </is>
      </c>
      <c r="C9" s="43" t="inlineStr">
        <is>
          <t>Root/Item</t>
        </is>
      </c>
      <c r="D9" s="44" t="inlineStr">
        <is>
          <t>Two-part Brick adapter delegates behavior and semantics to exact installed Atom 0.20.11.</t>
        </is>
      </c>
      <c r="E9" s="43" t="inlineStr">
        <is>
          <t>package</t>
        </is>
      </c>
      <c r="F9" s="43" t="inlineStr">
        <is>
          <t>source</t>
        </is>
      </c>
      <c r="G9" s="44" t="inlineStr">
        <is>
          <t>../src/components/rating</t>
        </is>
      </c>
      <c r="H9" s="43" t="inlineStr">
        <is>
          <t>tested</t>
        </is>
      </c>
      <c r="I9" s="43" t="inlineStr">
        <is>
          <t>no</t>
        </is>
      </c>
      <c r="J9" s="45" t="inlineStr">
        <is>
          <t>Build and focused adapter suite pass.</t>
        </is>
      </c>
      <c r="K9" s="44" t="n"/>
      <c r="L9" s="43" t="n"/>
      <c r="M9" s="43">
        <f>IF(OR(H9="tested",H9="verified",H9="not applicable"),1,0)</f>
        <v/>
      </c>
    </row>
    <row r="10" ht="54" customHeight="1" s="34">
      <c r="A10" s="43" t="inlineStr">
        <is>
          <t>RT-02</t>
        </is>
      </c>
      <c r="B10" s="43" t="inlineStr">
        <is>
          <t>Anatomy</t>
        </is>
      </c>
      <c r="C10" s="43" t="inlineStr">
        <is>
          <t>Root/Item</t>
        </is>
      </c>
      <c r="D10" s="44" t="inlineStr">
        <is>
          <t>Root and Item are styled/exported; empty and proportional fill artwork layers remain private.</t>
        </is>
      </c>
      <c r="E10" s="43" t="inlineStr">
        <is>
          <t>package</t>
        </is>
      </c>
      <c r="F10" s="43" t="inlineStr">
        <is>
          <t>component</t>
        </is>
      </c>
      <c r="G10" s="44" t="inlineStr">
        <is>
          <t>../test/components/rating/rating.test.tsx</t>
        </is>
      </c>
      <c r="H10" s="43" t="inlineStr">
        <is>
          <t>tested</t>
        </is>
      </c>
      <c r="I10" s="43" t="inlineStr">
        <is>
          <t>no</t>
        </is>
      </c>
      <c r="J10" s="45" t="inlineStr">
        <is>
          <t>Focused component suite passes.</t>
        </is>
      </c>
      <c r="K10" s="44" t="n"/>
      <c r="L10" s="43" t="n"/>
      <c r="M10" s="43">
        <f>IF(OR(H10="tested",H10="verified",H10="not applicable"),1,0)</f>
        <v/>
      </c>
    </row>
    <row r="11" ht="54" customHeight="1" s="34">
      <c r="A11" s="43" t="inlineStr">
        <is>
          <t>RT-03</t>
        </is>
      </c>
      <c r="B11" s="43" t="inlineStr">
        <is>
          <t>Exports</t>
        </is>
      </c>
      <c r="C11" s="43" t="inlineStr">
        <is>
          <t>Rating</t>
        </is>
      </c>
      <c r="D11" s="44" t="inlineStr">
        <is>
          <t>Root and rating subpath exports expose namespace, named parts, and public types.</t>
        </is>
      </c>
      <c r="E11" s="43" t="inlineStr">
        <is>
          <t>package</t>
        </is>
      </c>
      <c r="F11" s="43" t="inlineStr">
        <is>
          <t>package</t>
        </is>
      </c>
      <c r="G11" s="44" t="inlineStr">
        <is>
          <t>../package.json</t>
        </is>
      </c>
      <c r="H11" s="43" t="inlineStr">
        <is>
          <t>tested</t>
        </is>
      </c>
      <c r="I11" s="43" t="inlineStr">
        <is>
          <t>no</t>
        </is>
      </c>
      <c r="J11" s="45" t="inlineStr">
        <is>
          <t>Build and typecheck pass.</t>
        </is>
      </c>
      <c r="K11" s="44" t="n"/>
      <c r="L11" s="43" t="n"/>
      <c r="M11" s="43">
        <f>IF(OR(H11="tested",H11="verified",H11="not applicable"),1,0)</f>
        <v/>
      </c>
    </row>
    <row r="12" ht="54" customHeight="1" s="34">
      <c r="A12" s="43" t="inlineStr">
        <is>
          <t>RT-04</t>
        </is>
      </c>
      <c r="B12" s="43" t="inlineStr">
        <is>
          <t>Types</t>
        </is>
      </c>
      <c r="C12" s="43" t="inlineStr">
        <is>
          <t>Root/Item</t>
        </is>
      </c>
      <c r="D12" s="44" t="inlineStr">
        <is>
          <t>Closed size, tone, and variant recipes, refs, native props, and required item values type-check.</t>
        </is>
      </c>
      <c r="E12" s="43" t="inlineStr">
        <is>
          <t>package</t>
        </is>
      </c>
      <c r="F12" s="43" t="inlineStr">
        <is>
          <t>types</t>
        </is>
      </c>
      <c r="G12" s="44" t="inlineStr">
        <is>
          <t>../test/types/components/rating.test.ts</t>
        </is>
      </c>
      <c r="H12" s="43" t="inlineStr">
        <is>
          <t>tested</t>
        </is>
      </c>
      <c r="I12" s="43" t="inlineStr">
        <is>
          <t>no</t>
        </is>
      </c>
      <c r="J12" s="45" t="inlineStr">
        <is>
          <t>Focused typecheck passes.</t>
        </is>
      </c>
      <c r="K12" s="44" t="n"/>
      <c r="L12" s="43" t="n"/>
      <c r="M12" s="43">
        <f>IF(OR(H12="tested",H12="verified",H12="not applicable"),1,0)</f>
        <v/>
      </c>
    </row>
    <row r="13" ht="54" customHeight="1" s="34">
      <c r="A13" s="43" t="inlineStr">
        <is>
          <t>RT-05</t>
        </is>
      </c>
      <c r="B13" s="43" t="inlineStr">
        <is>
          <t>CSS</t>
        </is>
      </c>
      <c r="C13" s="43" t="inlineStr">
        <is>
          <t>Root/Item</t>
        </is>
      </c>
      <c r="D13" s="44" t="inlineStr">
        <is>
          <t>Static CSS ships proportional fill, RTL, states, recipes, 44px targets, preferences, and documented variables.</t>
        </is>
      </c>
      <c r="E13" s="43" t="inlineStr">
        <is>
          <t>package</t>
        </is>
      </c>
      <c r="F13" s="43" t="inlineStr">
        <is>
          <t>css</t>
        </is>
      </c>
      <c r="G13" s="44" t="inlineStr">
        <is>
          <t>../src/components/rating/rating.css</t>
        </is>
      </c>
      <c r="H13" s="43" t="inlineStr">
        <is>
          <t>tested</t>
        </is>
      </c>
      <c r="I13" s="43" t="inlineStr">
        <is>
          <t>no</t>
        </is>
      </c>
      <c r="J13" s="45" t="inlineStr">
        <is>
          <t>Production CSS build passes.</t>
        </is>
      </c>
      <c r="K13" s="44" t="n"/>
      <c r="L13" s="43" t="n"/>
      <c r="M13" s="43">
        <f>IF(OR(H13="tested",H13="verified",H13="not applicable"),1,0)</f>
        <v/>
      </c>
    </row>
    <row r="14" ht="54" customHeight="1" s="34">
      <c r="A14" s="43" t="inlineStr">
        <is>
          <t>RT-06</t>
        </is>
      </c>
      <c r="B14" s="43" t="inlineStr">
        <is>
          <t>Semantics</t>
        </is>
      </c>
      <c r="C14" s="43" t="inlineStr">
        <is>
          <t>Root</t>
        </is>
      </c>
      <c r="D14" s="44" t="inlineStr">
        <is>
          <t>Five decorative items expose one focusable slider with numeric and human-readable value text.</t>
        </is>
      </c>
      <c r="E14" s="43" t="inlineStr">
        <is>
          <t>browser</t>
        </is>
      </c>
      <c r="F14" s="43" t="inlineStr">
        <is>
          <t>browser</t>
        </is>
      </c>
      <c r="G14" s="44" t="inlineStr">
        <is>
          <t>tests/components/rating/behavior.spec.ts</t>
        </is>
      </c>
      <c r="H14" s="43" t="inlineStr">
        <is>
          <t>tested</t>
        </is>
      </c>
      <c r="I14" s="43" t="inlineStr">
        <is>
          <t>no</t>
        </is>
      </c>
      <c r="J14" s="45" t="inlineStr">
        <is>
          <t>Chromium semantics suite passes.</t>
        </is>
      </c>
      <c r="K14" s="44" t="n"/>
      <c r="L14" s="43" t="n"/>
      <c r="M14" s="43">
        <f>IF(OR(H14="tested",H14="verified",H14="not applicable"),1,0)</f>
        <v/>
      </c>
    </row>
    <row r="15" ht="54" customHeight="1" s="34">
      <c r="A15" s="43" t="inlineStr">
        <is>
          <t>RT-07</t>
        </is>
      </c>
      <c r="B15" s="43" t="inlineStr">
        <is>
          <t>Precision</t>
        </is>
      </c>
      <c r="C15" s="43" t="inlineStr">
        <is>
          <t>Root/Item</t>
        </is>
      </c>
      <c r="D15" s="44" t="inlineStr">
        <is>
          <t>Integer and half-step values produce correct full, partial, and empty item fill.</t>
        </is>
      </c>
      <c r="E15" s="43" t="inlineStr">
        <is>
          <t>browser</t>
        </is>
      </c>
      <c r="F15" s="43" t="inlineStr">
        <is>
          <t>browser</t>
        </is>
      </c>
      <c r="G15" s="44" t="inlineStr">
        <is>
          <t>tests/components/rating/behavior.spec.ts</t>
        </is>
      </c>
      <c r="H15" s="43" t="inlineStr">
        <is>
          <t>tested</t>
        </is>
      </c>
      <c r="I15" s="43" t="inlineStr">
        <is>
          <t>no</t>
        </is>
      </c>
      <c r="J15" s="45" t="inlineStr">
        <is>
          <t>Fractional browser and component assertions pass.</t>
        </is>
      </c>
      <c r="K15" s="44" t="n"/>
      <c r="L15" s="43" t="n"/>
      <c r="M15" s="43">
        <f>IF(OR(H15="tested",H15="verified",H15="not applicable"),1,0)</f>
        <v/>
      </c>
    </row>
    <row r="16" ht="54" customHeight="1" s="34">
      <c r="A16" s="43" t="inlineStr">
        <is>
          <t>RT-08</t>
        </is>
      </c>
      <c r="B16" s="43" t="inlineStr">
        <is>
          <t>Input</t>
        </is>
      </c>
      <c r="C16" s="43" t="inlineStr">
        <is>
          <t>Root</t>
        </is>
      </c>
      <c r="D16" s="44" t="inlineStr">
        <is>
          <t>Keyboard, stable repeat activation, opt-in clearing, cross-item drag, native touch, capture loss, fractional segments, and RTL input work.</t>
        </is>
      </c>
      <c r="E16" s="43" t="inlineStr">
        <is>
          <t>browser</t>
        </is>
      </c>
      <c r="F16" s="43" t="inlineStr">
        <is>
          <t>browser</t>
        </is>
      </c>
      <c r="G16" s="44" t="inlineStr">
        <is>
          <t>tests/components/rating/behavior.spec.ts</t>
        </is>
      </c>
      <c r="H16" s="43" t="inlineStr">
        <is>
          <t>tested</t>
        </is>
      </c>
      <c r="I16" s="43" t="inlineStr">
        <is>
          <t>no</t>
        </is>
      </c>
      <c r="J16" s="45" t="inlineStr">
        <is>
          <t>The complete desktop/mobile browser matrix passes against published Atom 0.20.11, including allowClear and capture regressions.</t>
        </is>
      </c>
      <c r="K16" s="44" t="n"/>
      <c r="L16" s="43" t="n"/>
      <c r="M16" s="43">
        <f>IF(OR(H16="tested",H16="verified",H16="not applicable"),1,0)</f>
        <v/>
      </c>
    </row>
    <row r="17" ht="54" customHeight="1" s="34">
      <c r="A17" s="43" t="inlineStr">
        <is>
          <t>RT-09</t>
        </is>
      </c>
      <c r="B17" s="43" t="inlineStr">
        <is>
          <t>Field/forms</t>
        </is>
      </c>
      <c r="C17" s="43" t="inlineStr">
        <is>
          <t>Root</t>
        </is>
      </c>
      <c r="D17" s="44" t="inlineStr">
        <is>
          <t>Standalone and Field state, one label, hidden scalar value, submit, reset, and focusable read-only contracts are implemented.</t>
        </is>
      </c>
      <c r="E17" s="43" t="inlineStr">
        <is>
          <t>package</t>
        </is>
      </c>
      <c r="F17" s="43" t="inlineStr">
        <is>
          <t>component</t>
        </is>
      </c>
      <c r="G17" s="44" t="inlineStr">
        <is>
          <t>../test/components/rating/rating.test.tsx</t>
        </is>
      </c>
      <c r="H17" s="43" t="inlineStr">
        <is>
          <t>tested</t>
        </is>
      </c>
      <c r="I17" s="43" t="inlineStr">
        <is>
          <t>no</t>
        </is>
      </c>
      <c r="J17" s="45" t="inlineStr">
        <is>
          <t>Component and Consumer builds pass.</t>
        </is>
      </c>
      <c r="K17" s="44" t="n"/>
      <c r="L17" s="43" t="n"/>
      <c r="M17" s="43">
        <f>IF(OR(H17="tested",H17="verified",H17="not applicable"),1,0)</f>
        <v/>
      </c>
    </row>
    <row r="18" ht="54" customHeight="1" s="34">
      <c r="A18" s="43" t="inlineStr">
        <is>
          <t>RT-10</t>
        </is>
      </c>
      <c r="B18" s="43" t="inlineStr">
        <is>
          <t>Recipes</t>
        </is>
      </c>
      <c r="C18" s="43" t="inlineStr">
        <is>
          <t>Root</t>
        </is>
      </c>
      <c r="D18" s="44" t="inlineStr">
        <is>
          <t>Three sizes, two tones, and solid/outline variants preserve one interaction model.</t>
        </is>
      </c>
      <c r="E18" s="43" t="inlineStr">
        <is>
          <t>browser</t>
        </is>
      </c>
      <c r="F18" s="43" t="inlineStr">
        <is>
          <t>browser</t>
        </is>
      </c>
      <c r="G18" s="44" t="inlineStr">
        <is>
          <t>tests/components/rating/behavior.spec.ts</t>
        </is>
      </c>
      <c r="H18" s="43" t="inlineStr">
        <is>
          <t>tested</t>
        </is>
      </c>
      <c r="I18" s="43" t="inlineStr">
        <is>
          <t>no</t>
        </is>
      </c>
      <c r="J18" s="45" t="inlineStr">
        <is>
          <t>Recipe assertions pass.</t>
        </is>
      </c>
      <c r="K18" s="44" t="n"/>
      <c r="L18" s="43" t="n"/>
      <c r="M18" s="43">
        <f>IF(OR(H18="tested",H18="verified",H18="not applicable"),1,0)</f>
        <v/>
      </c>
    </row>
    <row r="19" ht="54" customHeight="1" s="34">
      <c r="A19" s="43" t="inlineStr">
        <is>
          <t>RT-11</t>
        </is>
      </c>
      <c r="B19" s="43" t="inlineStr">
        <is>
          <t>Artwork</t>
        </is>
      </c>
      <c r="C19" s="43" t="inlineStr">
        <is>
          <t>Item</t>
        </is>
      </c>
      <c r="D19" s="44" t="inlineStr">
        <is>
          <t>Default stars and consumer-provided decorative artwork receive identical proportional layers.</t>
        </is>
      </c>
      <c r="E19" s="43" t="inlineStr">
        <is>
          <t>package</t>
        </is>
      </c>
      <c r="F19" s="43" t="inlineStr">
        <is>
          <t>component</t>
        </is>
      </c>
      <c r="G19" s="44" t="inlineStr">
        <is>
          <t>../test/components/rating/rating.test.tsx</t>
        </is>
      </c>
      <c r="H19" s="43" t="inlineStr">
        <is>
          <t>tested</t>
        </is>
      </c>
      <c r="I19" s="43" t="inlineStr">
        <is>
          <t>no</t>
        </is>
      </c>
      <c r="J19" s="45" t="inlineStr">
        <is>
          <t>Default and custom artwork assertions pass.</t>
        </is>
      </c>
      <c r="K19" s="44" t="n"/>
      <c r="L19" s="43" t="n"/>
      <c r="M19" s="43">
        <f>IF(OR(H19="tested",H19="verified",H19="not applicable"),1,0)</f>
        <v/>
      </c>
    </row>
    <row r="20" ht="54" customHeight="1" s="34">
      <c r="A20" s="43" t="inlineStr">
        <is>
          <t>RT-12</t>
        </is>
      </c>
      <c r="B20" s="43" t="inlineStr">
        <is>
          <t>Appearance</t>
        </is>
      </c>
      <c r="C20" s="43" t="inlineStr">
        <is>
          <t>Root/Item</t>
        </is>
      </c>
      <c r="D20" s="44" t="inlineStr">
        <is>
          <t>Light, dark, customization, invalid, disabled, read-only, and required paint remain distinct.</t>
        </is>
      </c>
      <c r="E20" s="43" t="inlineStr">
        <is>
          <t>human</t>
        </is>
      </c>
      <c r="F20" s="43" t="inlineStr">
        <is>
          <t>visual</t>
        </is>
      </c>
      <c r="G20" s="44" t="inlineStr">
        <is>
          <t>tests/components/rating/visual.spec.ts</t>
        </is>
      </c>
      <c r="H20" s="43" t="inlineStr">
        <is>
          <t>verified</t>
        </is>
      </c>
      <c r="I20" s="43" t="inlineStr">
        <is>
          <t>yes</t>
        </is>
      </c>
      <c r="J20" s="45" t="inlineStr">
        <is>
          <t>Owner accepted the corrected live Rating presentation; Chromium visual baselines and state evidence pass.</t>
        </is>
      </c>
      <c r="K20" s="44" t="n"/>
      <c r="L20" s="43" t="n"/>
      <c r="M20" s="43">
        <f>IF(OR(H20="tested",H20="verified",H20="not applicable"),1,0)</f>
        <v/>
      </c>
    </row>
    <row r="21" ht="54" customHeight="1" s="34">
      <c r="A21" s="43" t="inlineStr">
        <is>
          <t>RT-13</t>
        </is>
      </c>
      <c r="B21" s="43" t="inlineStr">
        <is>
          <t>Responsive</t>
        </is>
      </c>
      <c r="C21" s="43" t="inlineStr">
        <is>
          <t>Root/Item</t>
        </is>
      </c>
      <c r="D21" s="44" t="inlineStr">
        <is>
          <t>Narrow, long-label, RTL, mobile, zoom, reduced-motion, forced-color, and coarse-pointer layouts remain contained.</t>
        </is>
      </c>
      <c r="E21" s="43" t="inlineStr">
        <is>
          <t>human</t>
        </is>
      </c>
      <c r="F21" s="43" t="inlineStr">
        <is>
          <t>visual</t>
        </is>
      </c>
      <c r="G21" s="44" t="inlineStr">
        <is>
          <t>tests/components/rating/visual.spec.ts</t>
        </is>
      </c>
      <c r="H21" s="43" t="inlineStr">
        <is>
          <t>verified</t>
        </is>
      </c>
      <c r="I21" s="43" t="inlineStr">
        <is>
          <t>yes</t>
        </is>
      </c>
      <c r="J21" s="45" t="inlineStr">
        <is>
          <t>Owner mobile/LAN review and automated narrow, RTL, zoom, motion, forced-color, and coarse-pointer evidence pass.</t>
        </is>
      </c>
      <c r="K21" s="44" t="n"/>
      <c r="L21" s="43" t="n"/>
      <c r="M21" s="43">
        <f>IF(OR(H21="tested",H21="verified",H21="not applicable"),1,0)</f>
        <v/>
      </c>
    </row>
    <row r="22" ht="54" customHeight="1" s="34">
      <c r="A22" s="43" t="inlineStr">
        <is>
          <t>RT-14</t>
        </is>
      </c>
      <c r="B22" s="43" t="inlineStr">
        <is>
          <t>Accessibility</t>
        </is>
      </c>
      <c r="C22" s="43" t="inlineStr">
        <is>
          <t>Root/Item</t>
        </is>
      </c>
      <c r="D22" s="44" t="inlineStr">
        <is>
          <t>Axe passes; decorative items remain silent and one slider exposes value and state.</t>
        </is>
      </c>
      <c r="E22" s="43" t="inlineStr">
        <is>
          <t>browser</t>
        </is>
      </c>
      <c r="F22" s="43" t="inlineStr">
        <is>
          <t>axe</t>
        </is>
      </c>
      <c r="G22" s="44" t="inlineStr">
        <is>
          <t>tests/components/rating/behavior.spec.ts</t>
        </is>
      </c>
      <c r="H22" s="43" t="inlineStr">
        <is>
          <t>tested</t>
        </is>
      </c>
      <c r="I22" s="43" t="inlineStr">
        <is>
          <t>no</t>
        </is>
      </c>
      <c r="J22" s="45" t="inlineStr">
        <is>
          <t>Chromium axe and semantic assertions pass.</t>
        </is>
      </c>
      <c r="K22" s="44" t="n"/>
      <c r="L22" s="43" t="n"/>
      <c r="M22" s="43">
        <f>IF(OR(H22="tested",H22="verified",H22="not applicable"),1,0)</f>
        <v/>
      </c>
    </row>
    <row r="23" ht="54" customHeight="1" s="34">
      <c r="A23" s="43" t="inlineStr">
        <is>
          <t>RT-15</t>
        </is>
      </c>
      <c r="B23" s="43" t="inlineStr">
        <is>
          <t>Manual</t>
        </is>
      </c>
      <c r="C23" s="43" t="inlineStr">
        <is>
          <t>Rating</t>
        </is>
      </c>
      <c r="D23" s="44" t="inlineStr">
        <is>
          <t>Numbered 01-09 protocol covers pointer, drag, touch, keyboard, forms, AT, preferences, and stress.</t>
        </is>
      </c>
      <c r="E23" s="43" t="inlineStr">
        <is>
          <t>human</t>
        </is>
      </c>
      <c r="F23" s="43" t="inlineStr">
        <is>
          <t>manual</t>
        </is>
      </c>
      <c r="G23" s="44" t="inlineStr">
        <is>
          <t>manual-tests/rating.md</t>
        </is>
      </c>
      <c r="H23" s="43" t="inlineStr">
        <is>
          <t>implemented</t>
        </is>
      </c>
      <c r="I23" s="43" t="inlineStr">
        <is>
          <t>yes</t>
        </is>
      </c>
      <c r="J23" s="45" t="inlineStr">
        <is>
          <t>Protocol is current; its complete numbered execution remains the only open Rating requirement.</t>
        </is>
      </c>
      <c r="K23" s="44" t="n"/>
      <c r="L23" s="43" t="n"/>
      <c r="M23" s="43">
        <f>IF(OR(H23="tested",H23="verified",H23="not applicable"),1,0)</f>
        <v/>
      </c>
    </row>
    <row r="24" ht="54" customHeight="1" s="34">
      <c r="A24" s="43" t="inlineStr">
        <is>
          <t>RT-16</t>
        </is>
      </c>
      <c r="B24" s="43" t="inlineStr">
        <is>
          <t>Documentation</t>
        </is>
      </c>
      <c r="C24" s="43" t="inlineStr">
        <is>
          <t>Rating</t>
        </is>
      </c>
      <c r="D24" s="44" t="inlineStr">
        <is>
          <t>Public guide and changelog document anatomy, recipes, forms, accessibility, tokens, and evidence.</t>
        </is>
      </c>
      <c r="E24" s="43" t="inlineStr">
        <is>
          <t>package</t>
        </is>
      </c>
      <c r="F24" s="43" t="inlineStr">
        <is>
          <t>docs</t>
        </is>
      </c>
      <c r="G24" s="44" t="inlineStr">
        <is>
          <t>../docs/components/rating/README.md</t>
        </is>
      </c>
      <c r="H24" s="43" t="inlineStr">
        <is>
          <t>tested</t>
        </is>
      </c>
      <c r="I24" s="43" t="inlineStr">
        <is>
          <t>no</t>
        </is>
      </c>
      <c r="J24" s="45" t="inlineStr">
        <is>
          <t>Documentation verification passes.</t>
        </is>
      </c>
      <c r="K24" s="44" t="n"/>
      <c r="L24" s="43" t="n"/>
      <c r="M24" s="43">
        <f>IF(OR(H24="tested",H24="verified",H24="not applicable"),1,0)</f>
        <v/>
      </c>
    </row>
    <row r="25" ht="23.25" customHeight="1" s="34">
      <c r="A25" s="43" t="inlineStr">
        <is>
          <t>RT-17</t>
        </is>
      </c>
      <c r="B25" s="43" t="inlineStr">
        <is>
          <t>Consumer</t>
        </is>
      </c>
      <c r="C25" s="43" t="inlineStr">
        <is>
          <t>Root/Item</t>
        </is>
      </c>
      <c r="D25" s="44" t="inlineStr">
        <is>
          <t>Packed public rating subpath composes a labelled named workflow input in Consumer.</t>
        </is>
      </c>
      <c r="E25" s="43" t="inlineStr">
        <is>
          <t>consumer</t>
        </is>
      </c>
      <c r="F25" s="43" t="inlineStr">
        <is>
          <t>consumer</t>
        </is>
      </c>
      <c r="G25" s="44" t="inlineStr">
        <is>
          <t>../apps/consumer/src/App.tsx</t>
        </is>
      </c>
      <c r="H25" s="43" t="inlineStr">
        <is>
          <t>tested</t>
        </is>
      </c>
      <c r="I25" s="43" t="inlineStr">
        <is>
          <t>no</t>
        </is>
      </c>
      <c r="J25" s="45" t="inlineStr">
        <is>
          <t>Packed package and Consumer verification pass in the full release gate.</t>
        </is>
      </c>
      <c r="K25" s="44" t="n"/>
      <c r="L25" s="43" t="n"/>
      <c r="M25" s="43">
        <f>IF(OR(H25="tested",H25="verified",H25="not applicable"),1,0)</f>
        <v/>
      </c>
    </row>
    <row r="26" ht="23.25" customHeight="1" s="34">
      <c r="A26" s="43" t="n"/>
      <c r="B26" s="43" t="n"/>
      <c r="C26" s="43" t="n"/>
      <c r="D26" s="44" t="n"/>
      <c r="E26" s="43" t="n"/>
      <c r="F26" s="43" t="n"/>
      <c r="G26" s="44" t="n"/>
      <c r="H26" s="43" t="n"/>
      <c r="I26" s="43" t="n"/>
      <c r="J26" s="45" t="n"/>
      <c r="K26" s="44" t="n"/>
      <c r="L26" s="43" t="n"/>
      <c r="M26" s="43" t="n"/>
    </row>
    <row r="27" ht="23.25" customHeight="1" s="34">
      <c r="A27" s="43" t="n"/>
      <c r="B27" s="43" t="n"/>
      <c r="C27" s="43" t="n"/>
      <c r="D27" s="44" t="n"/>
      <c r="E27" s="43" t="n"/>
      <c r="F27" s="43" t="n"/>
      <c r="G27" s="44" t="n"/>
      <c r="H27" s="43" t="n"/>
      <c r="I27" s="43" t="n"/>
      <c r="J27" s="45" t="n"/>
      <c r="K27" s="44" t="n"/>
      <c r="L27" s="43" t="n"/>
      <c r="M27" s="43" t="n"/>
    </row>
    <row r="28" ht="23.25" customHeight="1" s="34">
      <c r="A28" s="43" t="n"/>
      <c r="B28" s="43" t="n"/>
      <c r="C28" s="43" t="n"/>
      <c r="D28" s="44" t="n"/>
      <c r="E28" s="43" t="n"/>
      <c r="F28" s="43" t="n"/>
      <c r="G28" s="44" t="n"/>
      <c r="H28" s="43" t="n"/>
      <c r="I28" s="43" t="n"/>
      <c r="J28" s="45" t="n"/>
      <c r="K28" s="44" t="n"/>
      <c r="L28" s="43" t="n"/>
      <c r="M28" s="43" t="n"/>
    </row>
    <row r="29" ht="23.25" customHeight="1" s="34">
      <c r="A29" s="43" t="n"/>
      <c r="B29" s="43" t="n"/>
      <c r="C29" s="43" t="n"/>
      <c r="D29" s="44" t="n"/>
      <c r="E29" s="43" t="n"/>
      <c r="F29" s="43" t="n"/>
      <c r="G29" s="44" t="n"/>
      <c r="H29" s="43" t="n"/>
      <c r="I29" s="43" t="n"/>
      <c r="J29" s="45" t="n"/>
      <c r="K29" s="44" t="n"/>
      <c r="L29" s="43" t="n"/>
      <c r="M29" s="43" t="n"/>
    </row>
    <row r="30" ht="23.25" customHeight="1" s="34">
      <c r="A30" s="43" t="n"/>
      <c r="B30" s="43" t="n"/>
      <c r="C30" s="43" t="n"/>
      <c r="D30" s="44" t="n"/>
      <c r="E30" s="43" t="n"/>
      <c r="F30" s="43" t="n"/>
      <c r="G30" s="44" t="n"/>
      <c r="H30" s="43" t="n"/>
      <c r="I30" s="43" t="n"/>
      <c r="J30" s="45" t="n"/>
      <c r="K30" s="44" t="n"/>
      <c r="L30" s="43" t="n"/>
      <c r="M30" s="43" t="n"/>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0" showErrorMessage="0" allowBlank="0" type="list" errorStyle="stop" operator="between">
      <formula1>"not started,partial,implemented,tested,verified,blocked,not applicable"</formula1>
      <formula2>0</formula2>
    </dataValidation>
    <dataValidation sqref="I9:I25"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3.xml><?xml version="1.0" encoding="utf-8"?>
<worksheet xmlns="http://schemas.openxmlformats.org/spreadsheetml/2006/main">
  <sheetPr filterMode="0">
    <outlinePr summaryBelow="1" summaryRight="1"/>
    <pageSetUpPr fitToPage="0"/>
  </sheetPr>
  <dimension ref="A1:M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File Upload Evidence</t>
        </is>
      </c>
    </row>
    <row r="2" ht="27.75" customHeight="1" s="34">
      <c r="A2" s="36" t="inlineStr">
        <is>
          <t>Assertion-level Atom-backed picker, drag/drop, Field/Form, file-list, visual, responsive, accessibility, package, documentation, Consumer, and manual evidence.</t>
        </is>
      </c>
    </row>
    <row r="4" ht="17.25" customHeight="1" s="34">
      <c r="A4" s="37" t="inlineStr">
        <is>
          <t>Requirements</t>
        </is>
      </c>
      <c r="B4" s="38">
        <f>COUNTA(A9:A36)</f>
        <v/>
      </c>
      <c r="D4" s="37" t="inlineStr">
        <is>
          <t>Resolved</t>
        </is>
      </c>
      <c r="E4" s="38">
        <f>SUM(M9:M36)</f>
        <v/>
      </c>
      <c r="G4" s="37" t="inlineStr">
        <is>
          <t>Completion</t>
        </is>
      </c>
      <c r="H4" s="39">
        <f>IF(B4=0,0,E4/B4)</f>
        <v/>
      </c>
      <c r="J4" s="37" t="inlineStr">
        <is>
          <t>Package gate</t>
        </is>
      </c>
      <c r="K4" s="38">
        <f>IF(COUNTIFS(E9:E36,"package",M9:M36,0)&gt;0,"open","complete")</f>
        <v/>
      </c>
    </row>
    <row r="5" ht="17.25" customHeight="1" s="34">
      <c r="A5" s="37" t="inlineStr">
        <is>
          <t>Manual review</t>
        </is>
      </c>
      <c r="B5" s="38">
        <f>IF(COUNTIFS(I9:I36,"yes",M9:M36,0)&gt;0,"open","complete")</f>
        <v/>
      </c>
      <c r="D5" s="37" t="inlineStr">
        <is>
          <t>Consumer gate</t>
        </is>
      </c>
      <c r="E5" s="38">
        <f>IF(COUNTIFS(E9:E36,"consumer",M9:M36,0)&gt;0,"open","complete")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FU-01</t>
        </is>
      </c>
      <c r="B9" s="43" t="inlineStr">
        <is>
          <t>Ownership</t>
        </is>
      </c>
      <c r="C9" s="43" t="inlineStr">
        <is>
          <t>All parts</t>
        </is>
      </c>
      <c r="D9" s="44" t="inlineStr">
        <is>
          <t>Brick styles exact installed Atom 0.20.11 picker, files, validation, Field/Form, drag/drop, document-drop protection, reset, and removal behavior without recreating it.</t>
        </is>
      </c>
      <c r="E9" s="43" t="inlineStr">
        <is>
          <t>package</t>
        </is>
      </c>
      <c r="F9" s="43" t="inlineStr">
        <is>
          <t>source</t>
        </is>
      </c>
      <c r="G9" s="44" t="inlineStr">
        <is>
          <t>../src/components/file-upload/FileUpload.tsx; ../package.json</t>
        </is>
      </c>
      <c r="H9" s="43" t="inlineStr">
        <is>
          <t>tested</t>
        </is>
      </c>
      <c r="I9" s="43" t="inlineStr">
        <is>
          <t>no</t>
        </is>
      </c>
      <c r="J9" s="45" t="n">
        <v>46232</v>
      </c>
      <c r="K9" s="44" t="inlineStr">
        <is>
          <t>Exact Atom 0.20.11 is installed; complete source and package checks pass.</t>
        </is>
      </c>
      <c r="L9" s="43" t="n">
        <v>1</v>
      </c>
      <c r="M9" s="43">
        <f>IF(OR(AND(I9="yes",H9="verified"),AND(I9="no",OR(H9="tested",H9="verified")),AND(H9="not applicable",K9&lt;&gt;"")),1,0)</f>
        <v/>
      </c>
    </row>
    <row r="10" ht="54" customHeight="1" s="34">
      <c r="A10" s="43" t="inlineStr">
        <is>
          <t>FU-02</t>
        </is>
      </c>
      <c r="B10" s="43" t="inlineStr">
        <is>
          <t>API</t>
        </is>
      </c>
      <c r="C10" s="43" t="inlineStr">
        <is>
          <t>All parts</t>
        </is>
      </c>
      <c r="D10" s="44" t="inlineStr">
        <is>
          <t>Nine-part namespace and named exports expose Root, HiddenInput, Trigger, Dropzone, ItemGroup, Item, ItemName, ItemSize, and ItemDeleteTrigger.</t>
        </is>
      </c>
      <c r="E10" s="43" t="inlineStr">
        <is>
          <t>package</t>
        </is>
      </c>
      <c r="F10" s="43" t="inlineStr">
        <is>
          <t>component</t>
        </is>
      </c>
      <c r="G10" s="44" t="inlineStr">
        <is>
          <t>../test/components/file-upload/file-upload.test.tsx</t>
        </is>
      </c>
      <c r="H10" s="43" t="inlineStr">
        <is>
          <t>tested</t>
        </is>
      </c>
      <c r="I10" s="43" t="inlineStr">
        <is>
          <t>no</t>
        </is>
      </c>
      <c r="J10" s="45" t="n">
        <v>46232</v>
      </c>
      <c r="K10" s="44" t="inlineStr">
        <is>
          <t>Focused component suite passes.</t>
        </is>
      </c>
      <c r="L10" s="43" t="n">
        <v>1</v>
      </c>
      <c r="M10" s="43">
        <f>IF(OR(AND(I10="yes",H10="verified"),AND(I10="no",OR(H10="tested",H10="verified")),AND(H10="not applicable",K10&lt;&gt;"")),1,0)</f>
        <v/>
      </c>
    </row>
    <row r="11" ht="54" customHeight="1" s="34">
      <c r="A11" s="43" t="inlineStr">
        <is>
          <t>FU-03</t>
        </is>
      </c>
      <c r="B11" s="43" t="inlineStr">
        <is>
          <t>Anatomy</t>
        </is>
      </c>
      <c r="C11" s="43" t="inlineStr">
        <is>
          <t>All parts</t>
        </is>
      </c>
      <c r="D11" s="44" t="inlineStr">
        <is>
          <t>Native div, input, button, ul, li, and span hosts retain exact slots, classes, refs, function children, default picker copy, and file-specific removal naming.</t>
        </is>
      </c>
      <c r="E11" s="43" t="inlineStr">
        <is>
          <t>package</t>
        </is>
      </c>
      <c r="F11" s="43" t="inlineStr">
        <is>
          <t>component</t>
        </is>
      </c>
      <c r="G11" s="44" t="inlineStr">
        <is>
          <t>../test/components/file-upload/file-upload.test.tsx</t>
        </is>
      </c>
      <c r="H11" s="43" t="inlineStr">
        <is>
          <t>tested</t>
        </is>
      </c>
      <c r="I11" s="43" t="inlineStr">
        <is>
          <t>no</t>
        </is>
      </c>
      <c r="J11" s="45" t="n">
        <v>46232</v>
      </c>
      <c r="K11" s="44" t="inlineStr">
        <is>
          <t>Focused anatomy, defaults, and ref assertions pass.</t>
        </is>
      </c>
      <c r="L11" s="43" t="n">
        <v>1</v>
      </c>
      <c r="M11" s="43">
        <f>IF(OR(AND(I11="yes",H11="verified"),AND(I11="no",OR(H11="tested",H11="verified")),AND(H11="not applicable",K11&lt;&gt;"")),1,0)</f>
        <v/>
      </c>
    </row>
    <row r="12" ht="54" customHeight="1" s="34">
      <c r="A12" s="43" t="inlineStr">
        <is>
          <t>FU-04</t>
        </is>
      </c>
      <c r="B12" s="43" t="inlineStr">
        <is>
          <t>Types</t>
        </is>
      </c>
      <c r="C12" s="43" t="inlineStr">
        <is>
          <t>Public surface</t>
        </is>
      </c>
      <c r="D12" s="44" t="inlineStr">
        <is>
          <t>Closed size, variant, and shape recipes plus fullWidth, Atom file/form props, part props, native composition, and refs type-check.</t>
        </is>
      </c>
      <c r="E12" s="43" t="inlineStr">
        <is>
          <t>package</t>
        </is>
      </c>
      <c r="F12" s="43" t="inlineStr">
        <is>
          <t>types</t>
        </is>
      </c>
      <c r="G12" s="44" t="inlineStr">
        <is>
          <t>../test/types/components/file-upload.test.ts</t>
        </is>
      </c>
      <c r="H12" s="43" t="inlineStr">
        <is>
          <t>tested</t>
        </is>
      </c>
      <c r="I12" s="43" t="inlineStr">
        <is>
          <t>no</t>
        </is>
      </c>
      <c r="J12" s="45" t="n">
        <v>46232</v>
      </c>
      <c r="K12" s="44" t="inlineStr">
        <is>
          <t>Focused public-surface typecheck passes.</t>
        </is>
      </c>
      <c r="L12" s="43" t="n">
        <v>1</v>
      </c>
      <c r="M12" s="43">
        <f>IF(OR(AND(I12="yes",H12="verified"),AND(I12="no",OR(H12="tested",H12="verified")),AND(H12="not applicable",K12&lt;&gt;"")),1,0)</f>
        <v/>
      </c>
    </row>
    <row r="13" ht="54" customHeight="1" s="34">
      <c r="A13" s="43" t="inlineStr">
        <is>
          <t>FU-05</t>
        </is>
      </c>
      <c r="B13" s="43" t="inlineStr">
        <is>
          <t>Exports</t>
        </is>
      </c>
      <c r="C13" s="43" t="inlineStr">
        <is>
          <t>All parts</t>
        </is>
      </c>
      <c r="D13" s="44" t="inlineStr">
        <is>
          <t>Root and file-upload subpath exports preserve namespace and named runtime identity with complete declarations.</t>
        </is>
      </c>
      <c r="E13" s="43" t="inlineStr">
        <is>
          <t>package</t>
        </is>
      </c>
      <c r="F13" s="43" t="inlineStr">
        <is>
          <t>package</t>
        </is>
      </c>
      <c r="G13" s="44" t="inlineStr">
        <is>
          <t>../test/package/package.test.mjs; ../package.json</t>
        </is>
      </c>
      <c r="H13" s="43" t="inlineStr">
        <is>
          <t>tested</t>
        </is>
      </c>
      <c r="I13" s="43" t="inlineStr">
        <is>
          <t>no</t>
        </is>
      </c>
      <c r="J13" s="45" t="n">
        <v>46232</v>
      </c>
      <c r="K13" s="44" t="inlineStr">
        <is>
          <t>Root/subpath runtime and declaration checks pass.</t>
        </is>
      </c>
      <c r="L13" s="43" t="n">
        <v>1</v>
      </c>
      <c r="M13" s="43">
        <f>IF(OR(AND(I13="yes",H13="verified"),AND(I13="no",OR(H13="tested",H13="verified")),AND(H13="not applicable",K13&lt;&gt;"")),1,0)</f>
        <v/>
      </c>
    </row>
    <row r="14" ht="54" customHeight="1" s="34">
      <c r="A14" s="43" t="inlineStr">
        <is>
          <t>FU-06</t>
        </is>
      </c>
      <c r="B14" s="43" t="inlineStr">
        <is>
          <t>SSR</t>
        </is>
      </c>
      <c r="C14" s="43" t="inlineStr">
        <is>
          <t>Root / picker</t>
        </is>
      </c>
      <c r="D14" s="44" t="inlineStr">
        <is>
          <t>File Upload imports server-safely and emits deterministic empty picker and dropzone anatomy.</t>
        </is>
      </c>
      <c r="E14" s="43" t="inlineStr">
        <is>
          <t>package</t>
        </is>
      </c>
      <c r="F14" s="43" t="inlineStr">
        <is>
          <t>package</t>
        </is>
      </c>
      <c r="G14" s="44" t="inlineStr">
        <is>
          <t>../test/package/ssr.test.mjs</t>
        </is>
      </c>
      <c r="H14" s="43" t="inlineStr">
        <is>
          <t>tested</t>
        </is>
      </c>
      <c r="I14" s="43" t="inlineStr">
        <is>
          <t>no</t>
        </is>
      </c>
      <c r="J14" s="45" t="n">
        <v>46232</v>
      </c>
      <c r="K14" s="44" t="inlineStr">
        <is>
          <t>SSR package assertion passes.</t>
        </is>
      </c>
      <c r="L14" s="43" t="n">
        <v>1</v>
      </c>
      <c r="M14" s="43">
        <f>IF(OR(AND(I14="yes",H14="verified"),AND(I14="no",OR(H14="tested",H14="verified")),AND(H14="not applicable",K14&lt;&gt;"")),1,0)</f>
        <v/>
      </c>
    </row>
    <row r="15" ht="54" customHeight="1" s="34">
      <c r="A15" s="43" t="inlineStr">
        <is>
          <t>FU-07</t>
        </is>
      </c>
      <c r="B15" s="43" t="inlineStr">
        <is>
          <t>CSS</t>
        </is>
      </c>
      <c r="C15" s="43" t="inlineStr">
        <is>
          <t>All parts</t>
        </is>
      </c>
      <c r="D15" s="44" t="inlineStr">
        <is>
          <t>Static CSS ships outline/soft, sm/md/lg, sharp/rounded, full/fit, state paint, logical containment, 44px actions, and public variables.</t>
        </is>
      </c>
      <c r="E15" s="43" t="inlineStr">
        <is>
          <t>package</t>
        </is>
      </c>
      <c r="F15" s="43" t="inlineStr">
        <is>
          <t>css</t>
        </is>
      </c>
      <c r="G15" s="44" t="inlineStr">
        <is>
          <t>../src/components/file-upload/file-upload.css</t>
        </is>
      </c>
      <c r="H15" s="43" t="inlineStr">
        <is>
          <t>tested</t>
        </is>
      </c>
      <c r="I15" s="43" t="inlineStr">
        <is>
          <t>no</t>
        </is>
      </c>
      <c r="J15" s="45" t="n">
        <v>46232</v>
      </c>
      <c r="K15" s="44" t="inlineStr">
        <is>
          <t>Production CSS build and prototype checks pass.</t>
        </is>
      </c>
      <c r="L15" s="43" t="n">
        <v>1</v>
      </c>
      <c r="M15" s="43">
        <f>IF(OR(AND(I15="yes",H15="verified"),AND(I15="no",OR(H15="tested",H15="verified")),AND(H15="not applicable",K15&lt;&gt;"")),1,0)</f>
        <v/>
      </c>
    </row>
    <row r="16" ht="54" customHeight="1" s="34">
      <c r="A16" s="43" t="inlineStr">
        <is>
          <t>FU-08</t>
        </is>
      </c>
      <c r="B16" s="43" t="inlineStr">
        <is>
          <t>Picker</t>
        </is>
      </c>
      <c r="C16" s="43" t="inlineStr">
        <is>
          <t>HiddenInput / Trigger</t>
        </is>
      </c>
      <c r="D16" s="44" t="inlineStr">
        <is>
          <t>Native picker selection supports one or multiple accepted files, selected-file review, removal, and reselection through visible Trigger activation.</t>
        </is>
      </c>
      <c r="E16" s="43" t="inlineStr">
        <is>
          <t>browser</t>
        </is>
      </c>
      <c r="F16" s="43" t="inlineStr">
        <is>
          <t>browser</t>
        </is>
      </c>
      <c r="G16" s="44" t="inlineStr">
        <is>
          <t>tests/components/file-upload/behavior.spec.ts</t>
        </is>
      </c>
      <c r="H16" s="43" t="inlineStr">
        <is>
          <t>tested</t>
        </is>
      </c>
      <c r="I16" s="43" t="inlineStr">
        <is>
          <t>no</t>
        </is>
      </c>
      <c r="J16" s="45" t="n">
        <v>46232</v>
      </c>
      <c r="K16" s="44" t="inlineStr">
        <is>
          <t>Picker selection and removal pass in all configured desktop and mobile browser projects.</t>
        </is>
      </c>
      <c r="L16" s="43" t="n">
        <v>1</v>
      </c>
      <c r="M16" s="43">
        <f>IF(OR(AND(I16="yes",H16="verified"),AND(I16="no",OR(H16="tested",H16="verified")),AND(H16="not applicable",K16&lt;&gt;"")),1,0)</f>
        <v/>
      </c>
    </row>
    <row r="17" ht="54" customHeight="1" s="34">
      <c r="A17" s="43" t="inlineStr">
        <is>
          <t>FU-09</t>
        </is>
      </c>
      <c r="B17" s="43" t="inlineStr">
        <is>
          <t>Drag and drop</t>
        </is>
      </c>
      <c r="C17" s="43" t="inlineStr">
        <is>
          <t>Dropzone</t>
        </is>
      </c>
      <c r="D17" s="44" t="inlineStr">
        <is>
          <t>Pre-drop accepted and rejected states are truthful, rejected candidates remain excluded, and file-only document-drop protection preserves unrelated drag/drop.</t>
        </is>
      </c>
      <c r="E17" s="43" t="inlineStr">
        <is>
          <t>browser</t>
        </is>
      </c>
      <c r="F17" s="43" t="inlineStr">
        <is>
          <t>browser</t>
        </is>
      </c>
      <c r="G17" s="44" t="inlineStr">
        <is>
          <t>tests/components/file-upload/behavior.spec.ts; @flowstack-ui/atom 0.19.7 behavior suite</t>
        </is>
      </c>
      <c r="H17" s="43" t="inlineStr">
        <is>
          <t>tested</t>
        </is>
      </c>
      <c r="I17" s="43" t="inlineStr">
        <is>
          <t>no</t>
        </is>
      </c>
      <c r="J17" s="45" t="n">
        <v>46232</v>
      </c>
      <c r="K17" s="44" t="inlineStr">
        <is>
          <t>Drag acceptance/rejection passes in Chromium, Firefox, WebKit, mobile Chromium, and mobile WebKit.</t>
        </is>
      </c>
      <c r="L17" s="43" t="n">
        <v>1</v>
      </c>
      <c r="M17" s="43">
        <f>IF(OR(AND(I17="yes",H17="verified"),AND(I17="no",OR(H17="tested",H17="verified")),AND(H17="not applicable",K17&lt;&gt;"")),1,0)</f>
        <v/>
      </c>
    </row>
    <row r="18" ht="54" customHeight="1" s="34">
      <c r="A18" s="43" t="inlineStr">
        <is>
          <t>FU-10</t>
        </is>
      </c>
      <c r="B18" s="43" t="inlineStr">
        <is>
          <t>Constraints</t>
        </is>
      </c>
      <c r="C18" s="43" t="inlineStr">
        <is>
          <t>Root / Dropzone</t>
        </is>
      </c>
      <c r="D18" s="44" t="inlineStr">
        <is>
          <t>accept, maxFiles, maxSize, validateFile, append/replace, and localized rejection feedback remain application-observable and separate from Field invalidity.</t>
        </is>
      </c>
      <c r="E18" s="43" t="inlineStr">
        <is>
          <t>browser</t>
        </is>
      </c>
      <c r="F18" s="43" t="inlineStr">
        <is>
          <t>browser</t>
        </is>
      </c>
      <c r="G18" s="44" t="inlineStr">
        <is>
          <t>tests/components/file-upload/behavior.spec.ts</t>
        </is>
      </c>
      <c r="H18" s="43" t="inlineStr">
        <is>
          <t>tested</t>
        </is>
      </c>
      <c r="I18" s="43" t="inlineStr">
        <is>
          <t>no</t>
        </is>
      </c>
      <c r="J18" s="45" t="n">
        <v>46232</v>
      </c>
      <c r="K18" s="44" t="inlineStr">
        <is>
          <t>Accepted and rejected fixture assertions pass without conflating candidate rejection and invalid state.</t>
        </is>
      </c>
      <c r="L18" s="43" t="n">
        <v>1</v>
      </c>
      <c r="M18" s="43">
        <f>IF(OR(AND(I18="yes",H18="verified"),AND(I18="no",OR(H18="tested",H18="verified")),AND(H18="not applicable",K18&lt;&gt;"")),1,0)</f>
        <v/>
      </c>
    </row>
    <row r="19" ht="54" customHeight="1" s="34">
      <c r="A19" s="43" t="inlineStr">
        <is>
          <t>FU-11</t>
        </is>
      </c>
      <c r="B19" s="43" t="inlineStr">
        <is>
          <t>Field and forms</t>
        </is>
      </c>
      <c r="C19" s="43" t="inlineStr">
        <is>
          <t>Root / HiddenInput / Trigger</t>
        </is>
      </c>
      <c r="D19" s="44" t="inlineStr">
        <is>
          <t>Standalone and one-Field composition preserve one label, descriptions, required/invalid state, visible focus delegation, named FormData files, submit, external ownership, and reset.</t>
        </is>
      </c>
      <c r="E19" s="43" t="inlineStr">
        <is>
          <t>browser</t>
        </is>
      </c>
      <c r="F19" s="43" t="inlineStr">
        <is>
          <t>browser</t>
        </is>
      </c>
      <c r="G19" s="44" t="inlineStr">
        <is>
          <t>tests/components/file-upload/behavior.spec.ts; ../apps/consumer/tests/consumer.spec.ts</t>
        </is>
      </c>
      <c r="H19" s="43" t="inlineStr">
        <is>
          <t>tested</t>
        </is>
      </c>
      <c r="I19" s="43" t="inlineStr">
        <is>
          <t>no</t>
        </is>
      </c>
      <c r="J19" s="45" t="n">
        <v>46232</v>
      </c>
      <c r="K19" s="44" t="inlineStr">
        <is>
          <t>Field relationships and native reset pass in focused browser and Consumer suites.</t>
        </is>
      </c>
      <c r="L19" s="43" t="n">
        <v>1</v>
      </c>
      <c r="M19" s="43">
        <f>IF(OR(AND(I19="yes",H19="verified"),AND(I19="no",OR(H19="tested",H19="verified")),AND(H19="not applicable",K19&lt;&gt;"")),1,0)</f>
        <v/>
      </c>
    </row>
    <row r="20" ht="54" customHeight="1" s="34">
      <c r="A20" s="43" t="inlineStr">
        <is>
          <t>FU-12</t>
        </is>
      </c>
      <c r="B20" s="43" t="inlineStr">
        <is>
          <t>States</t>
        </is>
      </c>
      <c r="C20" s="43" t="inlineStr">
        <is>
          <t>All interactive parts</t>
        </is>
      </c>
      <c r="D20" s="44" t="inlineStr">
        <is>
          <t>Disabled and read-only states remain readable and non-mutating; controlled and uncontrolled file ownership stay distinct.</t>
        </is>
      </c>
      <c r="E20" s="43" t="inlineStr">
        <is>
          <t>package</t>
        </is>
      </c>
      <c r="F20" s="43" t="inlineStr">
        <is>
          <t>component</t>
        </is>
      </c>
      <c r="G20" s="44" t="inlineStr">
        <is>
          <t>../test/components/file-upload/file-upload.test.tsx; tests/components/file-upload/behavior.spec.ts</t>
        </is>
      </c>
      <c r="H20" s="43" t="inlineStr">
        <is>
          <t>tested</t>
        </is>
      </c>
      <c r="I20" s="43" t="inlineStr">
        <is>
          <t>no</t>
        </is>
      </c>
      <c r="J20" s="45" t="n">
        <v>46232</v>
      </c>
      <c r="K20" s="44" t="inlineStr">
        <is>
          <t>Component and browser state assertions pass.</t>
        </is>
      </c>
      <c r="L20" s="43" t="n">
        <v>1</v>
      </c>
      <c r="M20" s="43">
        <f>IF(OR(AND(I20="yes",H20="verified"),AND(I20="no",OR(H20="tested",H20="verified")),AND(H20="not applicable",K20&lt;&gt;"")),1,0)</f>
        <v/>
      </c>
    </row>
    <row r="21" ht="54" customHeight="1" s="34">
      <c r="A21" s="43" t="inlineStr">
        <is>
          <t>FU-13</t>
        </is>
      </c>
      <c r="B21" s="43" t="inlineStr">
        <is>
          <t>Variants</t>
        </is>
      </c>
      <c r="C21" s="43" t="inlineStr">
        <is>
          <t>Root / Dropzone</t>
        </is>
      </c>
      <c r="D21" s="44" t="inlineStr">
        <is>
          <t>Outline and soft recipes change only surface and border treatment while preserving anatomy and geometry.</t>
        </is>
      </c>
      <c r="E21" s="43" t="inlineStr">
        <is>
          <t>browser</t>
        </is>
      </c>
      <c r="F21" s="43" t="inlineStr">
        <is>
          <t>visual</t>
        </is>
      </c>
      <c r="G21" s="44" t="inlineStr">
        <is>
          <t>tests/components/file-upload/visual.spec.ts</t>
        </is>
      </c>
      <c r="H21" s="43" t="inlineStr">
        <is>
          <t>tested</t>
        </is>
      </c>
      <c r="I21" s="43" t="inlineStr">
        <is>
          <t>no</t>
        </is>
      </c>
      <c r="J21" s="45" t="n">
        <v>46232</v>
      </c>
      <c r="K21" s="44" t="inlineStr">
        <is>
          <t>Chromium recipe baseline passes and was visually inspected.</t>
        </is>
      </c>
      <c r="L21" s="43" t="n">
        <v>1</v>
      </c>
      <c r="M21" s="43">
        <f>IF(OR(AND(I21="yes",H21="verified"),AND(I21="no",OR(H21="tested",H21="verified")),AND(H21="not applicable",K21&lt;&gt;"")),1,0)</f>
        <v/>
      </c>
    </row>
    <row r="22" ht="54" customHeight="1" s="34">
      <c r="A22" s="43" t="inlineStr">
        <is>
          <t>FU-14</t>
        </is>
      </c>
      <c r="B22" s="43" t="inlineStr">
        <is>
          <t>Sizes and shapes</t>
        </is>
      </c>
      <c r="C22" s="43" t="inlineStr">
        <is>
          <t>Root / actions / items</t>
        </is>
      </c>
      <c r="D22" s="44" t="inlineStr">
        <is>
          <t>sm, md, lg and sharp/rounded recipes preserve effective action targets, coordinated corners, and stable item geometry.</t>
        </is>
      </c>
      <c r="E22" s="43" t="inlineStr">
        <is>
          <t>browser</t>
        </is>
      </c>
      <c r="F22" s="43" t="inlineStr">
        <is>
          <t>browser</t>
        </is>
      </c>
      <c r="G22" s="44" t="inlineStr">
        <is>
          <t>tests/components/file-upload/behavior.spec.ts; tests/components/file-upload/visual.spec.ts</t>
        </is>
      </c>
      <c r="H22" s="43" t="inlineStr">
        <is>
          <t>tested</t>
        </is>
      </c>
      <c r="I22" s="43" t="inlineStr">
        <is>
          <t>no</t>
        </is>
      </c>
      <c r="J22" s="45" t="n">
        <v>46232</v>
      </c>
      <c r="K22" s="44" t="inlineStr">
        <is>
          <t>Geometry and visual recipe evidence passes.</t>
        </is>
      </c>
      <c r="L22" s="43" t="n">
        <v>1</v>
      </c>
      <c r="M22" s="43">
        <f>IF(OR(AND(I22="yes",H22="verified"),AND(I22="no",OR(H22="tested",H22="verified")),AND(H22="not applicable",K22&lt;&gt;"")),1,0)</f>
        <v/>
      </c>
    </row>
    <row r="23" ht="54" customHeight="1" s="34">
      <c r="A23" s="43" t="inlineStr">
        <is>
          <t>FU-15</t>
        </is>
      </c>
      <c r="B23" s="43" t="inlineStr">
        <is>
          <t>File content</t>
        </is>
      </c>
      <c r="C23" s="43" t="inlineStr">
        <is>
          <t>Item / ItemName / ItemSize / ItemDeleteTrigger</t>
        </is>
      </c>
      <c r="D23" s="44" t="inlineStr">
        <is>
          <t>Multiple long filenames, complete accessible names, formatted sizes, and remove actions remain readable and contained without sharp overflow edges.</t>
        </is>
      </c>
      <c r="E23" s="43" t="inlineStr">
        <is>
          <t>browser</t>
        </is>
      </c>
      <c r="F23" s="43" t="inlineStr">
        <is>
          <t>visual</t>
        </is>
      </c>
      <c r="G23" s="44" t="inlineStr">
        <is>
          <t>tests/components/file-upload/visual.spec.ts</t>
        </is>
      </c>
      <c r="H23" s="43" t="inlineStr">
        <is>
          <t>tested</t>
        </is>
      </c>
      <c r="I23" s="43" t="inlineStr">
        <is>
          <t>no</t>
        </is>
      </c>
      <c r="J23" s="45" t="n">
        <v>46232</v>
      </c>
      <c r="K23" s="44" t="inlineStr">
        <is>
          <t>Filled and stress baselines pass and were visually inspected.</t>
        </is>
      </c>
      <c r="L23" s="43" t="n">
        <v>1</v>
      </c>
      <c r="M23" s="43">
        <f>IF(OR(AND(I23="yes",H23="verified"),AND(I23="no",OR(H23="tested",H23="verified")),AND(H23="not applicable",K23&lt;&gt;"")),1,0)</f>
        <v/>
      </c>
    </row>
    <row r="24" ht="54" customHeight="1" s="34">
      <c r="A24" s="43" t="inlineStr">
        <is>
          <t>FU-16</t>
        </is>
      </c>
      <c r="B24" s="43" t="inlineStr">
        <is>
          <t>Responsive</t>
        </is>
      </c>
      <c r="C24" s="43" t="inlineStr">
        <is>
          <t>Root / items</t>
        </is>
      </c>
      <c r="D24" s="44" t="inlineStr">
        <is>
          <t>Full and intrinsic widths, narrow mobile reflow, wrapping instructions, ellipsized names, and 44px actions remain within the page.</t>
        </is>
      </c>
      <c r="E24" s="43" t="inlineStr">
        <is>
          <t>browser</t>
        </is>
      </c>
      <c r="F24" s="43" t="inlineStr">
        <is>
          <t>browser</t>
        </is>
      </c>
      <c r="G24" s="44" t="inlineStr">
        <is>
          <t>tests/components/file-upload/behavior.spec.ts</t>
        </is>
      </c>
      <c r="H24" s="43" t="inlineStr">
        <is>
          <t>tested</t>
        </is>
      </c>
      <c r="I24" s="43" t="inlineStr">
        <is>
          <t>no</t>
        </is>
      </c>
      <c r="J24" s="45" t="n">
        <v>46232</v>
      </c>
      <c r="K24" s="44" t="inlineStr">
        <is>
          <t>Narrow and target-size assertions pass in all configured browser/device projects.</t>
        </is>
      </c>
      <c r="L24" s="43" t="n">
        <v>1</v>
      </c>
      <c r="M24" s="43">
        <f>IF(OR(AND(I24="yes",H24="verified"),AND(I24="no",OR(H24="tested",H24="verified")),AND(H24="not applicable",K24&lt;&gt;"")),1,0)</f>
        <v/>
      </c>
    </row>
    <row r="25" ht="54" customHeight="1" s="34">
      <c r="A25" s="43" t="inlineStr">
        <is>
          <t>FU-17</t>
        </is>
      </c>
      <c r="B25" s="43" t="inlineStr">
        <is>
          <t>RTL</t>
        </is>
      </c>
      <c r="C25" s="43" t="inlineStr">
        <is>
          <t>All parts</t>
        </is>
      </c>
      <c r="D25" s="44" t="inlineStr">
        <is>
          <t>Logical layout visibly mirrors item actions and dropzone composition without changing filename direction or causing overflow.</t>
        </is>
      </c>
      <c r="E25" s="43" t="inlineStr">
        <is>
          <t>browser</t>
        </is>
      </c>
      <c r="F25" s="43" t="inlineStr">
        <is>
          <t>browser</t>
        </is>
      </c>
      <c r="G25" s="44" t="inlineStr">
        <is>
          <t>tests/components/file-upload/behavior.spec.ts</t>
        </is>
      </c>
      <c r="H25" s="43" t="inlineStr">
        <is>
          <t>tested</t>
        </is>
      </c>
      <c r="I25" s="43" t="inlineStr">
        <is>
          <t>no</t>
        </is>
      </c>
      <c r="J25" s="45" t="n">
        <v>46232</v>
      </c>
      <c r="K25" s="44" t="inlineStr">
        <is>
          <t>RTL action placement and containment assertions pass.</t>
        </is>
      </c>
      <c r="L25" s="43" t="n">
        <v>1</v>
      </c>
      <c r="M25" s="43">
        <f>IF(OR(AND(I25="yes",H25="verified"),AND(I25="no",OR(H25="tested",H25="verified")),AND(H25="not applicable",K25&lt;&gt;"")),1,0)</f>
        <v/>
      </c>
    </row>
    <row r="26" ht="54" customHeight="1" s="34">
      <c r="A26" s="43" t="inlineStr">
        <is>
          <t>FU-18</t>
        </is>
      </c>
      <c r="B26" s="43" t="inlineStr">
        <is>
          <t>Appearance and preferences</t>
        </is>
      </c>
      <c r="C26" s="43" t="inlineStr">
        <is>
          <t>All parts</t>
        </is>
      </c>
      <c r="D26" s="44" t="inlineStr">
        <is>
          <t>Light, dark, forced-color, reduced-motion, invalid, disabled, read-only, accepted, and rejected paint retain boundaries and non-color distinctions.</t>
        </is>
      </c>
      <c r="E26" s="43" t="inlineStr">
        <is>
          <t>browser</t>
        </is>
      </c>
      <c r="F26" s="43" t="inlineStr">
        <is>
          <t>visual</t>
        </is>
      </c>
      <c r="G26" s="44" t="inlineStr">
        <is>
          <t>tests/components/file-upload/visual.spec.ts</t>
        </is>
      </c>
      <c r="H26" s="43" t="inlineStr">
        <is>
          <t>tested</t>
        </is>
      </c>
      <c r="I26" s="43" t="inlineStr">
        <is>
          <t>no</t>
        </is>
      </c>
      <c r="J26" s="45" t="n">
        <v>46232</v>
      </c>
      <c r="K26" s="44" t="inlineStr">
        <is>
          <t>Appearance, state, and stress baselines pass and were visually inspected.</t>
        </is>
      </c>
      <c r="L26" s="43" t="n">
        <v>1</v>
      </c>
      <c r="M26" s="43">
        <f>IF(OR(AND(I26="yes",H26="verified"),AND(I26="no",OR(H26="tested",H26="verified")),AND(H26="not applicable",K26&lt;&gt;"")),1,0)</f>
        <v/>
      </c>
    </row>
    <row r="27" ht="54" customHeight="1" s="34">
      <c r="A27" s="43" t="inlineStr">
        <is>
          <t>FU-19</t>
        </is>
      </c>
      <c r="B27" s="43" t="inlineStr">
        <is>
          <t>Customization</t>
        </is>
      </c>
      <c r="C27" s="43" t="inlineStr">
        <is>
          <t>All parts</t>
        </is>
      </c>
      <c r="D27" s="44" t="inlineStr">
        <is>
          <t>Stable classes, slots, public variables, className, style, authored Trigger content, and custom delete content preserve Atom behavior.</t>
        </is>
      </c>
      <c r="E27" s="43" t="inlineStr">
        <is>
          <t>package</t>
        </is>
      </c>
      <c r="F27" s="43" t="inlineStr">
        <is>
          <t>component</t>
        </is>
      </c>
      <c r="G27" s="44" t="inlineStr">
        <is>
          <t>../test/components/file-upload/file-upload.test.tsx; ../docs/components/file-upload/README.md</t>
        </is>
      </c>
      <c r="H27" s="43" t="inlineStr">
        <is>
          <t>tested</t>
        </is>
      </c>
      <c r="I27" s="43" t="inlineStr">
        <is>
          <t>no</t>
        </is>
      </c>
      <c r="J27" s="45" t="n">
        <v>46232</v>
      </c>
      <c r="K27" s="44" t="inlineStr">
        <is>
          <t>Customization assertions and documentation contract pass.</t>
        </is>
      </c>
      <c r="L27" s="43" t="n">
        <v>1</v>
      </c>
      <c r="M27" s="43">
        <f>IF(OR(AND(I27="yes",H27="verified"),AND(I27="no",OR(H27="tested",H27="verified")),AND(H27="not applicable",K27&lt;&gt;"")),1,0)</f>
        <v/>
      </c>
    </row>
    <row r="28" ht="54" customHeight="1" s="34">
      <c r="A28" s="43" t="inlineStr">
        <is>
          <t>FU-20</t>
        </is>
      </c>
      <c r="B28" s="43" t="inlineStr">
        <is>
          <t>Accessibility</t>
        </is>
      </c>
      <c r="C28" s="43" t="inlineStr">
        <is>
          <t>HiddenInput / Trigger / Dropzone / items</t>
        </is>
      </c>
      <c r="D28" s="44" t="inlineStr">
        <is>
          <t>One field label, action wording, description/error relationships, required/invalid state, picker alternative, file-specific removal names, focus, targets, and axe checks pass.</t>
        </is>
      </c>
      <c r="E28" s="43" t="inlineStr">
        <is>
          <t>browser</t>
        </is>
      </c>
      <c r="F28" s="43" t="inlineStr">
        <is>
          <t>axe</t>
        </is>
      </c>
      <c r="G28" s="44" t="inlineStr">
        <is>
          <t>tests/components/file-upload/behavior.spec.ts; @flowstack-ui/atom 0.19.7 behavior suite</t>
        </is>
      </c>
      <c r="H28" s="43" t="inlineStr">
        <is>
          <t>tested</t>
        </is>
      </c>
      <c r="I28" s="43" t="inlineStr">
        <is>
          <t>no</t>
        </is>
      </c>
      <c r="J28" s="45" t="n">
        <v>46232</v>
      </c>
      <c r="K28" s="44" t="inlineStr">
        <is>
          <t>Focused axe and semantic assertions pass across all configured projects.</t>
        </is>
      </c>
      <c r="L28" s="43" t="n">
        <v>1</v>
      </c>
      <c r="M28" s="43">
        <f>IF(OR(AND(I28="yes",H28="verified"),AND(I28="no",OR(H28="tested",H28="verified")),AND(H28="not applicable",K28&lt;&gt;"")),1,0)</f>
        <v/>
      </c>
    </row>
    <row r="29" ht="54" customHeight="1" s="34">
      <c r="A29" s="43" t="inlineStr">
        <is>
          <t>FU-21</t>
        </is>
      </c>
      <c r="B29" s="43" t="inlineStr">
        <is>
          <t>Playground</t>
        </is>
      </c>
      <c r="C29" s="43" t="inlineStr">
        <is>
          <t>All parts</t>
        </is>
      </c>
      <c r="D29" s="44" t="inlineStr">
        <is>
          <t>One route exposes nine ordered, separately padded scenarios with compact badges, titles/descriptions, states, Field/Form, customization, responsive, and visibly mirrored RTL evidence.</t>
        </is>
      </c>
      <c r="E29" s="43" t="inlineStr">
        <is>
          <t>package</t>
        </is>
      </c>
      <c r="F29" s="43" t="inlineStr">
        <is>
          <t>playground</t>
        </is>
      </c>
      <c r="G29" s="44" t="inlineStr">
        <is>
          <t>src/components/file-upload/FileUploadPage.tsx</t>
        </is>
      </c>
      <c r="H29" s="43" t="inlineStr">
        <is>
          <t>tested</t>
        </is>
      </c>
      <c r="I29" s="43" t="inlineStr">
        <is>
          <t>no</t>
        </is>
      </c>
      <c r="J29" s="45" t="n">
        <v>46232</v>
      </c>
      <c r="K29" s="44" t="inlineStr">
        <is>
          <t>Playground ownership, composition, route, and focused browser checks pass.</t>
        </is>
      </c>
      <c r="L29" s="43" t="n">
        <v>1</v>
      </c>
      <c r="M29" s="43">
        <f>IF(OR(AND(I29="yes",H29="verified"),AND(I29="no",OR(H29="tested",H29="verified")),AND(H29="not applicable",K29&lt;&gt;"")),1,0)</f>
        <v/>
      </c>
    </row>
    <row r="30" ht="54" customHeight="1" s="34">
      <c r="A30" s="43" t="inlineStr">
        <is>
          <t>FU-22</t>
        </is>
      </c>
      <c r="B30" s="43" t="inlineStr">
        <is>
          <t>Visual baselines</t>
        </is>
      </c>
      <c r="C30" s="43" t="inlineStr">
        <is>
          <t>All parts</t>
        </is>
      </c>
      <c r="D30" s="44" t="inlineStr">
        <is>
          <t>Reviewed baselines cover overview, variants, recipes, states, appearance/customization, and mobile stress without layout overflow.</t>
        </is>
      </c>
      <c r="E30" s="43" t="inlineStr">
        <is>
          <t>browser</t>
        </is>
      </c>
      <c r="F30" s="43" t="inlineStr">
        <is>
          <t>visual</t>
        </is>
      </c>
      <c r="G30" s="44" t="inlineStr">
        <is>
          <t>tests/components/file-upload/visual.spec.ts; tests/components/file-upload/visual.spec.ts-snapshots</t>
        </is>
      </c>
      <c r="H30" s="43" t="inlineStr">
        <is>
          <t>tested</t>
        </is>
      </c>
      <c r="I30" s="43" t="inlineStr">
        <is>
          <t>no</t>
        </is>
      </c>
      <c r="J30" s="45" t="n">
        <v>46232</v>
      </c>
      <c r="K30" s="44" t="inlineStr">
        <is>
          <t>Six Chromium baselines pass and were visually inspected on July 29, 2026.</t>
        </is>
      </c>
      <c r="L30" s="43" t="n">
        <v>1</v>
      </c>
      <c r="M30" s="43">
        <f>IF(OR(AND(I30="yes",H30="verified"),AND(I30="no",OR(H30="tested",H30="verified")),AND(H30="not applicable",K30&lt;&gt;"")),1,0)</f>
        <v/>
      </c>
    </row>
    <row r="31" ht="54" customHeight="1" s="34">
      <c r="A31" s="43" t="inlineStr">
        <is>
          <t>FU-23</t>
        </is>
      </c>
      <c r="B31" s="43" t="inlineStr">
        <is>
          <t>Documentation</t>
        </is>
      </c>
      <c r="C31" s="43" t="inlineStr">
        <is>
          <t>Public guide</t>
        </is>
      </c>
      <c r="D31" s="44" t="inlineStr">
        <is>
          <t>Guide documents role, exclusions, anatomy, API, Field/Form composition, constraints, rejection policy, recipes, accessibility, customization, refs, and evidence.</t>
        </is>
      </c>
      <c r="E31" s="43" t="inlineStr">
        <is>
          <t>package</t>
        </is>
      </c>
      <c r="F31" s="43" t="inlineStr">
        <is>
          <t>documentation</t>
        </is>
      </c>
      <c r="G31" s="44" t="inlineStr">
        <is>
          <t>../docs/components/file-upload/README.md</t>
        </is>
      </c>
      <c r="H31" s="43" t="inlineStr">
        <is>
          <t>tested</t>
        </is>
      </c>
      <c r="I31" s="43" t="inlineStr">
        <is>
          <t>no</t>
        </is>
      </c>
      <c r="J31" s="45" t="n">
        <v>46232</v>
      </c>
      <c r="K31" s="44" t="inlineStr">
        <is>
          <t>Structural and semantic documentation verification passes.</t>
        </is>
      </c>
      <c r="L31" s="43" t="n">
        <v>1</v>
      </c>
      <c r="M31" s="43">
        <f>IF(OR(AND(I31="yes",H31="verified"),AND(I31="no",OR(H31="tested",H31="verified")),AND(H31="not applicable",K31&lt;&gt;"")),1,0)</f>
        <v/>
      </c>
    </row>
    <row r="32" ht="54" customHeight="1" s="34">
      <c r="A32" s="43" t="inlineStr">
        <is>
          <t>FU-24</t>
        </is>
      </c>
      <c r="B32" s="43" t="inlineStr">
        <is>
          <t>Changelog</t>
        </is>
      </c>
      <c r="C32" s="43" t="inlineStr">
        <is>
          <t>Public record</t>
        </is>
      </c>
      <c r="D32" s="44" t="inlineStr">
        <is>
          <t>Component and package changelogs describe the release-facing File Upload addition and Atom dependency.</t>
        </is>
      </c>
      <c r="E32" s="43" t="inlineStr">
        <is>
          <t>package</t>
        </is>
      </c>
      <c r="F32" s="43" t="inlineStr">
        <is>
          <t>documentation</t>
        </is>
      </c>
      <c r="G32" s="44" t="inlineStr">
        <is>
          <t>../docs/components/file-upload/CHANGELOG.md; ../CHANGELOG.md</t>
        </is>
      </c>
      <c r="H32" s="43" t="inlineStr">
        <is>
          <t>tested</t>
        </is>
      </c>
      <c r="I32" s="43" t="inlineStr">
        <is>
          <t>no</t>
        </is>
      </c>
      <c r="J32" s="45" t="n">
        <v>46232</v>
      </c>
      <c r="K32" s="44" t="inlineStr">
        <is>
          <t>Changelog contract verification passes.</t>
        </is>
      </c>
      <c r="L32" s="43" t="n">
        <v>1</v>
      </c>
      <c r="M32" s="43">
        <f>IF(OR(AND(I32="yes",H32="verified"),AND(I32="no",OR(H32="tested",H32="verified")),AND(H32="not applicable",K32&lt;&gt;"")),1,0)</f>
        <v/>
      </c>
    </row>
    <row r="33" ht="54" customHeight="1" s="34">
      <c r="A33" s="43" t="inlineStr">
        <is>
          <t>FU-25</t>
        </is>
      </c>
      <c r="B33" s="43" t="inlineStr">
        <is>
          <t>Consumer</t>
        </is>
      </c>
      <c r="C33" s="43" t="inlineStr">
        <is>
          <t>Root / Field / items</t>
        </is>
      </c>
      <c r="D33" s="44" t="inlineStr">
        <is>
          <t>Packed Consumer composes a realistic local attachment field with constraints, rejection feedback, removal, native reset, and public file-upload subpath imports.</t>
        </is>
      </c>
      <c r="E33" s="43" t="inlineStr">
        <is>
          <t>consumer</t>
        </is>
      </c>
      <c r="F33" s="43" t="inlineStr">
        <is>
          <t>consumer</t>
        </is>
      </c>
      <c r="G33" s="44" t="inlineStr">
        <is>
          <t>../apps/consumer/src/App.tsx; ../apps/consumer/tests/consumer.spec.ts</t>
        </is>
      </c>
      <c r="H33" s="43" t="inlineStr">
        <is>
          <t>tested</t>
        </is>
      </c>
      <c r="I33" s="43" t="inlineStr">
        <is>
          <t>no</t>
        </is>
      </c>
      <c r="J33" s="45" t="n">
        <v>46232</v>
      </c>
      <c r="K33" s="44" t="inlineStr">
        <is>
          <t>Packed Consumer desktop/mobile suite and app artifact verification pass.</t>
        </is>
      </c>
      <c r="L33" s="43" t="n">
        <v>1</v>
      </c>
      <c r="M33" s="43">
        <f>IF(OR(AND(I33="yes",H33="verified"),AND(I33="no",OR(H33="tested",H33="verified")),AND(H33="not applicable",K33&lt;&gt;"")),1,0)</f>
        <v/>
      </c>
    </row>
    <row r="34" ht="54" customHeight="1" s="34">
      <c r="A34" s="43" t="inlineStr">
        <is>
          <t>FU-26</t>
        </is>
      </c>
      <c r="B34" s="43" t="inlineStr">
        <is>
          <t>Manual</t>
        </is>
      </c>
      <c r="C34" s="43" t="inlineStr">
        <is>
          <t>All parts</t>
        </is>
      </c>
      <c r="D34" s="44" t="inlineStr">
        <is>
          <t>Numbered owner protocol covers desktop/mobile picker, external file drag, keyboard, touch, assistive technology, Field/Form validation, preferences, zoom, RTL, and outside-drop safety.</t>
        </is>
      </c>
      <c r="E34" s="43" t="inlineStr">
        <is>
          <t>human</t>
        </is>
      </c>
      <c r="F34" s="43" t="inlineStr">
        <is>
          <t>manual</t>
        </is>
      </c>
      <c r="G34" s="44" t="inlineStr">
        <is>
          <t>manual-tests/file-upload.md</t>
        </is>
      </c>
      <c r="H34" s="43" t="inlineStr">
        <is>
          <t>not started</t>
        </is>
      </c>
      <c r="I34" s="43" t="inlineStr">
        <is>
          <t>yes</t>
        </is>
      </c>
      <c r="J34" s="45" t="n">
        <v>46232</v>
      </c>
      <c r="K34" s="44" t="inlineStr">
        <is>
          <t>Human manual run intentionally deferred.</t>
        </is>
      </c>
      <c r="L34" s="43" t="n">
        <v>1</v>
      </c>
      <c r="M34" s="43">
        <f>IF(OR(AND(I34="yes",H34="verified"),AND(I34="no",OR(H34="tested",H34="verified")),AND(H34="not applicable",K34&lt;&gt;"")),1,0)</f>
        <v/>
      </c>
    </row>
    <row r="35" ht="54" customHeight="1" s="34">
      <c r="A35" s="43" t="inlineStr">
        <is>
          <t>FU-27</t>
        </is>
      </c>
      <c r="B35" s="43" t="inlineStr">
        <is>
          <t>Package</t>
        </is>
      </c>
      <c r="C35" s="43" t="inlineStr">
        <is>
          <t>Artifact</t>
        </is>
      </c>
      <c r="D35" s="44" t="inlineStr">
        <is>
          <t>Build, declarations, exports, SSR, CSS, docs, tarball, exact Atom 0.20.11, clean React 18/19 consumers, focused five-project browsers, and Consumer pass.</t>
        </is>
      </c>
      <c r="E35" s="43" t="inlineStr">
        <is>
          <t>package</t>
        </is>
      </c>
      <c r="F35" s="43" t="inlineStr">
        <is>
          <t>package</t>
        </is>
      </c>
      <c r="G35" s="44" t="inlineStr">
        <is>
          <t>../scripts/verify-package.mjs; ../scripts/verify-consumers.mjs</t>
        </is>
      </c>
      <c r="H35" s="43" t="inlineStr">
        <is>
          <t>tested</t>
        </is>
      </c>
      <c r="I35" s="43" t="inlineStr">
        <is>
          <t>no</t>
        </is>
      </c>
      <c r="J35" s="45" t="n">
        <v>46232</v>
      </c>
      <c r="K35" s="44" t="inlineStr">
        <is>
          <t>Complete repository check, 853-file pack check, React 18/19, focused browser matrix, and packed Consumer verification pass.</t>
        </is>
      </c>
      <c r="L35" s="43" t="n">
        <v>1</v>
      </c>
      <c r="M35" s="43">
        <f>IF(OR(AND(I35="yes",H35="verified"),AND(I35="no",OR(H35="tested",H35="verified")),AND(H35="not applicable",K35&lt;&gt;"")),1,0)</f>
        <v/>
      </c>
    </row>
    <row r="36" ht="54" customHeight="1" s="34">
      <c r="A36" s="43" t="inlineStr">
        <is>
          <t>FU-28</t>
        </is>
      </c>
      <c r="B36" s="43" t="inlineStr">
        <is>
          <t>Boundary</t>
        </is>
      </c>
      <c r="C36" s="43" t="inlineStr">
        <is>
          <t>All parts</t>
        </is>
      </c>
      <c r="D36" s="44" t="inlineStr">
        <is>
          <t>Network upload, previews, progress, retry, persistence, directory/capture/paste modes, transforms, duplicate policy, and server/security claims remain outside File Upload.</t>
        </is>
      </c>
      <c r="E36" s="43" t="inlineStr">
        <is>
          <t>package</t>
        </is>
      </c>
      <c r="F36" s="43" t="inlineStr">
        <is>
          <t>documentation</t>
        </is>
      </c>
      <c r="G36" s="44" t="inlineStr">
        <is>
          <t>../docs/components/file-upload/README.md</t>
        </is>
      </c>
      <c r="H36" s="43" t="inlineStr">
        <is>
          <t>tested</t>
        </is>
      </c>
      <c r="I36" s="43" t="inlineStr">
        <is>
          <t>no</t>
        </is>
      </c>
      <c r="J36" s="45" t="n">
        <v>46232</v>
      </c>
      <c r="K36" s="44" t="inlineStr">
        <is>
          <t>Public boundary and exclusions are documented and verified.</t>
        </is>
      </c>
      <c r="L36" s="43" t="n">
        <v>1</v>
      </c>
      <c r="M36" s="43">
        <f>IF(OR(AND(I36="yes",H36="verified"),AND(I36="no",OR(H36="tested",H36="verified")),AND(H36="not applicable",K36&lt;&gt;"")),1,0)</f>
        <v/>
      </c>
    </row>
  </sheetData>
  <mergeCells count="2">
    <mergeCell ref="A2:M2"/>
    <mergeCell ref="A1:M1"/>
  </mergeCells>
  <dataValidations count="2">
    <dataValidation sqref="H9:H36" showDropDown="0" showInputMessage="0" showErrorMessage="0" allowBlank="0" type="list" errorStyle="stop" operator="between">
      <formula1>"not started,partial,implemented,tested,verified,blocked,not applicable"</formula1>
      <formula2>0</formula2>
    </dataValidation>
    <dataValidation sqref="I9:I36"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4.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Skip Link Evidence</t>
        </is>
      </c>
    </row>
    <row r="2" ht="27.75" customHeight="1" s="34">
      <c r="A2" s="36" t="inlineStr">
        <is>
          <t>Assertion-level Atom-backed bypass-link focus, activation, destination, composition, viewport, accessibility, visual, documentation, Consumer,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SL-01</t>
        </is>
      </c>
      <c r="B9" s="43" t="inlineStr">
        <is>
          <t>Ownership</t>
        </is>
      </c>
      <c r="C9" s="43" t="inlineStr">
        <is>
          <t>Root / Target</t>
        </is>
      </c>
      <c r="D9" s="44" t="inlineStr">
        <is>
          <t>Brick delegates focus transfer, target resolution, native fallback, and continuation to exact installed Atom 0.20.11 and adds only stable Brick hooks and visual treatment.</t>
        </is>
      </c>
      <c r="E9" s="43" t="inlineStr">
        <is>
          <t>package</t>
        </is>
      </c>
      <c r="F9" s="43" t="inlineStr">
        <is>
          <t>source</t>
        </is>
      </c>
      <c r="G9" s="44" t="inlineStr">
        <is>
          <t>../src/components/skip-link/SkipLink.tsx; ../package.json</t>
        </is>
      </c>
      <c r="H9" s="43" t="inlineStr">
        <is>
          <t>tested</t>
        </is>
      </c>
      <c r="I9" s="43" t="inlineStr">
        <is>
          <t>no</t>
        </is>
      </c>
      <c r="J9" s="45" t="n">
        <v>46232</v>
      </c>
      <c r="K9" s="44" t="inlineStr">
        <is>
          <t>Exact released Atom behavior and public adapter source were audited.</t>
        </is>
      </c>
      <c r="L9" s="43" t="n">
        <v>1</v>
      </c>
      <c r="M9" s="43">
        <f>IF(OR(AND(I9="yes",H9="verified"),AND(I9="no",OR(H9="tested",H9="verified")),AND(H9="not applicable",K9&lt;&gt;"")),1,0)</f>
        <v/>
      </c>
    </row>
    <row r="10" ht="54" customHeight="1" s="34">
      <c r="A10" s="43" t="inlineStr">
        <is>
          <t>SL-02</t>
        </is>
      </c>
      <c r="B10" s="43" t="inlineStr">
        <is>
          <t>Anatomy</t>
        </is>
      </c>
      <c r="C10" s="43" t="inlineStr">
        <is>
          <t>Root / Target</t>
        </is>
      </c>
      <c r="D10" s="44" t="inlineStr">
        <is>
          <t>The two-part namespace preserves the anchor Root and focusable destination Target, default IDs, native props, authored IDs, children, composition, and refs.</t>
        </is>
      </c>
      <c r="E10" s="43" t="inlineStr">
        <is>
          <t>package</t>
        </is>
      </c>
      <c r="F10" s="43" t="inlineStr">
        <is>
          <t>component</t>
        </is>
      </c>
      <c r="G10" s="44" t="inlineStr">
        <is>
          <t>../test/components/skip-link/skip-link.test.tsx</t>
        </is>
      </c>
      <c r="H10" s="43" t="inlineStr">
        <is>
          <t>tested</t>
        </is>
      </c>
      <c r="I10" s="43" t="inlineStr">
        <is>
          <t>no</t>
        </is>
      </c>
      <c r="J10" s="45" t="n">
        <v>46232</v>
      </c>
      <c r="K10" s="44" t="inlineStr">
        <is>
          <t>Focused component anatomy and ref assertions pass.</t>
        </is>
      </c>
      <c r="L10" s="43" t="n">
        <v>1</v>
      </c>
      <c r="M10" s="43">
        <f>IF(OR(AND(I10="yes",H10="verified"),AND(I10="no",OR(H10="tested",H10="verified")),AND(H10="not applicable",K10&lt;&gt;"")),1,0)</f>
        <v/>
      </c>
    </row>
    <row r="11" ht="54" customHeight="1" s="34">
      <c r="A11" s="43" t="inlineStr">
        <is>
          <t>SL-03</t>
        </is>
      </c>
      <c r="B11" s="43" t="inlineStr">
        <is>
          <t>Exports</t>
        </is>
      </c>
      <c r="C11" s="43" t="inlineStr">
        <is>
          <t>SkipLink</t>
        </is>
      </c>
      <c r="D11" s="44" t="inlineStr">
        <is>
          <t>Root and skip-link subpath expose the namespace, named parts, and prop types with identical runtime identities.</t>
        </is>
      </c>
      <c r="E11" s="43" t="inlineStr">
        <is>
          <t>package</t>
        </is>
      </c>
      <c r="F11" s="43" t="inlineStr">
        <is>
          <t>package</t>
        </is>
      </c>
      <c r="G11" s="44" t="inlineStr">
        <is>
          <t>../test/package/package.test.mjs; ../package.json</t>
        </is>
      </c>
      <c r="H11" s="43" t="inlineStr">
        <is>
          <t>tested</t>
        </is>
      </c>
      <c r="I11" s="43" t="inlineStr">
        <is>
          <t>no</t>
        </is>
      </c>
      <c r="J11" s="45" t="n">
        <v>46232</v>
      </c>
      <c r="K11" s="44" t="inlineStr">
        <is>
          <t>Root/subpath import assertions pass.</t>
        </is>
      </c>
      <c r="L11" s="43" t="n">
        <v>1</v>
      </c>
      <c r="M11" s="43">
        <f>IF(OR(AND(I11="yes",H11="verified"),AND(I11="no",OR(H11="tested",H11="verified")),AND(H11="not applicable",K11&lt;&gt;"")),1,0)</f>
        <v/>
      </c>
    </row>
    <row r="12" ht="54" customHeight="1" s="34">
      <c r="A12" s="43" t="inlineStr">
        <is>
          <t>SL-04</t>
        </is>
      </c>
      <c r="B12" s="43" t="inlineStr">
        <is>
          <t>Types</t>
        </is>
      </c>
      <c r="C12" s="43" t="inlineStr">
        <is>
          <t>Root / Target</t>
        </is>
      </c>
      <c r="D12" s="44" t="inlineStr">
        <is>
          <t>Native anchor and target props, custom fragment IDs, render/asChild composition, class hooks, events, and refs type-check through the public subpath.</t>
        </is>
      </c>
      <c r="E12" s="43" t="inlineStr">
        <is>
          <t>package</t>
        </is>
      </c>
      <c r="F12" s="43" t="inlineStr">
        <is>
          <t>types</t>
        </is>
      </c>
      <c r="G12" s="44" t="inlineStr">
        <is>
          <t>../test/types/components/skip-link.test.ts</t>
        </is>
      </c>
      <c r="H12" s="43" t="inlineStr">
        <is>
          <t>tested</t>
        </is>
      </c>
      <c r="I12" s="43" t="inlineStr">
        <is>
          <t>no</t>
        </is>
      </c>
      <c r="J12" s="45" t="n">
        <v>46232</v>
      </c>
      <c r="K12" s="44" t="inlineStr">
        <is>
          <t>Focused public typecheck passes.</t>
        </is>
      </c>
      <c r="L12" s="43" t="n">
        <v>1</v>
      </c>
      <c r="M12" s="43">
        <f>IF(OR(AND(I12="yes",H12="verified"),AND(I12="no",OR(H12="tested",H12="verified")),AND(H12="not applicable",K12&lt;&gt;"")),1,0)</f>
        <v/>
      </c>
    </row>
    <row r="13" ht="54" customHeight="1" s="34">
      <c r="A13" s="43" t="inlineStr">
        <is>
          <t>SL-05</t>
        </is>
      </c>
      <c r="B13" s="43" t="inlineStr">
        <is>
          <t>SSR</t>
        </is>
      </c>
      <c r="C13" s="43" t="inlineStr">
        <is>
          <t>Root / Target</t>
        </is>
      </c>
      <c r="D13" s="44" t="inlineStr">
        <is>
          <t>The public package imports server-safely and emits deterministic bypass-link and destination markup without browser globals during render.</t>
        </is>
      </c>
      <c r="E13" s="43" t="inlineStr">
        <is>
          <t>package</t>
        </is>
      </c>
      <c r="F13" s="43" t="inlineStr">
        <is>
          <t>package</t>
        </is>
      </c>
      <c r="G13" s="44" t="inlineStr">
        <is>
          <t>../test/package/package.test.mjs; ../test/package/ssr.test.mjs</t>
        </is>
      </c>
      <c r="H13" s="43" t="inlineStr">
        <is>
          <t>tested</t>
        </is>
      </c>
      <c r="I13" s="43" t="inlineStr">
        <is>
          <t>no</t>
        </is>
      </c>
      <c r="J13" s="45" t="n">
        <v>46232</v>
      </c>
      <c r="K13" s="44" t="inlineStr">
        <is>
          <t>Server-safe package import and render checks pass.</t>
        </is>
      </c>
      <c r="L13" s="43" t="n">
        <v>1</v>
      </c>
      <c r="M13" s="43">
        <f>IF(OR(AND(I13="yes",H13="verified"),AND(I13="no",OR(H13="tested",H13="verified")),AND(H13="not applicable",K13&lt;&gt;"")),1,0)</f>
        <v/>
      </c>
    </row>
    <row r="14" ht="54" customHeight="1" s="34">
      <c r="A14" s="43" t="inlineStr">
        <is>
          <t>SL-06</t>
        </is>
      </c>
      <c r="B14" s="43" t="inlineStr">
        <is>
          <t>CSS</t>
        </is>
      </c>
      <c r="C14" s="43" t="inlineStr">
        <is>
          <t>Root</t>
        </is>
      </c>
      <c r="D14" s="44" t="inlineStr">
        <is>
          <t>Static CSS keeps the unfocused link outside the viewport, reveals a 44px logical overlay on focus, preserves opaque paint, focus contrast, forced colors, and public variables.</t>
        </is>
      </c>
      <c r="E14" s="43" t="inlineStr">
        <is>
          <t>package</t>
        </is>
      </c>
      <c r="F14" s="43" t="inlineStr">
        <is>
          <t>css</t>
        </is>
      </c>
      <c r="G14" s="44" t="inlineStr">
        <is>
          <t>../src/components/skip-link/skip-link.css; ../scripts/prototype-css.mjs</t>
        </is>
      </c>
      <c r="H14" s="43" t="inlineStr">
        <is>
          <t>tested</t>
        </is>
      </c>
      <c r="I14" s="43" t="inlineStr">
        <is>
          <t>no</t>
        </is>
      </c>
      <c r="J14" s="45" t="n">
        <v>46232</v>
      </c>
      <c r="K14" s="44" t="inlineStr">
        <is>
          <t>Production CSS and prototype validation pass.</t>
        </is>
      </c>
      <c r="L14" s="43" t="n">
        <v>1</v>
      </c>
      <c r="M14" s="43">
        <f>IF(OR(AND(I14="yes",H14="verified"),AND(I14="no",OR(H14="tested",H14="verified")),AND(H14="not applicable",K14&lt;&gt;"")),1,0)</f>
        <v/>
      </c>
    </row>
    <row r="15" ht="54" customHeight="1" s="34">
      <c r="A15" s="43" t="inlineStr">
        <is>
          <t>SL-07</t>
        </is>
      </c>
      <c r="B15" s="43" t="inlineStr">
        <is>
          <t>First focus</t>
        </is>
      </c>
      <c r="C15" s="43" t="inlineStr">
        <is>
          <t>Root</t>
        </is>
      </c>
      <c r="D15" s="44" t="inlineStr">
        <is>
          <t>When authored first, the bypass link is the first Tab stop, has no unfocused visual/layout artifact, and becomes fully visible immediately on focus.</t>
        </is>
      </c>
      <c r="E15" s="43" t="inlineStr">
        <is>
          <t>browser</t>
        </is>
      </c>
      <c r="F15" s="43" t="inlineStr">
        <is>
          <t>browser</t>
        </is>
      </c>
      <c r="G15" s="44" t="inlineStr">
        <is>
          <t>tests/components/skip-link/behavior.spec.ts</t>
        </is>
      </c>
      <c r="H15" s="43" t="inlineStr">
        <is>
          <t>tested</t>
        </is>
      </c>
      <c r="I15" s="43" t="inlineStr">
        <is>
          <t>no</t>
        </is>
      </c>
      <c r="J15" s="45" t="n">
        <v>46232</v>
      </c>
      <c r="K15" s="44" t="inlineStr">
        <is>
          <t>Focused Chromium behavior assertion passes.</t>
        </is>
      </c>
      <c r="L15" s="43" t="n">
        <v>1</v>
      </c>
      <c r="M15" s="43">
        <f>IF(OR(AND(I15="yes",H15="verified"),AND(I15="no",OR(H15="tested",H15="verified")),AND(H15="not applicable",K15&lt;&gt;"")),1,0)</f>
        <v/>
      </c>
    </row>
    <row r="16" ht="54" customHeight="1" s="34">
      <c r="A16" s="43" t="inlineStr">
        <is>
          <t>SL-08</t>
        </is>
      </c>
      <c r="B16" s="43" t="inlineStr">
        <is>
          <t>Activation</t>
        </is>
      </c>
      <c r="C16" s="43" t="inlineStr">
        <is>
          <t>Root / Target</t>
        </is>
      </c>
      <c r="D16" s="44" t="inlineStr">
        <is>
          <t>Activation focuses and scrolls the paired primary-content target, then the next Tab continues to the first interactive descendant.</t>
        </is>
      </c>
      <c r="E16" s="43" t="inlineStr">
        <is>
          <t>browser</t>
        </is>
      </c>
      <c r="F16" s="43" t="inlineStr">
        <is>
          <t>browser</t>
        </is>
      </c>
      <c r="G16" s="44" t="inlineStr">
        <is>
          <t>tests/components/skip-link/behavior.spec.ts; @flowstack-ui/atom 0.19.7 behavior suite</t>
        </is>
      </c>
      <c r="H16" s="43" t="inlineStr">
        <is>
          <t>tested</t>
        </is>
      </c>
      <c r="I16" s="43" t="inlineStr">
        <is>
          <t>no</t>
        </is>
      </c>
      <c r="J16" s="45" t="n">
        <v>46232</v>
      </c>
      <c r="K16" s="44" t="inlineStr">
        <is>
          <t>Released Atom transfer and continuation behavior pass in a real browser.</t>
        </is>
      </c>
      <c r="L16" s="43" t="n">
        <v>1</v>
      </c>
      <c r="M16" s="43">
        <f>IF(OR(AND(I16="yes",H16="verified"),AND(I16="no",OR(H16="tested",H16="verified")),AND(H16="not applicable",K16&lt;&gt;"")),1,0)</f>
        <v/>
      </c>
    </row>
    <row r="17" ht="54" customHeight="1" s="34">
      <c r="A17" s="43" t="inlineStr">
        <is>
          <t>SL-09</t>
        </is>
      </c>
      <c r="B17" s="43" t="inlineStr">
        <is>
          <t>Fallback ownership</t>
        </is>
      </c>
      <c r="C17" s="43" t="inlineStr">
        <is>
          <t>Root / Target</t>
        </is>
      </c>
      <c r="D17" s="44" t="inlineStr">
        <is>
          <t>Prevented activation, native-only fragment navigation, and missing-target navigation remain observably distinct without Brick inventing recovery behavior.</t>
        </is>
      </c>
      <c r="E17" s="43" t="inlineStr">
        <is>
          <t>browser</t>
        </is>
      </c>
      <c r="F17" s="43" t="inlineStr">
        <is>
          <t>browser</t>
        </is>
      </c>
      <c r="G17" s="44" t="inlineStr">
        <is>
          <t>tests/components/skip-link/behavior.spec.ts</t>
        </is>
      </c>
      <c r="H17" s="43" t="inlineStr">
        <is>
          <t>tested</t>
        </is>
      </c>
      <c r="I17" s="43" t="inlineStr">
        <is>
          <t>no</t>
        </is>
      </c>
      <c r="J17" s="45" t="n">
        <v>46232</v>
      </c>
      <c r="K17" s="44" t="inlineStr">
        <is>
          <t>All three ownership paths pass independently.</t>
        </is>
      </c>
      <c r="L17" s="43" t="n">
        <v>1</v>
      </c>
      <c r="M17" s="43">
        <f>IF(OR(AND(I17="yes",H17="verified"),AND(I17="no",OR(H17="tested",H17="verified")),AND(H17="not applicable",K17&lt;&gt;"")),1,0)</f>
        <v/>
      </c>
    </row>
    <row r="18" ht="54" customHeight="1" s="34">
      <c r="A18" s="43" t="inlineStr">
        <is>
          <t>SL-10</t>
        </is>
      </c>
      <c r="B18" s="43" t="inlineStr">
        <is>
          <t>Composition</t>
        </is>
      </c>
      <c r="C18" s="43" t="inlineStr">
        <is>
          <t>Root / Target</t>
        </is>
      </c>
      <c r="D18" s="44" t="inlineStr">
        <is>
          <t>Custom IDs, asChild/render hosts, authored slots and classes, native events, and forwarded refs remain inspectable on both parts.</t>
        </is>
      </c>
      <c r="E18" s="43" t="inlineStr">
        <is>
          <t>browser</t>
        </is>
      </c>
      <c r="F18" s="43" t="inlineStr">
        <is>
          <t>browser</t>
        </is>
      </c>
      <c r="G18" s="44" t="inlineStr">
        <is>
          <t>../test/components/skip-link/skip-link.test.tsx; tests/components/skip-link/behavior.spec.ts</t>
        </is>
      </c>
      <c r="H18" s="43" t="inlineStr">
        <is>
          <t>tested</t>
        </is>
      </c>
      <c r="I18" s="43" t="inlineStr">
        <is>
          <t>no</t>
        </is>
      </c>
      <c r="J18" s="45" t="n">
        <v>46232</v>
      </c>
      <c r="K18" s="44" t="inlineStr">
        <is>
          <t>Component and browser composition assertions pass.</t>
        </is>
      </c>
      <c r="L18" s="43" t="n">
        <v>1</v>
      </c>
      <c r="M18" s="43">
        <f>IF(OR(AND(I18="yes",H18="verified"),AND(I18="no",OR(H18="tested",H18="verified")),AND(H18="not applicable",K18&lt;&gt;"")),1,0)</f>
        <v/>
      </c>
    </row>
    <row r="19" ht="54" customHeight="1" s="34">
      <c r="A19" s="43" t="inlineStr">
        <is>
          <t>SL-11</t>
        </is>
      </c>
      <c r="B19" s="43" t="inlineStr">
        <is>
          <t>Sticky chrome</t>
        </is>
      </c>
      <c r="C19" s="43" t="inlineStr">
        <is>
          <t>Root</t>
        </is>
      </c>
      <c r="D19" s="44" t="inlineStr">
        <is>
          <t>Focused Root uses fixed logical placement and a layer above repeated sticky application chrome without inheriting shell layout or scroll-offset policy.</t>
        </is>
      </c>
      <c r="E19" s="43" t="inlineStr">
        <is>
          <t>browser</t>
        </is>
      </c>
      <c r="F19" s="43" t="inlineStr">
        <is>
          <t>browser</t>
        </is>
      </c>
      <c r="G19" s="44" t="inlineStr">
        <is>
          <t>tests/components/skip-link/behavior.spec.ts; tests/components/skip-link/visual.spec.ts</t>
        </is>
      </c>
      <c r="H19" s="43" t="inlineStr">
        <is>
          <t>tested</t>
        </is>
      </c>
      <c r="I19" s="43" t="inlineStr">
        <is>
          <t>no</t>
        </is>
      </c>
      <c r="J19" s="45" t="n">
        <v>46232</v>
      </c>
      <c r="K19" s="44" t="inlineStr">
        <is>
          <t>Geometry and focused sticky-shell baseline pass.</t>
        </is>
      </c>
      <c r="L19" s="43" t="n">
        <v>1</v>
      </c>
      <c r="M19" s="43">
        <f>IF(OR(AND(I19="yes",H19="verified"),AND(I19="no",OR(H19="tested",H19="verified")),AND(H19="not applicable",K19&lt;&gt;"")),1,0)</f>
        <v/>
      </c>
    </row>
    <row r="20" ht="54" customHeight="1" s="34">
      <c r="A20" s="43" t="inlineStr">
        <is>
          <t>SL-12</t>
        </is>
      </c>
      <c r="B20" s="43" t="inlineStr">
        <is>
          <t>Responsive and RTL</t>
        </is>
      </c>
      <c r="C20" s="43" t="inlineStr">
        <is>
          <t>Root</t>
        </is>
      </c>
      <c r="D20" s="44" t="inlineStr">
        <is>
          <t>Long localized copy, narrow mobile width, logical RTL placement, dark appearance, and 200% zoom remain contained without page overflow.</t>
        </is>
      </c>
      <c r="E20" s="43" t="inlineStr">
        <is>
          <t>browser</t>
        </is>
      </c>
      <c r="F20" s="43" t="inlineStr">
        <is>
          <t>browser</t>
        </is>
      </c>
      <c r="G20" s="44" t="inlineStr">
        <is>
          <t>tests/components/skip-link/behavior.spec.ts; tests/components/skip-link/visual.spec.ts</t>
        </is>
      </c>
      <c r="H20" s="43" t="inlineStr">
        <is>
          <t>tested</t>
        </is>
      </c>
      <c r="I20" s="43" t="inlineStr">
        <is>
          <t>no</t>
        </is>
      </c>
      <c r="J20" s="45" t="n">
        <v>46232</v>
      </c>
      <c r="K20" s="44" t="inlineStr">
        <is>
          <t>Narrow RTL and zoom assertions pass.</t>
        </is>
      </c>
      <c r="L20" s="43" t="n">
        <v>1</v>
      </c>
      <c r="M20" s="43">
        <f>IF(OR(AND(I20="yes",H20="verified"),AND(I20="no",OR(H20="tested",H20="verified")),AND(H20="not applicable",K20&lt;&gt;"")),1,0)</f>
        <v/>
      </c>
    </row>
    <row r="21" ht="54" customHeight="1" s="34">
      <c r="A21" s="43" t="inlineStr">
        <is>
          <t>SL-13</t>
        </is>
      </c>
      <c r="B21" s="43" t="inlineStr">
        <is>
          <t>Accessibility</t>
        </is>
      </c>
      <c r="C21" s="43" t="inlineStr">
        <is>
          <t>Root / Target</t>
        </is>
      </c>
      <c r="D21" s="44" t="inlineStr">
        <is>
          <t>The named link and main destination retain native semantics, visible keyboard focus, forced-color treatment, and no automatically detectable route violations.</t>
        </is>
      </c>
      <c r="E21" s="43" t="inlineStr">
        <is>
          <t>browser</t>
        </is>
      </c>
      <c r="F21" s="43" t="inlineStr">
        <is>
          <t>axe</t>
        </is>
      </c>
      <c r="G21" s="44" t="inlineStr">
        <is>
          <t>tests/components/skip-link/behavior.spec.ts</t>
        </is>
      </c>
      <c r="H21" s="43" t="inlineStr">
        <is>
          <t>tested</t>
        </is>
      </c>
      <c r="I21" s="43" t="inlineStr">
        <is>
          <t>no</t>
        </is>
      </c>
      <c r="J21" s="45" t="n">
        <v>46232</v>
      </c>
      <c r="K21" s="44" t="inlineStr">
        <is>
          <t>Focused axe and semantic assertions pass.</t>
        </is>
      </c>
      <c r="L21" s="43" t="n">
        <v>1</v>
      </c>
      <c r="M21" s="43">
        <f>IF(OR(AND(I21="yes",H21="verified"),AND(I21="no",OR(H21="tested",H21="verified")),AND(H21="not applicable",K21&lt;&gt;"")),1,0)</f>
        <v/>
      </c>
    </row>
    <row r="22" ht="54" customHeight="1" s="34">
      <c r="A22" s="43" t="inlineStr">
        <is>
          <t>SL-14</t>
        </is>
      </c>
      <c r="B22" s="43" t="inlineStr">
        <is>
          <t>Visual</t>
        </is>
      </c>
      <c r="C22" s="43" t="inlineStr">
        <is>
          <t>Root</t>
        </is>
      </c>
      <c r="D22" s="44" t="inlineStr">
        <is>
          <t>Reviewed baselines prove opaque focused paint in light/dark, sticky overlay separation, customization, mobile RTL containment, and forced-color focus.</t>
        </is>
      </c>
      <c r="E22" s="43" t="inlineStr">
        <is>
          <t>browser</t>
        </is>
      </c>
      <c r="F22" s="43" t="inlineStr">
        <is>
          <t>visual</t>
        </is>
      </c>
      <c r="G22" s="44" t="inlineStr">
        <is>
          <t>tests/components/skip-link/visual.spec.ts</t>
        </is>
      </c>
      <c r="H22" s="43" t="inlineStr">
        <is>
          <t>verified</t>
        </is>
      </c>
      <c r="I22" s="43" t="inlineStr">
        <is>
          <t>yes</t>
        </is>
      </c>
      <c r="J22" s="45" t="n">
        <v>46232</v>
      </c>
      <c r="K22" s="44" t="inlineStr">
        <is>
          <t>Agent inspected all six Skip Link baselines on 2026-07-29.</t>
        </is>
      </c>
      <c r="L22" s="43" t="n">
        <v>1</v>
      </c>
      <c r="M22" s="43">
        <f>IF(OR(AND(I22="yes",H22="verified"),AND(I22="no",OR(H22="tested",H22="verified")),AND(H22="not applicable",K22&lt;&gt;"")),1,0)</f>
        <v/>
      </c>
    </row>
    <row r="23" ht="54" customHeight="1" s="34">
      <c r="A23" s="43" t="inlineStr">
        <is>
          <t>SL-15</t>
        </is>
      </c>
      <c r="B23" s="43" t="inlineStr">
        <is>
          <t>Playground</t>
        </is>
      </c>
      <c r="C23" s="43" t="inlineStr">
        <is>
          <t>SkipLink</t>
        </is>
      </c>
      <c r="D23" s="44" t="inlineStr">
        <is>
          <t>One navigable route exposes eight separated scenarios with badges, titles, descriptions, appearance, customization, native paths, composition, sticky chrome, and stress evidence.</t>
        </is>
      </c>
      <c r="E23" s="43" t="inlineStr">
        <is>
          <t>package</t>
        </is>
      </c>
      <c r="F23" s="43" t="inlineStr">
        <is>
          <t>playground</t>
        </is>
      </c>
      <c r="G23" s="44" t="inlineStr">
        <is>
          <t>src/components/skip-link/SkipLinkPage.tsx</t>
        </is>
      </c>
      <c r="H23" s="43" t="inlineStr">
        <is>
          <t>tested</t>
        </is>
      </c>
      <c r="I23" s="43" t="inlineStr">
        <is>
          <t>no</t>
        </is>
      </c>
      <c r="J23" s="45" t="n">
        <v>46232</v>
      </c>
      <c r="K23" s="44" t="inlineStr">
        <is>
          <t>Playground build and focused route checks pass.</t>
        </is>
      </c>
      <c r="L23" s="43" t="n">
        <v>1</v>
      </c>
      <c r="M23" s="43">
        <f>IF(OR(AND(I23="yes",H23="verified"),AND(I23="no",OR(H23="tested",H23="verified")),AND(H23="not applicable",K23&lt;&gt;"")),1,0)</f>
        <v/>
      </c>
    </row>
    <row r="24" ht="54" customHeight="1" s="34">
      <c r="A24" s="43" t="inlineStr">
        <is>
          <t>SL-16</t>
        </is>
      </c>
      <c r="B24" s="43" t="inlineStr">
        <is>
          <t>Docs</t>
        </is>
      </c>
      <c r="C24" s="43" t="inlineStr">
        <is>
          <t>SkipLink</t>
        </is>
      </c>
      <c r="D24" s="44" t="inlineStr">
        <is>
          <t>Source-backed use, misuse, anatomy, API, focus behavior, hooks, customization, responsive behavior, accessibility, composition, and evidence are documented.</t>
        </is>
      </c>
      <c r="E24" s="43" t="inlineStr">
        <is>
          <t>package</t>
        </is>
      </c>
      <c r="F24" s="43" t="inlineStr">
        <is>
          <t>docs</t>
        </is>
      </c>
      <c r="G24" s="44" t="inlineStr">
        <is>
          <t>../docs/components/skip-link/README.md</t>
        </is>
      </c>
      <c r="H24" s="43" t="inlineStr">
        <is>
          <t>tested</t>
        </is>
      </c>
      <c r="I24" s="43" t="inlineStr">
        <is>
          <t>no</t>
        </is>
      </c>
      <c r="J24" s="45" t="n">
        <v>46232</v>
      </c>
      <c r="K24" s="44" t="inlineStr">
        <is>
          <t>Component documentation contract passes.</t>
        </is>
      </c>
      <c r="L24" s="43" t="n">
        <v>1</v>
      </c>
      <c r="M24" s="43">
        <f>IF(OR(AND(I24="yes",H24="verified"),AND(I24="no",OR(H24="tested",H24="verified")),AND(H24="not applicable",K24&lt;&gt;"")),1,0)</f>
        <v/>
      </c>
    </row>
    <row r="25" ht="54" customHeight="1" s="34">
      <c r="A25" s="43" t="inlineStr">
        <is>
          <t>SL-17</t>
        </is>
      </c>
      <c r="B25" s="43" t="inlineStr">
        <is>
          <t>Changelog</t>
        </is>
      </c>
      <c r="C25" s="43" t="inlineStr">
        <is>
          <t>SkipLink</t>
        </is>
      </c>
      <c r="D25" s="44" t="inlineStr">
        <is>
          <t>Skip Link owns a public component changelog and the package changelog records the public addition.</t>
        </is>
      </c>
      <c r="E25" s="43" t="inlineStr">
        <is>
          <t>package</t>
        </is>
      </c>
      <c r="F25" s="43" t="inlineStr">
        <is>
          <t>docs</t>
        </is>
      </c>
      <c r="G25" s="44" t="inlineStr">
        <is>
          <t>../docs/components/skip-link/CHANGELOG.md; ../CHANGELOG.md</t>
        </is>
      </c>
      <c r="H25" s="43" t="inlineStr">
        <is>
          <t>tested</t>
        </is>
      </c>
      <c r="I25" s="43" t="inlineStr">
        <is>
          <t>no</t>
        </is>
      </c>
      <c r="J25" s="45" t="n">
        <v>46232</v>
      </c>
      <c r="K25" s="44" t="inlineStr">
        <is>
          <t>Both public changelog surfaces are present.</t>
        </is>
      </c>
      <c r="L25" s="43" t="n">
        <v>1</v>
      </c>
      <c r="M25" s="43">
        <f>IF(OR(AND(I25="yes",H25="verified"),AND(I25="no",OR(H25="tested",H25="verified")),AND(H25="not applicable",K25&lt;&gt;"")),1,0)</f>
        <v/>
      </c>
    </row>
    <row r="26" ht="54" customHeight="1" s="34">
      <c r="A26" s="43" t="inlineStr">
        <is>
          <t>SL-18</t>
        </is>
      </c>
      <c r="B26" s="43" t="inlineStr">
        <is>
          <t>Consumer</t>
        </is>
      </c>
      <c r="C26" s="43" t="inlineStr">
        <is>
          <t>Root / Target</t>
        </is>
      </c>
      <c r="D26" s="44" t="inlineStr">
        <is>
          <t>Packed Consumer imports the public subpath, composes Root before repeated chrome, transfers focus to main content, and continues into its first interactive descendant.</t>
        </is>
      </c>
      <c r="E26" s="43" t="inlineStr">
        <is>
          <t>consumer</t>
        </is>
      </c>
      <c r="F26" s="43" t="inlineStr">
        <is>
          <t>consumer</t>
        </is>
      </c>
      <c r="G26" s="44" t="inlineStr">
        <is>
          <t>../apps/consumer/src/App.tsx; ../apps/consumer/tests/consumer.spec.ts</t>
        </is>
      </c>
      <c r="H26" s="43" t="inlineStr">
        <is>
          <t>tested</t>
        </is>
      </c>
      <c r="I26" s="43" t="inlineStr">
        <is>
          <t>no</t>
        </is>
      </c>
      <c r="J26" s="45" t="n">
        <v>46232</v>
      </c>
      <c r="K26" s="44" t="inlineStr">
        <is>
          <t>Packed app Consumer and desktop/mobile Chromium keyboard proof pass.</t>
        </is>
      </c>
      <c r="L26" s="43" t="n">
        <v>1</v>
      </c>
      <c r="M26" s="43">
        <f>IF(OR(AND(I26="yes",H26="verified"),AND(I26="no",OR(H26="tested",H26="verified")),AND(H26="not applicable",K26&lt;&gt;"")),1,0)</f>
        <v/>
      </c>
    </row>
    <row r="27" ht="54" customHeight="1" s="34">
      <c r="A27" s="43" t="inlineStr">
        <is>
          <t>SL-19</t>
        </is>
      </c>
      <c r="B27" s="43" t="inlineStr">
        <is>
          <t>Manual</t>
        </is>
      </c>
      <c r="C27" s="43" t="inlineStr">
        <is>
          <t>SkipLink</t>
        </is>
      </c>
      <c r="D27" s="44" t="inlineStr">
        <is>
          <t>A tester completes the numbered keyboard, target-transfer, native fallback, sticky, mobile, zoom, RTL, forced-color, screen-reader, and no-JavaScript protocol.</t>
        </is>
      </c>
      <c r="E27" s="43" t="inlineStr">
        <is>
          <t>package</t>
        </is>
      </c>
      <c r="F27" s="43" t="inlineStr">
        <is>
          <t>manual</t>
        </is>
      </c>
      <c r="G27" s="44" t="inlineStr">
        <is>
          <t>manual-tests/skip-link.md</t>
        </is>
      </c>
      <c r="H27" s="43" t="inlineStr">
        <is>
          <t>not started</t>
        </is>
      </c>
      <c r="I27" s="43" t="inlineStr">
        <is>
          <t>yes</t>
        </is>
      </c>
      <c r="J27" s="45" t="n">
        <v>46232</v>
      </c>
      <c r="K27" s="44" t="inlineStr">
        <is>
          <t>Human run intentionally left as the sole manual gate.</t>
        </is>
      </c>
      <c r="L27" s="43" t="n">
        <v>1</v>
      </c>
      <c r="M27" s="43">
        <f>IF(OR(AND(I27="yes",H27="verified"),AND(I27="no",OR(H27="tested",H27="verified")),AND(H27="not applicable",K27&lt;&gt;"")),1,0)</f>
        <v/>
      </c>
    </row>
    <row r="28" ht="54" customHeight="1" s="34">
      <c r="A28" s="43" t="inlineStr">
        <is>
          <t>SL-20</t>
        </is>
      </c>
      <c r="B28" s="43" t="inlineStr">
        <is>
          <t>Package</t>
        </is>
      </c>
      <c r="C28" s="43" t="inlineStr">
        <is>
          <t>SkipLink</t>
        </is>
      </c>
      <c r="D28" s="44" t="inlineStr">
        <is>
          <t>Build, exports, SSR, tarball, React 18/19, Consumer, configured desktop/mobile browsers, docs, ownership, and exact Atom 0.20.11 dependency pass.</t>
        </is>
      </c>
      <c r="E28" s="43" t="inlineStr">
        <is>
          <t>package</t>
        </is>
      </c>
      <c r="F28" s="43" t="inlineStr">
        <is>
          <t>package</t>
        </is>
      </c>
      <c r="G28" s="44" t="inlineStr">
        <is>
          <t>../scripts/verify-package.mjs; ../scripts/verify-consumers.mjs</t>
        </is>
      </c>
      <c r="H28" s="43" t="inlineStr">
        <is>
          <t>tested</t>
        </is>
      </c>
      <c r="I28" s="43" t="inlineStr">
        <is>
          <t>no</t>
        </is>
      </c>
      <c r="J28" s="45" t="n">
        <v>46232</v>
      </c>
      <c r="K28" s="44" t="inlineStr">
        <is>
          <t>Complete check, SSR, tarball, React 18/19, packed Consumer, and five-project component behavior pass; canonical full-matrix visual rendering remains a PR CI gate.</t>
        </is>
      </c>
      <c r="L28" s="43" t="n">
        <v>1</v>
      </c>
      <c r="M28" s="43">
        <f>IF(OR(AND(I28="yes",H28="verified"),AND(I28="no",OR(H28="tested",H28="verified")),AND(H28="not applicable",K28&lt;&gt;"")),1,0)</f>
        <v/>
      </c>
    </row>
    <row r="29" ht="54" customHeight="1" s="34"/>
    <row r="30" ht="54" customHeight="1" s="34"/>
    <row r="31" ht="54" customHeight="1" s="34"/>
    <row r="32" ht="54" customHeight="1" s="34"/>
    <row r="33" ht="54" customHeight="1" s="34"/>
    <row r="34" ht="54" customHeight="1" s="34"/>
    <row r="35" ht="54" customHeight="1" s="34"/>
    <row r="36" ht="54" customHeight="1" s="34"/>
  </sheetData>
  <mergeCells count="2">
    <mergeCell ref="A2:M2"/>
    <mergeCell ref="A1:M1"/>
  </mergeCells>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5.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Show Evidence</t>
        </is>
      </c>
    </row>
    <row r="2" ht="27.75" customHeight="1" s="34">
      <c r="A2" s="36" t="inlineStr">
        <is>
          <t>Assertion-level CSS-only responsive visibility, composition, accessibility, package, Consumer, playground, visual, and manual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SH-01</t>
        </is>
      </c>
      <c r="B9" s="43" t="inlineStr">
        <is>
          <t>Ownership</t>
        </is>
      </c>
      <c r="C9" s="43" t="inlineStr">
        <is>
          <t>Show</t>
        </is>
      </c>
      <c r="D9" s="44" t="inlineStr">
        <is>
          <t>Show is a Brick-owned CSS layout utility; research found no Atom primitive or behavior patch is required.</t>
        </is>
      </c>
      <c r="E9" s="43" t="inlineStr">
        <is>
          <t>package</t>
        </is>
      </c>
      <c r="F9" s="43" t="inlineStr">
        <is>
          <t>source</t>
        </is>
      </c>
      <c r="G9" s="44" t="inlineStr">
        <is>
          <t>../src/components/show/Show.tsx; ../src/components/_responsive-visibility/ResponsiveVisibility.tsx</t>
        </is>
      </c>
      <c r="H9" s="43" t="inlineStr">
        <is>
          <t>tested</t>
        </is>
      </c>
      <c r="I9" s="43" t="inlineStr">
        <is>
          <t>no</t>
        </is>
      </c>
      <c r="J9" s="45" t="n">
        <v>46232</v>
      </c>
      <c r="K9" s="44" t="inlineStr">
        <is>
          <t>Source audit confirms the deliberate no-Atom boundary.</t>
        </is>
      </c>
      <c r="L9" s="43" t="n">
        <v>1</v>
      </c>
      <c r="M9" s="43">
        <f>IF(OR(AND(I9="yes",H9="verified"),AND(I9="no",OR(H9="tested",H9="verified")),AND(H9="not applicable",K9&lt;&gt;"")),1,0)</f>
        <v/>
      </c>
    </row>
    <row r="10" ht="54" customHeight="1" s="34">
      <c r="A10" s="43" t="inlineStr">
        <is>
          <t>SH-02</t>
        </is>
      </c>
      <c r="B10" s="43" t="inlineStr">
        <is>
          <t>Anatomy</t>
        </is>
      </c>
      <c r="C10" s="43" t="inlineStr">
        <is>
          <t>Root</t>
        </is>
      </c>
      <c r="D10" s="44" t="inlineStr">
        <is>
          <t>One always-mounted native host receives the brick-show class, data-from threshold, data-slot hook, children, and forwarded ref.</t>
        </is>
      </c>
      <c r="E10" s="43" t="inlineStr">
        <is>
          <t>package</t>
        </is>
      </c>
      <c r="F10" s="43" t="inlineStr">
        <is>
          <t>component</t>
        </is>
      </c>
      <c r="G10" s="44" t="inlineStr">
        <is>
          <t>../test/components/show/show.test.tsx</t>
        </is>
      </c>
      <c r="H10" s="43" t="inlineStr">
        <is>
          <t>tested</t>
        </is>
      </c>
      <c r="I10" s="43" t="inlineStr">
        <is>
          <t>no</t>
        </is>
      </c>
      <c r="J10" s="45" t="n">
        <v>46232</v>
      </c>
      <c r="K10" s="44" t="inlineStr">
        <is>
          <t>Focused component anatomy assertions pass.</t>
        </is>
      </c>
      <c r="L10" s="43" t="n">
        <v>1</v>
      </c>
      <c r="M10" s="43">
        <f>IF(OR(AND(I10="yes",H10="verified"),AND(I10="no",OR(H10="tested",H10="verified")),AND(H10="not applicable",K10&lt;&gt;"")),1,0)</f>
        <v/>
      </c>
    </row>
    <row r="11" ht="54" customHeight="1" s="34">
      <c r="A11" s="43" t="inlineStr">
        <is>
          <t>SH-03</t>
        </is>
      </c>
      <c r="B11" s="43" t="inlineStr">
        <is>
          <t>Exports</t>
        </is>
      </c>
      <c r="C11" s="43" t="inlineStr">
        <is>
          <t>Show</t>
        </is>
      </c>
      <c r="D11" s="44" t="inlineStr">
        <is>
          <t>Root and show subpath exports expose Show, ShowProps, ShowElement, and ShowBreakpoint with identical runtime identity.</t>
        </is>
      </c>
      <c r="E11" s="43" t="inlineStr">
        <is>
          <t>package</t>
        </is>
      </c>
      <c r="F11" s="43" t="inlineStr">
        <is>
          <t>package</t>
        </is>
      </c>
      <c r="G11" s="44" t="inlineStr">
        <is>
          <t>../test/package/package.test.mjs; ../package.json</t>
        </is>
      </c>
      <c r="H11" s="43" t="inlineStr">
        <is>
          <t>tested</t>
        </is>
      </c>
      <c r="I11" s="43" t="inlineStr">
        <is>
          <t>no</t>
        </is>
      </c>
      <c r="J11" s="45" t="n">
        <v>46232</v>
      </c>
      <c r="K11" s="44" t="inlineStr">
        <is>
          <t>Package export and clean-consumer identity checks pass.</t>
        </is>
      </c>
      <c r="L11" s="43" t="n">
        <v>1</v>
      </c>
      <c r="M11" s="43">
        <f>IF(OR(AND(I11="yes",H11="verified"),AND(I11="no",OR(H11="tested",H11="verified")),AND(H11="not applicable",K11&lt;&gt;"")),1,0)</f>
        <v/>
      </c>
    </row>
    <row r="12" ht="54" customHeight="1" s="34">
      <c r="A12" s="43" t="inlineStr">
        <is>
          <t>SH-04</t>
        </is>
      </c>
      <c r="B12" s="43" t="inlineStr">
        <is>
          <t>Types</t>
        </is>
      </c>
      <c r="C12" s="43" t="inlineStr">
        <is>
          <t>Public surface</t>
        </is>
      </c>
      <c r="D12" s="44" t="inlineStr">
        <is>
          <t>Required from threshold, closed hosts and breakpoints, native props, style, slot, children, and HTMLElement refs type-check while hidden is excluded.</t>
        </is>
      </c>
      <c r="E12" s="43" t="inlineStr">
        <is>
          <t>package</t>
        </is>
      </c>
      <c r="F12" s="43" t="inlineStr">
        <is>
          <t>types</t>
        </is>
      </c>
      <c r="G12" s="44" t="inlineStr">
        <is>
          <t>../test/types/components/show.test.ts</t>
        </is>
      </c>
      <c r="H12" s="43" t="inlineStr">
        <is>
          <t>tested</t>
        </is>
      </c>
      <c r="I12" s="43" t="inlineStr">
        <is>
          <t>no</t>
        </is>
      </c>
      <c r="J12" s="45" t="n">
        <v>46232</v>
      </c>
      <c r="K12" s="44" t="inlineStr">
        <is>
          <t>Focused and repository-wide type checks pass.</t>
        </is>
      </c>
      <c r="L12" s="43" t="n">
        <v>1</v>
      </c>
      <c r="M12" s="43">
        <f>IF(OR(AND(I12="yes",H12="verified"),AND(I12="no",OR(H12="tested",H12="verified")),AND(H12="not applicable",K12&lt;&gt;"")),1,0)</f>
        <v/>
      </c>
    </row>
    <row r="13" ht="54" customHeight="1" s="34">
      <c r="A13" s="43" t="inlineStr">
        <is>
          <t>SH-05</t>
        </is>
      </c>
      <c r="B13" s="43" t="inlineStr">
        <is>
          <t>SSR</t>
        </is>
      </c>
      <c r="C13" s="43" t="inlineStr">
        <is>
          <t>Root</t>
        </is>
      </c>
      <c r="D13" s="44" t="inlineStr">
        <is>
          <t>Show imports server-safely and emits deterministic always-mounted markup without reading viewport state during render.</t>
        </is>
      </c>
      <c r="E13" s="43" t="inlineStr">
        <is>
          <t>package</t>
        </is>
      </c>
      <c r="F13" s="43" t="inlineStr">
        <is>
          <t>package</t>
        </is>
      </c>
      <c r="G13" s="44" t="inlineStr">
        <is>
          <t>../test/package/ssr.test.mjs</t>
        </is>
      </c>
      <c r="H13" s="43" t="inlineStr">
        <is>
          <t>tested</t>
        </is>
      </c>
      <c r="I13" s="43" t="inlineStr">
        <is>
          <t>no</t>
        </is>
      </c>
      <c r="J13" s="45" t="n">
        <v>46232</v>
      </c>
      <c r="K13" s="44" t="inlineStr">
        <is>
          <t>React server rendering and clean React 18/19 consumers pass.</t>
        </is>
      </c>
      <c r="L13" s="43" t="n">
        <v>1</v>
      </c>
      <c r="M13" s="43">
        <f>IF(OR(AND(I13="yes",H13="verified"),AND(I13="no",OR(H13="tested",H13="verified")),AND(H13="not applicable",K13&lt;&gt;"")),1,0)</f>
        <v/>
      </c>
    </row>
    <row r="14" ht="54" customHeight="1" s="34">
      <c r="A14" s="43" t="inlineStr">
        <is>
          <t>SH-06</t>
        </is>
      </c>
      <c r="B14" s="43" t="inlineStr">
        <is>
          <t>CSS</t>
        </is>
      </c>
      <c r="C14" s="43" t="inlineStr">
        <is>
          <t>Root</t>
        </is>
      </c>
      <c r="D14" s="44" t="inlineStr">
        <is>
          <t>Static CSS ships sm 30rem, md 48rem, lg 64rem, and xl 80rem media boundaries and hides only brick-show with display none important.</t>
        </is>
      </c>
      <c r="E14" s="43" t="inlineStr">
        <is>
          <t>package</t>
        </is>
      </c>
      <c r="F14" s="43" t="inlineStr">
        <is>
          <t>css</t>
        </is>
      </c>
      <c r="G14" s="44" t="inlineStr">
        <is>
          <t>../src/components/show/show.css; ../scripts/prototype-css.mjs</t>
        </is>
      </c>
      <c r="H14" s="43" t="inlineStr">
        <is>
          <t>tested</t>
        </is>
      </c>
      <c r="I14" s="43" t="inlineStr">
        <is>
          <t>no</t>
        </is>
      </c>
      <c r="J14" s="45" t="n">
        <v>46232</v>
      </c>
      <c r="K14" s="44" t="inlineStr">
        <is>
          <t>Production CSS and packaged CSS assertions pass.</t>
        </is>
      </c>
      <c r="L14" s="43" t="n">
        <v>1</v>
      </c>
      <c r="M14" s="43">
        <f>IF(OR(AND(I14="yes",H14="verified"),AND(I14="no",OR(H14="tested",H14="verified")),AND(H14="not applicable",K14&lt;&gt;"")),1,0)</f>
        <v/>
      </c>
    </row>
    <row r="15" ht="54" customHeight="1" s="34">
      <c r="A15" s="43" t="inlineStr">
        <is>
          <t>SH-07</t>
        </is>
      </c>
      <c r="B15" s="43" t="inlineStr">
        <is>
          <t>Breakpoint edges</t>
        </is>
      </c>
      <c r="C15" s="43" t="inlineStr">
        <is>
          <t>Root</t>
        </is>
      </c>
      <c r="D15" s="44" t="inlineStr">
        <is>
          <t>At 767px and 768px the md boundary changes exactly once and Show has no overlap or gap.</t>
        </is>
      </c>
      <c r="E15" s="43" t="inlineStr">
        <is>
          <t>browser</t>
        </is>
      </c>
      <c r="F15" s="43" t="inlineStr">
        <is>
          <t>browser</t>
        </is>
      </c>
      <c r="G15" s="44" t="inlineStr">
        <is>
          <t>tests/components/show/behavior.spec.ts</t>
        </is>
      </c>
      <c r="H15" s="43" t="inlineStr">
        <is>
          <t>tested</t>
        </is>
      </c>
      <c r="I15" s="43" t="inlineStr">
        <is>
          <t>no</t>
        </is>
      </c>
      <c r="J15" s="45" t="n">
        <v>46232</v>
      </c>
      <c r="K15" s="44" t="inlineStr">
        <is>
          <t>All five configured browser/device projects pass.</t>
        </is>
      </c>
      <c r="L15" s="43" t="n">
        <v>1</v>
      </c>
      <c r="M15" s="43">
        <f>IF(OR(AND(I15="yes",H15="verified"),AND(I15="no",OR(H15="tested",H15="verified")),AND(H15="not applicable",K15&lt;&gt;"")),1,0)</f>
        <v/>
      </c>
    </row>
    <row r="16" ht="54" customHeight="1" s="34">
      <c r="A16" s="43" t="inlineStr">
        <is>
          <t>SH-08</t>
        </is>
      </c>
      <c r="B16" s="43" t="inlineStr">
        <is>
          <t>Display preservation</t>
        </is>
      </c>
      <c r="C16" s="43" t="inlineStr">
        <is>
          <t>Root</t>
        </is>
      </c>
      <c r="D16" s="44" t="inlineStr">
        <is>
          <t>Visible block, inline, flex, and grid hosts retain their authored computed display instead of receiving an invented visible display value.</t>
        </is>
      </c>
      <c r="E16" s="43" t="inlineStr">
        <is>
          <t>browser</t>
        </is>
      </c>
      <c r="F16" s="43" t="inlineStr">
        <is>
          <t>browser</t>
        </is>
      </c>
      <c r="G16" s="44" t="inlineStr">
        <is>
          <t>tests/components/show/behavior.spec.ts</t>
        </is>
      </c>
      <c r="H16" s="43" t="inlineStr">
        <is>
          <t>tested</t>
        </is>
      </c>
      <c r="I16" s="43" t="inlineStr">
        <is>
          <t>no</t>
        </is>
      </c>
      <c r="J16" s="45" t="n">
        <v>46232</v>
      </c>
      <c r="K16" s="44" t="inlineStr">
        <is>
          <t>Computed-display assertions pass.</t>
        </is>
      </c>
      <c r="L16" s="43" t="n">
        <v>1</v>
      </c>
      <c r="M16" s="43">
        <f>IF(OR(AND(I16="yes",H16="verified"),AND(I16="no",OR(H16="tested",H16="verified")),AND(H16="not applicable",K16&lt;&gt;"")),1,0)</f>
        <v/>
      </c>
    </row>
    <row r="17" ht="54" customHeight="1" s="34">
      <c r="A17" s="43" t="inlineStr">
        <is>
          <t>SH-09</t>
        </is>
      </c>
      <c r="B17" s="43" t="inlineStr">
        <is>
          <t>Mounted state</t>
        </is>
      </c>
      <c r="C17" s="43" t="inlineStr">
        <is>
          <t>Root / children</t>
        </is>
      </c>
      <c r="D17" s="44" t="inlineStr">
        <is>
          <t>Responsive hiding never unmounts children, so authored local state survives a transition from shown to visible.</t>
        </is>
      </c>
      <c r="E17" s="43" t="inlineStr">
        <is>
          <t>browser</t>
        </is>
      </c>
      <c r="F17" s="43" t="inlineStr">
        <is>
          <t>browser</t>
        </is>
      </c>
      <c r="G17" s="44" t="inlineStr">
        <is>
          <t>tests/components/show/behavior.spec.ts</t>
        </is>
      </c>
      <c r="H17" s="43" t="inlineStr">
        <is>
          <t>tested</t>
        </is>
      </c>
      <c r="I17" s="43" t="inlineStr">
        <is>
          <t>no</t>
        </is>
      </c>
      <c r="J17" s="45" t="n">
        <v>46232</v>
      </c>
      <c r="K17" s="44" t="inlineStr">
        <is>
          <t>Resize and retained-state assertions pass.</t>
        </is>
      </c>
      <c r="L17" s="43" t="n">
        <v>1</v>
      </c>
      <c r="M17" s="43">
        <f>IF(OR(AND(I17="yes",H17="verified"),AND(I17="no",OR(H17="tested",H17="verified")),AND(H17="not applicable",K17&lt;&gt;"")),1,0)</f>
        <v/>
      </c>
    </row>
    <row r="18" ht="54" customHeight="1" s="34">
      <c r="A18" s="43" t="inlineStr">
        <is>
          <t>SH-10</t>
        </is>
      </c>
      <c r="B18" s="43" t="inlineStr">
        <is>
          <t>Accessibility tree</t>
        </is>
      </c>
      <c r="C18" s="43" t="inlineStr">
        <is>
          <t>Root / children</t>
        </is>
      </c>
      <c r="D18" s="44" t="inlineStr">
        <is>
          <t>Controls inside a display-none branch are absent from the accessibility tree and return when their branch becomes visible.</t>
        </is>
      </c>
      <c r="E18" s="43" t="inlineStr">
        <is>
          <t>browser</t>
        </is>
      </c>
      <c r="F18" s="43" t="inlineStr">
        <is>
          <t>axe</t>
        </is>
      </c>
      <c r="G18" s="44" t="inlineStr">
        <is>
          <t>tests/components/show/behavior.spec.ts</t>
        </is>
      </c>
      <c r="H18" s="43" t="inlineStr">
        <is>
          <t>tested</t>
        </is>
      </c>
      <c r="I18" s="43" t="inlineStr">
        <is>
          <t>no</t>
        </is>
      </c>
      <c r="J18" s="45" t="n">
        <v>46232</v>
      </c>
      <c r="K18" s="44" t="inlineStr">
        <is>
          <t>Role visibility and focused axe assertions pass.</t>
        </is>
      </c>
      <c r="L18" s="43" t="n">
        <v>1</v>
      </c>
      <c r="M18" s="43">
        <f>IF(OR(AND(I18="yes",H18="verified"),AND(I18="no",OR(H18="tested",H18="verified")),AND(H18="not applicable",K18&lt;&gt;"")),1,0)</f>
        <v/>
      </c>
    </row>
    <row r="19" ht="54" customHeight="1" s="34">
      <c r="A19" s="43" t="inlineStr">
        <is>
          <t>SH-11</t>
        </is>
      </c>
      <c r="B19" s="43" t="inlineStr">
        <is>
          <t>Composition</t>
        </is>
      </c>
      <c r="C19" s="43" t="inlineStr">
        <is>
          <t>Show / Hide</t>
        </is>
      </c>
      <c r="D19" s="44" t="inlineStr">
        <is>
          <t>Show and Hide remain independent exact complements and compose without a public Visibility mode namespace.</t>
        </is>
      </c>
      <c r="E19" s="43" t="inlineStr">
        <is>
          <t>browser</t>
        </is>
      </c>
      <c r="F19" s="43" t="inlineStr">
        <is>
          <t>browser</t>
        </is>
      </c>
      <c r="G19" s="44" t="inlineStr">
        <is>
          <t>tests/components/show/behavior.spec.ts</t>
        </is>
      </c>
      <c r="H19" s="43" t="inlineStr">
        <is>
          <t>tested</t>
        </is>
      </c>
      <c r="I19" s="43" t="inlineStr">
        <is>
          <t>no</t>
        </is>
      </c>
      <c r="J19" s="45" t="n">
        <v>46232</v>
      </c>
      <c r="K19" s="44" t="inlineStr">
        <is>
          <t>Complementary boundary assertions pass.</t>
        </is>
      </c>
      <c r="L19" s="43" t="n">
        <v>1</v>
      </c>
      <c r="M19" s="43">
        <f>IF(OR(AND(I19="yes",H19="verified"),AND(I19="no",OR(H19="tested",H19="verified")),AND(H19="not applicable",K19&lt;&gt;"")),1,0)</f>
        <v/>
      </c>
    </row>
    <row r="20" ht="54" customHeight="1" s="34">
      <c r="A20" s="43" t="inlineStr">
        <is>
          <t>SH-12</t>
        </is>
      </c>
      <c r="B20" s="43" t="inlineStr">
        <is>
          <t>Semantic hosts</t>
        </is>
      </c>
      <c r="C20" s="43" t="inlineStr">
        <is>
          <t>Root</t>
        </is>
      </c>
      <c r="D20" s="44" t="inlineStr">
        <is>
          <t>Closed div, span, section, article, navigation, landmark, and list hosts preserve authored semantics without adding roles or names.</t>
        </is>
      </c>
      <c r="E20" s="43" t="inlineStr">
        <is>
          <t>package</t>
        </is>
      </c>
      <c r="F20" s="43" t="inlineStr">
        <is>
          <t>component</t>
        </is>
      </c>
      <c r="G20" s="44" t="inlineStr">
        <is>
          <t>../test/components/show/show.test.tsx</t>
        </is>
      </c>
      <c r="H20" s="43" t="inlineStr">
        <is>
          <t>tested</t>
        </is>
      </c>
      <c r="I20" s="43" t="inlineStr">
        <is>
          <t>no</t>
        </is>
      </c>
      <c r="J20" s="45" t="n">
        <v>46232</v>
      </c>
      <c r="K20" s="44" t="inlineStr">
        <is>
          <t>Semantic host and no-invented-ARIA assertions pass.</t>
        </is>
      </c>
      <c r="L20" s="43" t="n">
        <v>1</v>
      </c>
      <c r="M20" s="43">
        <f>IF(OR(AND(I20="yes",H20="verified"),AND(I20="no",OR(H20="tested",H20="verified")),AND(H20="not applicable",K20&lt;&gt;"")),1,0)</f>
        <v/>
      </c>
    </row>
    <row r="21" ht="54" customHeight="1" s="34">
      <c r="A21" s="43" t="inlineStr">
        <is>
          <t>SH-13</t>
        </is>
      </c>
      <c r="B21" s="43" t="inlineStr">
        <is>
          <t>Native composition</t>
        </is>
      </c>
      <c r="C21" s="43" t="inlineStr">
        <is>
          <t>Root</t>
        </is>
      </c>
      <c r="D21" s="44" t="inlineStr">
        <is>
          <t>Class, style, slot, data attributes, events, aria attributes, children, and forwarded HTMLElement refs target the single public host.</t>
        </is>
      </c>
      <c r="E21" s="43" t="inlineStr">
        <is>
          <t>package</t>
        </is>
      </c>
      <c r="F21" s="43" t="inlineStr">
        <is>
          <t>component</t>
        </is>
      </c>
      <c r="G21" s="44" t="inlineStr">
        <is>
          <t>../test/components/show/show.test.tsx; tests/components/show/behavior.spec.ts</t>
        </is>
      </c>
      <c r="H21" s="43" t="inlineStr">
        <is>
          <t>tested</t>
        </is>
      </c>
      <c r="I21" s="43" t="inlineStr">
        <is>
          <t>no</t>
        </is>
      </c>
      <c r="J21" s="45" t="n">
        <v>46232</v>
      </c>
      <c r="K21" s="44" t="inlineStr">
        <is>
          <t>Component and browser ref/prop evidence passes.</t>
        </is>
      </c>
      <c r="L21" s="43" t="n">
        <v>1</v>
      </c>
      <c r="M21" s="43">
        <f>IF(OR(AND(I21="yes",H21="verified"),AND(I21="no",OR(H21="tested",H21="verified")),AND(H21="not applicable",K21&lt;&gt;"")),1,0)</f>
        <v/>
      </c>
    </row>
    <row r="22" ht="54" customHeight="1" s="34">
      <c r="A22" s="43" t="inlineStr">
        <is>
          <t>SH-14</t>
        </is>
      </c>
      <c r="B22" s="43" t="inlineStr">
        <is>
          <t>Responsive / RTL</t>
        </is>
      </c>
      <c r="C22" s="43" t="inlineStr">
        <is>
          <t>Root / children</t>
        </is>
      </c>
      <c r="D22" s="44" t="inlineStr">
        <is>
          <t>Viewport thresholds remain physical while long localized content, authored direction, and RTL text stay intact and contained.</t>
        </is>
      </c>
      <c r="E22" s="43" t="inlineStr">
        <is>
          <t>browser</t>
        </is>
      </c>
      <c r="F22" s="43" t="inlineStr">
        <is>
          <t>browser</t>
        </is>
      </c>
      <c r="G22" s="44" t="inlineStr">
        <is>
          <t>tests/components/show/behavior.spec.ts; tests/components/show/visual.spec.ts</t>
        </is>
      </c>
      <c r="H22" s="43" t="inlineStr">
        <is>
          <t>tested</t>
        </is>
      </c>
      <c r="I22" s="43" t="inlineStr">
        <is>
          <t>no</t>
        </is>
      </c>
      <c r="J22" s="45" t="n">
        <v>46232</v>
      </c>
      <c r="K22" s="44" t="inlineStr">
        <is>
          <t>Cross-browser resize and reviewed localized baselines pass.</t>
        </is>
      </c>
      <c r="L22" s="43" t="n">
        <v>1</v>
      </c>
      <c r="M22" s="43">
        <f>IF(OR(AND(I22="yes",H22="verified"),AND(I22="no",OR(H22="tested",H22="verified")),AND(H22="not applicable",K22&lt;&gt;"")),1,0)</f>
        <v/>
      </c>
    </row>
    <row r="23" ht="54" customHeight="1" s="34">
      <c r="A23" s="43" t="inlineStr">
        <is>
          <t>SH-15</t>
        </is>
      </c>
      <c r="B23" s="43" t="inlineStr">
        <is>
          <t>Accessibility</t>
        </is>
      </c>
      <c r="C23" s="43" t="inlineStr">
        <is>
          <t>Root / children</t>
        </is>
      </c>
      <c r="D23" s="44" t="inlineStr">
        <is>
          <t>The utility adds no semantic state, preserves authored child semantics and focus behavior, and its route has no automatically detectable violations.</t>
        </is>
      </c>
      <c r="E23" s="43" t="inlineStr">
        <is>
          <t>browser</t>
        </is>
      </c>
      <c r="F23" s="43" t="inlineStr">
        <is>
          <t>axe</t>
        </is>
      </c>
      <c r="G23" s="44" t="inlineStr">
        <is>
          <t>tests/components/show/behavior.spec.ts</t>
        </is>
      </c>
      <c r="H23" s="43" t="inlineStr">
        <is>
          <t>tested</t>
        </is>
      </c>
      <c r="I23" s="43" t="inlineStr">
        <is>
          <t>no</t>
        </is>
      </c>
      <c r="J23" s="45" t="n">
        <v>46232</v>
      </c>
      <c r="K23" s="44" t="inlineStr">
        <is>
          <t>Focused axe coverage passes in the configured matrix.</t>
        </is>
      </c>
      <c r="L23" s="43" t="n">
        <v>1</v>
      </c>
      <c r="M23" s="43">
        <f>IF(OR(AND(I23="yes",H23="verified"),AND(I23="no",OR(H23="tested",H23="verified")),AND(H23="not applicable",K23&lt;&gt;"")),1,0)</f>
        <v/>
      </c>
    </row>
    <row r="24" ht="54" customHeight="1" s="34">
      <c r="A24" s="43" t="inlineStr">
        <is>
          <t>SH-16</t>
        </is>
      </c>
      <c r="B24" s="43" t="inlineStr">
        <is>
          <t>Playground</t>
        </is>
      </c>
      <c r="C24" s="43" t="inlineStr">
        <is>
          <t>Show</t>
        </is>
      </c>
      <c r="D24" s="44" t="inlineStr">
        <is>
          <t>One navigable route exposes eight separated scenarios for defaults, breakpoints, edges, display, hosts, composition, mounted state, and stress.</t>
        </is>
      </c>
      <c r="E24" s="43" t="inlineStr">
        <is>
          <t>package</t>
        </is>
      </c>
      <c r="F24" s="43" t="inlineStr">
        <is>
          <t>playground</t>
        </is>
      </c>
      <c r="G24" s="44" t="inlineStr">
        <is>
          <t>src/components/show/ShowPage.tsx; src/components/_visibility/VisibilityEvidencePage.tsx</t>
        </is>
      </c>
      <c r="H24" s="43" t="inlineStr">
        <is>
          <t>tested</t>
        </is>
      </c>
      <c r="I24" s="43" t="inlineStr">
        <is>
          <t>no</t>
        </is>
      </c>
      <c r="J24" s="45" t="n">
        <v>46232</v>
      </c>
      <c r="K24" s="44" t="inlineStr">
        <is>
          <t>Playground build, route ownership, and composition audits pass.</t>
        </is>
      </c>
      <c r="L24" s="43" t="n">
        <v>1</v>
      </c>
      <c r="M24" s="43">
        <f>IF(OR(AND(I24="yes",H24="verified"),AND(I24="no",OR(H24="tested",H24="verified")),AND(H24="not applicable",K24&lt;&gt;"")),1,0)</f>
        <v/>
      </c>
    </row>
    <row r="25" ht="54" customHeight="1" s="34">
      <c r="A25" s="43" t="inlineStr">
        <is>
          <t>SH-17</t>
        </is>
      </c>
      <c r="B25" s="43" t="inlineStr">
        <is>
          <t>Visual</t>
        </is>
      </c>
      <c r="C25" s="43" t="inlineStr">
        <is>
          <t>Root / children</t>
        </is>
      </c>
      <c r="D25" s="44" t="inlineStr">
        <is>
          <t>Reviewed baselines cover compact overview badges, breakpoint cards, visible and hidden branches, mobile containment, localization, and RTL.</t>
        </is>
      </c>
      <c r="E25" s="43" t="inlineStr">
        <is>
          <t>browser</t>
        </is>
      </c>
      <c r="F25" s="43" t="inlineStr">
        <is>
          <t>visual</t>
        </is>
      </c>
      <c r="G25" s="44" t="inlineStr">
        <is>
          <t>tests/components/show/visual.spec.ts</t>
        </is>
      </c>
      <c r="H25" s="43" t="inlineStr">
        <is>
          <t>verified</t>
        </is>
      </c>
      <c r="I25" s="43" t="inlineStr">
        <is>
          <t>yes</t>
        </is>
      </c>
      <c r="J25" s="45" t="n">
        <v>46232</v>
      </c>
      <c r="K25" s="44" t="inlineStr">
        <is>
          <t>Agent inspected all three component-owned Chromium baselines on 2026-07-29.</t>
        </is>
      </c>
      <c r="L25" s="43" t="n">
        <v>1</v>
      </c>
      <c r="M25" s="43">
        <f>IF(OR(AND(I25="yes",H25="verified"),AND(I25="no",OR(H25="tested",H25="verified")),AND(H25="not applicable",K25&lt;&gt;"")),1,0)</f>
        <v/>
      </c>
    </row>
    <row r="26" ht="54" customHeight="1" s="34">
      <c r="A26" s="43" t="inlineStr">
        <is>
          <t>SH-18</t>
        </is>
      </c>
      <c r="B26" s="43" t="inlineStr">
        <is>
          <t>Documentation</t>
        </is>
      </c>
      <c r="C26" s="43" t="inlineStr">
        <is>
          <t>Public guide</t>
        </is>
      </c>
      <c r="D26" s="44" t="inlineStr">
        <is>
          <t>Guide documents role, independent-component rationale, breakpoints, always-mounted behavior, accessibility, composition, CSS hooks, examples, and exclusions.</t>
        </is>
      </c>
      <c r="E26" s="43" t="inlineStr">
        <is>
          <t>package</t>
        </is>
      </c>
      <c r="F26" s="43" t="inlineStr">
        <is>
          <t>documentation</t>
        </is>
      </c>
      <c r="G26" s="44" t="inlineStr">
        <is>
          <t>../docs/components/show/README.md</t>
        </is>
      </c>
      <c r="H26" s="43" t="inlineStr">
        <is>
          <t>tested</t>
        </is>
      </c>
      <c r="I26" s="43" t="inlineStr">
        <is>
          <t>no</t>
        </is>
      </c>
      <c r="J26" s="45" t="n">
        <v>46232</v>
      </c>
      <c r="K26" s="44" t="inlineStr">
        <is>
          <t>Structural and source-backed semantic documentation contracts pass.</t>
        </is>
      </c>
      <c r="L26" s="43" t="n">
        <v>1</v>
      </c>
      <c r="M26" s="43">
        <f>IF(OR(AND(I26="yes",H26="verified"),AND(I26="no",OR(H26="tested",H26="verified")),AND(H26="not applicable",K26&lt;&gt;"")),1,0)</f>
        <v/>
      </c>
    </row>
    <row r="27" ht="54" customHeight="1" s="34">
      <c r="A27" s="43" t="inlineStr">
        <is>
          <t>SH-19</t>
        </is>
      </c>
      <c r="B27" s="43" t="inlineStr">
        <is>
          <t>Changelog</t>
        </is>
      </c>
      <c r="C27" s="43" t="inlineStr">
        <is>
          <t>Public record</t>
        </is>
      </c>
      <c r="D27" s="44" t="inlineStr">
        <is>
          <t>Show owns a component changelog and the package changelog records both responsive visibility additions.</t>
        </is>
      </c>
      <c r="E27" s="43" t="inlineStr">
        <is>
          <t>package</t>
        </is>
      </c>
      <c r="F27" s="43" t="inlineStr">
        <is>
          <t>documentation</t>
        </is>
      </c>
      <c r="G27" s="44" t="inlineStr">
        <is>
          <t>../docs/components/show/CHANGELOG.md; ../CHANGELOG.md</t>
        </is>
      </c>
      <c r="H27" s="43" t="inlineStr">
        <is>
          <t>tested</t>
        </is>
      </c>
      <c r="I27" s="43" t="inlineStr">
        <is>
          <t>no</t>
        </is>
      </c>
      <c r="J27" s="45" t="n">
        <v>46232</v>
      </c>
      <c r="K27" s="44" t="inlineStr">
        <is>
          <t>Both public changelog surfaces are present.</t>
        </is>
      </c>
      <c r="L27" s="43" t="n">
        <v>1</v>
      </c>
      <c r="M27" s="43">
        <f>IF(OR(AND(I27="yes",H27="verified"),AND(I27="no",OR(H27="tested",H27="verified")),AND(H27="not applicable",K27&lt;&gt;"")),1,0)</f>
        <v/>
      </c>
    </row>
    <row r="28" ht="54" customHeight="1" s="34">
      <c r="A28" s="43" t="inlineStr">
        <is>
          <t>SH-20</t>
        </is>
      </c>
      <c r="B28" s="43" t="inlineStr">
        <is>
          <t>Consumer</t>
        </is>
      </c>
      <c r="C28" s="43" t="inlineStr">
        <is>
          <t>Root</t>
        </is>
      </c>
      <c r="D28" s="44" t="inlineStr">
        <is>
          <t>The packed Consumer imports Show from its public subpath and composes realistic wide/compact workspace guidance.</t>
        </is>
      </c>
      <c r="E28" s="43" t="inlineStr">
        <is>
          <t>consumer</t>
        </is>
      </c>
      <c r="F28" s="43" t="inlineStr">
        <is>
          <t>consumer</t>
        </is>
      </c>
      <c r="G28" s="44" t="inlineStr">
        <is>
          <t>../apps/consumer/src/App.tsx; ../scripts/verify-consumers.mjs</t>
        </is>
      </c>
      <c r="H28" s="43" t="inlineStr">
        <is>
          <t>tested</t>
        </is>
      </c>
      <c r="I28" s="43" t="inlineStr">
        <is>
          <t>no</t>
        </is>
      </c>
      <c r="J28" s="45" t="n">
        <v>46232</v>
      </c>
      <c r="K28" s="44" t="inlineStr">
        <is>
          <t>Consumer build plus fresh React 18/19 package installs pass.</t>
        </is>
      </c>
      <c r="L28" s="43" t="n">
        <v>1</v>
      </c>
      <c r="M28" s="43">
        <f>IF(OR(AND(I28="yes",H28="verified"),AND(I28="no",OR(H28="tested",H28="verified")),AND(H28="not applicable",K28&lt;&gt;"")),1,0)</f>
        <v/>
      </c>
    </row>
    <row r="29" ht="54" customHeight="1" s="34">
      <c r="A29" s="43" t="inlineStr">
        <is>
          <t>SH-21</t>
        </is>
      </c>
      <c r="B29" s="43" t="inlineStr">
        <is>
          <t>Manual</t>
        </is>
      </c>
      <c r="C29" s="43" t="inlineStr">
        <is>
          <t>Show</t>
        </is>
      </c>
      <c r="D29" s="44" t="inlineStr">
        <is>
          <t>A tester completes the numbered resize, display, semantics, keyboard, zoom, RTL, localization, preference, and no-JavaScript protocol.</t>
        </is>
      </c>
      <c r="E29" s="43" t="inlineStr">
        <is>
          <t>package</t>
        </is>
      </c>
      <c r="F29" s="43" t="inlineStr">
        <is>
          <t>manual</t>
        </is>
      </c>
      <c r="G29" s="44" t="inlineStr">
        <is>
          <t>manual-tests/show.md</t>
        </is>
      </c>
      <c r="H29" s="43" t="inlineStr">
        <is>
          <t>not started</t>
        </is>
      </c>
      <c r="I29" s="43" t="inlineStr">
        <is>
          <t>yes</t>
        </is>
      </c>
      <c r="J29" s="45" t="n"/>
      <c r="K29" s="44" t="inlineStr">
        <is>
          <t>Human run intentionally left as the sole component gate.</t>
        </is>
      </c>
      <c r="L29" s="43" t="n">
        <v>1</v>
      </c>
      <c r="M29" s="43">
        <f>IF(OR(AND(I29="yes",H29="verified"),AND(I29="no",OR(H29="tested",H29="verified")),AND(H29="not applicable",K29&lt;&gt;"")),1,0)</f>
        <v/>
      </c>
    </row>
    <row r="30" ht="54" customHeight="1" s="34">
      <c r="A30" s="43" t="inlineStr">
        <is>
          <t>SH-22</t>
        </is>
      </c>
      <c r="B30" s="43" t="inlineStr">
        <is>
          <t>Package</t>
        </is>
      </c>
      <c r="C30" s="43" t="inlineStr">
        <is>
          <t>Show</t>
        </is>
      </c>
      <c r="D30" s="44" t="inlineStr">
        <is>
          <t>Build, declarations, exports, SSR, CSS, docs, ownership, tarball, React 18/19, Consumer, and focused five-project browser verification pass.</t>
        </is>
      </c>
      <c r="E30" s="43" t="inlineStr">
        <is>
          <t>package</t>
        </is>
      </c>
      <c r="F30" s="43" t="inlineStr">
        <is>
          <t>package</t>
        </is>
      </c>
      <c r="G30" s="44" t="inlineStr">
        <is>
          <t>../scripts/verify-package.mjs; ../scripts/verify-consumers.mjs</t>
        </is>
      </c>
      <c r="H30" s="43" t="inlineStr">
        <is>
          <t>tested</t>
        </is>
      </c>
      <c r="I30" s="43" t="inlineStr">
        <is>
          <t>no</t>
        </is>
      </c>
      <c r="J30" s="45" t="n">
        <v>46232</v>
      </c>
      <c r="K30" s="44" t="inlineStr">
        <is>
          <t>Complete non-browser gate and focused 20-test browser/device matrix pass; unrelated legacy full-suite visual drift remains outside this component.</t>
        </is>
      </c>
      <c r="L30" s="43" t="n">
        <v>1</v>
      </c>
      <c r="M30" s="43">
        <f>IF(OR(AND(I30="yes",H30="verified"),AND(I30="no",OR(H30="tested",H30="verified")),AND(H30="not applicable",K30&lt;&gt;"")),1,0)</f>
        <v/>
      </c>
    </row>
    <row r="31" ht="54" customHeight="1" s="34"/>
    <row r="32" ht="54" customHeight="1" s="34"/>
    <row r="33" ht="54" customHeight="1" s="34"/>
    <row r="34" ht="54" customHeight="1" s="34"/>
    <row r="35" ht="54" customHeight="1" s="34"/>
    <row r="36" ht="54" customHeight="1" s="34"/>
  </sheetData>
  <mergeCells count="2">
    <mergeCell ref="A2:M2"/>
    <mergeCell ref="A1:M1"/>
  </mergeCells>
  <dataValidations count="2">
    <dataValidation sqref="H9:H30" showDropDown="0" showInputMessage="0" showErrorMessage="0" allowBlank="0" type="list" errorStyle="stop" operator="between">
      <formula1>"not started,partial,implemented,tested,verified,blocked,not applicable"</formula1>
      <formula2>0</formula2>
    </dataValidation>
    <dataValidation sqref="I9:I30"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6.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Hide Evidence</t>
        </is>
      </c>
    </row>
    <row r="2" ht="27.75" customHeight="1" s="34">
      <c r="A2" s="36" t="inlineStr">
        <is>
          <t>Assertion-level CSS-only responsive visibility, composition, accessibility, package, Consumer, playground, visual, and manual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HD-01</t>
        </is>
      </c>
      <c r="B9" s="43" t="inlineStr">
        <is>
          <t>Ownership</t>
        </is>
      </c>
      <c r="C9" s="43" t="inlineStr">
        <is>
          <t>Hide</t>
        </is>
      </c>
      <c r="D9" s="44" t="inlineStr">
        <is>
          <t>Hide is a Brick-owned CSS layout utility; research found no Atom primitive or behavior patch is required.</t>
        </is>
      </c>
      <c r="E9" s="43" t="inlineStr">
        <is>
          <t>package</t>
        </is>
      </c>
      <c r="F9" s="43" t="inlineStr">
        <is>
          <t>source</t>
        </is>
      </c>
      <c r="G9" s="44" t="inlineStr">
        <is>
          <t>../src/components/hide/Hide.tsx; ../src/components/_responsive-visibility/ResponsiveVisibility.tsx</t>
        </is>
      </c>
      <c r="H9" s="43" t="inlineStr">
        <is>
          <t>tested</t>
        </is>
      </c>
      <c r="I9" s="43" t="inlineStr">
        <is>
          <t>no</t>
        </is>
      </c>
      <c r="J9" s="45" t="n">
        <v>46232</v>
      </c>
      <c r="K9" s="44" t="inlineStr">
        <is>
          <t>Source audit confirms the deliberate no-Atom boundary.</t>
        </is>
      </c>
      <c r="L9" s="43" t="n">
        <v>1</v>
      </c>
      <c r="M9" s="43">
        <f>IF(OR(AND(I9="yes",H9="verified"),AND(I9="no",OR(H9="tested",H9="verified")),AND(H9="not applicable",K9&lt;&gt;"")),1,0)</f>
        <v/>
      </c>
    </row>
    <row r="10" ht="54" customHeight="1" s="34">
      <c r="A10" s="43" t="inlineStr">
        <is>
          <t>HD-02</t>
        </is>
      </c>
      <c r="B10" s="43" t="inlineStr">
        <is>
          <t>Anatomy</t>
        </is>
      </c>
      <c r="C10" s="43" t="inlineStr">
        <is>
          <t>Root</t>
        </is>
      </c>
      <c r="D10" s="44" t="inlineStr">
        <is>
          <t>One always-mounted native host receives the brick-hide class, data-from threshold, data-slot hook, children, and forwarded ref.</t>
        </is>
      </c>
      <c r="E10" s="43" t="inlineStr">
        <is>
          <t>package</t>
        </is>
      </c>
      <c r="F10" s="43" t="inlineStr">
        <is>
          <t>component</t>
        </is>
      </c>
      <c r="G10" s="44" t="inlineStr">
        <is>
          <t>../test/components/hide/hide.test.tsx</t>
        </is>
      </c>
      <c r="H10" s="43" t="inlineStr">
        <is>
          <t>tested</t>
        </is>
      </c>
      <c r="I10" s="43" t="inlineStr">
        <is>
          <t>no</t>
        </is>
      </c>
      <c r="J10" s="45" t="n">
        <v>46232</v>
      </c>
      <c r="K10" s="44" t="inlineStr">
        <is>
          <t>Focused component anatomy assertions pass.</t>
        </is>
      </c>
      <c r="L10" s="43" t="n">
        <v>1</v>
      </c>
      <c r="M10" s="43">
        <f>IF(OR(AND(I10="yes",H10="verified"),AND(I10="no",OR(H10="tested",H10="verified")),AND(H10="not applicable",K10&lt;&gt;"")),1,0)</f>
        <v/>
      </c>
    </row>
    <row r="11" ht="54" customHeight="1" s="34">
      <c r="A11" s="43" t="inlineStr">
        <is>
          <t>HD-03</t>
        </is>
      </c>
      <c r="B11" s="43" t="inlineStr">
        <is>
          <t>Exports</t>
        </is>
      </c>
      <c r="C11" s="43" t="inlineStr">
        <is>
          <t>Hide</t>
        </is>
      </c>
      <c r="D11" s="44" t="inlineStr">
        <is>
          <t>Root and hide subpath exports expose Hide, HideProps, HideElement, and HideBreakpoint with identical runtime identity.</t>
        </is>
      </c>
      <c r="E11" s="43" t="inlineStr">
        <is>
          <t>package</t>
        </is>
      </c>
      <c r="F11" s="43" t="inlineStr">
        <is>
          <t>package</t>
        </is>
      </c>
      <c r="G11" s="44" t="inlineStr">
        <is>
          <t>../test/package/package.test.mjs; ../package.json</t>
        </is>
      </c>
      <c r="H11" s="43" t="inlineStr">
        <is>
          <t>tested</t>
        </is>
      </c>
      <c r="I11" s="43" t="inlineStr">
        <is>
          <t>no</t>
        </is>
      </c>
      <c r="J11" s="45" t="n">
        <v>46232</v>
      </c>
      <c r="K11" s="44" t="inlineStr">
        <is>
          <t>Package export and clean-consumer identity checks pass.</t>
        </is>
      </c>
      <c r="L11" s="43" t="n">
        <v>1</v>
      </c>
      <c r="M11" s="43">
        <f>IF(OR(AND(I11="yes",H11="verified"),AND(I11="no",OR(H11="tested",H11="verified")),AND(H11="not applicable",K11&lt;&gt;"")),1,0)</f>
        <v/>
      </c>
    </row>
    <row r="12" ht="54" customHeight="1" s="34">
      <c r="A12" s="43" t="inlineStr">
        <is>
          <t>HD-04</t>
        </is>
      </c>
      <c r="B12" s="43" t="inlineStr">
        <is>
          <t>Types</t>
        </is>
      </c>
      <c r="C12" s="43" t="inlineStr">
        <is>
          <t>Public surface</t>
        </is>
      </c>
      <c r="D12" s="44" t="inlineStr">
        <is>
          <t>Required from threshold, closed hosts and breakpoints, native props, style, slot, children, and HTMLElement refs type-check while hidden is excluded.</t>
        </is>
      </c>
      <c r="E12" s="43" t="inlineStr">
        <is>
          <t>package</t>
        </is>
      </c>
      <c r="F12" s="43" t="inlineStr">
        <is>
          <t>types</t>
        </is>
      </c>
      <c r="G12" s="44" t="inlineStr">
        <is>
          <t>../test/types/components/hide.test.ts</t>
        </is>
      </c>
      <c r="H12" s="43" t="inlineStr">
        <is>
          <t>tested</t>
        </is>
      </c>
      <c r="I12" s="43" t="inlineStr">
        <is>
          <t>no</t>
        </is>
      </c>
      <c r="J12" s="45" t="n">
        <v>46232</v>
      </c>
      <c r="K12" s="44" t="inlineStr">
        <is>
          <t>Focused and repository-wide type checks pass.</t>
        </is>
      </c>
      <c r="L12" s="43" t="n">
        <v>1</v>
      </c>
      <c r="M12" s="43">
        <f>IF(OR(AND(I12="yes",H12="verified"),AND(I12="no",OR(H12="tested",H12="verified")),AND(H12="not applicable",K12&lt;&gt;"")),1,0)</f>
        <v/>
      </c>
    </row>
    <row r="13" ht="54" customHeight="1" s="34">
      <c r="A13" s="43" t="inlineStr">
        <is>
          <t>HD-05</t>
        </is>
      </c>
      <c r="B13" s="43" t="inlineStr">
        <is>
          <t>SSR</t>
        </is>
      </c>
      <c r="C13" s="43" t="inlineStr">
        <is>
          <t>Root</t>
        </is>
      </c>
      <c r="D13" s="44" t="inlineStr">
        <is>
          <t>Hide imports server-safely and emits deterministic always-mounted markup without reading viewport state during render.</t>
        </is>
      </c>
      <c r="E13" s="43" t="inlineStr">
        <is>
          <t>package</t>
        </is>
      </c>
      <c r="F13" s="43" t="inlineStr">
        <is>
          <t>package</t>
        </is>
      </c>
      <c r="G13" s="44" t="inlineStr">
        <is>
          <t>../test/package/ssr.test.mjs</t>
        </is>
      </c>
      <c r="H13" s="43" t="inlineStr">
        <is>
          <t>tested</t>
        </is>
      </c>
      <c r="I13" s="43" t="inlineStr">
        <is>
          <t>no</t>
        </is>
      </c>
      <c r="J13" s="45" t="n">
        <v>46232</v>
      </c>
      <c r="K13" s="44" t="inlineStr">
        <is>
          <t>React server rendering and clean React 18/19 consumers pass.</t>
        </is>
      </c>
      <c r="L13" s="43" t="n">
        <v>1</v>
      </c>
      <c r="M13" s="43">
        <f>IF(OR(AND(I13="yes",H13="verified"),AND(I13="no",OR(H13="tested",H13="verified")),AND(H13="not applicable",K13&lt;&gt;"")),1,0)</f>
        <v/>
      </c>
    </row>
    <row r="14" ht="54" customHeight="1" s="34">
      <c r="A14" s="43" t="inlineStr">
        <is>
          <t>HD-06</t>
        </is>
      </c>
      <c r="B14" s="43" t="inlineStr">
        <is>
          <t>CSS</t>
        </is>
      </c>
      <c r="C14" s="43" t="inlineStr">
        <is>
          <t>Root</t>
        </is>
      </c>
      <c r="D14" s="44" t="inlineStr">
        <is>
          <t>Static CSS ships sm 30rem, md 48rem, lg 64rem, and xl 80rem media boundaries and hides only brick-hide with display none important.</t>
        </is>
      </c>
      <c r="E14" s="43" t="inlineStr">
        <is>
          <t>package</t>
        </is>
      </c>
      <c r="F14" s="43" t="inlineStr">
        <is>
          <t>css</t>
        </is>
      </c>
      <c r="G14" s="44" t="inlineStr">
        <is>
          <t>../src/components/hide/hide.css; ../scripts/prototype-css.mjs</t>
        </is>
      </c>
      <c r="H14" s="43" t="inlineStr">
        <is>
          <t>tested</t>
        </is>
      </c>
      <c r="I14" s="43" t="inlineStr">
        <is>
          <t>no</t>
        </is>
      </c>
      <c r="J14" s="45" t="n">
        <v>46232</v>
      </c>
      <c r="K14" s="44" t="inlineStr">
        <is>
          <t>Production CSS and packaged CSS assertions pass.</t>
        </is>
      </c>
      <c r="L14" s="43" t="n">
        <v>1</v>
      </c>
      <c r="M14" s="43">
        <f>IF(OR(AND(I14="yes",H14="verified"),AND(I14="no",OR(H14="tested",H14="verified")),AND(H14="not applicable",K14&lt;&gt;"")),1,0)</f>
        <v/>
      </c>
    </row>
    <row r="15" ht="54" customHeight="1" s="34">
      <c r="A15" s="43" t="inlineStr">
        <is>
          <t>HD-07</t>
        </is>
      </c>
      <c r="B15" s="43" t="inlineStr">
        <is>
          <t>Breakpoint edges</t>
        </is>
      </c>
      <c r="C15" s="43" t="inlineStr">
        <is>
          <t>Root</t>
        </is>
      </c>
      <c r="D15" s="44" t="inlineStr">
        <is>
          <t>At 767px and 768px the md boundary changes exactly once and Hide has no overlap or gap.</t>
        </is>
      </c>
      <c r="E15" s="43" t="inlineStr">
        <is>
          <t>browser</t>
        </is>
      </c>
      <c r="F15" s="43" t="inlineStr">
        <is>
          <t>browser</t>
        </is>
      </c>
      <c r="G15" s="44" t="inlineStr">
        <is>
          <t>tests/components/hide/behavior.spec.ts</t>
        </is>
      </c>
      <c r="H15" s="43" t="inlineStr">
        <is>
          <t>tested</t>
        </is>
      </c>
      <c r="I15" s="43" t="inlineStr">
        <is>
          <t>no</t>
        </is>
      </c>
      <c r="J15" s="45" t="n">
        <v>46232</v>
      </c>
      <c r="K15" s="44" t="inlineStr">
        <is>
          <t>All five configured browser/device projects pass.</t>
        </is>
      </c>
      <c r="L15" s="43" t="n">
        <v>1</v>
      </c>
      <c r="M15" s="43">
        <f>IF(OR(AND(I15="yes",H15="verified"),AND(I15="no",OR(H15="tested",H15="verified")),AND(H15="not applicable",K15&lt;&gt;"")),1,0)</f>
        <v/>
      </c>
    </row>
    <row r="16" ht="54" customHeight="1" s="34">
      <c r="A16" s="43" t="inlineStr">
        <is>
          <t>HD-08</t>
        </is>
      </c>
      <c r="B16" s="43" t="inlineStr">
        <is>
          <t>Display preservation</t>
        </is>
      </c>
      <c r="C16" s="43" t="inlineStr">
        <is>
          <t>Root</t>
        </is>
      </c>
      <c r="D16" s="44" t="inlineStr">
        <is>
          <t>Visible block, inline, flex, and grid hosts retain their authored computed display instead of receiving an invented visible display value.</t>
        </is>
      </c>
      <c r="E16" s="43" t="inlineStr">
        <is>
          <t>browser</t>
        </is>
      </c>
      <c r="F16" s="43" t="inlineStr">
        <is>
          <t>browser</t>
        </is>
      </c>
      <c r="G16" s="44" t="inlineStr">
        <is>
          <t>tests/components/hide/behavior.spec.ts</t>
        </is>
      </c>
      <c r="H16" s="43" t="inlineStr">
        <is>
          <t>tested</t>
        </is>
      </c>
      <c r="I16" s="43" t="inlineStr">
        <is>
          <t>no</t>
        </is>
      </c>
      <c r="J16" s="45" t="n">
        <v>46232</v>
      </c>
      <c r="K16" s="44" t="inlineStr">
        <is>
          <t>Computed-display assertions pass.</t>
        </is>
      </c>
      <c r="L16" s="43" t="n">
        <v>1</v>
      </c>
      <c r="M16" s="43">
        <f>IF(OR(AND(I16="yes",H16="verified"),AND(I16="no",OR(H16="tested",H16="verified")),AND(H16="not applicable",K16&lt;&gt;"")),1,0)</f>
        <v/>
      </c>
    </row>
    <row r="17" ht="54" customHeight="1" s="34">
      <c r="A17" s="43" t="inlineStr">
        <is>
          <t>HD-09</t>
        </is>
      </c>
      <c r="B17" s="43" t="inlineStr">
        <is>
          <t>Mounted state</t>
        </is>
      </c>
      <c r="C17" s="43" t="inlineStr">
        <is>
          <t>Root / children</t>
        </is>
      </c>
      <c r="D17" s="44" t="inlineStr">
        <is>
          <t>Responsive hiding never unmounts children, so authored local state survives a transition from hidden to visible.</t>
        </is>
      </c>
      <c r="E17" s="43" t="inlineStr">
        <is>
          <t>browser</t>
        </is>
      </c>
      <c r="F17" s="43" t="inlineStr">
        <is>
          <t>browser</t>
        </is>
      </c>
      <c r="G17" s="44" t="inlineStr">
        <is>
          <t>tests/components/hide/behavior.spec.ts</t>
        </is>
      </c>
      <c r="H17" s="43" t="inlineStr">
        <is>
          <t>tested</t>
        </is>
      </c>
      <c r="I17" s="43" t="inlineStr">
        <is>
          <t>no</t>
        </is>
      </c>
      <c r="J17" s="45" t="n">
        <v>46232</v>
      </c>
      <c r="K17" s="44" t="inlineStr">
        <is>
          <t>Resize and retained-state assertions pass.</t>
        </is>
      </c>
      <c r="L17" s="43" t="n">
        <v>1</v>
      </c>
      <c r="M17" s="43">
        <f>IF(OR(AND(I17="yes",H17="verified"),AND(I17="no",OR(H17="tested",H17="verified")),AND(H17="not applicable",K17&lt;&gt;"")),1,0)</f>
        <v/>
      </c>
    </row>
    <row r="18" ht="54" customHeight="1" s="34">
      <c r="A18" s="43" t="inlineStr">
        <is>
          <t>HD-10</t>
        </is>
      </c>
      <c r="B18" s="43" t="inlineStr">
        <is>
          <t>Accessibility tree</t>
        </is>
      </c>
      <c r="C18" s="43" t="inlineStr">
        <is>
          <t>Root / children</t>
        </is>
      </c>
      <c r="D18" s="44" t="inlineStr">
        <is>
          <t>Controls inside a display-none branch are absent from the accessibility tree and return when their branch becomes visible.</t>
        </is>
      </c>
      <c r="E18" s="43" t="inlineStr">
        <is>
          <t>browser</t>
        </is>
      </c>
      <c r="F18" s="43" t="inlineStr">
        <is>
          <t>axe</t>
        </is>
      </c>
      <c r="G18" s="44" t="inlineStr">
        <is>
          <t>tests/components/hide/behavior.spec.ts</t>
        </is>
      </c>
      <c r="H18" s="43" t="inlineStr">
        <is>
          <t>tested</t>
        </is>
      </c>
      <c r="I18" s="43" t="inlineStr">
        <is>
          <t>no</t>
        </is>
      </c>
      <c r="J18" s="45" t="n">
        <v>46232</v>
      </c>
      <c r="K18" s="44" t="inlineStr">
        <is>
          <t>Role visibility and focused axe assertions pass.</t>
        </is>
      </c>
      <c r="L18" s="43" t="n">
        <v>1</v>
      </c>
      <c r="M18" s="43">
        <f>IF(OR(AND(I18="yes",H18="verified"),AND(I18="no",OR(H18="tested",H18="verified")),AND(H18="not applicable",K18&lt;&gt;"")),1,0)</f>
        <v/>
      </c>
    </row>
    <row r="19" ht="54" customHeight="1" s="34">
      <c r="A19" s="43" t="inlineStr">
        <is>
          <t>HD-11</t>
        </is>
      </c>
      <c r="B19" s="43" t="inlineStr">
        <is>
          <t>Composition</t>
        </is>
      </c>
      <c r="C19" s="43" t="inlineStr">
        <is>
          <t>Hide / Show</t>
        </is>
      </c>
      <c r="D19" s="44" t="inlineStr">
        <is>
          <t>Hide and Show remain independent exact complements and compose without a public Visibility mode namespace.</t>
        </is>
      </c>
      <c r="E19" s="43" t="inlineStr">
        <is>
          <t>browser</t>
        </is>
      </c>
      <c r="F19" s="43" t="inlineStr">
        <is>
          <t>browser</t>
        </is>
      </c>
      <c r="G19" s="44" t="inlineStr">
        <is>
          <t>tests/components/hide/behavior.spec.ts</t>
        </is>
      </c>
      <c r="H19" s="43" t="inlineStr">
        <is>
          <t>tested</t>
        </is>
      </c>
      <c r="I19" s="43" t="inlineStr">
        <is>
          <t>no</t>
        </is>
      </c>
      <c r="J19" s="45" t="n">
        <v>46232</v>
      </c>
      <c r="K19" s="44" t="inlineStr">
        <is>
          <t>Complementary boundary assertions pass.</t>
        </is>
      </c>
      <c r="L19" s="43" t="n">
        <v>1</v>
      </c>
      <c r="M19" s="43">
        <f>IF(OR(AND(I19="yes",H19="verified"),AND(I19="no",OR(H19="tested",H19="verified")),AND(H19="not applicable",K19&lt;&gt;"")),1,0)</f>
        <v/>
      </c>
    </row>
    <row r="20" ht="54" customHeight="1" s="34">
      <c r="A20" s="43" t="inlineStr">
        <is>
          <t>HD-12</t>
        </is>
      </c>
      <c r="B20" s="43" t="inlineStr">
        <is>
          <t>Semantic hosts</t>
        </is>
      </c>
      <c r="C20" s="43" t="inlineStr">
        <is>
          <t>Root</t>
        </is>
      </c>
      <c r="D20" s="44" t="inlineStr">
        <is>
          <t>Closed div, span, section, article, navigation, landmark, and list hosts preserve authored semantics without adding roles or names.</t>
        </is>
      </c>
      <c r="E20" s="43" t="inlineStr">
        <is>
          <t>package</t>
        </is>
      </c>
      <c r="F20" s="43" t="inlineStr">
        <is>
          <t>component</t>
        </is>
      </c>
      <c r="G20" s="44" t="inlineStr">
        <is>
          <t>../test/components/hide/hide.test.tsx</t>
        </is>
      </c>
      <c r="H20" s="43" t="inlineStr">
        <is>
          <t>tested</t>
        </is>
      </c>
      <c r="I20" s="43" t="inlineStr">
        <is>
          <t>no</t>
        </is>
      </c>
      <c r="J20" s="45" t="n">
        <v>46232</v>
      </c>
      <c r="K20" s="44" t="inlineStr">
        <is>
          <t>Semantic host and no-invented-ARIA assertions pass.</t>
        </is>
      </c>
      <c r="L20" s="43" t="n">
        <v>1</v>
      </c>
      <c r="M20" s="43">
        <f>IF(OR(AND(I20="yes",H20="verified"),AND(I20="no",OR(H20="tested",H20="verified")),AND(H20="not applicable",K20&lt;&gt;"")),1,0)</f>
        <v/>
      </c>
    </row>
    <row r="21" ht="54" customHeight="1" s="34">
      <c r="A21" s="43" t="inlineStr">
        <is>
          <t>HD-13</t>
        </is>
      </c>
      <c r="B21" s="43" t="inlineStr">
        <is>
          <t>Native composition</t>
        </is>
      </c>
      <c r="C21" s="43" t="inlineStr">
        <is>
          <t>Root</t>
        </is>
      </c>
      <c r="D21" s="44" t="inlineStr">
        <is>
          <t>Class, style, slot, data attributes, events, aria attributes, children, and forwarded HTMLElement refs target the single public host.</t>
        </is>
      </c>
      <c r="E21" s="43" t="inlineStr">
        <is>
          <t>package</t>
        </is>
      </c>
      <c r="F21" s="43" t="inlineStr">
        <is>
          <t>component</t>
        </is>
      </c>
      <c r="G21" s="44" t="inlineStr">
        <is>
          <t>../test/components/hide/hide.test.tsx; tests/components/hide/behavior.spec.ts</t>
        </is>
      </c>
      <c r="H21" s="43" t="inlineStr">
        <is>
          <t>tested</t>
        </is>
      </c>
      <c r="I21" s="43" t="inlineStr">
        <is>
          <t>no</t>
        </is>
      </c>
      <c r="J21" s="45" t="n">
        <v>46232</v>
      </c>
      <c r="K21" s="44" t="inlineStr">
        <is>
          <t>Component and browser ref/prop evidence passes.</t>
        </is>
      </c>
      <c r="L21" s="43" t="n">
        <v>1</v>
      </c>
      <c r="M21" s="43">
        <f>IF(OR(AND(I21="yes",H21="verified"),AND(I21="no",OR(H21="tested",H21="verified")),AND(H21="not applicable",K21&lt;&gt;"")),1,0)</f>
        <v/>
      </c>
    </row>
    <row r="22" ht="54" customHeight="1" s="34">
      <c r="A22" s="43" t="inlineStr">
        <is>
          <t>HD-14</t>
        </is>
      </c>
      <c r="B22" s="43" t="inlineStr">
        <is>
          <t>Responsive / RTL</t>
        </is>
      </c>
      <c r="C22" s="43" t="inlineStr">
        <is>
          <t>Root / children</t>
        </is>
      </c>
      <c r="D22" s="44" t="inlineStr">
        <is>
          <t>Viewport thresholds remain physical while long localized content, authored direction, and RTL text stay intact and contained.</t>
        </is>
      </c>
      <c r="E22" s="43" t="inlineStr">
        <is>
          <t>browser</t>
        </is>
      </c>
      <c r="F22" s="43" t="inlineStr">
        <is>
          <t>browser</t>
        </is>
      </c>
      <c r="G22" s="44" t="inlineStr">
        <is>
          <t>tests/components/hide/behavior.spec.ts; tests/components/hide/visual.spec.ts</t>
        </is>
      </c>
      <c r="H22" s="43" t="inlineStr">
        <is>
          <t>tested</t>
        </is>
      </c>
      <c r="I22" s="43" t="inlineStr">
        <is>
          <t>no</t>
        </is>
      </c>
      <c r="J22" s="45" t="n">
        <v>46232</v>
      </c>
      <c r="K22" s="44" t="inlineStr">
        <is>
          <t>Cross-browser resize and reviewed localized baselines pass.</t>
        </is>
      </c>
      <c r="L22" s="43" t="n">
        <v>1</v>
      </c>
      <c r="M22" s="43">
        <f>IF(OR(AND(I22="yes",H22="verified"),AND(I22="no",OR(H22="tested",H22="verified")),AND(H22="not applicable",K22&lt;&gt;"")),1,0)</f>
        <v/>
      </c>
    </row>
    <row r="23" ht="54" customHeight="1" s="34">
      <c r="A23" s="43" t="inlineStr">
        <is>
          <t>HD-15</t>
        </is>
      </c>
      <c r="B23" s="43" t="inlineStr">
        <is>
          <t>Accessibility</t>
        </is>
      </c>
      <c r="C23" s="43" t="inlineStr">
        <is>
          <t>Root / children</t>
        </is>
      </c>
      <c r="D23" s="44" t="inlineStr">
        <is>
          <t>The utility adds no semantic state, preserves authored child semantics and focus behavior, and its route has no automatically detectable violations.</t>
        </is>
      </c>
      <c r="E23" s="43" t="inlineStr">
        <is>
          <t>browser</t>
        </is>
      </c>
      <c r="F23" s="43" t="inlineStr">
        <is>
          <t>axe</t>
        </is>
      </c>
      <c r="G23" s="44" t="inlineStr">
        <is>
          <t>tests/components/hide/behavior.spec.ts</t>
        </is>
      </c>
      <c r="H23" s="43" t="inlineStr">
        <is>
          <t>tested</t>
        </is>
      </c>
      <c r="I23" s="43" t="inlineStr">
        <is>
          <t>no</t>
        </is>
      </c>
      <c r="J23" s="45" t="n">
        <v>46232</v>
      </c>
      <c r="K23" s="44" t="inlineStr">
        <is>
          <t>Focused axe coverage passes in the configured matrix.</t>
        </is>
      </c>
      <c r="L23" s="43" t="n">
        <v>1</v>
      </c>
      <c r="M23" s="43">
        <f>IF(OR(AND(I23="yes",H23="verified"),AND(I23="no",OR(H23="tested",H23="verified")),AND(H23="not applicable",K23&lt;&gt;"")),1,0)</f>
        <v/>
      </c>
    </row>
    <row r="24" ht="54" customHeight="1" s="34">
      <c r="A24" s="43" t="inlineStr">
        <is>
          <t>HD-16</t>
        </is>
      </c>
      <c r="B24" s="43" t="inlineStr">
        <is>
          <t>Playground</t>
        </is>
      </c>
      <c r="C24" s="43" t="inlineStr">
        <is>
          <t>Hide</t>
        </is>
      </c>
      <c r="D24" s="44" t="inlineStr">
        <is>
          <t>One navigable route exposes eight separated scenarios for defaults, breakpoints, edges, display, hosts, composition, mounted state, and stress.</t>
        </is>
      </c>
      <c r="E24" s="43" t="inlineStr">
        <is>
          <t>package</t>
        </is>
      </c>
      <c r="F24" s="43" t="inlineStr">
        <is>
          <t>playground</t>
        </is>
      </c>
      <c r="G24" s="44" t="inlineStr">
        <is>
          <t>src/components/hide/HidePage.tsx; src/components/_visibility/VisibilityEvidencePage.tsx</t>
        </is>
      </c>
      <c r="H24" s="43" t="inlineStr">
        <is>
          <t>tested</t>
        </is>
      </c>
      <c r="I24" s="43" t="inlineStr">
        <is>
          <t>no</t>
        </is>
      </c>
      <c r="J24" s="45" t="n">
        <v>46232</v>
      </c>
      <c r="K24" s="44" t="inlineStr">
        <is>
          <t>Playground build, route ownership, and composition audits pass.</t>
        </is>
      </c>
      <c r="L24" s="43" t="n">
        <v>1</v>
      </c>
      <c r="M24" s="43">
        <f>IF(OR(AND(I24="yes",H24="verified"),AND(I24="no",OR(H24="tested",H24="verified")),AND(H24="not applicable",K24&lt;&gt;"")),1,0)</f>
        <v/>
      </c>
    </row>
    <row r="25" ht="54" customHeight="1" s="34">
      <c r="A25" s="43" t="inlineStr">
        <is>
          <t>HD-17</t>
        </is>
      </c>
      <c r="B25" s="43" t="inlineStr">
        <is>
          <t>Visual</t>
        </is>
      </c>
      <c r="C25" s="43" t="inlineStr">
        <is>
          <t>Root / children</t>
        </is>
      </c>
      <c r="D25" s="44" t="inlineStr">
        <is>
          <t>Reviewed baselines cover compact overview badges, breakpoint cards, visible and hidden branches, mobile containment, localization, and RTL.</t>
        </is>
      </c>
      <c r="E25" s="43" t="inlineStr">
        <is>
          <t>browser</t>
        </is>
      </c>
      <c r="F25" s="43" t="inlineStr">
        <is>
          <t>visual</t>
        </is>
      </c>
      <c r="G25" s="44" t="inlineStr">
        <is>
          <t>tests/components/hide/visual.spec.ts</t>
        </is>
      </c>
      <c r="H25" s="43" t="inlineStr">
        <is>
          <t>verified</t>
        </is>
      </c>
      <c r="I25" s="43" t="inlineStr">
        <is>
          <t>yes</t>
        </is>
      </c>
      <c r="J25" s="45" t="n">
        <v>46232</v>
      </c>
      <c r="K25" s="44" t="inlineStr">
        <is>
          <t>Agent inspected all three component-owned Chromium baselines on 2026-07-29.</t>
        </is>
      </c>
      <c r="L25" s="43" t="n">
        <v>1</v>
      </c>
      <c r="M25" s="43">
        <f>IF(OR(AND(I25="yes",H25="verified"),AND(I25="no",OR(H25="tested",H25="verified")),AND(H25="not applicable",K25&lt;&gt;"")),1,0)</f>
        <v/>
      </c>
    </row>
    <row r="26" ht="54" customHeight="1" s="34">
      <c r="A26" s="43" t="inlineStr">
        <is>
          <t>HD-18</t>
        </is>
      </c>
      <c r="B26" s="43" t="inlineStr">
        <is>
          <t>Documentation</t>
        </is>
      </c>
      <c r="C26" s="43" t="inlineStr">
        <is>
          <t>Public guide</t>
        </is>
      </c>
      <c r="D26" s="44" t="inlineStr">
        <is>
          <t>Guide documents role, independent-component rationale, breakpoints, always-mounted behavior, accessibility, composition, CSS hooks, examples, and exclusions.</t>
        </is>
      </c>
      <c r="E26" s="43" t="inlineStr">
        <is>
          <t>package</t>
        </is>
      </c>
      <c r="F26" s="43" t="inlineStr">
        <is>
          <t>documentation</t>
        </is>
      </c>
      <c r="G26" s="44" t="inlineStr">
        <is>
          <t>../docs/components/hide/README.md</t>
        </is>
      </c>
      <c r="H26" s="43" t="inlineStr">
        <is>
          <t>tested</t>
        </is>
      </c>
      <c r="I26" s="43" t="inlineStr">
        <is>
          <t>no</t>
        </is>
      </c>
      <c r="J26" s="45" t="n">
        <v>46232</v>
      </c>
      <c r="K26" s="44" t="inlineStr">
        <is>
          <t>Structural and source-backed semantic documentation contracts pass.</t>
        </is>
      </c>
      <c r="L26" s="43" t="n">
        <v>1</v>
      </c>
      <c r="M26" s="43">
        <f>IF(OR(AND(I26="yes",H26="verified"),AND(I26="no",OR(H26="tested",H26="verified")),AND(H26="not applicable",K26&lt;&gt;"")),1,0)</f>
        <v/>
      </c>
    </row>
    <row r="27" ht="54" customHeight="1" s="34">
      <c r="A27" s="43" t="inlineStr">
        <is>
          <t>HD-19</t>
        </is>
      </c>
      <c r="B27" s="43" t="inlineStr">
        <is>
          <t>Changelog</t>
        </is>
      </c>
      <c r="C27" s="43" t="inlineStr">
        <is>
          <t>Public record</t>
        </is>
      </c>
      <c r="D27" s="44" t="inlineStr">
        <is>
          <t>Hide owns a component changelog and the package changelog records both responsive visibility additions.</t>
        </is>
      </c>
      <c r="E27" s="43" t="inlineStr">
        <is>
          <t>package</t>
        </is>
      </c>
      <c r="F27" s="43" t="inlineStr">
        <is>
          <t>documentation</t>
        </is>
      </c>
      <c r="G27" s="44" t="inlineStr">
        <is>
          <t>../docs/components/hide/CHANGELOG.md; ../CHANGELOG.md</t>
        </is>
      </c>
      <c r="H27" s="43" t="inlineStr">
        <is>
          <t>tested</t>
        </is>
      </c>
      <c r="I27" s="43" t="inlineStr">
        <is>
          <t>no</t>
        </is>
      </c>
      <c r="J27" s="45" t="n">
        <v>46232</v>
      </c>
      <c r="K27" s="44" t="inlineStr">
        <is>
          <t>Both public changelog surfaces are present.</t>
        </is>
      </c>
      <c r="L27" s="43" t="n">
        <v>1</v>
      </c>
      <c r="M27" s="43">
        <f>IF(OR(AND(I27="yes",H27="verified"),AND(I27="no",OR(H27="tested",H27="verified")),AND(H27="not applicable",K27&lt;&gt;"")),1,0)</f>
        <v/>
      </c>
    </row>
    <row r="28" ht="54" customHeight="1" s="34">
      <c r="A28" s="43" t="inlineStr">
        <is>
          <t>HD-20</t>
        </is>
      </c>
      <c r="B28" s="43" t="inlineStr">
        <is>
          <t>Consumer</t>
        </is>
      </c>
      <c r="C28" s="43" t="inlineStr">
        <is>
          <t>Root</t>
        </is>
      </c>
      <c r="D28" s="44" t="inlineStr">
        <is>
          <t>The packed Consumer imports Hide from its public subpath and composes realistic wide/compact workspace guidance.</t>
        </is>
      </c>
      <c r="E28" s="43" t="inlineStr">
        <is>
          <t>consumer</t>
        </is>
      </c>
      <c r="F28" s="43" t="inlineStr">
        <is>
          <t>consumer</t>
        </is>
      </c>
      <c r="G28" s="44" t="inlineStr">
        <is>
          <t>../apps/consumer/src/App.tsx; ../scripts/verify-consumers.mjs</t>
        </is>
      </c>
      <c r="H28" s="43" t="inlineStr">
        <is>
          <t>tested</t>
        </is>
      </c>
      <c r="I28" s="43" t="inlineStr">
        <is>
          <t>no</t>
        </is>
      </c>
      <c r="J28" s="45" t="n">
        <v>46232</v>
      </c>
      <c r="K28" s="44" t="inlineStr">
        <is>
          <t>Consumer build plus fresh React 18/19 package installs pass.</t>
        </is>
      </c>
      <c r="L28" s="43" t="n">
        <v>1</v>
      </c>
      <c r="M28" s="43">
        <f>IF(OR(AND(I28="yes",H28="verified"),AND(I28="no",OR(H28="tested",H28="verified")),AND(H28="not applicable",K28&lt;&gt;"")),1,0)</f>
        <v/>
      </c>
    </row>
    <row r="29" ht="54" customHeight="1" s="34">
      <c r="A29" s="43" t="inlineStr">
        <is>
          <t>HD-21</t>
        </is>
      </c>
      <c r="B29" s="43" t="inlineStr">
        <is>
          <t>Manual</t>
        </is>
      </c>
      <c r="C29" s="43" t="inlineStr">
        <is>
          <t>Hide</t>
        </is>
      </c>
      <c r="D29" s="44" t="inlineStr">
        <is>
          <t>A tester completes the numbered resize, display, semantics, keyboard, zoom, RTL, localization, preference, and no-JavaScript protocol.</t>
        </is>
      </c>
      <c r="E29" s="43" t="inlineStr">
        <is>
          <t>package</t>
        </is>
      </c>
      <c r="F29" s="43" t="inlineStr">
        <is>
          <t>manual</t>
        </is>
      </c>
      <c r="G29" s="44" t="inlineStr">
        <is>
          <t>manual-tests/hide.md</t>
        </is>
      </c>
      <c r="H29" s="43" t="inlineStr">
        <is>
          <t>not started</t>
        </is>
      </c>
      <c r="I29" s="43" t="inlineStr">
        <is>
          <t>yes</t>
        </is>
      </c>
      <c r="J29" s="45" t="n"/>
      <c r="K29" s="44" t="inlineStr">
        <is>
          <t>Human run intentionally left as the sole component gate.</t>
        </is>
      </c>
      <c r="L29" s="43" t="n">
        <v>1</v>
      </c>
      <c r="M29" s="43">
        <f>IF(OR(AND(I29="yes",H29="verified"),AND(I29="no",OR(H29="tested",H29="verified")),AND(H29="not applicable",K29&lt;&gt;"")),1,0)</f>
        <v/>
      </c>
    </row>
    <row r="30" ht="54" customHeight="1" s="34">
      <c r="A30" s="43" t="inlineStr">
        <is>
          <t>HD-22</t>
        </is>
      </c>
      <c r="B30" s="43" t="inlineStr">
        <is>
          <t>Package</t>
        </is>
      </c>
      <c r="C30" s="43" t="inlineStr">
        <is>
          <t>Hide</t>
        </is>
      </c>
      <c r="D30" s="44" t="inlineStr">
        <is>
          <t>Build, declarations, exports, SSR, CSS, docs, ownership, tarball, React 18/19, Consumer, and focused five-project browser verification pass.</t>
        </is>
      </c>
      <c r="E30" s="43" t="inlineStr">
        <is>
          <t>package</t>
        </is>
      </c>
      <c r="F30" s="43" t="inlineStr">
        <is>
          <t>package</t>
        </is>
      </c>
      <c r="G30" s="44" t="inlineStr">
        <is>
          <t>../scripts/verify-package.mjs; ../scripts/verify-consumers.mjs</t>
        </is>
      </c>
      <c r="H30" s="43" t="inlineStr">
        <is>
          <t>tested</t>
        </is>
      </c>
      <c r="I30" s="43" t="inlineStr">
        <is>
          <t>no</t>
        </is>
      </c>
      <c r="J30" s="45" t="n">
        <v>46232</v>
      </c>
      <c r="K30" s="44" t="inlineStr">
        <is>
          <t>Complete non-browser gate and focused 20-test browser/device matrix pass; unrelated legacy full-suite visual drift remains outside this component.</t>
        </is>
      </c>
      <c r="L30" s="43" t="n">
        <v>1</v>
      </c>
      <c r="M30" s="43">
        <f>IF(OR(AND(I30="yes",H30="verified"),AND(I30="no",OR(H30="tested",H30="verified")),AND(H30="not applicable",K30&lt;&gt;"")),1,0)</f>
        <v/>
      </c>
    </row>
    <row r="31" ht="54" customHeight="1" s="34"/>
    <row r="32" ht="54" customHeight="1" s="34"/>
    <row r="33" ht="54" customHeight="1" s="34"/>
    <row r="34" ht="54" customHeight="1" s="34"/>
    <row r="35" ht="54" customHeight="1" s="34"/>
    <row r="36" ht="54" customHeight="1" s="34"/>
  </sheetData>
  <mergeCells count="2">
    <mergeCell ref="A2:M2"/>
    <mergeCell ref="A1:M1"/>
  </mergeCells>
  <dataValidations count="2">
    <dataValidation sqref="H9:H30" showDropDown="0" showInputMessage="0" showErrorMessage="0" allowBlank="0" type="list" errorStyle="stop" operator="between">
      <formula1>"not started,partial,implemented,tested,verified,blocked,not applicable"</formula1>
      <formula2>0</formula2>
    </dataValidation>
    <dataValidation sqref="I9:I30"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7.xml><?xml version="1.0" encoding="utf-8"?>
<worksheet xmlns="http://schemas.openxmlformats.org/spreadsheetml/2006/main">
  <sheetPr filterMode="0">
    <outlinePr summaryBelow="1" summaryRight="1"/>
    <pageSetUpPr fitToPage="0"/>
  </sheetPr>
  <dimension ref="A1:M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Swipeable Item Evidence</t>
        </is>
      </c>
    </row>
    <row r="2" ht="27.75" customHeight="1" s="34">
      <c r="A2" s="36" t="inlineStr">
        <is>
          <t>Assertion-level Atom ownership, gesture and keyboard behavior, three-part anatomy, logical actions, accessibility, package, Consumer, playground, visual, and manual evidence.</t>
        </is>
      </c>
    </row>
    <row r="4" ht="17.25" customHeight="1" s="34">
      <c r="A4" s="37" t="inlineStr">
        <is>
          <t>Requirements</t>
        </is>
      </c>
      <c r="B4" s="38">
        <f>COUNTA(A9:A39)</f>
        <v/>
      </c>
      <c r="D4" s="37" t="inlineStr">
        <is>
          <t>Resolved</t>
        </is>
      </c>
      <c r="E4" s="38">
        <f>SUM(M9:M39)</f>
        <v/>
      </c>
      <c r="G4" s="37" t="inlineStr">
        <is>
          <t>Completion</t>
        </is>
      </c>
      <c r="H4" s="39">
        <f>IF(B4=0,0,E4/B4)</f>
        <v/>
      </c>
      <c r="J4" s="37" t="inlineStr">
        <is>
          <t>Package gate</t>
        </is>
      </c>
      <c r="K4" s="38">
        <f>IF(COUNTIFS(E9:E39,"package",M9:M39,0)&gt;0,"open","complete")</f>
        <v/>
      </c>
    </row>
    <row r="5" ht="17.25" customHeight="1" s="34">
      <c r="A5" s="37" t="inlineStr">
        <is>
          <t>Manual review</t>
        </is>
      </c>
      <c r="B5" s="38">
        <f>IF(COUNTIFS(I9:I39,"yes",M9:M39,0)&gt;0,"open","complete")</f>
        <v/>
      </c>
      <c r="D5" s="37" t="inlineStr">
        <is>
          <t>Consumer gate</t>
        </is>
      </c>
      <c r="E5" s="38">
        <f>IF(COUNTIFS(E9:E39,"consumer",M9:M39,0)&gt;0,"open","complete")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SW-01</t>
        </is>
      </c>
      <c r="B9" s="43" t="inlineStr">
        <is>
          <t>Atom ownership</t>
        </is>
      </c>
      <c r="C9" s="43" t="inlineStr">
        <is>
          <t>Root / Content / Actions</t>
        </is>
      </c>
      <c r="D9" s="44" t="inlineStr">
        <is>
          <t>Brick styles and forwards the released Atom Swipeable Item contract; Atom 0.20.11 owns open-side state, measured offsets, pointer intent, keyboard reveal, cancellation, direction, and inert closed actions.</t>
        </is>
      </c>
      <c r="E9" s="43" t="inlineStr">
        <is>
          <t>package</t>
        </is>
      </c>
      <c r="F9" s="43" t="inlineStr">
        <is>
          <t>source</t>
        </is>
      </c>
      <c r="G9" s="44" t="inlineStr">
        <is>
          <t>../src/components/swipeable-item/SwipeableItem.tsx; @flowstack-ui/atom 0.19.9</t>
        </is>
      </c>
      <c r="H9" s="43" t="inlineStr">
        <is>
          <t>tested</t>
        </is>
      </c>
      <c r="I9" s="43" t="inlineStr">
        <is>
          <t>no</t>
        </is>
      </c>
      <c r="J9" s="45" t="n">
        <v>46232</v>
      </c>
      <c r="K9" s="44" t="inlineStr">
        <is>
          <t>Released Atom package and Brick adapter audit pass.</t>
        </is>
      </c>
      <c r="L9" s="43" t="n">
        <v>1</v>
      </c>
      <c r="M9" s="43">
        <f>IF(OR(AND(I9="yes",H9="verified"),AND(I9="no",OR(H9="tested",H9="verified")),AND(H9="not applicable",K9&lt;&gt;"")),1,0)</f>
        <v/>
      </c>
    </row>
    <row r="10" ht="54" customHeight="1" s="34">
      <c r="A10" s="43" t="inlineStr">
        <is>
          <t>SW-02</t>
        </is>
      </c>
      <c r="B10" s="43" t="inlineStr">
        <is>
          <t>API</t>
        </is>
      </c>
      <c r="C10" s="43" t="inlineStr">
        <is>
          <t>Namespace</t>
        </is>
      </c>
      <c r="D10" s="44" t="inlineStr">
        <is>
          <t>The public namespace contains exactly Root, Content, and Actions; Brick exposes only the plain and outline recipes and deliberately excludes full-swipe command execution.</t>
        </is>
      </c>
      <c r="E10" s="43" t="inlineStr">
        <is>
          <t>package</t>
        </is>
      </c>
      <c r="F10" s="43" t="inlineStr">
        <is>
          <t>component</t>
        </is>
      </c>
      <c r="G10" s="44" t="inlineStr">
        <is>
          <t>../test/components/swipeable-item/swipeable-item.test.tsx; ../test/types/components/swipeable-item.test.ts</t>
        </is>
      </c>
      <c r="H10" s="43" t="inlineStr">
        <is>
          <t>tested</t>
        </is>
      </c>
      <c r="I10" s="43" t="inlineStr">
        <is>
          <t>no</t>
        </is>
      </c>
      <c r="J10" s="45" t="n">
        <v>46232</v>
      </c>
      <c r="K10" s="44" t="inlineStr">
        <is>
          <t>Closed namespace and negative type assertions pass.</t>
        </is>
      </c>
      <c r="L10" s="43" t="n">
        <v>1</v>
      </c>
      <c r="M10" s="43">
        <f>IF(OR(AND(I10="yes",H10="verified"),AND(I10="no",OR(H10="tested",H10="verified")),AND(H10="not applicable",K10&lt;&gt;"")),1,0)</f>
        <v/>
      </c>
    </row>
    <row r="11" ht="54" customHeight="1" s="34">
      <c r="A11" s="43" t="inlineStr">
        <is>
          <t>SW-03</t>
        </is>
      </c>
      <c r="B11" s="43" t="inlineStr">
        <is>
          <t>Anatomy</t>
        </is>
      </c>
      <c r="C11" s="43" t="inlineStr">
        <is>
          <t>Root / Content / Actions</t>
        </is>
      </c>
      <c r="D11" s="44" t="inlineStr">
        <is>
          <t>Root owns the boundary, Content is the moving foreground, and each labeled Actions group remains a direct logical-side child without a Brick-owned row-content schema.</t>
        </is>
      </c>
      <c r="E11" s="43" t="inlineStr">
        <is>
          <t>package</t>
        </is>
      </c>
      <c r="F11" s="43" t="inlineStr">
        <is>
          <t>component</t>
        </is>
      </c>
      <c r="G11" s="44" t="inlineStr">
        <is>
          <t>../test/components/swipeable-item/swipeable-item.test.tsx; tests/components/swipeable-item/behavior.spec.ts</t>
        </is>
      </c>
      <c r="H11" s="43" t="inlineStr">
        <is>
          <t>tested</t>
        </is>
      </c>
      <c r="I11" s="43" t="inlineStr">
        <is>
          <t>no</t>
        </is>
      </c>
      <c r="J11" s="45" t="n">
        <v>46232</v>
      </c>
      <c r="K11" s="44" t="inlineStr">
        <is>
          <t>Three-part slots and rendered anatomy assertions pass.</t>
        </is>
      </c>
      <c r="L11" s="43" t="n">
        <v>1</v>
      </c>
      <c r="M11" s="43">
        <f>IF(OR(AND(I11="yes",H11="verified"),AND(I11="no",OR(H11="tested",H11="verified")),AND(H11="not applicable",K11&lt;&gt;"")),1,0)</f>
        <v/>
      </c>
    </row>
    <row r="12" ht="54" customHeight="1" s="34">
      <c r="A12" s="43" t="inlineStr">
        <is>
          <t>SW-04</t>
        </is>
      </c>
      <c r="B12" s="43" t="inlineStr">
        <is>
          <t>State</t>
        </is>
      </c>
      <c r="C12" s="43" t="inlineStr">
        <is>
          <t>Root</t>
        </is>
      </c>
      <c r="D12" s="44" t="inlineStr">
        <is>
          <t>Controlled and uncontrolled openSide state reveal start, end, or closed without Brick duplicating Atom gesture math.</t>
        </is>
      </c>
      <c r="E12" s="43" t="inlineStr">
        <is>
          <t>browser</t>
        </is>
      </c>
      <c r="F12" s="43" t="inlineStr">
        <is>
          <t>browser</t>
        </is>
      </c>
      <c r="G12" s="44" t="inlineStr">
        <is>
          <t>tests/components/swipeable-item/behavior.spec.ts</t>
        </is>
      </c>
      <c r="H12" s="43" t="inlineStr">
        <is>
          <t>tested</t>
        </is>
      </c>
      <c r="I12" s="43" t="inlineStr">
        <is>
          <t>no</t>
        </is>
      </c>
      <c r="J12" s="45" t="n">
        <v>46232</v>
      </c>
      <c r="K12" s="44" t="inlineStr">
        <is>
          <t>Default, controlled, and closure assertions pass.</t>
        </is>
      </c>
      <c r="L12" s="43" t="n">
        <v>1</v>
      </c>
      <c r="M12" s="43">
        <f>IF(OR(AND(I12="yes",H12="verified"),AND(I12="no",OR(H12="tested",H12="verified")),AND(H12="not applicable",K12&lt;&gt;"")),1,0)</f>
        <v/>
      </c>
    </row>
    <row r="13" ht="54" customHeight="1" s="34">
      <c r="A13" s="43" t="inlineStr">
        <is>
          <t>SW-05</t>
        </is>
      </c>
      <c r="B13" s="43" t="inlineStr">
        <is>
          <t>Moving surface</t>
        </is>
      </c>
      <c r="C13" s="43" t="inlineStr">
        <is>
          <t>Content</t>
        </is>
      </c>
      <c r="D13" s="44" t="inlineStr">
        <is>
          <t>Content consumes Atom's measured offset, remains opaque above Actions, preserves vertical pan-y scrolling, and settles only after Atom state changes.</t>
        </is>
      </c>
      <c r="E13" s="43" t="inlineStr">
        <is>
          <t>browser</t>
        </is>
      </c>
      <c r="F13" s="43" t="inlineStr">
        <is>
          <t>browser</t>
        </is>
      </c>
      <c r="G13" s="44" t="inlineStr">
        <is>
          <t>tests/components/swipeable-item/behavior.spec.ts; ../src/components/swipeable-item/swipeable-item.css</t>
        </is>
      </c>
      <c r="H13" s="43" t="inlineStr">
        <is>
          <t>tested</t>
        </is>
      </c>
      <c r="I13" s="43" t="inlineStr">
        <is>
          <t>no</t>
        </is>
      </c>
      <c r="J13" s="45" t="n">
        <v>46232</v>
      </c>
      <c r="K13" s="44" t="inlineStr">
        <is>
          <t>Computed style, gesture, and visual assertions pass.</t>
        </is>
      </c>
      <c r="L13" s="43" t="n">
        <v>1</v>
      </c>
      <c r="M13" s="43">
        <f>IF(OR(AND(I13="yes",H13="verified"),AND(I13="no",OR(H13="tested",H13="verified")),AND(H13="not applicable",K13&lt;&gt;"")),1,0)</f>
        <v/>
      </c>
    </row>
    <row r="14" ht="54" customHeight="1" s="34">
      <c r="A14" s="43" t="inlineStr">
        <is>
          <t>SW-06</t>
        </is>
      </c>
      <c r="B14" s="43" t="inlineStr">
        <is>
          <t>Action semantics</t>
        </is>
      </c>
      <c r="C14" s="43" t="inlineStr">
        <is>
          <t>Actions</t>
        </is>
      </c>
      <c r="D14" s="44" t="inlineStr">
        <is>
          <t>Every Actions group requires a localized aria-label, becomes available only for its open side, contains native authored controls, and closes after command selection.</t>
        </is>
      </c>
      <c r="E14" s="43" t="inlineStr">
        <is>
          <t>browser</t>
        </is>
      </c>
      <c r="F14" s="43" t="inlineStr">
        <is>
          <t>browser</t>
        </is>
      </c>
      <c r="G14" s="44" t="inlineStr">
        <is>
          <t>tests/components/swipeable-item/behavior.spec.ts; ../test/types/components/swipeable-item.test.ts</t>
        </is>
      </c>
      <c r="H14" s="43" t="inlineStr">
        <is>
          <t>tested</t>
        </is>
      </c>
      <c r="I14" s="43" t="inlineStr">
        <is>
          <t>no</t>
        </is>
      </c>
      <c r="J14" s="45" t="n">
        <v>46232</v>
      </c>
      <c r="K14" s="44" t="inlineStr">
        <is>
          <t>Label, availability, and action-close assertions pass.</t>
        </is>
      </c>
      <c r="L14" s="43" t="n">
        <v>1</v>
      </c>
      <c r="M14" s="43">
        <f>IF(OR(AND(I14="yes",H14="verified"),AND(I14="no",OR(H14="tested",H14="verified")),AND(H14="not applicable",K14&lt;&gt;"")),1,0)</f>
        <v/>
      </c>
    </row>
    <row r="15" ht="54" customHeight="1" s="34">
      <c r="A15" s="43" t="inlineStr">
        <is>
          <t>SW-07</t>
        </is>
      </c>
      <c r="B15" s="43" t="inlineStr">
        <is>
          <t>Vertical pan</t>
        </is>
      </c>
      <c r="C15" s="43" t="inlineStr">
        <is>
          <t>Content</t>
        </is>
      </c>
      <c r="D15" s="44" t="inlineStr">
        <is>
          <t>A mostly vertical touch gesture remains page scrolling and never becomes an owned horizontal reveal.</t>
        </is>
      </c>
      <c r="E15" s="43" t="inlineStr">
        <is>
          <t>browser</t>
        </is>
      </c>
      <c r="F15" s="43" t="inlineStr">
        <is>
          <t>browser</t>
        </is>
      </c>
      <c r="G15" s="44" t="inlineStr">
        <is>
          <t>tests/components/swipeable-item/behavior.spec.ts; @flowstack-ui/atom 0.19.9</t>
        </is>
      </c>
      <c r="H15" s="43" t="inlineStr">
        <is>
          <t>tested</t>
        </is>
      </c>
      <c r="I15" s="43" t="inlineStr">
        <is>
          <t>no</t>
        </is>
      </c>
      <c r="J15" s="45" t="n">
        <v>46232</v>
      </c>
      <c r="K15" s="44" t="inlineStr">
        <is>
          <t>Atom five-project gesture suite and Brick touch policy pass.</t>
        </is>
      </c>
      <c r="L15" s="43" t="n">
        <v>1</v>
      </c>
      <c r="M15" s="43">
        <f>IF(OR(AND(I15="yes",H15="verified"),AND(I15="no",OR(H15="tested",H15="verified")),AND(H15="not applicable",K15&lt;&gt;"")),1,0)</f>
        <v/>
      </c>
    </row>
    <row r="16" ht="54" customHeight="1" s="34">
      <c r="A16" s="43" t="inlineStr">
        <is>
          <t>SW-08</t>
        </is>
      </c>
      <c r="B16" s="43" t="inlineStr">
        <is>
          <t>Pointer lifecycle</t>
        </is>
      </c>
      <c r="C16" s="43" t="inlineStr">
        <is>
          <t>Root / Content</t>
        </is>
      </c>
      <c r="D16" s="44" t="inlineStr">
        <is>
          <t>Horizontal intent, threshold settlement, pointer cancellation, and lost capture restore deterministic visual and state outcomes without invoking commands.</t>
        </is>
      </c>
      <c r="E16" s="43" t="inlineStr">
        <is>
          <t>browser</t>
        </is>
      </c>
      <c r="F16" s="43" t="inlineStr">
        <is>
          <t>browser</t>
        </is>
      </c>
      <c r="G16" s="44" t="inlineStr">
        <is>
          <t>tests/components/swipeable-item/behavior.spec.ts; @flowstack-ui/atom 0.19.9</t>
        </is>
      </c>
      <c r="H16" s="43" t="inlineStr">
        <is>
          <t>tested</t>
        </is>
      </c>
      <c r="I16" s="43" t="inlineStr">
        <is>
          <t>no</t>
        </is>
      </c>
      <c r="J16" s="45" t="n">
        <v>46232</v>
      </c>
      <c r="K16" s="44" t="inlineStr">
        <is>
          <t>Pointer lifecycle assertions pass.</t>
        </is>
      </c>
      <c r="L16" s="43" t="n">
        <v>1</v>
      </c>
      <c r="M16" s="43">
        <f>IF(OR(AND(I16="yes",H16="verified"),AND(I16="no",OR(H16="tested",H16="verified")),AND(H16="not applicable",K16&lt;&gt;"")),1,0)</f>
        <v/>
      </c>
    </row>
    <row r="17" ht="54" customHeight="1" s="34">
      <c r="A17" s="43" t="inlineStr">
        <is>
          <t>SW-09</t>
        </is>
      </c>
      <c r="B17" s="43" t="inlineStr">
        <is>
          <t>Keyboard</t>
        </is>
      </c>
      <c r="C17" s="43" t="inlineStr">
        <is>
          <t>Content</t>
        </is>
      </c>
      <c r="D17" s="44" t="inlineStr">
        <is>
          <t>Arrow keys reveal or close the physical side implied by document direction, Escape closes, and descendant controls keep their own Arrow-key behavior.</t>
        </is>
      </c>
      <c r="E17" s="43" t="inlineStr">
        <is>
          <t>browser</t>
        </is>
      </c>
      <c r="F17" s="43" t="inlineStr">
        <is>
          <t>browser</t>
        </is>
      </c>
      <c r="G17" s="44" t="inlineStr">
        <is>
          <t>tests/components/swipeable-item/behavior.spec.ts; @flowstack-ui/atom 0.19.9</t>
        </is>
      </c>
      <c r="H17" s="43" t="inlineStr">
        <is>
          <t>tested</t>
        </is>
      </c>
      <c r="I17" s="43" t="inlineStr">
        <is>
          <t>no</t>
        </is>
      </c>
      <c r="J17" s="45" t="n">
        <v>46232</v>
      </c>
      <c r="K17" s="44" t="inlineStr">
        <is>
          <t>Keyboard and descendant-isolation assertions pass.</t>
        </is>
      </c>
      <c r="L17" s="43" t="n">
        <v>1</v>
      </c>
      <c r="M17" s="43">
        <f>IF(OR(AND(I17="yes",H17="verified"),AND(I17="no",OR(H17="tested",H17="verified")),AND(H17="not applicable",K17&lt;&gt;"")),1,0)</f>
        <v/>
      </c>
    </row>
    <row r="18" ht="54" customHeight="1" s="34">
      <c r="A18" s="43" t="inlineStr">
        <is>
          <t>SW-10</t>
        </is>
      </c>
      <c r="B18" s="43" t="inlineStr">
        <is>
          <t>Direction</t>
        </is>
      </c>
      <c r="C18" s="43" t="inlineStr">
        <is>
          <t>Root / Actions</t>
        </is>
      </c>
      <c r="D18" s="44" t="inlineStr">
        <is>
          <t>Logical start and end panels mirror in genuine RTL while action order and authored reading direction remain application-owned.</t>
        </is>
      </c>
      <c r="E18" s="43" t="inlineStr">
        <is>
          <t>browser</t>
        </is>
      </c>
      <c r="F18" s="43" t="inlineStr">
        <is>
          <t>browser</t>
        </is>
      </c>
      <c r="G18" s="44" t="inlineStr">
        <is>
          <t>tests/components/swipeable-item/behavior.spec.ts; tests/components/swipeable-item/visual.spec.ts</t>
        </is>
      </c>
      <c r="H18" s="43" t="inlineStr">
        <is>
          <t>tested</t>
        </is>
      </c>
      <c r="I18" s="43" t="inlineStr">
        <is>
          <t>no</t>
        </is>
      </c>
      <c r="J18" s="45" t="n">
        <v>46232</v>
      </c>
      <c r="K18" s="44" t="inlineStr">
        <is>
          <t>RTL state, placement, and mobile baseline pass.</t>
        </is>
      </c>
      <c r="L18" s="43" t="n">
        <v>1</v>
      </c>
      <c r="M18" s="43">
        <f>IF(OR(AND(I18="yes",H18="verified"),AND(I18="no",OR(H18="tested",H18="verified")),AND(H18="not applicable",K18&lt;&gt;"")),1,0)</f>
        <v/>
      </c>
    </row>
    <row r="19" ht="54" customHeight="1" s="34">
      <c r="A19" s="43" t="inlineStr">
        <is>
          <t>SW-11</t>
        </is>
      </c>
      <c r="B19" s="43" t="inlineStr">
        <is>
          <t>Disabled states</t>
        </is>
      </c>
      <c r="C19" s="43" t="inlineStr">
        <is>
          <t>Root</t>
        </is>
      </c>
      <c r="D19" s="44" t="inlineStr">
        <is>
          <t>Disabled and read-only rows preserve layout while Atom blocks pointer and keyboard open-side changes.</t>
        </is>
      </c>
      <c r="E19" s="43" t="inlineStr">
        <is>
          <t>browser</t>
        </is>
      </c>
      <c r="F19" s="43" t="inlineStr">
        <is>
          <t>browser</t>
        </is>
      </c>
      <c r="G19" s="44" t="inlineStr">
        <is>
          <t>tests/components/swipeable-item/behavior.spec.ts</t>
        </is>
      </c>
      <c r="H19" s="43" t="inlineStr">
        <is>
          <t>tested</t>
        </is>
      </c>
      <c r="I19" s="43" t="inlineStr">
        <is>
          <t>no</t>
        </is>
      </c>
      <c r="J19" s="45" t="n">
        <v>46232</v>
      </c>
      <c r="K19" s="44" t="inlineStr">
        <is>
          <t>Disabled and read-only state recipes pass.</t>
        </is>
      </c>
      <c r="L19" s="43" t="n">
        <v>1</v>
      </c>
      <c r="M19" s="43">
        <f>IF(OR(AND(I19="yes",H19="verified"),AND(I19="no",OR(H19="tested",H19="verified")),AND(H19="not applicable",K19&lt;&gt;"")),1,0)</f>
        <v/>
      </c>
    </row>
    <row r="20" ht="54" customHeight="1" s="34">
      <c r="A20" s="43" t="inlineStr">
        <is>
          <t>SW-12</t>
        </is>
      </c>
      <c r="B20" s="43" t="inlineStr">
        <is>
          <t>Visible alternative</t>
        </is>
      </c>
      <c r="C20" s="43" t="inlineStr">
        <is>
          <t>Content</t>
        </is>
      </c>
      <c r="D20" s="44" t="inlineStr">
        <is>
          <t>The example and Consumer expose the same Archive and Delete commands through an obvious More actions menu so dragging is never the only route.</t>
        </is>
      </c>
      <c r="E20" s="43" t="inlineStr">
        <is>
          <t>consumer</t>
        </is>
      </c>
      <c r="F20" s="43" t="inlineStr">
        <is>
          <t>consumer</t>
        </is>
      </c>
      <c r="G20" s="44" t="inlineStr">
        <is>
          <t>src/components/swipeable-item/SwipeableItemPage.tsx; ../apps/consumer/src/App.tsx</t>
        </is>
      </c>
      <c r="H20" s="43" t="inlineStr">
        <is>
          <t>tested</t>
        </is>
      </c>
      <c r="I20" s="43" t="inlineStr">
        <is>
          <t>no</t>
        </is>
      </c>
      <c r="J20" s="45" t="n">
        <v>46232</v>
      </c>
      <c r="K20" s="44" t="inlineStr">
        <is>
          <t>Visible alternative is present in playground and packed Consumer.</t>
        </is>
      </c>
      <c r="L20" s="43" t="n">
        <v>1</v>
      </c>
      <c r="M20" s="43">
        <f>IF(OR(AND(I20="yes",H20="verified"),AND(I20="no",OR(H20="tested",H20="verified")),AND(H20="not applicable",K20&lt;&gt;"")),1,0)</f>
        <v/>
      </c>
    </row>
    <row r="21" ht="54" customHeight="1" s="34">
      <c r="A21" s="43" t="inlineStr">
        <is>
          <t>SW-13</t>
        </is>
      </c>
      <c r="B21" s="43" t="inlineStr">
        <is>
          <t>Safety boundary</t>
        </is>
      </c>
      <c r="C21" s="43" t="inlineStr">
        <is>
          <t>Root</t>
        </is>
      </c>
      <c r="D21" s="44" t="inlineStr">
        <is>
          <t>Full-swipe threshold and callback props are absent from Brick so a release gesture cannot directly execute a destructive command.</t>
        </is>
      </c>
      <c r="E21" s="43" t="inlineStr">
        <is>
          <t>package</t>
        </is>
      </c>
      <c r="F21" s="43" t="inlineStr">
        <is>
          <t>types</t>
        </is>
      </c>
      <c r="G21" s="44" t="inlineStr">
        <is>
          <t>../test/types/components/swipeable-item.test.ts; ../docs/components/swipeable-item/README.md</t>
        </is>
      </c>
      <c r="H21" s="43" t="inlineStr">
        <is>
          <t>tested</t>
        </is>
      </c>
      <c r="I21" s="43" t="inlineStr">
        <is>
          <t>no</t>
        </is>
      </c>
      <c r="J21" s="45" t="n">
        <v>46232</v>
      </c>
      <c r="K21" s="44" t="inlineStr">
        <is>
          <t>Negative public-surface type assertions pass.</t>
        </is>
      </c>
      <c r="L21" s="43" t="n">
        <v>1</v>
      </c>
      <c r="M21" s="43">
        <f>IF(OR(AND(I21="yes",H21="verified"),AND(I21="no",OR(H21="tested",H21="verified")),AND(H21="not applicable",K21&lt;&gt;"")),1,0)</f>
        <v/>
      </c>
    </row>
    <row r="22" ht="54" customHeight="1" s="34">
      <c r="A22" s="43" t="inlineStr">
        <is>
          <t>SW-14</t>
        </is>
      </c>
      <c r="B22" s="43" t="inlineStr">
        <is>
          <t>Exports</t>
        </is>
      </c>
      <c r="C22" s="43" t="inlineStr">
        <is>
          <t>Swipeable Item</t>
        </is>
      </c>
      <c r="D22" s="44" t="inlineStr">
        <is>
          <t>Root and swipeable-item subpath exports expose the namespace, parts, props, and variant with identical runtime identity.</t>
        </is>
      </c>
      <c r="E22" s="43" t="inlineStr">
        <is>
          <t>package</t>
        </is>
      </c>
      <c r="F22" s="43" t="inlineStr">
        <is>
          <t>package</t>
        </is>
      </c>
      <c r="G22" s="44" t="inlineStr">
        <is>
          <t>../test/package/package.test.mjs; ../package.json; ../scripts/verify-consumers.mjs</t>
        </is>
      </c>
      <c r="H22" s="43" t="inlineStr">
        <is>
          <t>tested</t>
        </is>
      </c>
      <c r="I22" s="43" t="inlineStr">
        <is>
          <t>no</t>
        </is>
      </c>
      <c r="J22" s="45" t="n">
        <v>46232</v>
      </c>
      <c r="K22" s="44" t="inlineStr">
        <is>
          <t>Root, subpath, declaration, and React 18/19 consumer checks pass.</t>
        </is>
      </c>
      <c r="L22" s="43" t="n">
        <v>1</v>
      </c>
      <c r="M22" s="43">
        <f>IF(OR(AND(I22="yes",H22="verified"),AND(I22="no",OR(H22="tested",H22="verified")),AND(H22="not applicable",K22&lt;&gt;"")),1,0)</f>
        <v/>
      </c>
    </row>
    <row r="23" ht="54" customHeight="1" s="34">
      <c r="A23" s="43" t="inlineStr">
        <is>
          <t>SW-15</t>
        </is>
      </c>
      <c r="B23" s="43" t="inlineStr">
        <is>
          <t>Types</t>
        </is>
      </c>
      <c r="C23" s="43" t="inlineStr">
        <is>
          <t>Public surface</t>
        </is>
      </c>
      <c r="D23" s="44" t="inlineStr">
        <is>
          <t>Atom native props, refs, controlled state, render/asChild composition, aria/data attributes, classes, slots, styles, and closed Brick recipes type-check.</t>
        </is>
      </c>
      <c r="E23" s="43" t="inlineStr">
        <is>
          <t>package</t>
        </is>
      </c>
      <c r="F23" s="43" t="inlineStr">
        <is>
          <t>types</t>
        </is>
      </c>
      <c r="G23" s="44" t="inlineStr">
        <is>
          <t>../test/types/components/swipeable-item.test.ts</t>
        </is>
      </c>
      <c r="H23" s="43" t="inlineStr">
        <is>
          <t>tested</t>
        </is>
      </c>
      <c r="I23" s="43" t="inlineStr">
        <is>
          <t>no</t>
        </is>
      </c>
      <c r="J23" s="45" t="n">
        <v>46232</v>
      </c>
      <c r="K23" s="44" t="inlineStr">
        <is>
          <t>Positive and negative public-surface type checks pass.</t>
        </is>
      </c>
      <c r="L23" s="43" t="n">
        <v>1</v>
      </c>
      <c r="M23" s="43">
        <f>IF(OR(AND(I23="yes",H23="verified"),AND(I23="no",OR(H23="tested",H23="verified")),AND(H23="not applicable",K23&lt;&gt;"")),1,0)</f>
        <v/>
      </c>
    </row>
    <row r="24" ht="54" customHeight="1" s="34">
      <c r="A24" s="43" t="inlineStr">
        <is>
          <t>SW-16</t>
        </is>
      </c>
      <c r="B24" s="43" t="inlineStr">
        <is>
          <t>SSR</t>
        </is>
      </c>
      <c r="C24" s="43" t="inlineStr">
        <is>
          <t>Root / Content / Actions</t>
        </is>
      </c>
      <c r="D24" s="44" t="inlineStr">
        <is>
          <t>Swipeable Item imports server-safely and emits deterministic three-part reveal anatomy without browser reads during render.</t>
        </is>
      </c>
      <c r="E24" s="43" t="inlineStr">
        <is>
          <t>package</t>
        </is>
      </c>
      <c r="F24" s="43" t="inlineStr">
        <is>
          <t>package</t>
        </is>
      </c>
      <c r="G24" s="44" t="inlineStr">
        <is>
          <t>../test/package/ssr.test.mjs; ../scripts/verify-consumers.mjs</t>
        </is>
      </c>
      <c r="H24" s="43" t="inlineStr">
        <is>
          <t>tested</t>
        </is>
      </c>
      <c r="I24" s="43" t="inlineStr">
        <is>
          <t>no</t>
        </is>
      </c>
      <c r="J24" s="45" t="n">
        <v>46232</v>
      </c>
      <c r="K24" s="44" t="inlineStr">
        <is>
          <t>SSR and clean React 18/19 consumer checks pass.</t>
        </is>
      </c>
      <c r="L24" s="43" t="n">
        <v>1</v>
      </c>
      <c r="M24" s="43">
        <f>IF(OR(AND(I24="yes",H24="verified"),AND(I24="no",OR(H24="tested",H24="verified")),AND(H24="not applicable",K24&lt;&gt;"")),1,0)</f>
        <v/>
      </c>
    </row>
    <row r="25" ht="54" customHeight="1" s="34">
      <c r="A25" s="43" t="inlineStr">
        <is>
          <t>SW-17</t>
        </is>
      </c>
      <c r="B25" s="43" t="inlineStr">
        <is>
          <t>CSS</t>
        </is>
      </c>
      <c r="C25" s="43" t="inlineStr">
        <is>
          <t>Root / Content / Actions</t>
        </is>
      </c>
      <c r="D25" s="44" t="inlineStr">
        <is>
          <t>Production CSS ships documented variables, logical positioning, opaque foreground paint, preference fallbacks, action target sizing, and no undeclared global selector.</t>
        </is>
      </c>
      <c r="E25" s="43" t="inlineStr">
        <is>
          <t>package</t>
        </is>
      </c>
      <c r="F25" s="43" t="inlineStr">
        <is>
          <t>css</t>
        </is>
      </c>
      <c r="G25" s="44" t="inlineStr">
        <is>
          <t>../src/components/swipeable-item/swipeable-item.css; ../scripts/build-styles.mjs</t>
        </is>
      </c>
      <c r="H25" s="43" t="inlineStr">
        <is>
          <t>tested</t>
        </is>
      </c>
      <c r="I25" s="43" t="inlineStr">
        <is>
          <t>no</t>
        </is>
      </c>
      <c r="J25" s="45" t="n">
        <v>46232</v>
      </c>
      <c r="K25" s="44" t="inlineStr">
        <is>
          <t>Production CSS, package, and semantic documentation checks pass.</t>
        </is>
      </c>
      <c r="L25" s="43" t="n">
        <v>1</v>
      </c>
      <c r="M25" s="43">
        <f>IF(OR(AND(I25="yes",H25="verified"),AND(I25="no",OR(H25="tested",H25="verified")),AND(H25="not applicable",K25&lt;&gt;"")),1,0)</f>
        <v/>
      </c>
    </row>
    <row r="26" ht="54" customHeight="1" s="34">
      <c r="A26" s="43" t="inlineStr">
        <is>
          <t>SW-18</t>
        </is>
      </c>
      <c r="B26" s="43" t="inlineStr">
        <is>
          <t>Variants</t>
        </is>
      </c>
      <c r="C26" s="43" t="inlineStr">
        <is>
          <t>Root</t>
        </is>
      </c>
      <c r="D26" s="44" t="inlineStr">
        <is>
          <t>Plain composes inside an existing boundary while outline supplies a standalone neutral border without changing behavior or anatomy.</t>
        </is>
      </c>
      <c r="E26" s="43" t="inlineStr">
        <is>
          <t>browser</t>
        </is>
      </c>
      <c r="F26" s="43" t="inlineStr">
        <is>
          <t>visual</t>
        </is>
      </c>
      <c r="G26" s="44" t="inlineStr">
        <is>
          <t>tests/components/swipeable-item/behavior.spec.ts; tests/components/swipeable-item/visual.spec.ts</t>
        </is>
      </c>
      <c r="H26" s="43" t="inlineStr">
        <is>
          <t>tested</t>
        </is>
      </c>
      <c r="I26" s="43" t="inlineStr">
        <is>
          <t>no</t>
        </is>
      </c>
      <c r="J26" s="45" t="n">
        <v>46232</v>
      </c>
      <c r="K26" s="44" t="inlineStr">
        <is>
          <t>Variant geometry and baseline pass.</t>
        </is>
      </c>
      <c r="L26" s="43" t="n">
        <v>1</v>
      </c>
      <c r="M26" s="43">
        <f>IF(OR(AND(I26="yes",H26="verified"),AND(I26="no",OR(H26="tested",H26="verified")),AND(H26="not applicable",K26&lt;&gt;"")),1,0)</f>
        <v/>
      </c>
    </row>
    <row r="27" ht="54" customHeight="1" s="34">
      <c r="A27" s="43" t="inlineStr">
        <is>
          <t>SW-19</t>
        </is>
      </c>
      <c r="B27" s="43" t="inlineStr">
        <is>
          <t>Containment</t>
        </is>
      </c>
      <c r="C27" s="43" t="inlineStr">
        <is>
          <t>Root / Content / Actions</t>
        </is>
      </c>
      <c r="D27" s="44" t="inlineStr">
        <is>
          <t>Shared overflow clipping and radius keep translated Content and custom action fills inside one rounded boundary without exposed sharp corners.</t>
        </is>
      </c>
      <c r="E27" s="43" t="inlineStr">
        <is>
          <t>browser</t>
        </is>
      </c>
      <c r="F27" s="43" t="inlineStr">
        <is>
          <t>visual</t>
        </is>
      </c>
      <c r="G27" s="44" t="inlineStr">
        <is>
          <t>tests/components/swipeable-item/visual.spec.ts; ../src/components/swipeable-item/swipeable-item.css</t>
        </is>
      </c>
      <c r="H27" s="43" t="inlineStr">
        <is>
          <t>tested</t>
        </is>
      </c>
      <c r="I27" s="43" t="inlineStr">
        <is>
          <t>no</t>
        </is>
      </c>
      <c r="J27" s="45" t="n">
        <v>46232</v>
      </c>
      <c r="K27" s="44" t="inlineStr">
        <is>
          <t>Start/end, outline, and customized baselines are clean.</t>
        </is>
      </c>
      <c r="L27" s="43" t="n">
        <v>1</v>
      </c>
      <c r="M27" s="43">
        <f>IF(OR(AND(I27="yes",H27="verified"),AND(I27="no",OR(H27="tested",H27="verified")),AND(H27="not applicable",K27&lt;&gt;"")),1,0)</f>
        <v/>
      </c>
    </row>
    <row r="28" ht="54" customHeight="1" s="34">
      <c r="A28" s="43" t="inlineStr">
        <is>
          <t>SW-20</t>
        </is>
      </c>
      <c r="B28" s="43" t="inlineStr">
        <is>
          <t>Focus and targets</t>
        </is>
      </c>
      <c r="C28" s="43" t="inlineStr">
        <is>
          <t>Content / Actions</t>
        </is>
      </c>
      <c r="D28" s="44" t="inlineStr">
        <is>
          <t>Content and native action controls retain visible focus and action controls meet the documented minimum target size without clipping.</t>
        </is>
      </c>
      <c r="E28" s="43" t="inlineStr">
        <is>
          <t>browser</t>
        </is>
      </c>
      <c r="F28" s="43" t="inlineStr">
        <is>
          <t>visual</t>
        </is>
      </c>
      <c r="G28" s="44" t="inlineStr">
        <is>
          <t>tests/components/swipeable-item/visual.spec.ts; ../src/components/swipeable-item/swipeable-item.css</t>
        </is>
      </c>
      <c r="H28" s="43" t="inlineStr">
        <is>
          <t>tested</t>
        </is>
      </c>
      <c r="I28" s="43" t="inlineStr">
        <is>
          <t>no</t>
        </is>
      </c>
      <c r="J28" s="45" t="n">
        <v>46232</v>
      </c>
      <c r="K28" s="44" t="inlineStr">
        <is>
          <t>Forced-color focus and target-size evidence pass.</t>
        </is>
      </c>
      <c r="L28" s="43" t="n">
        <v>1</v>
      </c>
      <c r="M28" s="43">
        <f>IF(OR(AND(I28="yes",H28="verified"),AND(I28="no",OR(H28="tested",H28="verified")),AND(H28="not applicable",K28&lt;&gt;"")),1,0)</f>
        <v/>
      </c>
    </row>
    <row r="29" ht="54" customHeight="1" s="34">
      <c r="A29" s="43" t="inlineStr">
        <is>
          <t>SW-21</t>
        </is>
      </c>
      <c r="B29" s="43" t="inlineStr">
        <is>
          <t>Native composition</t>
        </is>
      </c>
      <c r="C29" s="43" t="inlineStr">
        <is>
          <t>All parts</t>
        </is>
      </c>
      <c r="D29" s="44" t="inlineStr">
        <is>
          <t>Classes merge Brick first; public slots, native events, aria/data attributes, children, refs, render, and asChild target each public host.</t>
        </is>
      </c>
      <c r="E29" s="43" t="inlineStr">
        <is>
          <t>package</t>
        </is>
      </c>
      <c r="F29" s="43" t="inlineStr">
        <is>
          <t>component</t>
        </is>
      </c>
      <c r="G29" s="44" t="inlineStr">
        <is>
          <t>../test/components/swipeable-item/swipeable-item.test.tsx; ../test/types/components/swipeable-item.test.ts</t>
        </is>
      </c>
      <c r="H29" s="43" t="inlineStr">
        <is>
          <t>tested</t>
        </is>
      </c>
      <c r="I29" s="43" t="inlineStr">
        <is>
          <t>no</t>
        </is>
      </c>
      <c r="J29" s="45" t="n">
        <v>46232</v>
      </c>
      <c r="K29" s="44" t="inlineStr">
        <is>
          <t>Component and type composition assertions pass.</t>
        </is>
      </c>
      <c r="L29" s="43" t="n">
        <v>1</v>
      </c>
      <c r="M29" s="43">
        <f>IF(OR(AND(I29="yes",H29="verified"),AND(I29="no",OR(H29="tested",H29="verified")),AND(H29="not applicable",K29&lt;&gt;"")),1,0)</f>
        <v/>
      </c>
    </row>
    <row r="30" ht="54" customHeight="1" s="34">
      <c r="A30" s="43" t="inlineStr">
        <is>
          <t>SW-22</t>
        </is>
      </c>
      <c r="B30" s="43" t="inlineStr">
        <is>
          <t>Responsive</t>
        </is>
      </c>
      <c r="C30" s="43" t="inlineStr">
        <is>
          <t>Root / Content</t>
        </is>
      </c>
      <c r="D30" s="44" t="inlineStr">
        <is>
          <t>Full-width and 320px-constrained items wrap long localized content without component-created page overflow or an unreachable visible menu.</t>
        </is>
      </c>
      <c r="E30" s="43" t="inlineStr">
        <is>
          <t>browser</t>
        </is>
      </c>
      <c r="F30" s="43" t="inlineStr">
        <is>
          <t>browser</t>
        </is>
      </c>
      <c r="G30" s="44" t="inlineStr">
        <is>
          <t>tests/components/swipeable-item/behavior.spec.ts; tests/components/swipeable-item/visual.spec.ts</t>
        </is>
      </c>
      <c r="H30" s="43" t="inlineStr">
        <is>
          <t>tested</t>
        </is>
      </c>
      <c r="I30" s="43" t="inlineStr">
        <is>
          <t>no</t>
        </is>
      </c>
      <c r="J30" s="45" t="n">
        <v>46232</v>
      </c>
      <c r="K30" s="44" t="inlineStr">
        <is>
          <t>Narrow containment and mobile baseline pass.</t>
        </is>
      </c>
      <c r="L30" s="43" t="n">
        <v>1</v>
      </c>
      <c r="M30" s="43">
        <f>IF(OR(AND(I30="yes",H30="verified"),AND(I30="no",OR(H30="tested",H30="verified")),AND(H30="not applicable",K30&lt;&gt;"")),1,0)</f>
        <v/>
      </c>
    </row>
    <row r="31" ht="54" customHeight="1" s="34">
      <c r="A31" s="43" t="inlineStr">
        <is>
          <t>SW-23</t>
        </is>
      </c>
      <c r="B31" s="43" t="inlineStr">
        <is>
          <t>Appearance and preferences</t>
        </is>
      </c>
      <c r="C31" s="43" t="inlineStr">
        <is>
          <t>Root / Content / Actions</t>
        </is>
      </c>
      <c r="D31" s="44" t="inlineStr">
        <is>
          <t>Separate light and dark scopes, reduced motion, and forced colors retain readable layers, boundaries, and focus without color-only meaning.</t>
        </is>
      </c>
      <c r="E31" s="43" t="inlineStr">
        <is>
          <t>browser</t>
        </is>
      </c>
      <c r="F31" s="43" t="inlineStr">
        <is>
          <t>visual</t>
        </is>
      </c>
      <c r="G31" s="44" t="inlineStr">
        <is>
          <t>tests/components/swipeable-item/visual.spec.ts; ../src/components/swipeable-item/swipeable-item.css</t>
        </is>
      </c>
      <c r="H31" s="43" t="inlineStr">
        <is>
          <t>tested</t>
        </is>
      </c>
      <c r="I31" s="43" t="inlineStr">
        <is>
          <t>no</t>
        </is>
      </c>
      <c r="J31" s="45" t="n">
        <v>46232</v>
      </c>
      <c r="K31" s="44" t="inlineStr">
        <is>
          <t>Appearance and preference baselines pass.</t>
        </is>
      </c>
      <c r="L31" s="43" t="n">
        <v>1</v>
      </c>
      <c r="M31" s="43">
        <f>IF(OR(AND(I31="yes",H31="verified"),AND(I31="no",OR(H31="tested",H31="verified")),AND(H31="not applicable",K31&lt;&gt;"")),1,0)</f>
        <v/>
      </c>
    </row>
    <row r="32" ht="54" customHeight="1" s="34">
      <c r="A32" s="43" t="inlineStr">
        <is>
          <t>SW-24</t>
        </is>
      </c>
      <c r="B32" s="43" t="inlineStr">
        <is>
          <t>Customization</t>
        </is>
      </c>
      <c r="C32" s="43" t="inlineStr">
        <is>
          <t>Root / Content / Actions</t>
        </is>
      </c>
      <c r="D32" s="44" t="inlineStr">
        <is>
          <t>Documented variables recolor surfaces, actions, border, focus, radius, spacing, sizing, and motion while preserving Atom behavior and containment.</t>
        </is>
      </c>
      <c r="E32" s="43" t="inlineStr">
        <is>
          <t>package</t>
        </is>
      </c>
      <c r="F32" s="43" t="inlineStr">
        <is>
          <t>component</t>
        </is>
      </c>
      <c r="G32" s="44" t="inlineStr">
        <is>
          <t>../docs/components/swipeable-item/README.md; tests/components/swipeable-item/behavior.spec.ts</t>
        </is>
      </c>
      <c r="H32" s="43" t="inlineStr">
        <is>
          <t>tested</t>
        </is>
      </c>
      <c r="I32" s="43" t="inlineStr">
        <is>
          <t>no</t>
        </is>
      </c>
      <c r="J32" s="45" t="n">
        <v>46232</v>
      </c>
      <c r="K32" s="44" t="inlineStr">
        <is>
          <t>Token hooks and computed custom radius assertion pass.</t>
        </is>
      </c>
      <c r="L32" s="43" t="n">
        <v>1</v>
      </c>
      <c r="M32" s="43">
        <f>IF(OR(AND(I32="yes",H32="verified"),AND(I32="no",OR(H32="tested",H32="verified")),AND(H32="not applicable",K32&lt;&gt;"")),1,0)</f>
        <v/>
      </c>
    </row>
    <row r="33" ht="54" customHeight="1" s="34">
      <c r="A33" s="43" t="inlineStr">
        <is>
          <t>SW-25</t>
        </is>
      </c>
      <c r="B33" s="43" t="inlineStr">
        <is>
          <t>Accessibility</t>
        </is>
      </c>
      <c r="C33" s="43" t="inlineStr">
        <is>
          <t>Root / Content / Actions</t>
        </is>
      </c>
      <c r="D33" s="44" t="inlineStr">
        <is>
          <t>Named action groups, unavailable closed actions, native commands, keyboard reveal, visible focus, forced-color support, and a non-drag alternative form a complete accessibility contract.</t>
        </is>
      </c>
      <c r="E33" s="43" t="inlineStr">
        <is>
          <t>browser</t>
        </is>
      </c>
      <c r="F33" s="43" t="inlineStr">
        <is>
          <t>axe</t>
        </is>
      </c>
      <c r="G33" s="44" t="inlineStr">
        <is>
          <t>tests/components/swipeable-item/behavior.spec.ts; @flowstack-ui/atom 0.19.9</t>
        </is>
      </c>
      <c r="H33" s="43" t="inlineStr">
        <is>
          <t>tested</t>
        </is>
      </c>
      <c r="I33" s="43" t="inlineStr">
        <is>
          <t>no</t>
        </is>
      </c>
      <c r="J33" s="45" t="n">
        <v>46232</v>
      </c>
      <c r="K33" s="44" t="inlineStr">
        <is>
          <t>Semantic browser and Atom accessibility assertions pass.</t>
        </is>
      </c>
      <c r="L33" s="43" t="n">
        <v>1</v>
      </c>
      <c r="M33" s="43">
        <f>IF(OR(AND(I33="yes",H33="verified"),AND(I33="no",OR(H33="tested",H33="verified")),AND(H33="not applicable",K33&lt;&gt;"")),1,0)</f>
        <v/>
      </c>
    </row>
    <row r="34" ht="54" customHeight="1" s="34">
      <c r="A34" s="43" t="inlineStr">
        <is>
          <t>SW-26</t>
        </is>
      </c>
      <c r="B34" s="43" t="inlineStr">
        <is>
          <t>Playground</t>
        </is>
      </c>
      <c r="C34" s="43" t="inlineStr">
        <is>
          <t>All parts</t>
        </is>
      </c>
      <c r="D34" s="44" t="inlineStr">
        <is>
          <t>One route exposes ten ordered, independently padded scenarios covering overview, anatomy, variants, sides, alternative, states, control, appearance, customization, responsive, and RTL evidence.</t>
        </is>
      </c>
      <c r="E34" s="43" t="inlineStr">
        <is>
          <t>package</t>
        </is>
      </c>
      <c r="F34" s="43" t="inlineStr">
        <is>
          <t>playground</t>
        </is>
      </c>
      <c r="G34" s="44" t="inlineStr">
        <is>
          <t>src/components/swipeable-item/SwipeableItemPage.tsx; ../scripts/verify-component-tests.mjs</t>
        </is>
      </c>
      <c r="H34" s="43" t="inlineStr">
        <is>
          <t>tested</t>
        </is>
      </c>
      <c r="I34" s="43" t="inlineStr">
        <is>
          <t>no</t>
        </is>
      </c>
      <c r="J34" s="45" t="n">
        <v>46232</v>
      </c>
      <c r="K34" s="44" t="inlineStr">
        <is>
          <t>Ownership, route, primitive, composition, and browser checks pass.</t>
        </is>
      </c>
      <c r="L34" s="43" t="n">
        <v>1</v>
      </c>
      <c r="M34" s="43">
        <f>IF(OR(AND(I34="yes",H34="verified"),AND(I34="no",OR(H34="tested",H34="verified")),AND(H34="not applicable",K34&lt;&gt;"")),1,0)</f>
        <v/>
      </c>
    </row>
    <row r="35" ht="54" customHeight="1" s="34">
      <c r="A35" s="43" t="inlineStr">
        <is>
          <t>SW-27</t>
        </is>
      </c>
      <c r="B35" s="43" t="inlineStr">
        <is>
          <t>Visual baselines</t>
        </is>
      </c>
      <c r="C35" s="43" t="inlineStr">
        <is>
          <t>All parts</t>
        </is>
      </c>
      <c r="D35" s="44" t="inlineStr">
        <is>
          <t>Reviewed baselines cover overview, variants, start/end actions, controlled state, appearance, customization, mobile RTL, and forced colors.</t>
        </is>
      </c>
      <c r="E35" s="43" t="inlineStr">
        <is>
          <t>browser</t>
        </is>
      </c>
      <c r="F35" s="43" t="inlineStr">
        <is>
          <t>visual</t>
        </is>
      </c>
      <c r="G35" s="44" t="inlineStr">
        <is>
          <t>tests/components/swipeable-item/visual.spec.ts; tests/components/swipeable-item/visual.spec.ts-snapshots</t>
        </is>
      </c>
      <c r="H35" s="43" t="inlineStr">
        <is>
          <t>verified</t>
        </is>
      </c>
      <c r="I35" s="43" t="inlineStr">
        <is>
          <t>yes</t>
        </is>
      </c>
      <c r="J35" s="45" t="n">
        <v>46232</v>
      </c>
      <c r="K35" s="44" t="inlineStr">
        <is>
          <t>Agent inspected all eight Swipeable Item Chromium baselines on July 29, 2026.</t>
        </is>
      </c>
      <c r="L35" s="43" t="n">
        <v>1</v>
      </c>
      <c r="M35" s="43">
        <f>IF(OR(AND(I35="yes",H35="verified"),AND(I35="no",OR(H35="tested",H35="verified")),AND(H35="not applicable",K35&lt;&gt;"")),1,0)</f>
        <v/>
      </c>
    </row>
    <row r="36" ht="54" customHeight="1" s="34">
      <c r="A36" s="43" t="inlineStr">
        <is>
          <t>SW-28</t>
        </is>
      </c>
      <c r="B36" s="43" t="inlineStr">
        <is>
          <t>Documentation</t>
        </is>
      </c>
      <c r="C36" s="43" t="inlineStr">
        <is>
          <t>Public guide / changelog</t>
        </is>
      </c>
      <c r="D36" s="44" t="inlineStr">
        <is>
          <t>The guide documents use, exclusions, imports, anatomy, API, state, tokens, responsive behavior, accessibility, composition, examples, and evidence; changelogs record the addition.</t>
        </is>
      </c>
      <c r="E36" s="43" t="inlineStr">
        <is>
          <t>package</t>
        </is>
      </c>
      <c r="F36" s="43" t="inlineStr">
        <is>
          <t>documentation</t>
        </is>
      </c>
      <c r="G36" s="44" t="inlineStr">
        <is>
          <t>../docs/components/swipeable-item/README.md; ../docs/components/swipeable-item/CHANGELOG.md; ../CHANGELOG.md</t>
        </is>
      </c>
      <c r="H36" s="43" t="inlineStr">
        <is>
          <t>tested</t>
        </is>
      </c>
      <c r="I36" s="43" t="inlineStr">
        <is>
          <t>no</t>
        </is>
      </c>
      <c r="J36" s="45" t="n">
        <v>46232</v>
      </c>
      <c r="K36" s="44" t="inlineStr">
        <is>
          <t>Structural, semantic, index, and changelog verification passes.</t>
        </is>
      </c>
      <c r="L36" s="43" t="n">
        <v>1</v>
      </c>
      <c r="M36" s="43">
        <f>IF(OR(AND(I36="yes",H36="verified"),AND(I36="no",OR(H36="tested",H36="verified")),AND(H36="not applicable",K36&lt;&gt;"")),1,0)</f>
        <v/>
      </c>
    </row>
    <row r="37" ht="54" customHeight="1" s="34">
      <c r="A37" s="43" t="inlineStr">
        <is>
          <t>SW-29</t>
        </is>
      </c>
      <c r="B37" s="43" t="inlineStr">
        <is>
          <t>Consumer</t>
        </is>
      </c>
      <c r="C37" s="43" t="inlineStr">
        <is>
          <t>Root / Content / Actions</t>
        </is>
      </c>
      <c r="D37" s="44" t="inlineStr">
        <is>
          <t>The packed Consumer imports Swipeable Item from its public subpath and composes realistic message actions with a visible Dropdown Menu alternative.</t>
        </is>
      </c>
      <c r="E37" s="43" t="inlineStr">
        <is>
          <t>consumer</t>
        </is>
      </c>
      <c r="F37" s="43" t="inlineStr">
        <is>
          <t>consumer</t>
        </is>
      </c>
      <c r="G37" s="44" t="inlineStr">
        <is>
          <t>../apps/consumer/src/App.tsx; ../apps/consumer/tests/consumer.spec.ts; ../scripts/verify-consumers.mjs</t>
        </is>
      </c>
      <c r="H37" s="43" t="inlineStr">
        <is>
          <t>tested</t>
        </is>
      </c>
      <c r="I37" s="43" t="inlineStr">
        <is>
          <t>no</t>
        </is>
      </c>
      <c r="J37" s="45" t="n">
        <v>46232</v>
      </c>
      <c r="K37" s="44" t="inlineStr">
        <is>
          <t>Consumer build and clean React 18/19 packed-package checks pass.</t>
        </is>
      </c>
      <c r="L37" s="43" t="n">
        <v>1</v>
      </c>
      <c r="M37" s="43">
        <f>IF(OR(AND(I37="yes",H37="verified"),AND(I37="no",OR(H37="tested",H37="verified")),AND(H37="not applicable",K37&lt;&gt;"")),1,0)</f>
        <v/>
      </c>
    </row>
    <row r="38" ht="54" customHeight="1" s="34">
      <c r="A38" s="43" t="inlineStr">
        <is>
          <t>SW-30</t>
        </is>
      </c>
      <c r="B38" s="43" t="inlineStr">
        <is>
          <t>Manual</t>
        </is>
      </c>
      <c r="C38" s="43" t="inlineStr">
        <is>
          <t>Root / Content / Actions</t>
        </is>
      </c>
      <c r="D38" s="44" t="inlineStr">
        <is>
          <t>A tester completes the desktop and physical-touch gesture, keyboard, focus, state, direction, zoom, appearance, preference, and assistive-technology protocol.</t>
        </is>
      </c>
      <c r="E38" s="43" t="inlineStr">
        <is>
          <t>human</t>
        </is>
      </c>
      <c r="F38" s="43" t="inlineStr">
        <is>
          <t>manual</t>
        </is>
      </c>
      <c r="G38" s="44" t="inlineStr">
        <is>
          <t>manual-tests/swipeable-item.md</t>
        </is>
      </c>
      <c r="H38" s="43" t="inlineStr">
        <is>
          <t>not started</t>
        </is>
      </c>
      <c r="I38" s="43" t="inlineStr">
        <is>
          <t>yes</t>
        </is>
      </c>
      <c r="J38" s="45" t="n"/>
      <c r="K38" s="44" t="inlineStr">
        <is>
          <t>Human manual run intentionally remains the sole open component gate.</t>
        </is>
      </c>
      <c r="L38" s="43" t="n">
        <v>1</v>
      </c>
      <c r="M38" s="43">
        <f>IF(OR(AND(I38="yes",H38="verified"),AND(I38="no",OR(H38="tested",H38="verified")),AND(H38="not applicable",K38&lt;&gt;"")),1,0)</f>
        <v/>
      </c>
    </row>
    <row r="39" ht="54" customHeight="1" s="34">
      <c r="A39" s="43" t="inlineStr">
        <is>
          <t>SW-31</t>
        </is>
      </c>
      <c r="B39" s="43" t="inlineStr">
        <is>
          <t>Package</t>
        </is>
      </c>
      <c r="C39" s="43" t="inlineStr">
        <is>
          <t>Artifact</t>
        </is>
      </c>
      <c r="D39" s="44" t="inlineStr">
        <is>
          <t>Build, declarations, exports, SSR, CSS, docs, tarball, exact Atom 0.20.11, React 18/19 consumers, focused browsers, reviewed visuals, and Consumer build pass.</t>
        </is>
      </c>
      <c r="E39" s="43" t="inlineStr">
        <is>
          <t>package</t>
        </is>
      </c>
      <c r="F39" s="43" t="inlineStr">
        <is>
          <t>package</t>
        </is>
      </c>
      <c r="G39" s="44" t="inlineStr">
        <is>
          <t>../scripts/verify-package.mjs; ../scripts/verify-consumers.mjs; ../scripts/verify-app-consumer.mjs</t>
        </is>
      </c>
      <c r="H39" s="43" t="inlineStr">
        <is>
          <t>tested</t>
        </is>
      </c>
      <c r="I39" s="43" t="inlineStr">
        <is>
          <t>no</t>
        </is>
      </c>
      <c r="J39" s="45" t="n">
        <v>46232</v>
      </c>
      <c r="K39" s="44" t="inlineStr">
        <is>
          <t>Full check, 354 component tests, focused behavior and visual suites, pack check, and generated consumers pass.</t>
        </is>
      </c>
      <c r="L39" s="43" t="n">
        <v>1</v>
      </c>
      <c r="M39" s="43">
        <f>IF(OR(AND(I39="yes",H39="verified"),AND(I39="no",OR(H39="tested",H39="verified")),AND(H39="not applicable",K39&lt;&gt;"")),1,0)</f>
        <v/>
      </c>
    </row>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8.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Progress Evidence</t>
        </is>
      </c>
    </row>
    <row r="2" ht="27.75" customHeight="1" s="34">
      <c r="A2" s="36" t="inlineStr">
        <is>
          <t>Assertion-level linear progress anatomy, values, recipes, direction, responsive, package, documentation, Consumer, and accessibility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IF(COUNTIFS(E9:E30,"package",M9:M30,0)&gt;0,"open","complete")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PR-01</t>
        </is>
      </c>
      <c r="B9" s="43" t="inlineStr">
        <is>
          <t>Ownership</t>
        </is>
      </c>
      <c r="C9" s="43" t="inlineStr">
        <is>
          <t>All parts</t>
        </is>
      </c>
      <c r="D9" s="44" t="inlineStr">
        <is>
          <t>Brick styles released Atom 0.20.11 Progress semantics without recreating read-only progress behavior.</t>
        </is>
      </c>
      <c r="E9" s="43" t="inlineStr">
        <is>
          <t>package</t>
        </is>
      </c>
      <c r="F9" s="43" t="inlineStr">
        <is>
          <t>source</t>
        </is>
      </c>
      <c r="G9" s="44" t="inlineStr">
        <is>
          <t>../src/components/progress/Progress.tsx; ../package.json</t>
        </is>
      </c>
      <c r="H9" s="43" t="inlineStr">
        <is>
          <t>tested</t>
        </is>
      </c>
      <c r="I9" s="43" t="inlineStr">
        <is>
          <t>no</t>
        </is>
      </c>
      <c r="J9" s="45" t="n">
        <v>46230</v>
      </c>
      <c r="K9" s="44" t="inlineStr">
        <is>
          <t>Source and exact dependency boundary are implemented.</t>
        </is>
      </c>
      <c r="L9" s="43" t="n">
        <v>1</v>
      </c>
      <c r="M9" s="43">
        <f>IF(OR(AND(I9="yes",H9="verified"),AND(I9="no",OR(H9="tested",H9="verified")),AND(H9="not applicable",K9&lt;&gt;"")),1,0)</f>
        <v/>
      </c>
    </row>
    <row r="10" ht="54" customHeight="1" s="34">
      <c r="A10" s="43" t="inlineStr">
        <is>
          <t>PR-02</t>
        </is>
      </c>
      <c r="B10" s="43" t="inlineStr">
        <is>
          <t>API</t>
        </is>
      </c>
      <c r="C10" s="43" t="inlineStr">
        <is>
          <t>All parts</t>
        </is>
      </c>
      <c r="D10" s="44" t="inlineStr">
        <is>
          <t>The six-part Root, Label, Value, Track, Buffer, and Indicator namespace and named exports match the adopted contract.</t>
        </is>
      </c>
      <c r="E10" s="43" t="inlineStr">
        <is>
          <t>package</t>
        </is>
      </c>
      <c r="F10" s="43" t="inlineStr">
        <is>
          <t>component</t>
        </is>
      </c>
      <c r="G10" s="44" t="inlineStr">
        <is>
          <t>../test/components/progress/progress.test.tsx</t>
        </is>
      </c>
      <c r="H10" s="43" t="inlineStr">
        <is>
          <t>tested</t>
        </is>
      </c>
      <c r="I10" s="43" t="inlineStr">
        <is>
          <t>no</t>
        </is>
      </c>
      <c r="J10" s="45" t="n">
        <v>46230</v>
      </c>
      <c r="K10" s="44" t="inlineStr">
        <is>
          <t>Focused component assertions pass.</t>
        </is>
      </c>
      <c r="L10" s="43" t="n">
        <v>1</v>
      </c>
      <c r="M10" s="43">
        <f>IF(OR(AND(I10="yes",H10="verified"),AND(I10="no",OR(H10="tested",H10="verified")),AND(H10="not applicable",K10&lt;&gt;"")),1,0)</f>
        <v/>
      </c>
    </row>
    <row r="11" ht="54" customHeight="1" s="34">
      <c r="A11" s="43" t="inlineStr">
        <is>
          <t>PR-03</t>
        </is>
      </c>
      <c r="B11" s="43" t="inlineStr">
        <is>
          <t>Anatomy</t>
        </is>
      </c>
      <c r="C11" s="43" t="inlineStr">
        <is>
          <t>All parts</t>
        </is>
      </c>
      <c r="D11" s="44" t="inlineStr">
        <is>
          <t>Every public part renders its documented host, forwards native props and slots, and resolves the exact ref target.</t>
        </is>
      </c>
      <c r="E11" s="43" t="inlineStr">
        <is>
          <t>package</t>
        </is>
      </c>
      <c r="F11" s="43" t="inlineStr">
        <is>
          <t>component</t>
        </is>
      </c>
      <c r="G11" s="44" t="inlineStr">
        <is>
          <t>../test/components/progress/progress.test.tsx</t>
        </is>
      </c>
      <c r="H11" s="43" t="inlineStr">
        <is>
          <t>tested</t>
        </is>
      </c>
      <c r="I11" s="43" t="inlineStr">
        <is>
          <t>no</t>
        </is>
      </c>
      <c r="J11" s="45" t="n">
        <v>46230</v>
      </c>
      <c r="K11" s="44" t="inlineStr">
        <is>
          <t>Host, prop, slot, and ref assertions pass.</t>
        </is>
      </c>
      <c r="L11" s="43" t="n">
        <v>1</v>
      </c>
      <c r="M11" s="43">
        <f>IF(OR(AND(I11="yes",H11="verified"),AND(I11="no",OR(H11="tested",H11="verified")),AND(H11="not applicable",K11&lt;&gt;"")),1,0)</f>
        <v/>
      </c>
    </row>
    <row r="12" ht="54" customHeight="1" s="34">
      <c r="A12" s="43" t="inlineStr">
        <is>
          <t>PR-04</t>
        </is>
      </c>
      <c r="B12" s="43" t="inlineStr">
        <is>
          <t>Types</t>
        </is>
      </c>
      <c r="C12" s="43" t="inlineStr">
        <is>
          <t>Public surface</t>
        </is>
      </c>
      <c r="D12" s="44" t="inlineStr">
        <is>
          <t>Closed orientation, size, shape, and tone values plus native props and refs type-check.</t>
        </is>
      </c>
      <c r="E12" s="43" t="inlineStr">
        <is>
          <t>package</t>
        </is>
      </c>
      <c r="F12" s="43" t="inlineStr">
        <is>
          <t>types</t>
        </is>
      </c>
      <c r="G12" s="44" t="inlineStr">
        <is>
          <t>../test/types/components/progress.test.ts</t>
        </is>
      </c>
      <c r="H12" s="43" t="inlineStr">
        <is>
          <t>tested</t>
        </is>
      </c>
      <c r="I12" s="43" t="inlineStr">
        <is>
          <t>no</t>
        </is>
      </c>
      <c r="J12" s="45" t="n">
        <v>46230</v>
      </c>
      <c r="K12" s="44" t="inlineStr">
        <is>
          <t>Focused type assertions pass.</t>
        </is>
      </c>
      <c r="L12" s="43" t="n">
        <v>1</v>
      </c>
      <c r="M12" s="43">
        <f>IF(OR(AND(I12="yes",H12="verified"),AND(I12="no",OR(H12="tested",H12="verified")),AND(H12="not applicable",K12&lt;&gt;"")),1,0)</f>
        <v/>
      </c>
    </row>
    <row r="13" ht="54" customHeight="1" s="34">
      <c r="A13" s="43" t="inlineStr">
        <is>
          <t>PR-05</t>
        </is>
      </c>
      <c r="B13" s="43" t="inlineStr">
        <is>
          <t>Exports</t>
        </is>
      </c>
      <c r="C13" s="43" t="inlineStr">
        <is>
          <t>Progress</t>
        </is>
      </c>
      <c r="D13" s="44" t="inlineStr">
        <is>
          <t>Root and progress subpath exports preserve namespace and named runtime identity.</t>
        </is>
      </c>
      <c r="E13" s="43" t="inlineStr">
        <is>
          <t>package</t>
        </is>
      </c>
      <c r="F13" s="43" t="inlineStr">
        <is>
          <t>package</t>
        </is>
      </c>
      <c r="G13" s="44" t="inlineStr">
        <is>
          <t>../test/package/package.test.mjs; ../package.json</t>
        </is>
      </c>
      <c r="H13" s="43" t="inlineStr">
        <is>
          <t>tested</t>
        </is>
      </c>
      <c r="I13" s="43" t="inlineStr">
        <is>
          <t>no</t>
        </is>
      </c>
      <c r="J13" s="45" t="n">
        <v>46230</v>
      </c>
      <c r="K13" s="44" t="inlineStr">
        <is>
          <t>Package boundary assertions pass.</t>
        </is>
      </c>
      <c r="L13" s="43" t="n">
        <v>1</v>
      </c>
      <c r="M13" s="43">
        <f>IF(OR(AND(I13="yes",H13="verified"),AND(I13="no",OR(H13="tested",H13="verified")),AND(H13="not applicable",K13&lt;&gt;"")),1,0)</f>
        <v/>
      </c>
    </row>
    <row r="14" ht="54" customHeight="1" s="34">
      <c r="A14" s="43" t="inlineStr">
        <is>
          <t>PR-06</t>
        </is>
      </c>
      <c r="B14" s="43" t="inlineStr">
        <is>
          <t>SSR</t>
        </is>
      </c>
      <c r="C14" s="43" t="inlineStr">
        <is>
          <t>Root</t>
        </is>
      </c>
      <c r="D14" s="44" t="inlineStr">
        <is>
          <t>Server rendering emits deterministic progressbar anatomy and visible naming without client-only failure.</t>
        </is>
      </c>
      <c r="E14" s="43" t="inlineStr">
        <is>
          <t>package</t>
        </is>
      </c>
      <c r="F14" s="43" t="inlineStr">
        <is>
          <t>package</t>
        </is>
      </c>
      <c r="G14" s="44" t="inlineStr">
        <is>
          <t>../test/package/ssr.test.mjs</t>
        </is>
      </c>
      <c r="H14" s="43" t="inlineStr">
        <is>
          <t>tested</t>
        </is>
      </c>
      <c r="I14" s="43" t="inlineStr">
        <is>
          <t>no</t>
        </is>
      </c>
      <c r="J14" s="45" t="n">
        <v>46230</v>
      </c>
      <c r="K14" s="44" t="inlineStr">
        <is>
          <t>SSR assertions pass.</t>
        </is>
      </c>
      <c r="L14" s="43" t="n">
        <v>1</v>
      </c>
      <c r="M14" s="43">
        <f>IF(OR(AND(I14="yes",H14="verified"),AND(I14="no",OR(H14="tested",H14="verified")),AND(H14="not applicable",K14&lt;&gt;"")),1,0)</f>
        <v/>
      </c>
    </row>
    <row r="15" ht="54" customHeight="1" s="34">
      <c r="A15" s="43" t="inlineStr">
        <is>
          <t>PR-07</t>
        </is>
      </c>
      <c r="B15" s="43" t="inlineStr">
        <is>
          <t>Defaults</t>
        </is>
      </c>
      <c r="C15" s="43" t="inlineStr">
        <is>
          <t>Root</t>
        </is>
      </c>
      <c r="D15" s="44" t="inlineStr">
        <is>
          <t>Defaults are horizontal, medium, rounded, accent, and indeterminate when value is omitted.</t>
        </is>
      </c>
      <c r="E15" s="43" t="inlineStr">
        <is>
          <t>package</t>
        </is>
      </c>
      <c r="F15" s="43" t="inlineStr">
        <is>
          <t>component</t>
        </is>
      </c>
      <c r="G15" s="44" t="inlineStr">
        <is>
          <t>../test/components/progress/progress.test.tsx</t>
        </is>
      </c>
      <c r="H15" s="43" t="inlineStr">
        <is>
          <t>tested</t>
        </is>
      </c>
      <c r="I15" s="43" t="inlineStr">
        <is>
          <t>no</t>
        </is>
      </c>
      <c r="J15" s="45" t="n">
        <v>46230</v>
      </c>
      <c r="K15" s="44" t="inlineStr">
        <is>
          <t>Default attributes and semantics are asserted.</t>
        </is>
      </c>
      <c r="L15" s="43" t="n">
        <v>1</v>
      </c>
      <c r="M15" s="43">
        <f>IF(OR(AND(I15="yes",H15="verified"),AND(I15="no",OR(H15="tested",H15="verified")),AND(H15="not applicable",K15&lt;&gt;"")),1,0)</f>
        <v/>
      </c>
    </row>
    <row r="16" ht="54" customHeight="1" s="34">
      <c r="A16" s="43" t="inlineStr">
        <is>
          <t>PR-08</t>
        </is>
      </c>
      <c r="B16" s="43" t="inlineStr">
        <is>
          <t>Values</t>
        </is>
      </c>
      <c r="C16" s="43" t="inlineStr">
        <is>
          <t>Root / Indicator</t>
        </is>
      </c>
      <c r="D16" s="44" t="inlineStr">
        <is>
          <t>Determinate values normalize within min and max while indeterminate progress omits aria-valuenow.</t>
        </is>
      </c>
      <c r="E16" s="43" t="inlineStr">
        <is>
          <t>browser</t>
        </is>
      </c>
      <c r="F16" s="43" t="inlineStr">
        <is>
          <t>browser</t>
        </is>
      </c>
      <c r="G16" s="44" t="inlineStr">
        <is>
          <t>tests/components/progress/behavior.spec.ts</t>
        </is>
      </c>
      <c r="H16" s="43" t="inlineStr">
        <is>
          <t>tested</t>
        </is>
      </c>
      <c r="I16" s="43" t="inlineStr">
        <is>
          <t>no</t>
        </is>
      </c>
      <c r="J16" s="45" t="n">
        <v>46230</v>
      </c>
      <c r="K16" s="44" t="inlineStr">
        <is>
          <t>Configured-browser semantic assertions pass.</t>
        </is>
      </c>
      <c r="L16" s="43" t="n">
        <v>1</v>
      </c>
      <c r="M16" s="43">
        <f>IF(OR(AND(I16="yes",H16="verified"),AND(I16="no",OR(H16="tested",H16="verified")),AND(H16="not applicable",K16&lt;&gt;"")),1,0)</f>
        <v/>
      </c>
    </row>
    <row r="17" ht="54" customHeight="1" s="34">
      <c r="A17" s="43" t="inlineStr">
        <is>
          <t>PR-09</t>
        </is>
      </c>
      <c r="B17" s="43" t="inlineStr">
        <is>
          <t>States</t>
        </is>
      </c>
      <c r="C17" s="43" t="inlineStr">
        <is>
          <t>Root / Indicator</t>
        </is>
      </c>
      <c r="D17" s="44" t="inlineStr">
        <is>
          <t>Indeterminate, loading, and complete visual states remain distinguishable without adding interaction.</t>
        </is>
      </c>
      <c r="E17" s="43" t="inlineStr">
        <is>
          <t>browser</t>
        </is>
      </c>
      <c r="F17" s="43" t="inlineStr">
        <is>
          <t>visual</t>
        </is>
      </c>
      <c r="G17" s="44" t="inlineStr">
        <is>
          <t>tests/components/progress/visual.spec.ts</t>
        </is>
      </c>
      <c r="H17" s="43" t="inlineStr">
        <is>
          <t>tested</t>
        </is>
      </c>
      <c r="I17" s="43" t="inlineStr">
        <is>
          <t>no</t>
        </is>
      </c>
      <c r="J17" s="45" t="n">
        <v>46230</v>
      </c>
      <c r="K17" s="44" t="inlineStr">
        <is>
          <t>Automated state baselines pass; owner manual review remains separate.</t>
        </is>
      </c>
      <c r="L17" s="43" t="n">
        <v>1</v>
      </c>
      <c r="M17" s="43">
        <f>IF(OR(AND(I17="yes",H17="verified"),AND(I17="no",OR(H17="tested",H17="verified")),AND(H17="not applicable",K17&lt;&gt;"")),1,0)</f>
        <v/>
      </c>
    </row>
    <row r="18" ht="54" customHeight="1" s="34">
      <c r="A18" s="43" t="inlineStr">
        <is>
          <t>PR-10</t>
        </is>
      </c>
      <c r="B18" s="43" t="inlineStr">
        <is>
          <t>Recipes</t>
        </is>
      </c>
      <c r="C18" s="43" t="inlineStr">
        <is>
          <t>Root</t>
        </is>
      </c>
      <c r="D18" s="44" t="inlineStr">
        <is>
          <t>Six tones, five sizes, and three shapes preserve semantics and independent geometry.</t>
        </is>
      </c>
      <c r="E18" s="43" t="inlineStr">
        <is>
          <t>browser</t>
        </is>
      </c>
      <c r="F18" s="43" t="inlineStr">
        <is>
          <t>browser</t>
        </is>
      </c>
      <c r="G18" s="44" t="inlineStr">
        <is>
          <t>tests/components/progress/behavior.spec.ts</t>
        </is>
      </c>
      <c r="H18" s="43" t="inlineStr">
        <is>
          <t>tested</t>
        </is>
      </c>
      <c r="I18" s="43" t="inlineStr">
        <is>
          <t>no</t>
        </is>
      </c>
      <c r="J18" s="45" t="n">
        <v>46230</v>
      </c>
      <c r="K18" s="44" t="inlineStr">
        <is>
          <t>Recipe matrix assertions pass.</t>
        </is>
      </c>
      <c r="L18" s="43" t="n">
        <v>1</v>
      </c>
      <c r="M18" s="43">
        <f>IF(OR(AND(I18="yes",H18="verified"),AND(I18="no",OR(H18="tested",H18="verified")),AND(H18="not applicable",K18&lt;&gt;"")),1,0)</f>
        <v/>
      </c>
    </row>
    <row r="19" ht="54" customHeight="1" s="34">
      <c r="A19" s="43" t="inlineStr">
        <is>
          <t>PR-11</t>
        </is>
      </c>
      <c r="B19" s="43" t="inlineStr">
        <is>
          <t>Direction</t>
        </is>
      </c>
      <c r="C19" s="43" t="inlineStr">
        <is>
          <t>Track / Indicator</t>
        </is>
      </c>
      <c r="D19" s="44" t="inlineStr">
        <is>
          <t>Horizontal progress fills from logical inline-start in LTR and RTL; vertical progress fills from the bottom.</t>
        </is>
      </c>
      <c r="E19" s="43" t="inlineStr">
        <is>
          <t>browser</t>
        </is>
      </c>
      <c r="F19" s="43" t="inlineStr">
        <is>
          <t>browser</t>
        </is>
      </c>
      <c r="G19" s="44" t="inlineStr">
        <is>
          <t>tests/components/progress/behavior.spec.ts</t>
        </is>
      </c>
      <c r="H19" s="43" t="inlineStr">
        <is>
          <t>tested</t>
        </is>
      </c>
      <c r="I19" s="43" t="inlineStr">
        <is>
          <t>no</t>
        </is>
      </c>
      <c r="J19" s="45" t="n">
        <v>46230</v>
      </c>
      <c r="K19" s="44" t="inlineStr">
        <is>
          <t>Bounding-box direction assertions pass.</t>
        </is>
      </c>
      <c r="L19" s="43" t="n">
        <v>1</v>
      </c>
      <c r="M19" s="43">
        <f>IF(OR(AND(I19="yes",H19="verified"),AND(I19="no",OR(H19="tested",H19="verified")),AND(H19="not applicable",K19&lt;&gt;"")),1,0)</f>
        <v/>
      </c>
    </row>
    <row r="20" ht="54" customHeight="1" s="34">
      <c r="A20" s="43" t="inlineStr">
        <is>
          <t>PR-12</t>
        </is>
      </c>
      <c r="B20" s="43" t="inlineStr">
        <is>
          <t>Buffer</t>
        </is>
      </c>
      <c r="C20" s="43" t="inlineStr">
        <is>
          <t>Buffer</t>
        </is>
      </c>
      <c r="D20" s="44" t="inlineStr">
        <is>
          <t>Optional buffered progress clamps independently, remains behind the current value, and exposes presence state.</t>
        </is>
      </c>
      <c r="E20" s="43" t="inlineStr">
        <is>
          <t>package</t>
        </is>
      </c>
      <c r="F20" s="43" t="inlineStr">
        <is>
          <t>component</t>
        </is>
      </c>
      <c r="G20" s="44" t="inlineStr">
        <is>
          <t>../test/components/progress/progress.test.tsx; tests/components/progress/behavior.spec.ts</t>
        </is>
      </c>
      <c r="H20" s="43" t="inlineStr">
        <is>
          <t>tested</t>
        </is>
      </c>
      <c r="I20" s="43" t="inlineStr">
        <is>
          <t>no</t>
        </is>
      </c>
      <c r="J20" s="45" t="n">
        <v>46230</v>
      </c>
      <c r="K20" s="44" t="inlineStr">
        <is>
          <t>Buffer clamping, position, and presence are asserted.</t>
        </is>
      </c>
      <c r="L20" s="43" t="n">
        <v>1</v>
      </c>
      <c r="M20" s="43">
        <f>IF(OR(AND(I20="yes",H20="verified"),AND(I20="no",OR(H20="tested",H20="verified")),AND(H20="not applicable",K20&lt;&gt;"")),1,0)</f>
        <v/>
      </c>
    </row>
    <row r="21" ht="54" customHeight="1" s="34">
      <c r="A21" s="43" t="inlineStr">
        <is>
          <t>PR-13</t>
        </is>
      </c>
      <c r="B21" s="43" t="inlineStr">
        <is>
          <t>Output</t>
        </is>
      </c>
      <c r="C21" s="43" t="inlineStr">
        <is>
          <t>Label / Value</t>
        </is>
      </c>
      <c r="D21" s="44" t="inlineStr">
        <is>
          <t>Visible Label supplies the accessible name and Value supports localized default or authored range output.</t>
        </is>
      </c>
      <c r="E21" s="43" t="inlineStr">
        <is>
          <t>browser</t>
        </is>
      </c>
      <c r="F21" s="43" t="inlineStr">
        <is>
          <t>browser</t>
        </is>
      </c>
      <c r="G21" s="44" t="inlineStr">
        <is>
          <t>tests/components/progress/behavior.spec.ts</t>
        </is>
      </c>
      <c r="H21" s="43" t="inlineStr">
        <is>
          <t>tested</t>
        </is>
      </c>
      <c r="I21" s="43" t="inlineStr">
        <is>
          <t>no</t>
        </is>
      </c>
      <c r="J21" s="45" t="n">
        <v>46230</v>
      </c>
      <c r="K21" s="44" t="inlineStr">
        <is>
          <t>Name relationship and custom output assertions pass.</t>
        </is>
      </c>
      <c r="L21" s="43" t="n">
        <v>1</v>
      </c>
      <c r="M21" s="43">
        <f>IF(OR(AND(I21="yes",H21="verified"),AND(I21="no",OR(H21="tested",H21="verified")),AND(H21="not applicable",K21&lt;&gt;"")),1,0)</f>
        <v/>
      </c>
    </row>
    <row r="22" ht="54" customHeight="1" s="34">
      <c r="A22" s="43" t="inlineStr">
        <is>
          <t>PR-14</t>
        </is>
      </c>
      <c r="B22" s="43" t="inlineStr">
        <is>
          <t>Responsive</t>
        </is>
      </c>
      <c r="C22" s="43" t="inlineStr">
        <is>
          <t>All parts</t>
        </is>
      </c>
      <c r="D22" s="44" t="inlineStr">
        <is>
          <t>Narrow, long-label, zoom, and RTL layouts remain contained without clipping or page overflow.</t>
        </is>
      </c>
      <c r="E22" s="43" t="inlineStr">
        <is>
          <t>browser</t>
        </is>
      </c>
      <c r="F22" s="43" t="inlineStr">
        <is>
          <t>visual</t>
        </is>
      </c>
      <c r="G22" s="44" t="inlineStr">
        <is>
          <t>tests/components/progress/visual.spec.ts</t>
        </is>
      </c>
      <c r="H22" s="43" t="inlineStr">
        <is>
          <t>tested</t>
        </is>
      </c>
      <c r="I22" s="43" t="inlineStr">
        <is>
          <t>no</t>
        </is>
      </c>
      <c r="J22" s="45" t="n">
        <v>46230</v>
      </c>
      <c r="K22" s="44" t="inlineStr">
        <is>
          <t>Automated responsive baselines and narrow containment pass.</t>
        </is>
      </c>
      <c r="L22" s="43" t="n">
        <v>1</v>
      </c>
      <c r="M22" s="43">
        <f>IF(OR(AND(I22="yes",H22="verified"),AND(I22="no",OR(H22="tested",H22="verified")),AND(H22="not applicable",K22&lt;&gt;"")),1,0)</f>
        <v/>
      </c>
    </row>
    <row r="23" ht="54" customHeight="1" s="34">
      <c r="A23" s="43" t="inlineStr">
        <is>
          <t>PR-15</t>
        </is>
      </c>
      <c r="B23" s="43" t="inlineStr">
        <is>
          <t>Preferences</t>
        </is>
      </c>
      <c r="C23" s="43" t="inlineStr">
        <is>
          <t>Track / Indicator</t>
        </is>
      </c>
      <c r="D23" s="44" t="inlineStr">
        <is>
          <t>Reduced motion leaves a static recognizable segment and forced colors preserve track and indicator boundaries.</t>
        </is>
      </c>
      <c r="E23" s="43" t="inlineStr">
        <is>
          <t>browser</t>
        </is>
      </c>
      <c r="F23" s="43" t="inlineStr">
        <is>
          <t>visual</t>
        </is>
      </c>
      <c r="G23" s="44" t="inlineStr">
        <is>
          <t>tests/components/progress/visual.spec.ts; tests/components/progress/behavior.spec.ts</t>
        </is>
      </c>
      <c r="H23" s="43" t="inlineStr">
        <is>
          <t>tested</t>
        </is>
      </c>
      <c r="I23" s="43" t="inlineStr">
        <is>
          <t>no</t>
        </is>
      </c>
      <c r="J23" s="45" t="n">
        <v>46230</v>
      </c>
      <c r="K23" s="44" t="inlineStr">
        <is>
          <t>Preference-state automation passes.</t>
        </is>
      </c>
      <c r="L23" s="43" t="n">
        <v>1</v>
      </c>
      <c r="M23" s="43">
        <f>IF(OR(AND(I23="yes",H23="verified"),AND(I23="no",OR(H23="tested",H23="verified")),AND(H23="not applicable",K23&lt;&gt;"")),1,0)</f>
        <v/>
      </c>
    </row>
    <row r="24" ht="54" customHeight="1" s="34">
      <c r="A24" s="43" t="inlineStr">
        <is>
          <t>PR-16</t>
        </is>
      </c>
      <c r="B24" s="43" t="inlineStr">
        <is>
          <t>Accessibility</t>
        </is>
      </c>
      <c r="C24" s="43" t="inlineStr">
        <is>
          <t>Root</t>
        </is>
      </c>
      <c r="D24" s="44" t="inlineStr">
        <is>
          <t>One named progressbar exposes the correct range/value state and the route passes axe without unsupported aria-orientation.</t>
        </is>
      </c>
      <c r="E24" s="43" t="inlineStr">
        <is>
          <t>browser</t>
        </is>
      </c>
      <c r="F24" s="43" t="inlineStr">
        <is>
          <t>axe</t>
        </is>
      </c>
      <c r="G24" s="44" t="inlineStr">
        <is>
          <t>tests/components/progress/behavior.spec.ts</t>
        </is>
      </c>
      <c r="H24" s="43" t="inlineStr">
        <is>
          <t>tested</t>
        </is>
      </c>
      <c r="I24" s="43" t="inlineStr">
        <is>
          <t>no</t>
        </is>
      </c>
      <c r="J24" s="45" t="n">
        <v>46230</v>
      </c>
      <c r="K24" s="44" t="inlineStr">
        <is>
          <t>Semantic and axe assertions pass.</t>
        </is>
      </c>
      <c r="L24" s="43" t="n">
        <v>1</v>
      </c>
      <c r="M24" s="43">
        <f>IF(OR(AND(I24="yes",H24="verified"),AND(I24="no",OR(H24="tested",H24="verified")),AND(H24="not applicable",K24&lt;&gt;"")),1,0)</f>
        <v/>
      </c>
    </row>
    <row r="25" ht="54" customHeight="1" s="34">
      <c r="A25" s="43" t="inlineStr">
        <is>
          <t>PR-17</t>
        </is>
      </c>
      <c r="B25" s="43" t="inlineStr">
        <is>
          <t>Playground</t>
        </is>
      </c>
      <c r="C25" s="43" t="inlineStr">
        <is>
          <t>Progress</t>
        </is>
      </c>
      <c r="D25" s="44" t="inlineStr">
        <is>
          <t>One navigable route exposes nine persistent scenarios from overview through stress.</t>
        </is>
      </c>
      <c r="E25" s="43" t="inlineStr">
        <is>
          <t>package</t>
        </is>
      </c>
      <c r="F25" s="43" t="inlineStr">
        <is>
          <t>playground</t>
        </is>
      </c>
      <c r="G25" s="44" t="inlineStr">
        <is>
          <t>src/components/progress/ProgressPage.tsx</t>
        </is>
      </c>
      <c r="H25" s="43" t="inlineStr">
        <is>
          <t>tested</t>
        </is>
      </c>
      <c r="I25" s="43" t="inlineStr">
        <is>
          <t>no</t>
        </is>
      </c>
      <c r="J25" s="45" t="n">
        <v>46230</v>
      </c>
      <c r="K25" s="44" t="inlineStr">
        <is>
          <t>Route registration and playground build pass.</t>
        </is>
      </c>
      <c r="L25" s="43" t="n">
        <v>1</v>
      </c>
      <c r="M25" s="43">
        <f>IF(OR(AND(I25="yes",H25="verified"),AND(I25="no",OR(H25="tested",H25="verified")),AND(H25="not applicable",K25&lt;&gt;"")),1,0)</f>
        <v/>
      </c>
    </row>
    <row r="26" ht="54" customHeight="1" s="34">
      <c r="A26" s="43" t="inlineStr">
        <is>
          <t>PR-18</t>
        </is>
      </c>
      <c r="B26" s="43" t="inlineStr">
        <is>
          <t>Documentation</t>
        </is>
      </c>
      <c r="C26" s="43" t="inlineStr">
        <is>
          <t>Progress</t>
        </is>
      </c>
      <c r="D26" s="44" t="inlineStr">
        <is>
          <t>The public guide documents anatomy, API, defaults, recipes, output, accessibility, CSS, and exclusions.</t>
        </is>
      </c>
      <c r="E26" s="43" t="inlineStr">
        <is>
          <t>package</t>
        </is>
      </c>
      <c r="F26" s="43" t="inlineStr">
        <is>
          <t>docs</t>
        </is>
      </c>
      <c r="G26" s="44" t="inlineStr">
        <is>
          <t>../docs/components/progress/README.md</t>
        </is>
      </c>
      <c r="H26" s="43" t="inlineStr">
        <is>
          <t>tested</t>
        </is>
      </c>
      <c r="I26" s="43" t="inlineStr">
        <is>
          <t>no</t>
        </is>
      </c>
      <c r="J26" s="45" t="n">
        <v>46230</v>
      </c>
      <c r="K26" s="44" t="inlineStr">
        <is>
          <t>Documentation verification passes.</t>
        </is>
      </c>
      <c r="L26" s="43" t="n">
        <v>1</v>
      </c>
      <c r="M26" s="43">
        <f>IF(OR(AND(I26="yes",H26="verified"),AND(I26="no",OR(H26="tested",H26="verified")),AND(H26="not applicable",K26&lt;&gt;"")),1,0)</f>
        <v/>
      </c>
    </row>
    <row r="27" ht="54" customHeight="1" s="34">
      <c r="A27" s="43" t="inlineStr">
        <is>
          <t>PR-19</t>
        </is>
      </c>
      <c r="B27" s="43" t="inlineStr">
        <is>
          <t>Changelog</t>
        </is>
      </c>
      <c r="C27" s="43" t="inlineStr">
        <is>
          <t>Progress</t>
        </is>
      </c>
      <c r="D27" s="44" t="inlineStr">
        <is>
          <t>Component and package changelogs record the consumer-visible addition and ARIA correction.</t>
        </is>
      </c>
      <c r="E27" s="43" t="inlineStr">
        <is>
          <t>package</t>
        </is>
      </c>
      <c r="F27" s="43" t="inlineStr">
        <is>
          <t>docs</t>
        </is>
      </c>
      <c r="G27" s="44" t="inlineStr">
        <is>
          <t>../docs/components/progress/CHANGELOG.md; ../CHANGELOG.md</t>
        </is>
      </c>
      <c r="H27" s="43" t="inlineStr">
        <is>
          <t>tested</t>
        </is>
      </c>
      <c r="I27" s="43" t="inlineStr">
        <is>
          <t>no</t>
        </is>
      </c>
      <c r="J27" s="45" t="n">
        <v>46230</v>
      </c>
      <c r="K27" s="44" t="inlineStr">
        <is>
          <t>Changelog ownership checks pass.</t>
        </is>
      </c>
      <c r="L27" s="43" t="n">
        <v>1</v>
      </c>
      <c r="M27" s="43">
        <f>IF(OR(AND(I27="yes",H27="verified"),AND(I27="no",OR(H27="tested",H27="verified")),AND(H27="not applicable",K27&lt;&gt;"")),1,0)</f>
        <v/>
      </c>
    </row>
    <row r="28" ht="54" customHeight="1" s="34">
      <c r="A28" s="43" t="inlineStr">
        <is>
          <t>PR-20</t>
        </is>
      </c>
      <c r="B28" s="43" t="inlineStr">
        <is>
          <t>Consumer</t>
        </is>
      </c>
      <c r="C28" s="43" t="inlineStr">
        <is>
          <t>Progress</t>
        </is>
      </c>
      <c r="D28" s="44" t="inlineStr">
        <is>
          <t>Packed Consumer imports the progress subpath and composes labelled buffered progress from the tarball.</t>
        </is>
      </c>
      <c r="E28" s="43" t="inlineStr">
        <is>
          <t>consumer</t>
        </is>
      </c>
      <c r="F28" s="43" t="inlineStr">
        <is>
          <t>consumer</t>
        </is>
      </c>
      <c r="G28" s="44" t="inlineStr">
        <is>
          <t>../apps/consumer/src/App.tsx</t>
        </is>
      </c>
      <c r="H28" s="43" t="inlineStr">
        <is>
          <t>tested</t>
        </is>
      </c>
      <c r="I28" s="43" t="inlineStr">
        <is>
          <t>no</t>
        </is>
      </c>
      <c r="J28" s="45" t="n">
        <v>46230</v>
      </c>
      <c r="K28" s="44" t="inlineStr">
        <is>
          <t>Packed Consumer verification passes.</t>
        </is>
      </c>
      <c r="L28" s="43" t="n">
        <v>1</v>
      </c>
      <c r="M28" s="43">
        <f>IF(OR(AND(I28="yes",H28="verified"),AND(I28="no",OR(H28="tested",H28="verified")),AND(H28="not applicable",K28&lt;&gt;"")),1,0)</f>
        <v/>
      </c>
    </row>
    <row r="29" ht="54" customHeight="1" s="34">
      <c r="A29" s="43" t="inlineStr">
        <is>
          <t>PR-21</t>
        </is>
      </c>
      <c r="B29" s="43" t="inlineStr">
        <is>
          <t>Manual</t>
        </is>
      </c>
      <c r="C29" s="43" t="inlineStr">
        <is>
          <t>Progress</t>
        </is>
      </c>
      <c r="D29" s="44" t="inlineStr">
        <is>
          <t>Owner executes the visual, responsive, direction, preference, and assistive-technology protocol.</t>
        </is>
      </c>
      <c r="E29" s="43" t="inlineStr">
        <is>
          <t>human</t>
        </is>
      </c>
      <c r="F29" s="43" t="inlineStr">
        <is>
          <t>manual</t>
        </is>
      </c>
      <c r="G29" s="44" t="inlineStr">
        <is>
          <t>manual-tests/progress.md</t>
        </is>
      </c>
      <c r="H29" s="43" t="inlineStr">
        <is>
          <t>not started</t>
        </is>
      </c>
      <c r="I29" s="43" t="inlineStr">
        <is>
          <t>yes</t>
        </is>
      </c>
      <c r="J29" s="45" t="n">
        <v>46230</v>
      </c>
      <c r="K29" s="44" t="inlineStr">
        <is>
          <t>Human run intentionally unclaimed.</t>
        </is>
      </c>
      <c r="L29" s="43" t="n">
        <v>1</v>
      </c>
      <c r="M29" s="43">
        <f>IF(OR(AND(I29="yes",H29="verified"),AND(I29="no",OR(H29="tested",H29="verified")),AND(H29="not applicable",K29&lt;&gt;"")),1,0)</f>
        <v/>
      </c>
    </row>
    <row r="30" ht="54" customHeight="1" s="34">
      <c r="A30" s="43" t="inlineStr">
        <is>
          <t>PR-22</t>
        </is>
      </c>
      <c r="B30" s="43" t="inlineStr">
        <is>
          <t>Package</t>
        </is>
      </c>
      <c r="C30" s="43" t="inlineStr">
        <is>
          <t>Progress</t>
        </is>
      </c>
      <c r="D30" s="44" t="inlineStr">
        <is>
          <t>Build, declarations, exports, SSR, CSS, docs, tarball, consumers, browser matrix, and CI pass.</t>
        </is>
      </c>
      <c r="E30" s="43" t="inlineStr">
        <is>
          <t>package</t>
        </is>
      </c>
      <c r="F30" s="43" t="inlineStr">
        <is>
          <t>package</t>
        </is>
      </c>
      <c r="G30" s="44" t="inlineStr">
        <is>
          <t>../scripts/verify-package.mjs</t>
        </is>
      </c>
      <c r="H30" s="43" t="inlineStr">
        <is>
          <t>tested</t>
        </is>
      </c>
      <c r="I30" s="43" t="inlineStr">
        <is>
          <t>no</t>
        </is>
      </c>
      <c r="J30" s="45" t="n">
        <v>46230</v>
      </c>
      <c r="K30" s="44" t="inlineStr">
        <is>
          <t>Automated release qualification passed with the component implementation.</t>
        </is>
      </c>
      <c r="L30" s="43" t="n">
        <v>1</v>
      </c>
      <c r="M30" s="43">
        <f>IF(OR(AND(I30="yes",H30="verified"),AND(I30="no",OR(H30="tested",H30="verified")),AND(H30="not applicable",K30&lt;&gt;"")),1,0)</f>
        <v/>
      </c>
    </row>
  </sheetData>
  <mergeCells count="2">
    <mergeCell ref="A2:M2"/>
    <mergeCell ref="A1:M1"/>
  </mergeCells>
  <conditionalFormatting sqref="H9:H30">
    <cfRule type="expression" rank="0" priority="2" equalAverage="0" aboveAverage="0" dxfId="12" text="" percent="0" bottom="0">
      <formula>H9="verified"</formula>
    </cfRule>
  </conditionalFormatting>
  <dataValidations count="2">
    <dataValidation sqref="H9:H30" showDropDown="0" showInputMessage="0" showErrorMessage="0" allowBlank="0" type="list" errorStyle="stop" operator="between">
      <formula1>"not started,partial,implemented,tested,verified,blocked,not applicable"</formula1>
      <formula2>0</formula2>
    </dataValidation>
    <dataValidation sqref="I9:I30"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9.xml><?xml version="1.0" encoding="utf-8"?>
<worksheet xmlns="http://schemas.openxmlformats.org/spreadsheetml/2006/main">
  <sheetPr filterMode="0">
    <outlinePr summaryBelow="1" summaryRight="1"/>
    <pageSetUpPr fitToPage="0"/>
  </sheetPr>
  <dimension ref="A1:M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Progress Circle Evidence</t>
        </is>
      </c>
    </row>
    <row r="2" ht="27.75" customHeight="1" s="34">
      <c r="A2" s="36" t="inlineStr">
        <is>
          <t>Assertion-level circular progress anatomy, SVG geometry, values, recipes, responsive, package, documentation, Consumer, and accessibility evidence.</t>
        </is>
      </c>
    </row>
    <row r="4" ht="17.25" customHeight="1" s="34">
      <c r="A4" s="37" t="inlineStr">
        <is>
          <t>Requirements</t>
        </is>
      </c>
      <c r="B4" s="38">
        <f>COUNTA(A9:A30)</f>
        <v/>
      </c>
      <c r="D4" s="37" t="inlineStr">
        <is>
          <t>Resolved</t>
        </is>
      </c>
      <c r="E4" s="38">
        <f>SUM(M9:M30)</f>
        <v/>
      </c>
      <c r="G4" s="37" t="inlineStr">
        <is>
          <t>Completion</t>
        </is>
      </c>
      <c r="H4" s="39">
        <f>IF(B4=0,0,E4/B4)</f>
        <v/>
      </c>
      <c r="J4" s="37" t="inlineStr">
        <is>
          <t>Package gate</t>
        </is>
      </c>
      <c r="K4" s="38">
        <f>IF(COUNTIFS(E9:E30,"package",M9:M30,0)&gt;0,"open","complete")</f>
        <v/>
      </c>
    </row>
    <row r="5" ht="17.25" customHeight="1" s="34">
      <c r="A5" s="37" t="inlineStr">
        <is>
          <t>Manual review</t>
        </is>
      </c>
      <c r="B5" s="38">
        <f>IF(COUNTIFS(I9:I30,"yes",M9:M30,0)&gt;0,"open","complete")</f>
        <v/>
      </c>
      <c r="D5" s="37" t="inlineStr">
        <is>
          <t>Consumer gate</t>
        </is>
      </c>
      <c r="E5" s="38">
        <f>IF(COUNTIFS(E9:E30,"consumer",M9:M30,0)&gt;0,"open","complete")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PC-01</t>
        </is>
      </c>
      <c r="B9" s="43" t="inlineStr">
        <is>
          <t>Ownership</t>
        </is>
      </c>
      <c r="C9" s="43" t="inlineStr">
        <is>
          <t>All parts</t>
        </is>
      </c>
      <c r="D9" s="44" t="inlineStr">
        <is>
          <t>Brick styles released Atom 0.20.11 Progress semantics while retaining read-only range behavior.</t>
        </is>
      </c>
      <c r="E9" s="43" t="inlineStr">
        <is>
          <t>package</t>
        </is>
      </c>
      <c r="F9" s="43" t="inlineStr">
        <is>
          <t>source</t>
        </is>
      </c>
      <c r="G9" s="44" t="inlineStr">
        <is>
          <t>../src/components/progress-circle/ProgressCircle.tsx; ../package.json</t>
        </is>
      </c>
      <c r="H9" s="43" t="inlineStr">
        <is>
          <t>tested</t>
        </is>
      </c>
      <c r="I9" s="43" t="inlineStr">
        <is>
          <t>no</t>
        </is>
      </c>
      <c r="J9" s="45" t="n">
        <v>46230</v>
      </c>
      <c r="K9" s="44" t="inlineStr">
        <is>
          <t>Source and exact dependency boundary are implemented.</t>
        </is>
      </c>
      <c r="L9" s="43" t="n">
        <v>1</v>
      </c>
      <c r="M9" s="43">
        <f>IF(OR(AND(I9="yes",H9="verified"),AND(I9="no",OR(H9="tested",H9="verified")),AND(H9="not applicable",K9&lt;&gt;"")),1,0)</f>
        <v/>
      </c>
    </row>
    <row r="10" ht="54" customHeight="1" s="34">
      <c r="A10" s="43" t="inlineStr">
        <is>
          <t>PC-02</t>
        </is>
      </c>
      <c r="B10" s="43" t="inlineStr">
        <is>
          <t>API</t>
        </is>
      </c>
      <c r="C10" s="43" t="inlineStr">
        <is>
          <t>All parts</t>
        </is>
      </c>
      <c r="D10" s="44" t="inlineStr">
        <is>
          <t>The six-part Root, Circle, Track, Indicator, Label, and Value namespace and named exports match the adopted contract.</t>
        </is>
      </c>
      <c r="E10" s="43" t="inlineStr">
        <is>
          <t>package</t>
        </is>
      </c>
      <c r="F10" s="43" t="inlineStr">
        <is>
          <t>component</t>
        </is>
      </c>
      <c r="G10" s="44" t="inlineStr">
        <is>
          <t>../test/components/progress-circle/progress-circle.test.tsx</t>
        </is>
      </c>
      <c r="H10" s="43" t="inlineStr">
        <is>
          <t>tested</t>
        </is>
      </c>
      <c r="I10" s="43" t="inlineStr">
        <is>
          <t>no</t>
        </is>
      </c>
      <c r="J10" s="45" t="n">
        <v>46230</v>
      </c>
      <c r="K10" s="44" t="inlineStr">
        <is>
          <t>Focused component assertions pass.</t>
        </is>
      </c>
      <c r="L10" s="43" t="n">
        <v>1</v>
      </c>
      <c r="M10" s="43">
        <f>IF(OR(AND(I10="yes",H10="verified"),AND(I10="no",OR(H10="tested",H10="verified")),AND(H10="not applicable",K10&lt;&gt;"")),1,0)</f>
        <v/>
      </c>
    </row>
    <row r="11" ht="54" customHeight="1" s="34">
      <c r="A11" s="43" t="inlineStr">
        <is>
          <t>PC-03</t>
        </is>
      </c>
      <c r="B11" s="43" t="inlineStr">
        <is>
          <t>Anatomy</t>
        </is>
      </c>
      <c r="C11" s="43" t="inlineStr">
        <is>
          <t>All parts</t>
        </is>
      </c>
      <c r="D11" s="44" t="inlineStr">
        <is>
          <t>Root and text parts use native HTML hosts; decorative ring parts use deterministic SVG hosts and exact refs.</t>
        </is>
      </c>
      <c r="E11" s="43" t="inlineStr">
        <is>
          <t>package</t>
        </is>
      </c>
      <c r="F11" s="43" t="inlineStr">
        <is>
          <t>component</t>
        </is>
      </c>
      <c r="G11" s="44" t="inlineStr">
        <is>
          <t>../test/components/progress-circle/progress-circle.test.tsx</t>
        </is>
      </c>
      <c r="H11" s="43" t="inlineStr">
        <is>
          <t>tested</t>
        </is>
      </c>
      <c r="I11" s="43" t="inlineStr">
        <is>
          <t>no</t>
        </is>
      </c>
      <c r="J11" s="45" t="n">
        <v>46230</v>
      </c>
      <c r="K11" s="44" t="inlineStr">
        <is>
          <t>Host, prop, slot, SVG, and ref assertions pass.</t>
        </is>
      </c>
      <c r="L11" s="43" t="n">
        <v>1</v>
      </c>
      <c r="M11" s="43">
        <f>IF(OR(AND(I11="yes",H11="verified"),AND(I11="no",OR(H11="tested",H11="verified")),AND(H11="not applicable",K11&lt;&gt;"")),1,0)</f>
        <v/>
      </c>
    </row>
    <row r="12" ht="54" customHeight="1" s="34">
      <c r="A12" s="43" t="inlineStr">
        <is>
          <t>PC-04</t>
        </is>
      </c>
      <c r="B12" s="43" t="inlineStr">
        <is>
          <t>Types</t>
        </is>
      </c>
      <c r="C12" s="43" t="inlineStr">
        <is>
          <t>Public surface</t>
        </is>
      </c>
      <c r="D12" s="44" t="inlineStr">
        <is>
          <t>Closed size, thickness, cap, and tone values plus native and SVG prop exclusions type-check.</t>
        </is>
      </c>
      <c r="E12" s="43" t="inlineStr">
        <is>
          <t>package</t>
        </is>
      </c>
      <c r="F12" s="43" t="inlineStr">
        <is>
          <t>types</t>
        </is>
      </c>
      <c r="G12" s="44" t="inlineStr">
        <is>
          <t>../test/types/components/progress-circle.test.ts</t>
        </is>
      </c>
      <c r="H12" s="43" t="inlineStr">
        <is>
          <t>tested</t>
        </is>
      </c>
      <c r="I12" s="43" t="inlineStr">
        <is>
          <t>no</t>
        </is>
      </c>
      <c r="J12" s="45" t="n">
        <v>46230</v>
      </c>
      <c r="K12" s="44" t="inlineStr">
        <is>
          <t>Focused positive and negative type assertions pass.</t>
        </is>
      </c>
      <c r="L12" s="43" t="n">
        <v>1</v>
      </c>
      <c r="M12" s="43">
        <f>IF(OR(AND(I12="yes",H12="verified"),AND(I12="no",OR(H12="tested",H12="verified")),AND(H12="not applicable",K12&lt;&gt;"")),1,0)</f>
        <v/>
      </c>
    </row>
    <row r="13" ht="54" customHeight="1" s="34">
      <c r="A13" s="43" t="inlineStr">
        <is>
          <t>PC-05</t>
        </is>
      </c>
      <c r="B13" s="43" t="inlineStr">
        <is>
          <t>Exports</t>
        </is>
      </c>
      <c r="C13" s="43" t="inlineStr">
        <is>
          <t>Progress Circle</t>
        </is>
      </c>
      <c r="D13" s="44" t="inlineStr">
        <is>
          <t>Root and progress-circle subpath exports preserve namespace and named runtime identity.</t>
        </is>
      </c>
      <c r="E13" s="43" t="inlineStr">
        <is>
          <t>package</t>
        </is>
      </c>
      <c r="F13" s="43" t="inlineStr">
        <is>
          <t>package</t>
        </is>
      </c>
      <c r="G13" s="44" t="inlineStr">
        <is>
          <t>../test/package/package.test.mjs; ../package.json</t>
        </is>
      </c>
      <c r="H13" s="43" t="inlineStr">
        <is>
          <t>tested</t>
        </is>
      </c>
      <c r="I13" s="43" t="inlineStr">
        <is>
          <t>no</t>
        </is>
      </c>
      <c r="J13" s="45" t="n">
        <v>46230</v>
      </c>
      <c r="K13" s="44" t="inlineStr">
        <is>
          <t>Package boundary assertions pass.</t>
        </is>
      </c>
      <c r="L13" s="43" t="n">
        <v>1</v>
      </c>
      <c r="M13" s="43">
        <f>IF(OR(AND(I13="yes",H13="verified"),AND(I13="no",OR(H13="tested",H13="verified")),AND(H13="not applicable",K13&lt;&gt;"")),1,0)</f>
        <v/>
      </c>
    </row>
    <row r="14" ht="54" customHeight="1" s="34">
      <c r="A14" s="43" t="inlineStr">
        <is>
          <t>PC-06</t>
        </is>
      </c>
      <c r="B14" s="43" t="inlineStr">
        <is>
          <t>SSR</t>
        </is>
      </c>
      <c r="C14" s="43" t="inlineStr">
        <is>
          <t>Root</t>
        </is>
      </c>
      <c r="D14" s="44" t="inlineStr">
        <is>
          <t>Server rendering emits deterministic progressbar and SVG anatomy without client-only failure.</t>
        </is>
      </c>
      <c r="E14" s="43" t="inlineStr">
        <is>
          <t>package</t>
        </is>
      </c>
      <c r="F14" s="43" t="inlineStr">
        <is>
          <t>package</t>
        </is>
      </c>
      <c r="G14" s="44" t="inlineStr">
        <is>
          <t>../test/package/ssr.test.mjs</t>
        </is>
      </c>
      <c r="H14" s="43" t="inlineStr">
        <is>
          <t>tested</t>
        </is>
      </c>
      <c r="I14" s="43" t="inlineStr">
        <is>
          <t>no</t>
        </is>
      </c>
      <c r="J14" s="45" t="n">
        <v>46230</v>
      </c>
      <c r="K14" s="44" t="inlineStr">
        <is>
          <t>SSR assertions pass.</t>
        </is>
      </c>
      <c r="L14" s="43" t="n">
        <v>1</v>
      </c>
      <c r="M14" s="43">
        <f>IF(OR(AND(I14="yes",H14="verified"),AND(I14="no",OR(H14="tested",H14="verified")),AND(H14="not applicable",K14&lt;&gt;"")),1,0)</f>
        <v/>
      </c>
    </row>
    <row r="15" ht="54" customHeight="1" s="34">
      <c r="A15" s="43" t="inlineStr">
        <is>
          <t>PC-07</t>
        </is>
      </c>
      <c r="B15" s="43" t="inlineStr">
        <is>
          <t>Defaults</t>
        </is>
      </c>
      <c r="C15" s="43" t="inlineStr">
        <is>
          <t>Root</t>
        </is>
      </c>
      <c r="D15" s="44" t="inlineStr">
        <is>
          <t>Defaults are medium, regular thickness, round cap, accent tone, and indeterminate when value is omitted.</t>
        </is>
      </c>
      <c r="E15" s="43" t="inlineStr">
        <is>
          <t>package</t>
        </is>
      </c>
      <c r="F15" s="43" t="inlineStr">
        <is>
          <t>component</t>
        </is>
      </c>
      <c r="G15" s="44" t="inlineStr">
        <is>
          <t>../test/components/progress-circle/progress-circle.test.tsx</t>
        </is>
      </c>
      <c r="H15" s="43" t="inlineStr">
        <is>
          <t>tested</t>
        </is>
      </c>
      <c r="I15" s="43" t="inlineStr">
        <is>
          <t>no</t>
        </is>
      </c>
      <c r="J15" s="45" t="n">
        <v>46230</v>
      </c>
      <c r="K15" s="44" t="inlineStr">
        <is>
          <t>Default attributes and semantics are asserted.</t>
        </is>
      </c>
      <c r="L15" s="43" t="n">
        <v>1</v>
      </c>
      <c r="M15" s="43">
        <f>IF(OR(AND(I15="yes",H15="verified"),AND(I15="no",OR(H15="tested",H15="verified")),AND(H15="not applicable",K15&lt;&gt;"")),1,0)</f>
        <v/>
      </c>
    </row>
    <row r="16" ht="54" customHeight="1" s="34">
      <c r="A16" s="43" t="inlineStr">
        <is>
          <t>PC-08</t>
        </is>
      </c>
      <c r="B16" s="43" t="inlineStr">
        <is>
          <t>Values</t>
        </is>
      </c>
      <c r="C16" s="43" t="inlineStr">
        <is>
          <t>Root / Indicator</t>
        </is>
      </c>
      <c r="D16" s="44" t="inlineStr">
        <is>
          <t>Determinate values normalize within min and max while indeterminate progress omits aria-valuenow.</t>
        </is>
      </c>
      <c r="E16" s="43" t="inlineStr">
        <is>
          <t>browser</t>
        </is>
      </c>
      <c r="F16" s="43" t="inlineStr">
        <is>
          <t>browser</t>
        </is>
      </c>
      <c r="G16" s="44" t="inlineStr">
        <is>
          <t>tests/components/progress-circle/behavior.spec.ts</t>
        </is>
      </c>
      <c r="H16" s="43" t="inlineStr">
        <is>
          <t>tested</t>
        </is>
      </c>
      <c r="I16" s="43" t="inlineStr">
        <is>
          <t>no</t>
        </is>
      </c>
      <c r="J16" s="45" t="n">
        <v>46230</v>
      </c>
      <c r="K16" s="44" t="inlineStr">
        <is>
          <t>Configured-browser semantic assertions pass.</t>
        </is>
      </c>
      <c r="L16" s="43" t="n">
        <v>1</v>
      </c>
      <c r="M16" s="43">
        <f>IF(OR(AND(I16="yes",H16="verified"),AND(I16="no",OR(H16="tested",H16="verified")),AND(H16="not applicable",K16&lt;&gt;"")),1,0)</f>
        <v/>
      </c>
    </row>
    <row r="17" ht="54" customHeight="1" s="34">
      <c r="A17" s="43" t="inlineStr">
        <is>
          <t>PC-09</t>
        </is>
      </c>
      <c r="B17" s="43" t="inlineStr">
        <is>
          <t>Geometry</t>
        </is>
      </c>
      <c r="C17" s="43" t="inlineStr">
        <is>
          <t>Circle / Indicator</t>
        </is>
      </c>
      <c r="D17" s="44" t="inlineStr">
        <is>
          <t>A fixed viewBox, radius, path length, and dash offset produce accurate unclipped progress at every size.</t>
        </is>
      </c>
      <c r="E17" s="43" t="inlineStr">
        <is>
          <t>browser</t>
        </is>
      </c>
      <c r="F17" s="43" t="inlineStr">
        <is>
          <t>browser</t>
        </is>
      </c>
      <c r="G17" s="44" t="inlineStr">
        <is>
          <t>tests/components/progress-circle/behavior.spec.ts</t>
        </is>
      </c>
      <c r="H17" s="43" t="inlineStr">
        <is>
          <t>tested</t>
        </is>
      </c>
      <c r="I17" s="43" t="inlineStr">
        <is>
          <t>no</t>
        </is>
      </c>
      <c r="J17" s="45" t="n">
        <v>46230</v>
      </c>
      <c r="K17" s="44" t="inlineStr">
        <is>
          <t>SVG geometry and ratio assertions pass.</t>
        </is>
      </c>
      <c r="L17" s="43" t="n">
        <v>1</v>
      </c>
      <c r="M17" s="43">
        <f>IF(OR(AND(I17="yes",H17="verified"),AND(I17="no",OR(H17="tested",H17="verified")),AND(H17="not applicable",K17&lt;&gt;"")),1,0)</f>
        <v/>
      </c>
    </row>
    <row r="18" ht="54" customHeight="1" s="34">
      <c r="A18" s="43" t="inlineStr">
        <is>
          <t>PC-10</t>
        </is>
      </c>
      <c r="B18" s="43" t="inlineStr">
        <is>
          <t>Recipes</t>
        </is>
      </c>
      <c r="C18" s="43" t="inlineStr">
        <is>
          <t>Root</t>
        </is>
      </c>
      <c r="D18" s="44" t="inlineStr">
        <is>
          <t>Six tones, five sizes, three stroke weights, and two caps preserve semantics and independent geometry.</t>
        </is>
      </c>
      <c r="E18" s="43" t="inlineStr">
        <is>
          <t>browser</t>
        </is>
      </c>
      <c r="F18" s="43" t="inlineStr">
        <is>
          <t>browser</t>
        </is>
      </c>
      <c r="G18" s="44" t="inlineStr">
        <is>
          <t>tests/components/progress-circle/behavior.spec.ts</t>
        </is>
      </c>
      <c r="H18" s="43" t="inlineStr">
        <is>
          <t>tested</t>
        </is>
      </c>
      <c r="I18" s="43" t="inlineStr">
        <is>
          <t>no</t>
        </is>
      </c>
      <c r="J18" s="45" t="n">
        <v>46230</v>
      </c>
      <c r="K18" s="44" t="inlineStr">
        <is>
          <t>Recipe matrix assertions pass.</t>
        </is>
      </c>
      <c r="L18" s="43" t="n">
        <v>1</v>
      </c>
      <c r="M18" s="43">
        <f>IF(OR(AND(I18="yes",H18="verified"),AND(I18="no",OR(H18="tested",H18="verified")),AND(H18="not applicable",K18&lt;&gt;"")),1,0)</f>
        <v/>
      </c>
    </row>
    <row r="19" ht="54" customHeight="1" s="34">
      <c r="A19" s="43" t="inlineStr">
        <is>
          <t>PC-11</t>
        </is>
      </c>
      <c r="B19" s="43" t="inlineStr">
        <is>
          <t>Direction</t>
        </is>
      </c>
      <c r="C19" s="43" t="inlineStr">
        <is>
          <t>Circle / Indicator</t>
        </is>
      </c>
      <c r="D19" s="44" t="inlineStr">
        <is>
          <t>Circular progress stays clockwise and uses identical geometry in LTR and RTL.</t>
        </is>
      </c>
      <c r="E19" s="43" t="inlineStr">
        <is>
          <t>browser</t>
        </is>
      </c>
      <c r="F19" s="43" t="inlineStr">
        <is>
          <t>browser</t>
        </is>
      </c>
      <c r="G19" s="44" t="inlineStr">
        <is>
          <t>tests/components/progress-circle/behavior.spec.ts</t>
        </is>
      </c>
      <c r="H19" s="43" t="inlineStr">
        <is>
          <t>tested</t>
        </is>
      </c>
      <c r="I19" s="43" t="inlineStr">
        <is>
          <t>no</t>
        </is>
      </c>
      <c r="J19" s="45" t="n">
        <v>46230</v>
      </c>
      <c r="K19" s="44" t="inlineStr">
        <is>
          <t>Computed transform parity passes.</t>
        </is>
      </c>
      <c r="L19" s="43" t="n">
        <v>1</v>
      </c>
      <c r="M19" s="43">
        <f>IF(OR(AND(I19="yes",H19="verified"),AND(I19="no",OR(H19="tested",H19="verified")),AND(H19="not applicable",K19&lt;&gt;"")),1,0)</f>
        <v/>
      </c>
    </row>
    <row r="20" ht="54" customHeight="1" s="34">
      <c r="A20" s="43" t="inlineStr">
        <is>
          <t>PC-12</t>
        </is>
      </c>
      <c r="B20" s="43" t="inlineStr">
        <is>
          <t>States</t>
        </is>
      </c>
      <c r="C20" s="43" t="inlineStr">
        <is>
          <t>Indicator</t>
        </is>
      </c>
      <c r="D20" s="44" t="inlineStr">
        <is>
          <t>Indeterminate, loading, and complete arcs remain recognizable and correctly normalized.</t>
        </is>
      </c>
      <c r="E20" s="43" t="inlineStr">
        <is>
          <t>browser</t>
        </is>
      </c>
      <c r="F20" s="43" t="inlineStr">
        <is>
          <t>visual</t>
        </is>
      </c>
      <c r="G20" s="44" t="inlineStr">
        <is>
          <t>tests/components/progress-circle/visual.spec.ts</t>
        </is>
      </c>
      <c r="H20" s="43" t="inlineStr">
        <is>
          <t>tested</t>
        </is>
      </c>
      <c r="I20" s="43" t="inlineStr">
        <is>
          <t>no</t>
        </is>
      </c>
      <c r="J20" s="45" t="n">
        <v>46230</v>
      </c>
      <c r="K20" s="44" t="inlineStr">
        <is>
          <t>Automated state baselines pass; owner manual review remains separate.</t>
        </is>
      </c>
      <c r="L20" s="43" t="n">
        <v>1</v>
      </c>
      <c r="M20" s="43">
        <f>IF(OR(AND(I20="yes",H20="verified"),AND(I20="no",OR(H20="tested",H20="verified")),AND(H20="not applicable",K20&lt;&gt;"")),1,0)</f>
        <v/>
      </c>
    </row>
    <row r="21" ht="54" customHeight="1" s="34">
      <c r="A21" s="43" t="inlineStr">
        <is>
          <t>PC-13</t>
        </is>
      </c>
      <c r="B21" s="43" t="inlineStr">
        <is>
          <t>Output</t>
        </is>
      </c>
      <c r="C21" s="43" t="inlineStr">
        <is>
          <t>Label / Value</t>
        </is>
      </c>
      <c r="D21" s="44" t="inlineStr">
        <is>
          <t>Visible Label supplies the accessible name and Value supports localized default or authored range output.</t>
        </is>
      </c>
      <c r="E21" s="43" t="inlineStr">
        <is>
          <t>browser</t>
        </is>
      </c>
      <c r="F21" s="43" t="inlineStr">
        <is>
          <t>browser</t>
        </is>
      </c>
      <c r="G21" s="44" t="inlineStr">
        <is>
          <t>tests/components/progress-circle/behavior.spec.ts</t>
        </is>
      </c>
      <c r="H21" s="43" t="inlineStr">
        <is>
          <t>tested</t>
        </is>
      </c>
      <c r="I21" s="43" t="inlineStr">
        <is>
          <t>no</t>
        </is>
      </c>
      <c r="J21" s="45" t="n">
        <v>46230</v>
      </c>
      <c r="K21" s="44" t="inlineStr">
        <is>
          <t>Name relationship and custom 3/5 output assertions pass.</t>
        </is>
      </c>
      <c r="L21" s="43" t="n">
        <v>1</v>
      </c>
      <c r="M21" s="43">
        <f>IF(OR(AND(I21="yes",H21="verified"),AND(I21="no",OR(H21="tested",H21="verified")),AND(H21="not applicable",K21&lt;&gt;"")),1,0)</f>
        <v/>
      </c>
    </row>
    <row r="22" ht="54" customHeight="1" s="34">
      <c r="A22" s="43" t="inlineStr">
        <is>
          <t>PC-14</t>
        </is>
      </c>
      <c r="B22" s="43" t="inlineStr">
        <is>
          <t>Responsive</t>
        </is>
      </c>
      <c r="C22" s="43" t="inlineStr">
        <is>
          <t>All parts</t>
        </is>
      </c>
      <c r="D22" s="44" t="inlineStr">
        <is>
          <t>Narrow, long-label, zoom, and RTL layouts keep rings square, centered, and unclipped.</t>
        </is>
      </c>
      <c r="E22" s="43" t="inlineStr">
        <is>
          <t>browser</t>
        </is>
      </c>
      <c r="F22" s="43" t="inlineStr">
        <is>
          <t>visual</t>
        </is>
      </c>
      <c r="G22" s="44" t="inlineStr">
        <is>
          <t>tests/components/progress-circle/visual.spec.ts</t>
        </is>
      </c>
      <c r="H22" s="43" t="inlineStr">
        <is>
          <t>tested</t>
        </is>
      </c>
      <c r="I22" s="43" t="inlineStr">
        <is>
          <t>no</t>
        </is>
      </c>
      <c r="J22" s="45" t="n">
        <v>46230</v>
      </c>
      <c r="K22" s="44" t="inlineStr">
        <is>
          <t>Automated responsive baselines and narrow containment pass.</t>
        </is>
      </c>
      <c r="L22" s="43" t="n">
        <v>1</v>
      </c>
      <c r="M22" s="43">
        <f>IF(OR(AND(I22="yes",H22="verified"),AND(I22="no",OR(H22="tested",H22="verified")),AND(H22="not applicable",K22&lt;&gt;"")),1,0)</f>
        <v/>
      </c>
    </row>
    <row r="23" ht="54" customHeight="1" s="34">
      <c r="A23" s="43" t="inlineStr">
        <is>
          <t>PC-15</t>
        </is>
      </c>
      <c r="B23" s="43" t="inlineStr">
        <is>
          <t>Preferences</t>
        </is>
      </c>
      <c r="C23" s="43" t="inlineStr">
        <is>
          <t>Circle / Indicator</t>
        </is>
      </c>
      <c r="D23" s="44" t="inlineStr">
        <is>
          <t>Reduced motion leaves a static recognizable arc and forced colors preserve both rings.</t>
        </is>
      </c>
      <c r="E23" s="43" t="inlineStr">
        <is>
          <t>browser</t>
        </is>
      </c>
      <c r="F23" s="43" t="inlineStr">
        <is>
          <t>visual</t>
        </is>
      </c>
      <c r="G23" s="44" t="inlineStr">
        <is>
          <t>tests/components/progress-circle/visual.spec.ts; tests/components/progress-circle/behavior.spec.ts</t>
        </is>
      </c>
      <c r="H23" s="43" t="inlineStr">
        <is>
          <t>tested</t>
        </is>
      </c>
      <c r="I23" s="43" t="inlineStr">
        <is>
          <t>no</t>
        </is>
      </c>
      <c r="J23" s="45" t="n">
        <v>46230</v>
      </c>
      <c r="K23" s="44" t="inlineStr">
        <is>
          <t>Preference-state automation passes.</t>
        </is>
      </c>
      <c r="L23" s="43" t="n">
        <v>1</v>
      </c>
      <c r="M23" s="43">
        <f>IF(OR(AND(I23="yes",H23="verified"),AND(I23="no",OR(H23="tested",H23="verified")),AND(H23="not applicable",K23&lt;&gt;"")),1,0)</f>
        <v/>
      </c>
    </row>
    <row r="24" ht="54" customHeight="1" s="34">
      <c r="A24" s="43" t="inlineStr">
        <is>
          <t>PC-16</t>
        </is>
      </c>
      <c r="B24" s="43" t="inlineStr">
        <is>
          <t>Accessibility</t>
        </is>
      </c>
      <c r="C24" s="43" t="inlineStr">
        <is>
          <t>Root / SVG</t>
        </is>
      </c>
      <c r="D24" s="44" t="inlineStr">
        <is>
          <t>One named progressbar exposes the correct range/value state, decorative SVG stays silent, and the route passes axe.</t>
        </is>
      </c>
      <c r="E24" s="43" t="inlineStr">
        <is>
          <t>browser</t>
        </is>
      </c>
      <c r="F24" s="43" t="inlineStr">
        <is>
          <t>axe</t>
        </is>
      </c>
      <c r="G24" s="44" t="inlineStr">
        <is>
          <t>tests/components/progress-circle/behavior.spec.ts</t>
        </is>
      </c>
      <c r="H24" s="43" t="inlineStr">
        <is>
          <t>tested</t>
        </is>
      </c>
      <c r="I24" s="43" t="inlineStr">
        <is>
          <t>no</t>
        </is>
      </c>
      <c r="J24" s="45" t="n">
        <v>46230</v>
      </c>
      <c r="K24" s="44" t="inlineStr">
        <is>
          <t>Semantic and axe assertions pass.</t>
        </is>
      </c>
      <c r="L24" s="43" t="n">
        <v>1</v>
      </c>
      <c r="M24" s="43">
        <f>IF(OR(AND(I24="yes",H24="verified"),AND(I24="no",OR(H24="tested",H24="verified")),AND(H24="not applicable",K24&lt;&gt;"")),1,0)</f>
        <v/>
      </c>
    </row>
    <row r="25" ht="54" customHeight="1" s="34">
      <c r="A25" s="43" t="inlineStr">
        <is>
          <t>PC-17</t>
        </is>
      </c>
      <c r="B25" s="43" t="inlineStr">
        <is>
          <t>Playground</t>
        </is>
      </c>
      <c r="C25" s="43" t="inlineStr">
        <is>
          <t>Progress Circle</t>
        </is>
      </c>
      <c r="D25" s="44" t="inlineStr">
        <is>
          <t>One navigable route exposes nine persistent scenarios from overview through stress.</t>
        </is>
      </c>
      <c r="E25" s="43" t="inlineStr">
        <is>
          <t>package</t>
        </is>
      </c>
      <c r="F25" s="43" t="inlineStr">
        <is>
          <t>playground</t>
        </is>
      </c>
      <c r="G25" s="44" t="inlineStr">
        <is>
          <t>src/components/progress-circle/ProgressCirclePage.tsx</t>
        </is>
      </c>
      <c r="H25" s="43" t="inlineStr">
        <is>
          <t>tested</t>
        </is>
      </c>
      <c r="I25" s="43" t="inlineStr">
        <is>
          <t>no</t>
        </is>
      </c>
      <c r="J25" s="45" t="n">
        <v>46230</v>
      </c>
      <c r="K25" s="44" t="inlineStr">
        <is>
          <t>Route registration and playground build pass.</t>
        </is>
      </c>
      <c r="L25" s="43" t="n">
        <v>1</v>
      </c>
      <c r="M25" s="43">
        <f>IF(OR(AND(I25="yes",H25="verified"),AND(I25="no",OR(H25="tested",H25="verified")),AND(H25="not applicable",K25&lt;&gt;"")),1,0)</f>
        <v/>
      </c>
    </row>
    <row r="26" ht="54" customHeight="1" s="34">
      <c r="A26" s="43" t="inlineStr">
        <is>
          <t>PC-18</t>
        </is>
      </c>
      <c r="B26" s="43" t="inlineStr">
        <is>
          <t>Documentation</t>
        </is>
      </c>
      <c r="C26" s="43" t="inlineStr">
        <is>
          <t>Progress Circle</t>
        </is>
      </c>
      <c r="D26" s="44" t="inlineStr">
        <is>
          <t>The public guide documents anatomy, API, defaults, recipes, geometry, accessibility, CSS, and exclusions.</t>
        </is>
      </c>
      <c r="E26" s="43" t="inlineStr">
        <is>
          <t>package</t>
        </is>
      </c>
      <c r="F26" s="43" t="inlineStr">
        <is>
          <t>docs</t>
        </is>
      </c>
      <c r="G26" s="44" t="inlineStr">
        <is>
          <t>../docs/components/progress-circle/README.md</t>
        </is>
      </c>
      <c r="H26" s="43" t="inlineStr">
        <is>
          <t>tested</t>
        </is>
      </c>
      <c r="I26" s="43" t="inlineStr">
        <is>
          <t>no</t>
        </is>
      </c>
      <c r="J26" s="45" t="n">
        <v>46230</v>
      </c>
      <c r="K26" s="44" t="inlineStr">
        <is>
          <t>Documentation verification passes.</t>
        </is>
      </c>
      <c r="L26" s="43" t="n">
        <v>1</v>
      </c>
      <c r="M26" s="43">
        <f>IF(OR(AND(I26="yes",H26="verified"),AND(I26="no",OR(H26="tested",H26="verified")),AND(H26="not applicable",K26&lt;&gt;"")),1,0)</f>
        <v/>
      </c>
    </row>
    <row r="27" ht="54" customHeight="1" s="34">
      <c r="A27" s="43" t="inlineStr">
        <is>
          <t>PC-19</t>
        </is>
      </c>
      <c r="B27" s="43" t="inlineStr">
        <is>
          <t>Changelog</t>
        </is>
      </c>
      <c r="C27" s="43" t="inlineStr">
        <is>
          <t>Progress Circle</t>
        </is>
      </c>
      <c r="D27" s="44" t="inlineStr">
        <is>
          <t>Component and package changelogs record the complete consumer-visible addition.</t>
        </is>
      </c>
      <c r="E27" s="43" t="inlineStr">
        <is>
          <t>package</t>
        </is>
      </c>
      <c r="F27" s="43" t="inlineStr">
        <is>
          <t>docs</t>
        </is>
      </c>
      <c r="G27" s="44" t="inlineStr">
        <is>
          <t>../docs/components/progress-circle/CHANGELOG.md; ../CHANGELOG.md</t>
        </is>
      </c>
      <c r="H27" s="43" t="inlineStr">
        <is>
          <t>tested</t>
        </is>
      </c>
      <c r="I27" s="43" t="inlineStr">
        <is>
          <t>no</t>
        </is>
      </c>
      <c r="J27" s="45" t="n">
        <v>46230</v>
      </c>
      <c r="K27" s="44" t="inlineStr">
        <is>
          <t>Changelog ownership checks pass.</t>
        </is>
      </c>
      <c r="L27" s="43" t="n">
        <v>1</v>
      </c>
      <c r="M27" s="43">
        <f>IF(OR(AND(I27="yes",H27="verified"),AND(I27="no",OR(H27="tested",H27="verified")),AND(H27="not applicable",K27&lt;&gt;"")),1,0)</f>
        <v/>
      </c>
    </row>
    <row r="28" ht="54" customHeight="1" s="34">
      <c r="A28" s="43" t="inlineStr">
        <is>
          <t>PC-20</t>
        </is>
      </c>
      <c r="B28" s="43" t="inlineStr">
        <is>
          <t>Consumer</t>
        </is>
      </c>
      <c r="C28" s="43" t="inlineStr">
        <is>
          <t>Progress Circle</t>
        </is>
      </c>
      <c r="D28" s="44" t="inlineStr">
        <is>
          <t>Packed Consumer imports the focused subpath and composes determinate custom-range and indeterminate rings.</t>
        </is>
      </c>
      <c r="E28" s="43" t="inlineStr">
        <is>
          <t>consumer</t>
        </is>
      </c>
      <c r="F28" s="43" t="inlineStr">
        <is>
          <t>consumer</t>
        </is>
      </c>
      <c r="G28" s="44" t="inlineStr">
        <is>
          <t>../apps/consumer/src/App.tsx</t>
        </is>
      </c>
      <c r="H28" s="43" t="inlineStr">
        <is>
          <t>tested</t>
        </is>
      </c>
      <c r="I28" s="43" t="inlineStr">
        <is>
          <t>no</t>
        </is>
      </c>
      <c r="J28" s="45" t="n">
        <v>46230</v>
      </c>
      <c r="K28" s="44" t="inlineStr">
        <is>
          <t>Packed Consumer verification passes.</t>
        </is>
      </c>
      <c r="L28" s="43" t="n">
        <v>1</v>
      </c>
      <c r="M28" s="43">
        <f>IF(OR(AND(I28="yes",H28="verified"),AND(I28="no",OR(H28="tested",H28="verified")),AND(H28="not applicable",K28&lt;&gt;"")),1,0)</f>
        <v/>
      </c>
    </row>
    <row r="29" ht="54" customHeight="1" s="34">
      <c r="A29" s="43" t="inlineStr">
        <is>
          <t>PC-21</t>
        </is>
      </c>
      <c r="B29" s="43" t="inlineStr">
        <is>
          <t>Manual</t>
        </is>
      </c>
      <c r="C29" s="43" t="inlineStr">
        <is>
          <t>Progress Circle</t>
        </is>
      </c>
      <c r="D29" s="44" t="inlineStr">
        <is>
          <t>Owner executes the visual, responsive, direction, preference, and assistive-technology protocol.</t>
        </is>
      </c>
      <c r="E29" s="43" t="inlineStr">
        <is>
          <t>human</t>
        </is>
      </c>
      <c r="F29" s="43" t="inlineStr">
        <is>
          <t>manual</t>
        </is>
      </c>
      <c r="G29" s="44" t="inlineStr">
        <is>
          <t>manual-tests/progress-circle.md</t>
        </is>
      </c>
      <c r="H29" s="43" t="inlineStr">
        <is>
          <t>not started</t>
        </is>
      </c>
      <c r="I29" s="43" t="inlineStr">
        <is>
          <t>yes</t>
        </is>
      </c>
      <c r="J29" s="45" t="n">
        <v>46230</v>
      </c>
      <c r="K29" s="44" t="inlineStr">
        <is>
          <t>Human run intentionally unclaimed.</t>
        </is>
      </c>
      <c r="L29" s="43" t="n">
        <v>1</v>
      </c>
      <c r="M29" s="43">
        <f>IF(OR(AND(I29="yes",H29="verified"),AND(I29="no",OR(H29="tested",H29="verified")),AND(H29="not applicable",K29&lt;&gt;"")),1,0)</f>
        <v/>
      </c>
    </row>
    <row r="30" ht="54" customHeight="1" s="34">
      <c r="A30" s="43" t="inlineStr">
        <is>
          <t>PC-22</t>
        </is>
      </c>
      <c r="B30" s="43" t="inlineStr">
        <is>
          <t>Package</t>
        </is>
      </c>
      <c r="C30" s="43" t="inlineStr">
        <is>
          <t>Progress Circle</t>
        </is>
      </c>
      <c r="D30" s="44" t="inlineStr">
        <is>
          <t>Build, declarations, exports, SSR, CSS, docs, tarball, consumers, browser matrix, and CI pass.</t>
        </is>
      </c>
      <c r="E30" s="43" t="inlineStr">
        <is>
          <t>package</t>
        </is>
      </c>
      <c r="F30" s="43" t="inlineStr">
        <is>
          <t>package</t>
        </is>
      </c>
      <c r="G30" s="44" t="inlineStr">
        <is>
          <t>../scripts/verify-package.mjs</t>
        </is>
      </c>
      <c r="H30" s="43" t="inlineStr">
        <is>
          <t>tested</t>
        </is>
      </c>
      <c r="I30" s="43" t="inlineStr">
        <is>
          <t>no</t>
        </is>
      </c>
      <c r="J30" s="45" t="n">
        <v>46230</v>
      </c>
      <c r="K30" s="44" t="inlineStr">
        <is>
          <t>Automated release qualification passed with the component implementation.</t>
        </is>
      </c>
      <c r="L30" s="43" t="n">
        <v>1</v>
      </c>
      <c r="M30" s="43">
        <f>IF(OR(AND(I30="yes",H30="verified"),AND(I30="no",OR(H30="tested",H30="verified")),AND(H30="not applicable",K30&lt;&gt;"")),1,0)</f>
        <v/>
      </c>
    </row>
  </sheetData>
  <mergeCells count="2">
    <mergeCell ref="A2:M2"/>
    <mergeCell ref="A1:M1"/>
  </mergeCells>
  <conditionalFormatting sqref="H9:H30">
    <cfRule type="expression" rank="0" priority="2" equalAverage="0" aboveAverage="0" dxfId="12" text="" percent="0" bottom="0">
      <formula>H9="verified"</formula>
    </cfRule>
  </conditionalFormatting>
  <dataValidations count="2">
    <dataValidation sqref="H9:H30" showDropDown="0" showInputMessage="0" showErrorMessage="0" allowBlank="0" type="list" errorStyle="stop" operator="between">
      <formula1>"not started,partial,implemented,tested,verified,blocked,not applicable"</formula1>
      <formula2>0</formula2>
    </dataValidation>
    <dataValidation sqref="I9:I30"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0.xml><?xml version="1.0" encoding="utf-8"?>
<worksheet xmlns="http://schemas.openxmlformats.org/spreadsheetml/2006/main">
  <sheetPr filterMode="0">
    <outlinePr summaryBelow="1" summaryRight="1"/>
    <pageSetUpPr fitToPage="0"/>
  </sheetPr>
  <dimension ref="A1:M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Carousel Evidence</t>
        </is>
      </c>
    </row>
    <row r="2" ht="27.75" customHeight="1" s="34">
      <c r="A2" s="36" t="inlineStr">
        <is>
          <t>Atom-backed selection and rotation, optional finished controls, picker dots, visual recipes, responsive containment, package, documentation, Consumer, and accessibility evidence.</t>
        </is>
      </c>
    </row>
    <row r="4" ht="17.25" customHeight="1" s="34">
      <c r="A4" s="37" t="inlineStr">
        <is>
          <t>Requirements</t>
        </is>
      </c>
      <c r="B4" s="38">
        <f>COUNTA(A9:A33)</f>
        <v/>
      </c>
      <c r="D4" s="37" t="inlineStr">
        <is>
          <t>Resolved</t>
        </is>
      </c>
      <c r="E4" s="38">
        <f>SUM(M9:M33)</f>
        <v/>
      </c>
      <c r="G4" s="37" t="inlineStr">
        <is>
          <t>Completion</t>
        </is>
      </c>
      <c r="H4" s="39">
        <f>IF(B4=0,0,E4/B4)</f>
        <v/>
      </c>
      <c r="J4" s="37" t="inlineStr">
        <is>
          <t>Package gate</t>
        </is>
      </c>
      <c r="K4" s="38">
        <f>IF(COUNTIFS(E9:E33,"package",M9:M33,0)&gt;0,"open","complete")</f>
        <v/>
      </c>
    </row>
    <row r="5" ht="17.25" customHeight="1" s="34">
      <c r="A5" s="37" t="inlineStr">
        <is>
          <t>Manual review</t>
        </is>
      </c>
      <c r="B5" s="38">
        <f>IF(COUNTIFS(I9:I33,"yes",M9:M33,0)&gt;0,"open","complete")</f>
        <v/>
      </c>
      <c r="D5" s="37" t="inlineStr">
        <is>
          <t>Consumer gate</t>
        </is>
      </c>
      <c r="E5" s="38">
        <f>IF(COUNTIFS(E9:E33,"consumer",M9:M33,0)&gt;0,"open","complete")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CA-01</t>
        </is>
      </c>
      <c r="B9" s="43" t="inlineStr">
        <is>
          <t>Ownership</t>
        </is>
      </c>
      <c r="C9" s="43" t="inlineStr">
        <is>
          <t>All parts</t>
        </is>
      </c>
      <c r="D9" s="44" t="inlineStr">
        <is>
          <t>Brick styles published Atom 0.22.2 Carousel behavior without recreating selection, scroll settlement, rotation, or semantics.</t>
        </is>
      </c>
      <c r="E9" s="43" t="inlineStr">
        <is>
          <t>package</t>
        </is>
      </c>
      <c r="F9" s="43" t="inlineStr">
        <is>
          <t>source</t>
        </is>
      </c>
      <c r="G9" s="44" t="inlineStr">
        <is>
          <t>../src/components/carousel/Carousel.tsx; ../package.json</t>
        </is>
      </c>
      <c r="H9" s="43" t="inlineStr">
        <is>
          <t>tested</t>
        </is>
      </c>
      <c r="I9" s="43" t="inlineStr">
        <is>
          <t>no</t>
        </is>
      </c>
      <c r="J9" s="45" t="n">
        <v>46241</v>
      </c>
      <c r="K9" s="44" t="n"/>
      <c r="L9" s="43" t="n">
        <v>1</v>
      </c>
      <c r="M9" s="43">
        <f>IF(OR(AND(I9="yes",H9="verified"),AND(I9="no",OR(H9="tested",H9="verified")),AND(H9="not applicable",K9&lt;&gt;"")),1,0)</f>
        <v/>
      </c>
    </row>
    <row r="10" ht="54" customHeight="1" s="34">
      <c r="A10" s="43" t="inlineStr">
        <is>
          <t>CA-02</t>
        </is>
      </c>
      <c r="B10" s="43" t="inlineStr">
        <is>
          <t>API</t>
        </is>
      </c>
      <c r="C10" s="43" t="inlineStr">
        <is>
          <t>All parts</t>
        </is>
      </c>
      <c r="D10" s="44" t="inlineStr">
        <is>
          <t>Eleven-part namespace and named exports expose behavioral and Brick-only structural parts.</t>
        </is>
      </c>
      <c r="E10" s="43" t="inlineStr">
        <is>
          <t>package</t>
        </is>
      </c>
      <c r="F10" s="43" t="inlineStr">
        <is>
          <t>component</t>
        </is>
      </c>
      <c r="G10" s="44" t="inlineStr">
        <is>
          <t>../test/components/carousel/carousel.test.tsx</t>
        </is>
      </c>
      <c r="H10" s="43" t="inlineStr">
        <is>
          <t>tested</t>
        </is>
      </c>
      <c r="I10" s="43" t="inlineStr">
        <is>
          <t>no</t>
        </is>
      </c>
      <c r="J10" s="45" t="n">
        <v>46241</v>
      </c>
      <c r="K10" s="44" t="n"/>
      <c r="L10" s="43" t="n">
        <v>1</v>
      </c>
      <c r="M10" s="43">
        <f>IF(OR(AND(I10="yes",H10="verified"),AND(I10="no",OR(H10="tested",H10="verified")),AND(H10="not applicable",K10&lt;&gt;"")),1,0)</f>
        <v/>
      </c>
    </row>
    <row r="11" ht="54" customHeight="1" s="34">
      <c r="A11" s="43" t="inlineStr">
        <is>
          <t>CA-03</t>
        </is>
      </c>
      <c r="B11" s="43" t="inlineStr">
        <is>
          <t>Anatomy</t>
        </is>
      </c>
      <c r="C11" s="43" t="inlineStr">
        <is>
          <t>All parts</t>
        </is>
      </c>
      <c r="D11" s="44" t="inlineStr">
        <is>
          <t>Root, Viewport, Track, Slide, native controls, picker, and structural wrappers preserve exact refs and hooks.</t>
        </is>
      </c>
      <c r="E11" s="43" t="inlineStr">
        <is>
          <t>package</t>
        </is>
      </c>
      <c r="F11" s="43" t="inlineStr">
        <is>
          <t>component</t>
        </is>
      </c>
      <c r="G11" s="44" t="inlineStr">
        <is>
          <t>../test/components/carousel/carousel.test.tsx</t>
        </is>
      </c>
      <c r="H11" s="43" t="inlineStr">
        <is>
          <t>tested</t>
        </is>
      </c>
      <c r="I11" s="43" t="inlineStr">
        <is>
          <t>no</t>
        </is>
      </c>
      <c r="J11" s="45" t="n">
        <v>46241</v>
      </c>
      <c r="K11" s="44" t="n"/>
      <c r="L11" s="43" t="n">
        <v>1</v>
      </c>
      <c r="M11" s="43">
        <f>IF(OR(AND(I11="yes",H11="verified"),AND(I11="no",OR(H11="tested",H11="verified")),AND(H11="not applicable",K11&lt;&gt;"")),1,0)</f>
        <v/>
      </c>
    </row>
    <row r="12" ht="54" customHeight="1" s="34">
      <c r="A12" s="43" t="inlineStr">
        <is>
          <t>CA-04</t>
        </is>
      </c>
      <c r="B12" s="43" t="inlineStr">
        <is>
          <t>Types</t>
        </is>
      </c>
      <c r="C12" s="43" t="inlineStr">
        <is>
          <t>Public surface</t>
        </is>
      </c>
      <c r="D12" s="44" t="inlineStr">
        <is>
          <t>Closed sizes and placements plus Atom state, rotation, native composition, and ref props type-check.</t>
        </is>
      </c>
      <c r="E12" s="43" t="inlineStr">
        <is>
          <t>package</t>
        </is>
      </c>
      <c r="F12" s="43" t="inlineStr">
        <is>
          <t>types</t>
        </is>
      </c>
      <c r="G12" s="44" t="inlineStr">
        <is>
          <t>../test/types/components/carousel.test.ts</t>
        </is>
      </c>
      <c r="H12" s="43" t="inlineStr">
        <is>
          <t>tested</t>
        </is>
      </c>
      <c r="I12" s="43" t="inlineStr">
        <is>
          <t>no</t>
        </is>
      </c>
      <c r="J12" s="45" t="n">
        <v>46241</v>
      </c>
      <c r="K12" s="44" t="n"/>
      <c r="L12" s="43" t="n">
        <v>1</v>
      </c>
      <c r="M12" s="43">
        <f>IF(OR(AND(I12="yes",H12="verified"),AND(I12="no",OR(H12="tested",H12="verified")),AND(H12="not applicable",K12&lt;&gt;"")),1,0)</f>
        <v/>
      </c>
    </row>
    <row r="13" ht="54" customHeight="1" s="34">
      <c r="A13" s="43" t="inlineStr">
        <is>
          <t>CA-05</t>
        </is>
      </c>
      <c r="B13" s="43" t="inlineStr">
        <is>
          <t>Exports</t>
        </is>
      </c>
      <c r="C13" s="43" t="inlineStr">
        <is>
          <t>All parts</t>
        </is>
      </c>
      <c r="D13" s="44" t="inlineStr">
        <is>
          <t>Root and carousel subpath exports preserve namespace and named runtime identity.</t>
        </is>
      </c>
      <c r="E13" s="43" t="inlineStr">
        <is>
          <t>package</t>
        </is>
      </c>
      <c r="F13" s="43" t="inlineStr">
        <is>
          <t>package</t>
        </is>
      </c>
      <c r="G13" s="44" t="inlineStr">
        <is>
          <t>../test/package/package.test.mjs</t>
        </is>
      </c>
      <c r="H13" s="43" t="inlineStr">
        <is>
          <t>tested</t>
        </is>
      </c>
      <c r="I13" s="43" t="inlineStr">
        <is>
          <t>no</t>
        </is>
      </c>
      <c r="J13" s="45" t="n">
        <v>46241</v>
      </c>
      <c r="K13" s="44" t="n"/>
      <c r="L13" s="43" t="n">
        <v>1</v>
      </c>
      <c r="M13" s="43">
        <f>IF(OR(AND(I13="yes",H13="verified"),AND(I13="no",OR(H13="tested",H13="verified")),AND(H13="not applicable",K13&lt;&gt;"")),1,0)</f>
        <v/>
      </c>
    </row>
    <row r="14" ht="54" customHeight="1" s="34">
      <c r="A14" s="43" t="inlineStr">
        <is>
          <t>CA-06</t>
        </is>
      </c>
      <c r="B14" s="43" t="inlineStr">
        <is>
          <t>Styles</t>
        </is>
      </c>
      <c r="C14" s="43" t="inlineStr">
        <is>
          <t>Delivery</t>
        </is>
      </c>
      <c r="D14" s="44" t="inlineStr">
        <is>
          <t>Complete and modular CSS include Carousel and Icon recipes without duplicating foundations.</t>
        </is>
      </c>
      <c r="E14" s="43" t="inlineStr">
        <is>
          <t>package</t>
        </is>
      </c>
      <c r="F14" s="43" t="inlineStr">
        <is>
          <t>package</t>
        </is>
      </c>
      <c r="G14" s="44" t="inlineStr">
        <is>
          <t>../test/package/package.test.mjs; ../scripts/css-entrypoints.mjs</t>
        </is>
      </c>
      <c r="H14" s="43" t="inlineStr">
        <is>
          <t>tested</t>
        </is>
      </c>
      <c r="I14" s="43" t="inlineStr">
        <is>
          <t>no</t>
        </is>
      </c>
      <c r="J14" s="45" t="n">
        <v>46241</v>
      </c>
      <c r="K14" s="44" t="n"/>
      <c r="L14" s="43" t="n">
        <v>1</v>
      </c>
      <c r="M14" s="43">
        <f>IF(OR(AND(I14="yes",H14="verified"),AND(I14="no",OR(H14="tested",H14="verified")),AND(H14="not applicable",K14&lt;&gt;"")),1,0)</f>
        <v/>
      </c>
    </row>
    <row r="15" ht="54" customHeight="1" s="34">
      <c r="A15" s="43" t="inlineStr">
        <is>
          <t>CA-07</t>
        </is>
      </c>
      <c r="B15" s="43" t="inlineStr">
        <is>
          <t>Defaults</t>
        </is>
      </c>
      <c r="C15" s="43" t="inlineStr">
        <is>
          <t>Root</t>
        </is>
      </c>
      <c r="D15" s="44" t="inlineStr">
        <is>
          <t>Medium size and overlay placement are stable defaults.</t>
        </is>
      </c>
      <c r="E15" s="43" t="inlineStr">
        <is>
          <t>package</t>
        </is>
      </c>
      <c r="F15" s="43" t="inlineStr">
        <is>
          <t>component</t>
        </is>
      </c>
      <c r="G15" s="44" t="inlineStr">
        <is>
          <t>../test/components/carousel/carousel.test.tsx</t>
        </is>
      </c>
      <c r="H15" s="43" t="inlineStr">
        <is>
          <t>tested</t>
        </is>
      </c>
      <c r="I15" s="43" t="inlineStr">
        <is>
          <t>no</t>
        </is>
      </c>
      <c r="J15" s="45" t="n">
        <v>46241</v>
      </c>
      <c r="K15" s="44" t="n"/>
      <c r="L15" s="43" t="n">
        <v>1</v>
      </c>
      <c r="M15" s="43">
        <f>IF(OR(AND(I15="yes",H15="verified"),AND(I15="no",OR(H15="tested",H15="verified")),AND(H15="not applicable",K15&lt;&gt;"")),1,0)</f>
        <v/>
      </c>
    </row>
    <row r="16" ht="54" customHeight="1" s="34">
      <c r="A16" s="43" t="inlineStr">
        <is>
          <t>CA-08</t>
        </is>
      </c>
      <c r="B16" s="43" t="inlineStr">
        <is>
          <t>Controls</t>
        </is>
      </c>
      <c r="C16" s="43" t="inlineStr">
        <is>
          <t>Optional</t>
        </is>
      </c>
      <c r="D16" s="44" t="inlineStr">
        <is>
          <t>A manual Carousel may omit every visible control or author picker-only navigation.</t>
        </is>
      </c>
      <c r="E16" s="43" t="inlineStr">
        <is>
          <t>package</t>
        </is>
      </c>
      <c r="F16" s="43" t="inlineStr">
        <is>
          <t>browser</t>
        </is>
      </c>
      <c r="G16" s="44" t="inlineStr">
        <is>
          <t>tests/components/carousel/behavior.spec.ts</t>
        </is>
      </c>
      <c r="H16" s="43" t="inlineStr">
        <is>
          <t>tested</t>
        </is>
      </c>
      <c r="I16" s="43" t="inlineStr">
        <is>
          <t>no</t>
        </is>
      </c>
      <c r="J16" s="45" t="n">
        <v>46241</v>
      </c>
      <c r="K16" s="44" t="n"/>
      <c r="L16" s="43" t="n">
        <v>1</v>
      </c>
      <c r="M16" s="43">
        <f>IF(OR(AND(I16="yes",H16="verified"),AND(I16="no",OR(H16="tested",H16="verified")),AND(H16="not applicable",K16&lt;&gt;"")),1,0)</f>
        <v/>
      </c>
    </row>
    <row r="17" ht="54" customHeight="1" s="34">
      <c r="A17" s="43" t="inlineStr">
        <is>
          <t>CA-09</t>
        </is>
      </c>
      <c r="B17" s="43" t="inlineStr">
        <is>
          <t>Autoplay</t>
        </is>
      </c>
      <c r="C17" s="43" t="inlineStr">
        <is>
          <t>RotationControl</t>
        </is>
      </c>
      <c r="D17" s="44" t="inlineStr">
        <is>
          <t>Automatic rotation exposes stop/start, Previous, and Next and survives the focus-click ordering contract.</t>
        </is>
      </c>
      <c r="E17" s="43" t="inlineStr">
        <is>
          <t>package</t>
        </is>
      </c>
      <c r="F17" s="43" t="inlineStr">
        <is>
          <t>browser</t>
        </is>
      </c>
      <c r="G17" s="44" t="inlineStr">
        <is>
          <t>tests/components/carousel/behavior.spec.ts</t>
        </is>
      </c>
      <c r="H17" s="43" t="inlineStr">
        <is>
          <t>tested</t>
        </is>
      </c>
      <c r="I17" s="43" t="inlineStr">
        <is>
          <t>no</t>
        </is>
      </c>
      <c r="J17" s="45" t="n">
        <v>46241</v>
      </c>
      <c r="K17" s="44" t="n"/>
      <c r="L17" s="43" t="n">
        <v>1</v>
      </c>
      <c r="M17" s="43">
        <f>IF(OR(AND(I17="yes",H17="verified"),AND(I17="no",OR(H17="tested",H17="verified")),AND(H17="not applicable",K17&lt;&gt;"")),1,0)</f>
        <v/>
      </c>
    </row>
    <row r="18" ht="54" customHeight="1" s="34">
      <c r="A18" s="43" t="inlineStr">
        <is>
          <t>CA-10</t>
        </is>
      </c>
      <c r="B18" s="43" t="inlineStr">
        <is>
          <t>Selection</t>
        </is>
      </c>
      <c r="C18" s="43" t="inlineStr">
        <is>
          <t>Picker</t>
        </is>
      </c>
      <c r="D18" s="44" t="inlineStr">
        <is>
          <t>Named picker dots select peer slides and expose active state without Tabs semantics.</t>
        </is>
      </c>
      <c r="E18" s="43" t="inlineStr">
        <is>
          <t>package</t>
        </is>
      </c>
      <c r="F18" s="43" t="inlineStr">
        <is>
          <t>browser</t>
        </is>
      </c>
      <c r="G18" s="44" t="inlineStr">
        <is>
          <t>tests/components/carousel/behavior.spec.ts</t>
        </is>
      </c>
      <c r="H18" s="43" t="inlineStr">
        <is>
          <t>tested</t>
        </is>
      </c>
      <c r="I18" s="43" t="inlineStr">
        <is>
          <t>no</t>
        </is>
      </c>
      <c r="J18" s="45" t="n">
        <v>46241</v>
      </c>
      <c r="K18" s="44" t="n"/>
      <c r="L18" s="43" t="n">
        <v>1</v>
      </c>
      <c r="M18" s="43">
        <f>IF(OR(AND(I18="yes",H18="verified"),AND(I18="no",OR(H18="tested",H18="verified")),AND(H18="not applicable",K18&lt;&gt;"")),1,0)</f>
        <v/>
      </c>
    </row>
    <row r="19" ht="54" customHeight="1" s="34">
      <c r="A19" s="43" t="inlineStr">
        <is>
          <t>CA-11</t>
        </is>
      </c>
      <c r="B19" s="43" t="inlineStr">
        <is>
          <t>Navigation</t>
        </is>
      </c>
      <c r="C19" s="43" t="inlineStr">
        <is>
          <t>Previous / Next</t>
        </is>
      </c>
      <c r="D19" s="44" t="inlineStr">
        <is>
          <t>Logical controls select adjacent slides and preserve Atom boundary and loop rules.</t>
        </is>
      </c>
      <c r="E19" s="43" t="inlineStr">
        <is>
          <t>package</t>
        </is>
      </c>
      <c r="F19" s="43" t="inlineStr">
        <is>
          <t>browser</t>
        </is>
      </c>
      <c r="G19" s="44" t="inlineStr">
        <is>
          <t>tests/components/carousel/behavior.spec.ts</t>
        </is>
      </c>
      <c r="H19" s="43" t="inlineStr">
        <is>
          <t>tested</t>
        </is>
      </c>
      <c r="I19" s="43" t="inlineStr">
        <is>
          <t>no</t>
        </is>
      </c>
      <c r="J19" s="45" t="n">
        <v>46241</v>
      </c>
      <c r="K19" s="44" t="n"/>
      <c r="L19" s="43" t="n">
        <v>1</v>
      </c>
      <c r="M19" s="43">
        <f>IF(OR(AND(I19="yes",H19="verified"),AND(I19="no",OR(H19="tested",H19="verified")),AND(H19="not applicable",K19&lt;&gt;"")),1,0)</f>
        <v/>
      </c>
    </row>
    <row r="20" ht="54" customHeight="1" s="34">
      <c r="A20" s="43" t="inlineStr">
        <is>
          <t>CA-12</t>
        </is>
      </c>
      <c r="B20" s="43" t="inlineStr">
        <is>
          <t>Media</t>
        </is>
      </c>
      <c r="C20" s="43" t="inlineStr">
        <is>
          <t>Viewport / Track</t>
        </is>
      </c>
      <c r="D20" s="44" t="inlineStr">
        <is>
          <t>Native horizontal scrolling, one-slide snap geometry, and hidden scrollbars preserve touch interaction.</t>
        </is>
      </c>
      <c r="E20" s="43" t="inlineStr">
        <is>
          <t>package</t>
        </is>
      </c>
      <c r="F20" s="43" t="inlineStr">
        <is>
          <t>browser</t>
        </is>
      </c>
      <c r="G20" s="44" t="inlineStr">
        <is>
          <t>tests/components/carousel/behavior.spec.ts</t>
        </is>
      </c>
      <c r="H20" s="43" t="inlineStr">
        <is>
          <t>tested</t>
        </is>
      </c>
      <c r="I20" s="43" t="inlineStr">
        <is>
          <t>no</t>
        </is>
      </c>
      <c r="J20" s="45" t="n">
        <v>46241</v>
      </c>
      <c r="K20" s="44" t="n"/>
      <c r="L20" s="43" t="n">
        <v>1</v>
      </c>
      <c r="M20" s="43">
        <f>IF(OR(AND(I20="yes",H20="verified"),AND(I20="no",OR(H20="tested",H20="verified")),AND(H20="not applicable",K20&lt;&gt;"")),1,0)</f>
        <v/>
      </c>
    </row>
    <row r="21" ht="54" customHeight="1" s="34">
      <c r="A21" s="43" t="inlineStr">
        <is>
          <t>CA-13</t>
        </is>
      </c>
      <c r="B21" s="43" t="inlineStr">
        <is>
          <t>Accessibility</t>
        </is>
      </c>
      <c r="C21" s="43" t="inlineStr">
        <is>
          <t>Slides</t>
        </is>
      </c>
      <c r="D21" s="44" t="inlineStr">
        <is>
          <t>Inactive slides remain inert and assistive-hidden while the active labelled group remains available.</t>
        </is>
      </c>
      <c r="E21" s="43" t="inlineStr">
        <is>
          <t>package</t>
        </is>
      </c>
      <c r="F21" s="43" t="inlineStr">
        <is>
          <t>component</t>
        </is>
      </c>
      <c r="G21" s="44" t="inlineStr">
        <is>
          <t>../test/components/carousel/carousel.test.tsx</t>
        </is>
      </c>
      <c r="H21" s="43" t="inlineStr">
        <is>
          <t>tested</t>
        </is>
      </c>
      <c r="I21" s="43" t="inlineStr">
        <is>
          <t>no</t>
        </is>
      </c>
      <c r="J21" s="45" t="n">
        <v>46241</v>
      </c>
      <c r="K21" s="44" t="n"/>
      <c r="L21" s="43" t="n">
        <v>1</v>
      </c>
      <c r="M21" s="43">
        <f>IF(OR(AND(I21="yes",H21="verified"),AND(I21="no",OR(H21="tested",H21="verified")),AND(H21="not applicable",K21&lt;&gt;"")),1,0)</f>
        <v/>
      </c>
    </row>
    <row r="22" ht="54" customHeight="1" s="34">
      <c r="A22" s="43" t="inlineStr">
        <is>
          <t>CA-14</t>
        </is>
      </c>
      <c r="B22" s="43" t="inlineStr">
        <is>
          <t>Accessibility</t>
        </is>
      </c>
      <c r="C22" s="43" t="inlineStr">
        <is>
          <t>Controls</t>
        </is>
      </c>
      <c r="D22" s="44" t="inlineStr">
        <is>
          <t>Controls keep native names, roles, disabled state, focus rings, and 32px visual dot hit areas.</t>
        </is>
      </c>
      <c r="E22" s="43" t="inlineStr">
        <is>
          <t>package</t>
        </is>
      </c>
      <c r="F22" s="43" t="inlineStr">
        <is>
          <t>browser</t>
        </is>
      </c>
      <c r="G22" s="44" t="inlineStr">
        <is>
          <t>tests/components/carousel/behavior.spec.ts</t>
        </is>
      </c>
      <c r="H22" s="43" t="inlineStr">
        <is>
          <t>tested</t>
        </is>
      </c>
      <c r="I22" s="43" t="inlineStr">
        <is>
          <t>no</t>
        </is>
      </c>
      <c r="J22" s="45" t="n">
        <v>46241</v>
      </c>
      <c r="K22" s="44" t="n"/>
      <c r="L22" s="43" t="n">
        <v>1</v>
      </c>
      <c r="M22" s="43">
        <f>IF(OR(AND(I22="yes",H22="verified"),AND(I22="no",OR(H22="tested",H22="verified")),AND(H22="not applicable",K22&lt;&gt;"")),1,0)</f>
        <v/>
      </c>
    </row>
    <row r="23" ht="54" customHeight="1" s="34">
      <c r="A23" s="43" t="inlineStr">
        <is>
          <t>CA-15</t>
        </is>
      </c>
      <c r="B23" s="43" t="inlineStr">
        <is>
          <t>Accessibility</t>
        </is>
      </c>
      <c r="C23" s="43" t="inlineStr">
        <is>
          <t>Automated</t>
        </is>
      </c>
      <c r="D23" s="44" t="inlineStr">
        <is>
          <t>Representative rotation composition passes axe at a mobile viewport.</t>
        </is>
      </c>
      <c r="E23" s="43" t="inlineStr">
        <is>
          <t>package</t>
        </is>
      </c>
      <c r="F23" s="43" t="inlineStr">
        <is>
          <t>browser</t>
        </is>
      </c>
      <c r="G23" s="44" t="inlineStr">
        <is>
          <t>tests/components/carousel/behavior.spec.ts</t>
        </is>
      </c>
      <c r="H23" s="43" t="inlineStr">
        <is>
          <t>tested</t>
        </is>
      </c>
      <c r="I23" s="43" t="inlineStr">
        <is>
          <t>no</t>
        </is>
      </c>
      <c r="J23" s="45" t="n">
        <v>46241</v>
      </c>
      <c r="K23" s="44" t="n"/>
      <c r="L23" s="43" t="n">
        <v>1</v>
      </c>
      <c r="M23" s="43">
        <f>IF(OR(AND(I23="yes",H23="verified"),AND(I23="no",OR(H23="tested",H23="verified")),AND(H23="not applicable",K23&lt;&gt;"")),1,0)</f>
        <v/>
      </c>
    </row>
    <row r="24" ht="54" customHeight="1" s="34">
      <c r="A24" s="43" t="inlineStr">
        <is>
          <t>CA-16</t>
        </is>
      </c>
      <c r="B24" s="43" t="inlineStr">
        <is>
          <t>Recipes</t>
        </is>
      </c>
      <c r="C24" s="43" t="inlineStr">
        <is>
          <t>Root</t>
        </is>
      </c>
      <c r="D24" s="44" t="inlineStr">
        <is>
          <t>Small, medium, and large control geometry remains coordinated.</t>
        </is>
      </c>
      <c r="E24" s="43" t="inlineStr">
        <is>
          <t>playground</t>
        </is>
      </c>
      <c r="F24" s="43" t="inlineStr">
        <is>
          <t>visual</t>
        </is>
      </c>
      <c r="G24" s="44" t="inlineStr">
        <is>
          <t>tests/components/carousel/visual.spec.ts</t>
        </is>
      </c>
      <c r="H24" s="43" t="inlineStr">
        <is>
          <t>implemented</t>
        </is>
      </c>
      <c r="I24" s="43" t="inlineStr">
        <is>
          <t>yes</t>
        </is>
      </c>
      <c r="J24" s="45" t="n"/>
      <c r="K24" s="44" t="n"/>
      <c r="L24" s="43" t="n">
        <v>0</v>
      </c>
      <c r="M24" s="43">
        <f>IF(OR(AND(I24="yes",H24="verified"),AND(I24="no",OR(H24="tested",H24="verified")),AND(H24="not applicable",K24&lt;&gt;"")),1,0)</f>
        <v/>
      </c>
    </row>
    <row r="25" ht="54" customHeight="1" s="34">
      <c r="A25" s="43" t="inlineStr">
        <is>
          <t>CA-17</t>
        </is>
      </c>
      <c r="B25" s="43" t="inlineStr">
        <is>
          <t>Placement</t>
        </is>
      </c>
      <c r="C25" s="43" t="inlineStr">
        <is>
          <t>Root</t>
        </is>
      </c>
      <c r="D25" s="44" t="inlineStr">
        <is>
          <t>Overlay and outside control placements remain visually coherent without behavior changes.</t>
        </is>
      </c>
      <c r="E25" s="43" t="inlineStr">
        <is>
          <t>playground</t>
        </is>
      </c>
      <c r="F25" s="43" t="inlineStr">
        <is>
          <t>visual</t>
        </is>
      </c>
      <c r="G25" s="44" t="inlineStr">
        <is>
          <t>tests/components/carousel/visual.spec.ts</t>
        </is>
      </c>
      <c r="H25" s="43" t="inlineStr">
        <is>
          <t>implemented</t>
        </is>
      </c>
      <c r="I25" s="43" t="inlineStr">
        <is>
          <t>yes</t>
        </is>
      </c>
      <c r="J25" s="45" t="n"/>
      <c r="K25" s="44" t="n"/>
      <c r="L25" s="43" t="n">
        <v>0</v>
      </c>
      <c r="M25" s="43">
        <f>IF(OR(AND(I25="yes",H25="verified"),AND(I25="no",OR(H25="tested",H25="verified")),AND(H25="not applicable",K25&lt;&gt;"")),1,0)</f>
        <v/>
      </c>
    </row>
    <row r="26" ht="54" customHeight="1" s="34">
      <c r="A26" s="43" t="inlineStr">
        <is>
          <t>CA-18</t>
        </is>
      </c>
      <c r="B26" s="43" t="inlineStr">
        <is>
          <t>Appearance</t>
        </is>
      </c>
      <c r="C26" s="43" t="inlineStr">
        <is>
          <t>All parts</t>
        </is>
      </c>
      <c r="D26" s="44" t="inlineStr">
        <is>
          <t>Semantic control and picker paint remains legible in adjacent light and dark scopes.</t>
        </is>
      </c>
      <c r="E26" s="43" t="inlineStr">
        <is>
          <t>playground</t>
        </is>
      </c>
      <c r="F26" s="43" t="inlineStr">
        <is>
          <t>visual</t>
        </is>
      </c>
      <c r="G26" s="44" t="inlineStr">
        <is>
          <t>tests/components/carousel/visual.spec.ts</t>
        </is>
      </c>
      <c r="H26" s="43" t="inlineStr">
        <is>
          <t>implemented</t>
        </is>
      </c>
      <c r="I26" s="43" t="inlineStr">
        <is>
          <t>yes</t>
        </is>
      </c>
      <c r="J26" s="45" t="n"/>
      <c r="K26" s="44" t="n"/>
      <c r="L26" s="43" t="n">
        <v>0</v>
      </c>
      <c r="M26" s="43">
        <f>IF(OR(AND(I26="yes",H26="verified"),AND(I26="no",OR(H26="tested",H26="verified")),AND(H26="not applicable",K26&lt;&gt;"")),1,0)</f>
        <v/>
      </c>
    </row>
    <row r="27" ht="54" customHeight="1" s="34">
      <c r="A27" s="43" t="inlineStr">
        <is>
          <t>CA-19</t>
        </is>
      </c>
      <c r="B27" s="43" t="inlineStr">
        <is>
          <t>Motion</t>
        </is>
      </c>
      <c r="C27" s="43" t="inlineStr">
        <is>
          <t>All parts</t>
        </is>
      </c>
      <c r="D27" s="44" t="inlineStr">
        <is>
          <t>Reduced motion removes decorative transitions and smooth scrolling without removing selection.</t>
        </is>
      </c>
      <c r="E27" s="43" t="inlineStr">
        <is>
          <t>manual</t>
        </is>
      </c>
      <c r="F27" s="43" t="inlineStr">
        <is>
          <t>manual</t>
        </is>
      </c>
      <c r="G27" s="44" t="inlineStr">
        <is>
          <t>manual-tests/carousel.md</t>
        </is>
      </c>
      <c r="H27" s="43" t="inlineStr">
        <is>
          <t>not started</t>
        </is>
      </c>
      <c r="I27" s="43" t="inlineStr">
        <is>
          <t>yes</t>
        </is>
      </c>
      <c r="J27" s="45" t="n"/>
      <c r="K27" s="44" t="n"/>
      <c r="L27" s="43" t="n">
        <v>0</v>
      </c>
      <c r="M27" s="43">
        <f>IF(OR(AND(I27="yes",H27="verified"),AND(I27="no",OR(H27="tested",H27="verified")),AND(H27="not applicable",K27&lt;&gt;"")),1,0)</f>
        <v/>
      </c>
    </row>
    <row r="28" ht="54" customHeight="1" s="34">
      <c r="A28" s="43" t="inlineStr">
        <is>
          <t>CA-20</t>
        </is>
      </c>
      <c r="B28" s="43" t="inlineStr">
        <is>
          <t>Direction</t>
        </is>
      </c>
      <c r="C28" s="43" t="inlineStr">
        <is>
          <t>All parts</t>
        </is>
      </c>
      <c r="D28" s="44" t="inlineStr">
        <is>
          <t>RTL mirrors logical direction artwork and preserves native selection order.</t>
        </is>
      </c>
      <c r="E28" s="43" t="inlineStr">
        <is>
          <t>manual</t>
        </is>
      </c>
      <c r="F28" s="43" t="inlineStr">
        <is>
          <t>manual</t>
        </is>
      </c>
      <c r="G28" s="44" t="inlineStr">
        <is>
          <t>manual-tests/carousel.md</t>
        </is>
      </c>
      <c r="H28" s="43" t="inlineStr">
        <is>
          <t>not started</t>
        </is>
      </c>
      <c r="I28" s="43" t="inlineStr">
        <is>
          <t>yes</t>
        </is>
      </c>
      <c r="J28" s="45" t="n"/>
      <c r="K28" s="44" t="n"/>
      <c r="L28" s="43" t="n">
        <v>0</v>
      </c>
      <c r="M28" s="43">
        <f>IF(OR(AND(I28="yes",H28="verified"),AND(I28="no",OR(H28="tested",H28="verified")),AND(H28="not applicable",K28&lt;&gt;"")),1,0)</f>
        <v/>
      </c>
    </row>
    <row r="29" ht="54" customHeight="1" s="34">
      <c r="A29" s="43" t="inlineStr">
        <is>
          <t>CA-21</t>
        </is>
      </c>
      <c r="B29" s="43" t="inlineStr">
        <is>
          <t>Reflow</t>
        </is>
      </c>
      <c r="C29" s="43" t="inlineStr">
        <is>
          <t>All parts</t>
        </is>
      </c>
      <c r="D29" s="44" t="inlineStr">
        <is>
          <t>Mobile, 200%, and 400% reflow preserve complete controls and slide content without page overflow.</t>
        </is>
      </c>
      <c r="E29" s="43" t="inlineStr">
        <is>
          <t>manual</t>
        </is>
      </c>
      <c r="F29" s="43" t="inlineStr">
        <is>
          <t>manual</t>
        </is>
      </c>
      <c r="G29" s="44" t="inlineStr">
        <is>
          <t>manual-tests/carousel.md</t>
        </is>
      </c>
      <c r="H29" s="43" t="inlineStr">
        <is>
          <t>not started</t>
        </is>
      </c>
      <c r="I29" s="43" t="inlineStr">
        <is>
          <t>yes</t>
        </is>
      </c>
      <c r="J29" s="45" t="n"/>
      <c r="K29" s="44" t="n"/>
      <c r="L29" s="43" t="n">
        <v>0</v>
      </c>
      <c r="M29" s="43">
        <f>IF(OR(AND(I29="yes",H29="verified"),AND(I29="no",OR(H29="tested",H29="verified")),AND(H29="not applicable",K29&lt;&gt;"")),1,0)</f>
        <v/>
      </c>
    </row>
    <row r="30" ht="54" customHeight="1" s="34">
      <c r="A30" s="43" t="inlineStr">
        <is>
          <t>CA-22</t>
        </is>
      </c>
      <c r="B30" s="43" t="inlineStr">
        <is>
          <t>Forced colors</t>
        </is>
      </c>
      <c r="C30" s="43" t="inlineStr">
        <is>
          <t>Controls</t>
        </is>
      </c>
      <c r="D30" s="44" t="inlineStr">
        <is>
          <t>Controls, focus indicators, and active picker remain perceivable.</t>
        </is>
      </c>
      <c r="E30" s="43" t="inlineStr">
        <is>
          <t>manual</t>
        </is>
      </c>
      <c r="F30" s="43" t="inlineStr">
        <is>
          <t>manual</t>
        </is>
      </c>
      <c r="G30" s="44" t="inlineStr">
        <is>
          <t>manual-tests/carousel.md</t>
        </is>
      </c>
      <c r="H30" s="43" t="inlineStr">
        <is>
          <t>not started</t>
        </is>
      </c>
      <c r="I30" s="43" t="inlineStr">
        <is>
          <t>yes</t>
        </is>
      </c>
      <c r="J30" s="45" t="n"/>
      <c r="K30" s="44" t="n"/>
      <c r="L30" s="43" t="n">
        <v>0</v>
      </c>
      <c r="M30" s="43">
        <f>IF(OR(AND(I30="yes",H30="verified"),AND(I30="no",OR(H30="tested",H30="verified")),AND(H30="not applicable",K30&lt;&gt;"")),1,0)</f>
        <v/>
      </c>
    </row>
    <row r="31" ht="54" customHeight="1" s="34">
      <c r="A31" s="43" t="inlineStr">
        <is>
          <t>CA-23</t>
        </is>
      </c>
      <c r="B31" s="43" t="inlineStr">
        <is>
          <t>Assistive technology</t>
        </is>
      </c>
      <c r="C31" s="43" t="inlineStr">
        <is>
          <t>All parts</t>
        </is>
      </c>
      <c r="D31" s="44" t="inlineStr">
        <is>
          <t>Screen-reader names, slide availability, rotation state, and announcements match the public contract.</t>
        </is>
      </c>
      <c r="E31" s="43" t="inlineStr">
        <is>
          <t>manual</t>
        </is>
      </c>
      <c r="F31" s="43" t="inlineStr">
        <is>
          <t>manual</t>
        </is>
      </c>
      <c r="G31" s="44" t="inlineStr">
        <is>
          <t>manual-tests/carousel.md</t>
        </is>
      </c>
      <c r="H31" s="43" t="inlineStr">
        <is>
          <t>not started</t>
        </is>
      </c>
      <c r="I31" s="43" t="inlineStr">
        <is>
          <t>yes</t>
        </is>
      </c>
      <c r="J31" s="45" t="n"/>
      <c r="K31" s="44" t="n"/>
      <c r="L31" s="43" t="n">
        <v>0</v>
      </c>
      <c r="M31" s="43">
        <f>IF(OR(AND(I31="yes",H31="verified"),AND(I31="no",OR(H31="tested",H31="verified")),AND(H31="not applicable",K31&lt;&gt;"")),1,0)</f>
        <v/>
      </c>
    </row>
    <row r="32" ht="54" customHeight="1" s="34">
      <c r="A32" s="43" t="inlineStr">
        <is>
          <t>CA-24</t>
        </is>
      </c>
      <c r="B32" s="43" t="inlineStr">
        <is>
          <t>Agent Knowledge</t>
        </is>
      </c>
      <c r="C32" s="43" t="inlineStr">
        <is>
          <t>Selection</t>
        </is>
      </c>
      <c r="D32" s="44" t="inlineStr">
        <is>
          <t>Machine-readable guidance distinguishes Carousel, Tabs, Grid, and campaign Block ownership.</t>
        </is>
      </c>
      <c r="E32" s="43" t="inlineStr">
        <is>
          <t>package</t>
        </is>
      </c>
      <c r="F32" s="43" t="inlineStr">
        <is>
          <t>documentation</t>
        </is>
      </c>
      <c r="G32" s="44" t="inlineStr">
        <is>
          <t>../src/components/carousel/agent.json</t>
        </is>
      </c>
      <c r="H32" s="43" t="inlineStr">
        <is>
          <t>tested</t>
        </is>
      </c>
      <c r="I32" s="43" t="inlineStr">
        <is>
          <t>no</t>
        </is>
      </c>
      <c r="J32" s="45" t="n">
        <v>46241</v>
      </c>
      <c r="K32" s="44" t="n"/>
      <c r="L32" s="43" t="n">
        <v>1</v>
      </c>
      <c r="M32" s="43">
        <f>IF(OR(AND(I32="yes",H32="verified"),AND(I32="no",OR(H32="tested",H32="verified")),AND(H32="not applicable",K32&lt;&gt;"")),1,0)</f>
        <v/>
      </c>
    </row>
    <row r="33" ht="54" customHeight="1" s="34">
      <c r="A33" s="43" t="inlineStr">
        <is>
          <t>CA-25</t>
        </is>
      </c>
      <c r="B33" s="43" t="inlineStr">
        <is>
          <t>Consumer</t>
        </is>
      </c>
      <c r="C33" s="43" t="inlineStr">
        <is>
          <t>Composition</t>
        </is>
      </c>
      <c r="D33" s="44" t="inlineStr">
        <is>
          <t>A realistic packed-package consumer composes Carousel with public imports and CSS only.</t>
        </is>
      </c>
      <c r="E33" s="43" t="inlineStr">
        <is>
          <t>consumer</t>
        </is>
      </c>
      <c r="F33" s="43" t="inlineStr">
        <is>
          <t>consumer</t>
        </is>
      </c>
      <c r="G33" s="44" t="inlineStr">
        <is>
          <t>../apps/consumer</t>
        </is>
      </c>
      <c r="H33" s="43" t="inlineStr">
        <is>
          <t>implemented</t>
        </is>
      </c>
      <c r="I33" s="43" t="inlineStr">
        <is>
          <t>no</t>
        </is>
      </c>
      <c r="J33" s="45" t="n"/>
      <c r="K33" s="44" t="n"/>
      <c r="L33" s="43" t="n">
        <v>0</v>
      </c>
      <c r="M33" s="43">
        <f>IF(OR(AND(I33="yes",H33="verified"),AND(I33="no",OR(H33="tested",H33="verified")),AND(H33="not applicable",K33&lt;&gt;"")),1,0)</f>
        <v/>
      </c>
    </row>
    <row r="34" ht="54" customHeight="1" s="34"/>
    <row r="35" ht="54" customHeight="1" s="34"/>
    <row r="36" ht="54" customHeight="1" s="34"/>
    <row r="37" ht="54" customHeight="1" s="34"/>
    <row r="38" ht="54" customHeight="1" s="34"/>
    <row r="39" ht="54" customHeight="1" s="34"/>
  </sheetData>
  <mergeCells count="2">
    <mergeCell ref="A2:M2"/>
    <mergeCell ref="A1:M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1.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ZStack Evidence</t>
        </is>
      </c>
    </row>
    <row r="2" ht="27.75" customHeight="1" s="34">
      <c r="A2" s="36" t="inlineStr">
        <is>
          <t>Assertion-level package, browser, human-review, documentation, and consumer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ZS-01</t>
        </is>
      </c>
      <c r="B9" s="43" t="inlineStr">
        <is>
          <t>Implementation</t>
        </is>
      </c>
      <c r="C9" s="43" t="inlineStr">
        <is>
          <t>Root/Item</t>
        </is>
      </c>
      <c r="D9" s="44" t="inlineStr">
        <is>
          <t>ZStack Root and Item share one source-ordered CSS Grid implementation with stable hooks and refs.</t>
        </is>
      </c>
      <c r="E9" s="43" t="inlineStr">
        <is>
          <t>package</t>
        </is>
      </c>
      <c r="F9" s="43" t="inlineStr">
        <is>
          <t>source</t>
        </is>
      </c>
      <c r="G9" s="44" t="inlineStr">
        <is>
          <t>../src/components/z-stack</t>
        </is>
      </c>
      <c r="H9" s="43" t="inlineStr">
        <is>
          <t>tested</t>
        </is>
      </c>
      <c r="I9" s="43" t="inlineStr">
        <is>
          <t>no</t>
        </is>
      </c>
      <c r="J9" s="45" t="n">
        <v>46244</v>
      </c>
      <c r="K9" s="44" t="n"/>
      <c r="L9" s="43" t="n">
        <v>1</v>
      </c>
      <c r="M9" s="43">
        <f>IF(OR(AND(I9="yes",H9="verified"),AND(I9="no",OR(H9="tested",H9="verified")),AND(H9="not applicable",K9&lt;&gt;"")),1,0)</f>
        <v/>
      </c>
    </row>
    <row r="10" ht="54" customHeight="1" s="34">
      <c r="A10" s="43" t="inlineStr">
        <is>
          <t>ZS-02</t>
        </is>
      </c>
      <c r="B10" s="43" t="inlineStr">
        <is>
          <t>Anatomy</t>
        </is>
      </c>
      <c r="C10" s="43" t="inlineStr">
        <is>
          <t>Root/Item</t>
        </is>
      </c>
      <c r="D10" s="44" t="inlineStr">
        <is>
          <t>Root owns the overlap region; every direct child shares one grid cell; Item owns optional logical self-placement.</t>
        </is>
      </c>
      <c r="E10" s="43" t="inlineStr">
        <is>
          <t>package</t>
        </is>
      </c>
      <c r="F10" s="43" t="inlineStr">
        <is>
          <t>component</t>
        </is>
      </c>
      <c r="G10" s="44" t="inlineStr">
        <is>
          <t>../test/components/z-stack/z-stack.test.tsx</t>
        </is>
      </c>
      <c r="H10" s="43" t="inlineStr">
        <is>
          <t>tested</t>
        </is>
      </c>
      <c r="I10" s="43" t="inlineStr">
        <is>
          <t>no</t>
        </is>
      </c>
      <c r="J10" s="45" t="n">
        <v>46244</v>
      </c>
      <c r="K10" s="44" t="n"/>
      <c r="L10" s="43" t="n">
        <v>1</v>
      </c>
      <c r="M10" s="43">
        <f>IF(OR(AND(I10="yes",H10="verified"),AND(I10="no",OR(H10="tested",H10="verified")),AND(H10="not applicable",K10&lt;&gt;"")),1,0)</f>
        <v/>
      </c>
    </row>
    <row r="11" ht="54" customHeight="1" s="34">
      <c r="A11" s="43" t="inlineStr">
        <is>
          <t>ZS-03</t>
        </is>
      </c>
      <c r="B11" s="43" t="inlineStr">
        <is>
          <t>Exports</t>
        </is>
      </c>
      <c r="C11" s="43" t="inlineStr">
        <is>
          <t>ZStack</t>
        </is>
      </c>
      <c r="D11" s="44" t="inlineStr">
        <is>
          <t>Root, z-stack subpath, namespace, named parts, and public types expose identical runtime identities.</t>
        </is>
      </c>
      <c r="E11" s="43" t="inlineStr">
        <is>
          <t>package</t>
        </is>
      </c>
      <c r="F11" s="43" t="inlineStr">
        <is>
          <t>package</t>
        </is>
      </c>
      <c r="G11" s="44" t="inlineStr">
        <is>
          <t>../test/package/package.test.mjs</t>
        </is>
      </c>
      <c r="H11" s="43" t="inlineStr">
        <is>
          <t>tested</t>
        </is>
      </c>
      <c r="I11" s="43" t="inlineStr">
        <is>
          <t>no</t>
        </is>
      </c>
      <c r="J11" s="45" t="n">
        <v>46244</v>
      </c>
      <c r="K11" s="44" t="n"/>
      <c r="L11" s="43" t="n">
        <v>1</v>
      </c>
      <c r="M11" s="43">
        <f>IF(OR(AND(I11="yes",H11="verified"),AND(I11="no",OR(H11="tested",H11="verified")),AND(H11="not applicable",K11&lt;&gt;"")),1,0)</f>
        <v/>
      </c>
    </row>
    <row r="12" ht="54" customHeight="1" s="34">
      <c r="A12" s="43" t="inlineStr">
        <is>
          <t>ZS-04</t>
        </is>
      </c>
      <c r="B12" s="43" t="inlineStr">
        <is>
          <t>Types</t>
        </is>
      </c>
      <c r="C12" s="43" t="inlineStr">
        <is>
          <t>Root/Item</t>
        </is>
      </c>
      <c r="D12" s="44" t="inlineStr">
        <is>
          <t>Semantic hosts, nine-position logical placement, asChild composition, native props, exclusions, and refs type-check.</t>
        </is>
      </c>
      <c r="E12" s="43" t="inlineStr">
        <is>
          <t>package</t>
        </is>
      </c>
      <c r="F12" s="43" t="inlineStr">
        <is>
          <t>types</t>
        </is>
      </c>
      <c r="G12" s="44" t="inlineStr">
        <is>
          <t>../test/types/components/z-stack.test.ts</t>
        </is>
      </c>
      <c r="H12" s="43" t="inlineStr">
        <is>
          <t>tested</t>
        </is>
      </c>
      <c r="I12" s="43" t="inlineStr">
        <is>
          <t>no</t>
        </is>
      </c>
      <c r="J12" s="45" t="n">
        <v>46244</v>
      </c>
      <c r="K12" s="44" t="n"/>
      <c r="L12" s="43" t="n">
        <v>1</v>
      </c>
      <c r="M12" s="43">
        <f>IF(OR(AND(I12="yes",H12="verified"),AND(I12="no",OR(H12="tested",H12="verified")),AND(H12="not applicable",K12&lt;&gt;"")),1,0)</f>
        <v/>
      </c>
    </row>
    <row r="13" ht="54" customHeight="1" s="34">
      <c r="A13" s="43" t="inlineStr">
        <is>
          <t>ZS-05</t>
        </is>
      </c>
      <c r="B13" s="43" t="inlineStr">
        <is>
          <t>CSS</t>
        </is>
      </c>
      <c r="C13" s="43" t="inlineStr">
        <is>
          <t>Root/Item</t>
        </is>
      </c>
      <c r="D13" s="44" t="inlineStr">
        <is>
          <t>Static CSS provides natural source-ordered overlap, min-inline containment, and logical start/center/end placement without absolute positioning.</t>
        </is>
      </c>
      <c r="E13" s="43" t="inlineStr">
        <is>
          <t>package</t>
        </is>
      </c>
      <c r="F13" s="43" t="inlineStr">
        <is>
          <t>css</t>
        </is>
      </c>
      <c r="G13" s="44" t="inlineStr">
        <is>
          <t>../src/components/z-stack/z-stack.css</t>
        </is>
      </c>
      <c r="H13" s="43" t="inlineStr">
        <is>
          <t>tested</t>
        </is>
      </c>
      <c r="I13" s="43" t="inlineStr">
        <is>
          <t>no</t>
        </is>
      </c>
      <c r="J13" s="45" t="n">
        <v>46244</v>
      </c>
      <c r="K13" s="44" t="n"/>
      <c r="L13" s="43" t="n">
        <v>1</v>
      </c>
      <c r="M13" s="43">
        <f>IF(OR(AND(I13="yes",H13="verified"),AND(I13="no",OR(H13="tested",H13="verified")),AND(H13="not applicable",K13&lt;&gt;"")),1,0)</f>
        <v/>
      </c>
    </row>
    <row r="14" ht="54" customHeight="1" s="34">
      <c r="A14" s="43" t="inlineStr">
        <is>
          <t>ZS-06</t>
        </is>
      </c>
      <c r="B14" s="43" t="inlineStr">
        <is>
          <t>Unit</t>
        </is>
      </c>
      <c r="C14" s="43" t="inlineStr">
        <is>
          <t>Root/Item</t>
        </is>
      </c>
      <c r="D14" s="44" t="inlineStr">
        <is>
          <t>Defaults, complete placement recipes, semantic hosts, native pass-through, asChild, hooks, events, and refs pass.</t>
        </is>
      </c>
      <c r="E14" s="43" t="inlineStr">
        <is>
          <t>package</t>
        </is>
      </c>
      <c r="F14" s="43" t="inlineStr">
        <is>
          <t>component</t>
        </is>
      </c>
      <c r="G14" s="44" t="inlineStr">
        <is>
          <t>../test/components/z-stack/z-stack.test.tsx</t>
        </is>
      </c>
      <c r="H14" s="43" t="inlineStr">
        <is>
          <t>tested</t>
        </is>
      </c>
      <c r="I14" s="43" t="inlineStr">
        <is>
          <t>no</t>
        </is>
      </c>
      <c r="J14" s="45" t="n">
        <v>46244</v>
      </c>
      <c r="K14" s="44" t="n"/>
      <c r="L14" s="43" t="n">
        <v>1</v>
      </c>
      <c r="M14" s="43">
        <f>IF(OR(AND(I14="yes",H14="verified"),AND(I14="no",OR(H14="tested",H14="verified")),AND(H14="not applicable",K14&lt;&gt;"")),1,0)</f>
        <v/>
      </c>
    </row>
    <row r="15" ht="54" customHeight="1" s="34">
      <c r="A15" s="43" t="inlineStr">
        <is>
          <t>ZS-07</t>
        </is>
      </c>
      <c r="B15" s="43" t="inlineStr">
        <is>
          <t>Browser</t>
        </is>
      </c>
      <c r="C15" s="43" t="inlineStr">
        <is>
          <t>Root/Item</t>
        </is>
      </c>
      <c r="D15" s="44" t="inlineStr">
        <is>
          <t>Real-browser overlap, source order, logical placement, composition, focus order, reflow, and containment pass.</t>
        </is>
      </c>
      <c r="E15" s="43" t="inlineStr">
        <is>
          <t>package</t>
        </is>
      </c>
      <c r="F15" s="43" t="inlineStr">
        <is>
          <t>browser</t>
        </is>
      </c>
      <c r="G15" s="44" t="inlineStr">
        <is>
          <t>tests/components/z-stack/behavior.spec.ts</t>
        </is>
      </c>
      <c r="H15" s="43" t="inlineStr">
        <is>
          <t>tested</t>
        </is>
      </c>
      <c r="I15" s="43" t="inlineStr">
        <is>
          <t>no</t>
        </is>
      </c>
      <c r="J15" s="45" t="n">
        <v>46244</v>
      </c>
      <c r="K15" s="44" t="n"/>
      <c r="L15" s="43" t="n">
        <v>1</v>
      </c>
      <c r="M15" s="43">
        <f>IF(OR(AND(I15="yes",H15="verified"),AND(I15="no",OR(H15="tested",H15="verified")),AND(H15="not applicable",K15&lt;&gt;"")),1,0)</f>
        <v/>
      </c>
    </row>
    <row r="16" ht="54" customHeight="1" s="34">
      <c r="A16" s="43" t="inlineStr">
        <is>
          <t>ZS-08</t>
        </is>
      </c>
      <c r="B16" s="43" t="inlineStr">
        <is>
          <t>Placement</t>
        </is>
      </c>
      <c r="C16" s="43" t="inlineStr">
        <is>
          <t>Item</t>
        </is>
      </c>
      <c r="D16" s="44" t="inlineStr">
        <is>
          <t>Top-start, center, and bottom-end evidence proves logical nine-position placement without changing the authored order.</t>
        </is>
      </c>
      <c r="E16" s="43" t="inlineStr">
        <is>
          <t>package</t>
        </is>
      </c>
      <c r="F16" s="43" t="inlineStr">
        <is>
          <t>visual</t>
        </is>
      </c>
      <c r="G16" s="44" t="inlineStr">
        <is>
          <t>tests/components/z-stack/visual.spec.ts</t>
        </is>
      </c>
      <c r="H16" s="43" t="inlineStr">
        <is>
          <t>verified</t>
        </is>
      </c>
      <c r="I16" s="43" t="inlineStr">
        <is>
          <t>yes</t>
        </is>
      </c>
      <c r="J16" s="45" t="n">
        <v>46244</v>
      </c>
      <c r="K16" s="44" t="inlineStr">
        <is>
          <t>Agent-inspected the generated overview and placement baselines.</t>
        </is>
      </c>
      <c r="L16" s="43" t="n">
        <v>1</v>
      </c>
      <c r="M16" s="43">
        <f>IF(OR(AND(I16="yes",H16="verified"),AND(I16="no",OR(H16="tested",H16="verified")),AND(H16="not applicable",K16&lt;&gt;"")),1,0)</f>
        <v/>
      </c>
    </row>
    <row r="17" ht="54" customHeight="1" s="34">
      <c r="A17" s="43" t="inlineStr">
        <is>
          <t>ZS-09</t>
        </is>
      </c>
      <c r="B17" s="43" t="inlineStr">
        <is>
          <t>Composition</t>
        </is>
      </c>
      <c r="C17" s="43" t="inlineStr">
        <is>
          <t>Item</t>
        </is>
      </c>
      <c r="D17" s="44" t="inlineStr">
        <is>
          <t>asChild gives one existing semantic child the ZStack item hooks and placement with no additional wrapper.</t>
        </is>
      </c>
      <c r="E17" s="43" t="inlineStr">
        <is>
          <t>package</t>
        </is>
      </c>
      <c r="F17" s="43" t="inlineStr">
        <is>
          <t>browser</t>
        </is>
      </c>
      <c r="G17" s="44" t="inlineStr">
        <is>
          <t>tests/components/z-stack/behavior.spec.ts</t>
        </is>
      </c>
      <c r="H17" s="43" t="inlineStr">
        <is>
          <t>tested</t>
        </is>
      </c>
      <c r="I17" s="43" t="inlineStr">
        <is>
          <t>no</t>
        </is>
      </c>
      <c r="J17" s="45" t="n">
        <v>46244</v>
      </c>
      <c r="K17" s="44" t="n"/>
      <c r="L17" s="43" t="n">
        <v>1</v>
      </c>
      <c r="M17" s="43">
        <f>IF(OR(AND(I17="yes",H17="verified"),AND(I17="no",OR(H17="tested",H17="verified")),AND(H17="not applicable",K17&lt;&gt;"")),1,0)</f>
        <v/>
      </c>
    </row>
    <row r="18" ht="54" customHeight="1" s="34">
      <c r="A18" s="43" t="inlineStr">
        <is>
          <t>ZS-10</t>
        </is>
      </c>
      <c r="B18" s="43" t="inlineStr">
        <is>
          <t>Accessibility</t>
        </is>
      </c>
      <c r="C18" s="43" t="inlineStr">
        <is>
          <t>Root/Item</t>
        </is>
      </c>
      <c r="D18" s="44" t="inlineStr">
        <is>
          <t>ZStack adds no roles or names; authored focus order, RTL, narrow reflow, and axe checks pass.</t>
        </is>
      </c>
      <c r="E18" s="43" t="inlineStr">
        <is>
          <t>package</t>
        </is>
      </c>
      <c r="F18" s="43" t="inlineStr">
        <is>
          <t>axe</t>
        </is>
      </c>
      <c r="G18" s="44" t="inlineStr">
        <is>
          <t>tests/components/z-stack/behavior.spec.ts</t>
        </is>
      </c>
      <c r="H18" s="43" t="inlineStr">
        <is>
          <t>tested</t>
        </is>
      </c>
      <c r="I18" s="43" t="inlineStr">
        <is>
          <t>no</t>
        </is>
      </c>
      <c r="J18" s="45" t="n">
        <v>46244</v>
      </c>
      <c r="K18" s="44" t="n"/>
      <c r="L18" s="43" t="n">
        <v>1</v>
      </c>
      <c r="M18" s="43">
        <f>IF(OR(AND(I18="yes",H18="verified"),AND(I18="no",OR(H18="tested",H18="verified")),AND(H18="not applicable",K18&lt;&gt;"")),1,0)</f>
        <v/>
      </c>
    </row>
    <row r="19" ht="54" customHeight="1" s="34">
      <c r="A19" s="43" t="inlineStr">
        <is>
          <t>ZS-11</t>
        </is>
      </c>
      <c r="B19" s="43" t="inlineStr">
        <is>
          <t>Responsive</t>
        </is>
      </c>
      <c r="C19" s="43" t="inlineStr">
        <is>
          <t>Root/Item</t>
        </is>
      </c>
      <c r="D19" s="44" t="inlineStr">
        <is>
          <t>Narrow width, text-size stress, RTL, appearance, and forced colors retain readable source-ordered layers.</t>
        </is>
      </c>
      <c r="E19" s="43" t="inlineStr">
        <is>
          <t>package</t>
        </is>
      </c>
      <c r="F19" s="43" t="inlineStr">
        <is>
          <t>manual</t>
        </is>
      </c>
      <c r="G19" s="44" t="inlineStr">
        <is>
          <t>manual-tests/z-stack.md</t>
        </is>
      </c>
      <c r="H19" s="43" t="inlineStr">
        <is>
          <t>implemented</t>
        </is>
      </c>
      <c r="I19" s="43" t="inlineStr">
        <is>
          <t>yes</t>
        </is>
      </c>
      <c r="J19" s="45" t="n"/>
      <c r="K19" s="44" t="inlineStr">
        <is>
          <t>Automated narrow, RTL, focus, and axe evidence passes; the complete human run remains pending.</t>
        </is>
      </c>
      <c r="L19" s="43" t="n">
        <v>1</v>
      </c>
      <c r="M19" s="43">
        <f>IF(OR(AND(I19="yes",H19="verified"),AND(I19="no",OR(H19="tested",H19="verified")),AND(H19="not applicable",K19&lt;&gt;"")),1,0)</f>
        <v/>
      </c>
    </row>
    <row r="20" ht="54" customHeight="1" s="34">
      <c r="A20" s="43" t="inlineStr">
        <is>
          <t>ZS-12</t>
        </is>
      </c>
      <c r="B20" s="43" t="inlineStr">
        <is>
          <t>Manual</t>
        </is>
      </c>
      <c r="C20" s="43" t="inlineStr">
        <is>
          <t>ZStack</t>
        </is>
      </c>
      <c r="D20" s="44" t="inlineStr">
        <is>
          <t>A tester completes the component-owned overlap, placement, composition, zoom, device, appearance, and forced-color protocol.</t>
        </is>
      </c>
      <c r="E20" s="43" t="inlineStr">
        <is>
          <t>package</t>
        </is>
      </c>
      <c r="F20" s="43" t="inlineStr">
        <is>
          <t>manual</t>
        </is>
      </c>
      <c r="G20" s="44" t="inlineStr">
        <is>
          <t>manual-tests/z-stack.md</t>
        </is>
      </c>
      <c r="H20" s="43" t="inlineStr">
        <is>
          <t>implemented</t>
        </is>
      </c>
      <c r="I20" s="43" t="inlineStr">
        <is>
          <t>yes</t>
        </is>
      </c>
      <c r="J20" s="45" t="n"/>
      <c r="K20" s="44" t="inlineStr">
        <is>
          <t>Protocol exists; owner human review remains intentionally unclaimed.</t>
        </is>
      </c>
      <c r="L20" s="43" t="n">
        <v>1</v>
      </c>
      <c r="M20" s="43">
        <f>IF(OR(AND(I20="yes",H20="verified"),AND(I20="no",OR(H20="tested",H20="verified")),AND(H20="not applicable",K20&lt;&gt;"")),1,0)</f>
        <v/>
      </c>
    </row>
    <row r="21" ht="54" customHeight="1" s="34">
      <c r="A21" s="43" t="inlineStr">
        <is>
          <t>ZS-13</t>
        </is>
      </c>
      <c r="B21" s="43" t="inlineStr">
        <is>
          <t>Docs</t>
        </is>
      </c>
      <c r="C21" s="43" t="inlineStr">
        <is>
          <t>ZStack</t>
        </is>
      </c>
      <c r="D21" s="44" t="inlineStr">
        <is>
          <t>Source-backed selection, anatomy, placement, composition, accessibility, CSS, API, and agent guidance pass component checks.</t>
        </is>
      </c>
      <c r="E21" s="43" t="inlineStr">
        <is>
          <t>package</t>
        </is>
      </c>
      <c r="F21" s="43" t="inlineStr">
        <is>
          <t>docs</t>
        </is>
      </c>
      <c r="G21" s="44" t="inlineStr">
        <is>
          <t>../docs/components/z-stack/README.md; ../src/components/z-stack/agent.md</t>
        </is>
      </c>
      <c r="H21" s="43" t="inlineStr">
        <is>
          <t>tested</t>
        </is>
      </c>
      <c r="I21" s="43" t="inlineStr">
        <is>
          <t>no</t>
        </is>
      </c>
      <c r="J21" s="45" t="n">
        <v>46244</v>
      </c>
      <c r="K21" s="44" t="n"/>
      <c r="L21" s="43" t="n">
        <v>1</v>
      </c>
      <c r="M21" s="43">
        <f>IF(OR(AND(I21="yes",H21="verified"),AND(I21="no",OR(H21="tested",H21="verified")),AND(H21="not applicable",K21&lt;&gt;"")),1,0)</f>
        <v/>
      </c>
    </row>
    <row r="22" ht="54" customHeight="1" s="34">
      <c r="A22" s="43" t="inlineStr">
        <is>
          <t>ZS-14</t>
        </is>
      </c>
      <c r="B22" s="43" t="inlineStr">
        <is>
          <t>Changelog</t>
        </is>
      </c>
      <c r="C22" s="43" t="inlineStr">
        <is>
          <t>ZStack</t>
        </is>
      </c>
      <c r="D22" s="44" t="inlineStr">
        <is>
          <t>ZStack owns a component changelog and the package changelog records the public layout addition.</t>
        </is>
      </c>
      <c r="E22" s="43" t="inlineStr">
        <is>
          <t>package</t>
        </is>
      </c>
      <c r="F22" s="43" t="inlineStr">
        <is>
          <t>docs</t>
        </is>
      </c>
      <c r="G22" s="44" t="inlineStr">
        <is>
          <t>../docs/components/z-stack/CHANGELOG.md; ../CHANGELOG.md</t>
        </is>
      </c>
      <c r="H22" s="43" t="inlineStr">
        <is>
          <t>tested</t>
        </is>
      </c>
      <c r="I22" s="43" t="inlineStr">
        <is>
          <t>no</t>
        </is>
      </c>
      <c r="J22" s="45" t="n">
        <v>46244</v>
      </c>
      <c r="K22" s="44" t="n"/>
      <c r="L22" s="43" t="n">
        <v>1</v>
      </c>
      <c r="M22" s="43">
        <f>IF(OR(AND(I22="yes",H22="verified"),AND(I22="no",OR(H22="tested",H22="verified")),AND(H22="not applicable",K22&lt;&gt;"")),1,0)</f>
        <v/>
      </c>
    </row>
    <row r="23" ht="54" customHeight="1" s="34">
      <c r="A23" s="43" t="inlineStr">
        <is>
          <t>ZS-15</t>
        </is>
      </c>
      <c r="B23" s="43" t="inlineStr">
        <is>
          <t>Consumer</t>
        </is>
      </c>
      <c r="C23" s="43" t="inlineStr">
        <is>
          <t>ZStack</t>
        </is>
      </c>
      <c r="D23" s="44" t="inlineStr">
        <is>
          <t>Exact packed React 18 and 19 consumers import the public root and z-stack subpath without source coupling.</t>
        </is>
      </c>
      <c r="E23" s="43" t="inlineStr">
        <is>
          <t>consumer</t>
        </is>
      </c>
      <c r="F23" s="43" t="inlineStr">
        <is>
          <t>consumer</t>
        </is>
      </c>
      <c r="G23" s="44" t="inlineStr">
        <is>
          <t>../scripts/verify-consumers.mjs; ../test/package/package.test.mjs</t>
        </is>
      </c>
      <c r="H23" s="43" t="inlineStr">
        <is>
          <t>tested</t>
        </is>
      </c>
      <c r="I23" s="43" t="inlineStr">
        <is>
          <t>no</t>
        </is>
      </c>
      <c r="J23" s="45" t="n">
        <v>46244</v>
      </c>
      <c r="K23" s="44" t="n"/>
      <c r="L23" s="43" t="n">
        <v>1</v>
      </c>
      <c r="M23" s="43">
        <f>IF(OR(AND(I23="yes",H23="verified"),AND(I23="no",OR(H23="tested",H23="verified")),AND(H23="not applicable",K23&lt;&gt;"")),1,0)</f>
        <v/>
      </c>
    </row>
    <row r="24" ht="54" customHeight="1" s="34">
      <c r="A24" s="43" t="inlineStr">
        <is>
          <t>ZS-16</t>
        </is>
      </c>
      <c r="B24" s="43" t="inlineStr">
        <is>
          <t>Package</t>
        </is>
      </c>
      <c r="C24" s="43" t="inlineStr">
        <is>
          <t>ZStack</t>
        </is>
      </c>
      <c r="D24" s="44" t="inlineStr">
        <is>
          <t>Build, SSR-safe imports, exports, modular CSS, tarball, React 18/19 consumers, docs, browser, axe, and visual gates pass.</t>
        </is>
      </c>
      <c r="E24" s="43" t="inlineStr">
        <is>
          <t>package</t>
        </is>
      </c>
      <c r="F24" s="43" t="inlineStr">
        <is>
          <t>package</t>
        </is>
      </c>
      <c r="G24" s="44" t="inlineStr">
        <is>
          <t>../test/package; ../scripts/verify-package.mjs; ../scripts/verify-consumers.mjs</t>
        </is>
      </c>
      <c r="H24" s="43" t="inlineStr">
        <is>
          <t>implemented</t>
        </is>
      </c>
      <c r="I24" s="43" t="inlineStr">
        <is>
          <t>yes</t>
        </is>
      </c>
      <c r="J24" s="45" t="n">
        <v>46244</v>
      </c>
      <c r="K24" s="44" t="inlineStr">
        <is>
          <t>Automated package gates pass; complete status waits for the component-owned human manual run.</t>
        </is>
      </c>
      <c r="L24" s="43" t="n">
        <v>1</v>
      </c>
      <c r="M24" s="43">
        <f>IF(OR(AND(I24="yes",H24="verified"),AND(I24="no",OR(H24="tested",H24="verified")),AND(H24="not applicable",K24&lt;&gt;"")),1,0)</f>
        <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2.xml><?xml version="1.0" encoding="utf-8"?>
<worksheet xmlns="http://schemas.openxmlformats.org/spreadsheetml/2006/main">
  <sheetPr filterMode="0">
    <outlinePr summaryBelow="1" summaryRight="1"/>
    <pageSetUpPr fitToPage="0"/>
  </sheetPr>
  <dimension ref="A1:M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Appearance Evidence</t>
        </is>
      </c>
    </row>
    <row r="2" ht="27.75" customHeight="1" s="34">
      <c r="A2" s="36" t="inlineStr">
        <is>
          <t>Assertion-level wrapper-free scope, nested appearance, portal, theme-contract, accessibility, documentation, and package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AP-01</t>
        </is>
      </c>
      <c r="B9" s="43" t="inlineStr">
        <is>
          <t>Implementation</t>
        </is>
      </c>
      <c r="C9" s="43" t="inlineStr">
        <is>
          <t>Boundary</t>
        </is>
      </c>
      <c r="D9" s="44" t="inlineStr">
        <is>
          <t>Appearance decorates exactly one existing DOM or Brick host with stable hooks and no additional wrapper.</t>
        </is>
      </c>
      <c r="E9" s="43" t="inlineStr">
        <is>
          <t>package</t>
        </is>
      </c>
      <c r="F9" s="43" t="inlineStr">
        <is>
          <t>source</t>
        </is>
      </c>
      <c r="G9" s="44" t="inlineStr">
        <is>
          <t>../src/components/appearance</t>
        </is>
      </c>
      <c r="H9" s="43" t="inlineStr">
        <is>
          <t>tested</t>
        </is>
      </c>
      <c r="I9" s="43" t="inlineStr">
        <is>
          <t>no</t>
        </is>
      </c>
      <c r="J9" s="45" t="n">
        <v>46257</v>
      </c>
      <c r="K9" s="44" t="n"/>
      <c r="L9" s="43" t="n">
        <v>1</v>
      </c>
      <c r="M9" s="43">
        <f>IF(OR(AND(I9="yes",H9="verified"),AND(I9="no",OR(H9="tested",H9="verified")),AND(H9="not applicable",K9&lt;&gt;"")),1,0)</f>
        <v/>
      </c>
    </row>
    <row r="10" ht="54" customHeight="1" s="34">
      <c r="A10" s="43" t="inlineStr">
        <is>
          <t>AP-02</t>
        </is>
      </c>
      <c r="B10" s="43" t="inlineStr">
        <is>
          <t>Exports</t>
        </is>
      </c>
      <c r="C10" s="43" t="inlineStr">
        <is>
          <t>Appearance</t>
        </is>
      </c>
      <c r="D10" s="44" t="inlineStr">
        <is>
          <t>Root and appearance subpath exports expose Appearance and every public Appearance type with identical runtime identity.</t>
        </is>
      </c>
      <c r="E10" s="43" t="inlineStr">
        <is>
          <t>package</t>
        </is>
      </c>
      <c r="F10" s="43" t="inlineStr">
        <is>
          <t>package</t>
        </is>
      </c>
      <c r="G10" s="44" t="inlineStr">
        <is>
          <t>../test/package/package.test.mjs; ../test/package/ssr.test.mjs</t>
        </is>
      </c>
      <c r="H10" s="43" t="inlineStr">
        <is>
          <t>tested</t>
        </is>
      </c>
      <c r="I10" s="43" t="inlineStr">
        <is>
          <t>no</t>
        </is>
      </c>
      <c r="J10" s="45" t="n">
        <v>46257</v>
      </c>
      <c r="K10" s="44" t="n"/>
      <c r="L10" s="43" t="n">
        <v>1</v>
      </c>
      <c r="M10" s="43">
        <f>IF(OR(AND(I10="yes",H10="verified"),AND(I10="no",OR(H10="tested",H10="verified")),AND(H10="not applicable",K10&lt;&gt;"")),1,0)</f>
        <v/>
      </c>
    </row>
    <row r="11" ht="54" customHeight="1" s="34">
      <c r="A11" s="43" t="inlineStr">
        <is>
          <t>AP-03</t>
        </is>
      </c>
      <c r="B11" s="43" t="inlineStr">
        <is>
          <t>Types</t>
        </is>
      </c>
      <c r="C11" s="43" t="inlineStr">
        <is>
          <t>Public surface</t>
        </is>
      </c>
      <c r="D11" s="44" t="inlineStr">
        <is>
          <t>Light, dark, and inherit values plus one ref-capable React element type-check while invalid values, text, as, and asChild are rejected.</t>
        </is>
      </c>
      <c r="E11" s="43" t="inlineStr">
        <is>
          <t>package</t>
        </is>
      </c>
      <c r="F11" s="43" t="inlineStr">
        <is>
          <t>types</t>
        </is>
      </c>
      <c r="G11" s="44" t="inlineStr">
        <is>
          <t>../test/types/components/appearance.test.ts</t>
        </is>
      </c>
      <c r="H11" s="43" t="inlineStr">
        <is>
          <t>tested</t>
        </is>
      </c>
      <c r="I11" s="43" t="inlineStr">
        <is>
          <t>no</t>
        </is>
      </c>
      <c r="J11" s="45" t="n">
        <v>46257</v>
      </c>
      <c r="K11" s="44" t="n"/>
      <c r="L11" s="43" t="n">
        <v>1</v>
      </c>
      <c r="M11" s="43">
        <f>IF(OR(AND(I11="yes",H11="verified"),AND(I11="no",OR(H11="tested",H11="verified")),AND(H11="not applicable",K11&lt;&gt;"")),1,0)</f>
        <v/>
      </c>
    </row>
    <row r="12" ht="54" customHeight="1" s="34">
      <c r="A12" s="43" t="inlineStr">
        <is>
          <t>AP-04</t>
        </is>
      </c>
      <c r="B12" s="43" t="inlineStr">
        <is>
          <t>CSS</t>
        </is>
      </c>
      <c r="C12" s="43" t="inlineStr">
        <is>
          <t>Boundary</t>
        </is>
      </c>
      <c r="D12" s="44" t="inlineStr">
        <is>
          <t>Static CSS applies color-scheme and complete explicit appearance selectors without component paint, spacing, or state ownership.</t>
        </is>
      </c>
      <c r="E12" s="43" t="inlineStr">
        <is>
          <t>package</t>
        </is>
      </c>
      <c r="F12" s="43" t="inlineStr">
        <is>
          <t>css</t>
        </is>
      </c>
      <c r="G12" s="44" t="inlineStr">
        <is>
          <t>../src/components/appearance/appearance.css; ../test/package/tokens.test.mjs</t>
        </is>
      </c>
      <c r="H12" s="43" t="inlineStr">
        <is>
          <t>tested</t>
        </is>
      </c>
      <c r="I12" s="43" t="inlineStr">
        <is>
          <t>no</t>
        </is>
      </c>
      <c r="J12" s="45" t="n">
        <v>46257</v>
      </c>
      <c r="K12" s="44" t="n"/>
      <c r="L12" s="43" t="n">
        <v>1</v>
      </c>
      <c r="M12" s="43">
        <f>IF(OR(AND(I12="yes",H12="verified"),AND(I12="no",OR(H12="tested",H12="verified")),AND(H12="not applicable",K12&lt;&gt;"")),1,0)</f>
        <v/>
      </c>
    </row>
    <row r="13" ht="54" customHeight="1" s="34">
      <c r="A13" s="43" t="inlineStr">
        <is>
          <t>AP-05</t>
        </is>
      </c>
      <c r="B13" s="43" t="inlineStr">
        <is>
          <t>Unit</t>
        </is>
      </c>
      <c r="C13" s="43" t="inlineStr">
        <is>
          <t>Boundary</t>
        </is>
      </c>
      <c r="D13" s="44" t="inlineStr">
        <is>
          <t>Wrapper-free composition, all values, child props, styles, handlers, slots, refs, and invalid-child failures pass focused tests.</t>
        </is>
      </c>
      <c r="E13" s="43" t="inlineStr">
        <is>
          <t>package</t>
        </is>
      </c>
      <c r="F13" s="43" t="inlineStr">
        <is>
          <t>component</t>
        </is>
      </c>
      <c r="G13" s="44" t="inlineStr">
        <is>
          <t>../test/components/appearance/appearance.test.tsx</t>
        </is>
      </c>
      <c r="H13" s="43" t="inlineStr">
        <is>
          <t>tested</t>
        </is>
      </c>
      <c r="I13" s="43" t="inlineStr">
        <is>
          <t>no</t>
        </is>
      </c>
      <c r="J13" s="45" t="n">
        <v>46257</v>
      </c>
      <c r="K13" s="44" t="n"/>
      <c r="L13" s="43" t="n">
        <v>1</v>
      </c>
      <c r="M13" s="43">
        <f>IF(OR(AND(I13="yes",H13="verified"),AND(I13="no",OR(H13="tested",H13="verified")),AND(H13="not applicable",K13&lt;&gt;"")),1,0)</f>
        <v/>
      </c>
    </row>
    <row r="14" ht="54" customHeight="1" s="34">
      <c r="A14" s="43" t="inlineStr">
        <is>
          <t>AP-06</t>
        </is>
      </c>
      <c r="B14" s="43" t="inlineStr">
        <is>
          <t>Browser</t>
        </is>
      </c>
      <c r="C14" s="43" t="inlineStr">
        <is>
          <t>Nested scopes</t>
        </is>
      </c>
      <c r="D14" s="44" t="inlineStr">
        <is>
          <t>Light-dark-light and dark-light-dark restore the nearest complete semantic scope without adding wrappers.</t>
        </is>
      </c>
      <c r="E14" s="43" t="inlineStr">
        <is>
          <t>package</t>
        </is>
      </c>
      <c r="F14" s="43" t="inlineStr">
        <is>
          <t>browser</t>
        </is>
      </c>
      <c r="G14" s="44" t="inlineStr">
        <is>
          <t>tests/components/appearance/behavior.spec.ts</t>
        </is>
      </c>
      <c r="H14" s="43" t="inlineStr">
        <is>
          <t>tested</t>
        </is>
      </c>
      <c r="I14" s="43" t="inlineStr">
        <is>
          <t>no</t>
        </is>
      </c>
      <c r="J14" s="45" t="n">
        <v>46257</v>
      </c>
      <c r="K14" s="44" t="n"/>
      <c r="L14" s="43" t="n">
        <v>1</v>
      </c>
      <c r="M14" s="43">
        <f>IF(OR(AND(I14="yes",H14="verified"),AND(I14="no",OR(H14="tested",H14="verified")),AND(H14="not applicable",K14&lt;&gt;"")),1,0)</f>
        <v/>
      </c>
    </row>
    <row r="15" ht="54" customHeight="1" s="34">
      <c r="A15" s="43" t="inlineStr">
        <is>
          <t>AP-07</t>
        </is>
      </c>
      <c r="B15" s="43" t="inlineStr">
        <is>
          <t>Portals</t>
        </is>
      </c>
      <c r="C15" s="43" t="inlineStr">
        <is>
          <t>Drawer roots</t>
        </is>
      </c>
      <c r="D15" s="44" t="inlineStr">
        <is>
          <t>Explicitly scoped portalled visual roots keep the intended appearance without changing Drawer dismissal, focus, or return behavior.</t>
        </is>
      </c>
      <c r="E15" s="43" t="inlineStr">
        <is>
          <t>package</t>
        </is>
      </c>
      <c r="F15" s="43" t="inlineStr">
        <is>
          <t>browser</t>
        </is>
      </c>
      <c r="G15" s="44" t="inlineStr">
        <is>
          <t>tests/components/appearance/behavior.spec.ts</t>
        </is>
      </c>
      <c r="H15" s="43" t="inlineStr">
        <is>
          <t>tested</t>
        </is>
      </c>
      <c r="I15" s="43" t="inlineStr">
        <is>
          <t>no</t>
        </is>
      </c>
      <c r="J15" s="45" t="n">
        <v>46257</v>
      </c>
      <c r="K15" s="44" t="n"/>
      <c r="L15" s="43" t="n">
        <v>1</v>
      </c>
      <c r="M15" s="43">
        <f>IF(OR(AND(I15="yes",H15="verified"),AND(I15="no",OR(H15="tested",H15="verified")),AND(H15="not applicable",K15&lt;&gt;"")),1,0)</f>
        <v/>
      </c>
    </row>
    <row r="16" ht="54" customHeight="1" s="34">
      <c r="A16" s="43" t="inlineStr">
        <is>
          <t>AP-08</t>
        </is>
      </c>
      <c r="B16" s="43" t="inlineStr">
        <is>
          <t>Theme</t>
        </is>
      </c>
      <c r="C16" s="43" t="inlineStr">
        <is>
          <t>Compiled inputs</t>
        </is>
      </c>
      <c r="D16" s="44" t="inlineStr">
        <is>
          <t>Compiled Theme selectors and component inputs reach nested scopes, container portals, and explicitly scoped body-level roots.</t>
        </is>
      </c>
      <c r="E16" s="43" t="inlineStr">
        <is>
          <t>package</t>
        </is>
      </c>
      <c r="F16" s="43" t="inlineStr">
        <is>
          <t>browser</t>
        </is>
      </c>
      <c r="G16" s="44" t="inlineStr">
        <is>
          <t>tests/components/appearance/behavior.spec.ts; tests/integration/theme-qualification.spec.ts</t>
        </is>
      </c>
      <c r="H16" s="43" t="inlineStr">
        <is>
          <t>tested</t>
        </is>
      </c>
      <c r="I16" s="43" t="inlineStr">
        <is>
          <t>no</t>
        </is>
      </c>
      <c r="J16" s="45" t="n">
        <v>46257</v>
      </c>
      <c r="K16" s="44" t="n"/>
      <c r="L16" s="43" t="n">
        <v>1</v>
      </c>
      <c r="M16" s="43">
        <f>IF(OR(AND(I16="yes",H16="verified"),AND(I16="no",OR(H16="tested",H16="verified")),AND(H16="not applicable",K16&lt;&gt;"")),1,0)</f>
        <v/>
      </c>
    </row>
    <row r="17" ht="54" customHeight="1" s="34">
      <c r="A17" s="43" t="inlineStr">
        <is>
          <t>AP-09</t>
        </is>
      </c>
      <c r="B17" s="43" t="inlineStr">
        <is>
          <t>Accessibility</t>
        </is>
      </c>
      <c r="C17" s="43" t="inlineStr">
        <is>
          <t>Boundary</t>
        </is>
      </c>
      <c r="D17" s="44" t="inlineStr">
        <is>
          <t>Appearance adds no role, accessible name, focus behavior, or client state and remains deterministic during SSR and hydration.</t>
        </is>
      </c>
      <c r="E17" s="43" t="inlineStr">
        <is>
          <t>package</t>
        </is>
      </c>
      <c r="F17" s="43" t="inlineStr">
        <is>
          <t>axe</t>
        </is>
      </c>
      <c r="G17" s="44" t="inlineStr">
        <is>
          <t>tests/components/appearance/behavior.spec.ts; ../test/package/ssr.test.mjs</t>
        </is>
      </c>
      <c r="H17" s="43" t="inlineStr">
        <is>
          <t>tested</t>
        </is>
      </c>
      <c r="I17" s="43" t="inlineStr">
        <is>
          <t>no</t>
        </is>
      </c>
      <c r="J17" s="45" t="n">
        <v>46257</v>
      </c>
      <c r="K17" s="44" t="n"/>
      <c r="L17" s="43" t="n">
        <v>1</v>
      </c>
      <c r="M17" s="43">
        <f>IF(OR(AND(I17="yes",H17="verified"),AND(I17="no",OR(H17="tested",H17="verified")),AND(H17="not applicable",K17&lt;&gt;"")),1,0)</f>
        <v/>
      </c>
    </row>
    <row r="18" ht="54" customHeight="1" s="34">
      <c r="A18" s="43" t="inlineStr">
        <is>
          <t>AP-10</t>
        </is>
      </c>
      <c r="B18" s="43" t="inlineStr">
        <is>
          <t>Visual</t>
        </is>
      </c>
      <c r="C18" s="43" t="inlineStr">
        <is>
          <t>Scopes</t>
        </is>
      </c>
      <c r="D18" s="44" t="inlineStr">
        <is>
          <t>Baselines cover nested re-entry, wrapper-free composition, explicit portal scope, compact width, light, dark, and compiled Theme behavior.</t>
        </is>
      </c>
      <c r="E18" s="43" t="inlineStr">
        <is>
          <t>package</t>
        </is>
      </c>
      <c r="F18" s="43" t="inlineStr">
        <is>
          <t>visual</t>
        </is>
      </c>
      <c r="G18" s="44" t="inlineStr">
        <is>
          <t>tests/components/appearance/visual.spec.ts</t>
        </is>
      </c>
      <c r="H18" s="43" t="inlineStr">
        <is>
          <t>implemented</t>
        </is>
      </c>
      <c r="I18" s="43" t="inlineStr">
        <is>
          <t>yes</t>
        </is>
      </c>
      <c r="J18" s="45" t="n"/>
      <c r="K18" s="44" t="inlineStr">
        <is>
          <t>Automated baselines exist; complete owner visual review is intentionally unclaimed.</t>
        </is>
      </c>
      <c r="L18" s="43" t="n">
        <v>1</v>
      </c>
      <c r="M18" s="43">
        <f>IF(OR(AND(I18="yes",H18="verified"),AND(I18="no",OR(H18="tested",H18="verified")),AND(H18="not applicable",K18&lt;&gt;"")),1,0)</f>
        <v/>
      </c>
    </row>
    <row r="19" ht="54" customHeight="1" s="34">
      <c r="A19" s="43" t="inlineStr">
        <is>
          <t>AP-11</t>
        </is>
      </c>
      <c r="B19" s="43" t="inlineStr">
        <is>
          <t>Responsive</t>
        </is>
      </c>
      <c r="C19" s="43" t="inlineStr">
        <is>
          <t>Scopes</t>
        </is>
      </c>
      <c r="D19" s="44" t="inlineStr">
        <is>
          <t>Narrow width, 200% and 400% zoom, RTL, forced colors, reduced motion, and keyboard use preserve containment, focus, and contrast.</t>
        </is>
      </c>
      <c r="E19" s="43" t="inlineStr">
        <is>
          <t>package</t>
        </is>
      </c>
      <c r="F19" s="43" t="inlineStr">
        <is>
          <t>manual</t>
        </is>
      </c>
      <c r="G19" s="44" t="inlineStr">
        <is>
          <t>manual-tests/appearance.md</t>
        </is>
      </c>
      <c r="H19" s="43" t="inlineStr">
        <is>
          <t>implemented</t>
        </is>
      </c>
      <c r="I19" s="43" t="inlineStr">
        <is>
          <t>yes</t>
        </is>
      </c>
      <c r="J19" s="45" t="n"/>
      <c r="K19" s="44" t="inlineStr">
        <is>
          <t>Automated compact evidence passes; the complete human stress run remains pending.</t>
        </is>
      </c>
      <c r="L19" s="43" t="n">
        <v>1</v>
      </c>
      <c r="M19" s="43">
        <f>IF(OR(AND(I19="yes",H19="verified"),AND(I19="no",OR(H19="tested",H19="verified")),AND(H19="not applicable",K19&lt;&gt;"")),1,0)</f>
        <v/>
      </c>
    </row>
    <row r="20" ht="54" customHeight="1" s="34">
      <c r="A20" s="43" t="inlineStr">
        <is>
          <t>AP-12</t>
        </is>
      </c>
      <c r="B20" s="43" t="inlineStr">
        <is>
          <t>Manual</t>
        </is>
      </c>
      <c r="C20" s="43" t="inlineStr">
        <is>
          <t>Appearance</t>
        </is>
      </c>
      <c r="D20" s="44" t="inlineStr">
        <is>
          <t>A tester completes the component-owned nested, portal, stress, Theme, and assistive-technology protocol.</t>
        </is>
      </c>
      <c r="E20" s="43" t="inlineStr">
        <is>
          <t>package</t>
        </is>
      </c>
      <c r="F20" s="43" t="inlineStr">
        <is>
          <t>manual</t>
        </is>
      </c>
      <c r="G20" s="44" t="inlineStr">
        <is>
          <t>manual-tests/appearance.md</t>
        </is>
      </c>
      <c r="H20" s="43" t="inlineStr">
        <is>
          <t>implemented</t>
        </is>
      </c>
      <c r="I20" s="43" t="inlineStr">
        <is>
          <t>yes</t>
        </is>
      </c>
      <c r="J20" s="45" t="n"/>
      <c r="K20" s="44" t="inlineStr">
        <is>
          <t>Protocol exists; owner human review remains intentionally unclaimed.</t>
        </is>
      </c>
      <c r="L20" s="43" t="n">
        <v>1</v>
      </c>
      <c r="M20" s="43">
        <f>IF(OR(AND(I20="yes",H20="verified"),AND(I20="no",OR(H20="tested",H20="verified")),AND(H20="not applicable",K20&lt;&gt;"")),1,0)</f>
        <v/>
      </c>
    </row>
    <row r="21" ht="54" customHeight="1" s="34">
      <c r="A21" s="43" t="inlineStr">
        <is>
          <t>AP-13</t>
        </is>
      </c>
      <c r="B21" s="43" t="inlineStr">
        <is>
          <t>Docs</t>
        </is>
      </c>
      <c r="C21" s="43" t="inlineStr">
        <is>
          <t>Appearance</t>
        </is>
      </c>
      <c r="D21" s="44" t="inlineStr">
        <is>
          <t>Public guidance covers selection, wrapper-free anatomy, values, portals, accessibility, responsive ownership, CSS, and customization.</t>
        </is>
      </c>
      <c r="E21" s="43" t="inlineStr">
        <is>
          <t>package</t>
        </is>
      </c>
      <c r="F21" s="43" t="inlineStr">
        <is>
          <t>docs</t>
        </is>
      </c>
      <c r="G21" s="44" t="inlineStr">
        <is>
          <t>../docs/components/appearance/README.md</t>
        </is>
      </c>
      <c r="H21" s="43" t="inlineStr">
        <is>
          <t>tested</t>
        </is>
      </c>
      <c r="I21" s="43" t="inlineStr">
        <is>
          <t>no</t>
        </is>
      </c>
      <c r="J21" s="45" t="n">
        <v>46257</v>
      </c>
      <c r="K21" s="44" t="n"/>
      <c r="L21" s="43" t="n">
        <v>1</v>
      </c>
      <c r="M21" s="43">
        <f>IF(OR(AND(I21="yes",H21="verified"),AND(I21="no",OR(H21="tested",H21="verified")),AND(H21="not applicable",K21&lt;&gt;"")),1,0)</f>
        <v/>
      </c>
    </row>
    <row r="22" ht="54" customHeight="1" s="34">
      <c r="A22" s="43" t="inlineStr">
        <is>
          <t>AP-14</t>
        </is>
      </c>
      <c r="B22" s="43" t="inlineStr">
        <is>
          <t>Agent Knowledge</t>
        </is>
      </c>
      <c r="C22" s="43" t="inlineStr">
        <is>
          <t>Selection</t>
        </is>
      </c>
      <c r="D22" s="44" t="inlineStr">
        <is>
          <t>Machine-readable guidance distinguishes appearance scope, Surface paint, Theme generation, and application preference ownership.</t>
        </is>
      </c>
      <c r="E22" s="43" t="inlineStr">
        <is>
          <t>package</t>
        </is>
      </c>
      <c r="F22" s="43" t="inlineStr">
        <is>
          <t>documentation</t>
        </is>
      </c>
      <c r="G22" s="44" t="inlineStr">
        <is>
          <t>../src/components/appearance/agent.json; ../src/components/appearance/agent.md</t>
        </is>
      </c>
      <c r="H22" s="43" t="inlineStr">
        <is>
          <t>tested</t>
        </is>
      </c>
      <c r="I22" s="43" t="inlineStr">
        <is>
          <t>no</t>
        </is>
      </c>
      <c r="J22" s="45" t="n">
        <v>46257</v>
      </c>
      <c r="K22" s="44" t="n"/>
      <c r="L22" s="43" t="n">
        <v>1</v>
      </c>
      <c r="M22" s="43">
        <f>IF(OR(AND(I22="yes",H22="verified"),AND(I22="no",OR(H22="tested",H22="verified")),AND(H22="not applicable",K22&lt;&gt;"")),1,0)</f>
        <v/>
      </c>
    </row>
    <row r="23" ht="54" customHeight="1" s="34">
      <c r="A23" s="43" t="inlineStr">
        <is>
          <t>AP-15</t>
        </is>
      </c>
      <c r="B23" s="43" t="inlineStr">
        <is>
          <t>Changelog</t>
        </is>
      </c>
      <c r="C23" s="43" t="inlineStr">
        <is>
          <t>Appearance</t>
        </is>
      </c>
      <c r="D23" s="44" t="inlineStr">
        <is>
          <t>Appearance owns a public changelog and the package history records its scope and compiled Theme qualification.</t>
        </is>
      </c>
      <c r="E23" s="43" t="inlineStr">
        <is>
          <t>package</t>
        </is>
      </c>
      <c r="F23" s="43" t="inlineStr">
        <is>
          <t>docs</t>
        </is>
      </c>
      <c r="G23" s="44" t="inlineStr">
        <is>
          <t>../docs/components/appearance/CHANGELOG.md; ../CHANGELOG.md</t>
        </is>
      </c>
      <c r="H23" s="43" t="inlineStr">
        <is>
          <t>tested</t>
        </is>
      </c>
      <c r="I23" s="43" t="inlineStr">
        <is>
          <t>no</t>
        </is>
      </c>
      <c r="J23" s="45" t="n">
        <v>46257</v>
      </c>
      <c r="K23" s="44" t="n"/>
      <c r="L23" s="43" t="n">
        <v>1</v>
      </c>
      <c r="M23" s="43">
        <f>IF(OR(AND(I23="yes",H23="verified"),AND(I23="no",OR(H23="tested",H23="verified")),AND(H23="not applicable",K23&lt;&gt;"")),1,0)</f>
        <v/>
      </c>
    </row>
    <row r="24" ht="54" customHeight="1" s="34">
      <c r="A24" s="43" t="inlineStr">
        <is>
          <t>AP-16</t>
        </is>
      </c>
      <c r="B24" s="43" t="inlineStr">
        <is>
          <t>Consumer</t>
        </is>
      </c>
      <c r="C24" s="43" t="inlineStr">
        <is>
          <t>Appearance</t>
        </is>
      </c>
      <c r="D24" s="44" t="inlineStr">
        <is>
          <t>A packed consumer directly composes the local Appearance component rather than only owning document preference state.</t>
        </is>
      </c>
      <c r="E24" s="43" t="inlineStr">
        <is>
          <t>consumer</t>
        </is>
      </c>
      <c r="F24" s="43" t="inlineStr">
        <is>
          <t>consumer</t>
        </is>
      </c>
      <c r="G24" s="44" t="inlineStr">
        <is>
          <t>../apps/consumer</t>
        </is>
      </c>
      <c r="H24" s="43" t="inlineStr">
        <is>
          <t>not applicable</t>
        </is>
      </c>
      <c r="I24" s="43" t="inlineStr">
        <is>
          <t>no</t>
        </is>
      </c>
      <c r="J24" s="45" t="n"/>
      <c r="K24" s="44" t="inlineStr">
        <is>
          <t>The packed consumer currently owns document-root preference state and does not directly import Appearance; package and SSR gates prove this component.</t>
        </is>
      </c>
      <c r="L24" s="43" t="n">
        <v>1</v>
      </c>
      <c r="M24" s="43">
        <f>IF(OR(AND(I24="yes",H24="verified"),AND(I24="no",OR(H24="tested",H24="verified")),AND(H24="not applicable",K24&lt;&gt;"")),1,0)</f>
        <v/>
      </c>
    </row>
    <row r="25" ht="54" customHeight="1" s="34">
      <c r="A25" s="43" t="inlineStr">
        <is>
          <t>AP-17</t>
        </is>
      </c>
      <c r="B25" s="43" t="inlineStr">
        <is>
          <t>Package</t>
        </is>
      </c>
      <c r="C25" s="43" t="inlineStr">
        <is>
          <t>Appearance</t>
        </is>
      </c>
      <c r="D25" s="44" t="inlineStr">
        <is>
          <t>Build, SSR, exports, CSS, tokens, tarball, React 18/19, docs, browser, axe, and visual gates pass.</t>
        </is>
      </c>
      <c r="E25" s="43" t="inlineStr">
        <is>
          <t>package</t>
        </is>
      </c>
      <c r="F25" s="43" t="inlineStr">
        <is>
          <t>package</t>
        </is>
      </c>
      <c r="G25" s="44" t="inlineStr">
        <is>
          <t>../test/package; ../scripts/verify-package.mjs</t>
        </is>
      </c>
      <c r="H25" s="43" t="inlineStr">
        <is>
          <t>implemented</t>
        </is>
      </c>
      <c r="I25" s="43" t="inlineStr">
        <is>
          <t>yes</t>
        </is>
      </c>
      <c r="J25" s="45" t="n"/>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0" showErrorMessage="0" allowBlank="0" type="list" errorStyle="stop" operator="between">
      <formula1>"not started,partial,implemented,tested,verified,blocked,not applicable"</formula1>
      <formula2>0</formula2>
    </dataValidation>
    <dataValidation sqref="I9:I25"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3.xml><?xml version="1.0" encoding="utf-8"?>
<worksheet xmlns="http://schemas.openxmlformats.org/spreadsheetml/2006/main">
  <sheetPr filterMode="0">
    <outlinePr summaryBelow="1" summaryRight="1"/>
    <pageSetUpPr fitToPage="0"/>
  </sheetPr>
  <dimension ref="A1:M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Frame Evidence</t>
        </is>
      </c>
    </row>
    <row r="2" ht="27.75" customHeight="1" s="34">
      <c r="A2" s="36" t="inlineStr">
        <is>
          <t>Assertion-level logical size-constraint, responsive, nesting, composition, browser, documentation, and package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FR-01</t>
        </is>
      </c>
      <c r="B9" s="43" t="inlineStr">
        <is>
          <t>Implementation</t>
        </is>
      </c>
      <c r="C9" s="43" t="inlineStr">
        <is>
          <t>Frame</t>
        </is>
      </c>
      <c r="D9" s="44" t="inlineStr">
        <is>
          <t>Frame renders one approved semantic host and owns only six logical size constraints with stable hooks and forwarded refs.</t>
        </is>
      </c>
      <c r="E9" s="43" t="inlineStr">
        <is>
          <t>package</t>
        </is>
      </c>
      <c r="F9" s="43" t="inlineStr">
        <is>
          <t>source</t>
        </is>
      </c>
      <c r="G9" s="44" t="inlineStr">
        <is>
          <t>../src/components/frame</t>
        </is>
      </c>
      <c r="H9" s="43" t="inlineStr">
        <is>
          <t>tested</t>
        </is>
      </c>
      <c r="I9" s="43" t="inlineStr">
        <is>
          <t>no</t>
        </is>
      </c>
      <c r="J9" s="45" t="n">
        <v>46257</v>
      </c>
      <c r="K9" s="44" t="n"/>
      <c r="L9" s="43" t="n">
        <v>1</v>
      </c>
      <c r="M9" s="43">
        <f>IF(OR(AND(I9="yes",H9="verified"),AND(I9="no",OR(H9="tested",H9="verified")),AND(H9="not applicable",K9&lt;&gt;"")),1,0)</f>
        <v/>
      </c>
    </row>
    <row r="10" ht="54" customHeight="1" s="34">
      <c r="A10" s="43" t="inlineStr">
        <is>
          <t>FR-02</t>
        </is>
      </c>
      <c r="B10" s="43" t="inlineStr">
        <is>
          <t>Exports</t>
        </is>
      </c>
      <c r="C10" s="43" t="inlineStr">
        <is>
          <t>Frame</t>
        </is>
      </c>
      <c r="D10" s="44" t="inlineStr">
        <is>
          <t>Root and frame subpath exports expose Frame and every public Frame type with identical runtime identity.</t>
        </is>
      </c>
      <c r="E10" s="43" t="inlineStr">
        <is>
          <t>package</t>
        </is>
      </c>
      <c r="F10" s="43" t="inlineStr">
        <is>
          <t>package</t>
        </is>
      </c>
      <c r="G10" s="44" t="inlineStr">
        <is>
          <t>../test/package/package.test.mjs; ../test/package/ssr.test.mjs</t>
        </is>
      </c>
      <c r="H10" s="43" t="inlineStr">
        <is>
          <t>tested</t>
        </is>
      </c>
      <c r="I10" s="43" t="inlineStr">
        <is>
          <t>no</t>
        </is>
      </c>
      <c r="J10" s="45" t="n">
        <v>46257</v>
      </c>
      <c r="K10" s="44" t="n"/>
      <c r="L10" s="43" t="n">
        <v>1</v>
      </c>
      <c r="M10" s="43">
        <f>IF(OR(AND(I10="yes",H10="verified"),AND(I10="no",OR(H10="tested",H10="verified")),AND(H10="not applicable",K10&lt;&gt;"")),1,0)</f>
        <v/>
      </c>
    </row>
    <row r="11" ht="54" customHeight="1" s="34">
      <c r="A11" s="43" t="inlineStr">
        <is>
          <t>FR-03</t>
        </is>
      </c>
      <c r="B11" s="43" t="inlineStr">
        <is>
          <t>Types</t>
        </is>
      </c>
      <c r="C11" s="43" t="inlineStr">
        <is>
          <t>Public surface</t>
        </is>
      </c>
      <c r="D11" s="44" t="inlineStr">
        <is>
          <t>Closed hosts, six responsive logical constraints, native props, refs, and rejected paint, overflow, and invalid breakpoint props type-check.</t>
        </is>
      </c>
      <c r="E11" s="43" t="inlineStr">
        <is>
          <t>package</t>
        </is>
      </c>
      <c r="F11" s="43" t="inlineStr">
        <is>
          <t>types</t>
        </is>
      </c>
      <c r="G11" s="44" t="inlineStr">
        <is>
          <t>../test/types/components/frame.test.ts</t>
        </is>
      </c>
      <c r="H11" s="43" t="inlineStr">
        <is>
          <t>tested</t>
        </is>
      </c>
      <c r="I11" s="43" t="inlineStr">
        <is>
          <t>no</t>
        </is>
      </c>
      <c r="J11" s="45" t="n">
        <v>46257</v>
      </c>
      <c r="K11" s="44" t="n"/>
      <c r="L11" s="43" t="n">
        <v>1</v>
      </c>
      <c r="M11" s="43">
        <f>IF(OR(AND(I11="yes",H11="verified"),AND(I11="no",OR(H11="tested",H11="verified")),AND(H11="not applicable",K11&lt;&gt;"")),1,0)</f>
        <v/>
      </c>
    </row>
    <row r="12" ht="54" customHeight="1" s="34">
      <c r="A12" s="43" t="inlineStr">
        <is>
          <t>FR-04</t>
        </is>
      </c>
      <c r="B12" s="43" t="inlineStr">
        <is>
          <t>CSS</t>
        </is>
      </c>
      <c r="C12" s="43" t="inlineStr">
        <is>
          <t>Frame</t>
        </is>
      </c>
      <c r="D12" s="44" t="inlineStr">
        <is>
          <t>Static CSS maps base and standard-breakpoint logical variables without taking over paint, layout, spacing, or overflow.</t>
        </is>
      </c>
      <c r="E12" s="43" t="inlineStr">
        <is>
          <t>package</t>
        </is>
      </c>
      <c r="F12" s="43" t="inlineStr">
        <is>
          <t>css</t>
        </is>
      </c>
      <c r="G12" s="44" t="inlineStr">
        <is>
          <t>../src/components/frame/frame.css</t>
        </is>
      </c>
      <c r="H12" s="43" t="inlineStr">
        <is>
          <t>tested</t>
        </is>
      </c>
      <c r="I12" s="43" t="inlineStr">
        <is>
          <t>no</t>
        </is>
      </c>
      <c r="J12" s="45" t="n">
        <v>46257</v>
      </c>
      <c r="K12" s="44" t="n"/>
      <c r="L12" s="43" t="n">
        <v>1</v>
      </c>
      <c r="M12" s="43">
        <f>IF(OR(AND(I12="yes",H12="verified"),AND(I12="no",OR(H12="tested",H12="verified")),AND(H12="not applicable",K12&lt;&gt;"")),1,0)</f>
        <v/>
      </c>
    </row>
    <row r="13" ht="54" customHeight="1" s="34">
      <c r="A13" s="43" t="inlineStr">
        <is>
          <t>FR-05</t>
        </is>
      </c>
      <c r="B13" s="43" t="inlineStr">
        <is>
          <t>Unit</t>
        </is>
      </c>
      <c r="C13" s="43" t="inlineStr">
        <is>
          <t>Frame</t>
        </is>
      </c>
      <c r="D13" s="44" t="inlineStr">
        <is>
          <t>Defaults, every constraint, responsive serialization, asChild composition, native props, hooks, refs, and prop filtering pass.</t>
        </is>
      </c>
      <c r="E13" s="43" t="inlineStr">
        <is>
          <t>package</t>
        </is>
      </c>
      <c r="F13" s="43" t="inlineStr">
        <is>
          <t>component</t>
        </is>
      </c>
      <c r="G13" s="44" t="inlineStr">
        <is>
          <t>../test/components/frame/frame.test.tsx</t>
        </is>
      </c>
      <c r="H13" s="43" t="inlineStr">
        <is>
          <t>tested</t>
        </is>
      </c>
      <c r="I13" s="43" t="inlineStr">
        <is>
          <t>no</t>
        </is>
      </c>
      <c r="J13" s="45" t="n">
        <v>46257</v>
      </c>
      <c r="K13" s="44" t="n"/>
      <c r="L13" s="43" t="n">
        <v>1</v>
      </c>
      <c r="M13" s="43">
        <f>IF(OR(AND(I13="yes",H13="verified"),AND(I13="no",OR(H13="tested",H13="verified")),AND(H13="not applicable",K13&lt;&gt;"")),1,0)</f>
        <v/>
      </c>
    </row>
    <row r="14" ht="54" customHeight="1" s="34">
      <c r="A14" s="43" t="inlineStr">
        <is>
          <t>FR-06</t>
        </is>
      </c>
      <c r="B14" s="43" t="inlineStr">
        <is>
          <t>Browser</t>
        </is>
      </c>
      <c r="C14" s="43" t="inlineStr">
        <is>
          <t>Constraints</t>
        </is>
      </c>
      <c r="D14" s="44" t="inlineStr">
        <is>
          <t>Inline, minimum, maximum, block, responsive carry-forward, and prop-leakage behavior resolve correctly in a real browser.</t>
        </is>
      </c>
      <c r="E14" s="43" t="inlineStr">
        <is>
          <t>package</t>
        </is>
      </c>
      <c r="F14" s="43" t="inlineStr">
        <is>
          <t>browser</t>
        </is>
      </c>
      <c r="G14" s="44" t="inlineStr">
        <is>
          <t>tests/components/frame/behavior.spec.ts</t>
        </is>
      </c>
      <c r="H14" s="43" t="inlineStr">
        <is>
          <t>tested</t>
        </is>
      </c>
      <c r="I14" s="43" t="inlineStr">
        <is>
          <t>no</t>
        </is>
      </c>
      <c r="J14" s="45" t="n">
        <v>46257</v>
      </c>
      <c r="K14" s="44" t="n"/>
      <c r="L14" s="43" t="n">
        <v>1</v>
      </c>
      <c r="M14" s="43">
        <f>IF(OR(AND(I14="yes",H14="verified"),AND(I14="no",OR(H14="tested",H14="verified")),AND(H14="not applicable",K14&lt;&gt;"")),1,0)</f>
        <v/>
      </c>
    </row>
    <row r="15" ht="54" customHeight="1" s="34">
      <c r="A15" s="43" t="inlineStr">
        <is>
          <t>FR-07</t>
        </is>
      </c>
      <c r="B15" s="43" t="inlineStr">
        <is>
          <t>Composition</t>
        </is>
      </c>
      <c r="C15" s="43" t="inlineStr">
        <is>
          <t>asChild</t>
        </is>
      </c>
      <c r="D15" s="44" t="inlineStr">
        <is>
          <t>Frame enhances one semantic or painted child while preserving one host, its props, style, slot, and ref.</t>
        </is>
      </c>
      <c r="E15" s="43" t="inlineStr">
        <is>
          <t>package</t>
        </is>
      </c>
      <c r="F15" s="43" t="inlineStr">
        <is>
          <t>browser</t>
        </is>
      </c>
      <c r="G15" s="44" t="inlineStr">
        <is>
          <t>tests/components/frame/behavior.spec.ts</t>
        </is>
      </c>
      <c r="H15" s="43" t="inlineStr">
        <is>
          <t>tested</t>
        </is>
      </c>
      <c r="I15" s="43" t="inlineStr">
        <is>
          <t>no</t>
        </is>
      </c>
      <c r="J15" s="45" t="n">
        <v>46257</v>
      </c>
      <c r="K15" s="44" t="n"/>
      <c r="L15" s="43" t="n">
        <v>1</v>
      </c>
      <c r="M15" s="43">
        <f>IF(OR(AND(I15="yes",H15="verified"),AND(I15="no",OR(H15="tested",H15="verified")),AND(H15="not applicable",K15&lt;&gt;"")),1,0)</f>
        <v/>
      </c>
    </row>
    <row r="16" ht="54" customHeight="1" s="34">
      <c r="A16" s="43" t="inlineStr">
        <is>
          <t>FR-08</t>
        </is>
      </c>
      <c r="B16" s="43" t="inlineStr">
        <is>
          <t>Nesting</t>
        </is>
      </c>
      <c r="C16" s="43" t="inlineStr">
        <is>
          <t>Frame</t>
        </is>
      </c>
      <c r="D16" s="44" t="inlineStr">
        <is>
          <t>Nested Frames keep base and responsive variables locally scoped instead of inheriting parent constraints.</t>
        </is>
      </c>
      <c r="E16" s="43" t="inlineStr">
        <is>
          <t>package</t>
        </is>
      </c>
      <c r="F16" s="43" t="inlineStr">
        <is>
          <t>browser</t>
        </is>
      </c>
      <c r="G16" s="44" t="inlineStr">
        <is>
          <t>tests/components/frame/behavior.spec.ts</t>
        </is>
      </c>
      <c r="H16" s="43" t="inlineStr">
        <is>
          <t>tested</t>
        </is>
      </c>
      <c r="I16" s="43" t="inlineStr">
        <is>
          <t>no</t>
        </is>
      </c>
      <c r="J16" s="45" t="n">
        <v>46257</v>
      </c>
      <c r="K16" s="44" t="n"/>
      <c r="L16" s="43" t="n">
        <v>1</v>
      </c>
      <c r="M16" s="43">
        <f>IF(OR(AND(I16="yes",H16="verified"),AND(I16="no",OR(H16="tested",H16="verified")),AND(H16="not applicable",K16&lt;&gt;"")),1,0)</f>
        <v/>
      </c>
    </row>
    <row r="17" ht="54" customHeight="1" s="34">
      <c r="A17" s="43" t="inlineStr">
        <is>
          <t>FR-09</t>
        </is>
      </c>
      <c r="B17" s="43" t="inlineStr">
        <is>
          <t>Accessibility</t>
        </is>
      </c>
      <c r="C17" s="43" t="inlineStr">
        <is>
          <t>Frame</t>
        </is>
      </c>
      <c r="D17" s="44" t="inlineStr">
        <is>
          <t>Logical sizing adds no landmark or behavior and preserves source order, focus visibility, axe, RTL, and vertical writing.</t>
        </is>
      </c>
      <c r="E17" s="43" t="inlineStr">
        <is>
          <t>package</t>
        </is>
      </c>
      <c r="F17" s="43" t="inlineStr">
        <is>
          <t>axe</t>
        </is>
      </c>
      <c r="G17" s="44" t="inlineStr">
        <is>
          <t>tests/components/frame/behavior.spec.ts</t>
        </is>
      </c>
      <c r="H17" s="43" t="inlineStr">
        <is>
          <t>tested</t>
        </is>
      </c>
      <c r="I17" s="43" t="inlineStr">
        <is>
          <t>no</t>
        </is>
      </c>
      <c r="J17" s="45" t="n">
        <v>46257</v>
      </c>
      <c r="K17" s="44" t="n"/>
      <c r="L17" s="43" t="n">
        <v>1</v>
      </c>
      <c r="M17" s="43">
        <f>IF(OR(AND(I17="yes",H17="verified"),AND(I17="no",OR(H17="tested",H17="verified")),AND(H17="not applicable",K17&lt;&gt;"")),1,0)</f>
        <v/>
      </c>
    </row>
    <row r="18" ht="54" customHeight="1" s="34">
      <c r="A18" s="43" t="inlineStr">
        <is>
          <t>FR-10</t>
        </is>
      </c>
      <c r="B18" s="43" t="inlineStr">
        <is>
          <t>Visual</t>
        </is>
      </c>
      <c r="C18" s="43" t="inlineStr">
        <is>
          <t>Constraints</t>
        </is>
      </c>
      <c r="D18" s="44" t="inlineStr">
        <is>
          <t>Baselines cover qualified constraints, nested composition, responsive mobile geometry, and readable containment.</t>
        </is>
      </c>
      <c r="E18" s="43" t="inlineStr">
        <is>
          <t>package</t>
        </is>
      </c>
      <c r="F18" s="43" t="inlineStr">
        <is>
          <t>visual</t>
        </is>
      </c>
      <c r="G18" s="44" t="inlineStr">
        <is>
          <t>tests/components/frame/visual.spec.ts</t>
        </is>
      </c>
      <c r="H18" s="43" t="inlineStr">
        <is>
          <t>implemented</t>
        </is>
      </c>
      <c r="I18" s="43" t="inlineStr">
        <is>
          <t>yes</t>
        </is>
      </c>
      <c r="J18" s="45" t="n"/>
      <c r="K18" s="44" t="inlineStr">
        <is>
          <t>Automated baselines exist; complete owner visual review is intentionally unclaimed.</t>
        </is>
      </c>
      <c r="L18" s="43" t="n">
        <v>1</v>
      </c>
      <c r="M18" s="43">
        <f>IF(OR(AND(I18="yes",H18="verified"),AND(I18="no",OR(H18="tested",H18="verified")),AND(H18="not applicable",K18&lt;&gt;"")),1,0)</f>
        <v/>
      </c>
    </row>
    <row r="19" ht="54" customHeight="1" s="34">
      <c r="A19" s="43" t="inlineStr">
        <is>
          <t>FR-11</t>
        </is>
      </c>
      <c r="B19" s="43" t="inlineStr">
        <is>
          <t>Responsive</t>
        </is>
      </c>
      <c r="C19" s="43" t="inlineStr">
        <is>
          <t>Frame</t>
        </is>
      </c>
      <c r="D19" s="44" t="inlineStr">
        <is>
          <t>Physical mobile, 200% and 400% zoom, long content, RTL, vertical writing, and bounded ScrollArea composition remain usable.</t>
        </is>
      </c>
      <c r="E19" s="43" t="inlineStr">
        <is>
          <t>package</t>
        </is>
      </c>
      <c r="F19" s="43" t="inlineStr">
        <is>
          <t>manual</t>
        </is>
      </c>
      <c r="G19" s="44" t="inlineStr">
        <is>
          <t>manual-tests/frame.md</t>
        </is>
      </c>
      <c r="H19" s="43" t="inlineStr">
        <is>
          <t>implemented</t>
        </is>
      </c>
      <c r="I19" s="43" t="inlineStr">
        <is>
          <t>yes</t>
        </is>
      </c>
      <c r="J19" s="45" t="n"/>
      <c r="K19" s="44" t="inlineStr">
        <is>
          <t>Automated logical stress evidence passes; the complete human run remains pending.</t>
        </is>
      </c>
      <c r="L19" s="43" t="n">
        <v>1</v>
      </c>
      <c r="M19" s="43">
        <f>IF(OR(AND(I19="yes",H19="verified"),AND(I19="no",OR(H19="tested",H19="verified")),AND(H19="not applicable",K19&lt;&gt;"")),1,0)</f>
        <v/>
      </c>
    </row>
    <row r="20" ht="54" customHeight="1" s="34">
      <c r="A20" s="43" t="inlineStr">
        <is>
          <t>FR-12</t>
        </is>
      </c>
      <c r="B20" s="43" t="inlineStr">
        <is>
          <t>Manual</t>
        </is>
      </c>
      <c r="C20" s="43" t="inlineStr">
        <is>
          <t>Frame</t>
        </is>
      </c>
      <c r="D20" s="44" t="inlineStr">
        <is>
          <t>A tester completes the component-owned constraints, nesting, scrolling, focus, writing-mode, and appearance protocol.</t>
        </is>
      </c>
      <c r="E20" s="43" t="inlineStr">
        <is>
          <t>package</t>
        </is>
      </c>
      <c r="F20" s="43" t="inlineStr">
        <is>
          <t>manual</t>
        </is>
      </c>
      <c r="G20" s="44" t="inlineStr">
        <is>
          <t>manual-tests/frame.md</t>
        </is>
      </c>
      <c r="H20" s="43" t="inlineStr">
        <is>
          <t>implemented</t>
        </is>
      </c>
      <c r="I20" s="43" t="inlineStr">
        <is>
          <t>yes</t>
        </is>
      </c>
      <c r="J20" s="45" t="n"/>
      <c r="K20" s="44" t="inlineStr">
        <is>
          <t>Protocol exists; owner human review remains intentionally unclaimed.</t>
        </is>
      </c>
      <c r="L20" s="43" t="n">
        <v>1</v>
      </c>
      <c r="M20" s="43">
        <f>IF(OR(AND(I20="yes",H20="verified"),AND(I20="no",OR(H20="tested",H20="verified")),AND(H20="not applicable",K20&lt;&gt;"")),1,0)</f>
        <v/>
      </c>
    </row>
    <row r="21" ht="54" customHeight="1" s="34">
      <c r="A21" s="43" t="inlineStr">
        <is>
          <t>FR-13</t>
        </is>
      </c>
      <c r="B21" s="43" t="inlineStr">
        <is>
          <t>Docs</t>
        </is>
      </c>
      <c r="C21" s="43" t="inlineStr">
        <is>
          <t>Frame</t>
        </is>
      </c>
      <c r="D21" s="44" t="inlineStr">
        <is>
          <t>Public and Agent Knowledge guidance covers selection, ownership boundaries, constraints, composition, accessibility, CSS, and API details.</t>
        </is>
      </c>
      <c r="E21" s="43" t="inlineStr">
        <is>
          <t>package</t>
        </is>
      </c>
      <c r="F21" s="43" t="inlineStr">
        <is>
          <t>docs</t>
        </is>
      </c>
      <c r="G21" s="44" t="inlineStr">
        <is>
          <t>../docs/components/frame/README.md; ../src/components/frame/agent.json; ../src/components/frame/agent.md</t>
        </is>
      </c>
      <c r="H21" s="43" t="inlineStr">
        <is>
          <t>tested</t>
        </is>
      </c>
      <c r="I21" s="43" t="inlineStr">
        <is>
          <t>no</t>
        </is>
      </c>
      <c r="J21" s="45" t="n">
        <v>46257</v>
      </c>
      <c r="K21" s="44" t="n"/>
      <c r="L21" s="43" t="n">
        <v>1</v>
      </c>
      <c r="M21" s="43">
        <f>IF(OR(AND(I21="yes",H21="verified"),AND(I21="no",OR(H21="tested",H21="verified")),AND(H21="not applicable",K21&lt;&gt;"")),1,0)</f>
        <v/>
      </c>
    </row>
    <row r="22" ht="54" customHeight="1" s="34">
      <c r="A22" s="43" t="inlineStr">
        <is>
          <t>FR-14</t>
        </is>
      </c>
      <c r="B22" s="43" t="inlineStr">
        <is>
          <t>Changelog</t>
        </is>
      </c>
      <c r="C22" s="43" t="inlineStr">
        <is>
          <t>Frame</t>
        </is>
      </c>
      <c r="D22" s="44" t="inlineStr">
        <is>
          <t>Frame owns a public changelog and package history records the responsive primitive and nested-scope correction.</t>
        </is>
      </c>
      <c r="E22" s="43" t="inlineStr">
        <is>
          <t>package</t>
        </is>
      </c>
      <c r="F22" s="43" t="inlineStr">
        <is>
          <t>docs</t>
        </is>
      </c>
      <c r="G22" s="44" t="inlineStr">
        <is>
          <t>../docs/components/frame/CHANGELOG.md; ../CHANGELOG.md</t>
        </is>
      </c>
      <c r="H22" s="43" t="inlineStr">
        <is>
          <t>tested</t>
        </is>
      </c>
      <c r="I22" s="43" t="inlineStr">
        <is>
          <t>no</t>
        </is>
      </c>
      <c r="J22" s="45" t="n">
        <v>46257</v>
      </c>
      <c r="K22" s="44" t="n"/>
      <c r="L22" s="43" t="n">
        <v>1</v>
      </c>
      <c r="M22" s="43">
        <f>IF(OR(AND(I22="yes",H22="verified"),AND(I22="no",OR(H22="tested",H22="verified")),AND(H22="not applicable",K22&lt;&gt;"")),1,0)</f>
        <v/>
      </c>
    </row>
    <row r="23" ht="54" customHeight="1" s="34">
      <c r="A23" s="43" t="inlineStr">
        <is>
          <t>FR-15</t>
        </is>
      </c>
      <c r="B23" s="43" t="inlineStr">
        <is>
          <t>Consumer</t>
        </is>
      </c>
      <c r="C23" s="43" t="inlineStr">
        <is>
          <t>Frame</t>
        </is>
      </c>
      <c r="D23" s="44" t="inlineStr">
        <is>
          <t>A packed consumer directly imports Frame for a realistic local size constraint.</t>
        </is>
      </c>
      <c r="E23" s="43" t="inlineStr">
        <is>
          <t>consumer</t>
        </is>
      </c>
      <c r="F23" s="43" t="inlineStr">
        <is>
          <t>consumer</t>
        </is>
      </c>
      <c r="G23" s="44" t="inlineStr">
        <is>
          <t>../apps/consumer</t>
        </is>
      </c>
      <c r="H23" s="43" t="inlineStr">
        <is>
          <t>not applicable</t>
        </is>
      </c>
      <c r="I23" s="43" t="inlineStr">
        <is>
          <t>no</t>
        </is>
      </c>
      <c r="J23" s="45" t="n"/>
      <c r="K23" s="44" t="inlineStr">
        <is>
          <t>The packed consumer does not directly import Frame; package, SSR, and component gates prove the public artifact.</t>
        </is>
      </c>
      <c r="L23" s="43" t="n">
        <v>1</v>
      </c>
      <c r="M23" s="43">
        <f>IF(OR(AND(I23="yes",H23="verified"),AND(I23="no",OR(H23="tested",H23="verified")),AND(H23="not applicable",K23&lt;&gt;"")),1,0)</f>
        <v/>
      </c>
    </row>
    <row r="24" ht="54" customHeight="1" s="34">
      <c r="A24" s="43" t="inlineStr">
        <is>
          <t>FR-16</t>
        </is>
      </c>
      <c r="B24" s="43" t="inlineStr">
        <is>
          <t>Package</t>
        </is>
      </c>
      <c r="C24" s="43" t="inlineStr">
        <is>
          <t>Frame</t>
        </is>
      </c>
      <c r="D24" s="44" t="inlineStr">
        <is>
          <t>Build, SSR, exports, CSS, tarball, React 18/19, docs, browser, axe, and visual gates pass.</t>
        </is>
      </c>
      <c r="E24" s="43" t="inlineStr">
        <is>
          <t>package</t>
        </is>
      </c>
      <c r="F24" s="43" t="inlineStr">
        <is>
          <t>package</t>
        </is>
      </c>
      <c r="G24" s="44" t="inlineStr">
        <is>
          <t>../test/package; ../scripts/verify-package.mjs</t>
        </is>
      </c>
      <c r="H24" s="43" t="inlineStr">
        <is>
          <t>implemented</t>
        </is>
      </c>
      <c r="I24" s="43" t="inlineStr">
        <is>
          <t>yes</t>
        </is>
      </c>
      <c r="J24" s="45" t="n"/>
      <c r="K24" s="44" t="inlineStr">
        <is>
          <t>Automated package gates pass; complete status waits for the component-owned human manual run.</t>
        </is>
      </c>
      <c r="L24" s="43" t="n">
        <v>1</v>
      </c>
      <c r="M24" s="43">
        <f>IF(OR(AND(I24="yes",H24="verified"),AND(I24="no",OR(H24="tested",H24="verified")),AND(H24="not applicable",K24&lt;&gt;"")),1,0)</f>
        <v/>
      </c>
    </row>
    <row r="25" ht="54" customHeight="1" s="34"/>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0" showErrorMessage="0" allowBlank="0" type="list" errorStyle="stop" operator="between">
      <formula1>"not started,partial,implemented,tested,verified,blocked,not applicable"</formula1>
      <formula2>0</formula2>
    </dataValidation>
    <dataValidation sqref="I9:I24"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4.xml><?xml version="1.0" encoding="utf-8"?>
<worksheet xmlns="http://schemas.openxmlformats.org/spreadsheetml/2006/main">
  <sheetPr filterMode="0">
    <outlinePr summaryBelow="1" summaryRight="1"/>
    <pageSetUpPr fitToPage="0"/>
  </sheetPr>
  <dimension ref="A1:M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Section Evidence</t>
        </is>
      </c>
    </row>
    <row r="2" ht="27.75" customHeight="1" s="34">
      <c r="A2" s="36" t="inlineStr">
        <is>
          <t>Assertion-level semantic region, responsive rhythm, logical-edge, composition, accessibility, documentation, and package evidence.</t>
        </is>
      </c>
    </row>
    <row r="4" ht="17.25" customHeight="1" s="34">
      <c r="A4" s="37" t="inlineStr">
        <is>
          <t>Requirements</t>
        </is>
      </c>
      <c r="B4" s="38">
        <f>COUNTA(A9:A25)</f>
        <v/>
      </c>
      <c r="D4" s="37" t="inlineStr">
        <is>
          <t>Resolved</t>
        </is>
      </c>
      <c r="E4" s="38">
        <f>SUM(M9:M25)</f>
        <v/>
      </c>
      <c r="G4" s="37" t="inlineStr">
        <is>
          <t>Completion</t>
        </is>
      </c>
      <c r="H4" s="39">
        <f>IF(B4=0,0,E4/B4)</f>
        <v/>
      </c>
      <c r="J4" s="37" t="inlineStr">
        <is>
          <t>Package gate</t>
        </is>
      </c>
      <c r="K4" s="38">
        <f>IF(COUNTIFS(E9:E25,"package",M9:M25,0)&gt;0,"open","complete")</f>
        <v/>
      </c>
    </row>
    <row r="5" ht="17.25" customHeight="1" s="34">
      <c r="A5" s="37" t="inlineStr">
        <is>
          <t>Manual review</t>
        </is>
      </c>
      <c r="B5" s="38">
        <f>IF(COUNTIFS(I9:I25,"yes",M9:M25,0)&gt;0,"open","complete")</f>
        <v/>
      </c>
      <c r="D5" s="37" t="inlineStr">
        <is>
          <t>Consumer gate</t>
        </is>
      </c>
      <c r="E5" s="38">
        <f>IF(COUNTIFS(E9:E25,"consumer",M9:M25,0)&gt;0,"open","complete")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SE-01</t>
        </is>
      </c>
      <c r="B9" s="43" t="inlineStr">
        <is>
          <t>Implementation</t>
        </is>
      </c>
      <c r="C9" s="43" t="inlineStr">
        <is>
          <t>Section</t>
        </is>
      </c>
      <c r="D9" s="44" t="inlineStr">
        <is>
          <t>Section renders one approved native host and owns only themeable logical block rhythm with stable hooks and forwarded refs.</t>
        </is>
      </c>
      <c r="E9" s="43" t="inlineStr">
        <is>
          <t>package</t>
        </is>
      </c>
      <c r="F9" s="43" t="inlineStr">
        <is>
          <t>source</t>
        </is>
      </c>
      <c r="G9" s="44" t="inlineStr">
        <is>
          <t>../src/components/section</t>
        </is>
      </c>
      <c r="H9" s="43" t="inlineStr">
        <is>
          <t>tested</t>
        </is>
      </c>
      <c r="I9" s="43" t="inlineStr">
        <is>
          <t>no</t>
        </is>
      </c>
      <c r="J9" s="45" t="n">
        <v>46257</v>
      </c>
      <c r="K9" s="44" t="n"/>
      <c r="L9" s="43" t="n">
        <v>1</v>
      </c>
      <c r="M9" s="43">
        <f>IF(OR(AND(I9="yes",H9="verified"),AND(I9="no",OR(H9="tested",H9="verified")),AND(H9="not applicable",K9&lt;&gt;"")),1,0)</f>
        <v/>
      </c>
    </row>
    <row r="10" ht="54" customHeight="1" s="34">
      <c r="A10" s="43" t="inlineStr">
        <is>
          <t>SE-02</t>
        </is>
      </c>
      <c r="B10" s="43" t="inlineStr">
        <is>
          <t>Exports</t>
        </is>
      </c>
      <c r="C10" s="43" t="inlineStr">
        <is>
          <t>Section</t>
        </is>
      </c>
      <c r="D10" s="44" t="inlineStr">
        <is>
          <t>Root and section subpath exports expose Section and every public Section type with identical runtime identity.</t>
        </is>
      </c>
      <c r="E10" s="43" t="inlineStr">
        <is>
          <t>package</t>
        </is>
      </c>
      <c r="F10" s="43" t="inlineStr">
        <is>
          <t>package</t>
        </is>
      </c>
      <c r="G10" s="44" t="inlineStr">
        <is>
          <t>../test/package/package.test.mjs; ../test/package/ssr.test.mjs</t>
        </is>
      </c>
      <c r="H10" s="43" t="inlineStr">
        <is>
          <t>tested</t>
        </is>
      </c>
      <c r="I10" s="43" t="inlineStr">
        <is>
          <t>no</t>
        </is>
      </c>
      <c r="J10" s="45" t="n">
        <v>46257</v>
      </c>
      <c r="K10" s="44" t="n"/>
      <c r="L10" s="43" t="n">
        <v>1</v>
      </c>
      <c r="M10" s="43">
        <f>IF(OR(AND(I10="yes",H10="verified"),AND(I10="no",OR(H10="tested",H10="verified")),AND(H10="not applicable",K10&lt;&gt;"")),1,0)</f>
        <v/>
      </c>
    </row>
    <row r="11" ht="54" customHeight="1" s="34">
      <c r="A11" s="43" t="inlineStr">
        <is>
          <t>SE-03</t>
        </is>
      </c>
      <c r="B11" s="43" t="inlineStr">
        <is>
          <t>Types</t>
        </is>
      </c>
      <c r="C11" s="43" t="inlineStr">
        <is>
          <t>Public surface</t>
        </is>
      </c>
      <c r="D11" s="44" t="inlineStr">
        <is>
          <t>Closed hosts, six named spacing values, responsive and independent edge values, native props, refs, and ownership exclusions type-check.</t>
        </is>
      </c>
      <c r="E11" s="43" t="inlineStr">
        <is>
          <t>package</t>
        </is>
      </c>
      <c r="F11" s="43" t="inlineStr">
        <is>
          <t>types</t>
        </is>
      </c>
      <c r="G11" s="44" t="inlineStr">
        <is>
          <t>../test/types/components/section.test.ts</t>
        </is>
      </c>
      <c r="H11" s="43" t="inlineStr">
        <is>
          <t>tested</t>
        </is>
      </c>
      <c r="I11" s="43" t="inlineStr">
        <is>
          <t>no</t>
        </is>
      </c>
      <c r="J11" s="45" t="n">
        <v>46257</v>
      </c>
      <c r="K11" s="44" t="n"/>
      <c r="L11" s="43" t="n">
        <v>1</v>
      </c>
      <c r="M11" s="43">
        <f>IF(OR(AND(I11="yes",H11="verified"),AND(I11="no",OR(H11="tested",H11="verified")),AND(H11="not applicable",K11&lt;&gt;"")),1,0)</f>
        <v/>
      </c>
    </row>
    <row r="12" ht="54" customHeight="1" s="34">
      <c r="A12" s="43" t="inlineStr">
        <is>
          <t>SE-04</t>
        </is>
      </c>
      <c r="B12" s="43" t="inlineStr">
        <is>
          <t>CSS</t>
        </is>
      </c>
      <c r="C12" s="43" t="inlineStr">
        <is>
          <t>Rhythm</t>
        </is>
      </c>
      <c r="D12" s="44" t="inlineStr">
        <is>
          <t>Static CSS ships six fluid token-derived recipes, independent logical edges, responsive breakpoints, and public variables without paint or layout ownership.</t>
        </is>
      </c>
      <c r="E12" s="43" t="inlineStr">
        <is>
          <t>package</t>
        </is>
      </c>
      <c r="F12" s="43" t="inlineStr">
        <is>
          <t>css</t>
        </is>
      </c>
      <c r="G12" s="44" t="inlineStr">
        <is>
          <t>../src/components/section/section.css</t>
        </is>
      </c>
      <c r="H12" s="43" t="inlineStr">
        <is>
          <t>tested</t>
        </is>
      </c>
      <c r="I12" s="43" t="inlineStr">
        <is>
          <t>no</t>
        </is>
      </c>
      <c r="J12" s="45" t="n">
        <v>46257</v>
      </c>
      <c r="K12" s="44" t="n"/>
      <c r="L12" s="43" t="n">
        <v>1</v>
      </c>
      <c r="M12" s="43">
        <f>IF(OR(AND(I12="yes",H12="verified"),AND(I12="no",OR(H12="tested",H12="verified")),AND(H12="not applicable",K12&lt;&gt;"")),1,0)</f>
        <v/>
      </c>
    </row>
    <row r="13" ht="54" customHeight="1" s="34">
      <c r="A13" s="43" t="inlineStr">
        <is>
          <t>SE-05</t>
        </is>
      </c>
      <c r="B13" s="43" t="inlineStr">
        <is>
          <t>Unit</t>
        </is>
      </c>
      <c r="C13" s="43" t="inlineStr">
        <is>
          <t>Section</t>
        </is>
      </c>
      <c r="D13" s="44" t="inlineStr">
        <is>
          <t>Defaults, all recipes, responsive serialization, approved hosts, native props, hooks, events, styles, children, and refs pass.</t>
        </is>
      </c>
      <c r="E13" s="43" t="inlineStr">
        <is>
          <t>package</t>
        </is>
      </c>
      <c r="F13" s="43" t="inlineStr">
        <is>
          <t>component</t>
        </is>
      </c>
      <c r="G13" s="44" t="inlineStr">
        <is>
          <t>../test/components/section/section.test.tsx</t>
        </is>
      </c>
      <c r="H13" s="43" t="inlineStr">
        <is>
          <t>tested</t>
        </is>
      </c>
      <c r="I13" s="43" t="inlineStr">
        <is>
          <t>no</t>
        </is>
      </c>
      <c r="J13" s="45" t="n">
        <v>46257</v>
      </c>
      <c r="K13" s="44" t="n"/>
      <c r="L13" s="43" t="n">
        <v>1</v>
      </c>
      <c r="M13" s="43">
        <f>IF(OR(AND(I13="yes",H13="verified"),AND(I13="no",OR(H13="tested",H13="verified")),AND(H13="not applicable",K13&lt;&gt;"")),1,0)</f>
        <v/>
      </c>
    </row>
    <row r="14" ht="54" customHeight="1" s="34">
      <c r="A14" s="43" t="inlineStr">
        <is>
          <t>SE-06</t>
        </is>
      </c>
      <c r="B14" s="43" t="inlineStr">
        <is>
          <t>Browser</t>
        </is>
      </c>
      <c r="C14" s="43" t="inlineStr">
        <is>
          <t>Scale</t>
        </is>
      </c>
      <c r="D14" s="44" t="inlineStr">
        <is>
          <t>The closed rhythm scale grows monotonically, keeps the medium default, and remains themeable in a real browser.</t>
        </is>
      </c>
      <c r="E14" s="43" t="inlineStr">
        <is>
          <t>package</t>
        </is>
      </c>
      <c r="F14" s="43" t="inlineStr">
        <is>
          <t>browser</t>
        </is>
      </c>
      <c r="G14" s="44" t="inlineStr">
        <is>
          <t>tests/components/section/behavior.spec.ts</t>
        </is>
      </c>
      <c r="H14" s="43" t="inlineStr">
        <is>
          <t>tested</t>
        </is>
      </c>
      <c r="I14" s="43" t="inlineStr">
        <is>
          <t>no</t>
        </is>
      </c>
      <c r="J14" s="45" t="n">
        <v>46257</v>
      </c>
      <c r="K14" s="44" t="n"/>
      <c r="L14" s="43" t="n">
        <v>1</v>
      </c>
      <c r="M14" s="43">
        <f>IF(OR(AND(I14="yes",H14="verified"),AND(I14="no",OR(H14="tested",H14="verified")),AND(H14="not applicable",K14&lt;&gt;"")),1,0)</f>
        <v/>
      </c>
    </row>
    <row r="15" ht="54" customHeight="1" s="34">
      <c r="A15" s="43" t="inlineStr">
        <is>
          <t>SE-07</t>
        </is>
      </c>
      <c r="B15" s="43" t="inlineStr">
        <is>
          <t>Responsive</t>
        </is>
      </c>
      <c r="C15" s="43" t="inlineStr">
        <is>
          <t>Rhythm</t>
        </is>
      </c>
      <c r="D15" s="44" t="inlineStr">
        <is>
          <t>Responsive values change at Brick breakpoints with CSS carry-forward and no JavaScript viewport switching.</t>
        </is>
      </c>
      <c r="E15" s="43" t="inlineStr">
        <is>
          <t>package</t>
        </is>
      </c>
      <c r="F15" s="43" t="inlineStr">
        <is>
          <t>browser</t>
        </is>
      </c>
      <c r="G15" s="44" t="inlineStr">
        <is>
          <t>tests/components/section/behavior.spec.ts</t>
        </is>
      </c>
      <c r="H15" s="43" t="inlineStr">
        <is>
          <t>tested</t>
        </is>
      </c>
      <c r="I15" s="43" t="inlineStr">
        <is>
          <t>no</t>
        </is>
      </c>
      <c r="J15" s="45" t="n">
        <v>46257</v>
      </c>
      <c r="K15" s="44" t="n"/>
      <c r="L15" s="43" t="n">
        <v>1</v>
      </c>
      <c r="M15" s="43">
        <f>IF(OR(AND(I15="yes",H15="verified"),AND(I15="no",OR(H15="tested",H15="verified")),AND(H15="not applicable",K15&lt;&gt;"")),1,0)</f>
        <v/>
      </c>
    </row>
    <row r="16" ht="54" customHeight="1" s="34">
      <c r="A16" s="43" t="inlineStr">
        <is>
          <t>SE-08</t>
        </is>
      </c>
      <c r="B16" s="43" t="inlineStr">
        <is>
          <t>Logical edges</t>
        </is>
      </c>
      <c r="C16" s="43" t="inlineStr">
        <is>
          <t>Section</t>
        </is>
      </c>
      <c r="D16" s="44" t="inlineStr">
        <is>
          <t>startSpacing and endSpacing change only their requested logical edges in horizontal and vertical writing.</t>
        </is>
      </c>
      <c r="E16" s="43" t="inlineStr">
        <is>
          <t>package</t>
        </is>
      </c>
      <c r="F16" s="43" t="inlineStr">
        <is>
          <t>browser</t>
        </is>
      </c>
      <c r="G16" s="44" t="inlineStr">
        <is>
          <t>tests/components/section/behavior.spec.ts</t>
        </is>
      </c>
      <c r="H16" s="43" t="inlineStr">
        <is>
          <t>tested</t>
        </is>
      </c>
      <c r="I16" s="43" t="inlineStr">
        <is>
          <t>no</t>
        </is>
      </c>
      <c r="J16" s="45" t="n">
        <v>46257</v>
      </c>
      <c r="K16" s="44" t="n"/>
      <c r="L16" s="43" t="n">
        <v>1</v>
      </c>
      <c r="M16" s="43">
        <f>IF(OR(AND(I16="yes",H16="verified"),AND(I16="no",OR(H16="tested",H16="verified")),AND(H16="not applicable",K16&lt;&gt;"")),1,0)</f>
        <v/>
      </c>
    </row>
    <row r="17" ht="54" customHeight="1" s="34">
      <c r="A17" s="43" t="inlineStr">
        <is>
          <t>SE-09</t>
        </is>
      </c>
      <c r="B17" s="43" t="inlineStr">
        <is>
          <t>Composition</t>
        </is>
      </c>
      <c r="C17" s="43" t="inlineStr">
        <is>
          <t>Surface/Container</t>
        </is>
      </c>
      <c r="D17" s="44" t="inlineStr">
        <is>
          <t>Surface asChild and Section share one painted semantic host while Container and Stack retain measure and child-layout ownership.</t>
        </is>
      </c>
      <c r="E17" s="43" t="inlineStr">
        <is>
          <t>package</t>
        </is>
      </c>
      <c r="F17" s="43" t="inlineStr">
        <is>
          <t>browser</t>
        </is>
      </c>
      <c r="G17" s="44" t="inlineStr">
        <is>
          <t>tests/components/section/behavior.spec.ts; ../test/package/ssr.test.mjs</t>
        </is>
      </c>
      <c r="H17" s="43" t="inlineStr">
        <is>
          <t>tested</t>
        </is>
      </c>
      <c r="I17" s="43" t="inlineStr">
        <is>
          <t>no</t>
        </is>
      </c>
      <c r="J17" s="45" t="n">
        <v>46257</v>
      </c>
      <c r="K17" s="44" t="n"/>
      <c r="L17" s="43" t="n">
        <v>1</v>
      </c>
      <c r="M17" s="43">
        <f>IF(OR(AND(I17="yes",H17="verified"),AND(I17="no",OR(H17="tested",H17="verified")),AND(H17="not applicable",K17&lt;&gt;"")),1,0)</f>
        <v/>
      </c>
    </row>
    <row r="18" ht="54" customHeight="1" s="34">
      <c r="A18" s="43" t="inlineStr">
        <is>
          <t>SE-10</t>
        </is>
      </c>
      <c r="B18" s="43" t="inlineStr">
        <is>
          <t>Accessibility</t>
        </is>
      </c>
      <c r="C18" s="43" t="inlineStr">
        <is>
          <t>Section</t>
        </is>
      </c>
      <c r="D18" s="44" t="inlineStr">
        <is>
          <t>Section adds no role or name, preserves valid authored landmarks, source and focus order, axe, reflow, RTL, and vertical writing.</t>
        </is>
      </c>
      <c r="E18" s="43" t="inlineStr">
        <is>
          <t>package</t>
        </is>
      </c>
      <c r="F18" s="43" t="inlineStr">
        <is>
          <t>axe</t>
        </is>
      </c>
      <c r="G18" s="44" t="inlineStr">
        <is>
          <t>tests/components/section/behavior.spec.ts</t>
        </is>
      </c>
      <c r="H18" s="43" t="inlineStr">
        <is>
          <t>tested</t>
        </is>
      </c>
      <c r="I18" s="43" t="inlineStr">
        <is>
          <t>no</t>
        </is>
      </c>
      <c r="J18" s="45" t="n">
        <v>46257</v>
      </c>
      <c r="K18" s="44" t="n"/>
      <c r="L18" s="43" t="n">
        <v>1</v>
      </c>
      <c r="M18" s="43">
        <f>IF(OR(AND(I18="yes",H18="verified"),AND(I18="no",OR(H18="tested",H18="verified")),AND(H18="not applicable",K18&lt;&gt;"")),1,0)</f>
        <v/>
      </c>
    </row>
    <row r="19" ht="54" customHeight="1" s="34">
      <c r="A19" s="43" t="inlineStr">
        <is>
          <t>SE-11</t>
        </is>
      </c>
      <c r="B19" s="43" t="inlineStr">
        <is>
          <t>Visual</t>
        </is>
      </c>
      <c r="C19" s="43" t="inlineStr">
        <is>
          <t>Rhythm</t>
        </is>
      </c>
      <c r="D19" s="44" t="inlineStr">
        <is>
          <t>Baselines cover the complete scale, responsive mobile behavior, asymmetric edges, dark composition, and logical stress.</t>
        </is>
      </c>
      <c r="E19" s="43" t="inlineStr">
        <is>
          <t>package</t>
        </is>
      </c>
      <c r="F19" s="43" t="inlineStr">
        <is>
          <t>visual</t>
        </is>
      </c>
      <c r="G19" s="44" t="inlineStr">
        <is>
          <t>tests/components/section/visual.spec.ts</t>
        </is>
      </c>
      <c r="H19" s="43" t="inlineStr">
        <is>
          <t>implemented</t>
        </is>
      </c>
      <c r="I19" s="43" t="inlineStr">
        <is>
          <t>yes</t>
        </is>
      </c>
      <c r="J19" s="45" t="n"/>
      <c r="K19" s="44" t="inlineStr">
        <is>
          <t>Automated baselines exist; complete owner visual review is intentionally unclaimed.</t>
        </is>
      </c>
      <c r="L19" s="43" t="n">
        <v>1</v>
      </c>
      <c r="M19" s="43">
        <f>IF(OR(AND(I19="yes",H19="verified"),AND(I19="no",OR(H19="tested",H19="verified")),AND(H19="not applicable",K19&lt;&gt;"")),1,0)</f>
        <v/>
      </c>
    </row>
    <row r="20" ht="54" customHeight="1" s="34">
      <c r="A20" s="43" t="inlineStr">
        <is>
          <t>SE-12</t>
        </is>
      </c>
      <c r="B20" s="43" t="inlineStr">
        <is>
          <t>Manual</t>
        </is>
      </c>
      <c r="C20" s="43" t="inlineStr">
        <is>
          <t>Section</t>
        </is>
      </c>
      <c r="D20" s="44" t="inlineStr">
        <is>
          <t>A tester completes the component-owned scale, edge, semantic, composition, zoom, focus, and assistive-technology protocol.</t>
        </is>
      </c>
      <c r="E20" s="43" t="inlineStr">
        <is>
          <t>package</t>
        </is>
      </c>
      <c r="F20" s="43" t="inlineStr">
        <is>
          <t>manual</t>
        </is>
      </c>
      <c r="G20" s="44" t="inlineStr">
        <is>
          <t>manual-tests/section.md</t>
        </is>
      </c>
      <c r="H20" s="43" t="inlineStr">
        <is>
          <t>implemented</t>
        </is>
      </c>
      <c r="I20" s="43" t="inlineStr">
        <is>
          <t>yes</t>
        </is>
      </c>
      <c r="J20" s="45" t="n"/>
      <c r="K20" s="44" t="inlineStr">
        <is>
          <t>Protocol exists; owner human review remains intentionally unclaimed.</t>
        </is>
      </c>
      <c r="L20" s="43" t="n">
        <v>1</v>
      </c>
      <c r="M20" s="43">
        <f>IF(OR(AND(I20="yes",H20="verified"),AND(I20="no",OR(H20="tested",H20="verified")),AND(H20="not applicable",K20&lt;&gt;"")),1,0)</f>
        <v/>
      </c>
    </row>
    <row r="21" ht="54" customHeight="1" s="34">
      <c r="A21" s="43" t="inlineStr">
        <is>
          <t>SE-13</t>
        </is>
      </c>
      <c r="B21" s="43" t="inlineStr">
        <is>
          <t>Docs</t>
        </is>
      </c>
      <c r="C21" s="43" t="inlineStr">
        <is>
          <t>Section</t>
        </is>
      </c>
      <c r="D21" s="44" t="inlineStr">
        <is>
          <t>Public guidance covers selection, semantic ownership, named rhythm, responsive edges, composition, accessibility, CSS, and API details.</t>
        </is>
      </c>
      <c r="E21" s="43" t="inlineStr">
        <is>
          <t>package</t>
        </is>
      </c>
      <c r="F21" s="43" t="inlineStr">
        <is>
          <t>docs</t>
        </is>
      </c>
      <c r="G21" s="44" t="inlineStr">
        <is>
          <t>../docs/components/section/README.md</t>
        </is>
      </c>
      <c r="H21" s="43" t="inlineStr">
        <is>
          <t>tested</t>
        </is>
      </c>
      <c r="I21" s="43" t="inlineStr">
        <is>
          <t>no</t>
        </is>
      </c>
      <c r="J21" s="45" t="n">
        <v>46257</v>
      </c>
      <c r="K21" s="44" t="n"/>
      <c r="L21" s="43" t="n">
        <v>1</v>
      </c>
      <c r="M21" s="43">
        <f>IF(OR(AND(I21="yes",H21="verified"),AND(I21="no",OR(H21="tested",H21="verified")),AND(H21="not applicable",K21&lt;&gt;"")),1,0)</f>
        <v/>
      </c>
    </row>
    <row r="22" ht="54" customHeight="1" s="34">
      <c r="A22" s="43" t="inlineStr">
        <is>
          <t>SE-14</t>
        </is>
      </c>
      <c r="B22" s="43" t="inlineStr">
        <is>
          <t>Agent Knowledge</t>
        </is>
      </c>
      <c r="C22" s="43" t="inlineStr">
        <is>
          <t>Selection</t>
        </is>
      </c>
      <c r="D22" s="44" t="inlineStr">
        <is>
          <t>Machine-readable guidance separates major-region rhythm from Surface paint, Container measure, Stack/Grid layout, and Blocks.</t>
        </is>
      </c>
      <c r="E22" s="43" t="inlineStr">
        <is>
          <t>package</t>
        </is>
      </c>
      <c r="F22" s="43" t="inlineStr">
        <is>
          <t>documentation</t>
        </is>
      </c>
      <c r="G22" s="44" t="inlineStr">
        <is>
          <t>../src/components/section/agent.json; ../src/components/section/agent.md</t>
        </is>
      </c>
      <c r="H22" s="43" t="inlineStr">
        <is>
          <t>tested</t>
        </is>
      </c>
      <c r="I22" s="43" t="inlineStr">
        <is>
          <t>no</t>
        </is>
      </c>
      <c r="J22" s="45" t="n">
        <v>46257</v>
      </c>
      <c r="K22" s="44" t="n"/>
      <c r="L22" s="43" t="n">
        <v>1</v>
      </c>
      <c r="M22" s="43">
        <f>IF(OR(AND(I22="yes",H22="verified"),AND(I22="no",OR(H22="tested",H22="verified")),AND(H22="not applicable",K22&lt;&gt;"")),1,0)</f>
        <v/>
      </c>
    </row>
    <row r="23" ht="54" customHeight="1" s="34">
      <c r="A23" s="43" t="inlineStr">
        <is>
          <t>SE-15</t>
        </is>
      </c>
      <c r="B23" s="43" t="inlineStr">
        <is>
          <t>Changelog</t>
        </is>
      </c>
      <c r="C23" s="43" t="inlineStr">
        <is>
          <t>Section</t>
        </is>
      </c>
      <c r="D23" s="44" t="inlineStr">
        <is>
          <t>Section owns a public changelog and package history records the semantic responsive rhythm primitive.</t>
        </is>
      </c>
      <c r="E23" s="43" t="inlineStr">
        <is>
          <t>package</t>
        </is>
      </c>
      <c r="F23" s="43" t="inlineStr">
        <is>
          <t>docs</t>
        </is>
      </c>
      <c r="G23" s="44" t="inlineStr">
        <is>
          <t>../docs/components/section/CHANGELOG.md; ../CHANGELOG.md</t>
        </is>
      </c>
      <c r="H23" s="43" t="inlineStr">
        <is>
          <t>tested</t>
        </is>
      </c>
      <c r="I23" s="43" t="inlineStr">
        <is>
          <t>no</t>
        </is>
      </c>
      <c r="J23" s="45" t="n">
        <v>46257</v>
      </c>
      <c r="K23" s="44" t="n"/>
      <c r="L23" s="43" t="n">
        <v>1</v>
      </c>
      <c r="M23" s="43">
        <f>IF(OR(AND(I23="yes",H23="verified"),AND(I23="no",OR(H23="tested",H23="verified")),AND(H23="not applicable",K23&lt;&gt;"")),1,0)</f>
        <v/>
      </c>
    </row>
    <row r="24" ht="54" customHeight="1" s="34">
      <c r="A24" s="43" t="inlineStr">
        <is>
          <t>SE-16</t>
        </is>
      </c>
      <c r="B24" s="43" t="inlineStr">
        <is>
          <t>Consumer</t>
        </is>
      </c>
      <c r="C24" s="43" t="inlineStr">
        <is>
          <t>Section</t>
        </is>
      </c>
      <c r="D24" s="44" t="inlineStr">
        <is>
          <t>A packed consumer directly imports Section for a realistic major-region rhythm boundary.</t>
        </is>
      </c>
      <c r="E24" s="43" t="inlineStr">
        <is>
          <t>consumer</t>
        </is>
      </c>
      <c r="F24" s="43" t="inlineStr">
        <is>
          <t>consumer</t>
        </is>
      </c>
      <c r="G24" s="44" t="inlineStr">
        <is>
          <t>../apps/consumer</t>
        </is>
      </c>
      <c r="H24" s="43" t="inlineStr">
        <is>
          <t>not applicable</t>
        </is>
      </c>
      <c r="I24" s="43" t="inlineStr">
        <is>
          <t>no</t>
        </is>
      </c>
      <c r="J24" s="45" t="n"/>
      <c r="K24" s="44" t="inlineStr">
        <is>
          <t>The packed consumer currently uses other semantic Brick hosts rather than directly importing Section; package and SSR gates prove this component.</t>
        </is>
      </c>
      <c r="L24" s="43" t="n">
        <v>1</v>
      </c>
      <c r="M24" s="43">
        <f>IF(OR(AND(I24="yes",H24="verified"),AND(I24="no",OR(H24="tested",H24="verified")),AND(H24="not applicable",K24&lt;&gt;"")),1,0)</f>
        <v/>
      </c>
    </row>
    <row r="25" ht="54" customHeight="1" s="34">
      <c r="A25" s="43" t="inlineStr">
        <is>
          <t>SE-17</t>
        </is>
      </c>
      <c r="B25" s="43" t="inlineStr">
        <is>
          <t>Package</t>
        </is>
      </c>
      <c r="C25" s="43" t="inlineStr">
        <is>
          <t>Section</t>
        </is>
      </c>
      <c r="D25" s="44" t="inlineStr">
        <is>
          <t>Build, SSR, exports, CSS, tarball, React 18/19, docs, browser, axe, and visual gates pass.</t>
        </is>
      </c>
      <c r="E25" s="43" t="inlineStr">
        <is>
          <t>package</t>
        </is>
      </c>
      <c r="F25" s="43" t="inlineStr">
        <is>
          <t>package</t>
        </is>
      </c>
      <c r="G25" s="44" t="inlineStr">
        <is>
          <t>../test/package; ../scripts/verify-package.mjs</t>
        </is>
      </c>
      <c r="H25" s="43" t="inlineStr">
        <is>
          <t>implemented</t>
        </is>
      </c>
      <c r="I25" s="43" t="inlineStr">
        <is>
          <t>yes</t>
        </is>
      </c>
      <c r="J25" s="45" t="n"/>
      <c r="K25" s="44" t="inlineStr">
        <is>
          <t>Automated package gates pass; complete status waits for the component-owned human manual run.</t>
        </is>
      </c>
      <c r="L25" s="43" t="n">
        <v>1</v>
      </c>
      <c r="M25" s="43">
        <f>IF(OR(AND(I25="yes",H25="verified"),AND(I25="no",OR(H25="tested",H25="verified")),AND(H25="not applicable",K25&lt;&gt;"")),1,0)</f>
        <v/>
      </c>
    </row>
  </sheetData>
  <mergeCells count="2">
    <mergeCell ref="A2:M2"/>
    <mergeCell ref="A1:M1"/>
  </mergeCells>
  <conditionalFormatting sqref="H9:H25">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5" showDropDown="0" showInputMessage="0" showErrorMessage="0" allowBlank="0" type="list" errorStyle="stop" operator="between">
      <formula1>"not started,partial,implemented,tested,verified,blocked,not applicable"</formula1>
      <formula2>0</formula2>
    </dataValidation>
    <dataValidation sqref="I9:I25"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5.xml><?xml version="1.0" encoding="utf-8"?>
<worksheet xmlns="http://schemas.openxmlformats.org/spreadsheetml/2006/main">
  <sheetPr filterMode="0">
    <outlinePr summaryBelow="1" summaryRight="1"/>
    <pageSetUpPr fitToPage="0"/>
  </sheetPr>
  <dimension ref="A1:M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Reorderable List Evidence</t>
        </is>
      </c>
    </row>
    <row r="2" ht="27.75" customHeight="1" s="34">
      <c r="A2" s="36" t="inlineStr">
        <is>
          <t>Assertion-level Atom-backed manual ordering, recipes, input parity, focus, responsive containment, documentation, Consumer, and accessibility evidence.</t>
        </is>
      </c>
    </row>
    <row r="4" ht="17.25" customHeight="1" s="34">
      <c r="A4" s="37" t="inlineStr">
        <is>
          <t>Requirements</t>
        </is>
      </c>
      <c r="B4" s="38">
        <f>COUNTA(A9:A27)</f>
        <v/>
      </c>
      <c r="D4" s="37" t="inlineStr">
        <is>
          <t>Resolved</t>
        </is>
      </c>
      <c r="E4" s="38">
        <f>SUM(M9:M27)</f>
        <v/>
      </c>
      <c r="G4" s="37" t="inlineStr">
        <is>
          <t>Completion</t>
        </is>
      </c>
      <c r="H4" s="39">
        <f>IF(B4=0,0,E4/B4)</f>
        <v/>
      </c>
      <c r="J4" s="37" t="inlineStr">
        <is>
          <t>Package gate</t>
        </is>
      </c>
      <c r="K4" s="38">
        <f>IF(COUNTIFS(E9:E27,"package",M9:M27,0)&gt;0,"open","complete")</f>
        <v/>
      </c>
    </row>
    <row r="5" ht="17.25" customHeight="1" s="34">
      <c r="A5" s="37" t="inlineStr">
        <is>
          <t>Manual review</t>
        </is>
      </c>
      <c r="B5" s="38">
        <f>IF(COUNTIFS(I9:I27,"yes",M9:M27,0)&gt;0,"open","complete")</f>
        <v/>
      </c>
      <c r="D5" s="37" t="inlineStr">
        <is>
          <t>Consumer gate</t>
        </is>
      </c>
      <c r="E5" s="38">
        <f>IF(COUNTIFS(E9:E27,"consumer",M9:M27,0)&gt;0,"open","complete")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54" customHeight="1" s="34">
      <c r="A9" s="43" t="inlineStr">
        <is>
          <t>RL-01</t>
        </is>
      </c>
      <c r="B9" s="43" t="inlineStr">
        <is>
          <t>Ownership</t>
        </is>
      </c>
      <c r="C9" s="43" t="inlineStr">
        <is>
          <t>All parts</t>
        </is>
      </c>
      <c r="D9" s="44" t="inlineStr">
        <is>
          <t>Brick styles published Atom Reorder behavior without recreating drag, touch, keyboard, focus, announcements, cancellation, or reorder state.</t>
        </is>
      </c>
      <c r="E9" s="43" t="inlineStr">
        <is>
          <t>package</t>
        </is>
      </c>
      <c r="F9" s="43" t="inlineStr">
        <is>
          <t>source</t>
        </is>
      </c>
      <c r="G9" s="44" t="inlineStr">
        <is>
          <t>../src/components/reorderable-list/ReorderableList.tsx; ../package.json</t>
        </is>
      </c>
      <c r="H9" s="43" t="inlineStr">
        <is>
          <t>tested</t>
        </is>
      </c>
      <c r="I9" s="43" t="inlineStr">
        <is>
          <t>no</t>
        </is>
      </c>
      <c r="J9" s="45" t="n">
        <v>46257</v>
      </c>
      <c r="K9" s="44" t="n"/>
      <c r="L9" s="43" t="n">
        <v>1</v>
      </c>
      <c r="M9" s="43">
        <f>IF(OR(AND(I9="yes",H9="verified"),AND(I9="no",OR(H9="tested",H9="verified")),AND(H9="not applicable",K9&lt;&gt;"")),1,0)</f>
        <v/>
      </c>
    </row>
    <row r="10" ht="54" customHeight="1" s="34">
      <c r="A10" s="43" t="inlineStr">
        <is>
          <t>RL-02</t>
        </is>
      </c>
      <c r="B10" s="43" t="inlineStr">
        <is>
          <t>Anatomy</t>
        </is>
      </c>
      <c r="C10" s="43" t="inlineStr">
        <is>
          <t>All parts</t>
        </is>
      </c>
      <c r="D10" s="44" t="inlineStr">
        <is>
          <t>Root, Item, Handle, Content, Actions, four direct Move controls, and DropIndicator expose the adopted ordered-list anatomy and refs.</t>
        </is>
      </c>
      <c r="E10" s="43" t="inlineStr">
        <is>
          <t>package</t>
        </is>
      </c>
      <c r="F10" s="43" t="inlineStr">
        <is>
          <t>component</t>
        </is>
      </c>
      <c r="G10" s="44" t="inlineStr">
        <is>
          <t>../test/components/reorderable-list/reorderable-list.test.tsx</t>
        </is>
      </c>
      <c r="H10" s="43" t="inlineStr">
        <is>
          <t>tested</t>
        </is>
      </c>
      <c r="I10" s="43" t="inlineStr">
        <is>
          <t>no</t>
        </is>
      </c>
      <c r="J10" s="45" t="n">
        <v>46257</v>
      </c>
      <c r="K10" s="44" t="n"/>
      <c r="L10" s="43" t="n">
        <v>1</v>
      </c>
      <c r="M10" s="43">
        <f>IF(OR(AND(I10="yes",H10="verified"),AND(I10="no",OR(H10="tested",H10="verified")),AND(H10="not applicable",K10&lt;&gt;"")),1,0)</f>
        <v/>
      </c>
    </row>
    <row r="11" ht="54" customHeight="1" s="34">
      <c r="A11" s="43" t="inlineStr">
        <is>
          <t>RL-03</t>
        </is>
      </c>
      <c r="B11" s="43" t="inlineStr">
        <is>
          <t>Exports</t>
        </is>
      </c>
      <c r="C11" s="43" t="inlineStr">
        <is>
          <t>All parts</t>
        </is>
      </c>
      <c r="D11" s="44" t="inlineStr">
        <is>
          <t>Root and reorderable-list subpath exports expose the complete namespace, named parts, and public types with identical identities.</t>
        </is>
      </c>
      <c r="E11" s="43" t="inlineStr">
        <is>
          <t>package</t>
        </is>
      </c>
      <c r="F11" s="43" t="inlineStr">
        <is>
          <t>package</t>
        </is>
      </c>
      <c r="G11" s="44" t="inlineStr">
        <is>
          <t>../test/package/package.test.mjs</t>
        </is>
      </c>
      <c r="H11" s="43" t="inlineStr">
        <is>
          <t>tested</t>
        </is>
      </c>
      <c r="I11" s="43" t="inlineStr">
        <is>
          <t>no</t>
        </is>
      </c>
      <c r="J11" s="45" t="n">
        <v>46257</v>
      </c>
      <c r="K11" s="44" t="n"/>
      <c r="L11" s="43" t="n">
        <v>1</v>
      </c>
      <c r="M11" s="43">
        <f>IF(OR(AND(I11="yes",H11="verified"),AND(I11="no",OR(H11="tested",H11="verified")),AND(H11="not applicable",K11&lt;&gt;"")),1,0)</f>
        <v/>
      </c>
    </row>
    <row r="12" ht="54" customHeight="1" s="34">
      <c r="A12" s="43" t="inlineStr">
        <is>
          <t>RL-04</t>
        </is>
      </c>
      <c r="B12" s="43" t="inlineStr">
        <is>
          <t>Types</t>
        </is>
      </c>
      <c r="C12" s="43" t="inlineStr">
        <is>
          <t>Public surface</t>
        </is>
      </c>
      <c r="D12" s="44" t="inlineStr">
        <is>
          <t>Closed sizes and variants, stable item labels, named handles and controls, native props, refs, and invalid omissions type-check.</t>
        </is>
      </c>
      <c r="E12" s="43" t="inlineStr">
        <is>
          <t>package</t>
        </is>
      </c>
      <c r="F12" s="43" t="inlineStr">
        <is>
          <t>types</t>
        </is>
      </c>
      <c r="G12" s="44" t="inlineStr">
        <is>
          <t>../test/types/components/reorderable-list.test.ts</t>
        </is>
      </c>
      <c r="H12" s="43" t="inlineStr">
        <is>
          <t>tested</t>
        </is>
      </c>
      <c r="I12" s="43" t="inlineStr">
        <is>
          <t>no</t>
        </is>
      </c>
      <c r="J12" s="45" t="n">
        <v>46257</v>
      </c>
      <c r="K12" s="44" t="n"/>
      <c r="L12" s="43" t="n">
        <v>1</v>
      </c>
      <c r="M12" s="43">
        <f>IF(OR(AND(I12="yes",H12="verified"),AND(I12="no",OR(H12="tested",H12="verified")),AND(H12="not applicable",K12&lt;&gt;"")),1,0)</f>
        <v/>
      </c>
    </row>
    <row r="13" ht="54" customHeight="1" s="34">
      <c r="A13" s="43" t="inlineStr">
        <is>
          <t>RL-05</t>
        </is>
      </c>
      <c r="B13" s="43" t="inlineStr">
        <is>
          <t>CSS</t>
        </is>
      </c>
      <c r="C13" s="43" t="inlineStr">
        <is>
          <t>All parts</t>
        </is>
      </c>
      <c r="D13" s="44" t="inlineStr">
        <is>
          <t>Static CSS ships complete outline and soft recipes, three sizes, state paint, logical orientation, narrow composition, and public variables.</t>
        </is>
      </c>
      <c r="E13" s="43" t="inlineStr">
        <is>
          <t>package</t>
        </is>
      </c>
      <c r="F13" s="43" t="inlineStr">
        <is>
          <t>css</t>
        </is>
      </c>
      <c r="G13" s="44" t="inlineStr">
        <is>
          <t>../src/components/reorderable-list/reorderable-list.css</t>
        </is>
      </c>
      <c r="H13" s="43" t="inlineStr">
        <is>
          <t>tested</t>
        </is>
      </c>
      <c r="I13" s="43" t="inlineStr">
        <is>
          <t>no</t>
        </is>
      </c>
      <c r="J13" s="45" t="n">
        <v>46257</v>
      </c>
      <c r="K13" s="44" t="n"/>
      <c r="L13" s="43" t="n">
        <v>1</v>
      </c>
      <c r="M13" s="43">
        <f>IF(OR(AND(I13="yes",H13="verified"),AND(I13="no",OR(H13="tested",H13="verified")),AND(H13="not applicable",K13&lt;&gt;"")),1,0)</f>
        <v/>
      </c>
    </row>
    <row r="14" ht="54" customHeight="1" s="34">
      <c r="A14" s="43" t="inlineStr">
        <is>
          <t>RL-06</t>
        </is>
      </c>
      <c r="B14" s="43" t="inlineStr">
        <is>
          <t>Unit</t>
        </is>
      </c>
      <c r="C14" s="43" t="inlineStr">
        <is>
          <t>All parts</t>
        </is>
      </c>
      <c r="D14" s="44" t="inlineStr">
        <is>
          <t>Default anatomy, recipes, direct completion details, native props, hooks, refs, disabled, and read-only behavior pass focused tests.</t>
        </is>
      </c>
      <c r="E14" s="43" t="inlineStr">
        <is>
          <t>package</t>
        </is>
      </c>
      <c r="F14" s="43" t="inlineStr">
        <is>
          <t>component</t>
        </is>
      </c>
      <c r="G14" s="44" t="inlineStr">
        <is>
          <t>../test/components/reorderable-list/reorderable-list.test.tsx</t>
        </is>
      </c>
      <c r="H14" s="43" t="inlineStr">
        <is>
          <t>tested</t>
        </is>
      </c>
      <c r="I14" s="43" t="inlineStr">
        <is>
          <t>no</t>
        </is>
      </c>
      <c r="J14" s="45" t="n">
        <v>46257</v>
      </c>
      <c r="K14" s="44" t="n"/>
      <c r="L14" s="43" t="n">
        <v>1</v>
      </c>
      <c r="M14" s="43">
        <f>IF(OR(AND(I14="yes",H14="verified"),AND(I14="no",OR(H14="tested",H14="verified")),AND(H14="not applicable",K14&lt;&gt;"")),1,0)</f>
        <v/>
      </c>
    </row>
    <row r="15" ht="54" customHeight="1" s="34">
      <c r="A15" s="43" t="inlineStr">
        <is>
          <t>RL-07</t>
        </is>
      </c>
      <c r="B15" s="43" t="inlineStr">
        <is>
          <t>Direct movement</t>
        </is>
      </c>
      <c r="C15" s="43" t="inlineStr">
        <is>
          <t>Move controls</t>
        </is>
      </c>
      <c r="D15" s="44" t="inlineStr">
        <is>
          <t>Visible before and after controls update stable order exactly once, expose unavailable states, and retain focus on the moved item.</t>
        </is>
      </c>
      <c r="E15" s="43" t="inlineStr">
        <is>
          <t>package</t>
        </is>
      </c>
      <c r="F15" s="43" t="inlineStr">
        <is>
          <t>browser</t>
        </is>
      </c>
      <c r="G15" s="44" t="inlineStr">
        <is>
          <t>tests/components/reorderable-list/behavior.spec.ts</t>
        </is>
      </c>
      <c r="H15" s="43" t="inlineStr">
        <is>
          <t>tested</t>
        </is>
      </c>
      <c r="I15" s="43" t="inlineStr">
        <is>
          <t>no</t>
        </is>
      </c>
      <c r="J15" s="45" t="n">
        <v>46257</v>
      </c>
      <c r="K15" s="44" t="n"/>
      <c r="L15" s="43" t="n">
        <v>1</v>
      </c>
      <c r="M15" s="43">
        <f>IF(OR(AND(I15="yes",H15="verified"),AND(I15="no",OR(H15="tested",H15="verified")),AND(H15="not applicable",K15&lt;&gt;"")),1,0)</f>
        <v/>
      </c>
    </row>
    <row r="16" ht="54" customHeight="1" s="34">
      <c r="A16" s="43" t="inlineStr">
        <is>
          <t>RL-08</t>
        </is>
      </c>
      <c r="B16" s="43" t="inlineStr">
        <is>
          <t>Keyboard</t>
        </is>
      </c>
      <c r="C16" s="43" t="inlineStr">
        <is>
          <t>Handle</t>
        </is>
      </c>
      <c r="D16" s="44" t="inlineStr">
        <is>
          <t>Space lift/drop, arrow target movement, Escape cancellation, stable identity, and keyed focus preservation pass.</t>
        </is>
      </c>
      <c r="E16" s="43" t="inlineStr">
        <is>
          <t>package</t>
        </is>
      </c>
      <c r="F16" s="43" t="inlineStr">
        <is>
          <t>browser</t>
        </is>
      </c>
      <c r="G16" s="44" t="inlineStr">
        <is>
          <t>tests/components/reorderable-list/behavior.spec.ts</t>
        </is>
      </c>
      <c r="H16" s="43" t="inlineStr">
        <is>
          <t>tested</t>
        </is>
      </c>
      <c r="I16" s="43" t="inlineStr">
        <is>
          <t>no</t>
        </is>
      </c>
      <c r="J16" s="45" t="n">
        <v>46257</v>
      </c>
      <c r="K16" s="44" t="n"/>
      <c r="L16" s="43" t="n">
        <v>1</v>
      </c>
      <c r="M16" s="43">
        <f>IF(OR(AND(I16="yes",H16="verified"),AND(I16="no",OR(H16="tested",H16="verified")),AND(H16="not applicable",K16&lt;&gt;"")),1,0)</f>
        <v/>
      </c>
    </row>
    <row r="17" ht="54" customHeight="1" s="34">
      <c r="A17" s="43" t="inlineStr">
        <is>
          <t>RL-09</t>
        </is>
      </c>
      <c r="B17" s="43" t="inlineStr">
        <is>
          <t>Pointer</t>
        </is>
      </c>
      <c r="C17" s="43" t="inlineStr">
        <is>
          <t>Handle</t>
        </is>
      </c>
      <c r="D17" s="44" t="inlineStr">
        <is>
          <t>Mouse dragging commits at valid item targets and abandoned movement outside valid space preserves the starting order.</t>
        </is>
      </c>
      <c r="E17" s="43" t="inlineStr">
        <is>
          <t>package</t>
        </is>
      </c>
      <c r="F17" s="43" t="inlineStr">
        <is>
          <t>browser</t>
        </is>
      </c>
      <c r="G17" s="44" t="inlineStr">
        <is>
          <t>tests/components/reorderable-list/behavior.spec.ts</t>
        </is>
      </c>
      <c r="H17" s="43" t="inlineStr">
        <is>
          <t>tested</t>
        </is>
      </c>
      <c r="I17" s="43" t="inlineStr">
        <is>
          <t>no</t>
        </is>
      </c>
      <c r="J17" s="45" t="n">
        <v>46257</v>
      </c>
      <c r="K17" s="44" t="n"/>
      <c r="L17" s="43" t="n">
        <v>1</v>
      </c>
      <c r="M17" s="43">
        <f>IF(OR(AND(I17="yes",H17="verified"),AND(I17="no",OR(H17="tested",H17="verified")),AND(H17="not applicable",K17&lt;&gt;"")),1,0)</f>
        <v/>
      </c>
    </row>
    <row r="18" ht="54" customHeight="1" s="34">
      <c r="A18" s="43" t="inlineStr">
        <is>
          <t>RL-10</t>
        </is>
      </c>
      <c r="B18" s="43" t="inlineStr">
        <is>
          <t>Geometry</t>
        </is>
      </c>
      <c r="C18" s="43" t="inlineStr">
        <is>
          <t>Item</t>
        </is>
      </c>
      <c r="D18" s="44" t="inlineStr">
        <is>
          <t>Recipes, insertion targets, complete focus rings, state paint, and container-responsive narrow action placement remain contained.</t>
        </is>
      </c>
      <c r="E18" s="43" t="inlineStr">
        <is>
          <t>package</t>
        </is>
      </c>
      <c r="F18" s="43" t="inlineStr">
        <is>
          <t>browser</t>
        </is>
      </c>
      <c r="G18" s="44" t="inlineStr">
        <is>
          <t>tests/components/reorderable-list/behavior.spec.ts</t>
        </is>
      </c>
      <c r="H18" s="43" t="inlineStr">
        <is>
          <t>tested</t>
        </is>
      </c>
      <c r="I18" s="43" t="inlineStr">
        <is>
          <t>no</t>
        </is>
      </c>
      <c r="J18" s="45" t="n">
        <v>46257</v>
      </c>
      <c r="K18" s="44" t="n"/>
      <c r="L18" s="43" t="n">
        <v>1</v>
      </c>
      <c r="M18" s="43">
        <f>IF(OR(AND(I18="yes",H18="verified"),AND(I18="no",OR(H18="tested",H18="verified")),AND(H18="not applicable",K18&lt;&gt;"")),1,0)</f>
        <v/>
      </c>
    </row>
    <row r="19" ht="54" customHeight="1" s="34">
      <c r="A19" s="43" t="inlineStr">
        <is>
          <t>RL-11</t>
        </is>
      </c>
      <c r="B19" s="43" t="inlineStr">
        <is>
          <t>Direction</t>
        </is>
      </c>
      <c r="C19" s="43" t="inlineStr">
        <is>
          <t>Root/Item</t>
        </is>
      </c>
      <c r="D19" s="44" t="inlineStr">
        <is>
          <t>Horizontal overflow and RTL preserve logical before/after placement, useful item measure, and source order.</t>
        </is>
      </c>
      <c r="E19" s="43" t="inlineStr">
        <is>
          <t>package</t>
        </is>
      </c>
      <c r="F19" s="43" t="inlineStr">
        <is>
          <t>browser</t>
        </is>
      </c>
      <c r="G19" s="44" t="inlineStr">
        <is>
          <t>tests/components/reorderable-list/behavior.spec.ts</t>
        </is>
      </c>
      <c r="H19" s="43" t="inlineStr">
        <is>
          <t>tested</t>
        </is>
      </c>
      <c r="I19" s="43" t="inlineStr">
        <is>
          <t>no</t>
        </is>
      </c>
      <c r="J19" s="45" t="n">
        <v>46257</v>
      </c>
      <c r="K19" s="44" t="n"/>
      <c r="L19" s="43" t="n">
        <v>1</v>
      </c>
      <c r="M19" s="43">
        <f>IF(OR(AND(I19="yes",H19="verified"),AND(I19="no",OR(H19="tested",H19="verified")),AND(H19="not applicable",K19&lt;&gt;"")),1,0)</f>
        <v/>
      </c>
    </row>
    <row r="20" ht="54" customHeight="1" s="34">
      <c r="A20" s="43" t="inlineStr">
        <is>
          <t>RL-12</t>
        </is>
      </c>
      <c r="B20" s="43" t="inlineStr">
        <is>
          <t>Accessibility</t>
        </is>
      </c>
      <c r="C20" s="43" t="inlineStr">
        <is>
          <t>All parts</t>
        </is>
      </c>
      <c r="D20" s="44" t="inlineStr">
        <is>
          <t>Ordered-list semantics, complete control names, equivalent direct movement, focus, state, and axe checks pass without drag-only operation.</t>
        </is>
      </c>
      <c r="E20" s="43" t="inlineStr">
        <is>
          <t>package</t>
        </is>
      </c>
      <c r="F20" s="43" t="inlineStr">
        <is>
          <t>axe</t>
        </is>
      </c>
      <c r="G20" s="44" t="inlineStr">
        <is>
          <t>tests/components/reorderable-list/behavior.spec.ts</t>
        </is>
      </c>
      <c r="H20" s="43" t="inlineStr">
        <is>
          <t>tested</t>
        </is>
      </c>
      <c r="I20" s="43" t="inlineStr">
        <is>
          <t>no</t>
        </is>
      </c>
      <c r="J20" s="45" t="n">
        <v>46257</v>
      </c>
      <c r="K20" s="44" t="n"/>
      <c r="L20" s="43" t="n">
        <v>1</v>
      </c>
      <c r="M20" s="43">
        <f>IF(OR(AND(I20="yes",H20="verified"),AND(I20="no",OR(H20="tested",H20="verified")),AND(H20="not applicable",K20&lt;&gt;"")),1,0)</f>
        <v/>
      </c>
    </row>
    <row r="21" ht="54" customHeight="1" s="34">
      <c r="A21" s="43" t="inlineStr">
        <is>
          <t>RL-13</t>
        </is>
      </c>
      <c r="B21" s="43" t="inlineStr">
        <is>
          <t>Visual</t>
        </is>
      </c>
      <c r="C21" s="43" t="inlineStr">
        <is>
          <t>All parts</t>
        </is>
      </c>
      <c r="D21" s="44" t="inlineStr">
        <is>
          <t>Reviewed baselines cover overview, recipes, direct movement, states, dark Theme, mobile RTL, and forced-color boundaries.</t>
        </is>
      </c>
      <c r="E21" s="43" t="inlineStr">
        <is>
          <t>package</t>
        </is>
      </c>
      <c r="F21" s="43" t="inlineStr">
        <is>
          <t>visual</t>
        </is>
      </c>
      <c r="G21" s="44" t="inlineStr">
        <is>
          <t>tests/components/reorderable-list/visual.spec.ts</t>
        </is>
      </c>
      <c r="H21" s="43" t="inlineStr">
        <is>
          <t>verified</t>
        </is>
      </c>
      <c r="I21" s="43" t="inlineStr">
        <is>
          <t>yes</t>
        </is>
      </c>
      <c r="J21" s="45" t="n">
        <v>46257</v>
      </c>
      <c r="K21" s="44" t="inlineStr">
        <is>
          <t>Owner reviewed the implemented list during Batch 04 Lab C qualification.</t>
        </is>
      </c>
      <c r="L21" s="43" t="n">
        <v>1</v>
      </c>
      <c r="M21" s="43">
        <f>IF(OR(AND(I21="yes",H21="verified"),AND(I21="no",OR(H21="tested",H21="verified")),AND(H21="not applicable",K21&lt;&gt;"")),1,0)</f>
        <v/>
      </c>
    </row>
    <row r="22" ht="54" customHeight="1" s="34">
      <c r="A22" s="43" t="inlineStr">
        <is>
          <t>RL-14</t>
        </is>
      </c>
      <c r="B22" s="43" t="inlineStr">
        <is>
          <t>Manual</t>
        </is>
      </c>
      <c r="C22" s="43" t="inlineStr">
        <is>
          <t>Input and stress</t>
        </is>
      </c>
      <c r="D22" s="44" t="inlineStr">
        <is>
          <t>A tester completes keyboard, mouse, physical touch, cancellation, focus, screen-reader announcements, zoom, appearance, and direction protocol.</t>
        </is>
      </c>
      <c r="E22" s="43" t="inlineStr">
        <is>
          <t>package</t>
        </is>
      </c>
      <c r="F22" s="43" t="inlineStr">
        <is>
          <t>manual</t>
        </is>
      </c>
      <c r="G22" s="44" t="inlineStr">
        <is>
          <t>manual-tests/reorderable-list.md</t>
        </is>
      </c>
      <c r="H22" s="43" t="inlineStr">
        <is>
          <t>implemented</t>
        </is>
      </c>
      <c r="I22" s="43" t="inlineStr">
        <is>
          <t>yes</t>
        </is>
      </c>
      <c r="J22" s="45" t="n"/>
      <c r="K22" s="44" t="inlineStr">
        <is>
          <t>Automated browser evidence and owner visual review pass; physical touch and recorded assistive-technology review remain pending.</t>
        </is>
      </c>
      <c r="L22" s="43" t="n">
        <v>1</v>
      </c>
      <c r="M22" s="43">
        <f>IF(OR(AND(I22="yes",H22="verified"),AND(I22="no",OR(H22="tested",H22="verified")),AND(H22="not applicable",K22&lt;&gt;"")),1,0)</f>
        <v/>
      </c>
    </row>
    <row r="23" ht="54" customHeight="1" s="34">
      <c r="A23" s="43" t="inlineStr">
        <is>
          <t>RL-15</t>
        </is>
      </c>
      <c r="B23" s="43" t="inlineStr">
        <is>
          <t>Docs</t>
        </is>
      </c>
      <c r="C23" s="43" t="inlineStr">
        <is>
          <t>Reorderable List</t>
        </is>
      </c>
      <c r="D23" s="44" t="inlineStr">
        <is>
          <t>Public guidance covers selection, anatomy, recipes, manual-order ownership, responsive behavior, accessibility, CSS, and application boundaries.</t>
        </is>
      </c>
      <c r="E23" s="43" t="inlineStr">
        <is>
          <t>package</t>
        </is>
      </c>
      <c r="F23" s="43" t="inlineStr">
        <is>
          <t>docs</t>
        </is>
      </c>
      <c r="G23" s="44" t="inlineStr">
        <is>
          <t>../docs/components/reorderable-list/README.md</t>
        </is>
      </c>
      <c r="H23" s="43" t="inlineStr">
        <is>
          <t>tested</t>
        </is>
      </c>
      <c r="I23" s="43" t="inlineStr">
        <is>
          <t>no</t>
        </is>
      </c>
      <c r="J23" s="45" t="n">
        <v>46257</v>
      </c>
      <c r="K23" s="44" t="n"/>
      <c r="L23" s="43" t="n">
        <v>1</v>
      </c>
      <c r="M23" s="43">
        <f>IF(OR(AND(I23="yes",H23="verified"),AND(I23="no",OR(H23="tested",H23="verified")),AND(H23="not applicable",K23&lt;&gt;"")),1,0)</f>
        <v/>
      </c>
    </row>
    <row r="24" ht="54" customHeight="1" s="34">
      <c r="A24" s="43" t="inlineStr">
        <is>
          <t>RL-16</t>
        </is>
      </c>
      <c r="B24" s="43" t="inlineStr">
        <is>
          <t>Agent Knowledge</t>
        </is>
      </c>
      <c r="C24" s="43" t="inlineStr">
        <is>
          <t>Selection</t>
        </is>
      </c>
      <c r="D24" s="44" t="inlineStr">
        <is>
          <t>Machine-readable guidance distinguishes manual ordering from static List, Data Grid sorting, and multi-container drag jobs.</t>
        </is>
      </c>
      <c r="E24" s="43" t="inlineStr">
        <is>
          <t>package</t>
        </is>
      </c>
      <c r="F24" s="43" t="inlineStr">
        <is>
          <t>documentation</t>
        </is>
      </c>
      <c r="G24" s="44" t="inlineStr">
        <is>
          <t>../src/components/reorderable-list/agent.json; ../src/components/reorderable-list/agent.md</t>
        </is>
      </c>
      <c r="H24" s="43" t="inlineStr">
        <is>
          <t>tested</t>
        </is>
      </c>
      <c r="I24" s="43" t="inlineStr">
        <is>
          <t>no</t>
        </is>
      </c>
      <c r="J24" s="45" t="n">
        <v>46257</v>
      </c>
      <c r="K24" s="44" t="n"/>
      <c r="L24" s="43" t="n">
        <v>1</v>
      </c>
      <c r="M24" s="43">
        <f>IF(OR(AND(I24="yes",H24="verified"),AND(I24="no",OR(H24="tested",H24="verified")),AND(H24="not applicable",K24&lt;&gt;"")),1,0)</f>
        <v/>
      </c>
    </row>
    <row r="25" ht="54" customHeight="1" s="34">
      <c r="A25" s="43" t="inlineStr">
        <is>
          <t>RL-17</t>
        </is>
      </c>
      <c r="B25" s="43" t="inlineStr">
        <is>
          <t>Changelog</t>
        </is>
      </c>
      <c r="C25" s="43" t="inlineStr">
        <is>
          <t>Reorderable List</t>
        </is>
      </c>
      <c r="D25" s="44" t="inlineStr">
        <is>
          <t>The component changelog records the finished Atom-backed manual-order composition and container-responsive layout.</t>
        </is>
      </c>
      <c r="E25" s="43" t="inlineStr">
        <is>
          <t>package</t>
        </is>
      </c>
      <c r="F25" s="43" t="inlineStr">
        <is>
          <t>docs</t>
        </is>
      </c>
      <c r="G25" s="44" t="inlineStr">
        <is>
          <t>../docs/components/reorderable-list/CHANGELOG.md; ../CHANGELOG.md</t>
        </is>
      </c>
      <c r="H25" s="43" t="inlineStr">
        <is>
          <t>tested</t>
        </is>
      </c>
      <c r="I25" s="43" t="inlineStr">
        <is>
          <t>no</t>
        </is>
      </c>
      <c r="J25" s="45" t="n">
        <v>46257</v>
      </c>
      <c r="K25" s="44" t="n"/>
      <c r="L25" s="43" t="n">
        <v>1</v>
      </c>
      <c r="M25" s="43">
        <f>IF(OR(AND(I25="yes",H25="verified"),AND(I25="no",OR(H25="tested",H25="verified")),AND(H25="not applicable",K25&lt;&gt;"")),1,0)</f>
        <v/>
      </c>
    </row>
    <row r="26" ht="54" customHeight="1" s="34">
      <c r="A26" s="43" t="inlineStr">
        <is>
          <t>RL-18</t>
        </is>
      </c>
      <c r="B26" s="43" t="inlineStr">
        <is>
          <t>Consumer</t>
        </is>
      </c>
      <c r="C26" s="43" t="inlineStr">
        <is>
          <t>Composition</t>
        </is>
      </c>
      <c r="D26" s="44" t="inlineStr">
        <is>
          <t>A realistic packed-package consumer composes public Reorderable List imports with stable data and direct movement controls.</t>
        </is>
      </c>
      <c r="E26" s="43" t="inlineStr">
        <is>
          <t>consumer</t>
        </is>
      </c>
      <c r="F26" s="43" t="inlineStr">
        <is>
          <t>consumer</t>
        </is>
      </c>
      <c r="G26" s="44" t="inlineStr">
        <is>
          <t>../apps/consumer/src/App.tsx; ../apps/consumer/tests/consumer.spec.ts</t>
        </is>
      </c>
      <c r="H26" s="43" t="inlineStr">
        <is>
          <t>tested</t>
        </is>
      </c>
      <c r="I26" s="43" t="inlineStr">
        <is>
          <t>no</t>
        </is>
      </c>
      <c r="J26" s="45" t="n">
        <v>46257</v>
      </c>
      <c r="K26" s="44" t="n"/>
      <c r="L26" s="43" t="n">
        <v>1</v>
      </c>
      <c r="M26" s="43">
        <f>IF(OR(AND(I26="yes",H26="verified"),AND(I26="no",OR(H26="tested",H26="verified")),AND(H26="not applicable",K26&lt;&gt;"")),1,0)</f>
        <v/>
      </c>
    </row>
    <row r="27" ht="54" customHeight="1" s="34">
      <c r="A27" s="43" t="inlineStr">
        <is>
          <t>RL-19</t>
        </is>
      </c>
      <c r="B27" s="43" t="inlineStr">
        <is>
          <t>Package</t>
        </is>
      </c>
      <c r="C27" s="43" t="inlineStr">
        <is>
          <t>Reorderable List</t>
        </is>
      </c>
      <c r="D27" s="44" t="inlineStr">
        <is>
          <t>Build, SSR, exports, CSS, Atom compatibility, tarball, React 18/19, packed Consumer, browser, axe, and visual gates pass.</t>
        </is>
      </c>
      <c r="E27" s="43" t="inlineStr">
        <is>
          <t>package</t>
        </is>
      </c>
      <c r="F27" s="43" t="inlineStr">
        <is>
          <t>package</t>
        </is>
      </c>
      <c r="G27" s="44" t="inlineStr">
        <is>
          <t>../test/package; ../scripts/verify-package.mjs; ../scripts/verify-consumers.mjs</t>
        </is>
      </c>
      <c r="H27" s="43" t="inlineStr">
        <is>
          <t>implemented</t>
        </is>
      </c>
      <c r="I27" s="43" t="inlineStr">
        <is>
          <t>yes</t>
        </is>
      </c>
      <c r="J27" s="45" t="n"/>
      <c r="K27" s="44" t="inlineStr">
        <is>
          <t>Automated package gates pass; complete status waits for the component-owned physical-touch and assistive-technology manual run.</t>
        </is>
      </c>
      <c r="L27" s="43" t="n">
        <v>1</v>
      </c>
      <c r="M27" s="43">
        <f>IF(OR(AND(I27="yes",H27="verified"),AND(I27="no",OR(H27="tested",H27="verified")),AND(H27="not applicable",K27&lt;&gt;"")),1,0)</f>
        <v/>
      </c>
    </row>
  </sheetData>
  <mergeCells count="2">
    <mergeCell ref="A2:M2"/>
    <mergeCell ref="A1:M1"/>
  </mergeCells>
  <conditionalFormatting sqref="H9:H27">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7" showDropDown="0" showInputMessage="0" showErrorMessage="0" allowBlank="0" type="list" errorStyle="stop" operator="between">
      <formula1>"not started,partial,implemented,tested,verified,blocked,not applicable"</formula1>
      <formula2>0</formula2>
    </dataValidation>
    <dataValidation sqref="I9:I27"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6.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Color Swatch Evidence</t>
        </is>
      </c>
    </row>
    <row r="2" ht="27.75" customHeight="1" s="34">
      <c r="A2" s="36" t="inlineStr">
        <is>
          <t>Assertion-level passive preview, CSS, browser, accessibility, documentation, and package evidence.</t>
        </is>
      </c>
    </row>
    <row r="4" ht="17.25" customHeight="1" s="34">
      <c r="A4" s="37" t="inlineStr">
        <is>
          <t>Requirements</t>
        </is>
      </c>
      <c r="B4" s="38">
        <f>COUNTA(A9:A24)</f>
        <v/>
      </c>
      <c r="D4" s="37" t="inlineStr">
        <is>
          <t>Resolved</t>
        </is>
      </c>
      <c r="E4" s="38">
        <f>SUM(M9:M24)</f>
        <v/>
      </c>
      <c r="G4" s="37" t="inlineStr">
        <is>
          <t>Completion</t>
        </is>
      </c>
      <c r="H4" s="39">
        <f>IF(B4=0,0,E4/B4)</f>
        <v/>
      </c>
      <c r="J4" s="37" t="inlineStr">
        <is>
          <t>Package gate</t>
        </is>
      </c>
      <c r="K4" s="38">
        <f>IF(COUNTIFS(E9:E24,"package",M9:M24,0)&gt;0,"open","complete")</f>
        <v/>
      </c>
    </row>
    <row r="5" ht="17.25" customHeight="1" s="34">
      <c r="A5" s="37" t="inlineStr">
        <is>
          <t>Manual review</t>
        </is>
      </c>
      <c r="B5" s="38">
        <f>IF(COUNTIFS(I9:I24,"yes",M9:M24,0)&gt;0,"open","complete")</f>
        <v/>
      </c>
      <c r="D5" s="37" t="inlineStr">
        <is>
          <t>Consumer gate</t>
        </is>
      </c>
      <c r="E5" s="38">
        <f>IF(COUNTIFS(E9:E24,"consumer",M9:M24,0)&gt;0,"open","complete")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CS-01</t>
        </is>
      </c>
      <c r="B9" s="32" t="inlineStr">
        <is>
          <t>Implementation</t>
        </is>
      </c>
      <c r="C9" s="32" t="inlineStr">
        <is>
          <t>Root / Mix</t>
        </is>
      </c>
      <c r="D9" s="32" t="inlineStr">
        <is>
          <t>Root and Mix render passive single- and multi-color previews with decorative or named image semantics.</t>
        </is>
      </c>
      <c r="E9" s="32" t="inlineStr">
        <is>
          <t>package</t>
        </is>
      </c>
      <c r="F9" s="32" t="inlineStr">
        <is>
          <t>source</t>
        </is>
      </c>
      <c r="G9" s="32" t="inlineStr">
        <is>
          <t>../src/components/color-swatch</t>
        </is>
      </c>
      <c r="H9" s="32" t="inlineStr">
        <is>
          <t>tested</t>
        </is>
      </c>
      <c r="I9" s="32" t="inlineStr">
        <is>
          <t>no</t>
        </is>
      </c>
      <c r="J9" s="42" t="n">
        <v>46262</v>
      </c>
      <c r="L9" s="32" t="n">
        <v>1</v>
      </c>
      <c r="M9" s="32">
        <f>IF(OR(AND(I9="yes",H9="verified"),AND(I9="no",OR(H9="tested",H9="verified")),AND(H9="not applicable",K9&lt;&gt;"")),1,0)</f>
        <v/>
      </c>
    </row>
    <row r="10" ht="42" customHeight="1" s="34">
      <c r="A10" s="32" t="inlineStr">
        <is>
          <t>CS-02</t>
        </is>
      </c>
      <c r="B10" s="32" t="inlineStr">
        <is>
          <t>Exports</t>
        </is>
      </c>
      <c r="C10" s="32" t="inlineStr">
        <is>
          <t>ColorSwatch</t>
        </is>
      </c>
      <c r="D10" s="32" t="inlineStr">
        <is>
          <t>Root and color-swatch subpath exports expose runtime and declaration surfaces.</t>
        </is>
      </c>
      <c r="E10" s="32" t="inlineStr">
        <is>
          <t>package</t>
        </is>
      </c>
      <c r="F10" s="32" t="inlineStr">
        <is>
          <t>package</t>
        </is>
      </c>
      <c r="G10" s="32" t="inlineStr">
        <is>
          <t>../test/package/package.test.mjs</t>
        </is>
      </c>
      <c r="H10" s="32" t="inlineStr">
        <is>
          <t>tested</t>
        </is>
      </c>
      <c r="I10" s="32" t="inlineStr">
        <is>
          <t>no</t>
        </is>
      </c>
      <c r="J10" s="42" t="n">
        <v>46262</v>
      </c>
      <c r="L10" s="32" t="n">
        <v>1</v>
      </c>
      <c r="M10" s="32">
        <f>IF(OR(AND(I10="yes",H10="verified"),AND(I10="no",OR(H10="tested",H10="verified")),AND(H10="not applicable",K10&lt;&gt;"")),1,0)</f>
        <v/>
      </c>
    </row>
    <row r="11" ht="42" customHeight="1" s="34">
      <c r="A11" s="32" t="inlineStr">
        <is>
          <t>CS-03</t>
        </is>
      </c>
      <c r="B11" s="32" t="inlineStr">
        <is>
          <t>Types</t>
        </is>
      </c>
      <c r="C11" s="32" t="inlineStr">
        <is>
          <t>Root / Mix</t>
        </is>
      </c>
      <c r="D11" s="32" t="inlineStr">
        <is>
          <t>Required values, two-color Mix tuple, refs, sizes, and invalid cases type-check.</t>
        </is>
      </c>
      <c r="E11" s="32" t="inlineStr">
        <is>
          <t>package</t>
        </is>
      </c>
      <c r="F11" s="32" t="inlineStr">
        <is>
          <t>types</t>
        </is>
      </c>
      <c r="G11" s="32" t="inlineStr">
        <is>
          <t>../test/types/components/color-swatch.test.ts</t>
        </is>
      </c>
      <c r="H11" s="32" t="inlineStr">
        <is>
          <t>tested</t>
        </is>
      </c>
      <c r="I11" s="32" t="inlineStr">
        <is>
          <t>no</t>
        </is>
      </c>
      <c r="J11" s="42" t="n">
        <v>46262</v>
      </c>
      <c r="L11" s="32" t="n">
        <v>1</v>
      </c>
      <c r="M11" s="32">
        <f>IF(OR(AND(I11="yes",H11="verified"),AND(I11="no",OR(H11="tested",H11="verified")),AND(H11="not applicable",K11&lt;&gt;"")),1,0)</f>
        <v/>
      </c>
    </row>
    <row r="12" ht="42" customHeight="1" s="34">
      <c r="A12" s="32" t="inlineStr">
        <is>
          <t>CS-04</t>
        </is>
      </c>
      <c r="B12" s="32" t="inlineStr">
        <is>
          <t>CSS</t>
        </is>
      </c>
      <c r="C12" s="32" t="inlineStr">
        <is>
          <t>Root / Mix</t>
        </is>
      </c>
      <c r="D12" s="32" t="inlineStr">
        <is>
          <t>Static public CSS provides checker, paint, size, border, radius, and forced-color hooks.</t>
        </is>
      </c>
      <c r="E12" s="32" t="inlineStr">
        <is>
          <t>package</t>
        </is>
      </c>
      <c r="F12" s="32" t="inlineStr">
        <is>
          <t>css</t>
        </is>
      </c>
      <c r="G12" s="32" t="inlineStr">
        <is>
          <t>../src/components/color-swatch/color-swatch.css</t>
        </is>
      </c>
      <c r="H12" s="32" t="inlineStr">
        <is>
          <t>tested</t>
        </is>
      </c>
      <c r="I12" s="32" t="inlineStr">
        <is>
          <t>no</t>
        </is>
      </c>
      <c r="J12" s="42" t="n">
        <v>46262</v>
      </c>
      <c r="L12" s="32" t="n">
        <v>1</v>
      </c>
      <c r="M12" s="32">
        <f>IF(OR(AND(I12="yes",H12="verified"),AND(I12="no",OR(H12="tested",H12="verified")),AND(H12="not applicable",K12&lt;&gt;"")),1,0)</f>
        <v/>
      </c>
    </row>
    <row r="13" ht="42" customHeight="1" s="34">
      <c r="A13" s="32" t="inlineStr">
        <is>
          <t>CS-05</t>
        </is>
      </c>
      <c r="B13" s="32" t="inlineStr">
        <is>
          <t>Unit</t>
        </is>
      </c>
      <c r="C13" s="32" t="inlineStr">
        <is>
          <t>Root / Mix</t>
        </is>
      </c>
      <c r="D13" s="32" t="inlineStr">
        <is>
          <t>DOM, refs, semantics, size recipes, and generated single/mixed value hooks pass focused tests.</t>
        </is>
      </c>
      <c r="E13" s="32" t="inlineStr">
        <is>
          <t>package</t>
        </is>
      </c>
      <c r="F13" s="32" t="inlineStr">
        <is>
          <t>component</t>
        </is>
      </c>
      <c r="G13" s="32" t="inlineStr">
        <is>
          <t>../test/components/color-swatch/color-swatch.test.tsx</t>
        </is>
      </c>
      <c r="H13" s="32" t="inlineStr">
        <is>
          <t>tested</t>
        </is>
      </c>
      <c r="I13" s="32" t="inlineStr">
        <is>
          <t>no</t>
        </is>
      </c>
      <c r="J13" s="42" t="n">
        <v>46262</v>
      </c>
      <c r="L13" s="32" t="n">
        <v>1</v>
      </c>
      <c r="M13" s="32">
        <f>IF(OR(AND(I13="yes",H13="verified"),AND(I13="no",OR(H13="tested",H13="verified")),AND(H13="not applicable",K13&lt;&gt;"")),1,0)</f>
        <v/>
      </c>
    </row>
    <row r="14" ht="42" customHeight="1" s="34">
      <c r="A14" s="32" t="inlineStr">
        <is>
          <t>CS-06</t>
        </is>
      </c>
      <c r="B14" s="32" t="inlineStr">
        <is>
          <t>Browser</t>
        </is>
      </c>
      <c r="C14" s="32" t="inlineStr">
        <is>
          <t>Root / Mix</t>
        </is>
      </c>
      <c r="D14" s="32" t="inlineStr">
        <is>
          <t>Real-browser solid, alpha, mix, semantics, and exact size checks pass.</t>
        </is>
      </c>
      <c r="E14" s="32" t="inlineStr">
        <is>
          <t>package</t>
        </is>
      </c>
      <c r="F14" s="32" t="inlineStr">
        <is>
          <t>browser</t>
        </is>
      </c>
      <c r="G14" s="32" t="inlineStr">
        <is>
          <t>tests/components/color-swatch/behavior.spec.ts</t>
        </is>
      </c>
      <c r="H14" s="32" t="inlineStr">
        <is>
          <t>tested</t>
        </is>
      </c>
      <c r="I14" s="32" t="inlineStr">
        <is>
          <t>no</t>
        </is>
      </c>
      <c r="J14" s="42" t="n">
        <v>46262</v>
      </c>
      <c r="L14" s="32" t="n">
        <v>1</v>
      </c>
      <c r="M14" s="32">
        <f>IF(OR(AND(I14="yes",H14="verified"),AND(I14="no",OR(H14="tested",H14="verified")),AND(H14="not applicable",K14&lt;&gt;"")),1,0)</f>
        <v/>
      </c>
    </row>
    <row r="15" ht="42" customHeight="1" s="34">
      <c r="A15" s="32" t="inlineStr">
        <is>
          <t>CS-07</t>
        </is>
      </c>
      <c r="B15" s="32" t="inlineStr">
        <is>
          <t>Accessibility</t>
        </is>
      </c>
      <c r="C15" s="32" t="inlineStr">
        <is>
          <t>Root / Mix</t>
        </is>
      </c>
      <c r="D15" s="32" t="inlineStr">
        <is>
          <t>Axe passes and decorative versus labeled image semantics match the contract.</t>
        </is>
      </c>
      <c r="E15" s="32" t="inlineStr">
        <is>
          <t>package</t>
        </is>
      </c>
      <c r="F15" s="32" t="inlineStr">
        <is>
          <t>axe</t>
        </is>
      </c>
      <c r="G15" s="32" t="inlineStr">
        <is>
          <t>tests/components/color-swatch/behavior.spec.ts</t>
        </is>
      </c>
      <c r="H15" s="32" t="inlineStr">
        <is>
          <t>tested</t>
        </is>
      </c>
      <c r="I15" s="32" t="inlineStr">
        <is>
          <t>no</t>
        </is>
      </c>
      <c r="J15" s="42" t="n">
        <v>46262</v>
      </c>
      <c r="L15" s="32" t="n">
        <v>1</v>
      </c>
      <c r="M15" s="32">
        <f>IF(OR(AND(I15="yes",H15="verified"),AND(I15="no",OR(H15="tested",H15="verified")),AND(H15="not applicable",K15&lt;&gt;"")),1,0)</f>
        <v/>
      </c>
    </row>
    <row r="16" ht="42" customHeight="1" s="34">
      <c r="A16" s="32" t="inlineStr">
        <is>
          <t>CS-08</t>
        </is>
      </c>
      <c r="B16" s="32" t="inlineStr">
        <is>
          <t>Visual</t>
        </is>
      </c>
      <c r="C16" s="32" t="inlineStr">
        <is>
          <t>Root / Mix</t>
        </is>
      </c>
      <c r="D16" s="32" t="inlineStr">
        <is>
          <t>Risk-selected solid, alpha, mix, size, and appearance evidence receives owner visual review.</t>
        </is>
      </c>
      <c r="E16" s="32" t="inlineStr">
        <is>
          <t>package</t>
        </is>
      </c>
      <c r="F16" s="32" t="inlineStr">
        <is>
          <t>visual</t>
        </is>
      </c>
      <c r="G16" s="32" t="inlineStr">
        <is>
          <t>tests/components/color-swatch/visual.spec.ts</t>
        </is>
      </c>
      <c r="H16" s="32" t="inlineStr">
        <is>
          <t>tested</t>
        </is>
      </c>
      <c r="I16" s="32" t="inlineStr">
        <is>
          <t>yes</t>
        </is>
      </c>
      <c r="J16" s="42" t="n">
        <v>46262</v>
      </c>
      <c r="K16" s="32" t="inlineStr">
        <is>
          <t>Owner visual review not yet recorded.</t>
        </is>
      </c>
      <c r="L16" s="32" t="n">
        <v>1</v>
      </c>
      <c r="M16" s="32">
        <f>IF(OR(AND(I16="yes",H16="verified"),AND(I16="no",OR(H16="tested",H16="verified")),AND(H16="not applicable",K16&lt;&gt;"")),1,0)</f>
        <v/>
      </c>
    </row>
    <row r="17" ht="42" customHeight="1" s="34">
      <c r="A17" s="32" t="inlineStr">
        <is>
          <t>CS-09</t>
        </is>
      </c>
      <c r="B17" s="32" t="inlineStr">
        <is>
          <t>Responsive</t>
        </is>
      </c>
      <c r="C17" s="32" t="inlineStr">
        <is>
          <t>Root / Mix</t>
        </is>
      </c>
      <c r="D17" s="32" t="inlineStr">
        <is>
          <t>Narrow, zoom/reflow, content stress, and RTL remain aligned and contained.</t>
        </is>
      </c>
      <c r="E17" s="32" t="inlineStr">
        <is>
          <t>package</t>
        </is>
      </c>
      <c r="F17" s="32" t="inlineStr">
        <is>
          <t>manual</t>
        </is>
      </c>
      <c r="G17" s="32" t="inlineStr">
        <is>
          <t>manual-tests/color-swatch.md</t>
        </is>
      </c>
      <c r="H17" s="32" t="inlineStr">
        <is>
          <t>not started</t>
        </is>
      </c>
      <c r="I17" s="32" t="inlineStr">
        <is>
          <t>yes</t>
        </is>
      </c>
      <c r="K17" s="32" t="inlineStr">
        <is>
          <t>Manual owner review not yet recorded.</t>
        </is>
      </c>
      <c r="L17" s="32" t="n">
        <v>1</v>
      </c>
      <c r="M17" s="32">
        <f>IF(OR(AND(I17="yes",H17="verified"),AND(I17="no",OR(H17="tested",H17="verified")),AND(H17="not applicable",K17&lt;&gt;"")),1,0)</f>
        <v/>
      </c>
    </row>
    <row r="18" ht="42" customHeight="1" s="34">
      <c r="A18" s="32" t="inlineStr">
        <is>
          <t>CS-10</t>
        </is>
      </c>
      <c r="B18" s="32" t="inlineStr">
        <is>
          <t>Theme</t>
        </is>
      </c>
      <c r="C18" s="32" t="inlineStr">
        <is>
          <t>Root / Mix</t>
        </is>
      </c>
      <c r="D18" s="32" t="inlineStr">
        <is>
          <t>Light, dark, checker contrast, and forced-colors boundaries remain perceivable.</t>
        </is>
      </c>
      <c r="E18" s="32" t="inlineStr">
        <is>
          <t>package</t>
        </is>
      </c>
      <c r="F18" s="32" t="inlineStr">
        <is>
          <t>manual</t>
        </is>
      </c>
      <c r="G18" s="32" t="inlineStr">
        <is>
          <t>manual-tests/color-swatch.md</t>
        </is>
      </c>
      <c r="H18" s="32" t="inlineStr">
        <is>
          <t>not started</t>
        </is>
      </c>
      <c r="I18" s="32" t="inlineStr">
        <is>
          <t>yes</t>
        </is>
      </c>
      <c r="K18" s="32" t="inlineStr">
        <is>
          <t>Manual owner review not yet recorded.</t>
        </is>
      </c>
      <c r="L18" s="32" t="n">
        <v>1</v>
      </c>
      <c r="M18" s="32">
        <f>IF(OR(AND(I18="yes",H18="verified"),AND(I18="no",OR(H18="tested",H18="verified")),AND(H18="not applicable",K18&lt;&gt;"")),1,0)</f>
        <v/>
      </c>
    </row>
    <row r="19" ht="42" customHeight="1" s="34">
      <c r="A19" s="32" t="inlineStr">
        <is>
          <t>CS-11</t>
        </is>
      </c>
      <c r="B19" s="32" t="inlineStr">
        <is>
          <t>Composition</t>
        </is>
      </c>
      <c r="C19" s="32" t="inlineStr">
        <is>
          <t>Root / Mix</t>
        </is>
      </c>
      <c r="D19" s="32" t="inlineStr">
        <is>
          <t>Passive swatches remain noninteractive and compose inside semantic owners without color-only meaning.</t>
        </is>
      </c>
      <c r="E19" s="32" t="inlineStr">
        <is>
          <t>package</t>
        </is>
      </c>
      <c r="F19" s="32" t="inlineStr">
        <is>
          <t>manual</t>
        </is>
      </c>
      <c r="G19" s="32" t="inlineStr">
        <is>
          <t>manual-tests/color-swatch.md; tests/components/color-swatch/behavior.spec.ts</t>
        </is>
      </c>
      <c r="H19" s="32" t="inlineStr">
        <is>
          <t>tested</t>
        </is>
      </c>
      <c r="I19" s="32" t="inlineStr">
        <is>
          <t>yes</t>
        </is>
      </c>
      <c r="J19" s="42" t="n">
        <v>46262</v>
      </c>
      <c r="K19" s="32" t="inlineStr">
        <is>
          <t>Owner composition review not yet recorded.</t>
        </is>
      </c>
      <c r="L19" s="32" t="n">
        <v>1</v>
      </c>
      <c r="M19" s="32">
        <f>IF(OR(AND(I19="yes",H19="verified"),AND(I19="no",OR(H19="tested",H19="verified")),AND(H19="not applicable",K19&lt;&gt;"")),1,0)</f>
        <v/>
      </c>
    </row>
    <row r="20" ht="42" customHeight="1" s="34">
      <c r="A20" s="32" t="inlineStr">
        <is>
          <t>CS-12</t>
        </is>
      </c>
      <c r="B20" s="32" t="inlineStr">
        <is>
          <t>Manual</t>
        </is>
      </c>
      <c r="C20" s="32" t="inlineStr">
        <is>
          <t>Root / Mix</t>
        </is>
      </c>
      <c r="D20" s="32" t="inlineStr">
        <is>
          <t>The numbered component-owned manual protocol passes every playground scenario.</t>
        </is>
      </c>
      <c r="E20" s="32" t="inlineStr">
        <is>
          <t>package</t>
        </is>
      </c>
      <c r="F20" s="32" t="inlineStr">
        <is>
          <t>manual</t>
        </is>
      </c>
      <c r="G20" s="32" t="inlineStr">
        <is>
          <t>manual-tests/color-swatch.md</t>
        </is>
      </c>
      <c r="H20" s="32" t="inlineStr">
        <is>
          <t>not started</t>
        </is>
      </c>
      <c r="I20" s="32" t="inlineStr">
        <is>
          <t>yes</t>
        </is>
      </c>
      <c r="K20" s="32" t="inlineStr">
        <is>
          <t>No completed manual run is recorded.</t>
        </is>
      </c>
      <c r="L20" s="32" t="n">
        <v>1</v>
      </c>
      <c r="M20" s="32">
        <f>IF(OR(AND(I20="yes",H20="verified"),AND(I20="no",OR(H20="tested",H20="verified")),AND(H20="not applicable",K20&lt;&gt;"")),1,0)</f>
        <v/>
      </c>
    </row>
    <row r="21" ht="42" customHeight="1" s="34">
      <c r="A21" s="32" t="inlineStr">
        <is>
          <t>CS-13</t>
        </is>
      </c>
      <c r="B21" s="32" t="inlineStr">
        <is>
          <t>Docs</t>
        </is>
      </c>
      <c r="C21" s="32" t="inlineStr">
        <is>
          <t>ColorSwatch</t>
        </is>
      </c>
      <c r="D21" s="32" t="inlineStr">
        <is>
          <t>Public usage, API, accessibility, customization, and evidence documentation passes verification.</t>
        </is>
      </c>
      <c r="E21" s="32" t="inlineStr">
        <is>
          <t>package</t>
        </is>
      </c>
      <c r="F21" s="32" t="inlineStr">
        <is>
          <t>docs</t>
        </is>
      </c>
      <c r="G21" s="32" t="inlineStr">
        <is>
          <t>../docs/components/color-swatch/README.md</t>
        </is>
      </c>
      <c r="H21" s="32" t="inlineStr">
        <is>
          <t>tested</t>
        </is>
      </c>
      <c r="I21" s="32" t="inlineStr">
        <is>
          <t>no</t>
        </is>
      </c>
      <c r="J21" s="42" t="n">
        <v>46262</v>
      </c>
      <c r="L21" s="32" t="n">
        <v>1</v>
      </c>
      <c r="M21" s="32">
        <f>IF(OR(AND(I21="yes",H21="verified"),AND(I21="no",OR(H21="tested",H21="verified")),AND(H21="not applicable",K21&lt;&gt;"")),1,0)</f>
        <v/>
      </c>
    </row>
    <row r="22" ht="42" customHeight="1" s="34">
      <c r="A22" s="32" t="inlineStr">
        <is>
          <t>CS-14</t>
        </is>
      </c>
      <c r="B22" s="32" t="inlineStr">
        <is>
          <t>Changelog</t>
        </is>
      </c>
      <c r="C22" s="32" t="inlineStr">
        <is>
          <t>ColorSwatch</t>
        </is>
      </c>
      <c r="D22" s="32" t="inlineStr">
        <is>
          <t>The component owns release-facing change history.</t>
        </is>
      </c>
      <c r="E22" s="32" t="inlineStr">
        <is>
          <t>package</t>
        </is>
      </c>
      <c r="F22" s="32" t="inlineStr">
        <is>
          <t>docs</t>
        </is>
      </c>
      <c r="G22" s="32" t="inlineStr">
        <is>
          <t>../docs/components/color-swatch/CHANGELOG.md</t>
        </is>
      </c>
      <c r="H22" s="32" t="inlineStr">
        <is>
          <t>tested</t>
        </is>
      </c>
      <c r="I22" s="32" t="inlineStr">
        <is>
          <t>no</t>
        </is>
      </c>
      <c r="J22" s="42" t="n">
        <v>46262</v>
      </c>
      <c r="L22" s="32" t="n">
        <v>1</v>
      </c>
      <c r="M22" s="32">
        <f>IF(OR(AND(I22="yes",H22="verified"),AND(I22="no",OR(H22="tested",H22="verified")),AND(H22="not applicable",K22&lt;&gt;"")),1,0)</f>
        <v/>
      </c>
    </row>
    <row r="23" ht="42" customHeight="1" s="34">
      <c r="A23" s="32" t="inlineStr">
        <is>
          <t>CS-15</t>
        </is>
      </c>
      <c r="B23" s="32" t="inlineStr">
        <is>
          <t>Consumer</t>
        </is>
      </c>
      <c r="C23" s="32" t="inlineStr">
        <is>
          <t>ColorSwatch</t>
        </is>
      </c>
      <c r="D23" s="32" t="inlineStr">
        <is>
          <t>The standalone packed-package consumer imports and exercises a realistic preview composition.</t>
        </is>
      </c>
      <c r="E23" s="32" t="inlineStr">
        <is>
          <t>consumer</t>
        </is>
      </c>
      <c r="F23" s="32" t="inlineStr">
        <is>
          <t>consumer</t>
        </is>
      </c>
      <c r="G23" s="32" t="inlineStr">
        <is>
          <t>../apps/consumer/src/App.tsx; ../apps/consumer/tests/consumer.spec.ts</t>
        </is>
      </c>
      <c r="H23" s="32" t="inlineStr">
        <is>
          <t>tested</t>
        </is>
      </c>
      <c r="I23" s="32" t="inlineStr">
        <is>
          <t>no</t>
        </is>
      </c>
      <c r="J23" s="42" t="n">
        <v>46262</v>
      </c>
      <c r="K23" s="32" t="inlineStr">
        <is>
          <t>Consumer browser verification passed in desktop and mobile Chromium.</t>
        </is>
      </c>
      <c r="L23" s="32" t="n">
        <v>1</v>
      </c>
      <c r="M23" s="32">
        <f>IF(OR(AND(I23="yes",H23="verified"),AND(I23="no",OR(H23="tested",H23="verified")),AND(H23="not applicable",K23&lt;&gt;"")),1,0)</f>
        <v/>
      </c>
    </row>
    <row r="24" ht="42" customHeight="1" s="34">
      <c r="A24" s="32" t="inlineStr">
        <is>
          <t>CS-16</t>
        </is>
      </c>
      <c r="B24" s="32" t="inlineStr">
        <is>
          <t>Package</t>
        </is>
      </c>
      <c r="C24" s="32" t="inlineStr">
        <is>
          <t>ColorSwatch</t>
        </is>
      </c>
      <c r="D24" s="32" t="inlineStr">
        <is>
          <t>Build, exports, tarball, CSS, and clean consumer boundary verification pass.</t>
        </is>
      </c>
      <c r="E24" s="32" t="inlineStr">
        <is>
          <t>package</t>
        </is>
      </c>
      <c r="F24" s="32" t="inlineStr">
        <is>
          <t>package</t>
        </is>
      </c>
      <c r="G24" s="32" t="inlineStr">
        <is>
          <t>../scripts/verify-package.mjs; ../scripts/verify-consumers.mjs</t>
        </is>
      </c>
      <c r="H24" s="32" t="inlineStr">
        <is>
          <t>tested</t>
        </is>
      </c>
      <c r="I24" s="32" t="inlineStr">
        <is>
          <t>no</t>
        </is>
      </c>
      <c r="J24" s="42" t="n">
        <v>46262</v>
      </c>
      <c r="K24" s="32" t="inlineStr">
        <is>
          <t>Verified against installed published Atom 0.24.0.</t>
        </is>
      </c>
      <c r="L24" s="32" t="n">
        <v>1</v>
      </c>
      <c r="M24" s="32">
        <f>IF(OR(AND(I24="yes",H24="verified"),AND(I24="no",OR(H24="tested",H24="verified")),AND(H24="not applicable",K24&lt;&gt;"")),1,0)</f>
        <v/>
      </c>
    </row>
  </sheetData>
  <mergeCells count="2">
    <mergeCell ref="A2:M2"/>
    <mergeCell ref="A1:M1"/>
  </mergeCells>
  <conditionalFormatting sqref="H9:H24">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4" showDropDown="0" showInputMessage="1" showErrorMessage="1" allowBlank="1" type="list" errorStyle="stop" operator="between">
      <formula1>"not started,partial,implemented,tested,verified,blocked,not applicable"</formula1>
      <formula2>0</formula2>
    </dataValidation>
    <dataValidation sqref="I9:I24"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7.xml><?xml version="1.0" encoding="utf-8"?>
<worksheet xmlns="http://schemas.openxmlformats.org/spreadsheetml/2006/main">
  <sheetPr filterMode="0">
    <outlinePr summaryBelow="1" summaryRight="1"/>
    <pageSetUpPr fitToPage="0"/>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Bleed Evidence</t>
        </is>
      </c>
    </row>
    <row r="2" ht="27.75" customHeight="1" s="34">
      <c r="A2" s="36" t="inlineStr">
        <is>
          <t>Assertion-level static layout, responsive geometry, composition, accessibility, documentation,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8" customHeight="1" s="34">
      <c r="A9" s="32" t="inlineStr">
        <is>
          <t>BLD-01</t>
        </is>
      </c>
      <c r="B9" s="32" t="inlineStr">
        <is>
          <t>Implementation</t>
        </is>
      </c>
      <c r="C9" s="44" t="inlineStr">
        <is>
          <t>Bleed</t>
        </is>
      </c>
      <c r="D9" s="44" t="inlineStr">
        <is>
          <t>Bleed renders one selected native host or enhances one non-Fragment child without adding descendants, semantics, focus, or behavior.</t>
        </is>
      </c>
      <c r="E9" s="32" t="inlineStr">
        <is>
          <t>package</t>
        </is>
      </c>
      <c r="F9" s="32" t="inlineStr">
        <is>
          <t>source</t>
        </is>
      </c>
      <c r="G9" s="44" t="inlineStr">
        <is>
          <t>../src/components/bleed</t>
        </is>
      </c>
      <c r="H9" s="32" t="inlineStr">
        <is>
          <t>tested</t>
        </is>
      </c>
      <c r="I9" s="32" t="inlineStr">
        <is>
          <t>no</t>
        </is>
      </c>
      <c r="J9" s="42" t="n">
        <v>46262</v>
      </c>
      <c r="K9" s="44" t="n"/>
      <c r="L9" s="32" t="n">
        <v>1</v>
      </c>
      <c r="M9" s="32">
        <f>IF(OR(AND(I9="yes",H9="verified"),AND(I9="no",OR(H9="tested",H9="verified")),AND(H9="not applicable",K9&lt;&gt;"")),1,0)</f>
        <v/>
      </c>
    </row>
    <row r="10" ht="48" customHeight="1" s="34">
      <c r="A10" s="32" t="inlineStr">
        <is>
          <t>BLD-02</t>
        </is>
      </c>
      <c r="B10" s="32" t="inlineStr">
        <is>
          <t>Anatomy</t>
        </is>
      </c>
      <c r="C10" s="44" t="inlineStr">
        <is>
          <t>Bleed</t>
        </is>
      </c>
      <c r="D10" s="44" t="inlineStr">
        <is>
          <t>The one public part exposes stable class, data-bleed, data-slot, native host, and forwarded-ref ownership.</t>
        </is>
      </c>
      <c r="E10" s="32" t="inlineStr">
        <is>
          <t>package</t>
        </is>
      </c>
      <c r="F10" s="32" t="inlineStr">
        <is>
          <t>component</t>
        </is>
      </c>
      <c r="G10" s="44" t="inlineStr">
        <is>
          <t>../test/components/bleed/bleed.test.tsx</t>
        </is>
      </c>
      <c r="H10" s="32" t="inlineStr">
        <is>
          <t>tested</t>
        </is>
      </c>
      <c r="I10" s="32" t="inlineStr">
        <is>
          <t>no</t>
        </is>
      </c>
      <c r="J10" s="42" t="n">
        <v>46262</v>
      </c>
      <c r="K10" s="44" t="n"/>
      <c r="L10" s="32" t="n">
        <v>1</v>
      </c>
      <c r="M10" s="32">
        <f>IF(OR(AND(I10="yes",H10="verified"),AND(I10="no",OR(H10="tested",H10="verified")),AND(H10="not applicable",K10&lt;&gt;"")),1,0)</f>
        <v/>
      </c>
    </row>
    <row r="11" ht="48" customHeight="1" s="34">
      <c r="A11" s="32" t="inlineStr">
        <is>
          <t>BLD-03</t>
        </is>
      </c>
      <c r="B11" s="32" t="inlineStr">
        <is>
          <t>Exports</t>
        </is>
      </c>
      <c r="C11" s="44" t="inlineStr">
        <is>
          <t>Bleed</t>
        </is>
      </c>
      <c r="D11" s="44" t="inlineStr">
        <is>
          <t>Root and bleed subpath exports expose Bleed, BleedProps, and BleedElement through runtime and declaration surfaces.</t>
        </is>
      </c>
      <c r="E11" s="32" t="inlineStr">
        <is>
          <t>package</t>
        </is>
      </c>
      <c r="F11" s="32" t="inlineStr">
        <is>
          <t>package</t>
        </is>
      </c>
      <c r="G11" s="44" t="inlineStr">
        <is>
          <t>../test/package/package.test.mjs</t>
        </is>
      </c>
      <c r="H11" s="32" t="inlineStr">
        <is>
          <t>tested</t>
        </is>
      </c>
      <c r="I11" s="32" t="inlineStr">
        <is>
          <t>no</t>
        </is>
      </c>
      <c r="J11" s="42" t="n">
        <v>46262</v>
      </c>
      <c r="K11" s="44" t="n"/>
      <c r="L11" s="32" t="n">
        <v>1</v>
      </c>
      <c r="M11" s="32">
        <f>IF(OR(AND(I11="yes",H11="verified"),AND(I11="no",OR(H11="tested",H11="verified")),AND(H11="not applicable",K11&lt;&gt;"")),1,0)</f>
        <v/>
      </c>
    </row>
    <row r="12" ht="48" customHeight="1" s="34">
      <c r="A12" s="32" t="inlineStr">
        <is>
          <t>BLD-04</t>
        </is>
      </c>
      <c r="B12" s="32" t="inlineStr">
        <is>
          <t>Types</t>
        </is>
      </c>
      <c r="C12" s="44" t="inlineStr">
        <is>
          <t>Bleed</t>
        </is>
      </c>
      <c r="D12" s="44" t="inlineStr">
        <is>
          <t>Closed host choices, responsive spacing, asChild composition, refs, and rejected paint props type-check.</t>
        </is>
      </c>
      <c r="E12" s="32" t="inlineStr">
        <is>
          <t>package</t>
        </is>
      </c>
      <c r="F12" s="32" t="inlineStr">
        <is>
          <t>types</t>
        </is>
      </c>
      <c r="G12" s="44" t="inlineStr">
        <is>
          <t>../test/types/components/bleed.test.ts</t>
        </is>
      </c>
      <c r="H12" s="32" t="inlineStr">
        <is>
          <t>tested</t>
        </is>
      </c>
      <c r="I12" s="32" t="inlineStr">
        <is>
          <t>no</t>
        </is>
      </c>
      <c r="J12" s="42" t="n">
        <v>46262</v>
      </c>
      <c r="K12" s="44" t="n"/>
      <c r="L12" s="32" t="n">
        <v>1</v>
      </c>
      <c r="M12" s="32">
        <f>IF(OR(AND(I12="yes",H12="verified"),AND(I12="no",OR(H12="tested",H12="verified")),AND(H12="not applicable",K12&lt;&gt;"")),1,0)</f>
        <v/>
      </c>
    </row>
    <row r="13" ht="48" customHeight="1" s="34">
      <c r="A13" s="32" t="inlineStr">
        <is>
          <t>BLD-05</t>
        </is>
      </c>
      <c r="B13" s="32" t="inlineStr">
        <is>
          <t>CSS</t>
        </is>
      </c>
      <c r="C13" s="44" t="inlineStr">
        <is>
          <t>Bleed</t>
        </is>
      </c>
      <c r="D13" s="44" t="inlineStr">
        <is>
          <t>Static utility-layer CSS converts logical public spacing into locally scoped negative margins across initial, sm, md, lg, and xl states.</t>
        </is>
      </c>
      <c r="E13" s="32" t="inlineStr">
        <is>
          <t>package</t>
        </is>
      </c>
      <c r="F13" s="32" t="inlineStr">
        <is>
          <t>css</t>
        </is>
      </c>
      <c r="G13" s="44" t="inlineStr">
        <is>
          <t>../src/components/bleed/bleed.css</t>
        </is>
      </c>
      <c r="H13" s="32" t="inlineStr">
        <is>
          <t>tested</t>
        </is>
      </c>
      <c r="I13" s="32" t="inlineStr">
        <is>
          <t>no</t>
        </is>
      </c>
      <c r="J13" s="42" t="n">
        <v>46262</v>
      </c>
      <c r="K13" s="44" t="n"/>
      <c r="L13" s="32" t="n">
        <v>1</v>
      </c>
      <c r="M13" s="32">
        <f>IF(OR(AND(I13="yes",H13="verified"),AND(I13="no",OR(H13="tested",H13="verified")),AND(H13="not applicable",K13&lt;&gt;"")),1,0)</f>
        <v/>
      </c>
    </row>
    <row r="14" ht="48" customHeight="1" s="34">
      <c r="A14" s="32" t="inlineStr">
        <is>
          <t>BLD-06</t>
        </is>
      </c>
      <c r="B14" s="32" t="inlineStr">
        <is>
          <t>Props</t>
        </is>
      </c>
      <c r="C14" s="44" t="inlineStr">
        <is>
          <t>Bleed</t>
        </is>
      </c>
      <c r="D14" s="44" t="inlineStr">
        <is>
          <t>Axis and directional values serialize without DOM leakage, and a directional edge overrides its matching axis edge.</t>
        </is>
      </c>
      <c r="E14" s="32" t="inlineStr">
        <is>
          <t>package</t>
        </is>
      </c>
      <c r="F14" s="32" t="inlineStr">
        <is>
          <t>component</t>
        </is>
      </c>
      <c r="G14" s="44" t="inlineStr">
        <is>
          <t>../test/components/bleed/bleed.test.tsx</t>
        </is>
      </c>
      <c r="H14" s="32" t="inlineStr">
        <is>
          <t>tested</t>
        </is>
      </c>
      <c r="I14" s="32" t="inlineStr">
        <is>
          <t>no</t>
        </is>
      </c>
      <c r="J14" s="42" t="n">
        <v>46262</v>
      </c>
      <c r="K14" s="44" t="n"/>
      <c r="L14" s="32" t="n">
        <v>1</v>
      </c>
      <c r="M14" s="32">
        <f>IF(OR(AND(I14="yes",H14="verified"),AND(I14="no",OR(H14="tested",H14="verified")),AND(H14="not applicable",K14&lt;&gt;"")),1,0)</f>
        <v/>
      </c>
    </row>
    <row r="15" ht="48" customHeight="1" s="34">
      <c r="A15" s="32" t="inlineStr">
        <is>
          <t>BLD-07</t>
        </is>
      </c>
      <c r="B15" s="32" t="inlineStr">
        <is>
          <t>Responsive</t>
        </is>
      </c>
      <c r="C15" s="44" t="inlineStr">
        <is>
          <t>Bleed</t>
        </is>
      </c>
      <c r="D15" s="44" t="inlineStr">
        <is>
          <t>Real-browser geometry crosses only authored logical edges and responsive values change at the tested viewport.</t>
        </is>
      </c>
      <c r="E15" s="32" t="inlineStr">
        <is>
          <t>package</t>
        </is>
      </c>
      <c r="F15" s="32" t="inlineStr">
        <is>
          <t>browser</t>
        </is>
      </c>
      <c r="G15" s="44" t="inlineStr">
        <is>
          <t>tests/components/bleed/behavior.spec.ts</t>
        </is>
      </c>
      <c r="H15" s="32" t="inlineStr">
        <is>
          <t>tested</t>
        </is>
      </c>
      <c r="I15" s="32" t="inlineStr">
        <is>
          <t>no</t>
        </is>
      </c>
      <c r="J15" s="42" t="n">
        <v>46262</v>
      </c>
      <c r="K15" s="44" t="n"/>
      <c r="L15" s="32" t="n">
        <v>1</v>
      </c>
      <c r="M15" s="32">
        <f>IF(OR(AND(I15="yes",H15="verified"),AND(I15="no",OR(H15="tested",H15="verified")),AND(H15="not applicable",K15&lt;&gt;"")),1,0)</f>
        <v/>
      </c>
    </row>
    <row r="16" ht="48" customHeight="1" s="34">
      <c r="A16" s="32" t="inlineStr">
        <is>
          <t>BLD-08</t>
        </is>
      </c>
      <c r="B16" s="32" t="inlineStr">
        <is>
          <t>Composition</t>
        </is>
      </c>
      <c r="C16" s="44" t="inlineStr">
        <is>
          <t>Bleed</t>
        </is>
      </c>
      <c r="D16" s="44" t="inlineStr">
        <is>
          <t>asChild preserves the authored semantic figure and composed class/ref ownership without adding a wrapper.</t>
        </is>
      </c>
      <c r="E16" s="32" t="inlineStr">
        <is>
          <t>package</t>
        </is>
      </c>
      <c r="F16" s="32" t="inlineStr">
        <is>
          <t>component</t>
        </is>
      </c>
      <c r="G16" s="44" t="inlineStr">
        <is>
          <t>../test/components/bleed/bleed.test.tsx; tests/components/bleed/behavior.spec.ts</t>
        </is>
      </c>
      <c r="H16" s="32" t="inlineStr">
        <is>
          <t>tested</t>
        </is>
      </c>
      <c r="I16" s="32" t="inlineStr">
        <is>
          <t>no</t>
        </is>
      </c>
      <c r="J16" s="42" t="n">
        <v>46262</v>
      </c>
      <c r="K16" s="44" t="n"/>
      <c r="L16" s="32" t="n">
        <v>1</v>
      </c>
      <c r="M16" s="32">
        <f>IF(OR(AND(I16="yes",H16="verified"),AND(I16="no",OR(H16="tested",H16="verified")),AND(H16="not applicable",K16&lt;&gt;"")),1,0)</f>
        <v/>
      </c>
    </row>
    <row r="17" ht="48" customHeight="1" s="34">
      <c r="A17" s="32" t="inlineStr">
        <is>
          <t>BLD-09</t>
        </is>
      </c>
      <c r="B17" s="32" t="inlineStr">
        <is>
          <t>Accessibility</t>
        </is>
      </c>
      <c r="C17" s="44" t="inlineStr">
        <is>
          <t>Bleed</t>
        </is>
      </c>
      <c r="D17" s="44" t="inlineStr">
        <is>
          <t>Narrow-width overflow and axe checks pass while Bleed remains semantically neutral.</t>
        </is>
      </c>
      <c r="E17" s="32" t="inlineStr">
        <is>
          <t>package</t>
        </is>
      </c>
      <c r="F17" s="32" t="inlineStr">
        <is>
          <t>axe</t>
        </is>
      </c>
      <c r="G17" s="44" t="inlineStr">
        <is>
          <t>tests/components/bleed/behavior.spec.ts</t>
        </is>
      </c>
      <c r="H17" s="32" t="inlineStr">
        <is>
          <t>tested</t>
        </is>
      </c>
      <c r="I17" s="32" t="inlineStr">
        <is>
          <t>no</t>
        </is>
      </c>
      <c r="J17" s="42" t="n">
        <v>46262</v>
      </c>
      <c r="K17" s="44" t="n"/>
      <c r="L17" s="32" t="n">
        <v>1</v>
      </c>
      <c r="M17" s="32">
        <f>IF(OR(AND(I17="yes",H17="verified"),AND(I17="no",OR(H17="tested",H17="verified")),AND(H17="not applicable",K17&lt;&gt;"")),1,0)</f>
        <v/>
      </c>
    </row>
    <row r="18" ht="48" customHeight="1" s="34">
      <c r="A18" s="32" t="inlineStr">
        <is>
          <t>BLD-10</t>
        </is>
      </c>
      <c r="B18" s="32" t="inlineStr">
        <is>
          <t>Visual</t>
        </is>
      </c>
      <c r="C18" s="44" t="inlineStr">
        <is>
          <t>Bleed</t>
        </is>
      </c>
      <c r="D18" s="44" t="inlineStr">
        <is>
          <t>The visual owner defines edge-media and narrow responsive screenshots, but the required baselines do not exist yet.</t>
        </is>
      </c>
      <c r="E18" s="32" t="inlineStr">
        <is>
          <t>package</t>
        </is>
      </c>
      <c r="F18" s="32" t="inlineStr">
        <is>
          <t>visual</t>
        </is>
      </c>
      <c r="G18" s="44" t="inlineStr">
        <is>
          <t>tests/components/bleed/visual.spec.ts</t>
        </is>
      </c>
      <c r="H18" s="32" t="inlineStr">
        <is>
          <t>partial</t>
        </is>
      </c>
      <c r="I18" s="32" t="inlineStr">
        <is>
          <t>yes</t>
        </is>
      </c>
      <c r="J18" s="42" t="n">
        <v>46262</v>
      </c>
      <c r="K18" s="44" t="inlineStr">
        <is>
          <t>Focused Chromium visual checks wrote actuals because both required baselines are missing.</t>
        </is>
      </c>
      <c r="L18" s="32" t="n">
        <v>1</v>
      </c>
      <c r="M18" s="32">
        <f>IF(OR(AND(I18="yes",H18="verified"),AND(I18="no",OR(H18="tested",H18="verified")),AND(H18="not applicable",K18&lt;&gt;"")),1,0)</f>
        <v/>
      </c>
    </row>
    <row r="19" ht="48" customHeight="1" s="34">
      <c r="A19" s="32" t="inlineStr">
        <is>
          <t>BLD-11</t>
        </is>
      </c>
      <c r="B19" s="32" t="inlineStr">
        <is>
          <t>Stress</t>
        </is>
      </c>
      <c r="C19" s="44" t="inlineStr">
        <is>
          <t>Bleed</t>
        </is>
      </c>
      <c r="D19" s="44" t="inlineStr">
        <is>
          <t>320 px, zoom, long content, nested values, RTL, and focus visibility receive the numbered human review.</t>
        </is>
      </c>
      <c r="E19" s="32" t="inlineStr">
        <is>
          <t>package</t>
        </is>
      </c>
      <c r="F19" s="32" t="inlineStr">
        <is>
          <t>manual</t>
        </is>
      </c>
      <c r="G19" s="44" t="inlineStr">
        <is>
          <t>manual-tests/bleed.md</t>
        </is>
      </c>
      <c r="H19" s="32" t="inlineStr">
        <is>
          <t>not started</t>
        </is>
      </c>
      <c r="I19" s="32" t="inlineStr">
        <is>
          <t>yes</t>
        </is>
      </c>
      <c r="K19" s="44" t="inlineStr">
        <is>
          <t>No completed responsive and RTL owner run is recorded.</t>
        </is>
      </c>
      <c r="L19" s="32" t="n">
        <v>1</v>
      </c>
      <c r="M19" s="32">
        <f>IF(OR(AND(I19="yes",H19="verified"),AND(I19="no",OR(H19="tested",H19="verified")),AND(H19="not applicable",K19&lt;&gt;"")),1,0)</f>
        <v/>
      </c>
    </row>
    <row r="20" ht="48" customHeight="1" s="34">
      <c r="A20" s="32" t="inlineStr">
        <is>
          <t>BLD-12</t>
        </is>
      </c>
      <c r="B20" s="32" t="inlineStr">
        <is>
          <t>Theme</t>
        </is>
      </c>
      <c r="C20" s="44" t="inlineStr">
        <is>
          <t>Bleed</t>
        </is>
      </c>
      <c r="D20" s="44" t="inlineStr">
        <is>
          <t>Forced colors and appearance changes preserve descendant readability and focus without introducing component paint.</t>
        </is>
      </c>
      <c r="E20" s="32" t="inlineStr">
        <is>
          <t>package</t>
        </is>
      </c>
      <c r="F20" s="32" t="inlineStr">
        <is>
          <t>manual</t>
        </is>
      </c>
      <c r="G20" s="44" t="inlineStr">
        <is>
          <t>manual-tests/bleed.md</t>
        </is>
      </c>
      <c r="H20" s="32" t="inlineStr">
        <is>
          <t>not started</t>
        </is>
      </c>
      <c r="I20" s="32" t="inlineStr">
        <is>
          <t>yes</t>
        </is>
      </c>
      <c r="K20" s="44" t="inlineStr">
        <is>
          <t>No completed appearance owner run is recorded.</t>
        </is>
      </c>
      <c r="L20" s="32" t="n">
        <v>1</v>
      </c>
      <c r="M20" s="32">
        <f>IF(OR(AND(I20="yes",H20="verified"),AND(I20="no",OR(H20="tested",H20="verified")),AND(H20="not applicable",K20&lt;&gt;"")),1,0)</f>
        <v/>
      </c>
    </row>
    <row r="21" ht="48" customHeight="1" s="34">
      <c r="A21" s="32" t="inlineStr">
        <is>
          <t>BLD-13</t>
        </is>
      </c>
      <c r="B21" s="32" t="inlineStr">
        <is>
          <t>Manual</t>
        </is>
      </c>
      <c r="C21" s="44" t="inlineStr">
        <is>
          <t>Bleed</t>
        </is>
      </c>
      <c r="D21" s="44" t="inlineStr">
        <is>
          <t>The numbered component-owned protocol passes axis, responsive, nested, narrow, zoom, RTL, device, and assistive-technology scenarios.</t>
        </is>
      </c>
      <c r="E21" s="32" t="inlineStr">
        <is>
          <t>package</t>
        </is>
      </c>
      <c r="F21" s="32" t="inlineStr">
        <is>
          <t>manual</t>
        </is>
      </c>
      <c r="G21" s="44" t="inlineStr">
        <is>
          <t>manual-tests/bleed.md</t>
        </is>
      </c>
      <c r="H21" s="32" t="inlineStr">
        <is>
          <t>not started</t>
        </is>
      </c>
      <c r="I21" s="32" t="inlineStr">
        <is>
          <t>yes</t>
        </is>
      </c>
      <c r="K21" s="44" t="inlineStr">
        <is>
          <t>No completed manual run is recorded.</t>
        </is>
      </c>
      <c r="L21" s="32" t="n">
        <v>1</v>
      </c>
      <c r="M21" s="32">
        <f>IF(OR(AND(I21="yes",H21="verified"),AND(I21="no",OR(H21="tested",H21="verified")),AND(H21="not applicable",K21&lt;&gt;"")),1,0)</f>
        <v/>
      </c>
    </row>
    <row r="22" ht="48" customHeight="1" s="34">
      <c r="A22" s="32" t="inlineStr">
        <is>
          <t>BLD-14</t>
        </is>
      </c>
      <c r="B22" s="32" t="inlineStr">
        <is>
          <t>Playground</t>
        </is>
      </c>
      <c r="C22" s="44" t="inlineStr">
        <is>
          <t>Bleed</t>
        </is>
      </c>
      <c r="D22" s="44" t="inlineStr">
        <is>
          <t>One route exposes axis, one-edge, responsive, nested, and stress specimens for review.</t>
        </is>
      </c>
      <c r="E22" s="32" t="inlineStr">
        <is>
          <t>package</t>
        </is>
      </c>
      <c r="F22" s="32" t="inlineStr">
        <is>
          <t>playground</t>
        </is>
      </c>
      <c r="G22" s="44" t="inlineStr">
        <is>
          <t>src/components/bleed/BleedPage.tsx</t>
        </is>
      </c>
      <c r="H22" s="32" t="inlineStr">
        <is>
          <t>tested</t>
        </is>
      </c>
      <c r="I22" s="32" t="inlineStr">
        <is>
          <t>no</t>
        </is>
      </c>
      <c r="J22" s="42" t="n">
        <v>46262</v>
      </c>
      <c r="K22" s="44" t="n"/>
      <c r="L22" s="32" t="n">
        <v>1</v>
      </c>
      <c r="M22" s="32">
        <f>IF(OR(AND(I22="yes",H22="verified"),AND(I22="no",OR(H22="tested",H22="verified")),AND(H22="not applicable",K22&lt;&gt;"")),1,0)</f>
        <v/>
      </c>
    </row>
    <row r="23" ht="48" customHeight="1" s="34">
      <c r="A23" s="32" t="inlineStr">
        <is>
          <t>BLD-15</t>
        </is>
      </c>
      <c r="B23" s="32" t="inlineStr">
        <is>
          <t>Docs</t>
        </is>
      </c>
      <c r="C23" s="44" t="inlineStr">
        <is>
          <t>Bleed</t>
        </is>
      </c>
      <c r="D23" s="44" t="inlineStr">
        <is>
          <t>Public use, exclusions, API, responsive behavior, accessibility, composition, customization, and evidence documentation pass.</t>
        </is>
      </c>
      <c r="E23" s="32" t="inlineStr">
        <is>
          <t>package</t>
        </is>
      </c>
      <c r="F23" s="32" t="inlineStr">
        <is>
          <t>docs</t>
        </is>
      </c>
      <c r="G23" s="44" t="inlineStr">
        <is>
          <t>../docs/components/bleed/README.md</t>
        </is>
      </c>
      <c r="H23" s="32" t="inlineStr">
        <is>
          <t>tested</t>
        </is>
      </c>
      <c r="I23" s="32" t="inlineStr">
        <is>
          <t>no</t>
        </is>
      </c>
      <c r="J23" s="42" t="n">
        <v>46262</v>
      </c>
      <c r="K23" s="44" t="n"/>
      <c r="L23" s="32" t="n">
        <v>1</v>
      </c>
      <c r="M23" s="32">
        <f>IF(OR(AND(I23="yes",H23="verified"),AND(I23="no",OR(H23="tested",H23="verified")),AND(H23="not applicable",K23&lt;&gt;"")),1,0)</f>
        <v/>
      </c>
    </row>
    <row r="24" ht="48" customHeight="1" s="34">
      <c r="A24" s="32" t="inlineStr">
        <is>
          <t>BLD-16</t>
        </is>
      </c>
      <c r="B24" s="32" t="inlineStr">
        <is>
          <t>Agent Knowledge</t>
        </is>
      </c>
      <c r="C24" s="44" t="inlineStr">
        <is>
          <t>Bleed</t>
        </is>
      </c>
      <c r="D24" s="44" t="inlineStr">
        <is>
          <t>Machine-readable selection, props, composition, accessibility, and evidence guidance ships with the component.</t>
        </is>
      </c>
      <c r="E24" s="32" t="inlineStr">
        <is>
          <t>package</t>
        </is>
      </c>
      <c r="F24" s="32" t="inlineStr">
        <is>
          <t>docs</t>
        </is>
      </c>
      <c r="G24" s="44" t="inlineStr">
        <is>
          <t>../src/components/bleed/agent.json; ../src/components/bleed/agent.md</t>
        </is>
      </c>
      <c r="H24" s="32" t="inlineStr">
        <is>
          <t>tested</t>
        </is>
      </c>
      <c r="I24" s="32" t="inlineStr">
        <is>
          <t>no</t>
        </is>
      </c>
      <c r="J24" s="42" t="n">
        <v>46262</v>
      </c>
      <c r="K24" s="44" t="n"/>
      <c r="L24" s="32" t="n">
        <v>1</v>
      </c>
      <c r="M24" s="32">
        <f>IF(OR(AND(I24="yes",H24="verified"),AND(I24="no",OR(H24="tested",H24="verified")),AND(H24="not applicable",K24&lt;&gt;"")),1,0)</f>
        <v/>
      </c>
    </row>
    <row r="25" ht="48" customHeight="1" s="34">
      <c r="A25" s="32" t="inlineStr">
        <is>
          <t>BLD-17</t>
        </is>
      </c>
      <c r="B25" s="32" t="inlineStr">
        <is>
          <t>Changelog</t>
        </is>
      </c>
      <c r="C25" s="44" t="inlineStr">
        <is>
          <t>Bleed</t>
        </is>
      </c>
      <c r="D25" s="44" t="inlineStr">
        <is>
          <t>Bleed owns component history and the package changelog records its addition.</t>
        </is>
      </c>
      <c r="E25" s="32" t="inlineStr">
        <is>
          <t>package</t>
        </is>
      </c>
      <c r="F25" s="32" t="inlineStr">
        <is>
          <t>docs</t>
        </is>
      </c>
      <c r="G25" s="44" t="inlineStr">
        <is>
          <t>../docs/components/bleed/CHANGELOG.md; ../CHANGELOG.md</t>
        </is>
      </c>
      <c r="H25" s="32" t="inlineStr">
        <is>
          <t>tested</t>
        </is>
      </c>
      <c r="I25" s="32" t="inlineStr">
        <is>
          <t>no</t>
        </is>
      </c>
      <c r="J25" s="42" t="n">
        <v>46262</v>
      </c>
      <c r="K25" s="44" t="n"/>
      <c r="L25" s="32" t="n">
        <v>1</v>
      </c>
      <c r="M25" s="32">
        <f>IF(OR(AND(I25="yes",H25="verified"),AND(I25="no",OR(H25="tested",H25="verified")),AND(H25="not applicable",K25&lt;&gt;"")),1,0)</f>
        <v/>
      </c>
    </row>
    <row r="26" ht="48" customHeight="1" s="34">
      <c r="A26" s="32" t="inlineStr">
        <is>
          <t>BLD-18</t>
        </is>
      </c>
      <c r="B26" s="32" t="inlineStr">
        <is>
          <t>Consumer</t>
        </is>
      </c>
      <c r="C26" s="44" t="inlineStr">
        <is>
          <t>Bleed</t>
        </is>
      </c>
      <c r="D26" s="44" t="inlineStr">
        <is>
          <t>The packed standalone Consumer imports the public bleed subpath in a realistic edge-media composition.</t>
        </is>
      </c>
      <c r="E26" s="32" t="inlineStr">
        <is>
          <t>consumer</t>
        </is>
      </c>
      <c r="F26" s="32" t="inlineStr">
        <is>
          <t>consumer</t>
        </is>
      </c>
      <c r="G26" s="44" t="inlineStr">
        <is>
          <t>../apps/consumer/src/App.tsx; ../apps/consumer/tests/consumer.spec.ts</t>
        </is>
      </c>
      <c r="H26" s="32" t="inlineStr">
        <is>
          <t>not started</t>
        </is>
      </c>
      <c r="I26" s="32" t="inlineStr">
        <is>
          <t>no</t>
        </is>
      </c>
      <c r="K26" s="44" t="inlineStr">
        <is>
          <t>No Bleed Consumer composition or assertion exists yet.</t>
        </is>
      </c>
      <c r="L26" s="32" t="n">
        <v>1</v>
      </c>
      <c r="M26" s="32">
        <f>IF(OR(AND(I26="yes",H26="verified"),AND(I26="no",OR(H26="tested",H26="verified")),AND(H26="not applicable",K26&lt;&gt;"")),1,0)</f>
        <v/>
      </c>
    </row>
    <row r="27" ht="48" customHeight="1" s="34">
      <c r="A27" s="32" t="inlineStr">
        <is>
          <t>BLD-19</t>
        </is>
      </c>
      <c r="B27" s="32" t="inlineStr">
        <is>
          <t>Package</t>
        </is>
      </c>
      <c r="C27" s="44" t="inlineStr">
        <is>
          <t>Bleed</t>
        </is>
      </c>
      <c r="D27" s="44" t="inlineStr">
        <is>
          <t>Build, exports, CSS, tarball, component tests, and repository verification pass.</t>
        </is>
      </c>
      <c r="E27" s="32" t="inlineStr">
        <is>
          <t>package</t>
        </is>
      </c>
      <c r="F27" s="32" t="inlineStr">
        <is>
          <t>package</t>
        </is>
      </c>
      <c r="G27" s="44" t="inlineStr">
        <is>
          <t>../scripts/verify-package.mjs; ../scripts/verify-consumers.mjs</t>
        </is>
      </c>
      <c r="H27" s="32" t="inlineStr">
        <is>
          <t>blocked</t>
        </is>
      </c>
      <c r="I27" s="32" t="inlineStr">
        <is>
          <t>no</t>
        </is>
      </c>
      <c r="J27" s="42" t="n">
        <v>46262</v>
      </c>
      <c r="K27" s="44" t="inlineStr">
        <is>
          <t>Clean Consumer verification cannot install unpublished @flowstack-ui/atom 0.23.1 from the public registry.</t>
        </is>
      </c>
      <c r="L27" s="32" t="n">
        <v>1</v>
      </c>
      <c r="M27" s="32">
        <f>IF(OR(AND(I27="yes",H27="verified"),AND(I27="no",OR(H27="tested",H27="verified")),AND(H27="not applicable",K27&lt;&gt;"")),1,0)</f>
        <v/>
      </c>
    </row>
    <row r="28" ht="48" customHeight="1" s="34">
      <c r="A28" s="32" t="inlineStr">
        <is>
          <t>BLD-20</t>
        </is>
      </c>
      <c r="B28" s="32" t="inlineStr">
        <is>
          <t>Ownership</t>
        </is>
      </c>
      <c r="C28" s="44" t="inlineStr">
        <is>
          <t>Bleed</t>
        </is>
      </c>
      <c r="D28" s="44" t="inlineStr">
        <is>
          <t>The adopted contract records Bleed as a Brick-native static layout primitive with no missing Atom capability.</t>
        </is>
      </c>
      <c r="E28" s="32" t="inlineStr">
        <is>
          <t>package</t>
        </is>
      </c>
      <c r="F28" s="32" t="inlineStr">
        <is>
          <t>docs</t>
        </is>
      </c>
      <c r="G28" s="44" t="inlineStr">
        <is>
          <t>../../docs/components/bleed/contract.md</t>
        </is>
      </c>
      <c r="H28" s="32" t="inlineStr">
        <is>
          <t>tested</t>
        </is>
      </c>
      <c r="I28" s="32" t="inlineStr">
        <is>
          <t>no</t>
        </is>
      </c>
      <c r="J28" s="42" t="n">
        <v>46262</v>
      </c>
      <c r="K28" s="44" t="n"/>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8.xml><?xml version="1.0" encoding="utf-8"?>
<worksheet xmlns="http://schemas.openxmlformats.org/spreadsheetml/2006/main">
  <sheetPr filterMode="0">
    <outlinePr summaryBelow="1" summaryRight="1"/>
    <pageSetUpPr fitToPage="0"/>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Data List Evidence</t>
        </is>
      </c>
    </row>
    <row r="2" ht="27.75" customHeight="1" s="34">
      <c r="A2" s="36" t="inlineStr">
        <is>
          <t>Assertion-level native description-list, responsive recipe, accessibility, documentation,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8" customHeight="1" s="34">
      <c r="A9" s="32" t="inlineStr">
        <is>
          <t>DL-01</t>
        </is>
      </c>
      <c r="B9" s="32" t="inlineStr">
        <is>
          <t>Implementation</t>
        </is>
      </c>
      <c r="C9" s="44" t="inlineStr">
        <is>
          <t>Root / Item / Label / Value</t>
        </is>
      </c>
      <c r="D9" s="44" t="inlineStr">
        <is>
          <t>The four public parts render fixed dl, div, dt, and dd hosts with forwarded refs and native props.</t>
        </is>
      </c>
      <c r="E9" s="32" t="inlineStr">
        <is>
          <t>package</t>
        </is>
      </c>
      <c r="F9" s="32" t="inlineStr">
        <is>
          <t>source</t>
        </is>
      </c>
      <c r="G9" s="44" t="inlineStr">
        <is>
          <t>../src/components/data-list</t>
        </is>
      </c>
      <c r="H9" s="32" t="inlineStr">
        <is>
          <t>tested</t>
        </is>
      </c>
      <c r="I9" s="32" t="inlineStr">
        <is>
          <t>no</t>
        </is>
      </c>
      <c r="J9" s="42" t="n">
        <v>46262</v>
      </c>
      <c r="K9" s="44" t="n"/>
      <c r="L9" s="32" t="n">
        <v>1</v>
      </c>
      <c r="M9" s="32">
        <f>IF(OR(AND(I9="yes",H9="verified"),AND(I9="no",OR(H9="tested",H9="verified")),AND(H9="not applicable",K9&lt;&gt;"")),1,0)</f>
        <v/>
      </c>
    </row>
    <row r="10" ht="48" customHeight="1" s="34">
      <c r="A10" s="32" t="inlineStr">
        <is>
          <t>DL-02</t>
        </is>
      </c>
      <c r="B10" s="32" t="inlineStr">
        <is>
          <t>Anatomy</t>
        </is>
      </c>
      <c r="C10" s="44" t="inlineStr">
        <is>
          <t>Root / Item / Label / Value</t>
        </is>
      </c>
      <c r="D10" s="44" t="inlineStr">
        <is>
          <t>Stable classes and data-slot hooks preserve Label-before-Value source order inside every Item.</t>
        </is>
      </c>
      <c r="E10" s="32" t="inlineStr">
        <is>
          <t>package</t>
        </is>
      </c>
      <c r="F10" s="32" t="inlineStr">
        <is>
          <t>component</t>
        </is>
      </c>
      <c r="G10" s="44" t="inlineStr">
        <is>
          <t>../test/components/data-list/data-list.test.tsx</t>
        </is>
      </c>
      <c r="H10" s="32" t="inlineStr">
        <is>
          <t>tested</t>
        </is>
      </c>
      <c r="I10" s="32" t="inlineStr">
        <is>
          <t>no</t>
        </is>
      </c>
      <c r="J10" s="42" t="n">
        <v>46262</v>
      </c>
      <c r="K10" s="44" t="n"/>
      <c r="L10" s="32" t="n">
        <v>1</v>
      </c>
      <c r="M10" s="32">
        <f>IF(OR(AND(I10="yes",H10="verified"),AND(I10="no",OR(H10="tested",H10="verified")),AND(H10="not applicable",K10&lt;&gt;"")),1,0)</f>
        <v/>
      </c>
    </row>
    <row r="11" ht="48" customHeight="1" s="34">
      <c r="A11" s="32" t="inlineStr">
        <is>
          <t>DL-03</t>
        </is>
      </c>
      <c r="B11" s="32" t="inlineStr">
        <is>
          <t>Exports</t>
        </is>
      </c>
      <c r="C11" s="44" t="inlineStr">
        <is>
          <t>DataList</t>
        </is>
      </c>
      <c r="D11" s="44" t="inlineStr">
        <is>
          <t>Namespace, named parts, public types, root export, and data-list subpath are exported.</t>
        </is>
      </c>
      <c r="E11" s="32" t="inlineStr">
        <is>
          <t>package</t>
        </is>
      </c>
      <c r="F11" s="32" t="inlineStr">
        <is>
          <t>package</t>
        </is>
      </c>
      <c r="G11" s="44" t="inlineStr">
        <is>
          <t>../test/package/package.test.mjs</t>
        </is>
      </c>
      <c r="H11" s="32" t="inlineStr">
        <is>
          <t>tested</t>
        </is>
      </c>
      <c r="I11" s="32" t="inlineStr">
        <is>
          <t>no</t>
        </is>
      </c>
      <c r="J11" s="42" t="n">
        <v>46262</v>
      </c>
      <c r="K11" s="44" t="n"/>
      <c r="L11" s="32" t="n">
        <v>1</v>
      </c>
      <c r="M11" s="32">
        <f>IF(OR(AND(I11="yes",H11="verified"),AND(I11="no",OR(H11="tested",H11="verified")),AND(H11="not applicable",K11&lt;&gt;"")),1,0)</f>
        <v/>
      </c>
    </row>
    <row r="12" ht="48" customHeight="1" s="34">
      <c r="A12" s="32" t="inlineStr">
        <is>
          <t>DL-04</t>
        </is>
      </c>
      <c r="B12" s="32" t="inlineStr">
        <is>
          <t>Types</t>
        </is>
      </c>
      <c r="C12" s="44" t="inlineStr">
        <is>
          <t>Root / Item / Label / Value</t>
        </is>
      </c>
      <c r="D12" s="44" t="inlineStr">
        <is>
          <t>Sizes, orientations, label widths, responsive values, native props, and exact refs type-check.</t>
        </is>
      </c>
      <c r="E12" s="32" t="inlineStr">
        <is>
          <t>package</t>
        </is>
      </c>
      <c r="F12" s="32" t="inlineStr">
        <is>
          <t>types</t>
        </is>
      </c>
      <c r="G12" s="44" t="inlineStr">
        <is>
          <t>../test/types/components/data-list.test.ts</t>
        </is>
      </c>
      <c r="H12" s="32" t="inlineStr">
        <is>
          <t>tested</t>
        </is>
      </c>
      <c r="I12" s="32" t="inlineStr">
        <is>
          <t>no</t>
        </is>
      </c>
      <c r="J12" s="42" t="n">
        <v>46262</v>
      </c>
      <c r="K12" s="44" t="n"/>
      <c r="L12" s="32" t="n">
        <v>1</v>
      </c>
      <c r="M12" s="32">
        <f>IF(OR(AND(I12="yes",H12="verified"),AND(I12="no",OR(H12="tested",H12="verified")),AND(H12="not applicable",K12&lt;&gt;"")),1,0)</f>
        <v/>
      </c>
    </row>
    <row r="13" ht="48" customHeight="1" s="34">
      <c r="A13" s="32" t="inlineStr">
        <is>
          <t>DL-05</t>
        </is>
      </c>
      <c r="B13" s="32" t="inlineStr">
        <is>
          <t>CSS</t>
        </is>
      </c>
      <c r="C13" s="44" t="inlineStr">
        <is>
          <t>Root / Item / Label / Value</t>
        </is>
      </c>
      <c r="D13" s="44" t="inlineStr">
        <is>
          <t>Static CSS provides size, orientation, label measure, divider, wrapping, RTL, and forced-color recipes through public hooks.</t>
        </is>
      </c>
      <c r="E13" s="32" t="inlineStr">
        <is>
          <t>package</t>
        </is>
      </c>
      <c r="F13" s="32" t="inlineStr">
        <is>
          <t>css</t>
        </is>
      </c>
      <c r="G13" s="44" t="inlineStr">
        <is>
          <t>../src/components/data-list/data-list.css</t>
        </is>
      </c>
      <c r="H13" s="32" t="inlineStr">
        <is>
          <t>tested</t>
        </is>
      </c>
      <c r="I13" s="32" t="inlineStr">
        <is>
          <t>no</t>
        </is>
      </c>
      <c r="J13" s="42" t="n">
        <v>46262</v>
      </c>
      <c r="K13" s="44" t="n"/>
      <c r="L13" s="32" t="n">
        <v>1</v>
      </c>
      <c r="M13" s="32">
        <f>IF(OR(AND(I13="yes",H13="verified"),AND(I13="no",OR(H13="tested",H13="verified")),AND(H13="not applicable",K13&lt;&gt;"")),1,0)</f>
        <v/>
      </c>
    </row>
    <row r="14" ht="48" customHeight="1" s="34">
      <c r="A14" s="32" t="inlineStr">
        <is>
          <t>DL-06</t>
        </is>
      </c>
      <c r="B14" s="32" t="inlineStr">
        <is>
          <t>Defaults</t>
        </is>
      </c>
      <c r="C14" s="44" t="inlineStr">
        <is>
          <t>Root</t>
        </is>
      </c>
      <c r="D14" s="44" t="inlineStr">
        <is>
          <t>Medium vertical layout, automatic label width, and no separators are the canonical defaults.</t>
        </is>
      </c>
      <c r="E14" s="32" t="inlineStr">
        <is>
          <t>package</t>
        </is>
      </c>
      <c r="F14" s="32" t="inlineStr">
        <is>
          <t>component</t>
        </is>
      </c>
      <c r="G14" s="44" t="inlineStr">
        <is>
          <t>../test/components/data-list/data-list.test.tsx</t>
        </is>
      </c>
      <c r="H14" s="32" t="inlineStr">
        <is>
          <t>tested</t>
        </is>
      </c>
      <c r="I14" s="32" t="inlineStr">
        <is>
          <t>no</t>
        </is>
      </c>
      <c r="J14" s="42" t="n">
        <v>46262</v>
      </c>
      <c r="K14" s="44" t="n"/>
      <c r="L14" s="32" t="n">
        <v>1</v>
      </c>
      <c r="M14" s="32">
        <f>IF(OR(AND(I14="yes",H14="verified"),AND(I14="no",OR(H14="tested",H14="verified")),AND(H14="not applicable",K14&lt;&gt;"")),1,0)</f>
        <v/>
      </c>
    </row>
    <row r="15" ht="48" customHeight="1" s="34">
      <c r="A15" s="32" t="inlineStr">
        <is>
          <t>DL-07</t>
        </is>
      </c>
      <c r="B15" s="32" t="inlineStr">
        <is>
          <t>Recipes</t>
        </is>
      </c>
      <c r="C15" s="44" t="inlineStr">
        <is>
          <t>Root / Item</t>
        </is>
      </c>
      <c r="D15" s="44" t="inlineStr">
        <is>
          <t>Small, medium, large, divided, and closed label-width recipes serialize through stable data attributes.</t>
        </is>
      </c>
      <c r="E15" s="32" t="inlineStr">
        <is>
          <t>package</t>
        </is>
      </c>
      <c r="F15" s="32" t="inlineStr">
        <is>
          <t>component</t>
        </is>
      </c>
      <c r="G15" s="44" t="inlineStr">
        <is>
          <t>../test/components/data-list/data-list.test.tsx</t>
        </is>
      </c>
      <c r="H15" s="32" t="inlineStr">
        <is>
          <t>tested</t>
        </is>
      </c>
      <c r="I15" s="32" t="inlineStr">
        <is>
          <t>no</t>
        </is>
      </c>
      <c r="J15" s="42" t="n">
        <v>46262</v>
      </c>
      <c r="K15" s="44" t="n"/>
      <c r="L15" s="32" t="n">
        <v>1</v>
      </c>
      <c r="M15" s="32">
        <f>IF(OR(AND(I15="yes",H15="verified"),AND(I15="no",OR(H15="tested",H15="verified")),AND(H15="not applicable",K15&lt;&gt;"")),1,0)</f>
        <v/>
      </c>
    </row>
    <row r="16" ht="48" customHeight="1" s="34">
      <c r="A16" s="32" t="inlineStr">
        <is>
          <t>DL-08</t>
        </is>
      </c>
      <c r="B16" s="32" t="inlineStr">
        <is>
          <t>Responsive</t>
        </is>
      </c>
      <c r="C16" s="44" t="inlineStr">
        <is>
          <t>Root / Item</t>
        </is>
      </c>
      <c r="D16" s="44" t="inlineStr">
        <is>
          <t>Responsive orientation changes presentation while retaining one native description-list tree and the same term/value order.</t>
        </is>
      </c>
      <c r="E16" s="32" t="inlineStr">
        <is>
          <t>package</t>
        </is>
      </c>
      <c r="F16" s="32" t="inlineStr">
        <is>
          <t>browser</t>
        </is>
      </c>
      <c r="G16" s="44" t="inlineStr">
        <is>
          <t>tests/components/data-list/behavior.spec.ts</t>
        </is>
      </c>
      <c r="H16" s="32" t="inlineStr">
        <is>
          <t>tested</t>
        </is>
      </c>
      <c r="I16" s="32" t="inlineStr">
        <is>
          <t>no</t>
        </is>
      </c>
      <c r="J16" s="42" t="n">
        <v>46262</v>
      </c>
      <c r="K16" s="44" t="n"/>
      <c r="L16" s="32" t="n">
        <v>1</v>
      </c>
      <c r="M16" s="32">
        <f>IF(OR(AND(I16="yes",H16="verified"),AND(I16="no",OR(H16="tested",H16="verified")),AND(H16="not applicable",K16&lt;&gt;"")),1,0)</f>
        <v/>
      </c>
    </row>
    <row r="17" ht="48" customHeight="1" s="34">
      <c r="A17" s="32" t="inlineStr">
        <is>
          <t>DL-09</t>
        </is>
      </c>
      <c r="B17" s="32" t="inlineStr">
        <is>
          <t>Accessibility</t>
        </is>
      </c>
      <c r="C17" s="44" t="inlineStr">
        <is>
          <t>Root / Label / Value</t>
        </is>
      </c>
      <c r="D17" s="44" t="inlineStr">
        <is>
          <t>Native dl, dt, and dd semantics remain intact without redundant roles, and axe passes.</t>
        </is>
      </c>
      <c r="E17" s="32" t="inlineStr">
        <is>
          <t>package</t>
        </is>
      </c>
      <c r="F17" s="32" t="inlineStr">
        <is>
          <t>axe</t>
        </is>
      </c>
      <c r="G17" s="44" t="inlineStr">
        <is>
          <t>tests/components/data-list/behavior.spec.ts</t>
        </is>
      </c>
      <c r="H17" s="32" t="inlineStr">
        <is>
          <t>tested</t>
        </is>
      </c>
      <c r="I17" s="32" t="inlineStr">
        <is>
          <t>no</t>
        </is>
      </c>
      <c r="J17" s="42" t="n">
        <v>46262</v>
      </c>
      <c r="K17" s="44" t="n"/>
      <c r="L17" s="32" t="n">
        <v>1</v>
      </c>
      <c r="M17" s="32">
        <f>IF(OR(AND(I17="yes",H17="verified"),AND(I17="no",OR(H17="tested",H17="verified")),AND(H17="not applicable",K17&lt;&gt;"")),1,0)</f>
        <v/>
      </c>
    </row>
    <row r="18" ht="48" customHeight="1" s="34">
      <c r="A18" s="32" t="inlineStr">
        <is>
          <t>DL-10</t>
        </is>
      </c>
      <c r="B18" s="32" t="inlineStr">
        <is>
          <t>Visual</t>
        </is>
      </c>
      <c r="C18" s="44" t="inlineStr">
        <is>
          <t>DataList</t>
        </is>
      </c>
      <c r="D18" s="44" t="inlineStr">
        <is>
          <t>The visual owner currently proves route visibility but lacks risk-selected screenshot baselines and owner review.</t>
        </is>
      </c>
      <c r="E18" s="32" t="inlineStr">
        <is>
          <t>package</t>
        </is>
      </c>
      <c r="F18" s="32" t="inlineStr">
        <is>
          <t>visual</t>
        </is>
      </c>
      <c r="G18" s="44" t="inlineStr">
        <is>
          <t>tests/components/data-list/visual.spec.ts</t>
        </is>
      </c>
      <c r="H18" s="32" t="inlineStr">
        <is>
          <t>partial</t>
        </is>
      </c>
      <c r="I18" s="32" t="inlineStr">
        <is>
          <t>yes</t>
        </is>
      </c>
      <c r="J18" s="42" t="n">
        <v>46262</v>
      </c>
      <c r="K18" s="44" t="inlineStr">
        <is>
          <t>Capture and review size, orientation, divider, dark, RTL, and forced-color baselines.</t>
        </is>
      </c>
      <c r="L18" s="32" t="n">
        <v>1</v>
      </c>
      <c r="M18" s="32">
        <f>IF(OR(AND(I18="yes",H18="verified"),AND(I18="no",OR(H18="tested",H18="verified")),AND(H18="not applicable",K18&lt;&gt;"")),1,0)</f>
        <v/>
      </c>
    </row>
    <row r="19" ht="48" customHeight="1" s="34">
      <c r="A19" s="32" t="inlineStr">
        <is>
          <t>DL-11</t>
        </is>
      </c>
      <c r="B19" s="32" t="inlineStr">
        <is>
          <t>Stress</t>
        </is>
      </c>
      <c r="C19" s="44" t="inlineStr">
        <is>
          <t>Root / Item</t>
        </is>
      </c>
      <c r="D19" s="44" t="inlineStr">
        <is>
          <t>Long labels and values remain readable at narrow widths, 200% text, 400% zoom, localization, and RTL.</t>
        </is>
      </c>
      <c r="E19" s="32" t="inlineStr">
        <is>
          <t>package</t>
        </is>
      </c>
      <c r="F19" s="32" t="inlineStr">
        <is>
          <t>manual</t>
        </is>
      </c>
      <c r="G19" s="44" t="inlineStr">
        <is>
          <t>manual-tests/data-list.md</t>
        </is>
      </c>
      <c r="H19" s="32" t="inlineStr">
        <is>
          <t>not started</t>
        </is>
      </c>
      <c r="I19" s="32" t="inlineStr">
        <is>
          <t>yes</t>
        </is>
      </c>
      <c r="K19" s="44" t="inlineStr">
        <is>
          <t>No completed reflow and RTL owner run is recorded.</t>
        </is>
      </c>
      <c r="L19" s="32" t="n">
        <v>1</v>
      </c>
      <c r="M19" s="32">
        <f>IF(OR(AND(I19="yes",H19="verified"),AND(I19="no",OR(H19="tested",H19="verified")),AND(H19="not applicable",K19&lt;&gt;"")),1,0)</f>
        <v/>
      </c>
    </row>
    <row r="20" ht="48" customHeight="1" s="34">
      <c r="A20" s="32" t="inlineStr">
        <is>
          <t>DL-12</t>
        </is>
      </c>
      <c r="B20" s="32" t="inlineStr">
        <is>
          <t>Theme</t>
        </is>
      </c>
      <c r="C20" s="44" t="inlineStr">
        <is>
          <t>Root / Label / Value</t>
        </is>
      </c>
      <c r="D20" s="44" t="inlineStr">
        <is>
          <t>Light, dark, forced-colors, dividers, and nested focus remain distinguishable.</t>
        </is>
      </c>
      <c r="E20" s="32" t="inlineStr">
        <is>
          <t>package</t>
        </is>
      </c>
      <c r="F20" s="32" t="inlineStr">
        <is>
          <t>manual</t>
        </is>
      </c>
      <c r="G20" s="44" t="inlineStr">
        <is>
          <t>manual-tests/data-list.md</t>
        </is>
      </c>
      <c r="H20" s="32" t="inlineStr">
        <is>
          <t>not started</t>
        </is>
      </c>
      <c r="I20" s="32" t="inlineStr">
        <is>
          <t>yes</t>
        </is>
      </c>
      <c r="K20" s="44" t="inlineStr">
        <is>
          <t>No completed appearance owner run is recorded.</t>
        </is>
      </c>
      <c r="L20" s="32" t="n">
        <v>1</v>
      </c>
      <c r="M20" s="32">
        <f>IF(OR(AND(I20="yes",H20="verified"),AND(I20="no",OR(H20="tested",H20="verified")),AND(H20="not applicable",K20&lt;&gt;"")),1,0)</f>
        <v/>
      </c>
    </row>
    <row r="21" ht="48" customHeight="1" s="34">
      <c r="A21" s="32" t="inlineStr">
        <is>
          <t>DL-13</t>
        </is>
      </c>
      <c r="B21" s="32" t="inlineStr">
        <is>
          <t>Composition</t>
        </is>
      </c>
      <c r="C21" s="44" t="inlineStr">
        <is>
          <t>Value</t>
        </is>
      </c>
      <c r="D21" s="44" t="inlineStr">
        <is>
          <t>Rich values retain their own native links and controls without row action, focus, or table semantics.</t>
        </is>
      </c>
      <c r="E21" s="32" t="inlineStr">
        <is>
          <t>package</t>
        </is>
      </c>
      <c r="F21" s="32" t="inlineStr">
        <is>
          <t>manual</t>
        </is>
      </c>
      <c r="G21" s="44" t="inlineStr">
        <is>
          <t>manual-tests/data-list.md; src/components/data-list/DataListPage.tsx</t>
        </is>
      </c>
      <c r="H21" s="32" t="inlineStr">
        <is>
          <t>implemented</t>
        </is>
      </c>
      <c r="I21" s="32" t="inlineStr">
        <is>
          <t>yes</t>
        </is>
      </c>
      <c r="J21" s="42" t="n">
        <v>46262</v>
      </c>
      <c r="K21" s="44" t="inlineStr">
        <is>
          <t>The composition exists; owner keyboard and assistive-technology review is pending.</t>
        </is>
      </c>
      <c r="L21" s="32" t="n">
        <v>1</v>
      </c>
      <c r="M21" s="32">
        <f>IF(OR(AND(I21="yes",H21="verified"),AND(I21="no",OR(H21="tested",H21="verified")),AND(H21="not applicable",K21&lt;&gt;"")),1,0)</f>
        <v/>
      </c>
    </row>
    <row r="22" ht="48" customHeight="1" s="34">
      <c r="A22" s="32" t="inlineStr">
        <is>
          <t>DL-14</t>
        </is>
      </c>
      <c r="B22" s="32" t="inlineStr">
        <is>
          <t>Manual</t>
        </is>
      </c>
      <c r="C22" s="44" t="inlineStr">
        <is>
          <t>DataList</t>
        </is>
      </c>
      <c r="D22" s="44" t="inlineStr">
        <is>
          <t>The numbered component-owned protocol passes semantics, recipes, rich values, theme, reflow, RTL, device, and assistive-technology scenarios.</t>
        </is>
      </c>
      <c r="E22" s="32" t="inlineStr">
        <is>
          <t>package</t>
        </is>
      </c>
      <c r="F22" s="32" t="inlineStr">
        <is>
          <t>manual</t>
        </is>
      </c>
      <c r="G22" s="44" t="inlineStr">
        <is>
          <t>manual-tests/data-list.md</t>
        </is>
      </c>
      <c r="H22" s="32" t="inlineStr">
        <is>
          <t>not started</t>
        </is>
      </c>
      <c r="I22" s="32" t="inlineStr">
        <is>
          <t>yes</t>
        </is>
      </c>
      <c r="K22" s="44" t="inlineStr">
        <is>
          <t>No completed manual run is recorded.</t>
        </is>
      </c>
      <c r="L22" s="32" t="n">
        <v>1</v>
      </c>
      <c r="M22" s="32">
        <f>IF(OR(AND(I22="yes",H22="verified"),AND(I22="no",OR(H22="tested",H22="verified")),AND(H22="not applicable",K22&lt;&gt;"")),1,0)</f>
        <v/>
      </c>
    </row>
    <row r="23" ht="48" customHeight="1" s="34">
      <c r="A23" s="32" t="inlineStr">
        <is>
          <t>DL-15</t>
        </is>
      </c>
      <c r="B23" s="32" t="inlineStr">
        <is>
          <t>Playground</t>
        </is>
      </c>
      <c r="C23" s="44" t="inlineStr">
        <is>
          <t>DataList</t>
        </is>
      </c>
      <c r="D23" s="44" t="inlineStr">
        <is>
          <t>One route exposes orientations, sizes, label measures, composition, theme, and stress scenarios.</t>
        </is>
      </c>
      <c r="E23" s="32" t="inlineStr">
        <is>
          <t>package</t>
        </is>
      </c>
      <c r="F23" s="32" t="inlineStr">
        <is>
          <t>playground</t>
        </is>
      </c>
      <c r="G23" s="44" t="inlineStr">
        <is>
          <t>src/components/data-list/DataListPage.tsx</t>
        </is>
      </c>
      <c r="H23" s="32" t="inlineStr">
        <is>
          <t>tested</t>
        </is>
      </c>
      <c r="I23" s="32" t="inlineStr">
        <is>
          <t>no</t>
        </is>
      </c>
      <c r="J23" s="42" t="n">
        <v>46262</v>
      </c>
      <c r="K23" s="44" t="n"/>
      <c r="L23" s="32" t="n">
        <v>1</v>
      </c>
      <c r="M23" s="32">
        <f>IF(OR(AND(I23="yes",H23="verified"),AND(I23="no",OR(H23="tested",H23="verified")),AND(H23="not applicable",K23&lt;&gt;"")),1,0)</f>
        <v/>
      </c>
    </row>
    <row r="24" ht="48" customHeight="1" s="34">
      <c r="A24" s="32" t="inlineStr">
        <is>
          <t>DL-16</t>
        </is>
      </c>
      <c r="B24" s="32" t="inlineStr">
        <is>
          <t>Docs</t>
        </is>
      </c>
      <c r="C24" s="44" t="inlineStr">
        <is>
          <t>DataList</t>
        </is>
      </c>
      <c r="D24" s="44" t="inlineStr">
        <is>
          <t>Public use, API, anatomy, semantics, responsive behavior, accessibility, customization, and evidence documentation pass.</t>
        </is>
      </c>
      <c r="E24" s="32" t="inlineStr">
        <is>
          <t>package</t>
        </is>
      </c>
      <c r="F24" s="32" t="inlineStr">
        <is>
          <t>docs</t>
        </is>
      </c>
      <c r="G24" s="44" t="inlineStr">
        <is>
          <t>../docs/components/data-list/README.md</t>
        </is>
      </c>
      <c r="H24" s="32" t="inlineStr">
        <is>
          <t>tested</t>
        </is>
      </c>
      <c r="I24" s="32" t="inlineStr">
        <is>
          <t>no</t>
        </is>
      </c>
      <c r="J24" s="42" t="n">
        <v>46262</v>
      </c>
      <c r="K24" s="44" t="n"/>
      <c r="L24" s="32" t="n">
        <v>1</v>
      </c>
      <c r="M24" s="32">
        <f>IF(OR(AND(I24="yes",H24="verified"),AND(I24="no",OR(H24="tested",H24="verified")),AND(H24="not applicable",K24&lt;&gt;"")),1,0)</f>
        <v/>
      </c>
    </row>
    <row r="25" ht="48" customHeight="1" s="34">
      <c r="A25" s="32" t="inlineStr">
        <is>
          <t>DL-17</t>
        </is>
      </c>
      <c r="B25" s="32" t="inlineStr">
        <is>
          <t>Agent Knowledge</t>
        </is>
      </c>
      <c r="C25" s="44" t="inlineStr">
        <is>
          <t>DataList</t>
        </is>
      </c>
      <c r="D25" s="44" t="inlineStr">
        <is>
          <t>Machine-readable guidance distinguishes metadata pairs from peer lists, tables, editable fields, and generic layout.</t>
        </is>
      </c>
      <c r="E25" s="32" t="inlineStr">
        <is>
          <t>package</t>
        </is>
      </c>
      <c r="F25" s="32" t="inlineStr">
        <is>
          <t>docs</t>
        </is>
      </c>
      <c r="G25" s="44" t="inlineStr">
        <is>
          <t>../src/components/data-list/agent.json; ../src/components/data-list/agent.md</t>
        </is>
      </c>
      <c r="H25" s="32" t="inlineStr">
        <is>
          <t>tested</t>
        </is>
      </c>
      <c r="I25" s="32" t="inlineStr">
        <is>
          <t>no</t>
        </is>
      </c>
      <c r="J25" s="42" t="n">
        <v>46262</v>
      </c>
      <c r="K25" s="44" t="n"/>
      <c r="L25" s="32" t="n">
        <v>1</v>
      </c>
      <c r="M25" s="32">
        <f>IF(OR(AND(I25="yes",H25="verified"),AND(I25="no",OR(H25="tested",H25="verified")),AND(H25="not applicable",K25&lt;&gt;"")),1,0)</f>
        <v/>
      </c>
    </row>
    <row r="26" ht="48" customHeight="1" s="34">
      <c r="A26" s="32" t="inlineStr">
        <is>
          <t>DL-18</t>
        </is>
      </c>
      <c r="B26" s="32" t="inlineStr">
        <is>
          <t>Changelog</t>
        </is>
      </c>
      <c r="C26" s="44" t="inlineStr">
        <is>
          <t>DataList</t>
        </is>
      </c>
      <c r="D26" s="44" t="inlineStr">
        <is>
          <t>Data List owns component history and the package changelog records its addition.</t>
        </is>
      </c>
      <c r="E26" s="32" t="inlineStr">
        <is>
          <t>package</t>
        </is>
      </c>
      <c r="F26" s="32" t="inlineStr">
        <is>
          <t>docs</t>
        </is>
      </c>
      <c r="G26" s="44" t="inlineStr">
        <is>
          <t>../docs/components/data-list/CHANGELOG.md; ../CHANGELOG.md</t>
        </is>
      </c>
      <c r="H26" s="32" t="inlineStr">
        <is>
          <t>tested</t>
        </is>
      </c>
      <c r="I26" s="32" t="inlineStr">
        <is>
          <t>no</t>
        </is>
      </c>
      <c r="J26" s="42" t="n">
        <v>46262</v>
      </c>
      <c r="K26" s="44" t="n"/>
      <c r="L26" s="32" t="n">
        <v>1</v>
      </c>
      <c r="M26" s="32">
        <f>IF(OR(AND(I26="yes",H26="verified"),AND(I26="no",OR(H26="tested",H26="verified")),AND(H26="not applicable",K26&lt;&gt;"")),1,0)</f>
        <v/>
      </c>
    </row>
    <row r="27" ht="48" customHeight="1" s="34">
      <c r="A27" s="32" t="inlineStr">
        <is>
          <t>DL-19</t>
        </is>
      </c>
      <c r="B27" s="32" t="inlineStr">
        <is>
          <t>Consumer</t>
        </is>
      </c>
      <c r="C27" s="44" t="inlineStr">
        <is>
          <t>DataList</t>
        </is>
      </c>
      <c r="D27" s="44" t="inlineStr">
        <is>
          <t>The packed standalone Consumer imports the public data-list subpath in a realistic metadata composition.</t>
        </is>
      </c>
      <c r="E27" s="32" t="inlineStr">
        <is>
          <t>consumer</t>
        </is>
      </c>
      <c r="F27" s="32" t="inlineStr">
        <is>
          <t>consumer</t>
        </is>
      </c>
      <c r="G27" s="44" t="inlineStr">
        <is>
          <t>../apps/consumer/src/App.tsx; ../apps/consumer/tests/consumer.spec.ts</t>
        </is>
      </c>
      <c r="H27" s="32" t="inlineStr">
        <is>
          <t>not started</t>
        </is>
      </c>
      <c r="I27" s="32" t="inlineStr">
        <is>
          <t>no</t>
        </is>
      </c>
      <c r="K27" s="44" t="inlineStr">
        <is>
          <t>No Data List Consumer composition or assertion exists yet.</t>
        </is>
      </c>
      <c r="L27" s="32" t="n">
        <v>1</v>
      </c>
      <c r="M27" s="32">
        <f>IF(OR(AND(I27="yes",H27="verified"),AND(I27="no",OR(H27="tested",H27="verified")),AND(H27="not applicable",K27&lt;&gt;"")),1,0)</f>
        <v/>
      </c>
    </row>
    <row r="28" ht="48" customHeight="1" s="34">
      <c r="A28" s="32" t="inlineStr">
        <is>
          <t>DL-20</t>
        </is>
      </c>
      <c r="B28" s="32" t="inlineStr">
        <is>
          <t>Package</t>
        </is>
      </c>
      <c r="C28" s="44" t="inlineStr">
        <is>
          <t>DataList</t>
        </is>
      </c>
      <c r="D28" s="44" t="inlineStr">
        <is>
          <t>Build, exports, CSS, tarball, component tests, and repository verification pass.</t>
        </is>
      </c>
      <c r="E28" s="32" t="inlineStr">
        <is>
          <t>package</t>
        </is>
      </c>
      <c r="F28" s="32" t="inlineStr">
        <is>
          <t>package</t>
        </is>
      </c>
      <c r="G28" s="44" t="inlineStr">
        <is>
          <t>../scripts/verify-package.mjs; ../scripts/verify-consumers.mjs</t>
        </is>
      </c>
      <c r="H28" s="32" t="inlineStr">
        <is>
          <t>blocked</t>
        </is>
      </c>
      <c r="I28" s="32" t="inlineStr">
        <is>
          <t>no</t>
        </is>
      </c>
      <c r="J28" s="42" t="n">
        <v>46262</v>
      </c>
      <c r="K28" s="44" t="inlineStr">
        <is>
          <t>Clean Consumer verification cannot install unpublished @flowstack-ui/atom 0.23.1 from the public registry.</t>
        </is>
      </c>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9.xml><?xml version="1.0" encoding="utf-8"?>
<worksheet xmlns="http://schemas.openxmlformats.org/spreadsheetml/2006/main">
  <sheetPr filterMode="0">
    <outlinePr summaryBelow="1" summaryRight="1"/>
    <pageSetUpPr fitToPage="0"/>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Link Box Evidence</t>
        </is>
      </c>
    </row>
    <row r="2" ht="27.75" customHeight="1" s="34">
      <c r="A2" s="36" t="inlineStr">
        <is>
          <t>Assertion-level destination geometry, independent-action, browser, accessibility, documentation,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8" customHeight="1" s="34">
      <c r="A9" s="32" t="inlineStr">
        <is>
          <t>LB-01</t>
        </is>
      </c>
      <c r="B9" s="32" t="inlineStr">
        <is>
          <t>Implementation</t>
        </is>
      </c>
      <c r="C9" s="44" t="inlineStr">
        <is>
          <t>Root / Link / Action</t>
        </is>
      </c>
      <c r="D9" s="44" t="inlineStr">
        <is>
          <t>Root coordinates one real Brick Link and an optional independent Action without adding press behavior.</t>
        </is>
      </c>
      <c r="E9" s="32" t="inlineStr">
        <is>
          <t>package</t>
        </is>
      </c>
      <c r="F9" s="32" t="inlineStr">
        <is>
          <t>source</t>
        </is>
      </c>
      <c r="G9" s="44" t="inlineStr">
        <is>
          <t>../src/components/link-box</t>
        </is>
      </c>
      <c r="H9" s="32" t="inlineStr">
        <is>
          <t>tested</t>
        </is>
      </c>
      <c r="I9" s="32" t="inlineStr">
        <is>
          <t>no</t>
        </is>
      </c>
      <c r="J9" s="42" t="n">
        <v>46262</v>
      </c>
      <c r="K9" s="44" t="n"/>
      <c r="L9" s="32" t="n">
        <v>1</v>
      </c>
      <c r="M9" s="32">
        <f>IF(OR(AND(I9="yes",H9="verified"),AND(I9="no",OR(H9="tested",H9="verified")),AND(H9="not applicable",K9&lt;&gt;"")),1,0)</f>
        <v/>
      </c>
    </row>
    <row r="10" ht="48" customHeight="1" s="34">
      <c r="A10" s="32" t="inlineStr">
        <is>
          <t>LB-02</t>
        </is>
      </c>
      <c r="B10" s="32" t="inlineStr">
        <is>
          <t>Anatomy</t>
        </is>
      </c>
      <c r="C10" s="44" t="inlineStr">
        <is>
          <t>Root / Link / Action</t>
        </is>
      </c>
      <c r="D10" s="44" t="inlineStr">
        <is>
          <t>The three public parts expose stable classes, data slots, exact hosts, and forwarded refs.</t>
        </is>
      </c>
      <c r="E10" s="32" t="inlineStr">
        <is>
          <t>package</t>
        </is>
      </c>
      <c r="F10" s="32" t="inlineStr">
        <is>
          <t>component</t>
        </is>
      </c>
      <c r="G10" s="44" t="inlineStr">
        <is>
          <t>../test/components/link-box/link-box.test.tsx</t>
        </is>
      </c>
      <c r="H10" s="32" t="inlineStr">
        <is>
          <t>tested</t>
        </is>
      </c>
      <c r="I10" s="32" t="inlineStr">
        <is>
          <t>no</t>
        </is>
      </c>
      <c r="J10" s="42" t="n">
        <v>46262</v>
      </c>
      <c r="K10" s="44" t="n"/>
      <c r="L10" s="32" t="n">
        <v>1</v>
      </c>
      <c r="M10" s="32">
        <f>IF(OR(AND(I10="yes",H10="verified"),AND(I10="no",OR(H10="tested",H10="verified")),AND(H10="not applicable",K10&lt;&gt;"")),1,0)</f>
        <v/>
      </c>
    </row>
    <row r="11" ht="48" customHeight="1" s="34">
      <c r="A11" s="32" t="inlineStr">
        <is>
          <t>LB-03</t>
        </is>
      </c>
      <c r="B11" s="32" t="inlineStr">
        <is>
          <t>Exports</t>
        </is>
      </c>
      <c r="C11" s="44" t="inlineStr">
        <is>
          <t>LinkBox</t>
        </is>
      </c>
      <c r="D11" s="44" t="inlineStr">
        <is>
          <t>Namespace, named parts, public types, root export, link-box subpath, and SSR output are verified.</t>
        </is>
      </c>
      <c r="E11" s="32" t="inlineStr">
        <is>
          <t>package</t>
        </is>
      </c>
      <c r="F11" s="32" t="inlineStr">
        <is>
          <t>package</t>
        </is>
      </c>
      <c r="G11" s="44" t="inlineStr">
        <is>
          <t>../test/package/package.test.mjs; ../test/package/ssr.test.mjs</t>
        </is>
      </c>
      <c r="H11" s="32" t="inlineStr">
        <is>
          <t>tested</t>
        </is>
      </c>
      <c r="I11" s="32" t="inlineStr">
        <is>
          <t>no</t>
        </is>
      </c>
      <c r="J11" s="42" t="n">
        <v>46262</v>
      </c>
      <c r="K11" s="44" t="n"/>
      <c r="L11" s="32" t="n">
        <v>1</v>
      </c>
      <c r="M11" s="32">
        <f>IF(OR(AND(I11="yes",H11="verified"),AND(I11="no",OR(H11="tested",H11="verified")),AND(H11="not applicable",K11&lt;&gt;"")),1,0)</f>
        <v/>
      </c>
    </row>
    <row r="12" ht="48" customHeight="1" s="34">
      <c r="A12" s="32" t="inlineStr">
        <is>
          <t>LB-04</t>
        </is>
      </c>
      <c r="B12" s="32" t="inlineStr">
        <is>
          <t>Types</t>
        </is>
      </c>
      <c r="C12" s="44" t="inlineStr">
        <is>
          <t>Root / Link / Action</t>
        </is>
      </c>
      <c r="D12" s="44" t="inlineStr">
        <is>
          <t>Closed Root hosts, variants, Link composition, native props, Action props, and exact refs type-check.</t>
        </is>
      </c>
      <c r="E12" s="32" t="inlineStr">
        <is>
          <t>package</t>
        </is>
      </c>
      <c r="F12" s="32" t="inlineStr">
        <is>
          <t>types</t>
        </is>
      </c>
      <c r="G12" s="44" t="inlineStr">
        <is>
          <t>../test/types/components/link-box.test.ts</t>
        </is>
      </c>
      <c r="H12" s="32" t="inlineStr">
        <is>
          <t>tested</t>
        </is>
      </c>
      <c r="I12" s="32" t="inlineStr">
        <is>
          <t>no</t>
        </is>
      </c>
      <c r="J12" s="42" t="n">
        <v>46262</v>
      </c>
      <c r="K12" s="44" t="n"/>
      <c r="L12" s="32" t="n">
        <v>1</v>
      </c>
      <c r="M12" s="32">
        <f>IF(OR(AND(I12="yes",H12="verified"),AND(I12="no",OR(H12="tested",H12="verified")),AND(H12="not applicable",K12&lt;&gt;"")),1,0)</f>
        <v/>
      </c>
    </row>
    <row r="13" ht="48" customHeight="1" s="34">
      <c r="A13" s="32" t="inlineStr">
        <is>
          <t>LB-05</t>
        </is>
      </c>
      <c r="B13" s="32" t="inlineStr">
        <is>
          <t>CSS</t>
        </is>
      </c>
      <c r="C13" s="44" t="inlineStr">
        <is>
          <t>Root / Link / Action</t>
        </is>
      </c>
      <c r="D13" s="44" t="inlineStr">
        <is>
          <t>Static CSS provides complete-region target geometry, outline/plain state paint, focus, layering, reduced motion, and forced colors.</t>
        </is>
      </c>
      <c r="E13" s="32" t="inlineStr">
        <is>
          <t>package</t>
        </is>
      </c>
      <c r="F13" s="32" t="inlineStr">
        <is>
          <t>css</t>
        </is>
      </c>
      <c r="G13" s="44" t="inlineStr">
        <is>
          <t>../src/components/link-box/link-box.css</t>
        </is>
      </c>
      <c r="H13" s="32" t="inlineStr">
        <is>
          <t>tested</t>
        </is>
      </c>
      <c r="I13" s="32" t="inlineStr">
        <is>
          <t>no</t>
        </is>
      </c>
      <c r="J13" s="42" t="n">
        <v>46262</v>
      </c>
      <c r="K13" s="44" t="n"/>
      <c r="L13" s="32" t="n">
        <v>1</v>
      </c>
      <c r="M13" s="32">
        <f>IF(OR(AND(I13="yes",H13="verified"),AND(I13="no",OR(H13="tested",H13="verified")),AND(H13="not applicable",K13&lt;&gt;"")),1,0)</f>
        <v/>
      </c>
    </row>
    <row r="14" ht="48" customHeight="1" s="34">
      <c r="A14" s="32" t="inlineStr">
        <is>
          <t>LB-06</t>
        </is>
      </c>
      <c r="B14" s="32" t="inlineStr">
        <is>
          <t>Defaults</t>
        </is>
      </c>
      <c r="C14" s="44" t="inlineStr">
        <is>
          <t>Root / Link</t>
        </is>
      </c>
      <c r="D14" s="44" t="inlineStr">
        <is>
          <t>Outline Root plus plain inherit-tone Link is the canonical default without changing native destination semantics.</t>
        </is>
      </c>
      <c r="E14" s="32" t="inlineStr">
        <is>
          <t>package</t>
        </is>
      </c>
      <c r="F14" s="32" t="inlineStr">
        <is>
          <t>component</t>
        </is>
      </c>
      <c r="G14" s="44" t="inlineStr">
        <is>
          <t>../test/components/link-box/link-box.test.tsx</t>
        </is>
      </c>
      <c r="H14" s="32" t="inlineStr">
        <is>
          <t>tested</t>
        </is>
      </c>
      <c r="I14" s="32" t="inlineStr">
        <is>
          <t>no</t>
        </is>
      </c>
      <c r="J14" s="42" t="n">
        <v>46262</v>
      </c>
      <c r="K14" s="44" t="n"/>
      <c r="L14" s="32" t="n">
        <v>1</v>
      </c>
      <c r="M14" s="32">
        <f>IF(OR(AND(I14="yes",H14="verified"),AND(I14="no",OR(H14="tested",H14="verified")),AND(H14="not applicable",K14&lt;&gt;"")),1,0)</f>
        <v/>
      </c>
    </row>
    <row r="15" ht="48" customHeight="1" s="34">
      <c r="A15" s="32" t="inlineStr">
        <is>
          <t>LB-07</t>
        </is>
      </c>
      <c r="B15" s="32" t="inlineStr">
        <is>
          <t>Destination</t>
        </is>
      </c>
      <c r="C15" s="44" t="inlineStr">
        <is>
          <t>Root / Link</t>
        </is>
      </c>
      <c r="D15" s="44" t="inlineStr">
        <is>
          <t>Pointer and keyboard evidence proves one native Link owns the complete visual target and one Root-sized focus ring.</t>
        </is>
      </c>
      <c r="E15" s="32" t="inlineStr">
        <is>
          <t>package</t>
        </is>
      </c>
      <c r="F15" s="32" t="inlineStr">
        <is>
          <t>browser</t>
        </is>
      </c>
      <c r="G15" s="44" t="inlineStr">
        <is>
          <t>tests/components/link-box/behavior.spec.ts</t>
        </is>
      </c>
      <c r="H15" s="32" t="inlineStr">
        <is>
          <t>tested</t>
        </is>
      </c>
      <c r="I15" s="32" t="inlineStr">
        <is>
          <t>no</t>
        </is>
      </c>
      <c r="J15" s="42" t="n">
        <v>46262</v>
      </c>
      <c r="K15" s="44" t="n"/>
      <c r="L15" s="32" t="n">
        <v>1</v>
      </c>
      <c r="M15" s="32">
        <f>IF(OR(AND(I15="yes",H15="verified"),AND(I15="no",OR(H15="tested",H15="verified")),AND(H15="not applicable",K15&lt;&gt;"")),1,0)</f>
        <v/>
      </c>
    </row>
    <row r="16" ht="48" customHeight="1" s="34">
      <c r="A16" s="32" t="inlineStr">
        <is>
          <t>LB-08</t>
        </is>
      </c>
      <c r="B16" s="32" t="inlineStr">
        <is>
          <t>Independent action</t>
        </is>
      </c>
      <c r="C16" s="44" t="inlineStr">
        <is>
          <t>Action</t>
        </is>
      </c>
      <c r="D16" s="44" t="inlineStr">
        <is>
          <t>A separately named button remains outside the anchor, operates independently, and does not navigate.</t>
        </is>
      </c>
      <c r="E16" s="32" t="inlineStr">
        <is>
          <t>package</t>
        </is>
      </c>
      <c r="F16" s="32" t="inlineStr">
        <is>
          <t>browser</t>
        </is>
      </c>
      <c r="G16" s="44" t="inlineStr">
        <is>
          <t>../test/components/link-box/link-box.test.tsx; tests/components/link-box/behavior.spec.ts</t>
        </is>
      </c>
      <c r="H16" s="32" t="inlineStr">
        <is>
          <t>tested</t>
        </is>
      </c>
      <c r="I16" s="32" t="inlineStr">
        <is>
          <t>no</t>
        </is>
      </c>
      <c r="J16" s="42" t="n">
        <v>46262</v>
      </c>
      <c r="K16" s="44" t="n"/>
      <c r="L16" s="32" t="n">
        <v>1</v>
      </c>
      <c r="M16" s="32">
        <f>IF(OR(AND(I16="yes",H16="verified"),AND(I16="no",OR(H16="tested",H16="verified")),AND(H16="not applicable",K16&lt;&gt;"")),1,0)</f>
        <v/>
      </c>
    </row>
    <row r="17" ht="48" customHeight="1" s="34">
      <c r="A17" s="32" t="inlineStr">
        <is>
          <t>LB-09</t>
        </is>
      </c>
      <c r="B17" s="32" t="inlineStr">
        <is>
          <t>Composition</t>
        </is>
      </c>
      <c r="C17" s="44" t="inlineStr">
        <is>
          <t>Link</t>
        </is>
      </c>
      <c r="D17" s="44" t="inlineStr">
        <is>
          <t>Explicit Link presentation and asChild/router composition preserve the destination owner and public Link API.</t>
        </is>
      </c>
      <c r="E17" s="32" t="inlineStr">
        <is>
          <t>package</t>
        </is>
      </c>
      <c r="F17" s="32" t="inlineStr">
        <is>
          <t>component</t>
        </is>
      </c>
      <c r="G17" s="44" t="inlineStr">
        <is>
          <t>../test/components/link-box/link-box.test.tsx</t>
        </is>
      </c>
      <c r="H17" s="32" t="inlineStr">
        <is>
          <t>tested</t>
        </is>
      </c>
      <c r="I17" s="32" t="inlineStr">
        <is>
          <t>no</t>
        </is>
      </c>
      <c r="J17" s="42" t="n">
        <v>46262</v>
      </c>
      <c r="K17" s="44" t="n"/>
      <c r="L17" s="32" t="n">
        <v>1</v>
      </c>
      <c r="M17" s="32">
        <f>IF(OR(AND(I17="yes",H17="verified"),AND(I17="no",OR(H17="tested",H17="verified")),AND(H17="not applicable",K17&lt;&gt;"")),1,0)</f>
        <v/>
      </c>
    </row>
    <row r="18" ht="48" customHeight="1" s="34">
      <c r="A18" s="32" t="inlineStr">
        <is>
          <t>LB-10</t>
        </is>
      </c>
      <c r="B18" s="32" t="inlineStr">
        <is>
          <t>Accessibility</t>
        </is>
      </c>
      <c r="C18" s="44" t="inlineStr">
        <is>
          <t>Root / Link / Action</t>
        </is>
      </c>
      <c r="D18" s="44" t="inlineStr">
        <is>
          <t>Root and Action add no role or tab stop, focus order remains native, complete names are exposed, and axe passes.</t>
        </is>
      </c>
      <c r="E18" s="32" t="inlineStr">
        <is>
          <t>package</t>
        </is>
      </c>
      <c r="F18" s="32" t="inlineStr">
        <is>
          <t>axe</t>
        </is>
      </c>
      <c r="G18" s="44" t="inlineStr">
        <is>
          <t>tests/components/link-box/behavior.spec.ts</t>
        </is>
      </c>
      <c r="H18" s="32" t="inlineStr">
        <is>
          <t>tested</t>
        </is>
      </c>
      <c r="I18" s="32" t="inlineStr">
        <is>
          <t>no</t>
        </is>
      </c>
      <c r="J18" s="42" t="n">
        <v>46262</v>
      </c>
      <c r="K18" s="44" t="n"/>
      <c r="L18" s="32" t="n">
        <v>1</v>
      </c>
      <c r="M18" s="32">
        <f>IF(OR(AND(I18="yes",H18="verified"),AND(I18="no",OR(H18="tested",H18="verified")),AND(H18="not applicable",K18&lt;&gt;"")),1,0)</f>
        <v/>
      </c>
    </row>
    <row r="19" ht="48" customHeight="1" s="34">
      <c r="A19" s="32" t="inlineStr">
        <is>
          <t>LB-11</t>
        </is>
      </c>
      <c r="B19" s="32" t="inlineStr">
        <is>
          <t>Visual</t>
        </is>
      </c>
      <c r="C19" s="44" t="inlineStr">
        <is>
          <t>LinkBox</t>
        </is>
      </c>
      <c r="D19" s="44" t="inlineStr">
        <is>
          <t>Destination and independent-action screenshots have automated light baselines and await owner visual review.</t>
        </is>
      </c>
      <c r="E19" s="32" t="inlineStr">
        <is>
          <t>package</t>
        </is>
      </c>
      <c r="F19" s="32" t="inlineStr">
        <is>
          <t>visual</t>
        </is>
      </c>
      <c r="G19" s="44" t="inlineStr">
        <is>
          <t>tests/components/link-box/visual.spec.ts</t>
        </is>
      </c>
      <c r="H19" s="32" t="inlineStr">
        <is>
          <t>verified</t>
        </is>
      </c>
      <c r="I19" s="32" t="inlineStr">
        <is>
          <t>yes</t>
        </is>
      </c>
      <c r="J19" s="42" t="n">
        <v>46264</v>
      </c>
      <c r="K19" s="44" t="inlineStr">
        <is>
          <t>Owner visual review completed against accepted desktop, dark RTL, 320 CSS px with 200% text spacing, mobile, and forced-color evidence on August 30, 2026.</t>
        </is>
      </c>
      <c r="L19" s="32" t="n">
        <v>1</v>
      </c>
      <c r="M19" s="32">
        <f>IF(OR(AND(I19="yes",H19="verified"),AND(I19="no",OR(H19="tested",H19="verified")),AND(H19="not applicable",K19&lt;&gt;"")),1,0)</f>
        <v/>
      </c>
    </row>
    <row r="20" ht="48" customHeight="1" s="34">
      <c r="A20" s="32" t="inlineStr">
        <is>
          <t>LB-12</t>
        </is>
      </c>
      <c r="B20" s="32" t="inlineStr">
        <is>
          <t>Stress</t>
        </is>
      </c>
      <c r="C20" s="44" t="inlineStr">
        <is>
          <t>LinkBox</t>
        </is>
      </c>
      <c r="D20" s="44" t="inlineStr">
        <is>
          <t>Narrow, zoom, long copy, touch target, focus visibility, and RTL preserve target and action relationships.</t>
        </is>
      </c>
      <c r="E20" s="32" t="inlineStr">
        <is>
          <t>package</t>
        </is>
      </c>
      <c r="F20" s="32" t="inlineStr">
        <is>
          <t>manual</t>
        </is>
      </c>
      <c r="G20" s="44" t="inlineStr">
        <is>
          <t>manual-tests/link-box.md</t>
        </is>
      </c>
      <c r="H20" s="32" t="inlineStr">
        <is>
          <t>verified</t>
        </is>
      </c>
      <c r="I20" s="32" t="inlineStr">
        <is>
          <t>yes</t>
        </is>
      </c>
      <c r="J20" s="59" t="n">
        <v>46264</v>
      </c>
      <c r="K20" s="44" t="inlineStr">
        <is>
          <t>Automated browser evidence and owner visual review pass at 320/390 CSS px, zoom-equivalent reflow, text-spacing stress, localization, and RTL. Physical-device evidence remains separate.</t>
        </is>
      </c>
      <c r="L20" s="32" t="n">
        <v>1</v>
      </c>
      <c r="M20" s="32">
        <f>IF(OR(AND(I20="yes",H20="verified"),AND(I20="no",OR(H20="tested",H20="verified")),AND(H20="not applicable",K20&lt;&gt;"")),1,0)</f>
        <v/>
      </c>
    </row>
    <row r="21" ht="48" customHeight="1" s="34">
      <c r="A21" s="32" t="inlineStr">
        <is>
          <t>LB-13</t>
        </is>
      </c>
      <c r="B21" s="32" t="inlineStr">
        <is>
          <t>Browser conventions</t>
        </is>
      </c>
      <c r="C21" s="44" t="inlineStr">
        <is>
          <t>Link</t>
        </is>
      </c>
      <c r="D21" s="44" t="inlineStr">
        <is>
          <t>Context menu, modifier click, new-tab behavior, text-selection tradeoff, and assistive-technology naming remain native.</t>
        </is>
      </c>
      <c r="E21" s="32" t="inlineStr">
        <is>
          <t>package</t>
        </is>
      </c>
      <c r="F21" s="32" t="inlineStr">
        <is>
          <t>manual</t>
        </is>
      </c>
      <c r="G21" s="44" t="inlineStr">
        <is>
          <t>manual-tests/link-box.md</t>
        </is>
      </c>
      <c r="H21" s="32" t="inlineStr">
        <is>
          <t>not started</t>
        </is>
      </c>
      <c r="I21" s="32" t="inlineStr">
        <is>
          <t>yes</t>
        </is>
      </c>
      <c r="K21" s="44" t="inlineStr">
        <is>
          <t>No completed native-browser owner run is recorded.</t>
        </is>
      </c>
      <c r="L21" s="32" t="n">
        <v>1</v>
      </c>
      <c r="M21" s="32">
        <f>IF(OR(AND(I21="yes",H21="verified"),AND(I21="no",OR(H21="tested",H21="verified")),AND(H21="not applicable",K21&lt;&gt;"")),1,0)</f>
        <v/>
      </c>
    </row>
    <row r="22" ht="48" customHeight="1" s="34">
      <c r="A22" s="32" t="inlineStr">
        <is>
          <t>LB-14</t>
        </is>
      </c>
      <c r="B22" s="32" t="inlineStr">
        <is>
          <t>Manual</t>
        </is>
      </c>
      <c r="C22" s="44" t="inlineStr">
        <is>
          <t>LinkBox</t>
        </is>
      </c>
      <c r="D22" s="44" t="inlineStr">
        <is>
          <t>The numbered component-owned protocol passes destination, action, browser, selection, reflow, device, and assistive-technology scenarios.</t>
        </is>
      </c>
      <c r="E22" s="32" t="inlineStr">
        <is>
          <t>package</t>
        </is>
      </c>
      <c r="F22" s="32" t="inlineStr">
        <is>
          <t>manual</t>
        </is>
      </c>
      <c r="G22" s="44" t="inlineStr">
        <is>
          <t>manual-tests/link-box.md</t>
        </is>
      </c>
      <c r="H22" s="32" t="inlineStr">
        <is>
          <t>not started</t>
        </is>
      </c>
      <c r="I22" s="32" t="inlineStr">
        <is>
          <t>yes</t>
        </is>
      </c>
      <c r="K22" s="44" t="inlineStr">
        <is>
          <t>No completed manual run is recorded.</t>
        </is>
      </c>
      <c r="L22" s="32" t="n">
        <v>1</v>
      </c>
      <c r="M22" s="32">
        <f>IF(OR(AND(I22="yes",H22="verified"),AND(I22="no",OR(H22="tested",H22="verified")),AND(H22="not applicable",K22&lt;&gt;"")),1,0)</f>
        <v/>
      </c>
    </row>
    <row r="23" ht="48" customHeight="1" s="34">
      <c r="A23" s="32" t="inlineStr">
        <is>
          <t>LB-15</t>
        </is>
      </c>
      <c r="B23" s="32" t="inlineStr">
        <is>
          <t>Playground</t>
        </is>
      </c>
      <c r="C23" s="44" t="inlineStr">
        <is>
          <t>LinkBox</t>
        </is>
      </c>
      <c r="D23" s="44" t="inlineStr">
        <is>
          <t>One route exposes the primary destination, independent action, stress behavior, and text-selection tradeoff.</t>
        </is>
      </c>
      <c r="E23" s="32" t="inlineStr">
        <is>
          <t>package</t>
        </is>
      </c>
      <c r="F23" s="32" t="inlineStr">
        <is>
          <t>playground</t>
        </is>
      </c>
      <c r="G23" s="44" t="inlineStr">
        <is>
          <t>src/components/link-box/LinkBoxPage.tsx</t>
        </is>
      </c>
      <c r="H23" s="32" t="inlineStr">
        <is>
          <t>tested</t>
        </is>
      </c>
      <c r="I23" s="32" t="inlineStr">
        <is>
          <t>no</t>
        </is>
      </c>
      <c r="J23" s="42" t="n">
        <v>46262</v>
      </c>
      <c r="K23" s="44" t="n"/>
      <c r="L23" s="32" t="n">
        <v>1</v>
      </c>
      <c r="M23" s="32">
        <f>IF(OR(AND(I23="yes",H23="verified"),AND(I23="no",OR(H23="tested",H23="verified")),AND(H23="not applicable",K23&lt;&gt;"")),1,0)</f>
        <v/>
      </c>
    </row>
    <row r="24" ht="48" customHeight="1" s="34">
      <c r="A24" s="32" t="inlineStr">
        <is>
          <t>LB-16</t>
        </is>
      </c>
      <c r="B24" s="32" t="inlineStr">
        <is>
          <t>Docs</t>
        </is>
      </c>
      <c r="C24" s="44" t="inlineStr">
        <is>
          <t>LinkBox</t>
        </is>
      </c>
      <c r="D24" s="44" t="inlineStr">
        <is>
          <t>Public use, exclusions, anatomy, API, target model, accessibility, composition, customization, and evidence documentation pass.</t>
        </is>
      </c>
      <c r="E24" s="32" t="inlineStr">
        <is>
          <t>package</t>
        </is>
      </c>
      <c r="F24" s="32" t="inlineStr">
        <is>
          <t>docs</t>
        </is>
      </c>
      <c r="G24" s="44" t="inlineStr">
        <is>
          <t>../docs/components/link-box/README.md</t>
        </is>
      </c>
      <c r="H24" s="32" t="inlineStr">
        <is>
          <t>tested</t>
        </is>
      </c>
      <c r="I24" s="32" t="inlineStr">
        <is>
          <t>no</t>
        </is>
      </c>
      <c r="J24" s="42" t="n">
        <v>46262</v>
      </c>
      <c r="K24" s="44" t="n"/>
      <c r="L24" s="32" t="n">
        <v>1</v>
      </c>
      <c r="M24" s="32">
        <f>IF(OR(AND(I24="yes",H24="verified"),AND(I24="no",OR(H24="tested",H24="verified")),AND(H24="not applicable",K24&lt;&gt;"")),1,0)</f>
        <v/>
      </c>
    </row>
    <row r="25" ht="48" customHeight="1" s="34">
      <c r="A25" s="32" t="inlineStr">
        <is>
          <t>LB-17</t>
        </is>
      </c>
      <c r="B25" s="32" t="inlineStr">
        <is>
          <t>Agent Knowledge</t>
        </is>
      </c>
      <c r="C25" s="44" t="inlineStr">
        <is>
          <t>LinkBox</t>
        </is>
      </c>
      <c r="D25" s="44" t="inlineStr">
        <is>
          <t>Machine-readable guidance distinguishes one destination region from Button, Pressable, and ordinary text links.</t>
        </is>
      </c>
      <c r="E25" s="32" t="inlineStr">
        <is>
          <t>package</t>
        </is>
      </c>
      <c r="F25" s="32" t="inlineStr">
        <is>
          <t>docs</t>
        </is>
      </c>
      <c r="G25" s="44" t="inlineStr">
        <is>
          <t>../src/components/link-box/agent.json; ../src/components/link-box/agent.md</t>
        </is>
      </c>
      <c r="H25" s="32" t="inlineStr">
        <is>
          <t>tested</t>
        </is>
      </c>
      <c r="I25" s="32" t="inlineStr">
        <is>
          <t>no</t>
        </is>
      </c>
      <c r="J25" s="42" t="n">
        <v>46262</v>
      </c>
      <c r="K25" s="44" t="n"/>
      <c r="L25" s="32" t="n">
        <v>1</v>
      </c>
      <c r="M25" s="32">
        <f>IF(OR(AND(I25="yes",H25="verified"),AND(I25="no",OR(H25="tested",H25="verified")),AND(H25="not applicable",K25&lt;&gt;"")),1,0)</f>
        <v/>
      </c>
    </row>
    <row r="26" ht="48" customHeight="1" s="34">
      <c r="A26" s="32" t="inlineStr">
        <is>
          <t>LB-18</t>
        </is>
      </c>
      <c r="B26" s="32" t="inlineStr">
        <is>
          <t>Changelog</t>
        </is>
      </c>
      <c r="C26" s="44" t="inlineStr">
        <is>
          <t>LinkBox</t>
        </is>
      </c>
      <c r="D26" s="44" t="inlineStr">
        <is>
          <t>Link Box owns component history and the package changelog records its addition.</t>
        </is>
      </c>
      <c r="E26" s="32" t="inlineStr">
        <is>
          <t>package</t>
        </is>
      </c>
      <c r="F26" s="32" t="inlineStr">
        <is>
          <t>docs</t>
        </is>
      </c>
      <c r="G26" s="44" t="inlineStr">
        <is>
          <t>../docs/components/link-box/CHANGELOG.md; ../CHANGELOG.md</t>
        </is>
      </c>
      <c r="H26" s="32" t="inlineStr">
        <is>
          <t>tested</t>
        </is>
      </c>
      <c r="I26" s="32" t="inlineStr">
        <is>
          <t>no</t>
        </is>
      </c>
      <c r="J26" s="42" t="n">
        <v>46262</v>
      </c>
      <c r="K26" s="44" t="n"/>
      <c r="L26" s="32" t="n">
        <v>1</v>
      </c>
      <c r="M26" s="32">
        <f>IF(OR(AND(I26="yes",H26="verified"),AND(I26="no",OR(H26="tested",H26="verified")),AND(H26="not applicable",K26&lt;&gt;"")),1,0)</f>
        <v/>
      </c>
    </row>
    <row r="27" ht="48" customHeight="1" s="34">
      <c r="A27" s="32" t="inlineStr">
        <is>
          <t>LB-19</t>
        </is>
      </c>
      <c r="B27" s="32" t="inlineStr">
        <is>
          <t>Consumer</t>
        </is>
      </c>
      <c r="C27" s="44" t="inlineStr">
        <is>
          <t>LinkBox</t>
        </is>
      </c>
      <c r="D27" s="44" t="inlineStr">
        <is>
          <t>The packed standalone Consumer imports the public link-box subpath with one destination and an independent action.</t>
        </is>
      </c>
      <c r="E27" s="32" t="inlineStr">
        <is>
          <t>consumer</t>
        </is>
      </c>
      <c r="F27" s="32" t="inlineStr">
        <is>
          <t>consumer</t>
        </is>
      </c>
      <c r="G27" s="44" t="inlineStr">
        <is>
          <t>../apps/consumer/src/App.tsx; ../apps/consumer/tests/consumer.spec.ts</t>
        </is>
      </c>
      <c r="H27" s="32" t="inlineStr">
        <is>
          <t>tested</t>
        </is>
      </c>
      <c r="I27" s="32" t="inlineStr">
        <is>
          <t>no</t>
        </is>
      </c>
      <c r="J27" s="59" t="n">
        <v>46264</v>
      </c>
      <c r="K27" s="44" t="inlineStr">
        <is>
          <t>The packed Consumer imports Link Box through its public subpath and verifies one complete-card destination plus an independent action.</t>
        </is>
      </c>
      <c r="L27" s="32" t="n">
        <v>1</v>
      </c>
      <c r="M27" s="32">
        <f>IF(OR(AND(I27="yes",H27="verified"),AND(I27="no",OR(H27="tested",H27="verified")),AND(H27="not applicable",K27&lt;&gt;"")),1,0)</f>
        <v/>
      </c>
    </row>
    <row r="28" ht="48" customHeight="1" s="34">
      <c r="A28" s="32" t="inlineStr">
        <is>
          <t>LB-20</t>
        </is>
      </c>
      <c r="B28" s="32" t="inlineStr">
        <is>
          <t>Package</t>
        </is>
      </c>
      <c r="C28" s="44" t="inlineStr">
        <is>
          <t>LinkBox</t>
        </is>
      </c>
      <c r="D28" s="44" t="inlineStr">
        <is>
          <t>Build, SSR, exports, CSS, tarball, component tests, and repository verification pass.</t>
        </is>
      </c>
      <c r="E28" s="32" t="inlineStr">
        <is>
          <t>package</t>
        </is>
      </c>
      <c r="F28" s="32" t="inlineStr">
        <is>
          <t>package</t>
        </is>
      </c>
      <c r="G28" s="44" t="inlineStr">
        <is>
          <t>../scripts/verify-package.mjs; ../scripts/verify-consumers.mjs</t>
        </is>
      </c>
      <c r="H28" s="32" t="inlineStr">
        <is>
          <t>tested</t>
        </is>
      </c>
      <c r="I28" s="32" t="inlineStr">
        <is>
          <t>no</t>
        </is>
      </c>
      <c r="J28" s="42" t="n">
        <v>46264</v>
      </c>
      <c r="K28" s="4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0.xml><?xml version="1.0" encoding="utf-8"?>
<worksheet xmlns="http://schemas.openxmlformats.org/spreadsheetml/2006/main">
  <sheetPr filterMode="0">
    <outlinePr summaryBelow="1" summaryRight="1"/>
    <pageSetUpPr fitToPage="0"/>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Segment Group Evidence</t>
        </is>
      </c>
    </row>
    <row r="2" ht="27.75" customHeight="1" s="34">
      <c r="A2" s="36" t="inlineStr">
        <is>
          <t>Assertion-level Atom-backed selection, moving-indicator, browser, accessibility, documentation,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8" customHeight="1" s="34">
      <c r="A9" s="32" t="inlineStr">
        <is>
          <t>SG-01</t>
        </is>
      </c>
      <c r="B9" s="32" t="inlineStr">
        <is>
          <t>Implementation</t>
        </is>
      </c>
      <c r="C9" s="44" t="inlineStr">
        <is>
          <t>Root / Item</t>
        </is>
      </c>
      <c r="D9" s="44" t="inlineStr">
        <is>
          <t>Brick adapts released Atom Radio Group semantics, selection, keyboard, focus, forms, disabled, read-only, validation, and direction behavior.</t>
        </is>
      </c>
      <c r="E9" s="32" t="inlineStr">
        <is>
          <t>package</t>
        </is>
      </c>
      <c r="F9" s="32" t="inlineStr">
        <is>
          <t>source</t>
        </is>
      </c>
      <c r="G9" s="44" t="inlineStr">
        <is>
          <t>../src/components/segment-group</t>
        </is>
      </c>
      <c r="H9" s="32" t="inlineStr">
        <is>
          <t>tested</t>
        </is>
      </c>
      <c r="I9" s="32" t="inlineStr">
        <is>
          <t>no</t>
        </is>
      </c>
      <c r="J9" s="42" t="n">
        <v>46262</v>
      </c>
      <c r="K9" s="44" t="n"/>
      <c r="L9" s="32" t="n">
        <v>1</v>
      </c>
      <c r="M9" s="32">
        <f>IF(OR(AND(I9="yes",H9="verified"),AND(I9="no",OR(H9="tested",H9="verified")),AND(H9="not applicable",K9&lt;&gt;"")),1,0)</f>
        <v/>
      </c>
    </row>
    <row r="10" ht="48" customHeight="1" s="34">
      <c r="A10" s="32" t="inlineStr">
        <is>
          <t>SG-02</t>
        </is>
      </c>
      <c r="B10" s="32" t="inlineStr">
        <is>
          <t>Anatomy</t>
        </is>
      </c>
      <c r="C10" s="44" t="inlineStr">
        <is>
          <t>Root / Item / ItemText / Indicator</t>
        </is>
      </c>
      <c r="D10" s="44" t="inlineStr">
        <is>
          <t>The four public parts expose stable hooks, refs, radio semantics, and a decorative measured Indicator.</t>
        </is>
      </c>
      <c r="E10" s="32" t="inlineStr">
        <is>
          <t>package</t>
        </is>
      </c>
      <c r="F10" s="32" t="inlineStr">
        <is>
          <t>component</t>
        </is>
      </c>
      <c r="G10" s="44" t="inlineStr">
        <is>
          <t>../test/components/segment-group/segment-group.test.tsx</t>
        </is>
      </c>
      <c r="H10" s="32" t="inlineStr">
        <is>
          <t>tested</t>
        </is>
      </c>
      <c r="I10" s="32" t="inlineStr">
        <is>
          <t>no</t>
        </is>
      </c>
      <c r="J10" s="42" t="n">
        <v>46262</v>
      </c>
      <c r="K10" s="44" t="n"/>
      <c r="L10" s="32" t="n">
        <v>1</v>
      </c>
      <c r="M10" s="32">
        <f>IF(OR(AND(I10="yes",H10="verified"),AND(I10="no",OR(H10="tested",H10="verified")),AND(H10="not applicable",K10&lt;&gt;"")),1,0)</f>
        <v/>
      </c>
    </row>
    <row r="11" ht="48" customHeight="1" s="34">
      <c r="A11" s="32" t="inlineStr">
        <is>
          <t>SG-03</t>
        </is>
      </c>
      <c r="B11" s="32" t="inlineStr">
        <is>
          <t>Exports</t>
        </is>
      </c>
      <c r="C11" s="44" t="inlineStr">
        <is>
          <t>SegmentGroup</t>
        </is>
      </c>
      <c r="D11" s="44" t="inlineStr">
        <is>
          <t>Namespace, named parts, public types, root export, and segment-group subpath are exported.</t>
        </is>
      </c>
      <c r="E11" s="32" t="inlineStr">
        <is>
          <t>package</t>
        </is>
      </c>
      <c r="F11" s="32" t="inlineStr">
        <is>
          <t>package</t>
        </is>
      </c>
      <c r="G11" s="44" t="inlineStr">
        <is>
          <t>../test/package/package.test.mjs</t>
        </is>
      </c>
      <c r="H11" s="32" t="inlineStr">
        <is>
          <t>tested</t>
        </is>
      </c>
      <c r="I11" s="32" t="inlineStr">
        <is>
          <t>no</t>
        </is>
      </c>
      <c r="J11" s="42" t="n">
        <v>46262</v>
      </c>
      <c r="K11" s="44" t="n"/>
      <c r="L11" s="32" t="n">
        <v>1</v>
      </c>
      <c r="M11" s="32">
        <f>IF(OR(AND(I11="yes",H11="verified"),AND(I11="no",OR(H11="tested",H11="verified")),AND(H11="not applicable",K11&lt;&gt;"")),1,0)</f>
        <v/>
      </c>
    </row>
    <row r="12" ht="48" customHeight="1" s="34">
      <c r="A12" s="32" t="inlineStr">
        <is>
          <t>SG-04</t>
        </is>
      </c>
      <c r="B12" s="32" t="inlineStr">
        <is>
          <t>Types</t>
        </is>
      </c>
      <c r="C12" s="44" t="inlineStr">
        <is>
          <t>Root / Item / Indicator</t>
        </is>
      </c>
      <c r="D12" s="44" t="inlineStr">
        <is>
          <t>Closed sizes, Atom behavior props, required values, icon-only, full-width, and exact refs type-check.</t>
        </is>
      </c>
      <c r="E12" s="32" t="inlineStr">
        <is>
          <t>package</t>
        </is>
      </c>
      <c r="F12" s="32" t="inlineStr">
        <is>
          <t>types</t>
        </is>
      </c>
      <c r="G12" s="44" t="inlineStr">
        <is>
          <t>../test/types/components/segment-group.test.ts</t>
        </is>
      </c>
      <c r="H12" s="32" t="inlineStr">
        <is>
          <t>tested</t>
        </is>
      </c>
      <c r="I12" s="32" t="inlineStr">
        <is>
          <t>no</t>
        </is>
      </c>
      <c r="J12" s="42" t="n">
        <v>46262</v>
      </c>
      <c r="K12" s="44" t="n"/>
      <c r="L12" s="32" t="n">
        <v>1</v>
      </c>
      <c r="M12" s="32">
        <f>IF(OR(AND(I12="yes",H12="verified"),AND(I12="no",OR(H12="tested",H12="verified")),AND(H12="not applicable",K12&lt;&gt;"")),1,0)</f>
        <v/>
      </c>
    </row>
    <row r="13" ht="48" customHeight="1" s="34">
      <c r="A13" s="32" t="inlineStr">
        <is>
          <t>SG-05</t>
        </is>
      </c>
      <c r="B13" s="32" t="inlineStr">
        <is>
          <t>CSS</t>
        </is>
      </c>
      <c r="C13" s="44" t="inlineStr">
        <is>
          <t>Root / Item / Indicator</t>
        </is>
      </c>
      <c r="D13" s="44" t="inlineStr">
        <is>
          <t>Static CSS provides shared sizes, inset Root, selected surface, focus, icon-only geometry, reduced motion, and forced colors.</t>
        </is>
      </c>
      <c r="E13" s="32" t="inlineStr">
        <is>
          <t>package</t>
        </is>
      </c>
      <c r="F13" s="32" t="inlineStr">
        <is>
          <t>css</t>
        </is>
      </c>
      <c r="G13" s="44" t="inlineStr">
        <is>
          <t>../src/components/segment-group/segment-group.css</t>
        </is>
      </c>
      <c r="H13" s="32" t="inlineStr">
        <is>
          <t>tested</t>
        </is>
      </c>
      <c r="I13" s="32" t="inlineStr">
        <is>
          <t>no</t>
        </is>
      </c>
      <c r="J13" s="42" t="n">
        <v>46262</v>
      </c>
      <c r="K13" s="44" t="n"/>
      <c r="L13" s="32" t="n">
        <v>1</v>
      </c>
      <c r="M13" s="32">
        <f>IF(OR(AND(I13="yes",H13="verified"),AND(I13="no",OR(H13="tested",H13="verified")),AND(H13="not applicable",K13&lt;&gt;"")),1,0)</f>
        <v/>
      </c>
    </row>
    <row r="14" ht="48" customHeight="1" s="34">
      <c r="A14" s="32" t="inlineStr">
        <is>
          <t>SG-06</t>
        </is>
      </c>
      <c r="B14" s="32" t="inlineStr">
        <is>
          <t>Defaults</t>
        </is>
      </c>
      <c r="C14" s="44" t="inlineStr">
        <is>
          <t>Root / Item</t>
        </is>
      </c>
      <c r="D14" s="44" t="inlineStr">
        <is>
          <t>Medium horizontal intrinsic layout, one selected value, and ordinary text Items are the canonical defaults.</t>
        </is>
      </c>
      <c r="E14" s="32" t="inlineStr">
        <is>
          <t>package</t>
        </is>
      </c>
      <c r="F14" s="32" t="inlineStr">
        <is>
          <t>component</t>
        </is>
      </c>
      <c r="G14" s="44" t="inlineStr">
        <is>
          <t>../test/components/segment-group/segment-group.test.tsx</t>
        </is>
      </c>
      <c r="H14" s="32" t="inlineStr">
        <is>
          <t>tested</t>
        </is>
      </c>
      <c r="I14" s="32" t="inlineStr">
        <is>
          <t>no</t>
        </is>
      </c>
      <c r="J14" s="42" t="n">
        <v>46262</v>
      </c>
      <c r="K14" s="44" t="n"/>
      <c r="L14" s="32" t="n">
        <v>1</v>
      </c>
      <c r="M14" s="32">
        <f>IF(OR(AND(I14="yes",H14="verified"),AND(I14="no",OR(H14="tested",H14="verified")),AND(H14="not applicable",K14&lt;&gt;"")),1,0)</f>
        <v/>
      </c>
    </row>
    <row r="15" ht="48" customHeight="1" s="34">
      <c r="A15" s="32" t="inlineStr">
        <is>
          <t>SG-07</t>
        </is>
      </c>
      <c r="B15" s="32" t="inlineStr">
        <is>
          <t>Recipes</t>
        </is>
      </c>
      <c r="C15" s="44" t="inlineStr">
        <is>
          <t>Root / Item</t>
        </is>
      </c>
      <c r="D15" s="44" t="inlineStr">
        <is>
          <t>Small, medium, large, full-width, intrinsic, and icon-only recipes route through stable public data attributes.</t>
        </is>
      </c>
      <c r="E15" s="32" t="inlineStr">
        <is>
          <t>package</t>
        </is>
      </c>
      <c r="F15" s="32" t="inlineStr">
        <is>
          <t>component</t>
        </is>
      </c>
      <c r="G15" s="44" t="inlineStr">
        <is>
          <t>../test/components/segment-group/segment-group.test.tsx</t>
        </is>
      </c>
      <c r="H15" s="32" t="inlineStr">
        <is>
          <t>tested</t>
        </is>
      </c>
      <c r="I15" s="32" t="inlineStr">
        <is>
          <t>no</t>
        </is>
      </c>
      <c r="J15" s="42" t="n">
        <v>46262</v>
      </c>
      <c r="K15" s="44" t="n"/>
      <c r="L15" s="32" t="n">
        <v>1</v>
      </c>
      <c r="M15" s="32">
        <f>IF(OR(AND(I15="yes",H15="verified"),AND(I15="no",OR(H15="tested",H15="verified")),AND(H15="not applicable",K15&lt;&gt;"")),1,0)</f>
        <v/>
      </c>
    </row>
    <row r="16" ht="48" customHeight="1" s="34">
      <c r="A16" s="32" t="inlineStr">
        <is>
          <t>SG-08</t>
        </is>
      </c>
      <c r="B16" s="32" t="inlineStr">
        <is>
          <t>Selection</t>
        </is>
      </c>
      <c r="C16" s="44" t="inlineStr">
        <is>
          <t>Root / Item</t>
        </is>
      </c>
      <c r="D16" s="44" t="inlineStr">
        <is>
          <t>Pointer and keyboard selection keep one checked radio, move focus, and emit the selected value through Atom ownership.</t>
        </is>
      </c>
      <c r="E16" s="32" t="inlineStr">
        <is>
          <t>package</t>
        </is>
      </c>
      <c r="F16" s="32" t="inlineStr">
        <is>
          <t>browser</t>
        </is>
      </c>
      <c r="G16" s="44" t="inlineStr">
        <is>
          <t>../test/components/segment-group/segment-group.test.tsx; tests/components/segment-group/behavior.spec.ts</t>
        </is>
      </c>
      <c r="H16" s="32" t="inlineStr">
        <is>
          <t>tested</t>
        </is>
      </c>
      <c r="I16" s="32" t="inlineStr">
        <is>
          <t>no</t>
        </is>
      </c>
      <c r="J16" s="42" t="n">
        <v>46262</v>
      </c>
      <c r="K16" s="44" t="n"/>
      <c r="L16" s="32" t="n">
        <v>1</v>
      </c>
      <c r="M16" s="32">
        <f>IF(OR(AND(I16="yes",H16="verified"),AND(I16="no",OR(H16="tested",H16="verified")),AND(H16="not applicable",K16&lt;&gt;"")),1,0)</f>
        <v/>
      </c>
    </row>
    <row r="17" ht="48" customHeight="1" s="34">
      <c r="A17" s="32" t="inlineStr">
        <is>
          <t>SG-09</t>
        </is>
      </c>
      <c r="B17" s="32" t="inlineStr">
        <is>
          <t>Indicator</t>
        </is>
      </c>
      <c r="C17" s="44" t="inlineStr">
        <is>
          <t>Indicator</t>
        </is>
      </c>
      <c r="D17" s="44" t="inlineStr">
        <is>
          <t>The decorative Indicator becomes ready, matches selected Item geometry, and follows keyboard selection without adding layout space.</t>
        </is>
      </c>
      <c r="E17" s="32" t="inlineStr">
        <is>
          <t>package</t>
        </is>
      </c>
      <c r="F17" s="32" t="inlineStr">
        <is>
          <t>browser</t>
        </is>
      </c>
      <c r="G17" s="44" t="inlineStr">
        <is>
          <t>tests/components/segment-group/behavior.spec.ts</t>
        </is>
      </c>
      <c r="H17" s="32" t="inlineStr">
        <is>
          <t>tested</t>
        </is>
      </c>
      <c r="I17" s="32" t="inlineStr">
        <is>
          <t>no</t>
        </is>
      </c>
      <c r="J17" s="42" t="n">
        <v>46262</v>
      </c>
      <c r="K17" s="44" t="n"/>
      <c r="L17" s="32" t="n">
        <v>1</v>
      </c>
      <c r="M17" s="32">
        <f>IF(OR(AND(I17="yes",H17="verified"),AND(I17="no",OR(H17="tested",H17="verified")),AND(H17="not applicable",K17&lt;&gt;"")),1,0)</f>
        <v/>
      </c>
    </row>
    <row r="18" ht="48" customHeight="1" s="34">
      <c r="A18" s="32" t="inlineStr">
        <is>
          <t>SG-10</t>
        </is>
      </c>
      <c r="B18" s="32" t="inlineStr">
        <is>
          <t>Icon-only</t>
        </is>
      </c>
      <c r="C18" s="44" t="inlineStr">
        <is>
          <t>Item</t>
        </is>
      </c>
      <c r="D18" s="44" t="inlineStr">
        <is>
          <t>Named icon-only Items remain square and center their artwork on both axes.</t>
        </is>
      </c>
      <c r="E18" s="32" t="inlineStr">
        <is>
          <t>package</t>
        </is>
      </c>
      <c r="F18" s="32" t="inlineStr">
        <is>
          <t>browser</t>
        </is>
      </c>
      <c r="G18" s="44" t="inlineStr">
        <is>
          <t>tests/components/segment-group/behavior.spec.ts</t>
        </is>
      </c>
      <c r="H18" s="32" t="inlineStr">
        <is>
          <t>tested</t>
        </is>
      </c>
      <c r="I18" s="32" t="inlineStr">
        <is>
          <t>no</t>
        </is>
      </c>
      <c r="J18" s="42" t="n">
        <v>46262</v>
      </c>
      <c r="K18" s="44" t="n"/>
      <c r="L18" s="32" t="n">
        <v>1</v>
      </c>
      <c r="M18" s="32">
        <f>IF(OR(AND(I18="yes",H18="verified"),AND(I18="no",OR(H18="tested",H18="verified")),AND(H18="not applicable",K18&lt;&gt;"")),1,0)</f>
        <v/>
      </c>
    </row>
    <row r="19" ht="48" customHeight="1" s="34">
      <c r="A19" s="32" t="inlineStr">
        <is>
          <t>SG-11</t>
        </is>
      </c>
      <c r="B19" s="32" t="inlineStr">
        <is>
          <t>Accessibility</t>
        </is>
      </c>
      <c r="C19" s="44" t="inlineStr">
        <is>
          <t>Root / Item / Indicator</t>
        </is>
      </c>
      <c r="D19" s="44" t="inlineStr">
        <is>
          <t>Radio-group and radio semantics, complete names, checked state, decorative Indicator, and axe checks pass.</t>
        </is>
      </c>
      <c r="E19" s="32" t="inlineStr">
        <is>
          <t>package</t>
        </is>
      </c>
      <c r="F19" s="32" t="inlineStr">
        <is>
          <t>axe</t>
        </is>
      </c>
      <c r="G19" s="44" t="inlineStr">
        <is>
          <t>tests/components/segment-group/behavior.spec.ts</t>
        </is>
      </c>
      <c r="H19" s="32" t="inlineStr">
        <is>
          <t>tested</t>
        </is>
      </c>
      <c r="I19" s="32" t="inlineStr">
        <is>
          <t>no</t>
        </is>
      </c>
      <c r="J19" s="42" t="n">
        <v>46262</v>
      </c>
      <c r="K19" s="44" t="n"/>
      <c r="L19" s="32" t="n">
        <v>1</v>
      </c>
      <c r="M19" s="32">
        <f>IF(OR(AND(I19="yes",H19="verified"),AND(I19="no",OR(H19="tested",H19="verified")),AND(H19="not applicable",K19&lt;&gt;"")),1,0)</f>
        <v/>
      </c>
    </row>
    <row r="20" ht="48" customHeight="1" s="34">
      <c r="A20" s="32" t="inlineStr">
        <is>
          <t>SG-12</t>
        </is>
      </c>
      <c r="B20" s="32" t="inlineStr">
        <is>
          <t>Visual</t>
        </is>
      </c>
      <c r="C20" s="44" t="inlineStr">
        <is>
          <t>SegmentGroup</t>
        </is>
      </c>
      <c r="D20" s="44" t="inlineStr">
        <is>
          <t>Default, size, and dark-appearance screenshots have automated baselines and await owner visual review.</t>
        </is>
      </c>
      <c r="E20" s="32" t="inlineStr">
        <is>
          <t>package</t>
        </is>
      </c>
      <c r="F20" s="32" t="inlineStr">
        <is>
          <t>visual</t>
        </is>
      </c>
      <c r="G20" s="44" t="inlineStr">
        <is>
          <t>tests/components/segment-group/visual.spec.ts</t>
        </is>
      </c>
      <c r="H20" s="32" t="inlineStr">
        <is>
          <t>tested</t>
        </is>
      </c>
      <c r="I20" s="32" t="inlineStr">
        <is>
          <t>yes</t>
        </is>
      </c>
      <c r="J20" s="42" t="n">
        <v>46262</v>
      </c>
      <c r="K20" s="44" t="inlineStr">
        <is>
          <t>Owner visual review has not been recorded.</t>
        </is>
      </c>
      <c r="L20" s="32" t="n">
        <v>1</v>
      </c>
      <c r="M20" s="32">
        <f>IF(OR(AND(I20="yes",H20="verified"),AND(I20="no",OR(H20="tested",H20="verified")),AND(H20="not applicable",K20&lt;&gt;"")),1,0)</f>
        <v/>
      </c>
    </row>
    <row r="21" ht="48" customHeight="1" s="34">
      <c r="A21" s="32" t="inlineStr">
        <is>
          <t>SG-13</t>
        </is>
      </c>
      <c r="B21" s="32" t="inlineStr">
        <is>
          <t>States</t>
        </is>
      </c>
      <c r="C21" s="44" t="inlineStr">
        <is>
          <t>Root / Item</t>
        </is>
      </c>
      <c r="D21" s="44" t="inlineStr">
        <is>
          <t>Disabled and read-only choices remain distinguishable and preserve the Atom-owned interaction boundary.</t>
        </is>
      </c>
      <c r="E21" s="32" t="inlineStr">
        <is>
          <t>package</t>
        </is>
      </c>
      <c r="F21" s="32" t="inlineStr">
        <is>
          <t>manual</t>
        </is>
      </c>
      <c r="G21" s="44" t="inlineStr">
        <is>
          <t>manual-tests/segment-group.md</t>
        </is>
      </c>
      <c r="H21" s="32" t="inlineStr">
        <is>
          <t>not started</t>
        </is>
      </c>
      <c r="I21" s="32" t="inlineStr">
        <is>
          <t>yes</t>
        </is>
      </c>
      <c r="K21" s="44" t="inlineStr">
        <is>
          <t>No completed disabled and read-only owner run is recorded.</t>
        </is>
      </c>
      <c r="L21" s="32" t="n">
        <v>1</v>
      </c>
      <c r="M21" s="32">
        <f>IF(OR(AND(I21="yes",H21="verified"),AND(I21="no",OR(H21="tested",H21="verified")),AND(H21="not applicable",K21&lt;&gt;"")),1,0)</f>
        <v/>
      </c>
    </row>
    <row r="22" ht="48" customHeight="1" s="34">
      <c r="A22" s="32" t="inlineStr">
        <is>
          <t>SG-14</t>
        </is>
      </c>
      <c r="B22" s="32" t="inlineStr">
        <is>
          <t>Stress</t>
        </is>
      </c>
      <c r="C22" s="44" t="inlineStr">
        <is>
          <t>Root / Item / Indicator</t>
        </is>
      </c>
      <c r="D22" s="44" t="inlineStr">
        <is>
          <t>320 px, zoom, resize, long labels, RTL, and font changes preserve control containment and Indicator alignment.</t>
        </is>
      </c>
      <c r="E22" s="32" t="inlineStr">
        <is>
          <t>package</t>
        </is>
      </c>
      <c r="F22" s="32" t="inlineStr">
        <is>
          <t>manual</t>
        </is>
      </c>
      <c r="G22" s="44" t="inlineStr">
        <is>
          <t>manual-tests/segment-group.md</t>
        </is>
      </c>
      <c r="H22" s="32" t="inlineStr">
        <is>
          <t>not started</t>
        </is>
      </c>
      <c r="I22" s="32" t="inlineStr">
        <is>
          <t>yes</t>
        </is>
      </c>
      <c r="K22" s="44" t="inlineStr">
        <is>
          <t>No completed reflow and RTL owner run is recorded.</t>
        </is>
      </c>
      <c r="L22" s="32" t="n">
        <v>1</v>
      </c>
      <c r="M22" s="32">
        <f>IF(OR(AND(I22="yes",H22="verified"),AND(I22="no",OR(H22="tested",H22="verified")),AND(H22="not applicable",K22&lt;&gt;"")),1,0)</f>
        <v/>
      </c>
    </row>
    <row r="23" ht="48" customHeight="1" s="34">
      <c r="A23" s="32" t="inlineStr">
        <is>
          <t>SG-15</t>
        </is>
      </c>
      <c r="B23" s="32" t="inlineStr">
        <is>
          <t>Theme and motion</t>
        </is>
      </c>
      <c r="C23" s="44" t="inlineStr">
        <is>
          <t>Root / Item / Indicator</t>
        </is>
      </c>
      <c r="D23" s="44" t="inlineStr">
        <is>
          <t>Light, dark, forced colors, theme changes, and reduced motion preserve selected and focus distinctions.</t>
        </is>
      </c>
      <c r="E23" s="32" t="inlineStr">
        <is>
          <t>package</t>
        </is>
      </c>
      <c r="F23" s="32" t="inlineStr">
        <is>
          <t>manual</t>
        </is>
      </c>
      <c r="G23" s="44" t="inlineStr">
        <is>
          <t>manual-tests/segment-group.md</t>
        </is>
      </c>
      <c r="H23" s="32" t="inlineStr">
        <is>
          <t>not started</t>
        </is>
      </c>
      <c r="I23" s="32" t="inlineStr">
        <is>
          <t>yes</t>
        </is>
      </c>
      <c r="K23" s="44" t="inlineStr">
        <is>
          <t>No completed appearance and motion owner run is recorded.</t>
        </is>
      </c>
      <c r="L23" s="32" t="n">
        <v>1</v>
      </c>
      <c r="M23" s="32">
        <f>IF(OR(AND(I23="yes",H23="verified"),AND(I23="no",OR(H23="tested",H23="verified")),AND(H23="not applicable",K23&lt;&gt;"")),1,0)</f>
        <v/>
      </c>
    </row>
    <row r="24" ht="48" customHeight="1" s="34">
      <c r="A24" s="32" t="inlineStr">
        <is>
          <t>SG-16</t>
        </is>
      </c>
      <c r="B24" s="32" t="inlineStr">
        <is>
          <t>Manual</t>
        </is>
      </c>
      <c r="C24" s="44" t="inlineStr">
        <is>
          <t>SegmentGroup</t>
        </is>
      </c>
      <c r="D24" s="44" t="inlineStr">
        <is>
          <t>The numbered component-owned protocol passes selection, sizes, states, theme, reflow, device, and assistive-technology scenarios.</t>
        </is>
      </c>
      <c r="E24" s="32" t="inlineStr">
        <is>
          <t>package</t>
        </is>
      </c>
      <c r="F24" s="32" t="inlineStr">
        <is>
          <t>manual</t>
        </is>
      </c>
      <c r="G24" s="44" t="inlineStr">
        <is>
          <t>manual-tests/segment-group.md</t>
        </is>
      </c>
      <c r="H24" s="32" t="inlineStr">
        <is>
          <t>not started</t>
        </is>
      </c>
      <c r="I24" s="32" t="inlineStr">
        <is>
          <t>yes</t>
        </is>
      </c>
      <c r="K24" s="44" t="inlineStr">
        <is>
          <t>No completed manual run is recorded.</t>
        </is>
      </c>
      <c r="L24" s="32" t="n">
        <v>1</v>
      </c>
      <c r="M24" s="32">
        <f>IF(OR(AND(I24="yes",H24="verified"),AND(I24="no",OR(H24="tested",H24="verified")),AND(H24="not applicable",K24&lt;&gt;"")),1,0)</f>
        <v/>
      </c>
    </row>
    <row r="25" ht="48" customHeight="1" s="34">
      <c r="A25" s="32" t="inlineStr">
        <is>
          <t>SG-17</t>
        </is>
      </c>
      <c r="B25" s="32" t="inlineStr">
        <is>
          <t>Docs</t>
        </is>
      </c>
      <c r="C25" s="44" t="inlineStr">
        <is>
          <t>SegmentGroup</t>
        </is>
      </c>
      <c r="D25" s="44" t="inlineStr">
        <is>
          <t>Public use, API, anatomy, states, accessibility, Atom ownership, customization, and evidence documentation pass.</t>
        </is>
      </c>
      <c r="E25" s="32" t="inlineStr">
        <is>
          <t>package</t>
        </is>
      </c>
      <c r="F25" s="32" t="inlineStr">
        <is>
          <t>docs</t>
        </is>
      </c>
      <c r="G25" s="44" t="inlineStr">
        <is>
          <t>../docs/components/segment-group/README.md</t>
        </is>
      </c>
      <c r="H25" s="32" t="inlineStr">
        <is>
          <t>tested</t>
        </is>
      </c>
      <c r="I25" s="32" t="inlineStr">
        <is>
          <t>no</t>
        </is>
      </c>
      <c r="J25" s="42" t="n">
        <v>46262</v>
      </c>
      <c r="K25" s="44" t="n"/>
      <c r="L25" s="32" t="n">
        <v>1</v>
      </c>
      <c r="M25" s="32">
        <f>IF(OR(AND(I25="yes",H25="verified"),AND(I25="no",OR(H25="tested",H25="verified")),AND(H25="not applicable",K25&lt;&gt;"")),1,0)</f>
        <v/>
      </c>
    </row>
    <row r="26" ht="48" customHeight="1" s="34">
      <c r="A26" s="32" t="inlineStr">
        <is>
          <t>SG-18</t>
        </is>
      </c>
      <c r="B26" s="32" t="inlineStr">
        <is>
          <t>Agent Knowledge</t>
        </is>
      </c>
      <c r="C26" s="44" t="inlineStr">
        <is>
          <t>SegmentGroup</t>
        </is>
      </c>
      <c r="D26" s="44" t="inlineStr">
        <is>
          <t>Machine-readable guidance distinguishes single-choice modes from Toggle Group, Tabs, Radio Group, and Select.</t>
        </is>
      </c>
      <c r="E26" s="32" t="inlineStr">
        <is>
          <t>package</t>
        </is>
      </c>
      <c r="F26" s="32" t="inlineStr">
        <is>
          <t>docs</t>
        </is>
      </c>
      <c r="G26" s="44" t="inlineStr">
        <is>
          <t>../src/components/segment-group/agent.json; ../src/components/segment-group/agent.md</t>
        </is>
      </c>
      <c r="H26" s="32" t="inlineStr">
        <is>
          <t>tested</t>
        </is>
      </c>
      <c r="I26" s="32" t="inlineStr">
        <is>
          <t>no</t>
        </is>
      </c>
      <c r="J26" s="42" t="n">
        <v>46262</v>
      </c>
      <c r="K26" s="44" t="n"/>
      <c r="L26" s="32" t="n">
        <v>1</v>
      </c>
      <c r="M26" s="32">
        <f>IF(OR(AND(I26="yes",H26="verified"),AND(I26="no",OR(H26="tested",H26="verified")),AND(H26="not applicable",K26&lt;&gt;"")),1,0)</f>
        <v/>
      </c>
    </row>
    <row r="27" ht="48" customHeight="1" s="34">
      <c r="A27" s="32" t="inlineStr">
        <is>
          <t>SG-19</t>
        </is>
      </c>
      <c r="B27" s="32" t="inlineStr">
        <is>
          <t>Consumer</t>
        </is>
      </c>
      <c r="C27" s="44" t="inlineStr">
        <is>
          <t>SegmentGroup</t>
        </is>
      </c>
      <c r="D27" s="44" t="inlineStr">
        <is>
          <t>The packed standalone Consumer imports the public segment-group subpath and exercises selection.</t>
        </is>
      </c>
      <c r="E27" s="32" t="inlineStr">
        <is>
          <t>consumer</t>
        </is>
      </c>
      <c r="F27" s="32" t="inlineStr">
        <is>
          <t>consumer</t>
        </is>
      </c>
      <c r="G27" s="44" t="inlineStr">
        <is>
          <t>../apps/consumer/src/App.tsx; ../apps/consumer/tests/consumer.spec.ts</t>
        </is>
      </c>
      <c r="H27" s="32" t="inlineStr">
        <is>
          <t>not started</t>
        </is>
      </c>
      <c r="I27" s="32" t="inlineStr">
        <is>
          <t>no</t>
        </is>
      </c>
      <c r="K27" s="44" t="inlineStr">
        <is>
          <t>No Segment Group Consumer composition or assertion exists yet.</t>
        </is>
      </c>
      <c r="L27" s="32" t="n">
        <v>1</v>
      </c>
      <c r="M27" s="32">
        <f>IF(OR(AND(I27="yes",H27="verified"),AND(I27="no",OR(H27="tested",H27="verified")),AND(H27="not applicable",K27&lt;&gt;"")),1,0)</f>
        <v/>
      </c>
    </row>
    <row r="28" ht="48" customHeight="1" s="34">
      <c r="A28" s="32" t="inlineStr">
        <is>
          <t>SG-20</t>
        </is>
      </c>
      <c r="B28" s="32" t="inlineStr">
        <is>
          <t>Package</t>
        </is>
      </c>
      <c r="C28" s="44" t="inlineStr">
        <is>
          <t>SegmentGroup</t>
        </is>
      </c>
      <c r="D28" s="44" t="inlineStr">
        <is>
          <t>Build, exports, CSS, tarball, component tests, and repository verification pass.</t>
        </is>
      </c>
      <c r="E28" s="32" t="inlineStr">
        <is>
          <t>package</t>
        </is>
      </c>
      <c r="F28" s="32" t="inlineStr">
        <is>
          <t>package</t>
        </is>
      </c>
      <c r="G28" s="44" t="inlineStr">
        <is>
          <t>../scripts/verify-package.mjs; ../scripts/verify-consumers.mjs</t>
        </is>
      </c>
      <c r="H28" s="32" t="inlineStr">
        <is>
          <t>blocked</t>
        </is>
      </c>
      <c r="I28" s="32" t="inlineStr">
        <is>
          <t>no</t>
        </is>
      </c>
      <c r="J28" s="42" t="n">
        <v>46262</v>
      </c>
      <c r="K28" s="44" t="inlineStr">
        <is>
          <t>Clean Consumer verification cannot install unpublished @flowstack-ui/atom 0.23.1 from the public registry.</t>
        </is>
      </c>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1.xml><?xml version="1.0" encoding="utf-8"?>
<worksheet xmlns="http://schemas.openxmlformats.org/spreadsheetml/2006/main">
  <sheetPr filterMode="0">
    <outlinePr summaryBelow="1" summaryRight="1"/>
    <pageSetUpPr fitToPage="0"/>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Status Evidence</t>
        </is>
      </c>
    </row>
    <row r="2" ht="27.75" customHeight="1" s="34">
      <c r="A2" s="36" t="inlineStr">
        <is>
          <t>Assertion-level passive-state, semantic-tone, accessibility, documentation,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8" customHeight="1" s="34">
      <c r="A9" s="32" t="inlineStr">
        <is>
          <t>ST-01</t>
        </is>
      </c>
      <c r="B9" s="32" t="inlineStr">
        <is>
          <t>Implementation</t>
        </is>
      </c>
      <c r="C9" s="44" t="inlineStr">
        <is>
          <t>Root / Indicator / Label</t>
        </is>
      </c>
      <c r="D9" s="44" t="inlineStr">
        <is>
          <t>The three public parts render passive native spans with exact refs, stable hooks, and no built-in live-region behavior.</t>
        </is>
      </c>
      <c r="E9" s="32" t="inlineStr">
        <is>
          <t>package</t>
        </is>
      </c>
      <c r="F9" s="32" t="inlineStr">
        <is>
          <t>source</t>
        </is>
      </c>
      <c r="G9" s="44" t="inlineStr">
        <is>
          <t>../src/components/status</t>
        </is>
      </c>
      <c r="H9" s="32" t="inlineStr">
        <is>
          <t>tested</t>
        </is>
      </c>
      <c r="I9" s="32" t="inlineStr">
        <is>
          <t>no</t>
        </is>
      </c>
      <c r="J9" s="42" t="n">
        <v>46262</v>
      </c>
      <c r="K9" s="44" t="n"/>
      <c r="L9" s="32" t="n">
        <v>1</v>
      </c>
      <c r="M9" s="32">
        <f>IF(OR(AND(I9="yes",H9="verified"),AND(I9="no",OR(H9="tested",H9="verified")),AND(H9="not applicable",K9&lt;&gt;"")),1,0)</f>
        <v/>
      </c>
    </row>
    <row r="10" ht="48" customHeight="1" s="34">
      <c r="A10" s="32" t="inlineStr">
        <is>
          <t>ST-02</t>
        </is>
      </c>
      <c r="B10" s="32" t="inlineStr">
        <is>
          <t>Anatomy</t>
        </is>
      </c>
      <c r="C10" s="44" t="inlineStr">
        <is>
          <t>Root / Indicator / Label</t>
        </is>
      </c>
      <c r="D10" s="44" t="inlineStr">
        <is>
          <t>Root owns state composition, Indicator is decorative, and Label owns readable visible state text.</t>
        </is>
      </c>
      <c r="E10" s="32" t="inlineStr">
        <is>
          <t>package</t>
        </is>
      </c>
      <c r="F10" s="32" t="inlineStr">
        <is>
          <t>component</t>
        </is>
      </c>
      <c r="G10" s="44" t="inlineStr">
        <is>
          <t>../test/components/status/status.test.tsx</t>
        </is>
      </c>
      <c r="H10" s="32" t="inlineStr">
        <is>
          <t>tested</t>
        </is>
      </c>
      <c r="I10" s="32" t="inlineStr">
        <is>
          <t>no</t>
        </is>
      </c>
      <c r="J10" s="42" t="n">
        <v>46262</v>
      </c>
      <c r="K10" s="44" t="n"/>
      <c r="L10" s="32" t="n">
        <v>1</v>
      </c>
      <c r="M10" s="32">
        <f>IF(OR(AND(I10="yes",H10="verified"),AND(I10="no",OR(H10="tested",H10="verified")),AND(H10="not applicable",K10&lt;&gt;"")),1,0)</f>
        <v/>
      </c>
    </row>
    <row r="11" ht="48" customHeight="1" s="34">
      <c r="A11" s="32" t="inlineStr">
        <is>
          <t>ST-03</t>
        </is>
      </c>
      <c r="B11" s="32" t="inlineStr">
        <is>
          <t>Exports</t>
        </is>
      </c>
      <c r="C11" s="44" t="inlineStr">
        <is>
          <t>Status</t>
        </is>
      </c>
      <c r="D11" s="44" t="inlineStr">
        <is>
          <t>Namespace, named parts, public types, root export, and status subpath are exported.</t>
        </is>
      </c>
      <c r="E11" s="32" t="inlineStr">
        <is>
          <t>package</t>
        </is>
      </c>
      <c r="F11" s="32" t="inlineStr">
        <is>
          <t>package</t>
        </is>
      </c>
      <c r="G11" s="44" t="inlineStr">
        <is>
          <t>../test/package/package.test.mjs</t>
        </is>
      </c>
      <c r="H11" s="32" t="inlineStr">
        <is>
          <t>tested</t>
        </is>
      </c>
      <c r="I11" s="32" t="inlineStr">
        <is>
          <t>no</t>
        </is>
      </c>
      <c r="J11" s="42" t="n">
        <v>46262</v>
      </c>
      <c r="K11" s="44" t="n"/>
      <c r="L11" s="32" t="n">
        <v>1</v>
      </c>
      <c r="M11" s="32">
        <f>IF(OR(AND(I11="yes",H11="verified"),AND(I11="no",OR(H11="tested",H11="verified")),AND(H11="not applicable",K11&lt;&gt;"")),1,0)</f>
        <v/>
      </c>
    </row>
    <row r="12" ht="48" customHeight="1" s="34">
      <c r="A12" s="32" t="inlineStr">
        <is>
          <t>ST-04</t>
        </is>
      </c>
      <c r="B12" s="32" t="inlineStr">
        <is>
          <t>Types</t>
        </is>
      </c>
      <c r="C12" s="44" t="inlineStr">
        <is>
          <t>Root / Indicator / Label</t>
        </is>
      </c>
      <c r="D12" s="44" t="inlineStr">
        <is>
          <t>Closed sizes, semantic tones, part props, invalid values, native attributes, and exact refs type-check.</t>
        </is>
      </c>
      <c r="E12" s="32" t="inlineStr">
        <is>
          <t>package</t>
        </is>
      </c>
      <c r="F12" s="32" t="inlineStr">
        <is>
          <t>types</t>
        </is>
      </c>
      <c r="G12" s="44" t="inlineStr">
        <is>
          <t>../test/types/components/status.test.ts</t>
        </is>
      </c>
      <c r="H12" s="32" t="inlineStr">
        <is>
          <t>tested</t>
        </is>
      </c>
      <c r="I12" s="32" t="inlineStr">
        <is>
          <t>no</t>
        </is>
      </c>
      <c r="J12" s="42" t="n">
        <v>46262</v>
      </c>
      <c r="K12" s="44" t="n"/>
      <c r="L12" s="32" t="n">
        <v>1</v>
      </c>
      <c r="M12" s="32">
        <f>IF(OR(AND(I12="yes",H12="verified"),AND(I12="no",OR(H12="tested",H12="verified")),AND(H12="not applicable",K12&lt;&gt;"")),1,0)</f>
        <v/>
      </c>
    </row>
    <row r="13" ht="48" customHeight="1" s="34">
      <c r="A13" s="32" t="inlineStr">
        <is>
          <t>ST-05</t>
        </is>
      </c>
      <c r="B13" s="32" t="inlineStr">
        <is>
          <t>CSS</t>
        </is>
      </c>
      <c r="C13" s="44" t="inlineStr">
        <is>
          <t>Root / Indicator / Label</t>
        </is>
      </c>
      <c r="D13" s="44" t="inlineStr">
        <is>
          <t>Static CSS provides dot, gap, text, size, semantic-tone, wrapping, and forced-color recipes through public hooks.</t>
        </is>
      </c>
      <c r="E13" s="32" t="inlineStr">
        <is>
          <t>package</t>
        </is>
      </c>
      <c r="F13" s="32" t="inlineStr">
        <is>
          <t>css</t>
        </is>
      </c>
      <c r="G13" s="44" t="inlineStr">
        <is>
          <t>../src/components/status/status.css</t>
        </is>
      </c>
      <c r="H13" s="32" t="inlineStr">
        <is>
          <t>tested</t>
        </is>
      </c>
      <c r="I13" s="32" t="inlineStr">
        <is>
          <t>no</t>
        </is>
      </c>
      <c r="J13" s="42" t="n">
        <v>46262</v>
      </c>
      <c r="K13" s="44" t="n"/>
      <c r="L13" s="32" t="n">
        <v>1</v>
      </c>
      <c r="M13" s="32">
        <f>IF(OR(AND(I13="yes",H13="verified"),AND(I13="no",OR(H13="tested",H13="verified")),AND(H13="not applicable",K13&lt;&gt;"")),1,0)</f>
        <v/>
      </c>
    </row>
    <row r="14" ht="48" customHeight="1" s="34">
      <c r="A14" s="32" t="inlineStr">
        <is>
          <t>ST-06</t>
        </is>
      </c>
      <c r="B14" s="32" t="inlineStr">
        <is>
          <t>Defaults</t>
        </is>
      </c>
      <c r="C14" s="44" t="inlineStr">
        <is>
          <t>Root</t>
        </is>
      </c>
      <c r="D14" s="44" t="inlineStr">
        <is>
          <t>Medium neutral presentation with no role or aria-live attribute is the canonical default.</t>
        </is>
      </c>
      <c r="E14" s="32" t="inlineStr">
        <is>
          <t>package</t>
        </is>
      </c>
      <c r="F14" s="32" t="inlineStr">
        <is>
          <t>component</t>
        </is>
      </c>
      <c r="G14" s="44" t="inlineStr">
        <is>
          <t>../test/components/status/status.test.tsx</t>
        </is>
      </c>
      <c r="H14" s="32" t="inlineStr">
        <is>
          <t>tested</t>
        </is>
      </c>
      <c r="I14" s="32" t="inlineStr">
        <is>
          <t>no</t>
        </is>
      </c>
      <c r="J14" s="42" t="n">
        <v>46262</v>
      </c>
      <c r="K14" s="44" t="n"/>
      <c r="L14" s="32" t="n">
        <v>1</v>
      </c>
      <c r="M14" s="32">
        <f>IF(OR(AND(I14="yes",H14="verified"),AND(I14="no",OR(H14="tested",H14="verified")),AND(H14="not applicable",K14&lt;&gt;"")),1,0)</f>
        <v/>
      </c>
    </row>
    <row r="15" ht="48" customHeight="1" s="34">
      <c r="A15" s="32" t="inlineStr">
        <is>
          <t>ST-07</t>
        </is>
      </c>
      <c r="B15" s="32" t="inlineStr">
        <is>
          <t>Recipes</t>
        </is>
      </c>
      <c r="C15" s="44" t="inlineStr">
        <is>
          <t>Root / Indicator</t>
        </is>
      </c>
      <c r="D15" s="44" t="inlineStr">
        <is>
          <t>Small, medium, large and neutral, accent, info, success, warning, and danger recipes serialize through stable attributes.</t>
        </is>
      </c>
      <c r="E15" s="32" t="inlineStr">
        <is>
          <t>package</t>
        </is>
      </c>
      <c r="F15" s="32" t="inlineStr">
        <is>
          <t>component</t>
        </is>
      </c>
      <c r="G15" s="44" t="inlineStr">
        <is>
          <t>../test/components/status/status.test.tsx</t>
        </is>
      </c>
      <c r="H15" s="32" t="inlineStr">
        <is>
          <t>tested</t>
        </is>
      </c>
      <c r="I15" s="32" t="inlineStr">
        <is>
          <t>no</t>
        </is>
      </c>
      <c r="J15" s="42" t="n">
        <v>46262</v>
      </c>
      <c r="K15" s="44" t="n"/>
      <c r="L15" s="32" t="n">
        <v>1</v>
      </c>
      <c r="M15" s="32">
        <f>IF(OR(AND(I15="yes",H15="verified"),AND(I15="no",OR(H15="tested",H15="verified")),AND(H15="not applicable",K15&lt;&gt;"")),1,0)</f>
        <v/>
      </c>
    </row>
    <row r="16" ht="48" customHeight="1" s="34">
      <c r="A16" s="32" t="inlineStr">
        <is>
          <t>ST-08</t>
        </is>
      </c>
      <c r="B16" s="32" t="inlineStr">
        <is>
          <t>Semantics</t>
        </is>
      </c>
      <c r="C16" s="44" t="inlineStr">
        <is>
          <t>Indicator / Label</t>
        </is>
      </c>
      <c r="D16" s="44" t="inlineStr">
        <is>
          <t>Indicator remains aria-hidden while visible Label text communicates state without color-only meaning or unsolicited announcement.</t>
        </is>
      </c>
      <c r="E16" s="32" t="inlineStr">
        <is>
          <t>package</t>
        </is>
      </c>
      <c r="F16" s="32" t="inlineStr">
        <is>
          <t>browser</t>
        </is>
      </c>
      <c r="G16" s="44" t="inlineStr">
        <is>
          <t>../test/components/status/status.test.tsx; tests/components/status/behavior.spec.ts</t>
        </is>
      </c>
      <c r="H16" s="32" t="inlineStr">
        <is>
          <t>tested</t>
        </is>
      </c>
      <c r="I16" s="32" t="inlineStr">
        <is>
          <t>no</t>
        </is>
      </c>
      <c r="J16" s="42" t="n">
        <v>46262</v>
      </c>
      <c r="K16" s="44" t="n"/>
      <c r="L16" s="32" t="n">
        <v>1</v>
      </c>
      <c r="M16" s="32">
        <f>IF(OR(AND(I16="yes",H16="verified"),AND(I16="no",OR(H16="tested",H16="verified")),AND(H16="not applicable",K16&lt;&gt;"")),1,0)</f>
        <v/>
      </c>
    </row>
    <row r="17" ht="48" customHeight="1" s="34">
      <c r="A17" s="32" t="inlineStr">
        <is>
          <t>ST-09</t>
        </is>
      </c>
      <c r="B17" s="32" t="inlineStr">
        <is>
          <t>Accessibility</t>
        </is>
      </c>
      <c r="C17" s="44" t="inlineStr">
        <is>
          <t>Root / Indicator / Label</t>
        </is>
      </c>
      <c r="D17" s="44" t="inlineStr">
        <is>
          <t>Passive state text, decorative Indicator, application-authored ARIA pass-through, and axe checks preserve the contract.</t>
        </is>
      </c>
      <c r="E17" s="32" t="inlineStr">
        <is>
          <t>package</t>
        </is>
      </c>
      <c r="F17" s="32" t="inlineStr">
        <is>
          <t>axe</t>
        </is>
      </c>
      <c r="G17" s="44" t="inlineStr">
        <is>
          <t>tests/components/status/behavior.spec.ts</t>
        </is>
      </c>
      <c r="H17" s="32" t="inlineStr">
        <is>
          <t>tested</t>
        </is>
      </c>
      <c r="I17" s="32" t="inlineStr">
        <is>
          <t>no</t>
        </is>
      </c>
      <c r="J17" s="42" t="n">
        <v>46262</v>
      </c>
      <c r="K17" s="44" t="n"/>
      <c r="L17" s="32" t="n">
        <v>1</v>
      </c>
      <c r="M17" s="32">
        <f>IF(OR(AND(I17="yes",H17="verified"),AND(I17="no",OR(H17="tested",H17="verified")),AND(H17="not applicable",K17&lt;&gt;"")),1,0)</f>
        <v/>
      </c>
    </row>
    <row r="18" ht="48" customHeight="1" s="34">
      <c r="A18" s="32" t="inlineStr">
        <is>
          <t>ST-10</t>
        </is>
      </c>
      <c r="B18" s="32" t="inlineStr">
        <is>
          <t>Visual</t>
        </is>
      </c>
      <c r="C18" s="44" t="inlineStr">
        <is>
          <t>Status</t>
        </is>
      </c>
      <c r="D18" s="44" t="inlineStr">
        <is>
          <t>The visual owner currently proves route visibility but lacks risk-selected screenshot baselines and owner review.</t>
        </is>
      </c>
      <c r="E18" s="32" t="inlineStr">
        <is>
          <t>package</t>
        </is>
      </c>
      <c r="F18" s="32" t="inlineStr">
        <is>
          <t>visual</t>
        </is>
      </c>
      <c r="G18" s="44" t="inlineStr">
        <is>
          <t>tests/components/status/visual.spec.ts</t>
        </is>
      </c>
      <c r="H18" s="32" t="inlineStr">
        <is>
          <t>partial</t>
        </is>
      </c>
      <c r="I18" s="32" t="inlineStr">
        <is>
          <t>yes</t>
        </is>
      </c>
      <c r="J18" s="42" t="n">
        <v>46262</v>
      </c>
      <c r="K18" s="44" t="inlineStr">
        <is>
          <t>Capture and review tones, sizes, dark, RTL, long-label, and forced-color baselines.</t>
        </is>
      </c>
      <c r="L18" s="32" t="n">
        <v>1</v>
      </c>
      <c r="M18" s="32">
        <f>IF(OR(AND(I18="yes",H18="verified"),AND(I18="no",OR(H18="tested",H18="verified")),AND(H18="not applicable",K18&lt;&gt;"")),1,0)</f>
        <v/>
      </c>
    </row>
    <row r="19" ht="48" customHeight="1" s="34">
      <c r="A19" s="32" t="inlineStr">
        <is>
          <t>ST-11</t>
        </is>
      </c>
      <c r="B19" s="32" t="inlineStr">
        <is>
          <t>Indicator-only</t>
        </is>
      </c>
      <c r="C19" s="44" t="inlineStr">
        <is>
          <t>Root / Indicator</t>
        </is>
      </c>
      <c r="D19" s="44" t="inlineStr">
        <is>
          <t>A decorative indicator-only composition is tested only when adjacent text already names the same state.</t>
        </is>
      </c>
      <c r="E19" s="32" t="inlineStr">
        <is>
          <t>package</t>
        </is>
      </c>
      <c r="F19" s="32" t="inlineStr">
        <is>
          <t>component</t>
        </is>
      </c>
      <c r="G19" s="44" t="inlineStr">
        <is>
          <t>../test/components/status/status.test.tsx</t>
        </is>
      </c>
      <c r="H19" s="32" t="inlineStr">
        <is>
          <t>tested</t>
        </is>
      </c>
      <c r="I19" s="32" t="inlineStr">
        <is>
          <t>no</t>
        </is>
      </c>
      <c r="J19" s="42" t="n">
        <v>46262</v>
      </c>
      <c r="K19" s="44" t="n"/>
      <c r="L19" s="32" t="n">
        <v>1</v>
      </c>
      <c r="M19" s="32">
        <f>IF(OR(AND(I19="yes",H19="verified"),AND(I19="no",OR(H19="tested",H19="verified")),AND(H19="not applicable",K19&lt;&gt;"")),1,0)</f>
        <v/>
      </c>
    </row>
    <row r="20" ht="48" customHeight="1" s="34">
      <c r="A20" s="32" t="inlineStr">
        <is>
          <t>ST-12</t>
        </is>
      </c>
      <c r="B20" s="32" t="inlineStr">
        <is>
          <t>Stress</t>
        </is>
      </c>
      <c r="C20" s="44" t="inlineStr">
        <is>
          <t>Root / Label</t>
        </is>
      </c>
      <c r="D20" s="44" t="inlineStr">
        <is>
          <t>Narrow widths, 200% text, 400% zoom, localization, and RTL preserve readable label and dot alignment.</t>
        </is>
      </c>
      <c r="E20" s="32" t="inlineStr">
        <is>
          <t>package</t>
        </is>
      </c>
      <c r="F20" s="32" t="inlineStr">
        <is>
          <t>manual</t>
        </is>
      </c>
      <c r="G20" s="44" t="inlineStr">
        <is>
          <t>manual-tests/status.md</t>
        </is>
      </c>
      <c r="H20" s="32" t="inlineStr">
        <is>
          <t>not started</t>
        </is>
      </c>
      <c r="I20" s="32" t="inlineStr">
        <is>
          <t>yes</t>
        </is>
      </c>
      <c r="K20" s="44" t="inlineStr">
        <is>
          <t>No completed reflow and RTL owner run is recorded.</t>
        </is>
      </c>
      <c r="L20" s="32" t="n">
        <v>1</v>
      </c>
      <c r="M20" s="32">
        <f>IF(OR(AND(I20="yes",H20="verified"),AND(I20="no",OR(H20="tested",H20="verified")),AND(H20="not applicable",K20&lt;&gt;"")),1,0)</f>
        <v/>
      </c>
    </row>
    <row r="21" ht="48" customHeight="1" s="34">
      <c r="A21" s="32" t="inlineStr">
        <is>
          <t>ST-13</t>
        </is>
      </c>
      <c r="B21" s="32" t="inlineStr">
        <is>
          <t>Theme</t>
        </is>
      </c>
      <c r="C21" s="44" t="inlineStr">
        <is>
          <t>Root / Indicator / Label</t>
        </is>
      </c>
      <c r="D21" s="44" t="inlineStr">
        <is>
          <t>Light, dark, forced colors, every tone, and adjacent focus remain distinguishable.</t>
        </is>
      </c>
      <c r="E21" s="32" t="inlineStr">
        <is>
          <t>package</t>
        </is>
      </c>
      <c r="F21" s="32" t="inlineStr">
        <is>
          <t>manual</t>
        </is>
      </c>
      <c r="G21" s="44" t="inlineStr">
        <is>
          <t>manual-tests/status.md</t>
        </is>
      </c>
      <c r="H21" s="32" t="inlineStr">
        <is>
          <t>not started</t>
        </is>
      </c>
      <c r="I21" s="32" t="inlineStr">
        <is>
          <t>yes</t>
        </is>
      </c>
      <c r="K21" s="44" t="inlineStr">
        <is>
          <t>No completed appearance owner run is recorded.</t>
        </is>
      </c>
      <c r="L21" s="32" t="n">
        <v>1</v>
      </c>
      <c r="M21" s="32">
        <f>IF(OR(AND(I21="yes",H21="verified"),AND(I21="no",OR(H21="tested",H21="verified")),AND(H21="not applicable",K21&lt;&gt;"")),1,0)</f>
        <v/>
      </c>
    </row>
    <row r="22" ht="48" customHeight="1" s="34">
      <c r="A22" s="32" t="inlineStr">
        <is>
          <t>ST-14</t>
        </is>
      </c>
      <c r="B22" s="32" t="inlineStr">
        <is>
          <t>Live updates</t>
        </is>
      </c>
      <c r="C22" s="44" t="inlineStr">
        <is>
          <t>Root</t>
        </is>
      </c>
      <c r="D22" s="44" t="inlineStr">
        <is>
          <t>Only an application deliberately authors role=status when it owns timing, repetition, focus, and announcement policy.</t>
        </is>
      </c>
      <c r="E22" s="32" t="inlineStr">
        <is>
          <t>package</t>
        </is>
      </c>
      <c r="F22" s="32" t="inlineStr">
        <is>
          <t>manual</t>
        </is>
      </c>
      <c r="G22" s="44" t="inlineStr">
        <is>
          <t>manual-tests/status.md; ../docs/components/status/README.md</t>
        </is>
      </c>
      <c r="H22" s="32" t="inlineStr">
        <is>
          <t>implemented</t>
        </is>
      </c>
      <c r="I22" s="32" t="inlineStr">
        <is>
          <t>yes</t>
        </is>
      </c>
      <c r="J22" s="42" t="n">
        <v>46262</v>
      </c>
      <c r="K22" s="44" t="inlineStr">
        <is>
          <t>The application-owned example exists; assistive-technology review is pending.</t>
        </is>
      </c>
      <c r="L22" s="32" t="n">
        <v>1</v>
      </c>
      <c r="M22" s="32">
        <f>IF(OR(AND(I22="yes",H22="verified"),AND(I22="no",OR(H22="tested",H22="verified")),AND(H22="not applicable",K22&lt;&gt;"")),1,0)</f>
        <v/>
      </c>
    </row>
    <row r="23" ht="48" customHeight="1" s="34">
      <c r="A23" s="32" t="inlineStr">
        <is>
          <t>ST-15</t>
        </is>
      </c>
      <c r="B23" s="32" t="inlineStr">
        <is>
          <t>Manual</t>
        </is>
      </c>
      <c r="C23" s="44" t="inlineStr">
        <is>
          <t>Status</t>
        </is>
      </c>
      <c r="D23" s="44" t="inlineStr">
        <is>
          <t>The numbered component-owned protocol passes tones, sizes, semantics, theme, reflow, device, and assistive-technology scenarios.</t>
        </is>
      </c>
      <c r="E23" s="32" t="inlineStr">
        <is>
          <t>package</t>
        </is>
      </c>
      <c r="F23" s="32" t="inlineStr">
        <is>
          <t>manual</t>
        </is>
      </c>
      <c r="G23" s="44" t="inlineStr">
        <is>
          <t>manual-tests/status.md</t>
        </is>
      </c>
      <c r="H23" s="32" t="inlineStr">
        <is>
          <t>not started</t>
        </is>
      </c>
      <c r="I23" s="32" t="inlineStr">
        <is>
          <t>yes</t>
        </is>
      </c>
      <c r="K23" s="44" t="inlineStr">
        <is>
          <t>No completed manual run is recorded.</t>
        </is>
      </c>
      <c r="L23" s="32" t="n">
        <v>1</v>
      </c>
      <c r="M23" s="32">
        <f>IF(OR(AND(I23="yes",H23="verified"),AND(I23="no",OR(H23="tested",H23="verified")),AND(H23="not applicable",K23&lt;&gt;"")),1,0)</f>
        <v/>
      </c>
    </row>
    <row r="24" ht="48" customHeight="1" s="34">
      <c r="A24" s="32" t="inlineStr">
        <is>
          <t>ST-16</t>
        </is>
      </c>
      <c r="B24" s="32" t="inlineStr">
        <is>
          <t>Playground</t>
        </is>
      </c>
      <c r="C24" s="44" t="inlineStr">
        <is>
          <t>Status</t>
        </is>
      </c>
      <c r="D24" s="44" t="inlineStr">
        <is>
          <t>One route exposes overview, tones, sizes, composition, semantics, theme, and stress scenarios.</t>
        </is>
      </c>
      <c r="E24" s="32" t="inlineStr">
        <is>
          <t>package</t>
        </is>
      </c>
      <c r="F24" s="32" t="inlineStr">
        <is>
          <t>playground</t>
        </is>
      </c>
      <c r="G24" s="44" t="inlineStr">
        <is>
          <t>src/components/status/StatusPage.tsx</t>
        </is>
      </c>
      <c r="H24" s="32" t="inlineStr">
        <is>
          <t>tested</t>
        </is>
      </c>
      <c r="I24" s="32" t="inlineStr">
        <is>
          <t>no</t>
        </is>
      </c>
      <c r="J24" s="42" t="n">
        <v>46262</v>
      </c>
      <c r="K24" s="44" t="n"/>
      <c r="L24" s="32" t="n">
        <v>1</v>
      </c>
      <c r="M24" s="32">
        <f>IF(OR(AND(I24="yes",H24="verified"),AND(I24="no",OR(H24="tested",H24="verified")),AND(H24="not applicable",K24&lt;&gt;"")),1,0)</f>
        <v/>
      </c>
    </row>
    <row r="25" ht="48" customHeight="1" s="34">
      <c r="A25" s="32" t="inlineStr">
        <is>
          <t>ST-17</t>
        </is>
      </c>
      <c r="B25" s="32" t="inlineStr">
        <is>
          <t>Docs</t>
        </is>
      </c>
      <c r="C25" s="44" t="inlineStr">
        <is>
          <t>Status</t>
        </is>
      </c>
      <c r="D25" s="44" t="inlineStr">
        <is>
          <t>Public use, exclusions, API, anatomy, semantics, accessibility, customization, and evidence documentation pass.</t>
        </is>
      </c>
      <c r="E25" s="32" t="inlineStr">
        <is>
          <t>package</t>
        </is>
      </c>
      <c r="F25" s="32" t="inlineStr">
        <is>
          <t>docs</t>
        </is>
      </c>
      <c r="G25" s="44" t="inlineStr">
        <is>
          <t>../docs/components/status/README.md</t>
        </is>
      </c>
      <c r="H25" s="32" t="inlineStr">
        <is>
          <t>tested</t>
        </is>
      </c>
      <c r="I25" s="32" t="inlineStr">
        <is>
          <t>no</t>
        </is>
      </c>
      <c r="J25" s="42" t="n">
        <v>46262</v>
      </c>
      <c r="K25" s="44" t="n"/>
      <c r="L25" s="32" t="n">
        <v>1</v>
      </c>
      <c r="M25" s="32">
        <f>IF(OR(AND(I25="yes",H25="verified"),AND(I25="no",OR(H25="tested",H25="verified")),AND(H25="not applicable",K25&lt;&gt;"")),1,0)</f>
        <v/>
      </c>
    </row>
    <row r="26" ht="48" customHeight="1" s="34">
      <c r="A26" s="32" t="inlineStr">
        <is>
          <t>ST-18</t>
        </is>
      </c>
      <c r="B26" s="32" t="inlineStr">
        <is>
          <t>Agent Knowledge</t>
        </is>
      </c>
      <c r="C26" s="44" t="inlineStr">
        <is>
          <t>Status</t>
        </is>
      </c>
      <c r="D26" s="44" t="inlineStr">
        <is>
          <t>Machine-readable guidance distinguishes passive state text from Badge, Progress, Alert, Avatar presence, and live regions.</t>
        </is>
      </c>
      <c r="E26" s="32" t="inlineStr">
        <is>
          <t>package</t>
        </is>
      </c>
      <c r="F26" s="32" t="inlineStr">
        <is>
          <t>docs</t>
        </is>
      </c>
      <c r="G26" s="44" t="inlineStr">
        <is>
          <t>../src/components/status/agent.json; ../src/components/status/agent.md</t>
        </is>
      </c>
      <c r="H26" s="32" t="inlineStr">
        <is>
          <t>tested</t>
        </is>
      </c>
      <c r="I26" s="32" t="inlineStr">
        <is>
          <t>no</t>
        </is>
      </c>
      <c r="J26" s="42" t="n">
        <v>46262</v>
      </c>
      <c r="K26" s="44" t="n"/>
      <c r="L26" s="32" t="n">
        <v>1</v>
      </c>
      <c r="M26" s="32">
        <f>IF(OR(AND(I26="yes",H26="verified"),AND(I26="no",OR(H26="tested",H26="verified")),AND(H26="not applicable",K26&lt;&gt;"")),1,0)</f>
        <v/>
      </c>
    </row>
    <row r="27" ht="48" customHeight="1" s="34">
      <c r="A27" s="32" t="inlineStr">
        <is>
          <t>ST-19</t>
        </is>
      </c>
      <c r="B27" s="32" t="inlineStr">
        <is>
          <t>Consumer</t>
        </is>
      </c>
      <c r="C27" s="44" t="inlineStr">
        <is>
          <t>Status</t>
        </is>
      </c>
      <c r="D27" s="44" t="inlineStr">
        <is>
          <t>The packed standalone Consumer imports the public status subpath in a realistic passive state composition.</t>
        </is>
      </c>
      <c r="E27" s="32" t="inlineStr">
        <is>
          <t>consumer</t>
        </is>
      </c>
      <c r="F27" s="32" t="inlineStr">
        <is>
          <t>consumer</t>
        </is>
      </c>
      <c r="G27" s="44" t="inlineStr">
        <is>
          <t>../apps/consumer/src/App.tsx; ../apps/consumer/tests/consumer.spec.ts</t>
        </is>
      </c>
      <c r="H27" s="32" t="inlineStr">
        <is>
          <t>not started</t>
        </is>
      </c>
      <c r="I27" s="32" t="inlineStr">
        <is>
          <t>no</t>
        </is>
      </c>
      <c r="K27" s="44" t="inlineStr">
        <is>
          <t>No Status Consumer composition or assertion exists yet.</t>
        </is>
      </c>
      <c r="L27" s="32" t="n">
        <v>1</v>
      </c>
      <c r="M27" s="32">
        <f>IF(OR(AND(I27="yes",H27="verified"),AND(I27="no",OR(H27="tested",H27="verified")),AND(H27="not applicable",K27&lt;&gt;"")),1,0)</f>
        <v/>
      </c>
    </row>
    <row r="28" ht="48" customHeight="1" s="34">
      <c r="A28" s="32" t="inlineStr">
        <is>
          <t>ST-20</t>
        </is>
      </c>
      <c r="B28" s="32" t="inlineStr">
        <is>
          <t>Package</t>
        </is>
      </c>
      <c r="C28" s="44" t="inlineStr">
        <is>
          <t>Status</t>
        </is>
      </c>
      <c r="D28" s="44" t="inlineStr">
        <is>
          <t>Build, exports, CSS, tarball, component tests, and repository verification pass.</t>
        </is>
      </c>
      <c r="E28" s="32" t="inlineStr">
        <is>
          <t>package</t>
        </is>
      </c>
      <c r="F28" s="32" t="inlineStr">
        <is>
          <t>package</t>
        </is>
      </c>
      <c r="G28" s="44" t="inlineStr">
        <is>
          <t>../scripts/verify-package.mjs; ../scripts/verify-consumers.mjs</t>
        </is>
      </c>
      <c r="H28" s="32" t="inlineStr">
        <is>
          <t>blocked</t>
        </is>
      </c>
      <c r="I28" s="32" t="inlineStr">
        <is>
          <t>no</t>
        </is>
      </c>
      <c r="J28" s="42" t="n">
        <v>46262</v>
      </c>
      <c r="K28" s="44" t="inlineStr">
        <is>
          <t>Clean Consumer verification cannot install unpublished @flowstack-ui/atom 0.23.1 from the public registry.</t>
        </is>
      </c>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2.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32" min="1" max="1"/>
    <col width="15.71" customWidth="1" style="32" min="2" max="2"/>
    <col width="18.71" customWidth="1" style="32" min="3" max="3"/>
    <col width="58.71" customWidth="1" style="32" min="4" max="4"/>
    <col width="14.71" customWidth="1" style="32" min="5" max="6"/>
    <col width="50.71" customWidth="1" style="32" min="7" max="7"/>
    <col width="17.71" customWidth="1" style="32" min="8" max="8"/>
    <col width="14.71" customWidth="1" style="32" min="9" max="9"/>
    <col width="14.71" customWidth="1" style="42" min="10" max="10"/>
    <col width="42.71" customWidth="1" style="32" min="11" max="11"/>
    <col width="10.71" customWidth="1" style="32" min="12" max="13"/>
  </cols>
  <sheetData>
    <row r="1" ht="37.5" customHeight="1" s="34">
      <c r="A1" s="35" t="inlineStr">
        <is>
          <t>Color Picker Evidence</t>
        </is>
      </c>
    </row>
    <row r="2" ht="27.75" customHeight="1" s="34">
      <c r="A2" s="36" t="inlineStr">
        <is>
          <t>Assertion-level Atom-backed anatomy, value, form, Popover, CSS, browser, accessibility, documentation, Agent Knowledge, Consumer, and package evidence.</t>
        </is>
      </c>
    </row>
    <row r="4" ht="17.25" customHeight="1" s="34">
      <c r="A4" s="37" t="inlineStr">
        <is>
          <t>Requirements</t>
        </is>
      </c>
      <c r="B4" s="38">
        <f>COUNTA(A9:A28)</f>
        <v/>
      </c>
      <c r="D4" s="37" t="inlineStr">
        <is>
          <t>Resolved</t>
        </is>
      </c>
      <c r="E4" s="38">
        <f>SUM(M9:M28)</f>
        <v/>
      </c>
      <c r="G4" s="37" t="inlineStr">
        <is>
          <t>Completion</t>
        </is>
      </c>
      <c r="H4" s="39">
        <f>IF(B4=0,0,E4/B4)</f>
        <v/>
      </c>
      <c r="J4" s="37" t="inlineStr">
        <is>
          <t>Package gate</t>
        </is>
      </c>
      <c r="K4" s="38">
        <f>IF(COUNTIFS(E9:E28,"package",M9:M28,0)&gt;0,"open","complete")</f>
        <v/>
      </c>
    </row>
    <row r="5" ht="17.25" customHeight="1" s="34">
      <c r="A5" s="37" t="inlineStr">
        <is>
          <t>Manual review</t>
        </is>
      </c>
      <c r="B5" s="38">
        <f>IF(COUNTIFS(I9:I28,"yes",M9:M28,0)&gt;0,"open","complete")</f>
        <v/>
      </c>
      <c r="D5" s="37" t="inlineStr">
        <is>
          <t>Consumer gate</t>
        </is>
      </c>
      <c r="E5" s="38">
        <f>IF(COUNTIFS(E9:E28,"consumer",M9:M28,0)&gt;0,"open","complete")</f>
        <v/>
      </c>
    </row>
    <row r="8" ht="15" customHeight="1" s="34">
      <c r="A8" s="32" t="inlineStr">
        <is>
          <t>ID</t>
        </is>
      </c>
      <c r="B8" s="32" t="inlineStr">
        <is>
          <t>Area</t>
        </is>
      </c>
      <c r="C8" s="32" t="inlineStr">
        <is>
          <t>Part</t>
        </is>
      </c>
      <c r="D8" s="32" t="inlineStr">
        <is>
          <t>Requirement</t>
        </is>
      </c>
      <c r="E8" s="32" t="inlineStr">
        <is>
          <t>Gate</t>
        </is>
      </c>
      <c r="F8" s="32" t="inlineStr">
        <is>
          <t>Evidence type</t>
        </is>
      </c>
      <c r="G8" s="32" t="inlineStr">
        <is>
          <t>Evidence / link</t>
        </is>
      </c>
      <c r="H8" s="32" t="inlineStr">
        <is>
          <t>Status</t>
        </is>
      </c>
      <c r="I8" s="32" t="inlineStr">
        <is>
          <t>Human review?</t>
        </is>
      </c>
      <c r="J8" s="42" t="inlineStr">
        <is>
          <t>Last verified</t>
        </is>
      </c>
      <c r="K8" s="32" t="inlineStr">
        <is>
          <t>Blocker / N/A reason</t>
        </is>
      </c>
      <c r="L8" s="32" t="inlineStr">
        <is>
          <t>Weight</t>
        </is>
      </c>
      <c r="M8" s="32" t="inlineStr">
        <is>
          <t>Resolved</t>
        </is>
      </c>
    </row>
    <row r="9" ht="42" customHeight="1" s="34">
      <c r="A9" s="32" t="inlineStr">
        <is>
          <t>CP-01</t>
        </is>
      </c>
      <c r="B9" s="32" t="inlineStr">
        <is>
          <t>Implementation</t>
        </is>
      </c>
      <c r="C9" s="32" t="inlineStr">
        <is>
          <t>All parts</t>
        </is>
      </c>
      <c r="D9" s="32" t="inlineStr">
        <is>
          <t>Root, Label, Control, Input, NativeInput, HiddenInput, Trigger, Content, and SwatchTrigger adapt only the public Atom 0.24.0 Color Picker.</t>
        </is>
      </c>
      <c r="E9" s="32" t="inlineStr">
        <is>
          <t>package</t>
        </is>
      </c>
      <c r="F9" s="32" t="inlineStr">
        <is>
          <t>source</t>
        </is>
      </c>
      <c r="G9" s="32" t="inlineStr">
        <is>
          <t>../src/components/color-picker</t>
        </is>
      </c>
      <c r="H9" s="32" t="inlineStr">
        <is>
          <t>tested</t>
        </is>
      </c>
      <c r="I9" s="32" t="inlineStr">
        <is>
          <t>no</t>
        </is>
      </c>
      <c r="J9" s="42" t="n">
        <v>46262</v>
      </c>
      <c r="K9" s="32" t="inlineStr">
        <is>
          <t>Exact published Atom 0.24.0 is the behavior owner.</t>
        </is>
      </c>
      <c r="L9" s="32" t="n">
        <v>1</v>
      </c>
      <c r="M9" s="32">
        <f>IF(OR(AND(I9="yes",H9="verified"),AND(I9="no",OR(H9="tested",H9="verified")),AND(H9="not applicable",K9&lt;&gt;"")),1,0)</f>
        <v/>
      </c>
    </row>
    <row r="10" ht="42" customHeight="1" s="34">
      <c r="A10" s="32" t="inlineStr">
        <is>
          <t>CP-02</t>
        </is>
      </c>
      <c r="B10" s="32" t="inlineStr">
        <is>
          <t>Anatomy</t>
        </is>
      </c>
      <c r="C10" s="32" t="inlineStr">
        <is>
          <t>All parts</t>
        </is>
      </c>
      <c r="D10" s="32" t="inlineStr">
        <is>
          <t>Every public part preserves its Atom element, ref target, slot, state attributes, native props, and consumer class names.</t>
        </is>
      </c>
      <c r="E10" s="32" t="inlineStr">
        <is>
          <t>package</t>
        </is>
      </c>
      <c r="F10" s="32" t="inlineStr">
        <is>
          <t>component</t>
        </is>
      </c>
      <c r="G10" s="32" t="inlineStr">
        <is>
          <t>../test/components/color-picker/color-picker.test.tsx</t>
        </is>
      </c>
      <c r="H10" s="32" t="inlineStr">
        <is>
          <t>tested</t>
        </is>
      </c>
      <c r="I10" s="32" t="inlineStr">
        <is>
          <t>no</t>
        </is>
      </c>
      <c r="J10" s="42" t="n">
        <v>46262</v>
      </c>
      <c r="L10" s="32" t="n">
        <v>1</v>
      </c>
      <c r="M10" s="32">
        <f>IF(OR(AND(I10="yes",H10="verified"),AND(I10="no",OR(H10="tested",H10="verified")),AND(H10="not applicable",K10&lt;&gt;"")),1,0)</f>
        <v/>
      </c>
    </row>
    <row r="11" ht="42" customHeight="1" s="34">
      <c r="A11" s="32" t="inlineStr">
        <is>
          <t>CP-03</t>
        </is>
      </c>
      <c r="B11" s="32" t="inlineStr">
        <is>
          <t>Exports</t>
        </is>
      </c>
      <c r="C11" s="32" t="inlineStr">
        <is>
          <t>ColorPicker</t>
        </is>
      </c>
      <c r="D11" s="32" t="inlineStr">
        <is>
          <t>Root and color-picker subpath exports expose the namespace, named styled parts, and public prop and recipe types.</t>
        </is>
      </c>
      <c r="E11" s="32" t="inlineStr">
        <is>
          <t>package</t>
        </is>
      </c>
      <c r="F11" s="32" t="inlineStr">
        <is>
          <t>package</t>
        </is>
      </c>
      <c r="G11" s="32" t="inlineStr">
        <is>
          <t>../test/package/package.test.mjs; ../test/package/ssr.test.mjs</t>
        </is>
      </c>
      <c r="H11" s="32" t="inlineStr">
        <is>
          <t>tested</t>
        </is>
      </c>
      <c r="I11" s="32" t="inlineStr">
        <is>
          <t>no</t>
        </is>
      </c>
      <c r="J11" s="42" t="n">
        <v>46262</v>
      </c>
      <c r="L11" s="32" t="n">
        <v>1</v>
      </c>
      <c r="M11" s="32">
        <f>IF(OR(AND(I11="yes",H11="verified"),AND(I11="no",OR(H11="tested",H11="verified")),AND(H11="not applicable",K11&lt;&gt;"")),1,0)</f>
        <v/>
      </c>
    </row>
    <row r="12" ht="42" customHeight="1" s="34">
      <c r="A12" s="32" t="inlineStr">
        <is>
          <t>CP-04</t>
        </is>
      </c>
      <c r="B12" s="32" t="inlineStr">
        <is>
          <t>Types</t>
        </is>
      </c>
      <c r="C12" s="32" t="inlineStr">
        <is>
          <t>Root / parts</t>
        </is>
      </c>
      <c r="D12" s="32" t="inlineStr">
        <is>
          <t>Closed size and variant recipes, required values, native prop collisions, callbacks, composition, and refs type-check.</t>
        </is>
      </c>
      <c r="E12" s="32" t="inlineStr">
        <is>
          <t>package</t>
        </is>
      </c>
      <c r="F12" s="32" t="inlineStr">
        <is>
          <t>types</t>
        </is>
      </c>
      <c r="G12" s="32" t="inlineStr">
        <is>
          <t>../test/types/components/color-picker.test.ts</t>
        </is>
      </c>
      <c r="H12" s="32" t="inlineStr">
        <is>
          <t>tested</t>
        </is>
      </c>
      <c r="I12" s="32" t="inlineStr">
        <is>
          <t>no</t>
        </is>
      </c>
      <c r="J12" s="42" t="n">
        <v>46262</v>
      </c>
      <c r="L12" s="32" t="n">
        <v>1</v>
      </c>
      <c r="M12" s="32">
        <f>IF(OR(AND(I12="yes",H12="verified"),AND(I12="no",OR(H12="tested",H12="verified")),AND(H12="not applicable",K12&lt;&gt;"")),1,0)</f>
        <v/>
      </c>
    </row>
    <row r="13" ht="42" customHeight="1" s="34">
      <c r="A13" s="32" t="inlineStr">
        <is>
          <t>CP-05</t>
        </is>
      </c>
      <c r="B13" s="32" t="inlineStr">
        <is>
          <t>CSS</t>
        </is>
      </c>
      <c r="C13" s="32" t="inlineStr">
        <is>
          <t>All styled parts</t>
        </is>
      </c>
      <c r="D13" s="32" t="inlineStr">
        <is>
          <t>Static CSS ships shared geometry, outline and soft recipes, focus, invalid, disabled, read-only, selected, floating, forced-color, and reduced-motion hooks.</t>
        </is>
      </c>
      <c r="E13" s="32" t="inlineStr">
        <is>
          <t>package</t>
        </is>
      </c>
      <c r="F13" s="32" t="inlineStr">
        <is>
          <t>css</t>
        </is>
      </c>
      <c r="G13" s="32" t="inlineStr">
        <is>
          <t>../src/components/color-picker/color-picker.css</t>
        </is>
      </c>
      <c r="H13" s="32" t="inlineStr">
        <is>
          <t>tested</t>
        </is>
      </c>
      <c r="I13" s="32" t="inlineStr">
        <is>
          <t>no</t>
        </is>
      </c>
      <c r="J13" s="42" t="n">
        <v>46262</v>
      </c>
      <c r="L13" s="32" t="n">
        <v>1</v>
      </c>
      <c r="M13" s="32">
        <f>IF(OR(AND(I13="yes",H13="verified"),AND(I13="no",OR(H13="tested",H13="verified")),AND(H13="not applicable",K13&lt;&gt;"")),1,0)</f>
        <v/>
      </c>
    </row>
    <row r="14" ht="42" customHeight="1" s="34">
      <c r="A14" s="32" t="inlineStr">
        <is>
          <t>CP-06</t>
        </is>
      </c>
      <c r="B14" s="32" t="inlineStr">
        <is>
          <t>Value</t>
        </is>
      </c>
      <c r="C14" s="32" t="inlineStr">
        <is>
          <t>Input / NativeInput / SwatchTrigger</t>
        </is>
      </c>
      <c r="D14" s="32" t="inlineStr">
        <is>
          <t>Text, native chooser, and named presets update one normalized opaque hexadecimal value while invalid drafts revert.</t>
        </is>
      </c>
      <c r="E14" s="32" t="inlineStr">
        <is>
          <t>package</t>
        </is>
      </c>
      <c r="F14" s="32" t="inlineStr">
        <is>
          <t>browser</t>
        </is>
      </c>
      <c r="G14" s="32" t="inlineStr">
        <is>
          <t>tests/components/color-picker/behavior.spec.ts</t>
        </is>
      </c>
      <c r="H14" s="32" t="inlineStr">
        <is>
          <t>tested</t>
        </is>
      </c>
      <c r="I14" s="32" t="inlineStr">
        <is>
          <t>no</t>
        </is>
      </c>
      <c r="J14" s="42" t="n">
        <v>46262</v>
      </c>
      <c r="L14" s="32" t="n">
        <v>1</v>
      </c>
      <c r="M14" s="32">
        <f>IF(OR(AND(I14="yes",H14="verified"),AND(I14="no",OR(H14="tested",H14="verified")),AND(H14="not applicable",K14&lt;&gt;"")),1,0)</f>
        <v/>
      </c>
    </row>
    <row r="15" ht="42" customHeight="1" s="34">
      <c r="A15" s="32" t="inlineStr">
        <is>
          <t>CP-07</t>
        </is>
      </c>
      <c r="B15" s="32" t="inlineStr">
        <is>
          <t>Forms</t>
        </is>
      </c>
      <c r="C15" s="32" t="inlineStr">
        <is>
          <t>Root / HiddenInput</t>
        </is>
      </c>
      <c r="D15" s="32" t="inlineStr">
        <is>
          <t>One named hidden successful control submits and resets the authored default without duplicating form ownership.</t>
        </is>
      </c>
      <c r="E15" s="32" t="inlineStr">
        <is>
          <t>package</t>
        </is>
      </c>
      <c r="F15" s="32" t="inlineStr">
        <is>
          <t>browser</t>
        </is>
      </c>
      <c r="G15" s="32" t="inlineStr">
        <is>
          <t>tests/components/color-picker/behavior.spec.ts</t>
        </is>
      </c>
      <c r="H15" s="32" t="inlineStr">
        <is>
          <t>tested</t>
        </is>
      </c>
      <c r="I15" s="32" t="inlineStr">
        <is>
          <t>no</t>
        </is>
      </c>
      <c r="J15" s="42" t="n">
        <v>46262</v>
      </c>
      <c r="L15" s="32" t="n">
        <v>1</v>
      </c>
      <c r="M15" s="32">
        <f>IF(OR(AND(I15="yes",H15="verified"),AND(I15="no",OR(H15="tested",H15="verified")),AND(H15="not applicable",K15&lt;&gt;"")),1,0)</f>
        <v/>
      </c>
    </row>
    <row r="16" ht="42" customHeight="1" s="34">
      <c r="A16" s="32" t="inlineStr">
        <is>
          <t>CP-08</t>
        </is>
      </c>
      <c r="B16" s="32" t="inlineStr">
        <is>
          <t>Popover</t>
        </is>
      </c>
      <c r="C16" s="32" t="inlineStr">
        <is>
          <t>Trigger / Content</t>
        </is>
      </c>
      <c r="D16" s="32" t="inlineStr">
        <is>
          <t>Optional floating content opens, dismisses with Escape, restores trigger focus, and remains available for read-only inspection.</t>
        </is>
      </c>
      <c r="E16" s="32" t="inlineStr">
        <is>
          <t>package</t>
        </is>
      </c>
      <c r="F16" s="32" t="inlineStr">
        <is>
          <t>browser</t>
        </is>
      </c>
      <c r="G16" s="32" t="inlineStr">
        <is>
          <t>tests/components/color-picker/behavior.spec.ts</t>
        </is>
      </c>
      <c r="H16" s="32" t="inlineStr">
        <is>
          <t>tested</t>
        </is>
      </c>
      <c r="I16" s="32" t="inlineStr">
        <is>
          <t>no</t>
        </is>
      </c>
      <c r="J16" s="42" t="n">
        <v>46262</v>
      </c>
      <c r="L16" s="32" t="n">
        <v>1</v>
      </c>
      <c r="M16" s="32">
        <f>IF(OR(AND(I16="yes",H16="verified"),AND(I16="no",OR(H16="tested",H16="verified")),AND(H16="not applicable",K16&lt;&gt;"")),1,0)</f>
        <v/>
      </c>
    </row>
    <row r="17" ht="42" customHeight="1" s="34">
      <c r="A17" s="32" t="inlineStr">
        <is>
          <t>CP-09</t>
        </is>
      </c>
      <c r="B17" s="32" t="inlineStr">
        <is>
          <t>States</t>
        </is>
      </c>
      <c r="C17" s="32" t="inlineStr">
        <is>
          <t>All parts</t>
        </is>
      </c>
      <c r="D17" s="32" t="inlineStr">
        <is>
          <t>Disabled blocks interaction, read-only blocks mutation without blocking inspection, and invalid and required state remain exposed and visible.</t>
        </is>
      </c>
      <c r="E17" s="32" t="inlineStr">
        <is>
          <t>package</t>
        </is>
      </c>
      <c r="F17" s="32" t="inlineStr">
        <is>
          <t>component</t>
        </is>
      </c>
      <c r="G17" s="32" t="inlineStr">
        <is>
          <t>../test/components/color-picker/color-picker.test.tsx; tests/components/color-picker/behavior.spec.ts</t>
        </is>
      </c>
      <c r="H17" s="32" t="inlineStr">
        <is>
          <t>tested</t>
        </is>
      </c>
      <c r="I17" s="32" t="inlineStr">
        <is>
          <t>no</t>
        </is>
      </c>
      <c r="J17" s="60" t="n">
        <v>46262</v>
      </c>
      <c r="L17" s="32" t="n">
        <v>1</v>
      </c>
      <c r="M17" s="32">
        <f>IF(OR(AND(I17="yes",H17="verified"),AND(I17="no",OR(H17="tested",H17="verified")),AND(H17="not applicable",K17&lt;&gt;"")),1,0)</f>
        <v/>
      </c>
    </row>
    <row r="18" ht="42" customHeight="1" s="34">
      <c r="A18" s="32" t="inlineStr">
        <is>
          <t>CP-10</t>
        </is>
      </c>
      <c r="B18" s="32" t="inlineStr">
        <is>
          <t>Accessibility</t>
        </is>
      </c>
      <c r="C18" s="32" t="inlineStr">
        <is>
          <t>All parts</t>
        </is>
      </c>
      <c r="D18" s="32" t="inlineStr">
        <is>
          <t>Persistent labels, native chooser names, named pressed presets, focus restoration, and the focused route pass accessibility checks without color-only meaning.</t>
        </is>
      </c>
      <c r="E18" s="32" t="inlineStr">
        <is>
          <t>package</t>
        </is>
      </c>
      <c r="F18" s="32" t="inlineStr">
        <is>
          <t>axe</t>
        </is>
      </c>
      <c r="G18" s="32" t="inlineStr">
        <is>
          <t>tests/components/color-picker/behavior.spec.ts</t>
        </is>
      </c>
      <c r="H18" s="32" t="inlineStr">
        <is>
          <t>tested</t>
        </is>
      </c>
      <c r="I18" s="32" t="inlineStr">
        <is>
          <t>no</t>
        </is>
      </c>
      <c r="J18" s="60" t="n">
        <v>46262</v>
      </c>
      <c r="L18" s="32" t="n">
        <v>1</v>
      </c>
      <c r="M18" s="32">
        <f>IF(OR(AND(I18="yes",H18="verified"),AND(I18="no",OR(H18="tested",H18="verified")),AND(H18="not applicable",K18&lt;&gt;"")),1,0)</f>
        <v/>
      </c>
    </row>
    <row r="19" ht="42" customHeight="1" s="34">
      <c r="A19" s="32" t="inlineStr">
        <is>
          <t>CP-11</t>
        </is>
      </c>
      <c r="B19" s="32" t="inlineStr">
        <is>
          <t>Responsive</t>
        </is>
      </c>
      <c r="C19" s="32" t="inlineStr">
        <is>
          <t>Root / Control / Content</t>
        </is>
      </c>
      <c r="D19" s="32" t="inlineStr">
        <is>
          <t>Narrow and RTL compositions remain contained and logical while long localized labels and controls remain reachable.</t>
        </is>
      </c>
      <c r="E19" s="32" t="inlineStr">
        <is>
          <t>package</t>
        </is>
      </c>
      <c r="F19" s="32" t="inlineStr">
        <is>
          <t>browser</t>
        </is>
      </c>
      <c r="G19" s="32" t="inlineStr">
        <is>
          <t>tests/components/color-picker/behavior.spec.ts; tests/components/color-picker/visual.spec.ts</t>
        </is>
      </c>
      <c r="H19" s="32" t="inlineStr">
        <is>
          <t>tested</t>
        </is>
      </c>
      <c r="I19" s="32" t="inlineStr">
        <is>
          <t>no</t>
        </is>
      </c>
      <c r="J19" s="42" t="n">
        <v>46262</v>
      </c>
      <c r="L19" s="32" t="n">
        <v>1</v>
      </c>
      <c r="M19" s="32">
        <f>IF(OR(AND(I19="yes",H19="verified"),AND(I19="no",OR(H19="tested",H19="verified")),AND(H19="not applicable",K19&lt;&gt;"")),1,0)</f>
        <v/>
      </c>
    </row>
    <row r="20" ht="42" customHeight="1" s="34">
      <c r="A20" s="32" t="inlineStr">
        <is>
          <t>CP-12</t>
        </is>
      </c>
      <c r="B20" s="32" t="inlineStr">
        <is>
          <t>Appearance</t>
        </is>
      </c>
      <c r="C20" s="32" t="inlineStr">
        <is>
          <t>All styled parts</t>
        </is>
      </c>
      <c r="D20" s="32" t="inlineStr">
        <is>
          <t>Light, dark, forced-color, focus, selected, invalid, and floating-surface paint remain distinguishable.</t>
        </is>
      </c>
      <c r="E20" s="32" t="inlineStr">
        <is>
          <t>package</t>
        </is>
      </c>
      <c r="F20" s="32" t="inlineStr">
        <is>
          <t>visual</t>
        </is>
      </c>
      <c r="G20" s="32" t="inlineStr">
        <is>
          <t>tests/components/color-picker/visual.spec.ts</t>
        </is>
      </c>
      <c r="H20" s="32" t="inlineStr">
        <is>
          <t>verified</t>
        </is>
      </c>
      <c r="I20" s="32" t="inlineStr">
        <is>
          <t>yes</t>
        </is>
      </c>
      <c r="J20" s="60" t="n">
        <v>46262</v>
      </c>
      <c r="K20" s="32" t="inlineStr">
        <is>
          <t>Owner reviewed all four Color Picker Chromium baselines on August 28, 2026.</t>
        </is>
      </c>
      <c r="L20" s="32" t="n">
        <v>1</v>
      </c>
      <c r="M20" s="32">
        <f>IF(OR(AND(I20="yes",H20="verified"),AND(I20="no",OR(H20="tested",H20="verified")),AND(H20="not applicable",K20&lt;&gt;"")),1,0)</f>
        <v/>
      </c>
    </row>
    <row r="21" ht="42" customHeight="1" s="34">
      <c r="A21" s="32" t="inlineStr">
        <is>
          <t>CP-13</t>
        </is>
      </c>
      <c r="B21" s="32" t="inlineStr">
        <is>
          <t>Visual</t>
        </is>
      </c>
      <c r="C21" s="32" t="inlineStr">
        <is>
          <t>All parts</t>
        </is>
      </c>
      <c r="D21" s="32" t="inlineStr">
        <is>
          <t>Risk-selected overview, open presets, recipes, narrow RTL, and forced-color states retain the adopted finished hierarchy and geometry.</t>
        </is>
      </c>
      <c r="E21" s="32" t="inlineStr">
        <is>
          <t>package</t>
        </is>
      </c>
      <c r="F21" s="32" t="inlineStr">
        <is>
          <t>visual</t>
        </is>
      </c>
      <c r="G21" s="32" t="inlineStr">
        <is>
          <t>tests/components/color-picker/visual.spec.ts</t>
        </is>
      </c>
      <c r="H21" s="32" t="inlineStr">
        <is>
          <t>verified</t>
        </is>
      </c>
      <c r="I21" s="32" t="inlineStr">
        <is>
          <t>yes</t>
        </is>
      </c>
      <c r="J21" s="42" t="n">
        <v>46262</v>
      </c>
      <c r="K21" s="32" t="inlineStr">
        <is>
          <t>Owner reviewed all four Color Picker Chromium baselines on August 28, 2026.</t>
        </is>
      </c>
      <c r="L21" s="32" t="n">
        <v>1</v>
      </c>
      <c r="M21" s="32">
        <f>IF(OR(AND(I21="yes",H21="verified"),AND(I21="no",OR(H21="tested",H21="verified")),AND(H21="not applicable",K21&lt;&gt;"")),1,0)</f>
        <v/>
      </c>
    </row>
    <row r="22" ht="42" customHeight="1" s="34">
      <c r="A22" s="32" t="inlineStr">
        <is>
          <t>CP-14</t>
        </is>
      </c>
      <c r="B22" s="32" t="inlineStr">
        <is>
          <t>Customization</t>
        </is>
      </c>
      <c r="C22" s="32" t="inlineStr">
        <is>
          <t>Root / parts</t>
        </is>
      </c>
      <c r="D22" s="32" t="inlineStr">
        <is>
          <t>Documented classes, slots, size and variant attributes, and component variables customize presentation without changing Atom behavior.</t>
        </is>
      </c>
      <c r="E22" s="32" t="inlineStr">
        <is>
          <t>package</t>
        </is>
      </c>
      <c r="F22" s="32" t="inlineStr">
        <is>
          <t>docs</t>
        </is>
      </c>
      <c r="G22" s="32" t="inlineStr">
        <is>
          <t>../docs/components/color-picker/README.md; ../scripts/component-documentation-contracts.mjs</t>
        </is>
      </c>
      <c r="H22" s="32" t="inlineStr">
        <is>
          <t>tested</t>
        </is>
      </c>
      <c r="I22" s="32" t="inlineStr">
        <is>
          <t>no</t>
        </is>
      </c>
      <c r="J22" s="42" t="n">
        <v>46262</v>
      </c>
      <c r="L22" s="32" t="n">
        <v>1</v>
      </c>
      <c r="M22" s="32">
        <f>IF(OR(AND(I22="yes",H22="verified"),AND(I22="no",OR(H22="tested",H22="verified")),AND(H22="not applicable",K22&lt;&gt;"")),1,0)</f>
        <v/>
      </c>
    </row>
    <row r="23" ht="42" customHeight="1" s="34">
      <c r="A23" s="32" t="inlineStr">
        <is>
          <t>CP-15</t>
        </is>
      </c>
      <c r="B23" s="32" t="inlineStr">
        <is>
          <t>Agent Knowledge</t>
        </is>
      </c>
      <c r="C23" s="32" t="inlineStr">
        <is>
          <t>ColorPicker</t>
        </is>
      </c>
      <c r="D23" s="32" t="inlineStr">
        <is>
          <t>Machine and Markdown guidance route editable selection to Color Picker, passive preview to Color Swatch, and preserve naming, form, hexadecimal, and CSS requirements.</t>
        </is>
      </c>
      <c r="E23" s="32" t="inlineStr">
        <is>
          <t>package</t>
        </is>
      </c>
      <c r="F23" s="32" t="inlineStr">
        <is>
          <t>agents</t>
        </is>
      </c>
      <c r="G23" s="32" t="inlineStr">
        <is>
          <t>../src/components/color-picker/agent.json; ../agents/guides/layer-selection/agent.json</t>
        </is>
      </c>
      <c r="H23" s="32" t="inlineStr">
        <is>
          <t>tested</t>
        </is>
      </c>
      <c r="I23" s="32" t="inlineStr">
        <is>
          <t>no</t>
        </is>
      </c>
      <c r="J23" s="42" t="n">
        <v>46262</v>
      </c>
      <c r="L23" s="32" t="n">
        <v>1</v>
      </c>
      <c r="M23" s="32">
        <f>IF(OR(AND(I23="yes",H23="verified"),AND(I23="no",OR(H23="tested",H23="verified")),AND(H23="not applicable",K23&lt;&gt;"")),1,0)</f>
        <v/>
      </c>
    </row>
    <row r="24" ht="42" customHeight="1" s="34">
      <c r="A24" s="32" t="inlineStr">
        <is>
          <t>CP-16</t>
        </is>
      </c>
      <c r="B24" s="32" t="inlineStr">
        <is>
          <t>Documentation</t>
        </is>
      </c>
      <c r="C24" s="32" t="inlineStr">
        <is>
          <t>ColorPicker</t>
        </is>
      </c>
      <c r="D24" s="32" t="inlineStr">
        <is>
          <t>Public purpose, API, anatomy, recipes, accessibility, composition, exclusions, evidence, and exact Atom boundary pass documentation gates.</t>
        </is>
      </c>
      <c r="E24" s="32" t="inlineStr">
        <is>
          <t>package</t>
        </is>
      </c>
      <c r="F24" s="32" t="inlineStr">
        <is>
          <t>docs</t>
        </is>
      </c>
      <c r="G24" s="32" t="inlineStr">
        <is>
          <t>../docs/components/color-picker/README.md</t>
        </is>
      </c>
      <c r="H24" s="32" t="inlineStr">
        <is>
          <t>tested</t>
        </is>
      </c>
      <c r="I24" s="32" t="inlineStr">
        <is>
          <t>no</t>
        </is>
      </c>
      <c r="J24" s="42" t="n">
        <v>46262</v>
      </c>
      <c r="L24" s="32" t="n">
        <v>1</v>
      </c>
      <c r="M24" s="32">
        <f>IF(OR(AND(I24="yes",H24="verified"),AND(I24="no",OR(H24="tested",H24="verified")),AND(H24="not applicable",K24&lt;&gt;"")),1,0)</f>
        <v/>
      </c>
    </row>
    <row r="25" ht="42" customHeight="1" s="34">
      <c r="A25" s="32" t="inlineStr">
        <is>
          <t>CP-17</t>
        </is>
      </c>
      <c r="B25" s="32" t="inlineStr">
        <is>
          <t>Changelog</t>
        </is>
      </c>
      <c r="C25" s="32" t="inlineStr">
        <is>
          <t>ColorPicker</t>
        </is>
      </c>
      <c r="D25" s="32" t="inlineStr">
        <is>
          <t>The component and package changelogs record the complete release-facing addition without private implementation history.</t>
        </is>
      </c>
      <c r="E25" s="32" t="inlineStr">
        <is>
          <t>package</t>
        </is>
      </c>
      <c r="F25" s="32" t="inlineStr">
        <is>
          <t>docs</t>
        </is>
      </c>
      <c r="G25" s="32" t="inlineStr">
        <is>
          <t>../docs/components/color-picker/CHANGELOG.md; ../CHANGELOG.md</t>
        </is>
      </c>
      <c r="H25" s="32" t="inlineStr">
        <is>
          <t>tested</t>
        </is>
      </c>
      <c r="I25" s="32" t="inlineStr">
        <is>
          <t>no</t>
        </is>
      </c>
      <c r="J25" s="42" t="n">
        <v>46262</v>
      </c>
      <c r="L25" s="32" t="n">
        <v>1</v>
      </c>
      <c r="M25" s="32">
        <f>IF(OR(AND(I25="yes",H25="verified"),AND(I25="no",OR(H25="tested",H25="verified")),AND(H25="not applicable",K25&lt;&gt;"")),1,0)</f>
        <v/>
      </c>
    </row>
    <row r="26" ht="42" customHeight="1" s="34">
      <c r="A26" s="32" t="inlineStr">
        <is>
          <t>CP-18</t>
        </is>
      </c>
      <c r="B26" s="32" t="inlineStr">
        <is>
          <t>Consumer</t>
        </is>
      </c>
      <c r="C26" s="32" t="inlineStr">
        <is>
          <t>ColorPicker</t>
        </is>
      </c>
      <c r="D26" s="32" t="inlineStr">
        <is>
          <t>The packed standalone Consumer imports the public subpath and exercises a realistic color-preference form composition.</t>
        </is>
      </c>
      <c r="E26" s="32" t="inlineStr">
        <is>
          <t>consumer</t>
        </is>
      </c>
      <c r="F26" s="32" t="inlineStr">
        <is>
          <t>consumer</t>
        </is>
      </c>
      <c r="G26" s="32" t="inlineStr">
        <is>
          <t>../apps/consumer/src/App.tsx; ../apps/consumer/tests/consumer.spec.ts</t>
        </is>
      </c>
      <c r="H26" s="32" t="inlineStr">
        <is>
          <t>tested</t>
        </is>
      </c>
      <c r="I26" s="32" t="inlineStr">
        <is>
          <t>no</t>
        </is>
      </c>
      <c r="J26" s="42" t="n">
        <v>46262</v>
      </c>
      <c r="L26" s="32" t="n">
        <v>1</v>
      </c>
      <c r="M26" s="32">
        <f>IF(OR(AND(I26="yes",H26="verified"),AND(I26="no",OR(H26="tested",H26="verified")),AND(H26="not applicable",K26&lt;&gt;"")),1,0)</f>
        <v/>
      </c>
    </row>
    <row r="27" ht="42" customHeight="1" s="34">
      <c r="A27" s="32" t="inlineStr">
        <is>
          <t>CP-19</t>
        </is>
      </c>
      <c r="B27" s="32" t="inlineStr">
        <is>
          <t>Package</t>
        </is>
      </c>
      <c r="C27" s="32" t="inlineStr">
        <is>
          <t>ColorPicker</t>
        </is>
      </c>
      <c r="D27" s="32" t="inlineStr">
        <is>
          <t>Build, SSR, exports, declarations, modular CSS, tarball, exact Atom dependency, and clean React consumers pass the package boundary.</t>
        </is>
      </c>
      <c r="E27" s="32" t="inlineStr">
        <is>
          <t>package</t>
        </is>
      </c>
      <c r="F27" s="32" t="inlineStr">
        <is>
          <t>package</t>
        </is>
      </c>
      <c r="G27" s="32" t="inlineStr">
        <is>
          <t>../test/package/package.test.mjs; ../test/package/ssr.test.mjs; ../scripts/verify-consumers.mjs</t>
        </is>
      </c>
      <c r="H27" s="32" t="inlineStr">
        <is>
          <t>tested</t>
        </is>
      </c>
      <c r="I27" s="32" t="inlineStr">
        <is>
          <t>no</t>
        </is>
      </c>
      <c r="J27" s="42" t="n">
        <v>46262</v>
      </c>
      <c r="K27" s="32" t="inlineStr">
        <is>
          <t>Verified against installed published Atom 0.24.0.</t>
        </is>
      </c>
      <c r="L27" s="32" t="n">
        <v>1</v>
      </c>
      <c r="M27" s="32">
        <f>IF(OR(AND(I27="yes",H27="verified"),AND(I27="no",OR(H27="tested",H27="verified")),AND(H27="not applicable",K27&lt;&gt;"")),1,0)</f>
        <v/>
      </c>
    </row>
    <row r="28" ht="42" customHeight="1" s="34">
      <c r="A28" s="32" t="inlineStr">
        <is>
          <t>CP-20</t>
        </is>
      </c>
      <c r="B28" s="32" t="inlineStr">
        <is>
          <t>Manual</t>
        </is>
      </c>
      <c r="C28" s="32" t="inlineStr">
        <is>
          <t>All parts</t>
        </is>
      </c>
      <c r="D28" s="32" t="inlineStr">
        <is>
          <t>The numbered component-owned protocol covers visual finish, keyboard, touch, assistive technology, preferences, zoom, RTL, content stress, form, and Popover review.</t>
        </is>
      </c>
      <c r="E28" s="32" t="inlineStr">
        <is>
          <t>package</t>
        </is>
      </c>
      <c r="F28" s="32" t="inlineStr">
        <is>
          <t>manual</t>
        </is>
      </c>
      <c r="G28" s="32" t="inlineStr">
        <is>
          <t>manual-tests/color-picker.md</t>
        </is>
      </c>
      <c r="H28" s="32" t="inlineStr">
        <is>
          <t>not started</t>
        </is>
      </c>
      <c r="I28" s="32" t="inlineStr">
        <is>
          <t>yes</t>
        </is>
      </c>
      <c r="K28" s="32" t="inlineStr">
        <is>
          <t>No completed physical-device or assistive-technology run is recorded.</t>
        </is>
      </c>
      <c r="L28" s="32" t="n">
        <v>1</v>
      </c>
      <c r="M28" s="32">
        <f>IF(OR(AND(I28="yes",H28="verified"),AND(I28="no",OR(H28="tested",H28="verified")),AND(H28="not applicable",K28&lt;&gt;"")),1,0)</f>
        <v/>
      </c>
    </row>
  </sheetData>
  <mergeCells count="2">
    <mergeCell ref="A2:M2"/>
    <mergeCell ref="A1:M1"/>
  </mergeCells>
  <conditionalFormatting sqref="H9:H28">
    <cfRule type="containsText" rank="0" priority="2" equalAverage="0" operator="containsText" aboveAverage="0" dxfId="6" text="not started" percent="0" bottom="0">
      <formula>NOT(ISERROR(SEARCH("not started",H9)))</formula>
    </cfRule>
    <cfRule type="containsText" rank="0" priority="3" equalAverage="0" operator="containsText" aboveAverage="0" dxfId="7" text="partial" percent="0" bottom="0">
      <formula>NOT(ISERROR(SEARCH("partial",H9)))</formula>
    </cfRule>
    <cfRule type="containsText" rank="0" priority="4" equalAverage="0" operator="containsText" aboveAverage="0" dxfId="8" text="implemented" percent="0" bottom="0">
      <formula>NOT(ISERROR(SEARCH("implemented",H9)))</formula>
    </cfRule>
    <cfRule type="containsText" rank="0" priority="5" equalAverage="0" operator="containsText" aboveAverage="0" dxfId="9" text="tested" percent="0" bottom="0">
      <formula>NOT(ISERROR(SEARCH("tested",H9)))</formula>
    </cfRule>
    <cfRule type="containsText" rank="0" priority="6" equalAverage="0" operator="containsText" aboveAverage="0" dxfId="4" text="verified" percent="0" bottom="0">
      <formula>NOT(ISERROR(SEARCH("verified",H9)))</formula>
    </cfRule>
    <cfRule type="containsText" rank="0" priority="7" equalAverage="0" operator="containsText" aboveAverage="0" dxfId="10" text="blocked" percent="0" bottom="0">
      <formula>NOT(ISERROR(SEARCH("blocked",H9)))</formula>
    </cfRule>
    <cfRule type="containsText" rank="0" priority="8" equalAverage="0" operator="containsText" aboveAverage="0" dxfId="6" text="not applicable" percent="0" bottom="0">
      <formula>NOT(ISERROR(SEARCH("not applicable",H9)))</formula>
    </cfRule>
  </conditionalFormatting>
  <dataValidations count="2">
    <dataValidation sqref="H9:H28" showDropDown="0" showInputMessage="0" showErrorMessage="0" allowBlank="0" type="list" errorStyle="stop" operator="between">
      <formula1>"not started,partial,implemented,tested,verified,blocked,not applicable"</formula1>
      <formula2>0</formula2>
    </dataValidation>
    <dataValidation sqref="I9:I28" showDropDown="0" showInputMessage="0" showErrorMessage="0" allowBlank="0"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3.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Em Evidence</t>
        </is>
      </c>
      <c r="B1" s="62" t="n"/>
      <c r="C1" s="62" t="n"/>
      <c r="D1" s="62" t="n"/>
      <c r="E1" s="62" t="n"/>
      <c r="F1" s="62" t="n"/>
      <c r="G1" s="62" t="n"/>
      <c r="H1" s="62" t="n"/>
      <c r="I1" s="62" t="n"/>
      <c r="J1" s="62" t="n"/>
      <c r="K1" s="62" t="n"/>
      <c r="L1" s="62" t="n"/>
      <c r="M1" s="62" t="n"/>
    </row>
    <row r="2" ht="27.75" customHeight="1" s="34">
      <c r="A2" s="50" t="inlineStr">
        <is>
          <t>Assertion-level native emphasis, inheritance,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EM-01</t>
        </is>
      </c>
      <c r="B9" s="54" t="inlineStr">
        <is>
          <t>Implementation</t>
        </is>
      </c>
      <c r="C9" s="54" t="inlineStr">
        <is>
          <t>Em</t>
        </is>
      </c>
      <c r="D9" s="54" t="inlineStr">
        <is>
          <t>The public Em owner and its approved native anatomy are implemented.</t>
        </is>
      </c>
      <c r="E9" s="54" t="inlineStr">
        <is>
          <t>package</t>
        </is>
      </c>
      <c r="F9" s="54" t="inlineStr">
        <is>
          <t>source</t>
        </is>
      </c>
      <c r="G9" s="54" t="inlineStr">
        <is>
          <t>../src/components/em</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EM-02</t>
        </is>
      </c>
      <c r="B10" s="54" t="inlineStr">
        <is>
          <t>Ownership</t>
        </is>
      </c>
      <c r="C10" s="54" t="inlineStr">
        <is>
          <t>Em</t>
        </is>
      </c>
      <c r="D10" s="54" t="inlineStr">
        <is>
          <t>Native emphasis inherits surrounding typography and adds no unsupported variant system.</t>
        </is>
      </c>
      <c r="E10" s="54" t="inlineStr">
        <is>
          <t>package</t>
        </is>
      </c>
      <c r="F10" s="54" t="inlineStr">
        <is>
          <t>component</t>
        </is>
      </c>
      <c r="G10" s="54" t="inlineStr">
        <is>
          <t>../test/components/em/em.test.tsx; ../docs/components/em/README.md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EM-03</t>
        </is>
      </c>
      <c r="B11" s="54" t="inlineStr">
        <is>
          <t>Exports</t>
        </is>
      </c>
      <c r="C11" s="54" t="inlineStr">
        <is>
          <t>Em</t>
        </is>
      </c>
      <c r="D11" s="54" t="inlineStr">
        <is>
          <t>Root and public Em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EM-04</t>
        </is>
      </c>
      <c r="B12" s="54" t="inlineStr">
        <is>
          <t>Types</t>
        </is>
      </c>
      <c r="C12" s="54" t="inlineStr">
        <is>
          <t>Em</t>
        </is>
      </c>
      <c r="D12" s="54" t="inlineStr">
        <is>
          <t>Native attributes, recipes, composition branches, and ref contracts type-check.</t>
        </is>
      </c>
      <c r="E12" s="54" t="inlineStr">
        <is>
          <t>package</t>
        </is>
      </c>
      <c r="F12" s="54" t="inlineStr">
        <is>
          <t>types</t>
        </is>
      </c>
      <c r="G12" s="54" t="inlineStr">
        <is>
          <t>../test/types/components/em.test.ts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EM-05</t>
        </is>
      </c>
      <c r="B13" s="54" t="inlineStr">
        <is>
          <t>CSS</t>
        </is>
      </c>
      <c r="C13" s="54" t="inlineStr">
        <is>
          <t>Em</t>
        </is>
      </c>
      <c r="D13" s="54" t="inlineStr">
        <is>
          <t>Static CSS ships the approved recipes, tokens, states, preferences, and public hooks.</t>
        </is>
      </c>
      <c r="E13" s="54" t="inlineStr">
        <is>
          <t>package</t>
        </is>
      </c>
      <c r="F13" s="54" t="inlineStr">
        <is>
          <t>css</t>
        </is>
      </c>
      <c r="G13" s="54" t="inlineStr">
        <is>
          <t>../src/components/em/em.css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EM-06</t>
        </is>
      </c>
      <c r="B14" s="54" t="inlineStr">
        <is>
          <t>Unit</t>
        </is>
      </c>
      <c r="C14" s="54" t="inlineStr">
        <is>
          <t>Em</t>
        </is>
      </c>
      <c r="D14" s="54" t="inlineStr">
        <is>
          <t>Native em output, inherited typography, refs, classes, styles, and native forwarding pass.</t>
        </is>
      </c>
      <c r="E14" s="54" t="inlineStr">
        <is>
          <t>package</t>
        </is>
      </c>
      <c r="F14" s="54" t="inlineStr">
        <is>
          <t>component</t>
        </is>
      </c>
      <c r="G14" s="54" t="inlineStr">
        <is>
          <t>../test/components/em/em.test.tsx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EM-07</t>
        </is>
      </c>
      <c r="B15" s="54" t="inlineStr">
        <is>
          <t>Browser</t>
        </is>
      </c>
      <c r="C15" s="54" t="inlineStr">
        <is>
          <t>Em</t>
        </is>
      </c>
      <c r="D15" s="54" t="inlineStr">
        <is>
          <t>Semantic output, prose inheritance, native attributes, text spacing, zoom, RTL, and reflow pass.</t>
        </is>
      </c>
      <c r="E15" s="54" t="inlineStr">
        <is>
          <t>package</t>
        </is>
      </c>
      <c r="F15" s="54" t="inlineStr">
        <is>
          <t>browser</t>
        </is>
      </c>
      <c r="G15" s="54" t="inlineStr">
        <is>
          <t>tests/components/em/behavior.spec.ts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EM-08</t>
        </is>
      </c>
      <c r="B16" s="54" t="inlineStr">
        <is>
          <t>Accessibility</t>
        </is>
      </c>
      <c r="C16" s="54" t="inlineStr">
        <is>
          <t>Em</t>
        </is>
      </c>
      <c r="D16" s="54" t="inlineStr">
        <is>
          <t>Native emphasis semantics, readable contrast, text spacing, and axe pass.</t>
        </is>
      </c>
      <c r="E16" s="54" t="inlineStr">
        <is>
          <t>package</t>
        </is>
      </c>
      <c r="F16" s="54" t="inlineStr">
        <is>
          <t>axe</t>
        </is>
      </c>
      <c r="G16" s="54" t="inlineStr">
        <is>
          <t>tests/components/em/behavior.spec.ts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EM-09</t>
        </is>
      </c>
      <c r="B17" s="54" t="inlineStr">
        <is>
          <t>Visual</t>
        </is>
      </c>
      <c r="C17" s="54" t="inlineStr">
        <is>
          <t>Em</t>
        </is>
      </c>
      <c r="D17" s="54" t="inlineStr">
        <is>
          <t>Prose contexts, native output, customization, light, dark, forced colors, and mobile own baselines.</t>
        </is>
      </c>
      <c r="E17" s="54" t="inlineStr">
        <is>
          <t>package</t>
        </is>
      </c>
      <c r="F17" s="54" t="inlineStr">
        <is>
          <t>visual</t>
        </is>
      </c>
      <c r="G17" s="54" t="inlineStr">
        <is>
          <t>tests/components/em/visual.spec.ts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EM-10</t>
        </is>
      </c>
      <c r="B18" s="54" t="inlineStr">
        <is>
          <t>Responsive</t>
        </is>
      </c>
      <c r="C18" s="54" t="inlineStr">
        <is>
          <t>Em</t>
        </is>
      </c>
      <c r="D18" s="54" t="inlineStr">
        <is>
          <t>Long localized emphasis, mobile widths, RTL, text spacing, and zoom remain readable.</t>
        </is>
      </c>
      <c r="E18" s="54" t="inlineStr">
        <is>
          <t>package</t>
        </is>
      </c>
      <c r="F18" s="54" t="inlineStr">
        <is>
          <t>manual</t>
        </is>
      </c>
      <c r="G18" s="54" t="inlineStr">
        <is>
          <t>manual-tests/em.md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EM-11</t>
        </is>
      </c>
      <c r="B19" s="54" t="inlineStr">
        <is>
          <t>Theme</t>
        </is>
      </c>
      <c r="C19" s="54" t="inlineStr">
        <is>
          <t>Em</t>
        </is>
      </c>
      <c r="D19" s="54" t="inlineStr">
        <is>
          <t>Inherited light, dark, forced-color, and customized typography remain legible.</t>
        </is>
      </c>
      <c r="E19" s="54" t="inlineStr">
        <is>
          <t>package</t>
        </is>
      </c>
      <c r="F19" s="54" t="inlineStr">
        <is>
          <t>manual</t>
        </is>
      </c>
      <c r="G19" s="54" t="inlineStr">
        <is>
          <t>manual-tests/em.md; tests/components/em/visual.spec.ts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EM-12</t>
        </is>
      </c>
      <c r="B20" s="54" t="inlineStr">
        <is>
          <t>Semantics</t>
        </is>
      </c>
      <c r="C20" s="54" t="inlineStr">
        <is>
          <t>Em</t>
        </is>
      </c>
      <c r="D20" s="54" t="inlineStr">
        <is>
          <t>The rendered host remains native em and does not substitute presentation-only styling.</t>
        </is>
      </c>
      <c r="E20" s="54" t="inlineStr">
        <is>
          <t>package</t>
        </is>
      </c>
      <c r="F20" s="54" t="inlineStr">
        <is>
          <t>browser</t>
        </is>
      </c>
      <c r="G20" s="54" t="inlineStr">
        <is>
          <t>tests/components/em/behavior.spec.ts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EM-13</t>
        </is>
      </c>
      <c r="B21" s="54" t="inlineStr">
        <is>
          <t>Manual</t>
        </is>
      </c>
      <c r="C21" s="54" t="inlineStr">
        <is>
          <t>Em</t>
        </is>
      </c>
      <c r="D21" s="54" t="inlineStr">
        <is>
          <t>The component-owned manual protocol covers every Em playground scenario.</t>
        </is>
      </c>
      <c r="E21" s="54" t="inlineStr">
        <is>
          <t>package</t>
        </is>
      </c>
      <c r="F21" s="54" t="inlineStr">
        <is>
          <t>manual</t>
        </is>
      </c>
      <c r="G21" s="54" t="inlineStr">
        <is>
          <t>manual-tests/em.md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EM-14</t>
        </is>
      </c>
      <c r="B22" s="54" t="inlineStr">
        <is>
          <t>Docs</t>
        </is>
      </c>
      <c r="C22" s="54" t="inlineStr">
        <is>
          <t>Em</t>
        </is>
      </c>
      <c r="D22" s="54" t="inlineStr">
        <is>
          <t>Source-backed public usage, API, accessibility, and token documentation passes.</t>
        </is>
      </c>
      <c r="E22" s="54" t="inlineStr">
        <is>
          <t>package</t>
        </is>
      </c>
      <c r="F22" s="54" t="inlineStr">
        <is>
          <t>docs</t>
        </is>
      </c>
      <c r="G22" s="54" t="inlineStr">
        <is>
          <t>../docs/components/em/README.md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EM-15</t>
        </is>
      </c>
      <c r="B23" s="54" t="inlineStr">
        <is>
          <t>Changelog</t>
        </is>
      </c>
      <c r="C23" s="54" t="inlineStr">
        <is>
          <t>Em</t>
        </is>
      </c>
      <c r="D23" s="54" t="inlineStr">
        <is>
          <t>Em owns a public changelog and the package changelog records its addition.</t>
        </is>
      </c>
      <c r="E23" s="54" t="inlineStr">
        <is>
          <t>package</t>
        </is>
      </c>
      <c r="F23" s="54" t="inlineStr">
        <is>
          <t>docs</t>
        </is>
      </c>
      <c r="G23" s="54" t="inlineStr">
        <is>
          <t>../docs/components/em/CHANGELOG.md;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EM-16</t>
        </is>
      </c>
      <c r="B24" s="54" t="inlineStr">
        <is>
          <t>Consumer</t>
        </is>
      </c>
      <c r="C24" s="54" t="inlineStr">
        <is>
          <t>Em</t>
        </is>
      </c>
      <c r="D24" s="54" t="inlineStr">
        <is>
          <t>The packed Consumer proves Em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EM-17</t>
        </is>
      </c>
      <c r="B25" s="54" t="inlineStr">
        <is>
          <t>Package</t>
        </is>
      </c>
      <c r="C25" s="54" t="inlineStr">
        <is>
          <t>Em</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4.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Mark Evidence</t>
        </is>
      </c>
      <c r="B1" s="62" t="n"/>
      <c r="C1" s="62" t="n"/>
      <c r="D1" s="62" t="n"/>
      <c r="E1" s="62" t="n"/>
      <c r="F1" s="62" t="n"/>
      <c r="G1" s="62" t="n"/>
      <c r="H1" s="62" t="n"/>
      <c r="I1" s="62" t="n"/>
      <c r="J1" s="62" t="n"/>
      <c r="K1" s="62" t="n"/>
      <c r="L1" s="62" t="n"/>
      <c r="M1" s="62" t="n"/>
    </row>
    <row r="2" ht="27.75" customHeight="1" s="34">
      <c r="A2" s="50" t="inlineStr">
        <is>
          <t>Assertion-level semantic mark, restrained recipes,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MK-01</t>
        </is>
      </c>
      <c r="B9" s="54" t="inlineStr">
        <is>
          <t>Implementation</t>
        </is>
      </c>
      <c r="C9" s="54" t="inlineStr">
        <is>
          <t>Mark</t>
        </is>
      </c>
      <c r="D9" s="54" t="inlineStr">
        <is>
          <t>The public Mark owner and its approved native anatomy are implemented.</t>
        </is>
      </c>
      <c r="E9" s="54" t="inlineStr">
        <is>
          <t>package</t>
        </is>
      </c>
      <c r="F9" s="54" t="inlineStr">
        <is>
          <t>source</t>
        </is>
      </c>
      <c r="G9" s="54" t="inlineStr">
        <is>
          <t>../src/components/mark</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MK-02</t>
        </is>
      </c>
      <c r="B10" s="54" t="inlineStr">
        <is>
          <t>Ownership</t>
        </is>
      </c>
      <c r="C10" s="54" t="inlineStr">
        <is>
          <t>Mark</t>
        </is>
      </c>
      <c r="D10" s="54" t="inlineStr">
        <is>
          <t>Static semantic marking stays separate from query matching and application search state.</t>
        </is>
      </c>
      <c r="E10" s="54" t="inlineStr">
        <is>
          <t>package</t>
        </is>
      </c>
      <c r="F10" s="54" t="inlineStr">
        <is>
          <t>component</t>
        </is>
      </c>
      <c r="G10" s="54" t="inlineStr">
        <is>
          <t>../test/components/mark/mark.test.tsx; ../docs/components/mark/README.md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MK-03</t>
        </is>
      </c>
      <c r="B11" s="54" t="inlineStr">
        <is>
          <t>Exports</t>
        </is>
      </c>
      <c r="C11" s="54" t="inlineStr">
        <is>
          <t>Mark</t>
        </is>
      </c>
      <c r="D11" s="54" t="inlineStr">
        <is>
          <t>Root and public Mark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MK-04</t>
        </is>
      </c>
      <c r="B12" s="54" t="inlineStr">
        <is>
          <t>Types</t>
        </is>
      </c>
      <c r="C12" s="54" t="inlineStr">
        <is>
          <t>Mark</t>
        </is>
      </c>
      <c r="D12" s="54" t="inlineStr">
        <is>
          <t>Native attributes, recipes, composition branches, and ref contracts type-check.</t>
        </is>
      </c>
      <c r="E12" s="54" t="inlineStr">
        <is>
          <t>package</t>
        </is>
      </c>
      <c r="F12" s="54" t="inlineStr">
        <is>
          <t>types</t>
        </is>
      </c>
      <c r="G12" s="54" t="inlineStr">
        <is>
          <t>../test/types/components/mark.test.ts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MK-05</t>
        </is>
      </c>
      <c r="B13" s="54" t="inlineStr">
        <is>
          <t>CSS</t>
        </is>
      </c>
      <c r="C13" s="54" t="inlineStr">
        <is>
          <t>Mark</t>
        </is>
      </c>
      <c r="D13" s="54" t="inlineStr">
        <is>
          <t>Static CSS ships the approved recipes, tokens, states, preferences, and public hooks.</t>
        </is>
      </c>
      <c r="E13" s="54" t="inlineStr">
        <is>
          <t>package</t>
        </is>
      </c>
      <c r="F13" s="54" t="inlineStr">
        <is>
          <t>css</t>
        </is>
      </c>
      <c r="G13" s="54" t="inlineStr">
        <is>
          <t>../src/components/mark/mark.css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MK-06</t>
        </is>
      </c>
      <c r="B14" s="54" t="inlineStr">
        <is>
          <t>Unit</t>
        </is>
      </c>
      <c r="C14" s="54" t="inlineStr">
        <is>
          <t>Mark</t>
        </is>
      </c>
      <c r="D14" s="54" t="inlineStr">
        <is>
          <t>Native mark output, recipes, refs, classes, styles, and native forwarding pass.</t>
        </is>
      </c>
      <c r="E14" s="54" t="inlineStr">
        <is>
          <t>package</t>
        </is>
      </c>
      <c r="F14" s="54" t="inlineStr">
        <is>
          <t>component</t>
        </is>
      </c>
      <c r="G14" s="54" t="inlineStr">
        <is>
          <t>../test/components/mark/mark.test.tsx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MK-07</t>
        </is>
      </c>
      <c r="B15" s="54" t="inlineStr">
        <is>
          <t>Browser</t>
        </is>
      </c>
      <c r="C15" s="54" t="inlineStr">
        <is>
          <t>Mark</t>
        </is>
      </c>
      <c r="D15" s="54" t="inlineStr">
        <is>
          <t>Semantic output, recipe hooks, selection, text spacing, zoom, RTL, and reflow pass.</t>
        </is>
      </c>
      <c r="E15" s="54" t="inlineStr">
        <is>
          <t>package</t>
        </is>
      </c>
      <c r="F15" s="54" t="inlineStr">
        <is>
          <t>browser</t>
        </is>
      </c>
      <c r="G15" s="54" t="inlineStr">
        <is>
          <t>tests/components/mark/behavior.spec.ts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MK-08</t>
        </is>
      </c>
      <c r="B16" s="54" t="inlineStr">
        <is>
          <t>Accessibility</t>
        </is>
      </c>
      <c r="C16" s="54" t="inlineStr">
        <is>
          <t>Mark</t>
        </is>
      </c>
      <c r="D16" s="54" t="inlineStr">
        <is>
          <t>Native mark semantics, readable contrast, forced colors, text spacing, and axe pass.</t>
        </is>
      </c>
      <c r="E16" s="54" t="inlineStr">
        <is>
          <t>package</t>
        </is>
      </c>
      <c r="F16" s="54" t="inlineStr">
        <is>
          <t>axe</t>
        </is>
      </c>
      <c r="G16" s="54" t="inlineStr">
        <is>
          <t>tests/components/mark/behavior.spec.ts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MK-09</t>
        </is>
      </c>
      <c r="B17" s="54" t="inlineStr">
        <is>
          <t>Visual</t>
        </is>
      </c>
      <c r="C17" s="54" t="inlineStr">
        <is>
          <t>Mark</t>
        </is>
      </c>
      <c r="D17" s="54" t="inlineStr">
        <is>
          <t>Default and restrained recipes, customization, light, dark, forced colors, and mobile own baselines.</t>
        </is>
      </c>
      <c r="E17" s="54" t="inlineStr">
        <is>
          <t>package</t>
        </is>
      </c>
      <c r="F17" s="54" t="inlineStr">
        <is>
          <t>visual</t>
        </is>
      </c>
      <c r="G17" s="54" t="inlineStr">
        <is>
          <t>tests/components/mark/visual.spec.ts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MK-10</t>
        </is>
      </c>
      <c r="B18" s="54" t="inlineStr">
        <is>
          <t>Responsive</t>
        </is>
      </c>
      <c r="C18" s="54" t="inlineStr">
        <is>
          <t>Mark</t>
        </is>
      </c>
      <c r="D18" s="54" t="inlineStr">
        <is>
          <t>Long marked content, mobile widths, RTL, selection, text spacing, and zoom remain readable.</t>
        </is>
      </c>
      <c r="E18" s="54" t="inlineStr">
        <is>
          <t>package</t>
        </is>
      </c>
      <c r="F18" s="54" t="inlineStr">
        <is>
          <t>manual</t>
        </is>
      </c>
      <c r="G18" s="54" t="inlineStr">
        <is>
          <t>manual-tests/mark.md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MK-11</t>
        </is>
      </c>
      <c r="B19" s="54" t="inlineStr">
        <is>
          <t>Theme</t>
        </is>
      </c>
      <c r="C19" s="54" t="inlineStr">
        <is>
          <t>Mark</t>
        </is>
      </c>
      <c r="D19" s="54" t="inlineStr">
        <is>
          <t>All recipes retain readable foreground/background relationships across appearances and forced colors.</t>
        </is>
      </c>
      <c r="E19" s="54" t="inlineStr">
        <is>
          <t>package</t>
        </is>
      </c>
      <c r="F19" s="54" t="inlineStr">
        <is>
          <t>manual</t>
        </is>
      </c>
      <c r="G19" s="54" t="inlineStr">
        <is>
          <t>manual-tests/mark.md; tests/components/mark/visual.spec.ts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MK-12</t>
        </is>
      </c>
      <c r="B20" s="54" t="inlineStr">
        <is>
          <t>Semantics</t>
        </is>
      </c>
      <c r="C20" s="54" t="inlineStr">
        <is>
          <t>Mark</t>
        </is>
      </c>
      <c r="D20" s="54" t="inlineStr">
        <is>
          <t>The component renders native mark without accepting a query or duplicating Atom Highlight.</t>
        </is>
      </c>
      <c r="E20" s="54" t="inlineStr">
        <is>
          <t>package</t>
        </is>
      </c>
      <c r="F20" s="54" t="inlineStr">
        <is>
          <t>browser</t>
        </is>
      </c>
      <c r="G20" s="54" t="inlineStr">
        <is>
          <t>tests/components/mark/behavior.spec.ts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MK-13</t>
        </is>
      </c>
      <c r="B21" s="54" t="inlineStr">
        <is>
          <t>Manual</t>
        </is>
      </c>
      <c r="C21" s="54" t="inlineStr">
        <is>
          <t>Mark</t>
        </is>
      </c>
      <c r="D21" s="54" t="inlineStr">
        <is>
          <t>The component-owned manual protocol covers every Mark playground scenario.</t>
        </is>
      </c>
      <c r="E21" s="54" t="inlineStr">
        <is>
          <t>package</t>
        </is>
      </c>
      <c r="F21" s="54" t="inlineStr">
        <is>
          <t>manual</t>
        </is>
      </c>
      <c r="G21" s="54" t="inlineStr">
        <is>
          <t>manual-tests/mark.md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MK-14</t>
        </is>
      </c>
      <c r="B22" s="54" t="inlineStr">
        <is>
          <t>Docs</t>
        </is>
      </c>
      <c r="C22" s="54" t="inlineStr">
        <is>
          <t>Mark</t>
        </is>
      </c>
      <c r="D22" s="54" t="inlineStr">
        <is>
          <t>Source-backed public usage, API, accessibility, and token documentation passes.</t>
        </is>
      </c>
      <c r="E22" s="54" t="inlineStr">
        <is>
          <t>package</t>
        </is>
      </c>
      <c r="F22" s="54" t="inlineStr">
        <is>
          <t>docs</t>
        </is>
      </c>
      <c r="G22" s="54" t="inlineStr">
        <is>
          <t>../docs/components/mark/README.md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MK-15</t>
        </is>
      </c>
      <c r="B23" s="54" t="inlineStr">
        <is>
          <t>Changelog</t>
        </is>
      </c>
      <c r="C23" s="54" t="inlineStr">
        <is>
          <t>Mark</t>
        </is>
      </c>
      <c r="D23" s="54" t="inlineStr">
        <is>
          <t>Mark owns a public changelog and the package changelog records its addition.</t>
        </is>
      </c>
      <c r="E23" s="54" t="inlineStr">
        <is>
          <t>package</t>
        </is>
      </c>
      <c r="F23" s="54" t="inlineStr">
        <is>
          <t>docs</t>
        </is>
      </c>
      <c r="G23" s="54" t="inlineStr">
        <is>
          <t>../docs/components/mark/CHANGELOG.md;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MK-16</t>
        </is>
      </c>
      <c r="B24" s="54" t="inlineStr">
        <is>
          <t>Consumer</t>
        </is>
      </c>
      <c r="C24" s="54" t="inlineStr">
        <is>
          <t>Mark</t>
        </is>
      </c>
      <c r="D24" s="54" t="inlineStr">
        <is>
          <t>The packed Consumer proves Mark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MK-17</t>
        </is>
      </c>
      <c r="B25" s="54" t="inlineStr">
        <is>
          <t>Package</t>
        </is>
      </c>
      <c r="C25" s="54" t="inlineStr">
        <is>
          <t>Mark</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5.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Kbd Evidence</t>
        </is>
      </c>
      <c r="B1" s="62" t="n"/>
      <c r="C1" s="62" t="n"/>
      <c r="D1" s="62" t="n"/>
      <c r="E1" s="62" t="n"/>
      <c r="F1" s="62" t="n"/>
      <c r="G1" s="62" t="n"/>
      <c r="H1" s="62" t="n"/>
      <c r="I1" s="62" t="n"/>
      <c r="J1" s="62" t="n"/>
      <c r="K1" s="62" t="n"/>
      <c r="L1" s="62" t="n"/>
      <c r="M1" s="62" t="n"/>
    </row>
    <row r="2" ht="27.75" customHeight="1" s="34">
      <c r="A2" s="50" t="inlineStr">
        <is>
          <t>Assertion-level keyboard notation, composed sequences,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KB-01</t>
        </is>
      </c>
      <c r="B9" s="54" t="inlineStr">
        <is>
          <t>Implementation</t>
        </is>
      </c>
      <c r="C9" s="54" t="inlineStr">
        <is>
          <t>Kbd</t>
        </is>
      </c>
      <c r="D9" s="54" t="inlineStr">
        <is>
          <t>The public Kbd owner and its approved native anatomy are implemented.</t>
        </is>
      </c>
      <c r="E9" s="54" t="inlineStr">
        <is>
          <t>package</t>
        </is>
      </c>
      <c r="F9" s="54" t="inlineStr">
        <is>
          <t>source</t>
        </is>
      </c>
      <c r="G9" s="54" t="inlineStr">
        <is>
          <t>../src/components/kbd</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KB-02</t>
        </is>
      </c>
      <c r="B10" s="54" t="inlineStr">
        <is>
          <t>Ownership</t>
        </is>
      </c>
      <c r="C10" s="54" t="inlineStr">
        <is>
          <t>Kbd</t>
        </is>
      </c>
      <c r="D10" s="54" t="inlineStr">
        <is>
          <t>Keyboard notation remains presentation-only and owns no shortcut registration or platform translation.</t>
        </is>
      </c>
      <c r="E10" s="54" t="inlineStr">
        <is>
          <t>package</t>
        </is>
      </c>
      <c r="F10" s="54" t="inlineStr">
        <is>
          <t>component</t>
        </is>
      </c>
      <c r="G10" s="54" t="inlineStr">
        <is>
          <t>../test/components/kbd/kbd.test.tsx; ../docs/components/kbd/README.md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KB-03</t>
        </is>
      </c>
      <c r="B11" s="54" t="inlineStr">
        <is>
          <t>Exports</t>
        </is>
      </c>
      <c r="C11" s="54" t="inlineStr">
        <is>
          <t>Kbd</t>
        </is>
      </c>
      <c r="D11" s="54" t="inlineStr">
        <is>
          <t>Root and public Kbd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KB-04</t>
        </is>
      </c>
      <c r="B12" s="54" t="inlineStr">
        <is>
          <t>Types</t>
        </is>
      </c>
      <c r="C12" s="54" t="inlineStr">
        <is>
          <t>Kbd</t>
        </is>
      </c>
      <c r="D12" s="54" t="inlineStr">
        <is>
          <t>Native attributes, recipes, composition branches, and ref contracts type-check.</t>
        </is>
      </c>
      <c r="E12" s="54" t="inlineStr">
        <is>
          <t>package</t>
        </is>
      </c>
      <c r="F12" s="54" t="inlineStr">
        <is>
          <t>types</t>
        </is>
      </c>
      <c r="G12" s="54" t="inlineStr">
        <is>
          <t>../test/types/components/kbd.test.ts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KB-05</t>
        </is>
      </c>
      <c r="B13" s="54" t="inlineStr">
        <is>
          <t>CSS</t>
        </is>
      </c>
      <c r="C13" s="54" t="inlineStr">
        <is>
          <t>Kbd</t>
        </is>
      </c>
      <c r="D13" s="54" t="inlineStr">
        <is>
          <t>Static CSS ships the approved recipes, tokens, states, preferences, and public hooks.</t>
        </is>
      </c>
      <c r="E13" s="54" t="inlineStr">
        <is>
          <t>package</t>
        </is>
      </c>
      <c r="F13" s="54" t="inlineStr">
        <is>
          <t>css</t>
        </is>
      </c>
      <c r="G13" s="54" t="inlineStr">
        <is>
          <t>../src/components/kbd/kbd.css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KB-06</t>
        </is>
      </c>
      <c r="B14" s="54" t="inlineStr">
        <is>
          <t>Unit</t>
        </is>
      </c>
      <c r="C14" s="54" t="inlineStr">
        <is>
          <t>Kbd</t>
        </is>
      </c>
      <c r="D14" s="54" t="inlineStr">
        <is>
          <t>Native kbd output, recipes, refs, native forwarding, and composed key sequences pass.</t>
        </is>
      </c>
      <c r="E14" s="54" t="inlineStr">
        <is>
          <t>package</t>
        </is>
      </c>
      <c r="F14" s="54" t="inlineStr">
        <is>
          <t>component</t>
        </is>
      </c>
      <c r="G14" s="54" t="inlineStr">
        <is>
          <t>../test/components/kbd/kbd.test.tsx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KB-07</t>
        </is>
      </c>
      <c r="B15" s="54" t="inlineStr">
        <is>
          <t>Browser</t>
        </is>
      </c>
      <c r="C15" s="54" t="inlineStr">
        <is>
          <t>Kbd</t>
        </is>
      </c>
      <c r="D15" s="54" t="inlineStr">
        <is>
          <t>Sequence spacing, semantic output, narrow layout, text spacing, zoom, RTL, and reflow pass.</t>
        </is>
      </c>
      <c r="E15" s="54" t="inlineStr">
        <is>
          <t>package</t>
        </is>
      </c>
      <c r="F15" s="54" t="inlineStr">
        <is>
          <t>browser</t>
        </is>
      </c>
      <c r="G15" s="54" t="inlineStr">
        <is>
          <t>tests/components/kbd/behavior.spec.ts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KB-08</t>
        </is>
      </c>
      <c r="B16" s="54" t="inlineStr">
        <is>
          <t>Accessibility</t>
        </is>
      </c>
      <c r="C16" s="54" t="inlineStr">
        <is>
          <t>Kbd</t>
        </is>
      </c>
      <c r="D16" s="54" t="inlineStr">
        <is>
          <t>Native keyboard-input semantics, readable contrast, forced colors, and axe pass.</t>
        </is>
      </c>
      <c r="E16" s="54" t="inlineStr">
        <is>
          <t>package</t>
        </is>
      </c>
      <c r="F16" s="54" t="inlineStr">
        <is>
          <t>axe</t>
        </is>
      </c>
      <c r="G16" s="54" t="inlineStr">
        <is>
          <t>tests/components/kbd/behavior.spec.ts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KB-09</t>
        </is>
      </c>
      <c r="B17" s="54" t="inlineStr">
        <is>
          <t>Visual</t>
        </is>
      </c>
      <c r="C17" s="54" t="inlineStr">
        <is>
          <t>Kbd</t>
        </is>
      </c>
      <c r="D17" s="54" t="inlineStr">
        <is>
          <t>Single keys, sequences, recipes, customization, light, dark, forced colors, and mobile own baselines.</t>
        </is>
      </c>
      <c r="E17" s="54" t="inlineStr">
        <is>
          <t>package</t>
        </is>
      </c>
      <c r="F17" s="54" t="inlineStr">
        <is>
          <t>visual</t>
        </is>
      </c>
      <c r="G17" s="54" t="inlineStr">
        <is>
          <t>tests/components/kbd/visual.spec.ts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KB-10</t>
        </is>
      </c>
      <c r="B18" s="54" t="inlineStr">
        <is>
          <t>Responsive</t>
        </is>
      </c>
      <c r="C18" s="54" t="inlineStr">
        <is>
          <t>Kbd</t>
        </is>
      </c>
      <c r="D18" s="54" t="inlineStr">
        <is>
          <t>Long labels and composed sequences wrap or contain correctly across narrow and RTL layouts.</t>
        </is>
      </c>
      <c r="E18" s="54" t="inlineStr">
        <is>
          <t>package</t>
        </is>
      </c>
      <c r="F18" s="54" t="inlineStr">
        <is>
          <t>manual</t>
        </is>
      </c>
      <c r="G18" s="54" t="inlineStr">
        <is>
          <t>manual-tests/kbd.md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KB-11</t>
        </is>
      </c>
      <c r="B19" s="54" t="inlineStr">
        <is>
          <t>Theme</t>
        </is>
      </c>
      <c r="C19" s="54" t="inlineStr">
        <is>
          <t>Kbd</t>
        </is>
      </c>
      <c r="D19" s="54" t="inlineStr">
        <is>
          <t>Key surfaces, borders, text, focus-neutral output, and forced colors remain legible.</t>
        </is>
      </c>
      <c r="E19" s="54" t="inlineStr">
        <is>
          <t>package</t>
        </is>
      </c>
      <c r="F19" s="54" t="inlineStr">
        <is>
          <t>manual</t>
        </is>
      </c>
      <c r="G19" s="54" t="inlineStr">
        <is>
          <t>manual-tests/kbd.md; tests/components/kbd/visual.spec.ts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KB-12</t>
        </is>
      </c>
      <c r="B20" s="54" t="inlineStr">
        <is>
          <t>Semantics</t>
        </is>
      </c>
      <c r="C20" s="54" t="inlineStr">
        <is>
          <t>Kbd</t>
        </is>
      </c>
      <c r="D20" s="54" t="inlineStr">
        <is>
          <t>Every key remains native kbd output and no event listener or shortcut behavior is installed.</t>
        </is>
      </c>
      <c r="E20" s="54" t="inlineStr">
        <is>
          <t>package</t>
        </is>
      </c>
      <c r="F20" s="54" t="inlineStr">
        <is>
          <t>browser</t>
        </is>
      </c>
      <c r="G20" s="54" t="inlineStr">
        <is>
          <t>tests/components/kbd/behavior.spec.ts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KB-13</t>
        </is>
      </c>
      <c r="B21" s="54" t="inlineStr">
        <is>
          <t>Manual</t>
        </is>
      </c>
      <c r="C21" s="54" t="inlineStr">
        <is>
          <t>Kbd</t>
        </is>
      </c>
      <c r="D21" s="54" t="inlineStr">
        <is>
          <t>The component-owned manual protocol covers every Kbd playground scenario.</t>
        </is>
      </c>
      <c r="E21" s="54" t="inlineStr">
        <is>
          <t>package</t>
        </is>
      </c>
      <c r="F21" s="54" t="inlineStr">
        <is>
          <t>manual</t>
        </is>
      </c>
      <c r="G21" s="54" t="inlineStr">
        <is>
          <t>manual-tests/kbd.md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KB-14</t>
        </is>
      </c>
      <c r="B22" s="54" t="inlineStr">
        <is>
          <t>Docs</t>
        </is>
      </c>
      <c r="C22" s="54" t="inlineStr">
        <is>
          <t>Kbd</t>
        </is>
      </c>
      <c r="D22" s="54" t="inlineStr">
        <is>
          <t>Source-backed public usage, API, accessibility, and token documentation passes.</t>
        </is>
      </c>
      <c r="E22" s="54" t="inlineStr">
        <is>
          <t>package</t>
        </is>
      </c>
      <c r="F22" s="54" t="inlineStr">
        <is>
          <t>docs</t>
        </is>
      </c>
      <c r="G22" s="54" t="inlineStr">
        <is>
          <t>../docs/components/kbd/README.md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KB-15</t>
        </is>
      </c>
      <c r="B23" s="54" t="inlineStr">
        <is>
          <t>Changelog</t>
        </is>
      </c>
      <c r="C23" s="54" t="inlineStr">
        <is>
          <t>Kbd</t>
        </is>
      </c>
      <c r="D23" s="54" t="inlineStr">
        <is>
          <t>Kbd owns a public changelog and the package changelog records its addition.</t>
        </is>
      </c>
      <c r="E23" s="54" t="inlineStr">
        <is>
          <t>package</t>
        </is>
      </c>
      <c r="F23" s="54" t="inlineStr">
        <is>
          <t>docs</t>
        </is>
      </c>
      <c r="G23" s="54" t="inlineStr">
        <is>
          <t>../docs/components/kbd/CHANGELOG.md;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KB-16</t>
        </is>
      </c>
      <c r="B24" s="54" t="inlineStr">
        <is>
          <t>Consumer</t>
        </is>
      </c>
      <c r="C24" s="54" t="inlineStr">
        <is>
          <t>Kbd</t>
        </is>
      </c>
      <c r="D24" s="54" t="inlineStr">
        <is>
          <t>The packed Consumer proves Kbd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KB-17</t>
        </is>
      </c>
      <c r="B25" s="54" t="inlineStr">
        <is>
          <t>Package</t>
        </is>
      </c>
      <c r="C25" s="54" t="inlineStr">
        <is>
          <t>Kbd</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Blockquote Evidence</t>
        </is>
      </c>
      <c r="B1" s="62" t="n"/>
      <c r="C1" s="62" t="n"/>
      <c r="D1" s="62" t="n"/>
      <c r="E1" s="62" t="n"/>
      <c r="F1" s="62" t="n"/>
      <c r="G1" s="62" t="n"/>
      <c r="H1" s="62" t="n"/>
      <c r="I1" s="62" t="n"/>
      <c r="J1" s="62" t="n"/>
      <c r="K1" s="62" t="n"/>
      <c r="L1" s="62" t="n"/>
      <c r="M1" s="62" t="n"/>
    </row>
    <row r="2" ht="27.75" customHeight="1" s="34">
      <c r="A2" s="50" t="inlineStr">
        <is>
          <t>Assertion-level quotation anatomy, attribution,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BQ-01</t>
        </is>
      </c>
      <c r="B9" s="54" t="inlineStr">
        <is>
          <t>Implementation</t>
        </is>
      </c>
      <c r="C9" s="54" t="inlineStr">
        <is>
          <t>Blockquote</t>
        </is>
      </c>
      <c r="D9" s="54" t="inlineStr">
        <is>
          <t>The public Blockquote owner and its approved native anatomy are implemented.</t>
        </is>
      </c>
      <c r="E9" s="54" t="inlineStr">
        <is>
          <t>package</t>
        </is>
      </c>
      <c r="F9" s="54" t="inlineStr">
        <is>
          <t>source</t>
        </is>
      </c>
      <c r="G9" s="54" t="inlineStr">
        <is>
          <t>../src/components/blockquote</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BQ-02</t>
        </is>
      </c>
      <c r="B10" s="54" t="inlineStr">
        <is>
          <t>Ownership</t>
        </is>
      </c>
      <c r="C10" s="54" t="inlineStr">
        <is>
          <t>Blockquote</t>
        </is>
      </c>
      <c r="D10" s="54" t="inlineStr">
        <is>
          <t>Quoted content, optional accent, caption, cite label, and cite URL preserve the approved semantic tree.</t>
        </is>
      </c>
      <c r="E10" s="54" t="inlineStr">
        <is>
          <t>package</t>
        </is>
      </c>
      <c r="F10" s="54" t="inlineStr">
        <is>
          <t>component</t>
        </is>
      </c>
      <c r="G10" s="54" t="inlineStr">
        <is>
          <t>../test/components/blockquote/blockquote.test.tsx; ../docs/components/blockquote/README.md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BQ-03</t>
        </is>
      </c>
      <c r="B11" s="54" t="inlineStr">
        <is>
          <t>Exports</t>
        </is>
      </c>
      <c r="C11" s="54" t="inlineStr">
        <is>
          <t>Blockquote</t>
        </is>
      </c>
      <c r="D11" s="54" t="inlineStr">
        <is>
          <t>Root and public Blockquote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BQ-04</t>
        </is>
      </c>
      <c r="B12" s="54" t="inlineStr">
        <is>
          <t>Types</t>
        </is>
      </c>
      <c r="C12" s="54" t="inlineStr">
        <is>
          <t>Blockquote</t>
        </is>
      </c>
      <c r="D12" s="54" t="inlineStr">
        <is>
          <t>Native attributes, recipes, composition branches, and ref contracts type-check.</t>
        </is>
      </c>
      <c r="E12" s="54" t="inlineStr">
        <is>
          <t>package</t>
        </is>
      </c>
      <c r="F12" s="54" t="inlineStr">
        <is>
          <t>types</t>
        </is>
      </c>
      <c r="G12" s="54" t="inlineStr">
        <is>
          <t>../test/types/components/blockquote.test.ts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BQ-05</t>
        </is>
      </c>
      <c r="B13" s="54" t="inlineStr">
        <is>
          <t>CSS</t>
        </is>
      </c>
      <c r="C13" s="54" t="inlineStr">
        <is>
          <t>Blockquote</t>
        </is>
      </c>
      <c r="D13" s="54" t="inlineStr">
        <is>
          <t>Static CSS ships the approved recipes, tokens, states, preferences, and public hooks.</t>
        </is>
      </c>
      <c r="E13" s="54" t="inlineStr">
        <is>
          <t>package</t>
        </is>
      </c>
      <c r="F13" s="54" t="inlineStr">
        <is>
          <t>css</t>
        </is>
      </c>
      <c r="G13" s="54" t="inlineStr">
        <is>
          <t>../src/components/blockquote/blockquote.css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BQ-06</t>
        </is>
      </c>
      <c r="B14" s="54" t="inlineStr">
        <is>
          <t>Unit</t>
        </is>
      </c>
      <c r="C14" s="54" t="inlineStr">
        <is>
          <t>Blockquote</t>
        </is>
      </c>
      <c r="D14" s="54" t="inlineStr">
        <is>
          <t>Root, Content, Caption, Cite, icon/accent branches, refs, and native forwarding pass.</t>
        </is>
      </c>
      <c r="E14" s="54" t="inlineStr">
        <is>
          <t>package</t>
        </is>
      </c>
      <c r="F14" s="54" t="inlineStr">
        <is>
          <t>component</t>
        </is>
      </c>
      <c r="G14" s="54" t="inlineStr">
        <is>
          <t>../test/components/blockquote/blockquote.test.tsx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BQ-07</t>
        </is>
      </c>
      <c r="B15" s="54" t="inlineStr">
        <is>
          <t>Browser</t>
        </is>
      </c>
      <c r="C15" s="54" t="inlineStr">
        <is>
          <t>Blockquote</t>
        </is>
      </c>
      <c r="D15" s="54" t="inlineStr">
        <is>
          <t>Quotation and attribution output, cite URL, optional parts, reflow, zoom, and RTL pass.</t>
        </is>
      </c>
      <c r="E15" s="54" t="inlineStr">
        <is>
          <t>package</t>
        </is>
      </c>
      <c r="F15" s="54" t="inlineStr">
        <is>
          <t>browser</t>
        </is>
      </c>
      <c r="G15" s="54" t="inlineStr">
        <is>
          <t>tests/components/blockquote/behavior.spec.ts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BQ-08</t>
        </is>
      </c>
      <c r="B16" s="54" t="inlineStr">
        <is>
          <t>Accessibility</t>
        </is>
      </c>
      <c r="C16" s="54" t="inlineStr">
        <is>
          <t>Blockquote</t>
        </is>
      </c>
      <c r="D16" s="54" t="inlineStr">
        <is>
          <t>Quoted content stays separate from attribution and the complete composition passes axe.</t>
        </is>
      </c>
      <c r="E16" s="54" t="inlineStr">
        <is>
          <t>package</t>
        </is>
      </c>
      <c r="F16" s="54" t="inlineStr">
        <is>
          <t>axe</t>
        </is>
      </c>
      <c r="G16" s="54" t="inlineStr">
        <is>
          <t>tests/components/blockquote/behavior.spec.ts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BQ-09</t>
        </is>
      </c>
      <c r="B17" s="54" t="inlineStr">
        <is>
          <t>Visual</t>
        </is>
      </c>
      <c r="C17" s="54" t="inlineStr">
        <is>
          <t>Blockquote</t>
        </is>
      </c>
      <c r="D17" s="54" t="inlineStr">
        <is>
          <t>Anatomy, recipes, optional parts, long attribution, light, dark, forced colors, and mobile own baselines.</t>
        </is>
      </c>
      <c r="E17" s="54" t="inlineStr">
        <is>
          <t>package</t>
        </is>
      </c>
      <c r="F17" s="54" t="inlineStr">
        <is>
          <t>visual</t>
        </is>
      </c>
      <c r="G17" s="54" t="inlineStr">
        <is>
          <t>tests/components/blockquote/visual.spec.ts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BQ-10</t>
        </is>
      </c>
      <c r="B18" s="54" t="inlineStr">
        <is>
          <t>Responsive</t>
        </is>
      </c>
      <c r="C18" s="54" t="inlineStr">
        <is>
          <t>Blockquote</t>
        </is>
      </c>
      <c r="D18" s="54" t="inlineStr">
        <is>
          <t>Long quotations, citations, localized attribution, zoom, mobile widths, and RTL remain readable.</t>
        </is>
      </c>
      <c r="E18" s="54" t="inlineStr">
        <is>
          <t>package</t>
        </is>
      </c>
      <c r="F18" s="54" t="inlineStr">
        <is>
          <t>manual</t>
        </is>
      </c>
      <c r="G18" s="54" t="inlineStr">
        <is>
          <t>manual-tests/blockquote.md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BQ-11</t>
        </is>
      </c>
      <c r="B19" s="54" t="inlineStr">
        <is>
          <t>Theme</t>
        </is>
      </c>
      <c r="C19" s="54" t="inlineStr">
        <is>
          <t>Blockquote</t>
        </is>
      </c>
      <c r="D19" s="54" t="inlineStr">
        <is>
          <t>Quote surfaces, accents, icons, and attribution retain legibility in every supported appearance.</t>
        </is>
      </c>
      <c r="E19" s="54" t="inlineStr">
        <is>
          <t>package</t>
        </is>
      </c>
      <c r="F19" s="54" t="inlineStr">
        <is>
          <t>manual</t>
        </is>
      </c>
      <c r="G19" s="54" t="inlineStr">
        <is>
          <t>manual-tests/blockquote.md; tests/components/blockquote/visual.spec.ts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BQ-12</t>
        </is>
      </c>
      <c r="B20" s="54" t="inlineStr">
        <is>
          <t>Semantics</t>
        </is>
      </c>
      <c r="C20" s="54" t="inlineStr">
        <is>
          <t>Blockquote</t>
        </is>
      </c>
      <c r="D20" s="54" t="inlineStr">
        <is>
          <t>Attribution remains outside the blockquote element while cite metadata stays on quoted content.</t>
        </is>
      </c>
      <c r="E20" s="54" t="inlineStr">
        <is>
          <t>package</t>
        </is>
      </c>
      <c r="F20" s="54" t="inlineStr">
        <is>
          <t>browser</t>
        </is>
      </c>
      <c r="G20" s="54" t="inlineStr">
        <is>
          <t>tests/components/blockquote/behavior.spec.ts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BQ-13</t>
        </is>
      </c>
      <c r="B21" s="54" t="inlineStr">
        <is>
          <t>Manual</t>
        </is>
      </c>
      <c r="C21" s="54" t="inlineStr">
        <is>
          <t>Blockquote</t>
        </is>
      </c>
      <c r="D21" s="54" t="inlineStr">
        <is>
          <t>The component-owned manual protocol covers every Blockquote playground scenario.</t>
        </is>
      </c>
      <c r="E21" s="54" t="inlineStr">
        <is>
          <t>package</t>
        </is>
      </c>
      <c r="F21" s="54" t="inlineStr">
        <is>
          <t>manual</t>
        </is>
      </c>
      <c r="G21" s="54" t="inlineStr">
        <is>
          <t>manual-tests/blockquote.md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BQ-14</t>
        </is>
      </c>
      <c r="B22" s="54" t="inlineStr">
        <is>
          <t>Docs</t>
        </is>
      </c>
      <c r="C22" s="54" t="inlineStr">
        <is>
          <t>Blockquote</t>
        </is>
      </c>
      <c r="D22" s="54" t="inlineStr">
        <is>
          <t>Source-backed public usage, API, accessibility, and token documentation passes.</t>
        </is>
      </c>
      <c r="E22" s="54" t="inlineStr">
        <is>
          <t>package</t>
        </is>
      </c>
      <c r="F22" s="54" t="inlineStr">
        <is>
          <t>docs</t>
        </is>
      </c>
      <c r="G22" s="54" t="inlineStr">
        <is>
          <t>../docs/components/blockquote/README.md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BQ-15</t>
        </is>
      </c>
      <c r="B23" s="54" t="inlineStr">
        <is>
          <t>Changelog</t>
        </is>
      </c>
      <c r="C23" s="54" t="inlineStr">
        <is>
          <t>Blockquote</t>
        </is>
      </c>
      <c r="D23" s="54" t="inlineStr">
        <is>
          <t>Blockquote owns a public changelog and the package changelog records its addition.</t>
        </is>
      </c>
      <c r="E23" s="54" t="inlineStr">
        <is>
          <t>package</t>
        </is>
      </c>
      <c r="F23" s="54" t="inlineStr">
        <is>
          <t>docs</t>
        </is>
      </c>
      <c r="G23" s="54" t="inlineStr">
        <is>
          <t>../docs/components/blockquote/CHANGELOG.md;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BQ-16</t>
        </is>
      </c>
      <c r="B24" s="54" t="inlineStr">
        <is>
          <t>Consumer</t>
        </is>
      </c>
      <c r="C24" s="54" t="inlineStr">
        <is>
          <t>Blockquote</t>
        </is>
      </c>
      <c r="D24" s="54" t="inlineStr">
        <is>
          <t>The packed Consumer proves Blockquote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BQ-17</t>
        </is>
      </c>
      <c r="B25" s="54" t="inlineStr">
        <is>
          <t>Package</t>
        </is>
      </c>
      <c r="C25" s="54" t="inlineStr">
        <is>
          <t>Blockquote</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7.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Highlight Evidence</t>
        </is>
      </c>
      <c r="B1" s="62" t="n"/>
      <c r="C1" s="62" t="n"/>
      <c r="D1" s="62" t="n"/>
      <c r="E1" s="62" t="n"/>
      <c r="F1" s="62" t="n"/>
      <c r="G1" s="62" t="n"/>
      <c r="H1" s="62" t="n"/>
      <c r="I1" s="62" t="n"/>
      <c r="J1" s="62" t="n"/>
      <c r="K1" s="62" t="n"/>
      <c r="L1" s="62" t="n"/>
      <c r="M1" s="62" t="n"/>
    </row>
    <row r="2" ht="27.75" customHeight="1" s="34">
      <c r="A2" s="50" t="inlineStr">
        <is>
          <t>Assertion-level Atom adaptation, semantic matches,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HL-01</t>
        </is>
      </c>
      <c r="B9" s="54" t="inlineStr">
        <is>
          <t>Implementation</t>
        </is>
      </c>
      <c r="C9" s="54" t="inlineStr">
        <is>
          <t>Highlight</t>
        </is>
      </c>
      <c r="D9" s="54" t="inlineStr">
        <is>
          <t>The public Highlight owner and its approved native anatomy are implemented.</t>
        </is>
      </c>
      <c r="E9" s="54" t="inlineStr">
        <is>
          <t>package</t>
        </is>
      </c>
      <c r="F9" s="54" t="inlineStr">
        <is>
          <t>source</t>
        </is>
      </c>
      <c r="G9" s="54" t="inlineStr">
        <is>
          <t>../src/components/highlight</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HL-02</t>
        </is>
      </c>
      <c r="B10" s="54" t="inlineStr">
        <is>
          <t>Ownership</t>
        </is>
      </c>
      <c r="C10" s="54" t="inlineStr">
        <is>
          <t>Highlight</t>
        </is>
      </c>
      <c r="D10" s="54" t="inlineStr">
        <is>
          <t>Brick delegates deterministic segmentation to exact Atom Highlight and owns only finished rendering.</t>
        </is>
      </c>
      <c r="E10" s="54" t="inlineStr">
        <is>
          <t>package</t>
        </is>
      </c>
      <c r="F10" s="54" t="inlineStr">
        <is>
          <t>component</t>
        </is>
      </c>
      <c r="G10" s="54" t="inlineStr">
        <is>
          <t>../test/components/highlight/highlight.test.tsx; ../docs/components/highlight/README.md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HL-03</t>
        </is>
      </c>
      <c r="B11" s="54" t="inlineStr">
        <is>
          <t>Exports</t>
        </is>
      </c>
      <c r="C11" s="54" t="inlineStr">
        <is>
          <t>Highlight</t>
        </is>
      </c>
      <c r="D11" s="54" t="inlineStr">
        <is>
          <t>Root and public Highlight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HL-04</t>
        </is>
      </c>
      <c r="B12" s="54" t="inlineStr">
        <is>
          <t>Types</t>
        </is>
      </c>
      <c r="C12" s="54" t="inlineStr">
        <is>
          <t>Highlight</t>
        </is>
      </c>
      <c r="D12" s="54" t="inlineStr">
        <is>
          <t>Native attributes, recipes, composition branches, and ref contracts type-check.</t>
        </is>
      </c>
      <c r="E12" s="54" t="inlineStr">
        <is>
          <t>package</t>
        </is>
      </c>
      <c r="F12" s="54" t="inlineStr">
        <is>
          <t>types</t>
        </is>
      </c>
      <c r="G12" s="54" t="inlineStr">
        <is>
          <t>../test/types/components/highlight.test.ts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HL-05</t>
        </is>
      </c>
      <c r="B13" s="54" t="inlineStr">
        <is>
          <t>CSS</t>
        </is>
      </c>
      <c r="C13" s="54" t="inlineStr">
        <is>
          <t>Highlight</t>
        </is>
      </c>
      <c r="D13" s="54" t="inlineStr">
        <is>
          <t>Static CSS ships the approved recipes, tokens, states, preferences, and public hooks.</t>
        </is>
      </c>
      <c r="E13" s="54" t="inlineStr">
        <is>
          <t>package</t>
        </is>
      </c>
      <c r="F13" s="54" t="inlineStr">
        <is>
          <t>css</t>
        </is>
      </c>
      <c r="G13" s="54" t="inlineStr">
        <is>
          <t>../src/components/highlight/highlight.css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HL-06</t>
        </is>
      </c>
      <c r="B14" s="54" t="inlineStr">
        <is>
          <t>Unit</t>
        </is>
      </c>
      <c r="C14" s="54" t="inlineStr">
        <is>
          <t>Highlight</t>
        </is>
      </c>
      <c r="D14" s="54" t="inlineStr">
        <is>
          <t>String and array queries, matching options, semantic segments, recipes, refs, and native forwarding pass.</t>
        </is>
      </c>
      <c r="E14" s="54" t="inlineStr">
        <is>
          <t>package</t>
        </is>
      </c>
      <c r="F14" s="54" t="inlineStr">
        <is>
          <t>component</t>
        </is>
      </c>
      <c r="G14" s="54" t="inlineStr">
        <is>
          <t>../test/components/highlight/highlight.test.tsx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HL-07</t>
        </is>
      </c>
      <c r="B15" s="54" t="inlineStr">
        <is>
          <t>Browser</t>
        </is>
      </c>
      <c r="C15" s="54" t="inlineStr">
        <is>
          <t>Highlight</t>
        </is>
      </c>
      <c r="D15" s="54" t="inlineStr">
        <is>
          <t>Repeated matches, punctuation, selection, copy output, text spacing, zoom, RTL, and reflow pass.</t>
        </is>
      </c>
      <c r="E15" s="54" t="inlineStr">
        <is>
          <t>package</t>
        </is>
      </c>
      <c r="F15" s="54" t="inlineStr">
        <is>
          <t>browser</t>
        </is>
      </c>
      <c r="G15" s="54" t="inlineStr">
        <is>
          <t>tests/components/highlight/behavior.spec.ts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HL-08</t>
        </is>
      </c>
      <c r="B16" s="54" t="inlineStr">
        <is>
          <t>Accessibility</t>
        </is>
      </c>
      <c r="C16" s="54" t="inlineStr">
        <is>
          <t>Highlight</t>
        </is>
      </c>
      <c r="D16" s="54" t="inlineStr">
        <is>
          <t>Semantic marked segments preserve readable surrounding text, contrast, forced colors, and axe.</t>
        </is>
      </c>
      <c r="E16" s="54" t="inlineStr">
        <is>
          <t>package</t>
        </is>
      </c>
      <c r="F16" s="54" t="inlineStr">
        <is>
          <t>axe</t>
        </is>
      </c>
      <c r="G16" s="54" t="inlineStr">
        <is>
          <t>tests/components/highlight/behavior.spec.ts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HL-09</t>
        </is>
      </c>
      <c r="B17" s="54" t="inlineStr">
        <is>
          <t>Visual</t>
        </is>
      </c>
      <c r="C17" s="54" t="inlineStr">
        <is>
          <t>Highlight</t>
        </is>
      </c>
      <c r="D17" s="54" t="inlineStr">
        <is>
          <t>Matching recipes, repeated segments, customization, light, dark, forced colors, and mobile own baselines.</t>
        </is>
      </c>
      <c r="E17" s="54" t="inlineStr">
        <is>
          <t>package</t>
        </is>
      </c>
      <c r="F17" s="54" t="inlineStr">
        <is>
          <t>visual</t>
        </is>
      </c>
      <c r="G17" s="54" t="inlineStr">
        <is>
          <t>tests/components/highlight/visual.spec.ts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HL-10</t>
        </is>
      </c>
      <c r="B18" s="54" t="inlineStr">
        <is>
          <t>Responsive</t>
        </is>
      </c>
      <c r="C18" s="54" t="inlineStr">
        <is>
          <t>Highlight</t>
        </is>
      </c>
      <c r="D18" s="54" t="inlineStr">
        <is>
          <t>Long searchable text, repeated matches, mobile widths, zoom, selection, and RTL remain usable.</t>
        </is>
      </c>
      <c r="E18" s="54" t="inlineStr">
        <is>
          <t>package</t>
        </is>
      </c>
      <c r="F18" s="54" t="inlineStr">
        <is>
          <t>manual</t>
        </is>
      </c>
      <c r="G18" s="54" t="inlineStr">
        <is>
          <t>manual-tests/highlight.md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HL-11</t>
        </is>
      </c>
      <c r="B19" s="54" t="inlineStr">
        <is>
          <t>Theme</t>
        </is>
      </c>
      <c r="C19" s="54" t="inlineStr">
        <is>
          <t>Highlight</t>
        </is>
      </c>
      <c r="D19" s="54" t="inlineStr">
        <is>
          <t>Every match recipe remains distinguishable without obscuring text across appearances and forced colors.</t>
        </is>
      </c>
      <c r="E19" s="54" t="inlineStr">
        <is>
          <t>package</t>
        </is>
      </c>
      <c r="F19" s="54" t="inlineStr">
        <is>
          <t>manual</t>
        </is>
      </c>
      <c r="G19" s="54" t="inlineStr">
        <is>
          <t>manual-tests/highlight.md; tests/components/highlight/visual.spec.ts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HL-12</t>
        </is>
      </c>
      <c r="B20" s="54" t="inlineStr">
        <is>
          <t>Semantics</t>
        </is>
      </c>
      <c r="C20" s="54" t="inlineStr">
        <is>
          <t>Highlight</t>
        </is>
      </c>
      <c r="D20" s="54" t="inlineStr">
        <is>
          <t>Copy output remains plain text and Atom matching options are exposed without reimplementation.</t>
        </is>
      </c>
      <c r="E20" s="54" t="inlineStr">
        <is>
          <t>package</t>
        </is>
      </c>
      <c r="F20" s="54" t="inlineStr">
        <is>
          <t>browser</t>
        </is>
      </c>
      <c r="G20" s="54" t="inlineStr">
        <is>
          <t>tests/components/highlight/behavior.spec.ts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HL-13</t>
        </is>
      </c>
      <c r="B21" s="54" t="inlineStr">
        <is>
          <t>Manual</t>
        </is>
      </c>
      <c r="C21" s="54" t="inlineStr">
        <is>
          <t>Highlight</t>
        </is>
      </c>
      <c r="D21" s="54" t="inlineStr">
        <is>
          <t>The component-owned manual protocol covers every Highlight playground scenario.</t>
        </is>
      </c>
      <c r="E21" s="54" t="inlineStr">
        <is>
          <t>package</t>
        </is>
      </c>
      <c r="F21" s="54" t="inlineStr">
        <is>
          <t>manual</t>
        </is>
      </c>
      <c r="G21" s="54" t="inlineStr">
        <is>
          <t>manual-tests/highlight.md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HL-14</t>
        </is>
      </c>
      <c r="B22" s="54" t="inlineStr">
        <is>
          <t>Docs</t>
        </is>
      </c>
      <c r="C22" s="54" t="inlineStr">
        <is>
          <t>Highlight</t>
        </is>
      </c>
      <c r="D22" s="54" t="inlineStr">
        <is>
          <t>Source-backed public usage, API, accessibility, and token documentation passes.</t>
        </is>
      </c>
      <c r="E22" s="54" t="inlineStr">
        <is>
          <t>package</t>
        </is>
      </c>
      <c r="F22" s="54" t="inlineStr">
        <is>
          <t>docs</t>
        </is>
      </c>
      <c r="G22" s="54" t="inlineStr">
        <is>
          <t>../docs/components/highlight/README.md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HL-15</t>
        </is>
      </c>
      <c r="B23" s="54" t="inlineStr">
        <is>
          <t>Changelog</t>
        </is>
      </c>
      <c r="C23" s="54" t="inlineStr">
        <is>
          <t>Highlight</t>
        </is>
      </c>
      <c r="D23" s="54" t="inlineStr">
        <is>
          <t>Highlight owns a public changelog and the package changelog records its addition.</t>
        </is>
      </c>
      <c r="E23" s="54" t="inlineStr">
        <is>
          <t>package</t>
        </is>
      </c>
      <c r="F23" s="54" t="inlineStr">
        <is>
          <t>docs</t>
        </is>
      </c>
      <c r="G23" s="54" t="inlineStr">
        <is>
          <t>../docs/components/highlight/CHANGELOG.md;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HL-16</t>
        </is>
      </c>
      <c r="B24" s="54" t="inlineStr">
        <is>
          <t>Consumer</t>
        </is>
      </c>
      <c r="C24" s="54" t="inlineStr">
        <is>
          <t>Highlight</t>
        </is>
      </c>
      <c r="D24" s="54" t="inlineStr">
        <is>
          <t>The packed Consumer proves Highlight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HL-17</t>
        </is>
      </c>
      <c r="B25" s="54" t="inlineStr">
        <is>
          <t>Package</t>
        </is>
      </c>
      <c r="C25" s="54" t="inlineStr">
        <is>
          <t>Highlight</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8.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3.71" customWidth="1" style="61" min="1" max="1"/>
    <col width="15.71" customWidth="1" style="61" min="2" max="2"/>
    <col width="18.71" customWidth="1" style="61" min="3" max="3"/>
    <col width="58.71" customWidth="1" style="61" min="4" max="4"/>
    <col width="14.71" customWidth="1" style="61" min="5" max="6"/>
    <col width="50.71" customWidth="1" style="61" min="7" max="7"/>
    <col width="17.71" customWidth="1" style="61" min="8" max="8"/>
    <col width="14.71" customWidth="1" style="61" min="9" max="10"/>
    <col width="42.71" customWidth="1" style="61" min="11" max="11"/>
    <col width="10.71" customWidth="1" style="61" min="12" max="13"/>
  </cols>
  <sheetData>
    <row r="1" ht="37.5" customHeight="1" s="34">
      <c r="A1" s="62" t="inlineStr">
        <is>
          <t>Prose Evidence</t>
        </is>
      </c>
      <c r="B1" s="62" t="n"/>
      <c r="C1" s="62" t="n"/>
      <c r="D1" s="62" t="n"/>
      <c r="E1" s="62" t="n"/>
      <c r="F1" s="62" t="n"/>
      <c r="G1" s="62" t="n"/>
      <c r="H1" s="62" t="n"/>
      <c r="I1" s="62" t="n"/>
      <c r="J1" s="62" t="n"/>
      <c r="K1" s="62" t="n"/>
      <c r="L1" s="62" t="n"/>
      <c r="M1" s="62" t="n"/>
    </row>
    <row r="2" ht="27.75" customHeight="1" s="34">
      <c r="A2" s="50" t="inlineStr">
        <is>
          <t>Assertion-level descendant typography, trust boundary, browser, documentation, Consumer, and release evidence.</t>
        </is>
      </c>
      <c r="B2" s="50" t="n"/>
      <c r="C2" s="50" t="n"/>
      <c r="D2" s="50" t="n"/>
      <c r="E2" s="50" t="n"/>
      <c r="F2" s="50" t="n"/>
      <c r="G2" s="50" t="n"/>
      <c r="H2" s="50" t="n"/>
      <c r="I2" s="50" t="n"/>
      <c r="J2" s="50" t="n"/>
      <c r="K2" s="50" t="n"/>
      <c r="L2" s="50" t="n"/>
      <c r="M2" s="50" t="n"/>
    </row>
    <row r="4" ht="17.25" customHeight="1" s="34">
      <c r="A4" s="50" t="inlineStr">
        <is>
          <t>Requirements</t>
        </is>
      </c>
      <c r="B4" s="63">
        <f>COUNTA(A9:A25)</f>
        <v/>
      </c>
      <c r="C4" s="50" t="n"/>
      <c r="D4" s="50" t="inlineStr">
        <is>
          <t>Resolved</t>
        </is>
      </c>
      <c r="E4" s="63">
        <f>SUM(M9:M25)</f>
        <v/>
      </c>
      <c r="F4" s="50" t="n"/>
      <c r="G4" s="50" t="inlineStr">
        <is>
          <t>Completion</t>
        </is>
      </c>
      <c r="H4" s="63">
        <f>IF(B4=0,0,E4/B4)</f>
        <v/>
      </c>
      <c r="I4" s="50" t="n"/>
      <c r="J4" s="50" t="inlineStr">
        <is>
          <t>Package gate</t>
        </is>
      </c>
      <c r="K4" s="63">
        <f>IF(COUNTIFS(E9:E25,"package",M9:M25,0)&gt;0,"open","complete")</f>
        <v/>
      </c>
      <c r="L4" s="50" t="n"/>
      <c r="M4" s="50" t="n"/>
    </row>
    <row r="5" ht="17.25" customHeight="1" s="34">
      <c r="A5" s="50" t="inlineStr">
        <is>
          <t>Manual review</t>
        </is>
      </c>
      <c r="B5" s="63">
        <f>IF(COUNTIFS(I9:I25,"yes",M9:M25,0)&gt;0,"open","complete")</f>
        <v/>
      </c>
      <c r="C5" s="50" t="n"/>
      <c r="D5" s="50" t="inlineStr">
        <is>
          <t>Consumer gate</t>
        </is>
      </c>
      <c r="E5" s="63">
        <f>IF(COUNTIFS(E9:E25,"consumer",M9:M25,0)&gt;0,"open","complete")</f>
        <v/>
      </c>
      <c r="F5" s="50" t="n"/>
      <c r="G5" s="50" t="n"/>
      <c r="H5" s="50" t="n"/>
      <c r="I5" s="50" t="n"/>
      <c r="J5" s="50" t="n"/>
      <c r="K5" s="50" t="n"/>
      <c r="L5" s="50" t="n"/>
      <c r="M5" s="50" t="n"/>
    </row>
    <row r="8" ht="15" customHeight="1" s="34">
      <c r="A8" s="52" t="inlineStr">
        <is>
          <t>ID</t>
        </is>
      </c>
      <c r="B8" s="52" t="inlineStr">
        <is>
          <t>Area</t>
        </is>
      </c>
      <c r="C8" s="52" t="inlineStr">
        <is>
          <t>Part</t>
        </is>
      </c>
      <c r="D8" s="52" t="inlineStr">
        <is>
          <t>Requirement</t>
        </is>
      </c>
      <c r="E8" s="52" t="inlineStr">
        <is>
          <t>Gate</t>
        </is>
      </c>
      <c r="F8" s="52" t="inlineStr">
        <is>
          <t>Evidence type</t>
        </is>
      </c>
      <c r="G8" s="52" t="inlineStr">
        <is>
          <t>Evidence / link</t>
        </is>
      </c>
      <c r="H8" s="52" t="inlineStr">
        <is>
          <t>Status</t>
        </is>
      </c>
      <c r="I8" s="52" t="inlineStr">
        <is>
          <t>Human review?</t>
        </is>
      </c>
      <c r="J8" s="52" t="inlineStr">
        <is>
          <t>Last verified</t>
        </is>
      </c>
      <c r="K8" s="52" t="inlineStr">
        <is>
          <t>Blocker / N/A reason</t>
        </is>
      </c>
      <c r="L8" s="52" t="inlineStr">
        <is>
          <t>Weight</t>
        </is>
      </c>
      <c r="M8" s="52" t="inlineStr">
        <is>
          <t>Resolved</t>
        </is>
      </c>
    </row>
    <row r="9" ht="54" customHeight="1" s="34">
      <c r="A9" s="54" t="inlineStr">
        <is>
          <t>PR-01</t>
        </is>
      </c>
      <c r="B9" s="54" t="inlineStr">
        <is>
          <t>Implementation</t>
        </is>
      </c>
      <c r="C9" s="54" t="inlineStr">
        <is>
          <t>Prose</t>
        </is>
      </c>
      <c r="D9" s="54" t="inlineStr">
        <is>
          <t>The public Prose owner and its approved native anatomy are implemented.</t>
        </is>
      </c>
      <c r="E9" s="54" t="inlineStr">
        <is>
          <t>package</t>
        </is>
      </c>
      <c r="F9" s="54" t="inlineStr">
        <is>
          <t>source</t>
        </is>
      </c>
      <c r="G9" s="54" t="inlineStr">
        <is>
          <t>../src/components/prose</t>
        </is>
      </c>
      <c r="H9" s="55" t="inlineStr">
        <is>
          <t>tested</t>
        </is>
      </c>
      <c r="I9" s="54" t="inlineStr">
        <is>
          <t>no</t>
        </is>
      </c>
      <c r="J9" s="56" t="n">
        <v>46264</v>
      </c>
      <c r="K9" s="54" t="n"/>
      <c r="L9" s="57" t="n">
        <v>1</v>
      </c>
      <c r="M9" s="57">
        <f>IF(OR(AND(I9="yes",H9="verified"),AND(I9="no",OR(H9="tested",H9="verified")),AND(H9="not applicable",K9&lt;&gt;"")),1,0)</f>
        <v/>
      </c>
    </row>
    <row r="10" ht="54" customHeight="1" s="34">
      <c r="A10" s="54" t="inlineStr">
        <is>
          <t>PR-02</t>
        </is>
      </c>
      <c r="B10" s="54" t="inlineStr">
        <is>
          <t>Ownership</t>
        </is>
      </c>
      <c r="C10" s="54" t="inlineStr">
        <is>
          <t>Prose</t>
        </is>
      </c>
      <c r="D10" s="54" t="inlineStr">
        <is>
          <t>Trusted React descendants receive coherent typography without parsing, sanitizing, fetching, or persisting content.</t>
        </is>
      </c>
      <c r="E10" s="54" t="inlineStr">
        <is>
          <t>package</t>
        </is>
      </c>
      <c r="F10" s="54" t="inlineStr">
        <is>
          <t>component</t>
        </is>
      </c>
      <c r="G10" s="54" t="inlineStr">
        <is>
          <t>../test/components/prose/prose.test.tsx; ../docs/components/prose/README.md</t>
        </is>
      </c>
      <c r="H10" s="55" t="inlineStr">
        <is>
          <t>tested</t>
        </is>
      </c>
      <c r="I10" s="54" t="inlineStr">
        <is>
          <t>no</t>
        </is>
      </c>
      <c r="J10" s="56" t="n">
        <v>46264</v>
      </c>
      <c r="K10" s="54" t="n"/>
      <c r="L10" s="57" t="n">
        <v>1</v>
      </c>
      <c r="M10" s="57">
        <f>IF(OR(AND(I10="yes",H10="verified"),AND(I10="no",OR(H10="tested",H10="verified")),AND(H10="not applicable",K10&lt;&gt;"")),1,0)</f>
        <v/>
      </c>
    </row>
    <row r="11" ht="54" customHeight="1" s="34">
      <c r="A11" s="54" t="inlineStr">
        <is>
          <t>PR-03</t>
        </is>
      </c>
      <c r="B11" s="54" t="inlineStr">
        <is>
          <t>Exports</t>
        </is>
      </c>
      <c r="C11" s="54" t="inlineStr">
        <is>
          <t>Prose</t>
        </is>
      </c>
      <c r="D11" s="54" t="inlineStr">
        <is>
          <t>Root and public Prose subpath exports expose the runtime and every public type.</t>
        </is>
      </c>
      <c r="E11" s="54" t="inlineStr">
        <is>
          <t>package</t>
        </is>
      </c>
      <c r="F11" s="54" t="inlineStr">
        <is>
          <t>package</t>
        </is>
      </c>
      <c r="G11" s="54" t="inlineStr">
        <is>
          <t>../test/package/package.test.mjs; ../test/package/ssr.test.mjs</t>
        </is>
      </c>
      <c r="H11" s="55" t="inlineStr">
        <is>
          <t>tested</t>
        </is>
      </c>
      <c r="I11" s="54" t="inlineStr">
        <is>
          <t>no</t>
        </is>
      </c>
      <c r="J11" s="56" t="n">
        <v>46264</v>
      </c>
      <c r="K11" s="54" t="n"/>
      <c r="L11" s="57" t="n">
        <v>1</v>
      </c>
      <c r="M11" s="57">
        <f>IF(OR(AND(I11="yes",H11="verified"),AND(I11="no",OR(H11="tested",H11="verified")),AND(H11="not applicable",K11&lt;&gt;"")),1,0)</f>
        <v/>
      </c>
    </row>
    <row r="12" ht="54" customHeight="1" s="34">
      <c r="A12" s="54" t="inlineStr">
        <is>
          <t>PR-04</t>
        </is>
      </c>
      <c r="B12" s="54" t="inlineStr">
        <is>
          <t>Types</t>
        </is>
      </c>
      <c r="C12" s="54" t="inlineStr">
        <is>
          <t>Prose</t>
        </is>
      </c>
      <c r="D12" s="54" t="inlineStr">
        <is>
          <t>Native attributes, recipes, composition branches, and ref contracts type-check.</t>
        </is>
      </c>
      <c r="E12" s="54" t="inlineStr">
        <is>
          <t>package</t>
        </is>
      </c>
      <c r="F12" s="54" t="inlineStr">
        <is>
          <t>types</t>
        </is>
      </c>
      <c r="G12" s="54" t="inlineStr">
        <is>
          <t>../test/types/components/prose.test.ts</t>
        </is>
      </c>
      <c r="H12" s="55" t="inlineStr">
        <is>
          <t>tested</t>
        </is>
      </c>
      <c r="I12" s="54" t="inlineStr">
        <is>
          <t>no</t>
        </is>
      </c>
      <c r="J12" s="56" t="n">
        <v>46264</v>
      </c>
      <c r="K12" s="54" t="n"/>
      <c r="L12" s="57" t="n">
        <v>1</v>
      </c>
      <c r="M12" s="57">
        <f>IF(OR(AND(I12="yes",H12="verified"),AND(I12="no",OR(H12="tested",H12="verified")),AND(H12="not applicable",K12&lt;&gt;"")),1,0)</f>
        <v/>
      </c>
    </row>
    <row r="13" ht="54" customHeight="1" s="34">
      <c r="A13" s="54" t="inlineStr">
        <is>
          <t>PR-05</t>
        </is>
      </c>
      <c r="B13" s="54" t="inlineStr">
        <is>
          <t>CSS</t>
        </is>
      </c>
      <c r="C13" s="54" t="inlineStr">
        <is>
          <t>Prose</t>
        </is>
      </c>
      <c r="D13" s="54" t="inlineStr">
        <is>
          <t>Static CSS ships the approved recipes, tokens, states, preferences, and public hooks.</t>
        </is>
      </c>
      <c r="E13" s="54" t="inlineStr">
        <is>
          <t>package</t>
        </is>
      </c>
      <c r="F13" s="54" t="inlineStr">
        <is>
          <t>css</t>
        </is>
      </c>
      <c r="G13" s="54" t="inlineStr">
        <is>
          <t>../src/components/prose/prose.css</t>
        </is>
      </c>
      <c r="H13" s="55" t="inlineStr">
        <is>
          <t>tested</t>
        </is>
      </c>
      <c r="I13" s="54" t="inlineStr">
        <is>
          <t>no</t>
        </is>
      </c>
      <c r="J13" s="56" t="n">
        <v>46264</v>
      </c>
      <c r="K13" s="54" t="n"/>
      <c r="L13" s="57" t="n">
        <v>1</v>
      </c>
      <c r="M13" s="57">
        <f>IF(OR(AND(I13="yes",H13="verified"),AND(I13="no",OR(H13="tested",H13="verified")),AND(H13="not applicable",K13&lt;&gt;"")),1,0)</f>
        <v/>
      </c>
    </row>
    <row r="14" ht="54" customHeight="1" s="34">
      <c r="A14" s="54" t="inlineStr">
        <is>
          <t>PR-06</t>
        </is>
      </c>
      <c r="B14" s="54" t="inlineStr">
        <is>
          <t>Unit</t>
        </is>
      </c>
      <c r="C14" s="54" t="inlineStr">
        <is>
          <t>Prose</t>
        </is>
      </c>
      <c r="D14" s="54" t="inlineStr">
        <is>
          <t>Native host selection, measure, scale, descendant hooks, refs, native forwarding, and safe children pass.</t>
        </is>
      </c>
      <c r="E14" s="54" t="inlineStr">
        <is>
          <t>package</t>
        </is>
      </c>
      <c r="F14" s="54" t="inlineStr">
        <is>
          <t>component</t>
        </is>
      </c>
      <c r="G14" s="54" t="inlineStr">
        <is>
          <t>../test/components/prose/prose.test.tsx</t>
        </is>
      </c>
      <c r="H14" s="55" t="inlineStr">
        <is>
          <t>tested</t>
        </is>
      </c>
      <c r="I14" s="54" t="inlineStr">
        <is>
          <t>no</t>
        </is>
      </c>
      <c r="J14" s="56" t="n">
        <v>46264</v>
      </c>
      <c r="K14" s="54" t="n"/>
      <c r="L14" s="57" t="n">
        <v>1</v>
      </c>
      <c r="M14" s="57">
        <f>IF(OR(AND(I14="yes",H14="verified"),AND(I14="no",OR(H14="tested",H14="verified")),AND(H14="not applicable",K14&lt;&gt;"")),1,0)</f>
        <v/>
      </c>
    </row>
    <row r="15" ht="54" customHeight="1" s="34">
      <c r="A15" s="54" t="inlineStr">
        <is>
          <t>PR-07</t>
        </is>
      </c>
      <c r="B15" s="54" t="inlineStr">
        <is>
          <t>Browser</t>
        </is>
      </c>
      <c r="C15" s="54" t="inlineStr">
        <is>
          <t>Prose</t>
        </is>
      </c>
      <c r="D15" s="54" t="inlineStr">
        <is>
          <t>Headings, paragraphs, links, lists, quotes, tables, code, rules, media, zoom, RTL, and reflow pass.</t>
        </is>
      </c>
      <c r="E15" s="54" t="inlineStr">
        <is>
          <t>package</t>
        </is>
      </c>
      <c r="F15" s="54" t="inlineStr">
        <is>
          <t>browser</t>
        </is>
      </c>
      <c r="G15" s="54" t="inlineStr">
        <is>
          <t>tests/components/prose/behavior.spec.ts</t>
        </is>
      </c>
      <c r="H15" s="55" t="inlineStr">
        <is>
          <t>tested</t>
        </is>
      </c>
      <c r="I15" s="54" t="inlineStr">
        <is>
          <t>no</t>
        </is>
      </c>
      <c r="J15" s="56" t="n">
        <v>46264</v>
      </c>
      <c r="K15" s="54" t="n"/>
      <c r="L15" s="57" t="n">
        <v>1</v>
      </c>
      <c r="M15" s="57">
        <f>IF(OR(AND(I15="yes",H15="verified"),AND(I15="no",OR(H15="tested",H15="verified")),AND(H15="not applicable",K15&lt;&gt;"")),1,0)</f>
        <v/>
      </c>
    </row>
    <row r="16" ht="54" customHeight="1" s="34">
      <c r="A16" s="54" t="inlineStr">
        <is>
          <t>PR-08</t>
        </is>
      </c>
      <c r="B16" s="54" t="inlineStr">
        <is>
          <t>Accessibility</t>
        </is>
      </c>
      <c r="C16" s="54" t="inlineStr">
        <is>
          <t>Prose</t>
        </is>
      </c>
      <c r="D16" s="54" t="inlineStr">
        <is>
          <t>Semantic descendant output, readable measure, text spacing, contrast, keyboard links, and axe pass.</t>
        </is>
      </c>
      <c r="E16" s="54" t="inlineStr">
        <is>
          <t>package</t>
        </is>
      </c>
      <c r="F16" s="54" t="inlineStr">
        <is>
          <t>axe</t>
        </is>
      </c>
      <c r="G16" s="54" t="inlineStr">
        <is>
          <t>tests/components/prose/behavior.spec.ts</t>
        </is>
      </c>
      <c r="H16" s="55" t="inlineStr">
        <is>
          <t>tested</t>
        </is>
      </c>
      <c r="I16" s="54" t="inlineStr">
        <is>
          <t>no</t>
        </is>
      </c>
      <c r="J16" s="56" t="n">
        <v>46264</v>
      </c>
      <c r="K16" s="54" t="n"/>
      <c r="L16" s="57" t="n">
        <v>1</v>
      </c>
      <c r="M16" s="57">
        <f>IF(OR(AND(I16="yes",H16="verified"),AND(I16="no",OR(H16="tested",H16="verified")),AND(H16="not applicable",K16&lt;&gt;"")),1,0)</f>
        <v/>
      </c>
    </row>
    <row r="17" ht="54" customHeight="1" s="34">
      <c r="A17" s="54" t="inlineStr">
        <is>
          <t>PR-09</t>
        </is>
      </c>
      <c r="B17" s="54" t="inlineStr">
        <is>
          <t>Visual</t>
        </is>
      </c>
      <c r="C17" s="54" t="inlineStr">
        <is>
          <t>Prose</t>
        </is>
      </c>
      <c r="D17" s="54" t="inlineStr">
        <is>
          <t>Representative editorial content, scales, measures, customization, light, dark, forced colors, and mobile own baselines.</t>
        </is>
      </c>
      <c r="E17" s="54" t="inlineStr">
        <is>
          <t>package</t>
        </is>
      </c>
      <c r="F17" s="54" t="inlineStr">
        <is>
          <t>visual</t>
        </is>
      </c>
      <c r="G17" s="54" t="inlineStr">
        <is>
          <t>tests/components/prose/visual.spec.ts</t>
        </is>
      </c>
      <c r="H17" s="58" t="inlineStr">
        <is>
          <t>verified</t>
        </is>
      </c>
      <c r="I17" s="54" t="inlineStr">
        <is>
          <t>yes</t>
        </is>
      </c>
      <c r="J17" s="56" t="n">
        <v>46264</v>
      </c>
      <c r="K17" s="54" t="inlineStr">
        <is>
          <t>Owner visual review completed against accepted desktop, dark RTL, 320 CSS px with 200% text spacing, mobile, and forced-color evidence on August 30, 2026.</t>
        </is>
      </c>
      <c r="L17" s="57" t="n">
        <v>1</v>
      </c>
      <c r="M17" s="57">
        <f>IF(OR(AND(I17="yes",H17="verified"),AND(I17="no",OR(H17="tested",H17="verified")),AND(H17="not applicable",K17&lt;&gt;"")),1,0)</f>
        <v/>
      </c>
    </row>
    <row r="18" ht="54" customHeight="1" s="34">
      <c r="A18" s="54" t="inlineStr">
        <is>
          <t>PR-10</t>
        </is>
      </c>
      <c r="B18" s="54" t="inlineStr">
        <is>
          <t>Responsive</t>
        </is>
      </c>
      <c r="C18" s="54" t="inlineStr">
        <is>
          <t>Prose</t>
        </is>
      </c>
      <c r="D18" s="54" t="inlineStr">
        <is>
          <t>Long editorial content, tables, code, media, mobile widths, zoom, and RTL stay usable and contained.</t>
        </is>
      </c>
      <c r="E18" s="54" t="inlineStr">
        <is>
          <t>package</t>
        </is>
      </c>
      <c r="F18" s="54" t="inlineStr">
        <is>
          <t>manual</t>
        </is>
      </c>
      <c r="G18" s="54" t="inlineStr">
        <is>
          <t>manual-tests/prose.md</t>
        </is>
      </c>
      <c r="H18" s="58" t="inlineStr">
        <is>
          <t>verified</t>
        </is>
      </c>
      <c r="I18" s="54" t="inlineStr">
        <is>
          <t>yes</t>
        </is>
      </c>
      <c r="J18" s="56" t="n">
        <v>46264</v>
      </c>
      <c r="K18" s="54" t="inlineStr">
        <is>
          <t>Automated browser evidence and owner visual review pass at 320/390 CSS px, zoom-equivalent reflow, text-spacing stress, localization, and RTL. Physical-device evidence remains separate.</t>
        </is>
      </c>
      <c r="L18" s="57" t="n">
        <v>1</v>
      </c>
      <c r="M18" s="57">
        <f>IF(OR(AND(I18="yes",H18="verified"),AND(I18="no",OR(H18="tested",H18="verified")),AND(H18="not applicable",K18&lt;&gt;"")),1,0)</f>
        <v/>
      </c>
    </row>
    <row r="19" ht="54" customHeight="1" s="34">
      <c r="A19" s="54" t="inlineStr">
        <is>
          <t>PR-11</t>
        </is>
      </c>
      <c r="B19" s="54" t="inlineStr">
        <is>
          <t>Theme</t>
        </is>
      </c>
      <c r="C19" s="54" t="inlineStr">
        <is>
          <t>Prose</t>
        </is>
      </c>
      <c r="D19" s="54" t="inlineStr">
        <is>
          <t>All descendant selectors preserve hierarchy and readable contrast across appearances and forced colors.</t>
        </is>
      </c>
      <c r="E19" s="54" t="inlineStr">
        <is>
          <t>package</t>
        </is>
      </c>
      <c r="F19" s="54" t="inlineStr">
        <is>
          <t>manual</t>
        </is>
      </c>
      <c r="G19" s="54" t="inlineStr">
        <is>
          <t>manual-tests/prose.md; tests/components/prose/visual.spec.ts</t>
        </is>
      </c>
      <c r="H19" s="58" t="inlineStr">
        <is>
          <t>verified</t>
        </is>
      </c>
      <c r="I19" s="54" t="inlineStr">
        <is>
          <t>yes</t>
        </is>
      </c>
      <c r="J19" s="56" t="n">
        <v>46264</v>
      </c>
      <c r="K19" s="54" t="inlineStr">
        <is>
          <t>Owner review confirms light, dark, customized, and forced-color evidence remains readable with the documented semantic roles and component boundaries.</t>
        </is>
      </c>
      <c r="L19" s="57" t="n">
        <v>1</v>
      </c>
      <c r="M19" s="57">
        <f>IF(OR(AND(I19="yes",H19="verified"),AND(I19="no",OR(H19="tested",H19="verified")),AND(H19="not applicable",K19&lt;&gt;"")),1,0)</f>
        <v/>
      </c>
    </row>
    <row r="20" ht="54" customHeight="1" s="34">
      <c r="A20" s="54" t="inlineStr">
        <is>
          <t>PR-12</t>
        </is>
      </c>
      <c r="B20" s="54" t="inlineStr">
        <is>
          <t>Semantics</t>
        </is>
      </c>
      <c r="C20" s="54" t="inlineStr">
        <is>
          <t>Prose</t>
        </is>
      </c>
      <c r="D20" s="54" t="inlineStr">
        <is>
          <t>Prose styles trusted React output only and exposes no unsafe HTML, Markdown, or sanitization shortcut.</t>
        </is>
      </c>
      <c r="E20" s="54" t="inlineStr">
        <is>
          <t>package</t>
        </is>
      </c>
      <c r="F20" s="54" t="inlineStr">
        <is>
          <t>browser</t>
        </is>
      </c>
      <c r="G20" s="54" t="inlineStr">
        <is>
          <t>tests/components/prose/behavior.spec.ts</t>
        </is>
      </c>
      <c r="H20" s="55" t="inlineStr">
        <is>
          <t>tested</t>
        </is>
      </c>
      <c r="I20" s="54" t="inlineStr">
        <is>
          <t>no</t>
        </is>
      </c>
      <c r="J20" s="56" t="n">
        <v>46264</v>
      </c>
      <c r="K20" s="54" t="n"/>
      <c r="L20" s="57" t="n">
        <v>1</v>
      </c>
      <c r="M20" s="57">
        <f>IF(OR(AND(I20="yes",H20="verified"),AND(I20="no",OR(H20="tested",H20="verified")),AND(H20="not applicable",K20&lt;&gt;"")),1,0)</f>
        <v/>
      </c>
    </row>
    <row r="21" ht="54" customHeight="1" s="34">
      <c r="A21" s="54" t="inlineStr">
        <is>
          <t>PR-13</t>
        </is>
      </c>
      <c r="B21" s="54" t="inlineStr">
        <is>
          <t>Manual</t>
        </is>
      </c>
      <c r="C21" s="54" t="inlineStr">
        <is>
          <t>Prose</t>
        </is>
      </c>
      <c r="D21" s="54" t="inlineStr">
        <is>
          <t>The component-owned manual protocol covers every Prose playground scenario.</t>
        </is>
      </c>
      <c r="E21" s="54" t="inlineStr">
        <is>
          <t>package</t>
        </is>
      </c>
      <c r="F21" s="54" t="inlineStr">
        <is>
          <t>manual</t>
        </is>
      </c>
      <c r="G21" s="54" t="inlineStr">
        <is>
          <t>manual-tests/prose.md</t>
        </is>
      </c>
      <c r="H21" s="58" t="inlineStr">
        <is>
          <t>verified</t>
        </is>
      </c>
      <c r="I21" s="54" t="inlineStr">
        <is>
          <t>yes</t>
        </is>
      </c>
      <c r="J21" s="56" t="n">
        <v>46264</v>
      </c>
      <c r="K21" s="54" t="inlineStr">
        <is>
          <t>Safari 26.5 with macOS VoiceOver 26.5.1 verified natural source order and native semantics on August 30, 2026. Passive typography owners add no tab stops or duplicate announcements. Blockquote reads quotation then attribution once, Highlight preserves the original text once, Prose exposes native editorial relationships, and Code Block exposes authored viewport names plus one polite copied status while retaining focus on Copy source.</t>
        </is>
      </c>
      <c r="L21" s="57" t="n">
        <v>1</v>
      </c>
      <c r="M21" s="57">
        <f>IF(OR(AND(I21="yes",H21="verified"),AND(I21="no",OR(H21="tested",H21="verified")),AND(H21="not applicable",K21&lt;&gt;"")),1,0)</f>
        <v/>
      </c>
    </row>
    <row r="22" ht="54" customHeight="1" s="34">
      <c r="A22" s="54" t="inlineStr">
        <is>
          <t>PR-14</t>
        </is>
      </c>
      <c r="B22" s="54" t="inlineStr">
        <is>
          <t>Docs</t>
        </is>
      </c>
      <c r="C22" s="54" t="inlineStr">
        <is>
          <t>Prose</t>
        </is>
      </c>
      <c r="D22" s="54" t="inlineStr">
        <is>
          <t>Source-backed public usage, API, accessibility, and token documentation passes.</t>
        </is>
      </c>
      <c r="E22" s="54" t="inlineStr">
        <is>
          <t>package</t>
        </is>
      </c>
      <c r="F22" s="54" t="inlineStr">
        <is>
          <t>docs</t>
        </is>
      </c>
      <c r="G22" s="54" t="inlineStr">
        <is>
          <t>../docs/components/prose/README.md</t>
        </is>
      </c>
      <c r="H22" s="55" t="inlineStr">
        <is>
          <t>tested</t>
        </is>
      </c>
      <c r="I22" s="54" t="inlineStr">
        <is>
          <t>no</t>
        </is>
      </c>
      <c r="J22" s="56" t="n">
        <v>46264</v>
      </c>
      <c r="K22" s="54" t="n"/>
      <c r="L22" s="57" t="n">
        <v>1</v>
      </c>
      <c r="M22" s="57">
        <f>IF(OR(AND(I22="yes",H22="verified"),AND(I22="no",OR(H22="tested",H22="verified")),AND(H22="not applicable",K22&lt;&gt;"")),1,0)</f>
        <v/>
      </c>
    </row>
    <row r="23" ht="54" customHeight="1" s="34">
      <c r="A23" s="54" t="inlineStr">
        <is>
          <t>PR-15</t>
        </is>
      </c>
      <c r="B23" s="54" t="inlineStr">
        <is>
          <t>Changelog</t>
        </is>
      </c>
      <c r="C23" s="54" t="inlineStr">
        <is>
          <t>Prose</t>
        </is>
      </c>
      <c r="D23" s="54" t="inlineStr">
        <is>
          <t>Prose owns a public changelog and the package changelog records its addition.</t>
        </is>
      </c>
      <c r="E23" s="54" t="inlineStr">
        <is>
          <t>package</t>
        </is>
      </c>
      <c r="F23" s="54" t="inlineStr">
        <is>
          <t>docs</t>
        </is>
      </c>
      <c r="G23" s="54" t="inlineStr">
        <is>
          <t>../docs/components/prose/CHANGELOG.md; ../CHANGELOG.md</t>
        </is>
      </c>
      <c r="H23" s="55" t="inlineStr">
        <is>
          <t>tested</t>
        </is>
      </c>
      <c r="I23" s="54" t="inlineStr">
        <is>
          <t>no</t>
        </is>
      </c>
      <c r="J23" s="56" t="n">
        <v>46264</v>
      </c>
      <c r="K23" s="54" t="n"/>
      <c r="L23" s="57" t="n">
        <v>1</v>
      </c>
      <c r="M23" s="57">
        <f>IF(OR(AND(I23="yes",H23="verified"),AND(I23="no",OR(H23="tested",H23="verified")),AND(H23="not applicable",K23&lt;&gt;"")),1,0)</f>
        <v/>
      </c>
    </row>
    <row r="24" ht="54" customHeight="1" s="34">
      <c r="A24" s="54" t="inlineStr">
        <is>
          <t>PR-16</t>
        </is>
      </c>
      <c r="B24" s="54" t="inlineStr">
        <is>
          <t>Consumer</t>
        </is>
      </c>
      <c r="C24" s="54" t="inlineStr">
        <is>
          <t>Prose</t>
        </is>
      </c>
      <c r="D24" s="54" t="inlineStr">
        <is>
          <t>The packed Consumer proves Prose through the public package subpath.</t>
        </is>
      </c>
      <c r="E24" s="54" t="inlineStr">
        <is>
          <t>consumer</t>
        </is>
      </c>
      <c r="F24" s="54" t="inlineStr">
        <is>
          <t>consumer</t>
        </is>
      </c>
      <c r="G24" s="54" t="inlineStr">
        <is>
          <t>../apps/consumer/src/App.tsx; ../apps/consumer/tests/consumer.spec.ts</t>
        </is>
      </c>
      <c r="H24" s="55" t="inlineStr">
        <is>
          <t>tested</t>
        </is>
      </c>
      <c r="I24" s="54" t="inlineStr">
        <is>
          <t>no</t>
        </is>
      </c>
      <c r="J24" s="56" t="n">
        <v>46264</v>
      </c>
      <c r="K24" s="54" t="n"/>
      <c r="L24" s="57" t="n">
        <v>1</v>
      </c>
      <c r="M24" s="57">
        <f>IF(OR(AND(I24="yes",H24="verified"),AND(I24="no",OR(H24="tested",H24="verified")),AND(H24="not applicable",K24&lt;&gt;"")),1,0)</f>
        <v/>
      </c>
    </row>
    <row r="25" ht="54" customHeight="1" s="34">
      <c r="A25" s="54" t="inlineStr">
        <is>
          <t>PR-17</t>
        </is>
      </c>
      <c r="B25" s="54" t="inlineStr">
        <is>
          <t>Package</t>
        </is>
      </c>
      <c r="C25" s="54" t="inlineStr">
        <is>
          <t>Prose</t>
        </is>
      </c>
      <c r="D25" s="54" t="inlineStr">
        <is>
          <t>Build, SSR, exports, CSS, Agent Knowledge, tarball, React 18/19, and packed-consumer verification pass.</t>
        </is>
      </c>
      <c r="E25" s="54" t="inlineStr">
        <is>
          <t>package</t>
        </is>
      </c>
      <c r="F25" s="54" t="inlineStr">
        <is>
          <t>package</t>
        </is>
      </c>
      <c r="G25" s="54" t="inlineStr">
        <is>
          <t>../test/package; ../scripts/verify-package.mjs; ../scripts/verify-consumers.mjs</t>
        </is>
      </c>
      <c r="H25" s="58" t="inlineStr">
        <is>
          <t>verified</t>
        </is>
      </c>
      <c r="I25" s="54" t="inlineStr">
        <is>
          <t>yes</t>
        </is>
      </c>
      <c r="J25" s="56" t="n">
        <v>46264</v>
      </c>
      <c r="K25" s="54" t="inlineStr">
        <is>
          <t>The final Brick 0.1.12 candidate passes repository, SSR, types, CSS, Agent Knowledge, archive, React 18/19 Consumer, and complete configured desktop/mobile browser qualification against exact Atom 0.25.1. The required Safari 26.5 and macOS VoiceOver 26.5.1 protocol was completed on August 30, 2026.</t>
        </is>
      </c>
      <c r="L25" s="57" t="n">
        <v>1</v>
      </c>
      <c r="M25" s="57">
        <f>IF(OR(AND(I25="yes",H25="verified"),AND(I25="no",OR(H25="tested",H25="verified")),AND(H25="not applicable",K25&lt;&gt;"")),1,0)</f>
        <v/>
      </c>
    </row>
  </sheetData>
  <dataValidations count="2">
    <dataValidation sqref="H9:H25" showDropDown="0" showInputMessage="0" showErrorMessage="0" allowBlank="0" type="list" errorStyle="stop" operator="between">
      <formula1>_Lists!$A$1:$A$7</formula1>
      <formula2>0</formula2>
    </dataValidation>
    <dataValidation sqref="I9:I25" showDropDown="0" showInputMessage="0" showErrorMessage="0" allowBlank="0" type="list" errorStyle="stop" operator="between">
      <formula1>_Lists!$B$1:$B$2</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en-US</dc:language>
  <dcterms:created xmlns:dcterms="http://purl.org/dc/terms/" xmlns:xsi="http://www.w3.org/2001/XMLSchema-instance" xsi:type="dcterms:W3CDTF">2026-08-30T20:14:48Z</dcterms:created>
  <dcterms:modified xmlns:dcterms="http://purl.org/dc/terms/" xmlns:xsi="http://www.w3.org/2001/XMLSchema-instance" xsi:type="dcterms:W3CDTF">2026-08-30T22:55:35Z</dcterms:modified>
  <cp:revision>0</cp:revision>
</cp:coreProperties>
</file>