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  <Override PartName="/xl/worksheets/sheet39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ns1="http://schemas.openxmlformats.org/officeDocument/2006/relationships" name="List" sheetId="39" ns1:id="rId39"/>
  </sheets>
  <definedNames>
    <definedName name="_xlnm._FilterDatabase" localSheetId="0" hidden="1">'Index'!$A$7:$M$43</definedName>
    <definedName name="_xlnm.Print_Area" localSheetId="0">'Index'!$A$1:$M$43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Id="rId39" Type="http://schemas.openxmlformats.org/officeDocument/2006/relationships/worksheet" Target="/xl/worksheets/sheet39.xml"/><Relationship Type="http://schemas.openxmlformats.org/officeDocument/2006/relationships/styles" Target="styles.xml" Id="rId40"/><Relationship Type="http://schemas.openxmlformats.org/officeDocument/2006/relationships/theme" Target="theme/theme1.xml" Id="rId41"/></Relationships>
</file>

<file path=xl/tables/table1.xml><?xml version="1.0" encoding="utf-8"?>
<table xmlns="http://schemas.openxmlformats.org/spreadsheetml/2006/main" id="1" name="CoverageIndex" displayName="CoverageIndex" ref="A7:M31" headerRowCount="1" totalsRowCount="0" totalsRowShown="0">
  <autoFilter ref="A7:M31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36 independently exported components.</t>
        </is>
      </c>
    </row>
    <row r="4" ht="17.25" customHeight="1" s="17">
      <c r="A4" s="20" t="inlineStr">
        <is>
          <t>Components</t>
        </is>
      </c>
      <c r="B4" s="21">
        <f>COUNTA(A8:A43)</f>
        <v/>
      </c>
      <c r="D4" s="20" t="inlineStr">
        <is>
          <t>Complete</t>
        </is>
      </c>
      <c r="E4" s="21">
        <f>COUNTIF(M8:M43,"complete")</f>
        <v/>
      </c>
      <c r="G4" s="20" t="inlineStr">
        <is>
          <t>Blocked</t>
        </is>
      </c>
      <c r="H4" s="21">
        <f>COUNTIF(M8:M43,"blocked")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  <row r="41">
      <c r="A41" s="23" t="inlineStr">
        <is>
          <t>Icon</t>
        </is>
      </c>
      <c r="B41" s="23">
        <f>INDIRECT("'"&amp;A41&amp;"'!B4")</f>
        <v/>
      </c>
      <c r="C41" s="23">
        <f>COUNTIF(INDIRECT("'"&amp;A41&amp;"'!H9:H200"),"not started")</f>
        <v/>
      </c>
      <c r="D41" s="23">
        <f>COUNTIF(INDIRECT("'"&amp;A41&amp;"'!H9:H200"),"partial")</f>
        <v/>
      </c>
      <c r="E41" s="23">
        <f>COUNTIF(INDIRECT("'"&amp;A41&amp;"'!H9:H200"),"implemented")</f>
        <v/>
      </c>
      <c r="F41" s="23">
        <f>COUNTIF(INDIRECT("'"&amp;A41&amp;"'!H9:H200"),"tested")</f>
        <v/>
      </c>
      <c r="G41" s="23">
        <f>COUNTIF(INDIRECT("'"&amp;A41&amp;"'!H9:H200"),"verified")</f>
        <v/>
      </c>
      <c r="H41" s="23">
        <f>COUNTIF(INDIRECT("'"&amp;A41&amp;"'!H9:H200"),"blocked")</f>
        <v/>
      </c>
      <c r="I41" s="23">
        <f>COUNTIF(INDIRECT("'"&amp;A41&amp;"'!H9:H200"),"not applicable")</f>
        <v/>
      </c>
      <c r="J41" s="24">
        <f>INDIRECT("'"&amp;A41&amp;"'!H4")</f>
        <v/>
      </c>
      <c r="K41" s="23">
        <f>INDIRECT("'"&amp;A41&amp;"'!K4")</f>
        <v/>
      </c>
      <c r="L41" s="23">
        <f>INDIRECT("'"&amp;A41&amp;"'!E5")</f>
        <v/>
      </c>
      <c r="M41" s="23">
        <f>IF(AND(J41=1,K41="complete",L41="complete"),"complete",IF(H41&gt;0,"blocked","open"))</f>
        <v/>
      </c>
    </row>
    <row r="42">
      <c r="A42" s="23" t="inlineStr">
        <is>
          <t>Image</t>
        </is>
      </c>
      <c r="B42" s="23">
        <f>INDIRECT("'"&amp;A42&amp;"'!B4")</f>
        <v/>
      </c>
      <c r="C42" s="23">
        <f>COUNTIF(INDIRECT("'"&amp;A42&amp;"'!H9:H200"),"not started")</f>
        <v/>
      </c>
      <c r="D42" s="23">
        <f>COUNTIF(INDIRECT("'"&amp;A42&amp;"'!H9:H200"),"partial")</f>
        <v/>
      </c>
      <c r="E42" s="23">
        <f>COUNTIF(INDIRECT("'"&amp;A42&amp;"'!H9:H200"),"implemented")</f>
        <v/>
      </c>
      <c r="F42" s="23">
        <f>COUNTIF(INDIRECT("'"&amp;A42&amp;"'!H9:H200"),"tested")</f>
        <v/>
      </c>
      <c r="G42" s="23">
        <f>COUNTIF(INDIRECT("'"&amp;A42&amp;"'!H9:H200"),"verified")</f>
        <v/>
      </c>
      <c r="H42" s="23">
        <f>COUNTIF(INDIRECT("'"&amp;A42&amp;"'!H9:H200"),"blocked")</f>
        <v/>
      </c>
      <c r="I42" s="23">
        <f>COUNTIF(INDIRECT("'"&amp;A42&amp;"'!H9:H200"),"not applicable")</f>
        <v/>
      </c>
      <c r="J42" s="24">
        <f>INDIRECT("'"&amp;A42&amp;"'!H4")</f>
        <v/>
      </c>
      <c r="K42" s="23">
        <f>INDIRECT("'"&amp;A42&amp;"'!K4")</f>
        <v/>
      </c>
      <c r="L42" s="23">
        <f>INDIRECT("'"&amp;A42&amp;"'!E5")</f>
        <v/>
      </c>
      <c r="M42" s="23">
        <f>IF(AND(J42=1,K42="complete",L42="complete"),"complete",IF(H42&gt;0,"blocked","open"))</f>
        <v/>
      </c>
    </row>
    <row r="43">
      <c r="A43" s="23" t="inlineStr">
        <is>
          <t>List</t>
        </is>
      </c>
      <c r="B43" s="23">
        <f>INDIRECT("'"&amp;A43&amp;"'!B4")</f>
        <v/>
      </c>
      <c r="C43" s="23">
        <f>COUNTIF(INDIRECT("'"&amp;A43&amp;"'!H9:H200"),"not started")</f>
        <v/>
      </c>
      <c r="D43" s="23">
        <f>COUNTIF(INDIRECT("'"&amp;A43&amp;"'!H9:H200"),"partial")</f>
        <v/>
      </c>
      <c r="E43" s="23">
        <f>COUNTIF(INDIRECT("'"&amp;A43&amp;"'!H9:H200"),"implemented")</f>
        <v/>
      </c>
      <c r="F43" s="23">
        <f>COUNTIF(INDIRECT("'"&amp;A43&amp;"'!H9:H200"),"tested")</f>
        <v/>
      </c>
      <c r="G43" s="23">
        <f>COUNTIF(INDIRECT("'"&amp;A43&amp;"'!H9:H200"),"verified")</f>
        <v/>
      </c>
      <c r="H43" s="23">
        <f>COUNTIF(INDIRECT("'"&amp;A43&amp;"'!H9:H200"),"blocked")</f>
        <v/>
      </c>
      <c r="I43" s="23">
        <f>COUNTIF(INDIRECT("'"&amp;A43&amp;"'!H9:H200"),"not applicable")</f>
        <v/>
      </c>
      <c r="J43" s="24">
        <f>INDIRECT("'"&amp;A43&amp;"'!H4")</f>
        <v/>
      </c>
      <c r="K43" s="23">
        <f>INDIRECT("'"&amp;A43&amp;"'!K4")</f>
        <v/>
      </c>
      <c r="L43" s="23">
        <f>INDIRECT("'"&amp;A43&amp;"'!E5")</f>
        <v/>
      </c>
      <c r="M43" s="23">
        <f>IF(AND(J43=1,K43="complete",L43="complete"),"complete",IF(H43&gt;0,"blocked","open"))</f>
        <v/>
      </c>
    </row>
  </sheetData>
  <autoFilter ref="A7:M43"/>
  <mergeCells count="2">
    <mergeCell ref="A2:M2"/>
    <mergeCell ref="A1:M1"/>
  </mergeCells>
  <conditionalFormatting sqref="M8:M27">
    <cfRule type="containsText" rank="0" priority="2" equalAverage="0" operator="containsText" aboveAverage="0" dxfId="3" text="complete" percent="0" bottom="0">
      <formula>NOT(ISERROR(SEARCH("complete",M8)))</formula>
    </cfRule>
  </conditionalFormatting>
  <conditionalFormatting sqref="M28">
    <cfRule type="containsText" rank="0" priority="3" equalAverage="0" operator="containsText" aboveAverage="0" dxfId="3" text="complete" percent="0" bottom="0">
      <formula>NOT(ISERROR(SEARCH("complete",M28)))</formula>
    </cfRule>
  </conditionalFormatting>
  <conditionalFormatting sqref="M29">
    <cfRule type="containsText" rank="0" priority="4" equalAverage="0" operator="containsText" aboveAverage="0" dxfId="3" text="complete" percent="0" bottom="0">
      <formula>NOT(ISERROR(SEARCH("complete",M29)))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inlineStr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inlineStr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inlineStr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inlineStr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inlineStr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inlineStr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inlineStr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inlineStr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inlineStr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inlineStr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inlineStr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inlineStr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inlineStr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inlineStr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inlineStr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inlineStr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inlineStr"/>
      <c r="K9" s="27" t="inlineStr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inlineStr"/>
      <c r="K10" s="27" t="inlineStr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inlineStr"/>
      <c r="K11" s="27" t="inlineStr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inlineStr"/>
      <c r="K12" s="27" t="inlineStr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inlineStr"/>
      <c r="K13" s="27" t="inlineStr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inlineStr"/>
      <c r="K14" s="27" t="inlineStr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inlineStr"/>
      <c r="K15" s="27" t="inlineStr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inlineStr"/>
      <c r="K16" s="27" t="inlineStr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inlineStr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inlineStr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inlineStr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inlineStr"/>
      <c r="K20" s="27" t="inlineStr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/>
      <c r="K21" s="27" t="inlineStr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/>
      <c r="K22" s="27" t="inlineStr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inlineStr"/>
      <c r="K23" s="27" t="inlineStr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inlineStr"/>
      <c r="K24" s="27" t="inlineStr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200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/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/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/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/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/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/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Root and Item</t>
        </is>
      </c>
      <c r="D9" s="27" t="inlineStr">
        <is>
          <t>Root and Item adapt released Atom List while preserving native ul, ol, li, attributes, slots, composition, refs, and authored children.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../src/components/list</t>
        </is>
      </c>
      <c r="H9" s="26" t="inlineStr">
        <is>
          <t>tested</t>
        </is>
      </c>
      <c r="I9" s="26" t="inlineStr">
        <is>
          <t>no</t>
        </is>
      </c>
      <c r="J9" s="28" t="n">
        <v>46229</v>
      </c>
      <c r="K9" s="27" t="inlineStr">
        <is>
          <t/>
        </is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Anatomy</t>
        </is>
      </c>
      <c r="C10" s="26" t="inlineStr">
        <is>
          <t>Leading, Content, Title, Description, Trailing</t>
        </is>
      </c>
      <c r="D10" s="27" t="inlineStr">
        <is>
          <t>All five optional structured parts expose stable native hosts, refs, slots, and aligned passive row anatomy.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../test/components/list/list.test.tsx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46229</v>
      </c>
      <c r="K10" s="27" t="inlineStr">
        <is>
          <t/>
        </is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Exports</t>
        </is>
      </c>
      <c r="C11" s="26" t="inlineStr">
        <is>
          <t>List</t>
        </is>
      </c>
      <c r="D11" s="27" t="inlineStr">
        <is>
          <t>Root and List subpath exports expose the compound runtime and every public List type.</t>
        </is>
      </c>
      <c r="E11" s="26" t="inlineStr">
        <is>
          <t>package</t>
        </is>
      </c>
      <c r="F11" s="26" t="inlineStr">
        <is>
          <t>package</t>
        </is>
      </c>
      <c r="G11" s="27" t="inlineStr">
        <is>
          <t>../test/package/package.test.mjs; ../test/package/ssr.test.mjs</t>
        </is>
      </c>
      <c r="H11" s="26" t="inlineStr">
        <is>
          <t>tested</t>
        </is>
      </c>
      <c r="I11" s="26" t="inlineStr">
        <is>
          <t>no</t>
        </is>
      </c>
      <c r="J11" s="28" t="n">
        <v>46229</v>
      </c>
      <c r="K11" s="27" t="inlineStr">
        <is>
          <t/>
        </is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Types</t>
        </is>
      </c>
      <c r="C12" s="26" t="inlineStr">
        <is>
          <t>List</t>
        </is>
      </c>
      <c r="D12" s="27" t="inlineStr">
        <is>
          <t>Recipes, ordered attributes, native props, refs, disabled metadata, and Root/Item composition type-check.</t>
        </is>
      </c>
      <c r="E12" s="26" t="inlineStr">
        <is>
          <t>package</t>
        </is>
      </c>
      <c r="F12" s="26" t="inlineStr">
        <is>
          <t>types</t>
        </is>
      </c>
      <c r="G12" s="27" t="inlineStr">
        <is>
          <t>../test/types/components/list.test.ts</t>
        </is>
      </c>
      <c r="H12" s="26" t="inlineStr">
        <is>
          <t>tested</t>
        </is>
      </c>
      <c r="I12" s="26" t="inlineStr">
        <is>
          <t>no</t>
        </is>
      </c>
      <c r="J12" s="28" t="n">
        <v>46229</v>
      </c>
      <c r="K12" s="27" t="inlineStr">
        <is>
          <t/>
        </is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CSS</t>
        </is>
      </c>
      <c r="C13" s="26" t="inlineStr">
        <is>
          <t>List</t>
        </is>
      </c>
      <c r="D13" s="27" t="inlineStr">
        <is>
          <t>Static CSS ships variants, sizes, densities, all markers, structured anatomy, nesting, forced colors, and public variables.</t>
        </is>
      </c>
      <c r="E13" s="26" t="inlineStr">
        <is>
          <t>package</t>
        </is>
      </c>
      <c r="F13" s="26" t="inlineStr">
        <is>
          <t>css</t>
        </is>
      </c>
      <c r="G13" s="27" t="inlineStr">
        <is>
          <t>../src/components/list/list.css</t>
        </is>
      </c>
      <c r="H13" s="26" t="inlineStr">
        <is>
          <t>tested</t>
        </is>
      </c>
      <c r="I13" s="26" t="inlineStr">
        <is>
          <t>no</t>
        </is>
      </c>
      <c r="J13" s="28" t="n">
        <v>46229</v>
      </c>
      <c r="K13" s="27" t="inlineStr">
        <is>
          <t/>
        </is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Unit</t>
        </is>
      </c>
      <c r="C14" s="26" t="inlineStr">
        <is>
          <t>List</t>
        </is>
      </c>
      <c r="D14" s="27" t="inlineStr">
        <is>
          <t>Defaults, recipes, native ordered output, disabled metadata, parts, composition, refs, and overrides pass focused tests.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../test/components/list/list.test.tsx</t>
        </is>
      </c>
      <c r="H14" s="26" t="inlineStr">
        <is>
          <t>tested</t>
        </is>
      </c>
      <c r="I14" s="26" t="inlineStr">
        <is>
          <t>no</t>
        </is>
      </c>
      <c r="J14" s="28" t="n">
        <v>46229</v>
      </c>
      <c r="K14" s="27" t="inlineStr">
        <is>
          <t/>
        </is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Browser</t>
        </is>
      </c>
      <c r="C15" s="26" t="inlineStr">
        <is>
          <t>Recipes and semantics</t>
        </is>
      </c>
      <c r="D15" s="27" t="inlineStr">
        <is>
          <t>Real-browser defaults, ordered and unordered output, variants, sizes, densities, markers, nesting, and native attributes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tests/components/list/behavior.spec.ts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46229</v>
      </c>
      <c r="K15" s="27" t="inlineStr">
        <is>
          <t/>
        </is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Geometry</t>
        </is>
      </c>
      <c r="C16" s="26" t="inlineStr">
        <is>
          <t>Structured rows</t>
        </is>
      </c>
      <c r="D16" s="27" t="inlineStr">
        <is>
          <t>Leading, content, and trailing columns align, descriptions wrap, actions stay contained, and logical placement reverses in RTL.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tests/components/list/behavior.spec.ts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46229</v>
      </c>
      <c r="K16" s="27" t="inlineStr">
        <is>
          <t/>
        </is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Accessibility</t>
        </is>
      </c>
      <c r="C17" s="26" t="inlineStr">
        <is>
          <t>Native list</t>
        </is>
      </c>
      <c r="D17" s="27" t="inlineStr">
        <is>
          <t>List roles, item relationships, marker-free semantics, authored controls, disabled metadata, and axe pass without invented interaction.</t>
        </is>
      </c>
      <c r="E17" s="26" t="inlineStr">
        <is>
          <t>package</t>
        </is>
      </c>
      <c r="F17" s="26" t="inlineStr">
        <is>
          <t>axe</t>
        </is>
      </c>
      <c r="G17" s="27" t="inlineStr">
        <is>
          <t>tests/components/list/behavior.spec.ts</t>
        </is>
      </c>
      <c r="H17" s="26" t="inlineStr">
        <is>
          <t>tested</t>
        </is>
      </c>
      <c r="I17" s="26" t="inlineStr">
        <is>
          <t>no</t>
        </is>
      </c>
      <c r="J17" s="28" t="n">
        <v>46229</v>
      </c>
      <c r="K17" s="27" t="inlineStr">
        <is>
          <t/>
        </is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Visual</t>
        </is>
      </c>
      <c r="C18" s="26" t="inlineStr">
        <is>
          <t>List</t>
        </is>
      </c>
      <c r="D18" s="27" t="inlineStr">
        <is>
          <t>Reviewed baselines cover defaults, boundaries, sizing, marker recipes, anatomy, dark customization, mobile RTL, and forced colors.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tests/components/list/visual.spec.ts</t>
        </is>
      </c>
      <c r="H18" s="26" t="inlineStr">
        <is>
          <t>verified</t>
        </is>
      </c>
      <c r="I18" s="26" t="inlineStr">
        <is>
          <t>yes</t>
        </is>
      </c>
      <c r="J18" s="28" t="n">
        <v>46229</v>
      </c>
      <c r="K18" s="27" t="inlineStr">
        <is>
          <t>Current List playground and all eight visual baselines were reviewed during implementation.</t>
        </is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Responsive</t>
        </is>
      </c>
      <c r="C19" s="26" t="inlineStr">
        <is>
          <t>List</t>
        </is>
      </c>
      <c r="D19" s="27" t="inlineStr">
        <is>
          <t>Physical mobile, 200%/400% zoom, rotation, narrow content, long copy, structured actions, and RTL remain readable and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manual-tests/list.md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reflow evidence passes; the human manual run is intentionally pending.</t>
        </is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Theme</t>
        </is>
      </c>
      <c r="C20" s="26" t="inlineStr">
        <is>
          <t>List</t>
        </is>
      </c>
      <c r="D20" s="27" t="inlineStr">
        <is>
          <t>Light, dark, forced colors, text spacing, markers, boundaries, and authored focus preserve hierarchy and contrast.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manual-tests/list.md; tests/components/list/visual.spec.ts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Automated appearance evidence passes; complete human appearance review is pending.</t>
        </is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Native output</t>
        </is>
      </c>
      <c r="C21" s="26" t="inlineStr">
        <is>
          <t>Root and Item</t>
        </is>
      </c>
      <c r="D21" s="27" t="inlineStr">
        <is>
          <t>start, reversed, value, ordered output, nested lists, asChild, render ownership, and marker-none role behavior match the contract.</t>
        </is>
      </c>
      <c r="E21" s="26" t="inlineStr">
        <is>
          <t>package</t>
        </is>
      </c>
      <c r="F21" s="26" t="inlineStr">
        <is>
          <t>browser</t>
        </is>
      </c>
      <c r="G21" s="27" t="inlineStr">
        <is>
          <t>tests/components/list/behavior.spec.ts; ../test/components/list/list.test.tsx</t>
        </is>
      </c>
      <c r="H21" s="26" t="inlineStr">
        <is>
          <t>tested</t>
        </is>
      </c>
      <c r="I21" s="26" t="inlineStr">
        <is>
          <t>no</t>
        </is>
      </c>
      <c r="J21" s="28" t="n">
        <v>46229</v>
      </c>
      <c r="K21" s="27" t="inlineStr">
        <is>
          <t/>
        </is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Manual</t>
        </is>
      </c>
      <c r="C22" s="26" t="inlineStr">
        <is>
          <t>List</t>
        </is>
      </c>
      <c r="D22" s="27" t="inlineStr">
        <is>
          <t>The component-owned protocol covers every List playground scenario in one top-to-bottom review flow.</t>
        </is>
      </c>
      <c r="E22" s="26" t="inlineStr">
        <is>
          <t>package</t>
        </is>
      </c>
      <c r="F22" s="26" t="inlineStr">
        <is>
          <t>manual</t>
        </is>
      </c>
      <c r="G22" s="27" t="inlineStr">
        <is>
          <t>manual-tests/list.md</t>
        </is>
      </c>
      <c r="H22" s="26" t="inlineStr">
        <is>
          <t>implemented</t>
        </is>
      </c>
      <c r="I22" s="26" t="inlineStr">
        <is>
          <t>yes</t>
        </is>
      </c>
      <c r="J22" s="28" t="n"/>
      <c r="K22" s="27" t="inlineStr">
        <is>
          <t>Protocol exists; the owner deferred the human run.</t>
        </is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Docs</t>
        </is>
      </c>
      <c r="C23" s="26" t="inlineStr">
        <is>
          <t>List</t>
        </is>
      </c>
      <c r="D23" s="27" t="inlineStr">
        <is>
          <t>Source-backed ownership, anatomy, API, defaults, accessibility, CSS, customization, composition, and examples pass documentation gates.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../docs/components/list/README.md</t>
        </is>
      </c>
      <c r="H23" s="26" t="inlineStr">
        <is>
          <t>tested</t>
        </is>
      </c>
      <c r="I23" s="26" t="inlineStr">
        <is>
          <t>no</t>
        </is>
      </c>
      <c r="J23" s="28" t="n">
        <v>46229</v>
      </c>
      <c r="K23" s="27" t="inlineStr">
        <is>
          <t/>
        </is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Changelog</t>
        </is>
      </c>
      <c r="C24" s="26" t="inlineStr">
        <is>
          <t>List</t>
        </is>
      </c>
      <c r="D24" s="27" t="inlineStr">
        <is>
          <t>List owns a public component changelog and the package changelog records its addition.</t>
        </is>
      </c>
      <c r="E24" s="26" t="inlineStr">
        <is>
          <t>package</t>
        </is>
      </c>
      <c r="F24" s="26" t="inlineStr">
        <is>
          <t>docs</t>
        </is>
      </c>
      <c r="G24" s="27" t="inlineStr">
        <is>
          <t>../docs/components/list/CHANGELOG.md; ../CHANGELOG.md</t>
        </is>
      </c>
      <c r="H24" s="26" t="inlineStr">
        <is>
          <t>tested</t>
        </is>
      </c>
      <c r="I24" s="26" t="inlineStr">
        <is>
          <t>no</t>
        </is>
      </c>
      <c r="J24" s="28" t="n">
        <v>46229</v>
      </c>
      <c r="K24" s="27" t="inlineStr">
        <is>
          <t/>
        </is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Consumer</t>
        </is>
      </c>
      <c r="C25" s="26" t="inlineStr">
        <is>
          <t>List</t>
        </is>
      </c>
      <c r="D25" s="27" t="inlineStr">
        <is>
          <t>The packed Consumer proves the public List subpath in a realistic structured release checklist.</t>
        </is>
      </c>
      <c r="E25" s="26" t="inlineStr">
        <is>
          <t>consumer</t>
        </is>
      </c>
      <c r="F25" s="26" t="inlineStr">
        <is>
          <t>consumer</t>
        </is>
      </c>
      <c r="G25" s="27" t="inlineStr">
        <is>
          <t>../apps/consumer/src/App.tsx; ../apps/consumer/tests/consumer.spec.ts</t>
        </is>
      </c>
      <c r="H25" s="26" t="inlineStr">
        <is>
          <t>tested</t>
        </is>
      </c>
      <c r="I25" s="26" t="inlineStr">
        <is>
          <t>no</t>
        </is>
      </c>
      <c r="J25" s="28" t="n">
        <v>46229</v>
      </c>
      <c r="K25" s="27" t="inlineStr">
        <is>
          <t/>
        </is>
      </c>
      <c r="M25" s="26">
        <f>IF(OR(AND(I25="yes",H25="verified"),AND(I25="no",OR(H25="tested",H25="verified")),AND(H25="not applicable",K25&lt;&gt;"")),1,0)</f>
        <v/>
      </c>
    </row>
    <row r="26" ht="54" customHeight="1" s="17">
      <c r="A26" s="26" t="inlineStr">
        <is>
          <t>L-18</t>
        </is>
      </c>
      <c r="B26" s="26" t="inlineStr">
        <is>
          <t>Playground</t>
        </is>
      </c>
      <c r="C26" s="26" t="inlineStr">
        <is>
          <t>List</t>
        </is>
      </c>
      <c r="D26" s="27" t="inlineStr">
        <is>
          <t>The route covers all approved scenarios and eligible Consumer, Card, and Surface content lists adopt List with classified exclusions.</t>
        </is>
      </c>
      <c r="E26" s="26" t="inlineStr">
        <is>
          <t>package</t>
        </is>
      </c>
      <c r="F26" s="26" t="inlineStr">
        <is>
          <t>package</t>
        </is>
      </c>
      <c r="G26" s="27" t="inlineStr">
        <is>
          <t>docs/list-adoption-audit.md; ../scripts/verify-playground-list.mjs</t>
        </is>
      </c>
      <c r="H26" s="26" t="inlineStr">
        <is>
          <t>tested</t>
        </is>
      </c>
      <c r="I26" s="26" t="inlineStr">
        <is>
          <t>no</t>
        </is>
      </c>
      <c r="J26" s="28" t="n">
        <v>46229</v>
      </c>
      <c r="K26" s="27" t="inlineStr">
        <is>
          <t/>
        </is>
      </c>
      <c r="M26" s="26">
        <f>IF(OR(AND(I26="yes",H26="verified"),AND(I26="no",OR(H26="tested",H26="verified")),AND(H26="not applicable",K26&lt;&gt;"")),1,0)</f>
        <v/>
      </c>
    </row>
    <row r="27" ht="54" customHeight="1" s="17">
      <c r="A27" s="26" t="inlineStr">
        <is>
          <t>L-19</t>
        </is>
      </c>
      <c r="B27" s="26" t="inlineStr">
        <is>
          <t>Package</t>
        </is>
      </c>
      <c r="C27" s="26" t="inlineStr">
        <is>
          <t>List</t>
        </is>
      </c>
      <c r="D27" s="27" t="inlineStr">
        <is>
          <t>Build, SSR, exports, CSS, Atom 0.9.1, tarball, React 18/19, packed Consumer, browser matrix, and adoption checks pass.</t>
        </is>
      </c>
      <c r="E27" s="26" t="inlineStr">
        <is>
          <t>package</t>
        </is>
      </c>
      <c r="F27" s="26" t="inlineStr">
        <is>
          <t>package</t>
        </is>
      </c>
      <c r="G27" s="27" t="inlineStr">
        <is>
          <t>../test/package; ../scripts/verify-package.mjs; ../scripts/verify-consumers.mjs; ../scripts/verify-playground-list.mjs</t>
        </is>
      </c>
      <c r="H27" s="26" t="inlineStr">
        <is>
          <t>implemented</t>
        </is>
      </c>
      <c r="I27" s="26" t="inlineStr">
        <is>
          <t>yes</t>
        </is>
      </c>
      <c r="J27" s="28" t="n"/>
      <c r="K27" s="27" t="inlineStr">
        <is>
          <t>Automated package gates are tracked in the workstream; complete status waits for the component-owned human manual run.</t>
        </is>
      </c>
      <c r="M27" s="26">
        <f>IF(OR(AND(I27="yes",H27="verified"),AND(I27="no",OR(H27="tested",H27="verified")),AND(H27="not applicable",K27&lt;&gt;"")),1,0)</f>
        <v/>
      </c>
    </row>
  </sheetData>
  <dataValidations count="2">
    <dataValidation sqref="H9:H27" type="list" allowBlank="0" showDropDown="0">
      <formula1>"not started,partial,implemented,tested,verified,blocked,not applicable"</formula1>
    </dataValidation>
    <dataValidation sqref="I9:I27" type="list" allowBlank="0" showDropDown="0">
      <formula1>"yes,no"</formula1>
    </dataValidation>
  </dataValidations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2026-07-26T15:13:49Z</dcterms:modified>
  <cp:lastModifiedBy>Flowstack</cp:lastModifiedBy>
  <cp:revision>0</cp:revision>
</cp:coreProperties>
</file>