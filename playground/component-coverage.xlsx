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2" activeTab="2"/>
  </bookViews>
  <sheets>
    <sheet name="Index" sheetId="1" state="hidden" r:id="rId3"/>
    <sheet name="Instructions" sheetId="2" state="hidden" r:id="rId4"/>
    <sheet name="Button" sheetId="3" state="visible" r:id="rId5"/>
    <sheet name="Card" sheetId="4" state="hidden" r:id="rId6"/>
    <sheet name="Dialog" sheetId="5" state="hidden" r:id="rId7"/>
    <sheet name="_Lists" sheetId="6" state="hidden" r:id="rId8"/>
  </sheets>
  <definedNames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Card!$A$1:$M$34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Dialog!$A$1:$M$34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Dialog!$A$8:$M$34</definedName>
    <definedName function="false" hidden="false" localSheetId="0" name="_xlnm.Print_Area" vbProcedure="false">Index!$A$1:$N$10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<sst xmlns="http://schemas.openxmlformats.org/spreadsheetml/2006/main" count="778" uniqueCount="220">
  <si>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</si>
  <si>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</si>
  <si>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</si>
  <si>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</si>
  <si>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</si>
  <si>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</si>
  <si>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</si>
  <si>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</si>
  <si>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</si>
  <si>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</si>
  <si>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</si>
  <si>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</si>
  <si>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</si>
  <si>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</si>
  <si>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</si>
  <si>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</si>
  <si>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</si>
  <si>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</si>
  <si>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</si>
  <si>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</si>
  <si>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</si>
  <si>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</si>
  <si>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</si>
  <si>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</si>
  <si>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</si>
  <si>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</si>
  <si>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</si>
  <si>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</si>
  <si>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</si>
  <si>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</si>
  <si>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</si>
  <si>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</si>
  <si>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</si>
  <si>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</si>
  <si>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</si>
  <si>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</si>
  <si>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</si>
  <si>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</si>
  <si>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</si>
  <si>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</si>
  <si>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</si>
  <si>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</si>
  <si>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values, keep evidence links short, record blocker and not-applicable reasons, recalculate,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</si>
  <si>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</si>
  <si>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</si>
  <si>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</si>
  <si>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</si>
  <si>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</si>
  <si>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</si>
  <si>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</si>
  <si>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</si>
  <si>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</si>
  <si>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</si>
  <si>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</si>
  <si>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</si>
  <si>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</si>
  <si>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</si>
  <si>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</si>
  <si>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</si>
  <si>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</si>
  <si>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</si>
  <si>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</si>
  <si>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</si>
  <si>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</si>
  <si>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</si>
  <si>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</si>
  <si>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</si>
  <si>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</si>
  <si>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</si>
  <si>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</si>
  <si>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</si>
  <si>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</si>
  <si>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</si>
  <si>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</si>
  <si>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</si>
  <si>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</si>
  <si>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</si>
  <si>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</si>
  <si>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</si>
  <si>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</si>
  <si>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</si>
  <si>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</si>
  <si>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</si>
  <si>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</si>
  <si>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</si>
  <si>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</si>
  <si>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</si>
  <si>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</si>
  <si>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</si>
  <si>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</si>
  <si>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</si>
  <si>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</si>
  <si>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</si>
  <si>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</si>
  <si>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</si>
  <si>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</si>
  <si>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</si>
  <si>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</si>
  <si>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</si>
  <si>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</si>
  <si>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</si>
  <si>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</si>
  <si>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</si>
  <si>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</si>
  <si>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</si>
  <si>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</si>
  <si>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</si>
  <si>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</si>
  <si>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</si>
  <si>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</si>
  <si>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</si>
  <si>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</si>
  <si>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</si>
  <si>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</si>
  <si>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</si>
  <si>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</si>
  <si>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</si>
  <si>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</si>
  <si>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</si>
  <si>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</si>
  <si>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</si>
  <si>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</si>
  <si>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</si>
  <si>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</si>
  <si>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</si>
  <si>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</si>
  <si>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</si>
  <si>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</si>
  <si>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</si>
  <si>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</si>
  <si>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</si>
  <si>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</si>
  <si>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</si>
  <si>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</si>
  <si>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</si>
  <si>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</si>
  <si>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</si>
  <si>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</si>
  <si>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</si>
  <si>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</si>
  <si>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</si>
  <si>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</si>
  <si>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</si>
  <si>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</si>
  <si>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</si>
  <si>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not started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</si>
  <si>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</si>
  <si>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</si>
  <si>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</si>
  <si>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</si>
  <si>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</si>
  <si>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Card Evidence Matrix</t>
  </si>
  <si>
    <t xml:space="preserve">Common requirements from Brick's adopted quality contract. Add approved anatomy and component-specific rows after the component brief lands.</t>
  </si>
  <si>
    <t xml:space="preserve">CAR-01</t>
  </si>
  <si>
    <t xml:space="preserve">Implementation uses public Atom behavior without Core or local headless wrappers</t>
  </si>
  <si>
    <t xml:space="preserve">CAR-02</t>
  </si>
  <si>
    <t xml:space="preserve">Atom capability audit covers mobile behavior and every Atom-owned gap is resolved through a released dependency</t>
  </si>
  <si>
    <t xml:space="preserve">CAR-03</t>
  </si>
  <si>
    <t xml:space="preserve">Public export and declaration surface match the approved brief</t>
  </si>
  <si>
    <t xml:space="preserve">CAR-04</t>
  </si>
  <si>
    <t xml:space="preserve">Native props, refs, composition, and public slots follow the adopted API contract</t>
  </si>
  <si>
    <t xml:space="preserve">CAR-05</t>
  </si>
  <si>
    <t xml:space="preserve">CAR-06</t>
  </si>
  <si>
    <t xml:space="preserve">Default recipe and every approved visual option are implemented</t>
  </si>
  <si>
    <t xml:space="preserve">CAR-07</t>
  </si>
  <si>
    <t xml:space="preserve">CAR-08</t>
  </si>
  <si>
    <t xml:space="preserve">Every public recipe, size, and important state</t>
  </si>
  <si>
    <t xml:space="preserve">CAR-09</t>
  </si>
  <si>
    <t xml:space="preserve">CAR-10</t>
  </si>
  <si>
    <t xml:space="preserve">Light, dark, and relevant preference modes</t>
  </si>
  <si>
    <t xml:space="preserve">CAR-11</t>
  </si>
  <si>
    <t xml:space="preserve">CAR-12</t>
  </si>
  <si>
    <t xml:space="preserve">Token, className, style, slot, and documented part customization</t>
  </si>
  <si>
    <t xml:space="preserve">CAR-13</t>
  </si>
  <si>
    <t xml:space="preserve">CAR-14</t>
  </si>
  <si>
    <t xml:space="preserve">CAR-15</t>
  </si>
  <si>
    <t xml:space="preserve">Public type and declaration fixtures</t>
  </si>
  <si>
    <t xml:space="preserve">CAR-16</t>
  </si>
  <si>
    <t xml:space="preserve">CAR-17</t>
  </si>
  <si>
    <t xml:space="preserve">CAR-18</t>
  </si>
  <si>
    <t xml:space="preserve">CAR-19</t>
  </si>
  <si>
    <t xml:space="preserve">CAR-20</t>
  </si>
  <si>
    <t xml:space="preserve">SSR or server-safe consumer behavior where applicable</t>
  </si>
  <si>
    <t xml:space="preserve">CAR-21</t>
  </si>
  <si>
    <t xml:space="preserve">CAR-22</t>
  </si>
  <si>
    <t xml:space="preserve">CAR-23</t>
  </si>
  <si>
    <t xml:space="preserve">CAR-24</t>
  </si>
  <si>
    <t xml:space="preserve">CAR-25</t>
  </si>
  <si>
    <t xml:space="preserve">CAR-26</t>
  </si>
  <si>
    <t xml:space="preserve">Dialog Evidence Matrix</t>
  </si>
  <si>
    <t xml:space="preserve">DIA-01</t>
  </si>
  <si>
    <t xml:space="preserve">DIA-02</t>
  </si>
  <si>
    <t xml:space="preserve">DIA-03</t>
  </si>
  <si>
    <t xml:space="preserve">DIA-04</t>
  </si>
  <si>
    <t xml:space="preserve">DIA-05</t>
  </si>
  <si>
    <t xml:space="preserve">DIA-06</t>
  </si>
  <si>
    <t xml:space="preserve">DIA-07</t>
  </si>
  <si>
    <t xml:space="preserve">DIA-08</t>
  </si>
  <si>
    <t xml:space="preserve">DIA-09</t>
  </si>
  <si>
    <t xml:space="preserve">DIA-10</t>
  </si>
  <si>
    <t xml:space="preserve">DIA-11</t>
  </si>
  <si>
    <t xml:space="preserve">DIA-12</t>
  </si>
  <si>
    <t xml:space="preserve">DIA-13</t>
  </si>
  <si>
    <t xml:space="preserve">DIA-14</t>
  </si>
  <si>
    <t xml:space="preserve">DIA-15</t>
  </si>
  <si>
    <t xml:space="preserve">DIA-16</t>
  </si>
  <si>
    <t xml:space="preserve">DIA-17</t>
  </si>
  <si>
    <t xml:space="preserve">DIA-18</t>
  </si>
  <si>
    <t xml:space="preserve">DIA-19</t>
  </si>
  <si>
    <t xml:space="preserve">DIA-20</t>
  </si>
  <si>
    <t xml:space="preserve">DIA-21</t>
  </si>
  <si>
    <t xml:space="preserve">DIA-22</t>
  </si>
  <si>
    <t xml:space="preserve">DIA-23</t>
  </si>
  <si>
    <t xml:space="preserve">DIA-24</t>
  </si>
  <si>
    <t xml:space="preserve">DIA-25</t>
  </si>
  <si>
    <t xml:space="preserve">DIA-26</t>
  </si>
  <si>
    <t xml:space="preserve">partial</t>
  </si>
  <si>
    <t xml:space="preserve">implemented</t>
  </si>
  <si>
    <t xml:space="preserve">blocked</t>
  </si>
  <si>
    <t xml:space="preserve">not applicable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</si>
</sst>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6D28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0" headerRowCount="1" totalsRowCount="0" totalsRowShown="0">
  <autoFilter ref="A7:N10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Users/willdonin/Library/Mobile%20Documents/com~apple~CloudDocs/DEVELOPER/FLOWSTACK/templateflow/packages/Users/willdonin/Library/Mobile%20Documents/com~apple~CloudDocs/DEVELOPER/FLOWSTACK/templateflow/packages/brick-ui/package/playground/component-coverag" TargetMode="External"/><Relationship Id="rId2" Type="http://schemas.openxmlformats.org/officeDocument/2006/relationships/hyperlink" Target="../../../Users/willdonin/Library/Mobile%20Documents/com~apple~CloudDocs/DEVELOPER/FLOWSTACK/templateflow/packages/Users/willdonin/Library/Mobile%20Documents/com~apple~CloudDocs/DEVELOPER/FLOWSTACK/templateflow/packages/brick-ui/package/playground/component-coverag" TargetMode="External"/><Relationship Id="rId3" Type="http://schemas.openxmlformats.org/officeDocument/2006/relationships/hyperlink" Target="../../../Users/willdonin/Library/Mobile%20Documents/com~apple~CloudDocs/DEVELOPER/FLOWSTACK/templateflow/packages/Users/willdonin/Library/Mobile%20Documents/com~apple~CloudDocs/DEVELOPER/FLOWSTACK/templateflow/packages/brick-ui/package/playground/component-coverag" TargetMode="External"/><Relationship Id="rId4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Library/Mobile%20Documents/com~apple~CloudDocs/DEVELOPER/FLOWSTACK/templateflow/packages/brick-ui/package/src/components/button/Button.tsx" TargetMode="External"/><Relationship Id="rId2" Type="http://schemas.openxmlformats.org/officeDocument/2006/relationships/hyperlink" Target="../../../Users/willdonin/Library/Mobile%20Documents/com~apple~CloudDocs/DEVELOPER/FLOWSTACK/templateflow/packages/brick-ui/docs/button-component-brief.md" TargetMode="External"/><Relationship Id="rId3" Type="http://schemas.openxmlformats.org/officeDocument/2006/relationships/hyperlink" Target="../../../Users/willdonin/Library/Mobile%20Documents/com~apple~CloudDocs/DEVELOPER/FLOWSTACK/templateflow/packages/brick-ui/package/src/button.ts" TargetMode="External"/><Relationship Id="rId4" Type="http://schemas.openxmlformats.org/officeDocument/2006/relationships/hyperlink" Target="../../../Users/willdonin/Library/Mobile%20Documents/com~apple~CloudDocs/DEVELOPER/FLOWSTACK/templateflow/packages/brick-ui/package/test/components/button.test.tsx" TargetMode="External"/><Relationship Id="rId5" Type="http://schemas.openxmlformats.org/officeDocument/2006/relationships/hyperlink" Target="../../../Users/willdonin/Library/Mobile%20Documents/com~apple~CloudDocs/DEVELOPER/FLOWSTACK/templateflow/packages/brick-ui/package/src/components/button/button.css" TargetMode="External"/><Relationship Id="rId6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7" Type="http://schemas.openxmlformats.org/officeDocument/2006/relationships/hyperlink" Target="../../../Users/willdonin/Library/Mobile%20Documents/com~apple~CloudDocs/DEVELOPER/FLOWSTACK/templateflow/packages/brick-ui/package/playground/src/main.tsx" TargetMode="External"/><Relationship Id="rId8" Type="http://schemas.openxmlformats.org/officeDocument/2006/relationships/hyperlink" Target="../../../Users/willdonin/Library/Mobile%20Documents/com~apple~CloudDocs/DEVELOPER/FLOWSTACK/templateflow/packages/brick-ui/package/playground/src/main.tsx" TargetMode="External"/><Relationship Id="rId9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10" Type="http://schemas.openxmlformats.org/officeDocument/2006/relationships/hyperlink" Target="../../../Users/willdonin/Library/Mobile%20Documents/com~apple~CloudDocs/DEVELOPER/FLOWSTACK/templateflow/packages/brick-ui/package/src/components/button/button.css" TargetMode="External"/><Relationship Id="rId11" Type="http://schemas.openxmlformats.org/officeDocument/2006/relationships/hyperlink" Target="../../../Users/willdonin/Library/Mobile%20Documents/com~apple~CloudDocs/DEVELOPER/FLOWSTACK/templateflow/packages/brick-ui/package/playground/src/main.tsx" TargetMode="External"/><Relationship Id="rId12" Type="http://schemas.openxmlformats.org/officeDocument/2006/relationships/hyperlink" Target="../../../Users/willdonin/Library/Mobile%20Documents/com~apple~CloudDocs/DEVELOPER/FLOWSTACK/templateflow/packages/brick-ui/package/playground/src/main.tsx" TargetMode="External"/><Relationship Id="rId13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14" Type="http://schemas.openxmlformats.org/officeDocument/2006/relationships/hyperlink" Target="../../../Users/willdonin/Library/Mobile%20Documents/com~apple~CloudDocs/DEVELOPER/FLOWSTACK/templateflow/packages/brick-ui/package/test/components/button.test.tsx" TargetMode="External"/><Relationship Id="rId15" Type="http://schemas.openxmlformats.org/officeDocument/2006/relationships/hyperlink" Target="../../../Users/willdonin/Library/Mobile%20Documents/com~apple~CloudDocs/DEVELOPER/FLOWSTACK/templateflow/packages/brick-ui/package/test/types/public-api.test.ts" TargetMode="External"/><Relationship Id="rId16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17" Type="http://schemas.openxmlformats.org/officeDocument/2006/relationships/hyperlink" Target="../../../Users/willdonin/Library/Mobile%20Documents/com~apple~CloudDocs/DEVELOPER/FLOWSTACK/templateflow/packages/brick-ui/package/playground/tests/foundation.spec.ts" TargetMode="External"/><Relationship Id="rId18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19" Type="http://schemas.openxmlformats.org/officeDocument/2006/relationships/hyperlink" Target="../../../Users/willdonin/Library/Mobile%20Documents/com~apple~CloudDocs/DEVELOPER/FLOWSTACK/templateflow/packages/brick-ui/package/scripts/verify-consumers.mjs" TargetMode="External"/><Relationship Id="rId20" Type="http://schemas.openxmlformats.org/officeDocument/2006/relationships/hyperlink" Target="../../../Users/willdonin/Library/Mobile%20Documents/com~apple~CloudDocs/DEVELOPER/FLOWSTACK/templateflow/packages/brick-ui/package/playground/manual-tests/button.md" TargetMode="External"/><Relationship Id="rId21" Type="http://schemas.openxmlformats.org/officeDocument/2006/relationships/hyperlink" Target="../../../Users/willdonin/Library/Mobile%20Documents/com~apple~CloudDocs/DEVELOPER/FLOWSTACK/templateflow/packages/brick-ui/package/docs/components/button/README.md" TargetMode="External"/><Relationship Id="rId22" Type="http://schemas.openxmlformats.org/officeDocument/2006/relationships/hyperlink" Target="../../../Users/willdonin/Library/Mobile%20Documents/com~apple~CloudDocs/DEVELOPER/FLOWSTACK/templateflow/packages/brick-ui/package/docs/components/button/CHANGELOG.md" TargetMode="External"/><Relationship Id="rId23" Type="http://schemas.openxmlformats.org/officeDocument/2006/relationships/drawing" Target="../drawings/drawing2.xml"/><Relationship Id="rId24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COUNTA(A8:A10)</f>
        <v>3</v>
      </c>
      <c r="C4" s="4" t="s">
        <v>3</v>
      </c>
      <c r="D4" s="5" t="n">
        <f aca="false">COUNTIF(M8:M10,"complete")</f>
        <v>0</v>
      </c>
      <c r="E4" s="4" t="s">
        <v>4</v>
      </c>
      <c r="F4" s="5" t="n">
        <f aca="false">SUM(H8:H10)</f>
        <v>0</v>
      </c>
      <c r="G4" s="4" t="s">
        <v>5</v>
      </c>
      <c r="H4" s="6" t="n">
        <f aca="false">IFERROR(SUMPRODUCT(B8:B10,J8:J10)/SUM(B8:B10),0)</f>
        <v>0.307692307692308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2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11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0.923076923076923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open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COUNTA(Card!A9:A34)</f>
        <v>26</v>
      </c>
      <c r="C9" s="8" t="n">
        <f aca="false">COUNTIF(Card!H9:H34,"not started")</f>
        <v>26</v>
      </c>
      <c r="D9" s="8" t="n">
        <f aca="false">COUNTIF(Card!H9:H34,"partial")</f>
        <v>0</v>
      </c>
      <c r="E9" s="8" t="n">
        <f aca="false">COUNTIF(Card!H9:H34,"implemented")</f>
        <v>0</v>
      </c>
      <c r="F9" s="8" t="n">
        <f aca="false">COUNTIF(Card!H9:H34,"tested")</f>
        <v>0</v>
      </c>
      <c r="G9" s="8" t="n">
        <f aca="false">COUNTIF(Card!H9:H34,"verified")</f>
        <v>0</v>
      </c>
      <c r="H9" s="8" t="n">
        <f aca="false">COUNTIF(Card!H9:H34,"blocked")</f>
        <v>0</v>
      </c>
      <c r="I9" s="8" t="n">
        <f aca="false">COUNTIF(Card!H9:H34,"not applicable")</f>
        <v>0</v>
      </c>
      <c r="J9" s="9" t="n">
        <f aca="false">IFERROR(SUM(Card!M9:M34)/SUM(Card!L9:L34),0)</f>
        <v>0</v>
      </c>
      <c r="K9" s="8" t="str">
        <f aca="false">IF(COUNTIFS(Card!E9:E34,"package",Card!M9:M34,"&lt;1")=0,"complete","open")</f>
        <v>open</v>
      </c>
      <c r="L9" s="8" t="str">
        <f aca="false">IF(COUNTIFS(Card!E9:E34,"consumer",Card!M9:M34,"&lt;1")=0,"complete","open")</f>
        <v>open</v>
      </c>
      <c r="M9" s="8" t="str">
        <f aca="false">IF(COUNTIFS(Card!E9:E34,"retirement",Card!M9:M34,"&lt;1")=0,"complete","open")</f>
        <v>open</v>
      </c>
      <c r="N9" s="8" t="str">
        <f aca="false">IF(H9&gt;0,"blocked",IF(AND(J9=1,K9="complete",L9="complete",M9="complete"),"complete",IF(J9=0,"not started","in progress")))</f>
        <v>not started</v>
      </c>
    </row>
    <row r="10" customFormat="false" ht="27.75" hidden="false" customHeight="true" outlineLevel="0" collapsed="false">
      <c r="A10" s="8" t="s">
        <v>21</v>
      </c>
      <c r="B10" s="8" t="n">
        <f aca="false">COUNTA(Dialog!A9:A34)</f>
        <v>26</v>
      </c>
      <c r="C10" s="8" t="n">
        <f aca="false">COUNTIF(Dialog!H9:H34,"not started")</f>
        <v>26</v>
      </c>
      <c r="D10" s="8" t="n">
        <f aca="false">COUNTIF(Dialog!H9:H34,"partial")</f>
        <v>0</v>
      </c>
      <c r="E10" s="8" t="n">
        <f aca="false">COUNTIF(Dialog!H9:H34,"implemented")</f>
        <v>0</v>
      </c>
      <c r="F10" s="8" t="n">
        <f aca="false">COUNTIF(Dialog!H9:H34,"tested")</f>
        <v>0</v>
      </c>
      <c r="G10" s="8" t="n">
        <f aca="false">COUNTIF(Dialog!H9:H34,"verified")</f>
        <v>0</v>
      </c>
      <c r="H10" s="8" t="n">
        <f aca="false">COUNTIF(Dialog!H9:H34,"blocked")</f>
        <v>0</v>
      </c>
      <c r="I10" s="8" t="n">
        <f aca="false">COUNTIF(Dialog!H9:H34,"not applicable")</f>
        <v>0</v>
      </c>
      <c r="J10" s="9" t="n">
        <f aca="false">IFERROR(SUM(Dialog!M9:M34)/SUM(Dialog!L9:L34),0)</f>
        <v>0</v>
      </c>
      <c r="K10" s="8" t="str">
        <f aca="false">IF(COUNTIFS(Dialog!E9:E34,"package",Dialog!M9:M34,"&lt;1")=0,"complete","open")</f>
        <v>open</v>
      </c>
      <c r="L10" s="8" t="str">
        <f aca="false">IF(COUNTIFS(Dialog!E9:E34,"consumer",Dialog!M9:M34,"&lt;1")=0,"complete","open")</f>
        <v>open</v>
      </c>
      <c r="M10" s="8" t="str">
        <f aca="false">IF(COUNTIFS(Dialog!E9:E34,"retirement",Dialog!M9:M34,"&lt;1")=0,"complete","open")</f>
        <v>open</v>
      </c>
      <c r="N10" s="8" t="str">
        <f aca="false">IF(H10&gt;0,"blocked",IF(AND(J10=1,K10="complete",L10="complete",M10="complete"),"complete",IF(J10=0,"not started","in progress")))</f>
        <v>not started</v>
      </c>
    </row>
  </sheetData>
  <mergeCells count="2">
    <mergeCell ref="A1:N1"/>
    <mergeCell ref="A2:N2"/>
  </mergeCells>
  <conditionalFormatting sqref="N8:N10">
    <cfRule type="expression" priority="2" aboveAverage="0" equalAverage="0" bottom="0" percent="0" rank="0" text="" dxfId="6">
      <formula>$N8="not started"</formula>
    </cfRule>
    <cfRule type="expression" priority="3" aboveAverage="0" equalAverage="0" bottom="0" percent="0" rank="0" text="" dxfId="7">
      <formula>$N8="partial"</formula>
    </cfRule>
    <cfRule type="expression" priority="4" aboveAverage="0" equalAverage="0" bottom="0" percent="0" rank="0" text="" dxfId="8">
      <formula>$N8="implemented"</formula>
    </cfRule>
    <cfRule type="expression" priority="5" aboveAverage="0" equalAverage="0" bottom="0" percent="0" rank="0" text="" dxfId="9">
      <formula>$N8="tested"</formula>
    </cfRule>
    <cfRule type="expression" priority="6" aboveAverage="0" equalAverage="0" bottom="0" percent="0" rank="0" text="" dxfId="10">
      <formula>$N8="verified"</formula>
    </cfRule>
    <cfRule type="expression" priority="7" aboveAverage="0" equalAverage="0" bottom="0" percent="0" rank="0" text="" dxfId="11">
      <formula>$N8="blocked"</formula>
    </cfRule>
    <cfRule type="expression" priority="8" aboveAverage="0" equalAverage="0" bottom="0" percent="0" rank="0" text="" dxfId="12">
      <formula>$N8="not applicable"</formula>
    </cfRule>
  </conditionalFormatting>
  <hyperlinks>
    <hyperlink ref="A8" r:id="rId1" location="'Button'!A1" display="Button"/>
    <hyperlink ref="A9" r:id="rId2" location="'Card'!A1" display="Card"/>
    <hyperlink ref="A10" r:id="rId3" location="'Dialog'!A1" display="Dialo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22</v>
      </c>
      <c r="B1" s="2"/>
      <c r="C1" s="2"/>
      <c r="D1" s="2"/>
    </row>
    <row r="2" customFormat="false" ht="33.75" hidden="false" customHeight="true" outlineLevel="0" collapsed="false">
      <c r="A2" s="3" t="s">
        <v>23</v>
      </c>
      <c r="B2" s="3"/>
      <c r="C2" s="3"/>
      <c r="D2" s="3"/>
    </row>
    <row r="4" customFormat="false" ht="15" hidden="false" customHeight="true" outlineLevel="0" collapsed="false">
      <c r="A4" s="7" t="s">
        <v>24</v>
      </c>
      <c r="B4" s="7" t="s">
        <v>25</v>
      </c>
    </row>
    <row r="5" customFormat="false" ht="30" hidden="false" customHeight="true" outlineLevel="0" collapsed="false">
      <c r="A5" s="10" t="s">
        <v>26</v>
      </c>
      <c r="B5" s="11" t="s">
        <v>27</v>
      </c>
    </row>
    <row r="6" customFormat="false" ht="30" hidden="false" customHeight="true" outlineLevel="0" collapsed="false">
      <c r="A6" s="12" t="s">
        <v>18</v>
      </c>
      <c r="B6" s="13" t="s">
        <v>28</v>
      </c>
    </row>
    <row r="7" customFormat="false" ht="30" hidden="false" customHeight="true" outlineLevel="0" collapsed="false">
      <c r="A7" s="10" t="s">
        <v>18</v>
      </c>
      <c r="B7" s="11" t="s">
        <v>29</v>
      </c>
    </row>
    <row r="8" customFormat="false" ht="30" hidden="false" customHeight="true" outlineLevel="0" collapsed="false">
      <c r="A8" s="12" t="s">
        <v>18</v>
      </c>
      <c r="B8" s="13" t="s">
        <v>30</v>
      </c>
    </row>
    <row r="9" customFormat="false" ht="30" hidden="false" customHeight="true" outlineLevel="0" collapsed="false">
      <c r="A9" s="10" t="s">
        <v>18</v>
      </c>
      <c r="B9" s="11" t="s">
        <v>31</v>
      </c>
    </row>
    <row r="10" customFormat="false" ht="30" hidden="false" customHeight="true" outlineLevel="0" collapsed="false">
      <c r="A10" s="12" t="s">
        <v>18</v>
      </c>
      <c r="B10" s="13" t="s">
        <v>32</v>
      </c>
    </row>
    <row r="11" customFormat="false" ht="30" hidden="false" customHeight="true" outlineLevel="0" collapsed="false">
      <c r="A11" s="10" t="s">
        <v>18</v>
      </c>
      <c r="B11" s="11" t="s">
        <v>33</v>
      </c>
    </row>
    <row r="12" customFormat="false" ht="30" hidden="false" customHeight="true" outlineLevel="0" collapsed="false">
      <c r="A12" s="12" t="s">
        <v>18</v>
      </c>
      <c r="B12" s="13" t="s">
        <v>34</v>
      </c>
    </row>
    <row r="13" customFormat="false" ht="30" hidden="false" customHeight="true" outlineLevel="0" collapsed="false">
      <c r="A13" s="10" t="s">
        <v>14</v>
      </c>
      <c r="B13" s="11" t="s">
        <v>35</v>
      </c>
    </row>
    <row r="14" customFormat="false" ht="30" hidden="false" customHeight="true" outlineLevel="0" collapsed="false">
      <c r="A14" s="12" t="s">
        <v>15</v>
      </c>
      <c r="B14" s="13" t="s">
        <v>36</v>
      </c>
    </row>
    <row r="15" customFormat="false" ht="30" hidden="false" customHeight="true" outlineLevel="0" collapsed="false">
      <c r="A15" s="10" t="s">
        <v>16</v>
      </c>
      <c r="B15" s="11" t="s">
        <v>37</v>
      </c>
    </row>
    <row r="16" customFormat="false" ht="30" hidden="false" customHeight="true" outlineLevel="0" collapsed="false">
      <c r="A16" s="12" t="s">
        <v>17</v>
      </c>
      <c r="B16" s="13" t="s">
        <v>38</v>
      </c>
    </row>
    <row r="17" customFormat="false" ht="30" hidden="false" customHeight="true" outlineLevel="0" collapsed="false">
      <c r="A17" s="10" t="s">
        <v>39</v>
      </c>
      <c r="B17" s="11" t="s">
        <v>40</v>
      </c>
    </row>
    <row r="18" customFormat="false" ht="30" hidden="false" customHeight="true" outlineLevel="0" collapsed="false">
      <c r="A18" s="12" t="s">
        <v>41</v>
      </c>
      <c r="B18" s="13" t="s">
        <v>42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24</v>
      </c>
      <c r="E4" s="4" t="s">
        <v>14</v>
      </c>
      <c r="F4" s="6" t="n">
        <f aca="false">IFERROR(D4/SUM(L9:L34),0)</f>
        <v>0.923076923076923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58</v>
      </c>
      <c r="B9" s="15" t="s">
        <v>59</v>
      </c>
      <c r="C9" s="15" t="s">
        <v>6</v>
      </c>
      <c r="D9" s="15" t="s">
        <v>60</v>
      </c>
      <c r="E9" s="15" t="s">
        <v>61</v>
      </c>
      <c r="F9" s="15" t="s">
        <v>62</v>
      </c>
      <c r="G9" s="16" t="s">
        <v>63</v>
      </c>
      <c r="H9" s="15" t="s">
        <v>64</v>
      </c>
      <c r="I9" s="15" t="s">
        <v>65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66</v>
      </c>
      <c r="B10" s="15" t="s">
        <v>67</v>
      </c>
      <c r="C10" s="15" t="s">
        <v>6</v>
      </c>
      <c r="D10" s="15" t="s">
        <v>68</v>
      </c>
      <c r="E10" s="15" t="s">
        <v>61</v>
      </c>
      <c r="F10" s="15" t="s">
        <v>69</v>
      </c>
      <c r="G10" s="16" t="s">
        <v>70</v>
      </c>
      <c r="H10" s="15" t="s">
        <v>71</v>
      </c>
      <c r="I10" s="15" t="s">
        <v>72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73</v>
      </c>
      <c r="B11" s="15" t="s">
        <v>59</v>
      </c>
      <c r="C11" s="15" t="s">
        <v>6</v>
      </c>
      <c r="D11" s="15" t="s">
        <v>74</v>
      </c>
      <c r="E11" s="15" t="s">
        <v>61</v>
      </c>
      <c r="F11" s="15" t="s">
        <v>75</v>
      </c>
      <c r="G11" s="16" t="s">
        <v>76</v>
      </c>
      <c r="H11" s="15" t="s">
        <v>64</v>
      </c>
      <c r="I11" s="15" t="s">
        <v>65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77</v>
      </c>
      <c r="B12" s="15" t="s">
        <v>59</v>
      </c>
      <c r="C12" s="15" t="s">
        <v>6</v>
      </c>
      <c r="D12" s="15" t="s">
        <v>78</v>
      </c>
      <c r="E12" s="15" t="s">
        <v>61</v>
      </c>
      <c r="F12" s="15" t="s">
        <v>75</v>
      </c>
      <c r="G12" s="16" t="s">
        <v>79</v>
      </c>
      <c r="H12" s="15" t="s">
        <v>64</v>
      </c>
      <c r="I12" s="15" t="s">
        <v>65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80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6" t="s">
        <v>83</v>
      </c>
      <c r="H13" s="15" t="s">
        <v>64</v>
      </c>
      <c r="I13" s="15" t="s">
        <v>65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84</v>
      </c>
      <c r="B14" s="15" t="s">
        <v>81</v>
      </c>
      <c r="C14" s="15" t="s">
        <v>6</v>
      </c>
      <c r="D14" s="15" t="s">
        <v>85</v>
      </c>
      <c r="E14" s="15" t="s">
        <v>61</v>
      </c>
      <c r="F14" s="15" t="s">
        <v>62</v>
      </c>
      <c r="G14" s="16" t="s">
        <v>86</v>
      </c>
      <c r="H14" s="15" t="s">
        <v>71</v>
      </c>
      <c r="I14" s="15" t="s">
        <v>72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87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6" t="s">
        <v>91</v>
      </c>
      <c r="H15" s="15" t="s">
        <v>71</v>
      </c>
      <c r="I15" s="15" t="s">
        <v>72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92</v>
      </c>
      <c r="B16" s="15" t="s">
        <v>88</v>
      </c>
      <c r="C16" s="15" t="s">
        <v>6</v>
      </c>
      <c r="D16" s="15" t="s">
        <v>93</v>
      </c>
      <c r="E16" s="15" t="s">
        <v>61</v>
      </c>
      <c r="F16" s="15" t="s">
        <v>90</v>
      </c>
      <c r="G16" s="16" t="s">
        <v>91</v>
      </c>
      <c r="H16" s="15" t="s">
        <v>71</v>
      </c>
      <c r="I16" s="15" t="s">
        <v>72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94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6" t="s">
        <v>91</v>
      </c>
      <c r="H17" s="15" t="s">
        <v>71</v>
      </c>
      <c r="I17" s="15" t="s">
        <v>72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96</v>
      </c>
      <c r="B18" s="15" t="s">
        <v>88</v>
      </c>
      <c r="C18" s="15" t="s">
        <v>6</v>
      </c>
      <c r="D18" s="15" t="s">
        <v>97</v>
      </c>
      <c r="E18" s="15" t="s">
        <v>61</v>
      </c>
      <c r="F18" s="15" t="s">
        <v>90</v>
      </c>
      <c r="G18" s="16" t="s">
        <v>98</v>
      </c>
      <c r="H18" s="15" t="s">
        <v>71</v>
      </c>
      <c r="I18" s="15" t="s">
        <v>72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99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6" t="s">
        <v>91</v>
      </c>
      <c r="H19" s="15" t="s">
        <v>71</v>
      </c>
      <c r="I19" s="15" t="s">
        <v>72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101</v>
      </c>
      <c r="B20" s="15" t="s">
        <v>88</v>
      </c>
      <c r="C20" s="15" t="s">
        <v>6</v>
      </c>
      <c r="D20" s="15" t="s">
        <v>102</v>
      </c>
      <c r="E20" s="15" t="s">
        <v>61</v>
      </c>
      <c r="F20" s="15" t="s">
        <v>90</v>
      </c>
      <c r="G20" s="16" t="s">
        <v>91</v>
      </c>
      <c r="H20" s="15" t="s">
        <v>71</v>
      </c>
      <c r="I20" s="15" t="s">
        <v>72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103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6" t="s">
        <v>105</v>
      </c>
      <c r="H21" s="15" t="s">
        <v>64</v>
      </c>
      <c r="I21" s="15" t="s">
        <v>65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106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6" t="s">
        <v>79</v>
      </c>
      <c r="H22" s="15" t="s">
        <v>64</v>
      </c>
      <c r="I22" s="15" t="s">
        <v>65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110</v>
      </c>
      <c r="B23" s="15" t="s">
        <v>107</v>
      </c>
      <c r="C23" s="15" t="s">
        <v>6</v>
      </c>
      <c r="D23" s="15" t="s">
        <v>111</v>
      </c>
      <c r="E23" s="15" t="s">
        <v>61</v>
      </c>
      <c r="F23" s="15" t="s">
        <v>109</v>
      </c>
      <c r="G23" s="16" t="s">
        <v>112</v>
      </c>
      <c r="H23" s="15" t="s">
        <v>64</v>
      </c>
      <c r="I23" s="15" t="s">
        <v>65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113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6" t="s">
        <v>105</v>
      </c>
      <c r="H24" s="15" t="s">
        <v>64</v>
      </c>
      <c r="I24" s="15" t="s">
        <v>65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115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6" t="s">
        <v>117</v>
      </c>
      <c r="H25" s="15" t="s">
        <v>64</v>
      </c>
      <c r="I25" s="15" t="s">
        <v>65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118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 t="s">
        <v>120</v>
      </c>
      <c r="H26" s="15" t="s">
        <v>71</v>
      </c>
      <c r="I26" s="15" t="s">
        <v>72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121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6" t="s">
        <v>123</v>
      </c>
      <c r="H27" s="15" t="s">
        <v>64</v>
      </c>
      <c r="I27" s="15" t="s">
        <v>65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124</v>
      </c>
      <c r="B28" s="15" t="s">
        <v>107</v>
      </c>
      <c r="C28" s="15" t="s">
        <v>6</v>
      </c>
      <c r="D28" s="15" t="s">
        <v>125</v>
      </c>
      <c r="E28" s="15" t="s">
        <v>61</v>
      </c>
      <c r="F28" s="15" t="s">
        <v>109</v>
      </c>
      <c r="G28" s="16" t="s">
        <v>126</v>
      </c>
      <c r="H28" s="15" t="s">
        <v>64</v>
      </c>
      <c r="I28" s="15" t="s">
        <v>65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127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6" t="s">
        <v>91</v>
      </c>
      <c r="H29" s="15" t="s">
        <v>64</v>
      </c>
      <c r="I29" s="15" t="s">
        <v>65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131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 t="s">
        <v>91</v>
      </c>
      <c r="H30" s="15" t="s">
        <v>71</v>
      </c>
      <c r="I30" s="15" t="s">
        <v>72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133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6" t="s">
        <v>137</v>
      </c>
      <c r="H31" s="15" t="s">
        <v>71</v>
      </c>
      <c r="I31" s="15" t="s">
        <v>72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138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6" t="s">
        <v>140</v>
      </c>
      <c r="H32" s="15" t="s">
        <v>64</v>
      </c>
      <c r="I32" s="15" t="s">
        <v>65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141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/>
      <c r="H33" s="15" t="s">
        <v>145</v>
      </c>
      <c r="I33" s="15" t="s">
        <v>72</v>
      </c>
      <c r="J33" s="15"/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.75" hidden="false" customHeight="true" outlineLevel="0" collapsed="false">
      <c r="A34" s="15" t="s">
        <v>146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145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7" r:id="rId18" display="../../playwright.config.ts"/>
    <hyperlink ref="G28" r:id="rId19" display="../scripts/verify-consumers.mjs"/>
    <hyperlink ref="G29" r:id="rId20" display="manual-tests/button.md"/>
    <hyperlink ref="G31" r:id="rId21" display="../docs/components/button/README.md"/>
    <hyperlink ref="G32" r:id="rId22" display="../docs/components/button/CHANGELOG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3"/>
  <tableParts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0</v>
      </c>
      <c r="E4" s="4" t="s">
        <v>14</v>
      </c>
      <c r="F4" s="6" t="n">
        <f aca="false">IFERROR(D4/SUM(L9:L34),0)</f>
        <v>0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open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153</v>
      </c>
      <c r="B9" s="15" t="s">
        <v>59</v>
      </c>
      <c r="C9" s="15" t="s">
        <v>6</v>
      </c>
      <c r="D9" s="15" t="s">
        <v>154</v>
      </c>
      <c r="E9" s="15" t="s">
        <v>61</v>
      </c>
      <c r="F9" s="15" t="s">
        <v>62</v>
      </c>
      <c r="G9" s="15"/>
      <c r="H9" s="15" t="s">
        <v>145</v>
      </c>
      <c r="I9" s="15" t="s">
        <v>65</v>
      </c>
      <c r="J9" s="15"/>
      <c r="K9" s="15"/>
      <c r="L9" s="18" t="n">
        <v>1</v>
      </c>
      <c r="M9" s="18" t="n">
        <f aca="false">IF(H9="not applicable",IF(K9&lt;&gt;"",1,0),IF(I9="yes",IF(H9="verified",1,0),IF(OR(H9="tested",H9="verified"),1,0)))</f>
        <v>0</v>
      </c>
    </row>
    <row r="10" customFormat="false" ht="42.75" hidden="false" customHeight="true" outlineLevel="0" collapsed="false">
      <c r="A10" s="15" t="s">
        <v>155</v>
      </c>
      <c r="B10" s="15" t="s">
        <v>67</v>
      </c>
      <c r="C10" s="15" t="s">
        <v>6</v>
      </c>
      <c r="D10" s="15" t="s">
        <v>156</v>
      </c>
      <c r="E10" s="15" t="s">
        <v>61</v>
      </c>
      <c r="F10" s="15" t="s">
        <v>69</v>
      </c>
      <c r="G10" s="15"/>
      <c r="H10" s="15" t="s">
        <v>145</v>
      </c>
      <c r="I10" s="15" t="s">
        <v>72</v>
      </c>
      <c r="J10" s="15"/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0</v>
      </c>
    </row>
    <row r="11" customFormat="false" ht="42.75" hidden="false" customHeight="true" outlineLevel="0" collapsed="false">
      <c r="A11" s="15" t="s">
        <v>157</v>
      </c>
      <c r="B11" s="15" t="s">
        <v>59</v>
      </c>
      <c r="C11" s="15" t="s">
        <v>6</v>
      </c>
      <c r="D11" s="15" t="s">
        <v>158</v>
      </c>
      <c r="E11" s="15" t="s">
        <v>61</v>
      </c>
      <c r="F11" s="15" t="s">
        <v>75</v>
      </c>
      <c r="G11" s="15"/>
      <c r="H11" s="15" t="s">
        <v>145</v>
      </c>
      <c r="I11" s="15" t="s">
        <v>65</v>
      </c>
      <c r="J11" s="15"/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0</v>
      </c>
    </row>
    <row r="12" customFormat="false" ht="42.75" hidden="false" customHeight="true" outlineLevel="0" collapsed="false">
      <c r="A12" s="15" t="s">
        <v>159</v>
      </c>
      <c r="B12" s="15" t="s">
        <v>59</v>
      </c>
      <c r="C12" s="15" t="s">
        <v>6</v>
      </c>
      <c r="D12" s="15" t="s">
        <v>160</v>
      </c>
      <c r="E12" s="15" t="s">
        <v>61</v>
      </c>
      <c r="F12" s="15" t="s">
        <v>75</v>
      </c>
      <c r="G12" s="15"/>
      <c r="H12" s="15" t="s">
        <v>145</v>
      </c>
      <c r="I12" s="15" t="s">
        <v>65</v>
      </c>
      <c r="J12" s="15"/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0</v>
      </c>
    </row>
    <row r="13" customFormat="false" ht="42.75" hidden="false" customHeight="true" outlineLevel="0" collapsed="false">
      <c r="A13" s="15" t="s">
        <v>161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5"/>
      <c r="H13" s="15" t="s">
        <v>145</v>
      </c>
      <c r="I13" s="15" t="s">
        <v>65</v>
      </c>
      <c r="J13" s="15"/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0</v>
      </c>
    </row>
    <row r="14" customFormat="false" ht="42.75" hidden="false" customHeight="true" outlineLevel="0" collapsed="false">
      <c r="A14" s="15" t="s">
        <v>162</v>
      </c>
      <c r="B14" s="15" t="s">
        <v>81</v>
      </c>
      <c r="C14" s="15" t="s">
        <v>6</v>
      </c>
      <c r="D14" s="15" t="s">
        <v>163</v>
      </c>
      <c r="E14" s="15" t="s">
        <v>61</v>
      </c>
      <c r="F14" s="15" t="s">
        <v>62</v>
      </c>
      <c r="G14" s="15"/>
      <c r="H14" s="15" t="s">
        <v>145</v>
      </c>
      <c r="I14" s="15" t="s">
        <v>72</v>
      </c>
      <c r="J14" s="15"/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0</v>
      </c>
    </row>
    <row r="15" customFormat="false" ht="42.75" hidden="false" customHeight="true" outlineLevel="0" collapsed="false">
      <c r="A15" s="15" t="s">
        <v>164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5"/>
      <c r="H15" s="15" t="s">
        <v>145</v>
      </c>
      <c r="I15" s="15" t="s">
        <v>72</v>
      </c>
      <c r="J15" s="15"/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0</v>
      </c>
    </row>
    <row r="16" customFormat="false" ht="42.75" hidden="false" customHeight="true" outlineLevel="0" collapsed="false">
      <c r="A16" s="15" t="s">
        <v>165</v>
      </c>
      <c r="B16" s="15" t="s">
        <v>88</v>
      </c>
      <c r="C16" s="15" t="s">
        <v>6</v>
      </c>
      <c r="D16" s="15" t="s">
        <v>166</v>
      </c>
      <c r="E16" s="15" t="s">
        <v>61</v>
      </c>
      <c r="F16" s="15" t="s">
        <v>90</v>
      </c>
      <c r="G16" s="15"/>
      <c r="H16" s="15" t="s">
        <v>145</v>
      </c>
      <c r="I16" s="15" t="s">
        <v>72</v>
      </c>
      <c r="J16" s="15"/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0</v>
      </c>
    </row>
    <row r="17" customFormat="false" ht="42.75" hidden="false" customHeight="true" outlineLevel="0" collapsed="false">
      <c r="A17" s="15" t="s">
        <v>167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5"/>
      <c r="H17" s="15" t="s">
        <v>145</v>
      </c>
      <c r="I17" s="15" t="s">
        <v>72</v>
      </c>
      <c r="J17" s="15"/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0</v>
      </c>
    </row>
    <row r="18" customFormat="false" ht="42.75" hidden="false" customHeight="true" outlineLevel="0" collapsed="false">
      <c r="A18" s="15" t="s">
        <v>168</v>
      </c>
      <c r="B18" s="15" t="s">
        <v>88</v>
      </c>
      <c r="C18" s="15" t="s">
        <v>6</v>
      </c>
      <c r="D18" s="15" t="s">
        <v>169</v>
      </c>
      <c r="E18" s="15" t="s">
        <v>61</v>
      </c>
      <c r="F18" s="15" t="s">
        <v>90</v>
      </c>
      <c r="G18" s="15"/>
      <c r="H18" s="15" t="s">
        <v>145</v>
      </c>
      <c r="I18" s="15" t="s">
        <v>72</v>
      </c>
      <c r="J18" s="15"/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0</v>
      </c>
    </row>
    <row r="19" customFormat="false" ht="42.75" hidden="false" customHeight="true" outlineLevel="0" collapsed="false">
      <c r="A19" s="15" t="s">
        <v>170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5"/>
      <c r="H19" s="15" t="s">
        <v>145</v>
      </c>
      <c r="I19" s="15" t="s">
        <v>72</v>
      </c>
      <c r="J19" s="15"/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0</v>
      </c>
    </row>
    <row r="20" customFormat="false" ht="42.75" hidden="false" customHeight="true" outlineLevel="0" collapsed="false">
      <c r="A20" s="15" t="s">
        <v>171</v>
      </c>
      <c r="B20" s="15" t="s">
        <v>88</v>
      </c>
      <c r="C20" s="15" t="s">
        <v>6</v>
      </c>
      <c r="D20" s="15" t="s">
        <v>172</v>
      </c>
      <c r="E20" s="15" t="s">
        <v>61</v>
      </c>
      <c r="F20" s="15" t="s">
        <v>90</v>
      </c>
      <c r="G20" s="15"/>
      <c r="H20" s="15" t="s">
        <v>145</v>
      </c>
      <c r="I20" s="15" t="s">
        <v>72</v>
      </c>
      <c r="J20" s="15"/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.75" hidden="false" customHeight="true" outlineLevel="0" collapsed="false">
      <c r="A21" s="15" t="s">
        <v>173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5"/>
      <c r="H21" s="15" t="s">
        <v>145</v>
      </c>
      <c r="I21" s="15" t="s">
        <v>65</v>
      </c>
      <c r="J21" s="15"/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.75" hidden="false" customHeight="true" outlineLevel="0" collapsed="false">
      <c r="A22" s="15" t="s">
        <v>174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5"/>
      <c r="H22" s="15" t="s">
        <v>145</v>
      </c>
      <c r="I22" s="15" t="s">
        <v>65</v>
      </c>
      <c r="J22" s="15"/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0</v>
      </c>
    </row>
    <row r="23" customFormat="false" ht="42.75" hidden="false" customHeight="true" outlineLevel="0" collapsed="false">
      <c r="A23" s="15" t="s">
        <v>175</v>
      </c>
      <c r="B23" s="15" t="s">
        <v>107</v>
      </c>
      <c r="C23" s="15" t="s">
        <v>6</v>
      </c>
      <c r="D23" s="15" t="s">
        <v>176</v>
      </c>
      <c r="E23" s="15" t="s">
        <v>61</v>
      </c>
      <c r="F23" s="15" t="s">
        <v>109</v>
      </c>
      <c r="G23" s="15"/>
      <c r="H23" s="15" t="s">
        <v>145</v>
      </c>
      <c r="I23" s="15" t="s">
        <v>65</v>
      </c>
      <c r="J23" s="15"/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0</v>
      </c>
    </row>
    <row r="24" customFormat="false" ht="42.75" hidden="false" customHeight="true" outlineLevel="0" collapsed="false">
      <c r="A24" s="15" t="s">
        <v>177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5"/>
      <c r="H24" s="15" t="s">
        <v>145</v>
      </c>
      <c r="I24" s="15" t="s">
        <v>65</v>
      </c>
      <c r="J24" s="15"/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.75" hidden="false" customHeight="true" outlineLevel="0" collapsed="false">
      <c r="A25" s="15" t="s">
        <v>178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5"/>
      <c r="H25" s="15" t="s">
        <v>145</v>
      </c>
      <c r="I25" s="15" t="s">
        <v>65</v>
      </c>
      <c r="J25" s="15"/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.75" hidden="false" customHeight="true" outlineLevel="0" collapsed="false">
      <c r="A26" s="15" t="s">
        <v>179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/>
      <c r="H26" s="15" t="s">
        <v>145</v>
      </c>
      <c r="I26" s="15" t="s">
        <v>72</v>
      </c>
      <c r="J26" s="15"/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.75" hidden="false" customHeight="true" outlineLevel="0" collapsed="false">
      <c r="A27" s="15" t="s">
        <v>180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5"/>
      <c r="H27" s="15" t="s">
        <v>145</v>
      </c>
      <c r="I27" s="15" t="s">
        <v>65</v>
      </c>
      <c r="J27" s="15"/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.75" hidden="false" customHeight="true" outlineLevel="0" collapsed="false">
      <c r="A28" s="15" t="s">
        <v>181</v>
      </c>
      <c r="B28" s="15" t="s">
        <v>107</v>
      </c>
      <c r="C28" s="15" t="s">
        <v>6</v>
      </c>
      <c r="D28" s="15" t="s">
        <v>182</v>
      </c>
      <c r="E28" s="15" t="s">
        <v>61</v>
      </c>
      <c r="F28" s="15" t="s">
        <v>109</v>
      </c>
      <c r="G28" s="15"/>
      <c r="H28" s="15" t="s">
        <v>145</v>
      </c>
      <c r="I28" s="15" t="s">
        <v>65</v>
      </c>
      <c r="J28" s="15"/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.75" hidden="false" customHeight="true" outlineLevel="0" collapsed="false">
      <c r="A29" s="15" t="s">
        <v>183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5"/>
      <c r="H29" s="15" t="s">
        <v>145</v>
      </c>
      <c r="I29" s="15" t="s">
        <v>65</v>
      </c>
      <c r="J29" s="15"/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.75" hidden="false" customHeight="true" outlineLevel="0" collapsed="false">
      <c r="A30" s="15" t="s">
        <v>184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/>
      <c r="H30" s="15" t="s">
        <v>145</v>
      </c>
      <c r="I30" s="15" t="s">
        <v>72</v>
      </c>
      <c r="J30" s="15"/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.75" hidden="false" customHeight="true" outlineLevel="0" collapsed="false">
      <c r="A31" s="15" t="s">
        <v>185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5"/>
      <c r="H31" s="15" t="s">
        <v>145</v>
      </c>
      <c r="I31" s="15" t="s">
        <v>72</v>
      </c>
      <c r="J31" s="15"/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.75" hidden="false" customHeight="true" outlineLevel="0" collapsed="false">
      <c r="A32" s="15" t="s">
        <v>186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5"/>
      <c r="H32" s="15" t="s">
        <v>145</v>
      </c>
      <c r="I32" s="15" t="s">
        <v>65</v>
      </c>
      <c r="J32" s="15"/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.75" hidden="false" customHeight="true" outlineLevel="0" collapsed="false">
      <c r="A33" s="15" t="s">
        <v>187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/>
      <c r="H33" s="15" t="s">
        <v>145</v>
      </c>
      <c r="I33" s="15" t="s">
        <v>72</v>
      </c>
      <c r="J33" s="15"/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.75" hidden="false" customHeight="true" outlineLevel="0" collapsed="false">
      <c r="A34" s="15" t="s">
        <v>188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145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0</v>
      </c>
      <c r="E4" s="4" t="s">
        <v>14</v>
      </c>
      <c r="F4" s="6" t="n">
        <f aca="false">IFERROR(D4/SUM(L9:L34),0)</f>
        <v>0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open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190</v>
      </c>
      <c r="B9" s="15" t="s">
        <v>59</v>
      </c>
      <c r="C9" s="15" t="s">
        <v>6</v>
      </c>
      <c r="D9" s="15" t="s">
        <v>154</v>
      </c>
      <c r="E9" s="15" t="s">
        <v>61</v>
      </c>
      <c r="F9" s="15" t="s">
        <v>62</v>
      </c>
      <c r="G9" s="15"/>
      <c r="H9" s="15" t="s">
        <v>145</v>
      </c>
      <c r="I9" s="15" t="s">
        <v>65</v>
      </c>
      <c r="J9" s="15"/>
      <c r="K9" s="15"/>
      <c r="L9" s="18" t="n">
        <v>1</v>
      </c>
      <c r="M9" s="18" t="n">
        <f aca="false">IF(H9="not applicable",IF(K9&lt;&gt;"",1,0),IF(I9="yes",IF(H9="verified",1,0),IF(OR(H9="tested",H9="verified"),1,0)))</f>
        <v>0</v>
      </c>
    </row>
    <row r="10" customFormat="false" ht="42.75" hidden="false" customHeight="true" outlineLevel="0" collapsed="false">
      <c r="A10" s="15" t="s">
        <v>191</v>
      </c>
      <c r="B10" s="15" t="s">
        <v>67</v>
      </c>
      <c r="C10" s="15" t="s">
        <v>6</v>
      </c>
      <c r="D10" s="15" t="s">
        <v>156</v>
      </c>
      <c r="E10" s="15" t="s">
        <v>61</v>
      </c>
      <c r="F10" s="15" t="s">
        <v>69</v>
      </c>
      <c r="G10" s="15"/>
      <c r="H10" s="15" t="s">
        <v>145</v>
      </c>
      <c r="I10" s="15" t="s">
        <v>72</v>
      </c>
      <c r="J10" s="15"/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0</v>
      </c>
    </row>
    <row r="11" customFormat="false" ht="42.75" hidden="false" customHeight="true" outlineLevel="0" collapsed="false">
      <c r="A11" s="15" t="s">
        <v>192</v>
      </c>
      <c r="B11" s="15" t="s">
        <v>59</v>
      </c>
      <c r="C11" s="15" t="s">
        <v>6</v>
      </c>
      <c r="D11" s="15" t="s">
        <v>158</v>
      </c>
      <c r="E11" s="15" t="s">
        <v>61</v>
      </c>
      <c r="F11" s="15" t="s">
        <v>75</v>
      </c>
      <c r="G11" s="15"/>
      <c r="H11" s="15" t="s">
        <v>145</v>
      </c>
      <c r="I11" s="15" t="s">
        <v>65</v>
      </c>
      <c r="J11" s="15"/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0</v>
      </c>
    </row>
    <row r="12" customFormat="false" ht="42.75" hidden="false" customHeight="true" outlineLevel="0" collapsed="false">
      <c r="A12" s="15" t="s">
        <v>193</v>
      </c>
      <c r="B12" s="15" t="s">
        <v>59</v>
      </c>
      <c r="C12" s="15" t="s">
        <v>6</v>
      </c>
      <c r="D12" s="15" t="s">
        <v>160</v>
      </c>
      <c r="E12" s="15" t="s">
        <v>61</v>
      </c>
      <c r="F12" s="15" t="s">
        <v>75</v>
      </c>
      <c r="G12" s="15"/>
      <c r="H12" s="15" t="s">
        <v>145</v>
      </c>
      <c r="I12" s="15" t="s">
        <v>65</v>
      </c>
      <c r="J12" s="15"/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0</v>
      </c>
    </row>
    <row r="13" customFormat="false" ht="42.75" hidden="false" customHeight="true" outlineLevel="0" collapsed="false">
      <c r="A13" s="15" t="s">
        <v>194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5"/>
      <c r="H13" s="15" t="s">
        <v>145</v>
      </c>
      <c r="I13" s="15" t="s">
        <v>65</v>
      </c>
      <c r="J13" s="15"/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0</v>
      </c>
    </row>
    <row r="14" customFormat="false" ht="42.75" hidden="false" customHeight="true" outlineLevel="0" collapsed="false">
      <c r="A14" s="15" t="s">
        <v>195</v>
      </c>
      <c r="B14" s="15" t="s">
        <v>81</v>
      </c>
      <c r="C14" s="15" t="s">
        <v>6</v>
      </c>
      <c r="D14" s="15" t="s">
        <v>163</v>
      </c>
      <c r="E14" s="15" t="s">
        <v>61</v>
      </c>
      <c r="F14" s="15" t="s">
        <v>62</v>
      </c>
      <c r="G14" s="15"/>
      <c r="H14" s="15" t="s">
        <v>145</v>
      </c>
      <c r="I14" s="15" t="s">
        <v>72</v>
      </c>
      <c r="J14" s="15"/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0</v>
      </c>
    </row>
    <row r="15" customFormat="false" ht="42.75" hidden="false" customHeight="true" outlineLevel="0" collapsed="false">
      <c r="A15" s="15" t="s">
        <v>196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5"/>
      <c r="H15" s="15" t="s">
        <v>145</v>
      </c>
      <c r="I15" s="15" t="s">
        <v>72</v>
      </c>
      <c r="J15" s="15"/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0</v>
      </c>
    </row>
    <row r="16" customFormat="false" ht="42.75" hidden="false" customHeight="true" outlineLevel="0" collapsed="false">
      <c r="A16" s="15" t="s">
        <v>197</v>
      </c>
      <c r="B16" s="15" t="s">
        <v>88</v>
      </c>
      <c r="C16" s="15" t="s">
        <v>6</v>
      </c>
      <c r="D16" s="15" t="s">
        <v>166</v>
      </c>
      <c r="E16" s="15" t="s">
        <v>61</v>
      </c>
      <c r="F16" s="15" t="s">
        <v>90</v>
      </c>
      <c r="G16" s="15"/>
      <c r="H16" s="15" t="s">
        <v>145</v>
      </c>
      <c r="I16" s="15" t="s">
        <v>72</v>
      </c>
      <c r="J16" s="15"/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0</v>
      </c>
    </row>
    <row r="17" customFormat="false" ht="42.75" hidden="false" customHeight="true" outlineLevel="0" collapsed="false">
      <c r="A17" s="15" t="s">
        <v>198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5"/>
      <c r="H17" s="15" t="s">
        <v>145</v>
      </c>
      <c r="I17" s="15" t="s">
        <v>72</v>
      </c>
      <c r="J17" s="15"/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0</v>
      </c>
    </row>
    <row r="18" customFormat="false" ht="42.75" hidden="false" customHeight="true" outlineLevel="0" collapsed="false">
      <c r="A18" s="15" t="s">
        <v>199</v>
      </c>
      <c r="B18" s="15" t="s">
        <v>88</v>
      </c>
      <c r="C18" s="15" t="s">
        <v>6</v>
      </c>
      <c r="D18" s="15" t="s">
        <v>169</v>
      </c>
      <c r="E18" s="15" t="s">
        <v>61</v>
      </c>
      <c r="F18" s="15" t="s">
        <v>90</v>
      </c>
      <c r="G18" s="15"/>
      <c r="H18" s="15" t="s">
        <v>145</v>
      </c>
      <c r="I18" s="15" t="s">
        <v>72</v>
      </c>
      <c r="J18" s="15"/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0</v>
      </c>
    </row>
    <row r="19" customFormat="false" ht="42.75" hidden="false" customHeight="true" outlineLevel="0" collapsed="false">
      <c r="A19" s="15" t="s">
        <v>200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5"/>
      <c r="H19" s="15" t="s">
        <v>145</v>
      </c>
      <c r="I19" s="15" t="s">
        <v>72</v>
      </c>
      <c r="J19" s="15"/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0</v>
      </c>
    </row>
    <row r="20" customFormat="false" ht="42.75" hidden="false" customHeight="true" outlineLevel="0" collapsed="false">
      <c r="A20" s="15" t="s">
        <v>201</v>
      </c>
      <c r="B20" s="15" t="s">
        <v>88</v>
      </c>
      <c r="C20" s="15" t="s">
        <v>6</v>
      </c>
      <c r="D20" s="15" t="s">
        <v>172</v>
      </c>
      <c r="E20" s="15" t="s">
        <v>61</v>
      </c>
      <c r="F20" s="15" t="s">
        <v>90</v>
      </c>
      <c r="G20" s="15"/>
      <c r="H20" s="15" t="s">
        <v>145</v>
      </c>
      <c r="I20" s="15" t="s">
        <v>72</v>
      </c>
      <c r="J20" s="15"/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.75" hidden="false" customHeight="true" outlineLevel="0" collapsed="false">
      <c r="A21" s="15" t="s">
        <v>202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5"/>
      <c r="H21" s="15" t="s">
        <v>145</v>
      </c>
      <c r="I21" s="15" t="s">
        <v>65</v>
      </c>
      <c r="J21" s="15"/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.75" hidden="false" customHeight="true" outlineLevel="0" collapsed="false">
      <c r="A22" s="15" t="s">
        <v>203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5"/>
      <c r="H22" s="15" t="s">
        <v>145</v>
      </c>
      <c r="I22" s="15" t="s">
        <v>65</v>
      </c>
      <c r="J22" s="15"/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0</v>
      </c>
    </row>
    <row r="23" customFormat="false" ht="42.75" hidden="false" customHeight="true" outlineLevel="0" collapsed="false">
      <c r="A23" s="15" t="s">
        <v>204</v>
      </c>
      <c r="B23" s="15" t="s">
        <v>107</v>
      </c>
      <c r="C23" s="15" t="s">
        <v>6</v>
      </c>
      <c r="D23" s="15" t="s">
        <v>176</v>
      </c>
      <c r="E23" s="15" t="s">
        <v>61</v>
      </c>
      <c r="F23" s="15" t="s">
        <v>109</v>
      </c>
      <c r="G23" s="15"/>
      <c r="H23" s="15" t="s">
        <v>145</v>
      </c>
      <c r="I23" s="15" t="s">
        <v>65</v>
      </c>
      <c r="J23" s="15"/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0</v>
      </c>
    </row>
    <row r="24" customFormat="false" ht="42.75" hidden="false" customHeight="true" outlineLevel="0" collapsed="false">
      <c r="A24" s="15" t="s">
        <v>205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5"/>
      <c r="H24" s="15" t="s">
        <v>145</v>
      </c>
      <c r="I24" s="15" t="s">
        <v>65</v>
      </c>
      <c r="J24" s="15"/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.75" hidden="false" customHeight="true" outlineLevel="0" collapsed="false">
      <c r="A25" s="15" t="s">
        <v>206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5"/>
      <c r="H25" s="15" t="s">
        <v>145</v>
      </c>
      <c r="I25" s="15" t="s">
        <v>65</v>
      </c>
      <c r="J25" s="15"/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.75" hidden="false" customHeight="true" outlineLevel="0" collapsed="false">
      <c r="A26" s="15" t="s">
        <v>207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/>
      <c r="H26" s="15" t="s">
        <v>145</v>
      </c>
      <c r="I26" s="15" t="s">
        <v>72</v>
      </c>
      <c r="J26" s="15"/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.75" hidden="false" customHeight="true" outlineLevel="0" collapsed="false">
      <c r="A27" s="15" t="s">
        <v>208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5"/>
      <c r="H27" s="15" t="s">
        <v>145</v>
      </c>
      <c r="I27" s="15" t="s">
        <v>65</v>
      </c>
      <c r="J27" s="15"/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.75" hidden="false" customHeight="true" outlineLevel="0" collapsed="false">
      <c r="A28" s="15" t="s">
        <v>209</v>
      </c>
      <c r="B28" s="15" t="s">
        <v>107</v>
      </c>
      <c r="C28" s="15" t="s">
        <v>6</v>
      </c>
      <c r="D28" s="15" t="s">
        <v>182</v>
      </c>
      <c r="E28" s="15" t="s">
        <v>61</v>
      </c>
      <c r="F28" s="15" t="s">
        <v>109</v>
      </c>
      <c r="G28" s="15"/>
      <c r="H28" s="15" t="s">
        <v>145</v>
      </c>
      <c r="I28" s="15" t="s">
        <v>65</v>
      </c>
      <c r="J28" s="15"/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.75" hidden="false" customHeight="true" outlineLevel="0" collapsed="false">
      <c r="A29" s="15" t="s">
        <v>210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5"/>
      <c r="H29" s="15" t="s">
        <v>145</v>
      </c>
      <c r="I29" s="15" t="s">
        <v>65</v>
      </c>
      <c r="J29" s="15"/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.75" hidden="false" customHeight="true" outlineLevel="0" collapsed="false">
      <c r="A30" s="15" t="s">
        <v>211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/>
      <c r="H30" s="15" t="s">
        <v>145</v>
      </c>
      <c r="I30" s="15" t="s">
        <v>72</v>
      </c>
      <c r="J30" s="15"/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.75" hidden="false" customHeight="true" outlineLevel="0" collapsed="false">
      <c r="A31" s="15" t="s">
        <v>212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5"/>
      <c r="H31" s="15" t="s">
        <v>145</v>
      </c>
      <c r="I31" s="15" t="s">
        <v>72</v>
      </c>
      <c r="J31" s="15"/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.75" hidden="false" customHeight="true" outlineLevel="0" collapsed="false">
      <c r="A32" s="15" t="s">
        <v>213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5"/>
      <c r="H32" s="15" t="s">
        <v>145</v>
      </c>
      <c r="I32" s="15" t="s">
        <v>65</v>
      </c>
      <c r="J32" s="15"/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.75" hidden="false" customHeight="true" outlineLevel="0" collapsed="false">
      <c r="A33" s="15" t="s">
        <v>214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/>
      <c r="H33" s="15" t="s">
        <v>145</v>
      </c>
      <c r="I33" s="15" t="s">
        <v>72</v>
      </c>
      <c r="J33" s="15"/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.75" hidden="false" customHeight="true" outlineLevel="0" collapsed="false">
      <c r="A34" s="15" t="s">
        <v>215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145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145</v>
      </c>
      <c r="B1" s="1" t="s">
        <v>72</v>
      </c>
    </row>
    <row r="2" customFormat="false" ht="15" hidden="false" customHeight="true" outlineLevel="0" collapsed="false">
      <c r="A2" s="1" t="s">
        <v>216</v>
      </c>
      <c r="B2" s="1" t="s">
        <v>65</v>
      </c>
    </row>
    <row r="3" customFormat="false" ht="15" hidden="false" customHeight="true" outlineLevel="0" collapsed="false">
      <c r="A3" s="1" t="s">
        <v>217</v>
      </c>
    </row>
    <row r="4" customFormat="false" ht="15" hidden="false" customHeight="true" outlineLevel="0" collapsed="false">
      <c r="A4" s="1" t="s">
        <v>64</v>
      </c>
    </row>
    <row r="5" customFormat="false" ht="15" hidden="false" customHeight="true" outlineLevel="0" collapsed="false">
      <c r="A5" s="1" t="s">
        <v>71</v>
      </c>
    </row>
    <row r="6" customFormat="false" ht="15" hidden="false" customHeight="true" outlineLevel="0" collapsed="false">
      <c r="A6" s="1" t="s">
        <v>218</v>
      </c>
    </row>
    <row r="7" customFormat="false" ht="15" hidden="false" customHeight="true" outlineLevel="0" collapsed="false">
      <c r="A7" s="1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2026-07-16T23:49:01Z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