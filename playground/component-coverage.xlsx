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2.xml" ContentType="application/vnd.openxmlformats-officedocument.spreadsheetml.table+xml"/>
  <Override PartName="/xl/tables/table23.xml" ContentType="application/vnd.openxmlformats-officedocument.spreadsheetml.table+xml"/>
  <Override PartName="/xl/tables/table1.xml" ContentType="application/vnd.openxmlformats-officedocument.spreadsheetml.table+xml"/>
  <Override PartName="/xl/tables/table26.xml" ContentType="application/vnd.openxmlformats-officedocument.spreadsheetml.table+xml"/>
  <Override PartName="/xl/tables/table4.xml" ContentType="application/vnd.openxmlformats-officedocument.spreadsheetml.table+xml"/>
  <Override PartName="/xl/tables/table12.xml" ContentType="application/vnd.openxmlformats-officedocument.spreadsheetml.table+xml"/>
  <Override PartName="/xl/tables/table5.xml" ContentType="application/vnd.openxmlformats-officedocument.spreadsheetml.table+xml"/>
  <Override PartName="/xl/tables/table20.xml" ContentType="application/vnd.openxmlformats-officedocument.spreadsheetml.table+xml"/>
  <Override PartName="/xl/tables/table6.xml" ContentType="application/vnd.openxmlformats-officedocument.spreadsheetml.table+xml"/>
  <Override PartName="/xl/tables/table21.xml" ContentType="application/vnd.openxmlformats-officedocument.spreadsheetml.table+xml"/>
  <Override PartName="/xl/tables/table17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22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11.xml" ContentType="application/vnd.openxmlformats-officedocument.spreadsheetml.table+xml"/>
  <Override PartName="/xl/tables/table19.xml" ContentType="application/vnd.openxmlformats-officedocument.spreadsheetml.table+xml"/>
  <Override PartName="/xl/tables/table8.xml" ContentType="application/vnd.openxmlformats-officedocument.spreadsheetml.table+xml"/>
  <Override PartName="/xl/tables/table18.xml" ContentType="application/vnd.openxmlformats-officedocument.spreadsheetml.table+xml"/>
  <Override PartName="/xl/tables/table7.xml" ContentType="application/vnd.openxmlformats-officedocument.spreadsheetml.table+xml"/>
  <Override PartName="/xl/tables/table13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0.xml" ContentType="application/vnd.openxmlformats-officedocument.spreadsheetml.table+xml"/>
  <Override PartName="/xl/tables/table14.xml" ContentType="application/vnd.openxmlformats-officedocument.spreadsheetml.table+xml"/>
  <Override PartName="/xl/styles.xml" ContentType="application/vnd.openxmlformats-officedocument.spreadsheetml.styles+xml"/>
  <Override PartName="/xl/worksheets/sheet2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17.xml" ContentType="application/vnd.openxmlformats-officedocument.spreadsheetml.worksheet+xml"/>
  <Override PartName="/xl/worksheets/sheet5.xml" ContentType="application/vnd.openxmlformats-officedocument.spreadsheetml.worksheet+xml"/>
  <Override PartName="/xl/worksheets/sheet28.xml" ContentType="application/vnd.openxmlformats-officedocument.spreadsheetml.worksheet+xml"/>
  <Override PartName="/xl/worksheets/sheet41.xml" ContentType="application/vnd.openxmlformats-officedocument.spreadsheetml.worksheet+xml"/>
  <Override PartName="/xl/worksheets/sheet6.xml" ContentType="application/vnd.openxmlformats-officedocument.spreadsheetml.worksheet+xml"/>
  <Override PartName="/xl/worksheets/sheet57.xml" ContentType="application/vnd.openxmlformats-officedocument.spreadsheetml.worksheet+xml"/>
  <Override PartName="/xl/worksheets/sheet19.xml" ContentType="application/vnd.openxmlformats-officedocument.spreadsheetml.worksheet+xml"/>
  <Override PartName="/xl/worksheets/sheet35.xml" ContentType="application/vnd.openxmlformats-officedocument.spreadsheetml.worksheet+xml"/>
  <Override PartName="/xl/worksheets/sheet11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33.xml" ContentType="application/vnd.openxmlformats-officedocument.spreadsheetml.worksheet+xml"/>
  <Override PartName="/xl/worksheets/sheet21.xml" ContentType="application/vnd.openxmlformats-officedocument.spreadsheetml.worksheet+xml"/>
  <Override PartName="/xl/worksheets/sheet23.xml" ContentType="application/vnd.openxmlformats-officedocument.spreadsheetml.worksheet+xml"/>
  <Override PartName="/xl/worksheets/sheet31.xml" ContentType="application/vnd.openxmlformats-officedocument.spreadsheetml.worksheet+xml"/>
  <Override PartName="/xl/worksheets/sheet46.xml" ContentType="application/vnd.openxmlformats-officedocument.spreadsheetml.worksheet+xml"/>
  <Override PartName="/xl/worksheets/sheet32.xml" ContentType="application/vnd.openxmlformats-officedocument.spreadsheetml.worksheet+xml"/>
  <Override PartName="/xl/worksheets/sheet34.xml" ContentType="application/vnd.openxmlformats-officedocument.spreadsheetml.worksheet+xml"/>
  <Override PartName="/xl/worksheets/sheet3.xml" ContentType="application/vnd.openxmlformats-officedocument.spreadsheetml.worksheet+xml"/>
  <Override PartName="/xl/worksheets/sheet36.xml" ContentType="application/vnd.openxmlformats-officedocument.spreadsheetml.worksheet+xml"/>
  <Override PartName="/xl/worksheets/sheet29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15.xml" ContentType="application/vnd.openxmlformats-officedocument.spreadsheetml.worksheet+xml"/>
  <Override PartName="/xl/worksheets/sheet39.xml" ContentType="application/vnd.openxmlformats-officedocument.spreadsheetml.worksheet+xml"/>
  <Override PartName="/xl/worksheets/sheet2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.xml" ContentType="application/vnd.openxmlformats-officedocument.spreadsheetml.worksheet+xml"/>
  <Override PartName="/xl/worksheets/sheet42.xml" ContentType="application/vnd.openxmlformats-officedocument.spreadsheetml.worksheet+xml"/>
  <Override PartName="/xl/worksheets/sheet10.xml" ContentType="application/vnd.openxmlformats-officedocument.spreadsheetml.worksheet+xml"/>
  <Override PartName="/xl/worksheets/sheet48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55.xml" ContentType="application/vnd.openxmlformats-officedocument.spreadsheetml.worksheet+xml"/>
  <Override PartName="/xl/worksheets/sheet49.xml" ContentType="application/vnd.openxmlformats-officedocument.spreadsheetml.worksheet+xml"/>
  <Override PartName="/xl/worksheets/sheet47.xml" ContentType="application/vnd.openxmlformats-officedocument.spreadsheetml.worksheet+xml"/>
  <Override PartName="/xl/worksheets/sheet12.xml" ContentType="application/vnd.openxmlformats-officedocument.spreadsheetml.worksheet+xml"/>
  <Override PartName="/xl/worksheets/sheet50.xml" ContentType="application/vnd.openxmlformats-officedocument.spreadsheetml.worksheet+xml"/>
  <Override PartName="/xl/worksheets/sheet53.xml" ContentType="application/vnd.openxmlformats-officedocument.spreadsheetml.worksheet+xml"/>
  <Override PartName="/xl/worksheets/sheet3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4.xml" ContentType="application/vnd.openxmlformats-officedocument.spreadsheetml.worksheet+xml"/>
  <Override PartName="/xl/worksheets/sheet56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7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Instructions" sheetId="2" state="visible" r:id="rId4"/>
    <sheet name="_Lists" sheetId="3" state="hidden" r:id="rId5"/>
    <sheet name="Alert Dialog" sheetId="4" state="visible" r:id="rId6"/>
    <sheet name="App Bar" sheetId="5" state="visible" r:id="rId7"/>
    <sheet name="Avatar" sheetId="6" state="visible" r:id="rId8"/>
    <sheet name="Badge" sheetId="7" state="visible" r:id="rId9"/>
    <sheet name="Button" sheetId="8" state="visible" r:id="rId10"/>
    <sheet name="Card" sheetId="9" state="visible" r:id="rId11"/>
    <sheet name="Checkbox" sheetId="10" state="visible" r:id="rId12"/>
    <sheet name="Checkbox Group" sheetId="11" state="visible" r:id="rId13"/>
    <sheet name="Dialog" sheetId="12" state="visible" r:id="rId14"/>
    <sheet name="Drawer" sheetId="13" state="visible" r:id="rId15"/>
    <sheet name="Field" sheetId="14" state="visible" r:id="rId16"/>
    <sheet name="Fieldset" sheetId="15" state="visible" r:id="rId17"/>
    <sheet name="Form" sheetId="16" state="visible" r:id="rId18"/>
    <sheet name="Hover Card" sheetId="17" state="visible" r:id="rId19"/>
    <sheet name="Icon Button" sheetId="18" state="visible" r:id="rId20"/>
    <sheet name="Input" sheetId="19" state="visible" r:id="rId21"/>
    <sheet name="Link" sheetId="20" state="visible" r:id="rId22"/>
    <sheet name="Text" sheetId="21" state="visible" r:id="rId23"/>
    <sheet name="Notification Badge" sheetId="22" state="visible" r:id="rId24"/>
    <sheet name="Popover" sheetId="23" state="visible" r:id="rId25"/>
    <sheet name="Toggle" sheetId="24" state="visible" r:id="rId26"/>
    <sheet name="Toggle Group" sheetId="25" state="visible" r:id="rId27"/>
    <sheet name="Stack" sheetId="26" state="visible" r:id="rId28"/>
    <sheet name="Tooltip" sheetId="27" state="visible" r:id="rId29"/>
    <sheet name="Grid" sheetId="28" state="visible" r:id="rId30"/>
    <sheet name="Container" sheetId="29" state="visible" r:id="rId31"/>
    <sheet name="Surface" sheetId="30" state="visible" r:id="rId32"/>
    <sheet name="Divider" sheetId="31" state="visible" r:id="rId33"/>
    <sheet name="Scroll Area" sheetId="32" state="visible" r:id="rId34"/>
    <sheet name="Code" sheetId="33" state="visible" r:id="rId35"/>
    <sheet name="Code Block" sheetId="34" state="visible" r:id="rId36"/>
    <sheet name="Nav List" sheetId="35" state="visible" r:id="rId37"/>
    <sheet name="Sidebar" sheetId="36" state="visible" r:id="rId38"/>
    <sheet name="Icon" sheetId="37" state="visible" r:id="rId39"/>
    <sheet name="Image" sheetId="38" state="visible" r:id="rId40"/>
    <sheet name="List" sheetId="39" state="visible" r:id="rId41"/>
    <sheet name="Select" sheetId="40" state="visible" r:id="rId42"/>
    <sheet name="Multi Select" sheetId="41" state="visible" r:id="rId43"/>
    <sheet name="Textarea" sheetId="42" state="visible" r:id="rId44"/>
    <sheet name="Radio Group" sheetId="43" state="visible" r:id="rId45"/>
    <sheet name="Switch" sheetId="44" state="visible" r:id="rId46"/>
    <sheet name="Breadcrumb" sheetId="45" state="visible" r:id="rId47"/>
    <sheet name="Tabs" sheetId="46" state="visible" r:id="rId48"/>
    <sheet name="Skeleton" sheetId="47" state="visible" r:id="rId49"/>
    <sheet name="Dropdown Menu" sheetId="48" state="visible" r:id="rId50"/>
    <sheet name="Context Menu" sheetId="49" state="visible" r:id="rId51"/>
    <sheet name="Menubar" sheetId="50" state="visible" r:id="rId52"/>
    <sheet name="Navigation Menu" sheetId="51" state="visible" r:id="rId53"/>
    <sheet name="Bottom Navigation" sheetId="52" state="visible" r:id="rId54"/>
    <sheet name="Visually Hidden" sheetId="53" state="visible" r:id="rId55"/>
    <sheet name="Collapsible" sheetId="54" state="visible" r:id="rId56"/>
    <sheet name="Accordion" sheetId="55" state="visible" r:id="rId57"/>
    <sheet name="Toast" sheetId="56" state="visible" r:id="rId58"/>
    <sheet name="Table" sheetId="57" state="visible" r:id="rId59"/>
  </sheets>
  <definedNames>
    <definedName function="false" hidden="true" localSheetId="51" name="_xlnm._FilterDatabase" vbProcedure="false">'Bottom Navigation'!$A$8:$M$36</definedName>
    <definedName function="false" hidden="true" localSheetId="53" name="_xlnm._FilterDatabase" vbProcedure="false">Collapsible!$A$8:$M$33</definedName>
    <definedName function="false" hidden="false" localSheetId="0" name="_xlnm.Print_Area" vbProcedure="false">Index!$A$1:$M$60</definedName>
    <definedName function="false" hidden="true" localSheetId="0" name="_xlnm._FilterDatabase" vbProcedure="false">Index!$A$7:$M$61</definedName>
    <definedName function="false" hidden="true" localSheetId="42" name="_xlnm._FilterDatabase" vbProcedure="false">'Radio Group'!$A$8:$M$28</definedName>
    <definedName function="false" hidden="true" localSheetId="39" name="_xlnm._FilterDatabase" vbProcedure="false">Select!$A$8:$M$30</definedName>
    <definedName function="false" hidden="true" localSheetId="46" name="_xlnm._FilterDatabase" vbProcedure="false">Skeleton!$A$8:$M$30</definedName>
    <definedName function="false" hidden="false" localSheetId="56" name="_xlnm.Print_Area" vbProcedure="false">Table!$A$1:$M$31</definedName>
    <definedName function="false" hidden="true" localSheetId="56" name="_xlnm._FilterDatabase" vbProcedure="false">Table!$A$8:$M$31</definedName>
    <definedName function="false" hidden="true" localSheetId="45" name="_xlnm._FilterDatabase" vbProcedure="false">Tabs!$A$8:$M$31</definedName>
    <definedName function="false" hidden="true" localSheetId="41" name="_xlnm._FilterDatabase" vbProcedure="false">Textarea!$A$8:$M$30</definedName>
    <definedName function="false" hidden="false" localSheetId="55" name="_xlnm.Print_Area" vbProcedure="false">Toast!$A$1:$M$39</definedName>
    <definedName function="false" hidden="false" localSheetId="55" name="_xlnm.Print_Titles" vbProcedure="false">Toast!$1:$8</definedName>
    <definedName function="false" hidden="true" localSheetId="55" name="_xlnm._FilterDatabase" vbProcedure="false">Toast!$A$8:$M$39</definedName>
    <definedName function="false" hidden="true" localSheetId="52" name="_xlnm._FilterDatabase" vbProcedure="false">'Visually Hidden'!$A$8:$M$27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<sst xmlns="http://schemas.openxmlformats.org/spreadsheetml/2006/main" count="10620" uniqueCount="2531">
  <si>
    <t xml:space="preserve">Brick Component Coverage</t>
  </si>
  <si>
    <t xml:space="preserve">Components</t>
  </si>
  <si>
    <t xml:space="preserve">Complete</t>
  </si>
  <si>
    <t xml:space="preserve">Overall</t>
  </si>
  <si>
    <t xml:space="preserve">Component</t>
  </si>
  <si>
    <t xml:space="preserve">Requirements</t>
  </si>
  <si>
    <t xml:space="preserve">Not started</t>
  </si>
  <si>
    <t xml:space="preserve">Partial</t>
  </si>
  <si>
    <t xml:space="preserve">Implemented</t>
  </si>
  <si>
    <t xml:space="preserve">Tested</t>
  </si>
  <si>
    <t xml:space="preserve">Verified</t>
  </si>
  <si>
    <t xml:space="preserve">Blocked</t>
  </si>
  <si>
    <t xml:space="preserve">N/A</t>
  </si>
  <si>
    <t xml:space="preserve">Completion</t>
  </si>
  <si>
    <t xml:space="preserve">Package gate</t>
  </si>
  <si>
    <t xml:space="preserve">Consumer gate</t>
  </si>
  <si>
    <t xml:space="preserve">Alert Dialog</t>
  </si>
  <si>
    <t xml:space="preserve">App Bar</t>
  </si>
  <si>
    <t xml:space="preserve">Avatar</t>
  </si>
  <si>
    <t xml:space="preserve">Badge</t>
  </si>
  <si>
    <t xml:space="preserve">Button</t>
  </si>
  <si>
    <t xml:space="preserve">Card</t>
  </si>
  <si>
    <t xml:space="preserve">Checkbox</t>
  </si>
  <si>
    <t xml:space="preserve">Checkbox Group</t>
  </si>
  <si>
    <t xml:space="preserve">Dialog</t>
  </si>
  <si>
    <t xml:space="preserve">Drawer</t>
  </si>
  <si>
    <t xml:space="preserve">Field</t>
  </si>
  <si>
    <t xml:space="preserve">Fieldset</t>
  </si>
  <si>
    <t xml:space="preserve">Form</t>
  </si>
  <si>
    <t xml:space="preserve">Hover Card</t>
  </si>
  <si>
    <t xml:space="preserve">Icon Button</t>
  </si>
  <si>
    <t xml:space="preserve">Input</t>
  </si>
  <si>
    <t xml:space="preserve">Link</t>
  </si>
  <si>
    <t xml:space="preserve">Notification Badge</t>
  </si>
  <si>
    <t xml:space="preserve">Popover</t>
  </si>
  <si>
    <t xml:space="preserve">Toggle</t>
  </si>
  <si>
    <t xml:space="preserve">Toggle Group</t>
  </si>
  <si>
    <t xml:space="preserve">Tooltip</t>
  </si>
  <si>
    <t xml:space="preserve">Stack</t>
  </si>
  <si>
    <t xml:space="preserve">Text</t>
  </si>
  <si>
    <t xml:space="preserve">Grid</t>
  </si>
  <si>
    <t xml:space="preserve">Container</t>
  </si>
  <si>
    <t xml:space="preserve">Surface</t>
  </si>
  <si>
    <t xml:space="preserve">Divider</t>
  </si>
  <si>
    <t xml:space="preserve">Scroll Area</t>
  </si>
  <si>
    <t xml:space="preserve">Code</t>
  </si>
  <si>
    <t xml:space="preserve">Code Block</t>
  </si>
  <si>
    <t xml:space="preserve">Nav List</t>
  </si>
  <si>
    <t xml:space="preserve">Sidebar</t>
  </si>
  <si>
    <t xml:space="preserve">Icon</t>
  </si>
  <si>
    <t xml:space="preserve">Image</t>
  </si>
  <si>
    <t xml:space="preserve">List</t>
  </si>
  <si>
    <t xml:space="preserve">Select</t>
  </si>
  <si>
    <t xml:space="preserve">Multi Select</t>
  </si>
  <si>
    <t xml:space="preserve">Textarea</t>
  </si>
  <si>
    <t xml:space="preserve">Radio Group</t>
  </si>
  <si>
    <t xml:space="preserve">Switch</t>
  </si>
  <si>
    <t xml:space="preserve">Breadcrumb</t>
  </si>
  <si>
    <t xml:space="preserve">Tabs</t>
  </si>
  <si>
    <t xml:space="preserve">Skeleton</t>
  </si>
  <si>
    <t xml:space="preserve">Dropdown Menu</t>
  </si>
  <si>
    <t xml:space="preserve">Context Menu</t>
  </si>
  <si>
    <t xml:space="preserve">Menubar</t>
  </si>
  <si>
    <t xml:space="preserve">Navigation Menu</t>
  </si>
  <si>
    <t xml:space="preserve">Bottom Navigation</t>
  </si>
  <si>
    <t xml:space="preserve">Visually Hidden</t>
  </si>
  <si>
    <t xml:space="preserve">Collapsible</t>
  </si>
  <si>
    <t xml:space="preserve">Accordion</t>
  </si>
  <si>
    <t xml:space="preserve">Toast</t>
  </si>
  <si>
    <t xml:space="preserve">Table</t>
  </si>
  <si>
    <t xml:space="preserve">Coverage Workbook Guide</t>
  </si>
  <si>
    <t xml:space="preserve">How to interpret, maintain, and verify this evidence tracker.</t>
  </si>
  <si>
    <t xml:space="preserve">Topic</t>
  </si>
  <si>
    <t xml:space="preserve">Rule</t>
  </si>
  <si>
    <t xml:space="preserve">Purpose</t>
  </si>
  <si>
    <t xml:space="preserve">This workbook summarizes evidence; source, tests, protocols, and public documentation remain authoritative.</t>
  </si>
  <si>
    <t xml:space="preserve">Ownership</t>
  </si>
  <si>
    <t xml:space="preserve">Every independently exported public component owns one sheet. Family integration never replaces component ownership.</t>
  </si>
  <si>
    <t xml:space="preserve">not started</t>
  </si>
  <si>
    <t xml:space="preserve">Required implementation or evidence does not exist.</t>
  </si>
  <si>
    <t xml:space="preserve">partial</t>
  </si>
  <si>
    <t xml:space="preserve">Some evidence exists, but the assertion is incomplete.</t>
  </si>
  <si>
    <t xml:space="preserve">implemented</t>
  </si>
  <si>
    <t xml:space="preserve">The implementation or evidence exists but has not passed its repeatable check.</t>
  </si>
  <si>
    <t xml:space="preserve">tested</t>
  </si>
  <si>
    <t xml:space="preserve">The automated or repeatable check passes.</t>
  </si>
  <si>
    <t xml:space="preserve">verified</t>
  </si>
  <si>
    <t xml:space="preserve">Required human review passed.</t>
  </si>
  <si>
    <t xml:space="preserve">blocked</t>
  </si>
  <si>
    <t xml:space="preserve">A blocker or follow-up is recorded.</t>
  </si>
  <si>
    <t xml:space="preserve">not applicable</t>
  </si>
  <si>
    <t xml:space="preserve">The reason is recorded in Blocker / N/A reason.</t>
  </si>
  <si>
    <t xml:space="preserve">Manual completion</t>
  </si>
  <si>
    <t xml:space="preserve">The owner confirmed every current component protocol completed on 2026-07-24.</t>
  </si>
  <si>
    <t xml:space="preserve">Maintenance</t>
  </si>
  <si>
    <t xml:space="preserve">Update exact evidence paths and statuses in the same workstream as component changes.</t>
  </si>
  <si>
    <t xml:space="preserve">Release</t>
  </si>
  <si>
    <t xml:space="preserve">Recalculate formulas, scan errors, and visually inspect changed sheets before release.</t>
  </si>
  <si>
    <t xml:space="preserve">yes</t>
  </si>
  <si>
    <t xml:space="preserve">no</t>
  </si>
  <si>
    <t xml:space="preserve">Alert Dialog Evidence</t>
  </si>
  <si>
    <t xml:space="preserve">Assertion-level package, browser, human-review, documentation, and consumer evidence.</t>
  </si>
  <si>
    <t xml:space="preserve">Resolved</t>
  </si>
  <si>
    <t xml:space="preserve">Manual review</t>
  </si>
  <si>
    <t xml:space="preserve">ID</t>
  </si>
  <si>
    <t xml:space="preserve">Area</t>
  </si>
  <si>
    <t xml:space="preserve">Part</t>
  </si>
  <si>
    <t xml:space="preserve">Requirement</t>
  </si>
  <si>
    <t xml:space="preserve">Gate</t>
  </si>
  <si>
    <t xml:space="preserve">Evidence type</t>
  </si>
  <si>
    <t xml:space="preserve">Evidence / link</t>
  </si>
  <si>
    <t xml:space="preserve">Status</t>
  </si>
  <si>
    <t xml:space="preserve">Human review?</t>
  </si>
  <si>
    <t xml:space="preserve">Last verified</t>
  </si>
  <si>
    <t xml:space="preserve">Blocker / N/A reason</t>
  </si>
  <si>
    <t xml:space="preserve">Weight</t>
  </si>
  <si>
    <t xml:space="preserve">AD-01</t>
  </si>
  <si>
    <t xml:space="preserve">Implementation</t>
  </si>
  <si>
    <t xml:space="preserve">AlertDialog</t>
  </si>
  <si>
    <t xml:space="preserve">Public component implementation and Atom adapter exist.</t>
  </si>
  <si>
    <t xml:space="preserve">package</t>
  </si>
  <si>
    <t xml:space="preserve">source</t>
  </si>
  <si>
    <t xml:space="preserve">../src/components/alert-dialog</t>
  </si>
  <si>
    <t xml:space="preserve">AD-02</t>
  </si>
  <si>
    <t xml:space="preserve">Exports</t>
  </si>
  <si>
    <t xml:space="preserve">Root and public subpath exports expose the component.</t>
  </si>
  <si>
    <t xml:space="preserve">../test/package/package.test.mjs</t>
  </si>
  <si>
    <t xml:space="preserve">AD-03</t>
  </si>
  <si>
    <t xml:space="preserve">Types</t>
  </si>
  <si>
    <t xml:space="preserve">Public props, refs, composition branches, and invalid cases type-check.</t>
  </si>
  <si>
    <t xml:space="preserve">types</t>
  </si>
  <si>
    <t xml:space="preserve">../test/types/components/alert-dialog.test.ts</t>
  </si>
  <si>
    <t xml:space="preserve">AD-04</t>
  </si>
  <si>
    <t xml:space="preserve">CSS</t>
  </si>
  <si>
    <t xml:space="preserve">Static public CSS, classes, slots, recipes, states, and tokens are present.</t>
  </si>
  <si>
    <t xml:space="preserve">css</t>
  </si>
  <si>
    <t xml:space="preserve">../src/components/alert-dialog/alert-dialog.css</t>
  </si>
  <si>
    <t xml:space="preserve">AD-05</t>
  </si>
  <si>
    <t xml:space="preserve">Unit</t>
  </si>
  <si>
    <t xml:space="preserve">Brick-owned DOM, recipes, adapters, and public hooks pass focused tests.</t>
  </si>
  <si>
    <t xml:space="preserve">component</t>
  </si>
  <si>
    <t xml:space="preserve">../test/components/alert-dialog/alert-dialog.test.tsx</t>
  </si>
  <si>
    <t xml:space="preserve">AD-06</t>
  </si>
  <si>
    <t xml:space="preserve">Browser</t>
  </si>
  <si>
    <t xml:space="preserve">Real-browser behavior and component contract checks pass.</t>
  </si>
  <si>
    <t xml:space="preserve">browser</t>
  </si>
  <si>
    <t xml:space="preserve">tests/components/alert-dialog/behavior.spec.ts</t>
  </si>
  <si>
    <t xml:space="preserve">AD-07</t>
  </si>
  <si>
    <t xml:space="preserve">Accessibility</t>
  </si>
  <si>
    <t xml:space="preserve">Automated semantics and accessibility checks pass in the browser evidence suite.</t>
  </si>
  <si>
    <t xml:space="preserve">axe</t>
  </si>
  <si>
    <t xml:space="preserve">tests/components/alert-dialog/behavior.spec.ts; tests/integration</t>
  </si>
  <si>
    <t xml:space="preserve">AD-08</t>
  </si>
  <si>
    <t xml:space="preserve">Visual</t>
  </si>
  <si>
    <t xml:space="preserve">Reviewed baselines cover the component's risk-selected recipes and states.</t>
  </si>
  <si>
    <t xml:space="preserve">visual</t>
  </si>
  <si>
    <t xml:space="preserve">tests/components/alert-dialog/visual.spec.ts</t>
  </si>
  <si>
    <t xml:space="preserve">Owner reviewed the current playground evidence.</t>
  </si>
  <si>
    <t xml:space="preserve">AD-09</t>
  </si>
  <si>
    <t xml:space="preserve">Responsive</t>
  </si>
  <si>
    <t xml:space="preserve">Mobile, zoom/reflow, content stress, and RTL remain usable and contained.</t>
  </si>
  <si>
    <t xml:space="preserve">manual</t>
  </si>
  <si>
    <t xml:space="preserve">manual-tests/alert-dialog.md</t>
  </si>
  <si>
    <t xml:space="preserve">Owner completed the current manual protocol.</t>
  </si>
  <si>
    <t xml:space="preserve">AD-10</t>
  </si>
  <si>
    <t xml:space="preserve">Theme</t>
  </si>
  <si>
    <t xml:space="preserve">Light, dark, focus, forced-colors, and relevant motion behavior remain perceivable.</t>
  </si>
  <si>
    <t xml:space="preserve">AD-11</t>
  </si>
  <si>
    <t xml:space="preserve">Composition</t>
  </si>
  <si>
    <t xml:space="preserve">Default, render, and asChild output preserve the intended element, slots, state, and relationships.</t>
  </si>
  <si>
    <t xml:space="preserve">manual-tests/alert-dialog.md; tests/components/alert-dialog/behavior.spec.ts</t>
  </si>
  <si>
    <t xml:space="preserve">Owner reviewed the live and rendered output evidence.</t>
  </si>
  <si>
    <t xml:space="preserve">AD-12</t>
  </si>
  <si>
    <t xml:space="preserve">Manual</t>
  </si>
  <si>
    <t xml:space="preserve">The complete component-owned manual protocol passed against every playground scenario.</t>
  </si>
  <si>
    <t xml:space="preserve">Owner confirmed completion on 2026-07-24.</t>
  </si>
  <si>
    <t xml:space="preserve">AD-13</t>
  </si>
  <si>
    <t xml:space="preserve">Docs</t>
  </si>
  <si>
    <t xml:space="preserve">Public usage documentation exists at the component-owned path.</t>
  </si>
  <si>
    <t xml:space="preserve">docs</t>
  </si>
  <si>
    <t xml:space="preserve">../docs/components/alert-dialog/README.md</t>
  </si>
  <si>
    <t xml:space="preserve">AD-14</t>
  </si>
  <si>
    <t xml:space="preserve">Changelog</t>
  </si>
  <si>
    <t xml:space="preserve">The component owns a public changelog.</t>
  </si>
  <si>
    <t xml:space="preserve">../docs/components/alert-dialog/CHANGELOG.md</t>
  </si>
  <si>
    <t xml:space="preserve">AD-15</t>
  </si>
  <si>
    <t xml:space="preserve">Consumer</t>
  </si>
  <si>
    <t xml:space="preserve">The standalone consumer imports and exercises the public package component.</t>
  </si>
  <si>
    <t xml:space="preserve">consumer</t>
  </si>
  <si>
    <t xml:space="preserve">../apps/consumer/src/App.tsx; ../apps/consumer/tests/consumer.spec.ts</t>
  </si>
  <si>
    <t xml:space="preserve">AD-16</t>
  </si>
  <si>
    <t xml:space="preserve">Package</t>
  </si>
  <si>
    <t xml:space="preserve">Build, exports, tarball, CSS, and consumer boundary verification pass.</t>
  </si>
  <si>
    <t xml:space="preserve">../scripts/verify-package.mjs; ../scripts/verify-consumers.mjs</t>
  </si>
  <si>
    <t xml:space="preserve">App Bar Evidence</t>
  </si>
  <si>
    <t xml:space="preserve">AB-01</t>
  </si>
  <si>
    <t xml:space="preserve">AppBar</t>
  </si>
  <si>
    <t xml:space="preserve">../src/components/app-bar</t>
  </si>
  <si>
    <t xml:space="preserve">AB-02</t>
  </si>
  <si>
    <t xml:space="preserve">AB-03</t>
  </si>
  <si>
    <t xml:space="preserve">../test/types/components/app-bar.test.ts</t>
  </si>
  <si>
    <t xml:space="preserve">AB-04</t>
  </si>
  <si>
    <t xml:space="preserve">../src/components/app-bar/app-bar.css</t>
  </si>
  <si>
    <t xml:space="preserve">AB-05</t>
  </si>
  <si>
    <t xml:space="preserve">../test/components/app-bar/app-bar.test.tsx</t>
  </si>
  <si>
    <t xml:space="preserve">AB-06</t>
  </si>
  <si>
    <t xml:space="preserve">tests/components/app-bar/behavior.spec.ts</t>
  </si>
  <si>
    <t xml:space="preserve">AB-07</t>
  </si>
  <si>
    <t xml:space="preserve">tests/components/app-bar/behavior.spec.ts; tests/integration</t>
  </si>
  <si>
    <t xml:space="preserve">AB-08</t>
  </si>
  <si>
    <t xml:space="preserve">tests/components/app-bar/visual.spec.ts</t>
  </si>
  <si>
    <t xml:space="preserve">AB-09</t>
  </si>
  <si>
    <t xml:space="preserve">manual-tests/app-bar.md</t>
  </si>
  <si>
    <t xml:space="preserve">AB-10</t>
  </si>
  <si>
    <t xml:space="preserve">AB-11</t>
  </si>
  <si>
    <t xml:space="preserve">manual-tests/app-bar.md; tests/components/app-bar/behavior.spec.ts</t>
  </si>
  <si>
    <t xml:space="preserve">AB-12</t>
  </si>
  <si>
    <t xml:space="preserve">AB-13</t>
  </si>
  <si>
    <t xml:space="preserve">../docs/components/app-bar/README.md</t>
  </si>
  <si>
    <t xml:space="preserve">AB-14</t>
  </si>
  <si>
    <t xml:space="preserve">../docs/components/app-bar/CHANGELOG.md</t>
  </si>
  <si>
    <t xml:space="preserve">AB-15</t>
  </si>
  <si>
    <t xml:space="preserve">AB-16</t>
  </si>
  <si>
    <t xml:space="preserve">Avatar Evidence</t>
  </si>
  <si>
    <t xml:space="preserve">A-01</t>
  </si>
  <si>
    <t xml:space="preserve">../src/components/avatar</t>
  </si>
  <si>
    <t xml:space="preserve">A-02</t>
  </si>
  <si>
    <t xml:space="preserve">A-03</t>
  </si>
  <si>
    <t xml:space="preserve">../test/types/components/avatar.test.ts</t>
  </si>
  <si>
    <t xml:space="preserve">A-04</t>
  </si>
  <si>
    <t xml:space="preserve">../src/components/avatar/avatar.css</t>
  </si>
  <si>
    <t xml:space="preserve">A-05</t>
  </si>
  <si>
    <t xml:space="preserve">../test/components/avatar/avatar.test.tsx</t>
  </si>
  <si>
    <t xml:space="preserve">A-06</t>
  </si>
  <si>
    <t xml:space="preserve">tests/components/avatar/behavior.spec.ts</t>
  </si>
  <si>
    <t xml:space="preserve">A-07</t>
  </si>
  <si>
    <t xml:space="preserve">tests/components/avatar/behavior.spec.ts; tests/integration</t>
  </si>
  <si>
    <t xml:space="preserve">A-08</t>
  </si>
  <si>
    <t xml:space="preserve">tests/components/avatar/visual.spec.ts</t>
  </si>
  <si>
    <t xml:space="preserve">A-09</t>
  </si>
  <si>
    <t xml:space="preserve">manual-tests/avatar.md</t>
  </si>
  <si>
    <t xml:space="preserve">A-10</t>
  </si>
  <si>
    <t xml:space="preserve">A-11</t>
  </si>
  <si>
    <t xml:space="preserve">manual-tests/avatar.md; tests/components/avatar/behavior.spec.ts</t>
  </si>
  <si>
    <t xml:space="preserve">A-12</t>
  </si>
  <si>
    <t xml:space="preserve">A-13</t>
  </si>
  <si>
    <t xml:space="preserve">../docs/components/avatar/README.md</t>
  </si>
  <si>
    <t xml:space="preserve">A-14</t>
  </si>
  <si>
    <t xml:space="preserve">../docs/components/avatar/CHANGELOG.md</t>
  </si>
  <si>
    <t xml:space="preserve">A-15</t>
  </si>
  <si>
    <t xml:space="preserve">A-16</t>
  </si>
  <si>
    <t xml:space="preserve">Badge Evidence</t>
  </si>
  <si>
    <t xml:space="preserve">B-01</t>
  </si>
  <si>
    <t xml:space="preserve">../src/components/badge</t>
  </si>
  <si>
    <t xml:space="preserve">B-02</t>
  </si>
  <si>
    <t xml:space="preserve">B-03</t>
  </si>
  <si>
    <t xml:space="preserve">../test/types/components/badge.test.ts</t>
  </si>
  <si>
    <t xml:space="preserve">B-04</t>
  </si>
  <si>
    <t xml:space="preserve">../src/components/badge/badge.css</t>
  </si>
  <si>
    <t xml:space="preserve">B-05</t>
  </si>
  <si>
    <t xml:space="preserve">../test/components/badge/badge.test.tsx</t>
  </si>
  <si>
    <t xml:space="preserve">B-06</t>
  </si>
  <si>
    <t xml:space="preserve">tests/components/badge/behavior.spec.ts</t>
  </si>
  <si>
    <t xml:space="preserve">B-07</t>
  </si>
  <si>
    <t xml:space="preserve">tests/components/badge/behavior.spec.ts; tests/integration</t>
  </si>
  <si>
    <t xml:space="preserve">B-08</t>
  </si>
  <si>
    <t xml:space="preserve">tests/components/badge/visual.spec.ts</t>
  </si>
  <si>
    <t xml:space="preserve">B-09</t>
  </si>
  <si>
    <t xml:space="preserve">manual-tests/badge.md</t>
  </si>
  <si>
    <t xml:space="preserve">B-10</t>
  </si>
  <si>
    <t xml:space="preserve">B-11</t>
  </si>
  <si>
    <t xml:space="preserve">manual-tests/badge.md; tests/components/badge/behavior.spec.ts</t>
  </si>
  <si>
    <t xml:space="preserve">B-12</t>
  </si>
  <si>
    <t xml:space="preserve">B-13</t>
  </si>
  <si>
    <t xml:space="preserve">../docs/components/badge/README.md</t>
  </si>
  <si>
    <t xml:space="preserve">B-14</t>
  </si>
  <si>
    <t xml:space="preserve">../docs/components/badge/CHANGELOG.md</t>
  </si>
  <si>
    <t xml:space="preserve">B-15</t>
  </si>
  <si>
    <t xml:space="preserve">B-16</t>
  </si>
  <si>
    <t xml:space="preserve">Button Evidence</t>
  </si>
  <si>
    <t xml:space="preserve">../src/components/button</t>
  </si>
  <si>
    <t xml:space="preserve">../test/types/components/button.test.ts</t>
  </si>
  <si>
    <t xml:space="preserve">../src/components/button/button.css</t>
  </si>
  <si>
    <t xml:space="preserve">../test/components/button/button.test.tsx</t>
  </si>
  <si>
    <t xml:space="preserve">tests/components/button/behavior.spec.ts</t>
  </si>
  <si>
    <t xml:space="preserve">tests/components/button/behavior.spec.ts; tests/integration</t>
  </si>
  <si>
    <t xml:space="preserve">tests/components/button/visual.spec.ts</t>
  </si>
  <si>
    <t xml:space="preserve">manual-tests/button.md</t>
  </si>
  <si>
    <t xml:space="preserve">manual-tests/button.md; tests/components/button/behavior.spec.ts</t>
  </si>
  <si>
    <t xml:space="preserve">../docs/components/button/README.md</t>
  </si>
  <si>
    <t xml:space="preserve">../docs/components/button/CHANGELOG.md</t>
  </si>
  <si>
    <t xml:space="preserve">Card Evidence</t>
  </si>
  <si>
    <t xml:space="preserve">C-01</t>
  </si>
  <si>
    <t xml:space="preserve">../src/components/card</t>
  </si>
  <si>
    <t xml:space="preserve">C-02</t>
  </si>
  <si>
    <t xml:space="preserve">C-03</t>
  </si>
  <si>
    <t xml:space="preserve">../test/types/components/card.test.ts</t>
  </si>
  <si>
    <t xml:space="preserve">C-04</t>
  </si>
  <si>
    <t xml:space="preserve">../src/components/card/card.css</t>
  </si>
  <si>
    <t xml:space="preserve">C-05</t>
  </si>
  <si>
    <t xml:space="preserve">../test/components/card/card.test.tsx</t>
  </si>
  <si>
    <t xml:space="preserve">C-06</t>
  </si>
  <si>
    <t xml:space="preserve">tests/components/card/behavior.spec.ts</t>
  </si>
  <si>
    <t xml:space="preserve">C-07</t>
  </si>
  <si>
    <t xml:space="preserve">tests/components/card/behavior.spec.ts; tests/integration</t>
  </si>
  <si>
    <t xml:space="preserve">C-08</t>
  </si>
  <si>
    <t xml:space="preserve">tests/components/card/visual.spec.ts</t>
  </si>
  <si>
    <t xml:space="preserve">C-09</t>
  </si>
  <si>
    <t xml:space="preserve">manual-tests/card.md</t>
  </si>
  <si>
    <t xml:space="preserve">C-10</t>
  </si>
  <si>
    <t xml:space="preserve">C-11</t>
  </si>
  <si>
    <t xml:space="preserve">manual-tests/card.md; tests/components/card/behavior.spec.ts</t>
  </si>
  <si>
    <t xml:space="preserve">C-12</t>
  </si>
  <si>
    <t xml:space="preserve">C-13</t>
  </si>
  <si>
    <t xml:space="preserve">../docs/components/card/README.md</t>
  </si>
  <si>
    <t xml:space="preserve">C-14</t>
  </si>
  <si>
    <t xml:space="preserve">../docs/components/card/CHANGELOG.md</t>
  </si>
  <si>
    <t xml:space="preserve">C-15</t>
  </si>
  <si>
    <t xml:space="preserve">C-16</t>
  </si>
  <si>
    <t xml:space="preserve">Checkbox Evidence</t>
  </si>
  <si>
    <t xml:space="preserve">../src/components/checkbox</t>
  </si>
  <si>
    <t xml:space="preserve">../test/types/components/checkbox.test.ts</t>
  </si>
  <si>
    <t xml:space="preserve">../src/components/checkbox/checkbox.css</t>
  </si>
  <si>
    <t xml:space="preserve">../test/components/checkbox/checkbox.test.tsx</t>
  </si>
  <si>
    <t xml:space="preserve">tests/components/checkbox/behavior.spec.ts</t>
  </si>
  <si>
    <t xml:space="preserve">tests/components/checkbox/behavior.spec.ts; tests/integration</t>
  </si>
  <si>
    <t xml:space="preserve">tests/components/checkbox/visual.spec.ts</t>
  </si>
  <si>
    <t xml:space="preserve">manual-tests/checkbox.md</t>
  </si>
  <si>
    <t xml:space="preserve">manual-tests/checkbox.md; tests/components/checkbox/behavior.spec.ts</t>
  </si>
  <si>
    <t xml:space="preserve">../docs/components/checkbox/README.md</t>
  </si>
  <si>
    <t xml:space="preserve">../docs/components/checkbox/CHANGELOG.md</t>
  </si>
  <si>
    <t xml:space="preserve">Checkbox Group Evidence</t>
  </si>
  <si>
    <t xml:space="preserve">CG-01</t>
  </si>
  <si>
    <t xml:space="preserve">CheckboxGroup</t>
  </si>
  <si>
    <t xml:space="preserve">../src/components/checkbox-group</t>
  </si>
  <si>
    <t xml:space="preserve">CG-02</t>
  </si>
  <si>
    <t xml:space="preserve">CG-03</t>
  </si>
  <si>
    <t xml:space="preserve">../test/types/components/checkbox-group.test.ts</t>
  </si>
  <si>
    <t xml:space="preserve">CG-04</t>
  </si>
  <si>
    <t xml:space="preserve">../src/components/checkbox-group/checkbox-group.css</t>
  </si>
  <si>
    <t xml:space="preserve">CG-05</t>
  </si>
  <si>
    <t xml:space="preserve">../test/components/checkbox-group/checkbox-group.test.tsx</t>
  </si>
  <si>
    <t xml:space="preserve">CG-06</t>
  </si>
  <si>
    <t xml:space="preserve">tests/components/checkbox-group/behavior.spec.ts</t>
  </si>
  <si>
    <t xml:space="preserve">CG-07</t>
  </si>
  <si>
    <t xml:space="preserve">tests/components/checkbox-group/behavior.spec.ts; tests/integration</t>
  </si>
  <si>
    <t xml:space="preserve">CG-08</t>
  </si>
  <si>
    <t xml:space="preserve">tests/components/checkbox-group/visual.spec.ts</t>
  </si>
  <si>
    <t xml:space="preserve">CG-09</t>
  </si>
  <si>
    <t xml:space="preserve">manual-tests/checkbox-group.md</t>
  </si>
  <si>
    <t xml:space="preserve">CG-10</t>
  </si>
  <si>
    <t xml:space="preserve">CG-11</t>
  </si>
  <si>
    <t xml:space="preserve">manual-tests/checkbox-group.md; tests/components/checkbox-group/behavior.spec.ts</t>
  </si>
  <si>
    <t xml:space="preserve">CG-12</t>
  </si>
  <si>
    <t xml:space="preserve">CG-13</t>
  </si>
  <si>
    <t xml:space="preserve">../docs/components/checkbox-group/README.md</t>
  </si>
  <si>
    <t xml:space="preserve">CG-14</t>
  </si>
  <si>
    <t xml:space="preserve">../docs/components/checkbox-group/CHANGELOG.md</t>
  </si>
  <si>
    <t xml:space="preserve">CG-15</t>
  </si>
  <si>
    <t xml:space="preserve">CG-16</t>
  </si>
  <si>
    <t xml:space="preserve">Dialog Evidence</t>
  </si>
  <si>
    <t xml:space="preserve">D-01</t>
  </si>
  <si>
    <t xml:space="preserve">../src/components/dialog</t>
  </si>
  <si>
    <t xml:space="preserve">D-02</t>
  </si>
  <si>
    <t xml:space="preserve">D-03</t>
  </si>
  <si>
    <t xml:space="preserve">../test/types/components/dialog.test.ts</t>
  </si>
  <si>
    <t xml:space="preserve">D-04</t>
  </si>
  <si>
    <t xml:space="preserve">../src/components/dialog/dialog.css</t>
  </si>
  <si>
    <t xml:space="preserve">D-05</t>
  </si>
  <si>
    <t xml:space="preserve">../test/components/dialog/dialog.test.tsx</t>
  </si>
  <si>
    <t xml:space="preserve">D-06</t>
  </si>
  <si>
    <t xml:space="preserve">tests/components/dialog/behavior.spec.ts</t>
  </si>
  <si>
    <t xml:space="preserve">D-07</t>
  </si>
  <si>
    <t xml:space="preserve">tests/components/dialog/behavior.spec.ts; tests/integration</t>
  </si>
  <si>
    <t xml:space="preserve">D-08</t>
  </si>
  <si>
    <t xml:space="preserve">tests/components/dialog/visual.spec.ts</t>
  </si>
  <si>
    <t xml:space="preserve">D-09</t>
  </si>
  <si>
    <t xml:space="preserve">manual-tests/dialog.md</t>
  </si>
  <si>
    <t xml:space="preserve">D-10</t>
  </si>
  <si>
    <t xml:space="preserve">D-11</t>
  </si>
  <si>
    <t xml:space="preserve">manual-tests/dialog.md; tests/components/dialog/behavior.spec.ts</t>
  </si>
  <si>
    <t xml:space="preserve">D-12</t>
  </si>
  <si>
    <t xml:space="preserve">D-13</t>
  </si>
  <si>
    <t xml:space="preserve">../docs/components/dialog/README.md</t>
  </si>
  <si>
    <t xml:space="preserve">D-14</t>
  </si>
  <si>
    <t xml:space="preserve">../docs/components/dialog/CHANGELOG.md</t>
  </si>
  <si>
    <t xml:space="preserve">D-15</t>
  </si>
  <si>
    <t xml:space="preserve">D-16</t>
  </si>
  <si>
    <t xml:space="preserve">Drawer Evidence</t>
  </si>
  <si>
    <t xml:space="preserve">../src/components/drawer</t>
  </si>
  <si>
    <t xml:space="preserve">../test/types/components/drawer.test.ts</t>
  </si>
  <si>
    <t xml:space="preserve">../src/components/drawer/drawer.css</t>
  </si>
  <si>
    <t xml:space="preserve">../test/components/drawer/drawer.test.tsx</t>
  </si>
  <si>
    <t xml:space="preserve">tests/components/drawer/behavior.spec.ts</t>
  </si>
  <si>
    <t xml:space="preserve">tests/components/drawer/behavior.spec.ts; tests/integration</t>
  </si>
  <si>
    <t xml:space="preserve">tests/components/drawer/visual.spec.ts</t>
  </si>
  <si>
    <t xml:space="preserve">manual-tests/drawer.md</t>
  </si>
  <si>
    <t xml:space="preserve">manual-tests/drawer.md; tests/components/drawer/behavior.spec.ts</t>
  </si>
  <si>
    <t xml:space="preserve">../docs/components/drawer/README.md</t>
  </si>
  <si>
    <t xml:space="preserve">../docs/components/drawer/CHANGELOG.md</t>
  </si>
  <si>
    <t xml:space="preserve">Field Evidence</t>
  </si>
  <si>
    <t xml:space="preserve">F-01</t>
  </si>
  <si>
    <t xml:space="preserve">../src/components/field</t>
  </si>
  <si>
    <t xml:space="preserve">F-02</t>
  </si>
  <si>
    <t xml:space="preserve">F-03</t>
  </si>
  <si>
    <t xml:space="preserve">../test/types/components/field.test.ts</t>
  </si>
  <si>
    <t xml:space="preserve">F-04</t>
  </si>
  <si>
    <t xml:space="preserve">../src/components/field/field.css</t>
  </si>
  <si>
    <t xml:space="preserve">F-05</t>
  </si>
  <si>
    <t xml:space="preserve">../test/components/field/field.test.tsx</t>
  </si>
  <si>
    <t xml:space="preserve">F-06</t>
  </si>
  <si>
    <t xml:space="preserve">tests/components/field/behavior.spec.ts</t>
  </si>
  <si>
    <t xml:space="preserve">F-07</t>
  </si>
  <si>
    <t xml:space="preserve">tests/components/field/behavior.spec.ts; tests/integration</t>
  </si>
  <si>
    <t xml:space="preserve">F-08</t>
  </si>
  <si>
    <t xml:space="preserve">tests/components/field/visual.spec.ts</t>
  </si>
  <si>
    <t xml:space="preserve">F-09</t>
  </si>
  <si>
    <t xml:space="preserve">manual-tests/field.md</t>
  </si>
  <si>
    <t xml:space="preserve">F-10</t>
  </si>
  <si>
    <t xml:space="preserve">F-11</t>
  </si>
  <si>
    <t xml:space="preserve">manual-tests/field.md; tests/components/field/behavior.spec.ts</t>
  </si>
  <si>
    <t xml:space="preserve">F-12</t>
  </si>
  <si>
    <t xml:space="preserve">F-13</t>
  </si>
  <si>
    <t xml:space="preserve">../docs/components/field/README.md</t>
  </si>
  <si>
    <t xml:space="preserve">F-14</t>
  </si>
  <si>
    <t xml:space="preserve">../docs/components/field/CHANGELOG.md</t>
  </si>
  <si>
    <t xml:space="preserve">F-15</t>
  </si>
  <si>
    <t xml:space="preserve">F-16</t>
  </si>
  <si>
    <t xml:space="preserve">Fieldset Evidence</t>
  </si>
  <si>
    <t xml:space="preserve">../src/components/fieldset</t>
  </si>
  <si>
    <t xml:space="preserve">../test/types/components/fieldset.test.ts</t>
  </si>
  <si>
    <t xml:space="preserve">../src/components/fieldset/fieldset.css</t>
  </si>
  <si>
    <t xml:space="preserve">../test/components/fieldset/fieldset.test.tsx</t>
  </si>
  <si>
    <t xml:space="preserve">tests/components/fieldset/behavior.spec.ts</t>
  </si>
  <si>
    <t xml:space="preserve">tests/components/fieldset/behavior.spec.ts; tests/integration</t>
  </si>
  <si>
    <t xml:space="preserve">tests/components/fieldset/visual.spec.ts</t>
  </si>
  <si>
    <t xml:space="preserve">manual-tests/fieldset.md</t>
  </si>
  <si>
    <t xml:space="preserve">manual-tests/fieldset.md; tests/components/fieldset/behavior.spec.ts</t>
  </si>
  <si>
    <t xml:space="preserve">../docs/components/fieldset/README.md</t>
  </si>
  <si>
    <t xml:space="preserve">../docs/components/fieldset/CHANGELOG.md</t>
  </si>
  <si>
    <t xml:space="preserve">Form Evidence</t>
  </si>
  <si>
    <t xml:space="preserve">../src/components/form</t>
  </si>
  <si>
    <t xml:space="preserve">../test/types/components/form.test.ts</t>
  </si>
  <si>
    <t xml:space="preserve">../src/components/form/form.css</t>
  </si>
  <si>
    <t xml:space="preserve">../test/components/form/form.test.tsx</t>
  </si>
  <si>
    <t xml:space="preserve">tests/components/form/behavior.spec.ts</t>
  </si>
  <si>
    <t xml:space="preserve">tests/components/form/behavior.spec.ts; tests/integration</t>
  </si>
  <si>
    <t xml:space="preserve">tests/components/form/visual.spec.ts</t>
  </si>
  <si>
    <t xml:space="preserve">manual-tests/form.md</t>
  </si>
  <si>
    <t xml:space="preserve">manual-tests/form.md; tests/components/form/behavior.spec.ts</t>
  </si>
  <si>
    <t xml:space="preserve">../docs/components/form/README.md</t>
  </si>
  <si>
    <t xml:space="preserve">../docs/components/form/CHANGELOG.md</t>
  </si>
  <si>
    <t xml:space="preserve">Hover Card Evidence</t>
  </si>
  <si>
    <t xml:space="preserve">HC-01</t>
  </si>
  <si>
    <t xml:space="preserve">HoverCard</t>
  </si>
  <si>
    <t xml:space="preserve">../src/components/hover-card</t>
  </si>
  <si>
    <t xml:space="preserve">HC-02</t>
  </si>
  <si>
    <t xml:space="preserve">HC-03</t>
  </si>
  <si>
    <t xml:space="preserve">../test/types/components/hover-card.test.ts</t>
  </si>
  <si>
    <t xml:space="preserve">HC-04</t>
  </si>
  <si>
    <t xml:space="preserve">../src/components/hover-card/hover-card.css</t>
  </si>
  <si>
    <t xml:space="preserve">HC-05</t>
  </si>
  <si>
    <t xml:space="preserve">../test/components/hover-card/hover-card.test.tsx</t>
  </si>
  <si>
    <t xml:space="preserve">HC-06</t>
  </si>
  <si>
    <t xml:space="preserve">tests/components/hover-card/behavior.spec.ts</t>
  </si>
  <si>
    <t xml:space="preserve">HC-07</t>
  </si>
  <si>
    <t xml:space="preserve">tests/components/hover-card/behavior.spec.ts; tests/integration</t>
  </si>
  <si>
    <t xml:space="preserve">HC-08</t>
  </si>
  <si>
    <t xml:space="preserve">tests/components/hover-card/visual.spec.ts</t>
  </si>
  <si>
    <t xml:space="preserve">HC-09</t>
  </si>
  <si>
    <t xml:space="preserve">manual-tests/hover-card.md</t>
  </si>
  <si>
    <t xml:space="preserve">HC-10</t>
  </si>
  <si>
    <t xml:space="preserve">HC-11</t>
  </si>
  <si>
    <t xml:space="preserve">manual-tests/hover-card.md; tests/components/hover-card/behavior.spec.ts</t>
  </si>
  <si>
    <t xml:space="preserve">HC-12</t>
  </si>
  <si>
    <t xml:space="preserve">HC-13</t>
  </si>
  <si>
    <t xml:space="preserve">../docs/components/hover-card/README.md</t>
  </si>
  <si>
    <t xml:space="preserve">HC-14</t>
  </si>
  <si>
    <t xml:space="preserve">../docs/components/hover-card/CHANGELOG.md</t>
  </si>
  <si>
    <t xml:space="preserve">HC-15</t>
  </si>
  <si>
    <t xml:space="preserve">HC-16</t>
  </si>
  <si>
    <t xml:space="preserve">Icon Button Evidence</t>
  </si>
  <si>
    <t xml:space="preserve">IB-01</t>
  </si>
  <si>
    <t xml:space="preserve">IconButton</t>
  </si>
  <si>
    <t xml:space="preserve">../src/components/icon-button</t>
  </si>
  <si>
    <t xml:space="preserve">IB-02</t>
  </si>
  <si>
    <t xml:space="preserve">IB-03</t>
  </si>
  <si>
    <t xml:space="preserve">../test/types/components/icon-button.test.ts</t>
  </si>
  <si>
    <t xml:space="preserve">IB-04</t>
  </si>
  <si>
    <t xml:space="preserve">../src/components/icon-button/icon-button.css</t>
  </si>
  <si>
    <t xml:space="preserve">IB-05</t>
  </si>
  <si>
    <t xml:space="preserve">../test/components/icon-button/icon-button.test.tsx</t>
  </si>
  <si>
    <t xml:space="preserve">IB-06</t>
  </si>
  <si>
    <t xml:space="preserve">tests/components/icon-button/behavior.spec.ts</t>
  </si>
  <si>
    <t xml:space="preserve">IB-07</t>
  </si>
  <si>
    <t xml:space="preserve">tests/components/icon-button/behavior.spec.ts; tests/integration</t>
  </si>
  <si>
    <t xml:space="preserve">IB-08</t>
  </si>
  <si>
    <t xml:space="preserve">tests/components/icon-button/visual.spec.ts</t>
  </si>
  <si>
    <t xml:space="preserve">IB-09</t>
  </si>
  <si>
    <t xml:space="preserve">manual-tests/icon-button.md</t>
  </si>
  <si>
    <t xml:space="preserve">IB-10</t>
  </si>
  <si>
    <t xml:space="preserve">IB-11</t>
  </si>
  <si>
    <t xml:space="preserve">manual-tests/icon-button.md; tests/components/icon-button/behavior.spec.ts</t>
  </si>
  <si>
    <t xml:space="preserve">IB-12</t>
  </si>
  <si>
    <t xml:space="preserve">IB-13</t>
  </si>
  <si>
    <t xml:space="preserve">../docs/components/icon-button/README.md</t>
  </si>
  <si>
    <t xml:space="preserve">IB-14</t>
  </si>
  <si>
    <t xml:space="preserve">../docs/components/icon-button/CHANGELOG.md</t>
  </si>
  <si>
    <t xml:space="preserve">IB-15</t>
  </si>
  <si>
    <t xml:space="preserve">IB-16</t>
  </si>
  <si>
    <t xml:space="preserve">Input Evidence</t>
  </si>
  <si>
    <t xml:space="preserve">I-01</t>
  </si>
  <si>
    <t xml:space="preserve">Brick wrapper, native input ref, adornments, and Atom-powered Clear are implemented.</t>
  </si>
  <si>
    <t xml:space="preserve">../src/components/input</t>
  </si>
  <si>
    <t xml:space="preserve">I-02</t>
  </si>
  <si>
    <t xml:space="preserve">Root and public Input subpath exports expose runtime and type surfaces.</t>
  </si>
  <si>
    <t xml:space="preserve">I-03</t>
  </si>
  <si>
    <t xml:space="preserve">Recipes, native text types, ref, underline shape exclusion, and native size collision type-check.</t>
  </si>
  <si>
    <t xml:space="preserve">../test/types/components/input.test.ts</t>
  </si>
  <si>
    <t xml:space="preserve">I-04</t>
  </si>
  <si>
    <t xml:space="preserve">Recipes, sizes, shapes, states, adornment geometry, logical layout, and public tokens ship as static CSS.</t>
  </si>
  <si>
    <t xml:space="preserve">../src/components/input/input.css</t>
  </si>
  <si>
    <t xml:space="preserve">I-05</t>
  </si>
  <si>
    <t xml:space="preserve">Defaults, DOM order, refs, hooks, Clear delegation, prop filtering, and state adaptation pass focused tests.</t>
  </si>
  <si>
    <t xml:space="preserve">../test/components/input/input.test.tsx</t>
  </si>
  <si>
    <t xml:space="preserve">I-06</t>
  </si>
  <si>
    <t xml:space="preserve">Real-browser recipes, geometry, ownership, native form behavior, output, adornments, and Clear checks pass.</t>
  </si>
  <si>
    <t xml:space="preserve">tests/components/input/behavior.spec.ts</t>
  </si>
  <si>
    <t xml:space="preserve">I-07</t>
  </si>
  <si>
    <t xml:space="preserve">Field naming and relationships, native availability states, focus restoration, and axe checks pass.</t>
  </si>
  <si>
    <t xml:space="preserve">tests/components/input/behavior.spec.ts; tests/integration/form-foundation.spec.ts</t>
  </si>
  <si>
    <t xml:space="preserve">I-08</t>
  </si>
  <si>
    <t xml:space="preserve">Reviewed baselines cover defaults, recipes, geometry, adornments, states, appearance, RTL, and forced colors.</t>
  </si>
  <si>
    <t xml:space="preserve">tests/components/input/visual.spec.ts</t>
  </si>
  <si>
    <t xml:space="preserve">Owner reviewed and corrected the current Input playground evidence.</t>
  </si>
  <si>
    <t xml:space="preserve">I-09</t>
  </si>
  <si>
    <t xml:space="preserve">Physical mobile, 200%/400% zoom, long-value stress, and RTL remain usable and contained.</t>
  </si>
  <si>
    <t xml:space="preserve">manual-tests/input.md</t>
  </si>
  <si>
    <t xml:space="preserve">Manual protocol exists; physical device and zoom review have not been recorded.</t>
  </si>
  <si>
    <t xml:space="preserve">I-10</t>
  </si>
  <si>
    <t xml:space="preserve">Light, dark, focus, invalid, forced-colors, and reduced-motion treatment remain perceivable.</t>
  </si>
  <si>
    <t xml:space="preserve">manual-tests/input.md; tests/components/input/visual.spec.ts</t>
  </si>
  <si>
    <t xml:space="preserve">Automated evidence passes; human appearance review is not fully recorded.</t>
  </si>
  <si>
    <t xml:space="preserve">I-11</t>
  </si>
  <si>
    <t xml:space="preserve">Field/Form labels, descriptions, errors, external ownership, generated IDs, and rendered HTML match.</t>
  </si>
  <si>
    <t xml:space="preserve">manual-tests/input.md; tests/components/input/behavior.spec.ts</t>
  </si>
  <si>
    <t xml:space="preserve">Automated relationships pass; the complete human output review is pending.</t>
  </si>
  <si>
    <t xml:space="preserve">I-12</t>
  </si>
  <si>
    <t xml:space="preserve">The component-owned manual protocol passes every Input playground scenario.</t>
  </si>
  <si>
    <t xml:space="preserve">Protocol is intentionally unrun and contains no claimed result.</t>
  </si>
  <si>
    <t xml:space="preserve">I-13</t>
  </si>
  <si>
    <t xml:space="preserve">Source-backed public usage and API documentation passes component documentation checks.</t>
  </si>
  <si>
    <t xml:space="preserve">../docs/components/input/README.md</t>
  </si>
  <si>
    <t xml:space="preserve">I-14</t>
  </si>
  <si>
    <t xml:space="preserve">Input owns a public component changelog and the package changelog records its addition.</t>
  </si>
  <si>
    <t xml:space="preserve">../docs/components/input/CHANGELOG.md; ../CHANGELOG.md</t>
  </si>
  <si>
    <t xml:space="preserve">I-15</t>
  </si>
  <si>
    <t xml:space="preserve">The packed Consumer proves Field, adornment, Clear, validation, submit, and reset through public imports.</t>
  </si>
  <si>
    <t xml:space="preserve">I-16</t>
  </si>
  <si>
    <t xml:space="preserve">Build, SSR, exports, CSS, tarball, React 18/19, and packed-consumer verification pass.</t>
  </si>
  <si>
    <t xml:space="preserve">../test/package; ../scripts/verify-package.mjs; ../scripts/verify-consumers.mjs</t>
  </si>
  <si>
    <t xml:space="preserve">Link Evidence</t>
  </si>
  <si>
    <t xml:space="preserve">Assertion-level Atom-backed package, browser, human-review, documentation, Consumer, and composition evidence.</t>
  </si>
  <si>
    <t xml:space="preserve">L-01</t>
  </si>
  <si>
    <t xml:space="preserve">Atom-backed anchor, visual recipes, content anatomy, native props, and HTMLAnchorElement ref are implemented.</t>
  </si>
  <si>
    <t xml:space="preserve">../src/components/link</t>
  </si>
  <si>
    <t xml:space="preserve">L-02</t>
  </si>
  <si>
    <t xml:space="preserve">Root and public Link subpath exports expose runtime and complete public types.</t>
  </si>
  <si>
    <t xml:space="preserve">../test/package/package.test.mjs; ../test/package/ssr.test.mjs</t>
  </si>
  <si>
    <t xml:space="preserve">L-03</t>
  </si>
  <si>
    <t xml:space="preserve">Required native href, router composition, recipes, icon exclusion, native props, and ref contracts type-check.</t>
  </si>
  <si>
    <t xml:space="preserve">../test/types/components/link.test.ts</t>
  </si>
  <si>
    <t xml:space="preserve">L-04</t>
  </si>
  <si>
    <t xml:space="preserve">Static CSS ships decoration, tones, typography, focus, current, icon, appearance, and forced-color behavior.</t>
  </si>
  <si>
    <t xml:space="preserve">../src/components/link/link.css</t>
  </si>
  <si>
    <t xml:space="preserve">L-05</t>
  </si>
  <si>
    <t xml:space="preserve">Defaults, recipes, icon anatomy, native forwarding, refs, render, and asChild pass focused tests.</t>
  </si>
  <si>
    <t xml:space="preserve">../test/components/link/link.test.tsx</t>
  </si>
  <si>
    <t xml:space="preserve">L-06</t>
  </si>
  <si>
    <t xml:space="preserve">Native output, focus, controlled recipes, typography, icon geometry, RTL, composition, and customization pass.</t>
  </si>
  <si>
    <t xml:space="preserve">tests/components/link/behavior.spec.ts</t>
  </si>
  <si>
    <t xml:space="preserve">L-07</t>
  </si>
  <si>
    <t xml:space="preserve">Native role/name/current state, focus affordance, responsive containment, decorative icons, and axe pass.</t>
  </si>
  <si>
    <t xml:space="preserve">L-08</t>
  </si>
  <si>
    <t xml:space="preserve">Baselines cover default, recipes, content, composition, dark appearance, mobile RTL, and forced colors.</t>
  </si>
  <si>
    <t xml:space="preserve">tests/components/link/visual.spec.ts</t>
  </si>
  <si>
    <t xml:space="preserve">L-09</t>
  </si>
  <si>
    <t xml:space="preserve">Physical mobile, 200%/400% zoom, text spacing, long content, and RTL remain readable and contained.</t>
  </si>
  <si>
    <t xml:space="preserve">manual-tests/link.md</t>
  </si>
  <si>
    <t xml:space="preserve">Automated reflow passes; human device and zoom review is pending.</t>
  </si>
  <si>
    <t xml:space="preserve">L-10</t>
  </si>
  <si>
    <t xml:space="preserve">Light, dark, forced colors, focus, decoration, and customized variables remain perceivable.</t>
  </si>
  <si>
    <t xml:space="preserve">manual-tests/link.md; tests/components/link/visual.spec.ts</t>
  </si>
  <si>
    <t xml:space="preserve">Automated appearance evidence exists; human appearance review is pending.</t>
  </si>
  <si>
    <t xml:space="preserve">L-11</t>
  </si>
  <si>
    <t xml:space="preserve">Native, current, download, render, and asChild examples produce one inspectable final anchor.</t>
  </si>
  <si>
    <t xml:space="preserve">L-12</t>
  </si>
  <si>
    <t xml:space="preserve">The concise component-owned protocol passes every Link playground scenario.</t>
  </si>
  <si>
    <t xml:space="preserve">Protocol exists; the owner has not run it.</t>
  </si>
  <si>
    <t xml:space="preserve">L-13</t>
  </si>
  <si>
    <t xml:space="preserve">Source-backed use, exclusions, recipes, anatomy, accessibility, native props, composition, and API docs pass.</t>
  </si>
  <si>
    <t xml:space="preserve">../docs/components/link/README.md</t>
  </si>
  <si>
    <t xml:space="preserve">L-14</t>
  </si>
  <si>
    <t xml:space="preserve">Link owns a public changelog and the package changelog records its addition.</t>
  </si>
  <si>
    <t xml:space="preserve">../docs/components/link/CHANGELOG.md; ../CHANGELOG.md</t>
  </si>
  <si>
    <t xml:space="preserve">L-15</t>
  </si>
  <si>
    <t xml:space="preserve">The Consumer uses the public Link subpath for site navigation and a standalone destination.</t>
  </si>
  <si>
    <t xml:space="preserve">L-16</t>
  </si>
  <si>
    <t xml:space="preserve">Playground</t>
  </si>
  <si>
    <t xml:space="preserve">One navigable component route exposes every adopted recipe, content, composition, appearance, and stress scenario.</t>
  </si>
  <si>
    <t xml:space="preserve">playground</t>
  </si>
  <si>
    <t xml:space="preserve">src/components/link/LinkPage.tsx</t>
  </si>
  <si>
    <t xml:space="preserve">L-17</t>
  </si>
  <si>
    <t xml:space="preserve">Build, SSR, exports, CSS, tarball, consumers, browser matrix, and exact Atom 0.7.0 dependency pass.</t>
  </si>
  <si>
    <t xml:space="preserve">../test/package; ../scripts/verify-consumers.mjs</t>
  </si>
  <si>
    <t xml:space="preserve">Text Evidence</t>
  </si>
  <si>
    <t xml:space="preserve">T-01</t>
  </si>
  <si>
    <t xml:space="preserve">Semantic hosts, recipes, native props, and HTMLElement refs are implemented.</t>
  </si>
  <si>
    <t xml:space="preserve">../src/components/text</t>
  </si>
  <si>
    <t xml:space="preserve">T-02</t>
  </si>
  <si>
    <t xml:space="preserve">Root and public Text subpath exports expose runtime and type surfaces.</t>
  </si>
  <si>
    <t xml:space="preserve">T-03</t>
  </si>
  <si>
    <t xml:space="preserve">Hosts, variants, tones, weights, alignment, wrapping, overflow rules, props, and refs type-check.</t>
  </si>
  <si>
    <t xml:space="preserve">../test/types/components/text.test.ts</t>
  </si>
  <si>
    <t xml:space="preserve">T-04</t>
  </si>
  <si>
    <t xml:space="preserve">Static CSS ships recipe, tone, alignment, wrapping, truncation, clamp, and preference behavior.</t>
  </si>
  <si>
    <t xml:space="preserve">../src/components/text/text.css</t>
  </si>
  <si>
    <t xml:space="preserve">T-05</t>
  </si>
  <si>
    <t xml:space="preserve">Defaults, host selection, hooks, refs, native props, and overflow precedence pass focused tests.</t>
  </si>
  <si>
    <t xml:space="preserve">../test/components/text/text.test.tsx</t>
  </si>
  <si>
    <t xml:space="preserve">T-06</t>
  </si>
  <si>
    <t xml:space="preserve">Real-browser defaults, scale, tones, geometry, semantics, output, refs, and overflow checks pass.</t>
  </si>
  <si>
    <t xml:space="preserve">tests/components/text/behavior.spec.ts</t>
  </si>
  <si>
    <t xml:space="preserve">T-07</t>
  </si>
  <si>
    <t xml:space="preserve">Semantic host output, contrast, text spacing, zoom resilience, and axe checks pass.</t>
  </si>
  <si>
    <t xml:space="preserve">T-08</t>
  </si>
  <si>
    <t xml:space="preserve">Reviewed baselines cover recipes, tones, semantics, overflow, customization, dark mode, RTL, and mobile stress.</t>
  </si>
  <si>
    <t xml:space="preserve">tests/components/text/visual.spec.ts</t>
  </si>
  <si>
    <t xml:space="preserve">Agent-reviewed baselines; owner acceptance remains available during manual review.</t>
  </si>
  <si>
    <t xml:space="preserve">T-09</t>
  </si>
  <si>
    <t xml:space="preserve">Narrow layout, long localized content, 200%/400% zoom, and RTL remain contained and readable.</t>
  </si>
  <si>
    <t xml:space="preserve">manual-tests/text.md</t>
  </si>
  <si>
    <t xml:space="preserve">Automated evidence passes; physical-device and human zoom review are not recorded.</t>
  </si>
  <si>
    <t xml:space="preserve">T-10</t>
  </si>
  <si>
    <t xml:space="preserve">Light, dark, semantic tones, forced colors, and reduced motion retain readable output.</t>
  </si>
  <si>
    <t xml:space="preserve">manual-tests/text.md; tests/components/text/visual.spec.ts</t>
  </si>
  <si>
    <t xml:space="preserve">Automated evidence passes; complete human appearance review is pending.</t>
  </si>
  <si>
    <t xml:space="preserve">T-11</t>
  </si>
  <si>
    <t xml:space="preserve">Semantics</t>
  </si>
  <si>
    <t xml:space="preserve">Every supported semantic host and rendered output example match the public contract.</t>
  </si>
  <si>
    <t xml:space="preserve">T-12</t>
  </si>
  <si>
    <t xml:space="preserve">The component-owned manual protocol passes every Text playground scenario.</t>
  </si>
  <si>
    <t xml:space="preserve">T-13</t>
  </si>
  <si>
    <t xml:space="preserve">../docs/components/text/README.md</t>
  </si>
  <si>
    <t xml:space="preserve">T-14</t>
  </si>
  <si>
    <t xml:space="preserve">Text owns a public component changelog and the package changelog records its addition.</t>
  </si>
  <si>
    <t xml:space="preserve">../docs/components/text/CHANGELOG.md; ../CHANGELOG.md</t>
  </si>
  <si>
    <t xml:space="preserve">T-15</t>
  </si>
  <si>
    <t xml:space="preserve">The packed Consumer proves root and subpath Text usage through public imports.</t>
  </si>
  <si>
    <t xml:space="preserve">T-16</t>
  </si>
  <si>
    <t xml:space="preserve">Automated package gates pass; complete status waits for the component-owned manual protocol.</t>
  </si>
  <si>
    <t xml:space="preserve">Notification Badge Evidence</t>
  </si>
  <si>
    <t xml:space="preserve">NB-01</t>
  </si>
  <si>
    <t xml:space="preserve">NotificationBadge</t>
  </si>
  <si>
    <t xml:space="preserve">NB-02</t>
  </si>
  <si>
    <t xml:space="preserve">NB-03</t>
  </si>
  <si>
    <t xml:space="preserve">../test/types/components/notification-badge.test.ts</t>
  </si>
  <si>
    <t xml:space="preserve">NB-04</t>
  </si>
  <si>
    <t xml:space="preserve">NB-05</t>
  </si>
  <si>
    <t xml:space="preserve">../test/components/notification-badge/notification-badge.test.tsx</t>
  </si>
  <si>
    <t xml:space="preserve">NB-06</t>
  </si>
  <si>
    <t xml:space="preserve">tests/components/notification-badge/behavior.spec.ts</t>
  </si>
  <si>
    <t xml:space="preserve">NB-07</t>
  </si>
  <si>
    <t xml:space="preserve">tests/components/notification-badge/behavior.spec.ts; tests/integration</t>
  </si>
  <si>
    <t xml:space="preserve">NB-08</t>
  </si>
  <si>
    <t xml:space="preserve">tests/components/notification-badge/visual.spec.ts</t>
  </si>
  <si>
    <t xml:space="preserve">NB-09</t>
  </si>
  <si>
    <t xml:space="preserve">manual-tests/notification-badge.md</t>
  </si>
  <si>
    <t xml:space="preserve">NB-10</t>
  </si>
  <si>
    <t xml:space="preserve">NB-11</t>
  </si>
  <si>
    <t xml:space="preserve">manual-tests/notification-badge.md; tests/components/notification-badge/behavior.spec.ts</t>
  </si>
  <si>
    <t xml:space="preserve">NB-12</t>
  </si>
  <si>
    <t xml:space="preserve">NB-13</t>
  </si>
  <si>
    <t xml:space="preserve">../docs/components/notification-badge/README.md</t>
  </si>
  <si>
    <t xml:space="preserve">NB-14</t>
  </si>
  <si>
    <t xml:space="preserve">../docs/components/notification-badge/CHANGELOG.md</t>
  </si>
  <si>
    <t xml:space="preserve">NB-15</t>
  </si>
  <si>
    <t xml:space="preserve">NB-16</t>
  </si>
  <si>
    <t xml:space="preserve">Popover Evidence</t>
  </si>
  <si>
    <t xml:space="preserve">P-01</t>
  </si>
  <si>
    <t xml:space="preserve">../src/components/popover</t>
  </si>
  <si>
    <t xml:space="preserve">P-02</t>
  </si>
  <si>
    <t xml:space="preserve">P-03</t>
  </si>
  <si>
    <t xml:space="preserve">../test/types/components/popover.test.ts</t>
  </si>
  <si>
    <t xml:space="preserve">P-04</t>
  </si>
  <si>
    <t xml:space="preserve">../src/components/popover/popover.css</t>
  </si>
  <si>
    <t xml:space="preserve">P-05</t>
  </si>
  <si>
    <t xml:space="preserve">../test/components/popover/popover.test.tsx</t>
  </si>
  <si>
    <t xml:space="preserve">P-06</t>
  </si>
  <si>
    <t xml:space="preserve">tests/components/popover/behavior.spec.ts</t>
  </si>
  <si>
    <t xml:space="preserve">P-07</t>
  </si>
  <si>
    <t xml:space="preserve">tests/components/popover/behavior.spec.ts; tests/integration</t>
  </si>
  <si>
    <t xml:space="preserve">P-08</t>
  </si>
  <si>
    <t xml:space="preserve">tests/components/popover/visual.spec.ts</t>
  </si>
  <si>
    <t xml:space="preserve">P-09</t>
  </si>
  <si>
    <t xml:space="preserve">manual-tests/popover.md</t>
  </si>
  <si>
    <t xml:space="preserve">P-10</t>
  </si>
  <si>
    <t xml:space="preserve">P-11</t>
  </si>
  <si>
    <t xml:space="preserve">manual-tests/popover.md; tests/components/popover/behavior.spec.ts</t>
  </si>
  <si>
    <t xml:space="preserve">P-12</t>
  </si>
  <si>
    <t xml:space="preserve">P-13</t>
  </si>
  <si>
    <t xml:space="preserve">../docs/components/popover/README.md</t>
  </si>
  <si>
    <t xml:space="preserve">P-14</t>
  </si>
  <si>
    <t xml:space="preserve">../docs/components/popover/CHANGELOG.md</t>
  </si>
  <si>
    <t xml:space="preserve">P-15</t>
  </si>
  <si>
    <t xml:space="preserve">P-16</t>
  </si>
  <si>
    <t xml:space="preserve">Toggle Evidence</t>
  </si>
  <si>
    <t xml:space="preserve">../src/components/toggle</t>
  </si>
  <si>
    <t xml:space="preserve">../test/types/components/toggle.test.ts</t>
  </si>
  <si>
    <t xml:space="preserve">../src/components/toggle/toggle.css</t>
  </si>
  <si>
    <t xml:space="preserve">../test/components/toggle/toggle.test.tsx</t>
  </si>
  <si>
    <t xml:space="preserve">tests/components/toggle/behavior.spec.ts</t>
  </si>
  <si>
    <t xml:space="preserve">tests/components/toggle/behavior.spec.ts; tests/integration</t>
  </si>
  <si>
    <t xml:space="preserve">tests/components/toggle/visual.spec.ts</t>
  </si>
  <si>
    <t xml:space="preserve">manual-tests/toggle.md</t>
  </si>
  <si>
    <t xml:space="preserve">manual-tests/toggle.md; tests/components/toggle/behavior.spec.ts</t>
  </si>
  <si>
    <t xml:space="preserve">../docs/components/toggle/README.md</t>
  </si>
  <si>
    <t xml:space="preserve">../docs/components/toggle/CHANGELOG.md</t>
  </si>
  <si>
    <t xml:space="preserve">Toggle Group Evidence</t>
  </si>
  <si>
    <t xml:space="preserve">TG-01</t>
  </si>
  <si>
    <t xml:space="preserve">ToggleGroup</t>
  </si>
  <si>
    <t xml:space="preserve">../src/components/toggle-group</t>
  </si>
  <si>
    <t xml:space="preserve">TG-02</t>
  </si>
  <si>
    <t xml:space="preserve">TG-03</t>
  </si>
  <si>
    <t xml:space="preserve">../test/types/components/toggle-group.test.ts</t>
  </si>
  <si>
    <t xml:space="preserve">TG-04</t>
  </si>
  <si>
    <t xml:space="preserve">../src/components/toggle-group/toggle-group.css</t>
  </si>
  <si>
    <t xml:space="preserve">TG-05</t>
  </si>
  <si>
    <t xml:space="preserve">../test/components/toggle-group/toggle-group.test.tsx</t>
  </si>
  <si>
    <t xml:space="preserve">TG-06</t>
  </si>
  <si>
    <t xml:space="preserve">tests/components/toggle-group/behavior.spec.ts</t>
  </si>
  <si>
    <t xml:space="preserve">TG-07</t>
  </si>
  <si>
    <t xml:space="preserve">tests/components/toggle-group/behavior.spec.ts; tests/integration</t>
  </si>
  <si>
    <t xml:space="preserve">TG-08</t>
  </si>
  <si>
    <t xml:space="preserve">tests/components/toggle-group/visual.spec.ts</t>
  </si>
  <si>
    <t xml:space="preserve">TG-09</t>
  </si>
  <si>
    <t xml:space="preserve">manual-tests/toggle-group.md</t>
  </si>
  <si>
    <t xml:space="preserve">TG-10</t>
  </si>
  <si>
    <t xml:space="preserve">TG-11</t>
  </si>
  <si>
    <t xml:space="preserve">manual-tests/toggle-group.md; tests/components/toggle-group/behavior.spec.ts</t>
  </si>
  <si>
    <t xml:space="preserve">TG-12</t>
  </si>
  <si>
    <t xml:space="preserve">TG-13</t>
  </si>
  <si>
    <t xml:space="preserve">../docs/components/toggle-group/README.md</t>
  </si>
  <si>
    <t xml:space="preserve">TG-14</t>
  </si>
  <si>
    <t xml:space="preserve">../docs/components/toggle-group/CHANGELOG.md</t>
  </si>
  <si>
    <t xml:space="preserve">TG-15</t>
  </si>
  <si>
    <t xml:space="preserve">TG-16</t>
  </si>
  <si>
    <t xml:space="preserve">Stack Evidence</t>
  </si>
  <si>
    <t xml:space="preserve">S-01</t>
  </si>
  <si>
    <t xml:space="preserve">Stack, HStack, and VStack share one semantic root implementation with stable hooks and refs.</t>
  </si>
  <si>
    <t xml:space="preserve">../src/components/stack</t>
  </si>
  <si>
    <t xml:space="preserve">S-02</t>
  </si>
  <si>
    <t xml:space="preserve">Stack family</t>
  </si>
  <si>
    <t xml:space="preserve">Root and public Stack subpath exports expose all three runtimes and public types.</t>
  </si>
  <si>
    <t xml:space="preserve">S-03</t>
  </si>
  <si>
    <t xml:space="preserve">Hosts, direction, gap, alignment, distribution, wrapping, native props, refs, and exclusions type-check.</t>
  </si>
  <si>
    <t xml:space="preserve">../test/types/components/stack.test.ts</t>
  </si>
  <si>
    <t xml:space="preserve">S-04</t>
  </si>
  <si>
    <t xml:space="preserve">Root</t>
  </si>
  <si>
    <t xml:space="preserve">Static CSS ships flex layout, zero-through-six tokenized gaps, logical alignment, distribution, wrapping, and min-inline containment.</t>
  </si>
  <si>
    <t xml:space="preserve">../src/components/stack/stack.css; ../src/styles/tokens.tokens.json</t>
  </si>
  <si>
    <t xml:space="preserve">S-05</t>
  </si>
  <si>
    <t xml:space="preserve">Defaults, family direction locks, every closed recipe, semantic hosts, native pass-through, hooks, events, and refs pass focused tests.</t>
  </si>
  <si>
    <t xml:space="preserve">../test/components/stack/stack.test.tsx</t>
  </si>
  <si>
    <t xml:space="preserve">S-06</t>
  </si>
  <si>
    <t xml:space="preserve">Real-browser axes, exact gaps, alignment, distribution, wrapping, containment, semantics, refs, output, and customization pass.</t>
  </si>
  <si>
    <t xml:space="preserve">tests/components/stack/behavior.spec.ts</t>
  </si>
  <si>
    <t xml:space="preserve">S-07</t>
  </si>
  <si>
    <t xml:space="preserve">Source order, semantic hosts, RTL logic, reflow containment, and axe checks pass without Stack adding roles or names.</t>
  </si>
  <si>
    <t xml:space="preserve">S-08</t>
  </si>
  <si>
    <t xml:space="preserve">Reviewed baselines cover defaults, family directions, gaps, alignment, wrapping, dark appearance, mobile RTL, and forced colors.</t>
  </si>
  <si>
    <t xml:space="preserve">tests/components/stack/visual.spec.ts</t>
  </si>
  <si>
    <t xml:space="preserve">Current Stack playground and visual baselines were reviewed during implementation.</t>
  </si>
  <si>
    <t xml:space="preserve">S-09</t>
  </si>
  <si>
    <t xml:space="preserve">Physical mobile, 200%/400% zoom, constrained wrapping, long content, and RTL remain readable and contained.</t>
  </si>
  <si>
    <t xml:space="preserve">manual-tests/stack.md</t>
  </si>
  <si>
    <t xml:space="preserve">Automated reflow and RTL evidence passes; the human manual run is intentionally pending.</t>
  </si>
  <si>
    <t xml:space="preserve">S-10</t>
  </si>
  <si>
    <t xml:space="preserve">Light, dark, forced-colors, focus-bearing children, and text-spacing stress retain understandable layout.</t>
  </si>
  <si>
    <t xml:space="preserve">manual-tests/stack.md; tests/components/stack/visual.spec.ts</t>
  </si>
  <si>
    <t xml:space="preserve">Automated appearance evidence passes; complete human appearance review is pending.</t>
  </si>
  <si>
    <t xml:space="preserve">S-11</t>
  </si>
  <si>
    <t xml:space="preserve">Every supported semantic host, authored native attribute, DOM order, and rendered-output example match the public contract.</t>
  </si>
  <si>
    <t xml:space="preserve">S-12</t>
  </si>
  <si>
    <t xml:space="preserve">The component-owned manual protocol passes every Stack playground scenario.</t>
  </si>
  <si>
    <t xml:space="preserve">Protocol exists but the owner has deferred the human run.</t>
  </si>
  <si>
    <t xml:space="preserve">S-13</t>
  </si>
  <si>
    <t xml:space="preserve">Source-backed public usage, defaults, recipes, semantics, accessibility, CSS, and API documentation pass component checks.</t>
  </si>
  <si>
    <t xml:space="preserve">../docs/components/stack/README.md</t>
  </si>
  <si>
    <t xml:space="preserve">S-14</t>
  </si>
  <si>
    <t xml:space="preserve">Stack owns a public component changelog and the package changelog records the family addition.</t>
  </si>
  <si>
    <t xml:space="preserve">../docs/components/stack/CHANGELOG.md; ../CHANGELOG.md</t>
  </si>
  <si>
    <t xml:space="preserve">S-15</t>
  </si>
  <si>
    <t xml:space="preserve">HStack / VStack</t>
  </si>
  <si>
    <t xml:space="preserve">The packed Consumer proves realistic content and action composition through the public Stack subpath.</t>
  </si>
  <si>
    <t xml:space="preserve">S-16</t>
  </si>
  <si>
    <t xml:space="preserve">Build, SSR, exports, CSS, tarball, React 18/19, packed Consumer, and playground Stack-adoption checks pass.</t>
  </si>
  <si>
    <t xml:space="preserve">../test/package; ../scripts/verify-package.mjs; ../scripts/verify-consumers.mjs; ../scripts/verify-playground-stack.mjs</t>
  </si>
  <si>
    <t xml:space="preserve">Automated package gates pass; complete status waits for the component-owned human manual run.</t>
  </si>
  <si>
    <t xml:space="preserve">Tooltip Evidence</t>
  </si>
  <si>
    <t xml:space="preserve">../src/components/tooltip</t>
  </si>
  <si>
    <t xml:space="preserve">../test/types/components/tooltip.test.ts</t>
  </si>
  <si>
    <t xml:space="preserve">../src/components/tooltip/tooltip.css</t>
  </si>
  <si>
    <t xml:space="preserve">../test/components/tooltip/tooltip.test.tsx</t>
  </si>
  <si>
    <t xml:space="preserve">tests/components/tooltip/behavior.spec.ts</t>
  </si>
  <si>
    <t xml:space="preserve">tests/components/tooltip/behavior.spec.ts; tests/integration</t>
  </si>
  <si>
    <t xml:space="preserve">tests/components/tooltip/visual.spec.ts</t>
  </si>
  <si>
    <t xml:space="preserve">manual-tests/tooltip.md</t>
  </si>
  <si>
    <t xml:space="preserve">manual-tests/tooltip.md; tests/components/tooltip/behavior.spec.ts</t>
  </si>
  <si>
    <t xml:space="preserve">../docs/components/tooltip/README.md</t>
  </si>
  <si>
    <t xml:space="preserve">../docs/components/tooltip/CHANGELOG.md</t>
  </si>
  <si>
    <t xml:space="preserve">Grid Evidence</t>
  </si>
  <si>
    <t xml:space="preserve">G-01</t>
  </si>
  <si>
    <t xml:space="preserve">Root / Item</t>
  </si>
  <si>
    <t xml:space="preserve">Grid.Root and optional Grid.Item render the approved native hosts, stable hooks, forwarded refs, and authored native attributes.</t>
  </si>
  <si>
    <t xml:space="preserve">../src/components/grid</t>
  </si>
  <si>
    <t xml:space="preserve">G-02</t>
  </si>
  <si>
    <t xml:space="preserve">Root exports and the public Grid subpath expose the frozen compound runtime and all public Grid types.</t>
  </si>
  <si>
    <t xml:space="preserve">G-03</t>
  </si>
  <si>
    <t xml:space="preserve">Closed hosts, explicit and intrinsic modes, gaps, alignment, placement, native props, refs, and invalid combinations type-check.</t>
  </si>
  <si>
    <t xml:space="preserve">../test/types/components/grid.test.ts</t>
  </si>
  <si>
    <t xml:space="preserve">G-04</t>
  </si>
  <si>
    <t xml:space="preserve">Static CSS ships equal and intrinsic tracks, zero-through-six gaps, logical alignment, placement, containment, and public variable overrides.</t>
  </si>
  <si>
    <t xml:space="preserve">../src/components/grid/grid.css; ../src/styles/tokens.tokens.json</t>
  </si>
  <si>
    <t xml:space="preserve">G-05</t>
  </si>
  <si>
    <t xml:space="preserve">Defaults, modes, recipes, placement, semantic hosts, native pass-through, hooks, events, refs, and exclusions pass focused tests.</t>
  </si>
  <si>
    <t xml:space="preserve">../test/components/grid/grid.test.tsx</t>
  </si>
  <si>
    <t xml:space="preserve">G-06</t>
  </si>
  <si>
    <t xml:space="preserve">Real-browser exact columns, intrinsic reflow, gaps, alignment, output, refs, and customization pass across the supported browser matrix.</t>
  </si>
  <si>
    <t xml:space="preserve">tests/components/grid/behavior.spec.ts</t>
  </si>
  <si>
    <t xml:space="preserve">G-07</t>
  </si>
  <si>
    <t xml:space="preserve">Item</t>
  </si>
  <si>
    <t xml:space="preserve">Real-browser spans, line placement, full width, self-alignment, containment, and source order pass across the supported browser matrix.</t>
  </si>
  <si>
    <t xml:space="preserve">G-08</t>
  </si>
  <si>
    <t xml:space="preserve">Authored semantics, DOM and focus order, RTL logic, reflow containment, and axe pass without Grid inventing interactive grid semantics.</t>
  </si>
  <si>
    <t xml:space="preserve">G-09</t>
  </si>
  <si>
    <t xml:space="preserve">Reviewed baselines cover defaults, modes, gaps, placement, dark appearance, mobile RTL, and forced colors.</t>
  </si>
  <si>
    <t xml:space="preserve">tests/components/grid/visual.spec.ts</t>
  </si>
  <si>
    <t xml:space="preserve">Current Grid playground and visual baselines were reviewed during implementation.</t>
  </si>
  <si>
    <t xml:space="preserve">G-10</t>
  </si>
  <si>
    <t xml:space="preserve">Physical mobile, 200%/400% zoom, intrinsic reflow, constrained placement, long content, and RTL remain readable and contained.</t>
  </si>
  <si>
    <t xml:space="preserve">manual-tests/grid.md</t>
  </si>
  <si>
    <t xml:space="preserve">G-11</t>
  </si>
  <si>
    <t xml:space="preserve">Light, dark, forced-colors, focus-bearing children, and text-spacing stress retain understandable layout and source order.</t>
  </si>
  <si>
    <t xml:space="preserve">manual-tests/grid.md; tests/components/grid/visual.spec.ts</t>
  </si>
  <si>
    <t xml:space="preserve">G-12</t>
  </si>
  <si>
    <t xml:space="preserve">Supported semantic hosts, authored attributes, source order, rendered output, slots, and data hooks match the public contract.</t>
  </si>
  <si>
    <t xml:space="preserve">G-13</t>
  </si>
  <si>
    <t xml:space="preserve">The component-owned manual protocol passes every Grid playground scenario.</t>
  </si>
  <si>
    <t xml:space="preserve">G-14</t>
  </si>
  <si>
    <t xml:space="preserve">Source-backed public usage, defaults, modes, placement, semantics, accessibility, CSS, and API documentation pass component checks.</t>
  </si>
  <si>
    <t xml:space="preserve">../docs/components/grid/README.md</t>
  </si>
  <si>
    <t xml:space="preserve">G-15</t>
  </si>
  <si>
    <t xml:space="preserve">Grid owns a public component changelog and the package changelog records the component addition.</t>
  </si>
  <si>
    <t xml:space="preserve">../docs/components/grid/CHANGELOG.md; ../CHANGELOG.md</t>
  </si>
  <si>
    <t xml:space="preserve">G-16</t>
  </si>
  <si>
    <t xml:space="preserve">The packed Consumer proves realistic equal-track composition, intentional item span, and responsive public-variable overrides through the Grid subpath.</t>
  </si>
  <si>
    <t xml:space="preserve">G-17</t>
  </si>
  <si>
    <t xml:space="preserve">Build, SSR, exports, CSS, tarball, React 18/19, packed Consumer, browser matrix, and playground Grid-adoption checks pass.</t>
  </si>
  <si>
    <t xml:space="preserve">../test/package; ../scripts/verify-package.mjs; ../scripts/verify-consumers.mjs; ../scripts/verify-playground-grid.mjs</t>
  </si>
  <si>
    <t xml:space="preserve">Container Evidence</t>
  </si>
  <si>
    <t xml:space="preserve">Assertion-level package, browser, human-review, documentation, Consumer, and playground-boundary evidence.</t>
  </si>
  <si>
    <t xml:space="preserve">Container renders one approved native host with stable hooks, forwarded ref, authored children, and native attributes.</t>
  </si>
  <si>
    <t xml:space="preserve">../src/components/container</t>
  </si>
  <si>
    <t xml:space="preserve">Root exports and the public Container subpath expose the runtime component and every public Container type.</t>
  </si>
  <si>
    <t xml:space="preserve">Closed hosts, measures, gutters, native props, refs, and rejected arbitrary, responsive, viewport, and composition props type-check.</t>
  </si>
  <si>
    <t xml:space="preserve">../test/types/components/container.test.ts</t>
  </si>
  <si>
    <t xml:space="preserve">Static CSS ships border-box fluid sizing, five measures, four logical gutters, centering, containment, and public variable overrides.</t>
  </si>
  <si>
    <t xml:space="preserve">../src/components/container/container.css</t>
  </si>
  <si>
    <t xml:space="preserve">Defaults, every recipe, semantic hosts, one-root anatomy, pass-through, hooks, events, refs, and exclusions pass focused tests.</t>
  </si>
  <si>
    <t xml:space="preserve">../test/components/container/container.test.tsx</t>
  </si>
  <si>
    <t xml:space="preserve">Real-browser maximums, full width, gutters, border-box containment, output, refs, and exact customization pass across the supported matrix.</t>
  </si>
  <si>
    <t xml:space="preserve">tests/components/container/behavior.spec.ts</t>
  </si>
  <si>
    <t xml:space="preserve">Authored semantics, source/focus order, RTL and vertical logical sizing, reflow, focus visibility, and axe pass without invented roles.</t>
  </si>
  <si>
    <t xml:space="preserve">Reviewed baselines cover defaults, measures, gutters, dark customization, narrow RTL, and vertical writing.</t>
  </si>
  <si>
    <t xml:space="preserve">tests/components/container/visual.spec.ts</t>
  </si>
  <si>
    <t xml:space="preserve">Current Container playground and visual baselines were reviewed during implementation.</t>
  </si>
  <si>
    <t xml:space="preserve">Physical mobile, 200%/400% zoom, 320/256 CSS-pixel reflow, long content, RTL, and vertical writing remain usable and contained.</t>
  </si>
  <si>
    <t xml:space="preserve">manual-tests/container.md</t>
  </si>
  <si>
    <t xml:space="preserve">Automated reflow evidence passes; the human manual run is intentionally pending.</t>
  </si>
  <si>
    <t xml:space="preserve">Light, dark, forced colors, text spacing, and focus-bearing descendants preserve geometry and visibility.</t>
  </si>
  <si>
    <t xml:space="preserve">manual-tests/container.md; tests/components/container/visual.spec.ts</t>
  </si>
  <si>
    <t xml:space="preserve">Supported semantic hosts, authored attributes, one-root output, slot, measure, and gutter hooks match the public contract.</t>
  </si>
  <si>
    <t xml:space="preserve">The component-owned manual protocol passes every Container playground scenario.</t>
  </si>
  <si>
    <t xml:space="preserve">Protocol exists; the owner deferred the human run.</t>
  </si>
  <si>
    <t xml:space="preserve">Source-backed usage, defaults, geometry, semantics, accessibility, composition, CSS, customization, and API documentation pass checks.</t>
  </si>
  <si>
    <t xml:space="preserve">../docs/components/container/README.md</t>
  </si>
  <si>
    <t xml:space="preserve">Container owns a public component changelog and the package changelog records the component addition.</t>
  </si>
  <si>
    <t xml:space="preserve">../docs/components/container/CHANGELOG.md; ../CHANGELOG.md</t>
  </si>
  <si>
    <t xml:space="preserve">The packed Consumer proves the public Container subpath as a realistic page boundary containing Stack and Grid with responsive gutters.</t>
  </si>
  <si>
    <t xml:space="preserve">Shared main, header, scenario navigation, route-content, and footer boundaries use Container while App Bar and component-specific constraints remain excluded.</t>
  </si>
  <si>
    <t xml:space="preserve">../playground/src/shell/PlaygroundShell.tsx; ../scripts/verify-playground-container.mjs</t>
  </si>
  <si>
    <t xml:space="preserve">C-17</t>
  </si>
  <si>
    <t xml:space="preserve">Build, SSR, exports, CSS, tarball, React 18/19, packed Consumer, browser matrix, and Container-adoption checks pass.</t>
  </si>
  <si>
    <t xml:space="preserve">../test/package; ../scripts/verify-package.mjs; ../scripts/verify-consumers.mjs; ../scripts/verify-playground-container.mjs</t>
  </si>
  <si>
    <t xml:space="preserve">Surface Evidence</t>
  </si>
  <si>
    <t xml:space="preserve">Assertion-level package, browser, human-review, documentation, Consumer, and playground-ownership evidence.</t>
  </si>
  <si>
    <t xml:space="preserve">Surface renders one approved semantic host with stable hooks, forwarded ref, authored children, and native attributes.</t>
  </si>
  <si>
    <t xml:space="preserve">../src/components/surface</t>
  </si>
  <si>
    <t xml:space="preserve">Root exports and the public Surface subpath expose the runtime component and every public Surface type.</t>
  </si>
  <si>
    <t xml:space="preserve">Closed semantic hosts, levels, elevations, radii, insets, native props, refs, and rejected composition props type-check.</t>
  </si>
  <si>
    <t xml:space="preserve">../test/types/components/surface.test.ts</t>
  </si>
  <si>
    <t xml:space="preserve">Static CSS ships semantic levels, independent border, elevation, radius, inset, forced-color handling, and public variable overrides.</t>
  </si>
  <si>
    <t xml:space="preserve">../src/components/surface/surface.css</t>
  </si>
  <si>
    <t xml:space="preserve">Defaults, every recipe, semantic hosts, pass-through, hooks, events, refs, and exclusions pass focused tests.</t>
  </si>
  <si>
    <t xml:space="preserve">../test/components/surface/surface.test.tsx</t>
  </si>
  <si>
    <t xml:space="preserve">Real-browser levels, borders, elevations, radii, insets, nesting, semantic output, refs, and exact customization pass.</t>
  </si>
  <si>
    <t xml:space="preserve">tests/components/surface/behavior.spec.ts</t>
  </si>
  <si>
    <t xml:space="preserve">Authored semantics, focus-bearing descendants, RTL/reflow containment, and axe pass without invented roles or interaction.</t>
  </si>
  <si>
    <t xml:space="preserve">Reviewed baselines cover defaults, levels, borders, elevation, inset, nesting, dark customization, mobile RTL, and forced colors.</t>
  </si>
  <si>
    <t xml:space="preserve">tests/components/surface/visual.spec.ts</t>
  </si>
  <si>
    <t xml:space="preserve">Current Surface playground and visual baselines were reviewed during implementation.</t>
  </si>
  <si>
    <t xml:space="preserve">Physical mobile, 200%/400% zoom, constrained content, long copy, nesting, and RTL remain readable and contained.</t>
  </si>
  <si>
    <t xml:space="preserve">manual-tests/surface.md</t>
  </si>
  <si>
    <t xml:space="preserve">Light, dark, forced colors, text spacing, and focus-bearing descendants preserve boundaries, hierarchy, and contrast.</t>
  </si>
  <si>
    <t xml:space="preserve">manual-tests/surface.md; tests/components/surface/visual.spec.ts</t>
  </si>
  <si>
    <t xml:space="preserve">Supported semantic hosts, authored attributes, one-root output, slot, and recipe hooks match the public contract.</t>
  </si>
  <si>
    <t xml:space="preserve">The component-owned manual protocol passes every Surface playground scenario.</t>
  </si>
  <si>
    <t xml:space="preserve">Source-backed usage, defaults, recipes, semantics, accessibility, composition, CSS, customization, and API documentation pass checks.</t>
  </si>
  <si>
    <t xml:space="preserve">../docs/components/surface/README.md</t>
  </si>
  <si>
    <t xml:space="preserve">Surface owns a public component changelog and the package changelog records the component addition.</t>
  </si>
  <si>
    <t xml:space="preserve">../docs/components/surface/CHANGELOG.md; ../CHANGELOG.md</t>
  </si>
  <si>
    <t xml:space="preserve">The packed Consumer proves the public Surface subpath as a realistic painted workspace region with independent layout ownership.</t>
  </si>
  <si>
    <t xml:space="preserve">Shared generic evidence regions use Surface while component paint, diagnostics, layout, overlays, and native evidence retain their classified owners.</t>
  </si>
  <si>
    <t xml:space="preserve">../playground/docs/surface-adoption-audit.md; ../scripts/verify-playground-surface.mjs</t>
  </si>
  <si>
    <t xml:space="preserve">S-17</t>
  </si>
  <si>
    <t xml:space="preserve">Build, SSR, exports, CSS, tarball, React 18/19, packed Consumer, browser matrix, and Surface-adoption checks pass.</t>
  </si>
  <si>
    <t xml:space="preserve">../test/package; ../scripts/verify-package.mjs; ../scripts/verify-consumers.mjs; ../scripts/verify-playground-surface.mjs</t>
  </si>
  <si>
    <t xml:space="preserve">Divider Evidence</t>
  </si>
  <si>
    <t xml:space="preserve">Assertion-level Atom-backed package, browser, human-review, documentation, Consumer, and adoption evidence.</t>
  </si>
  <si>
    <t xml:space="preserve">Divider renders the adopted Atom-backed line, labeled anatomy, and composed-root mode with stable hooks and forwarded refs.</t>
  </si>
  <si>
    <t xml:space="preserve">../src/components/divider</t>
  </si>
  <si>
    <t xml:space="preserve">Root exports and the public Divider subpath expose the runtime component and every public Divider type.</t>
  </si>
  <si>
    <t xml:space="preserve">Line, label, composition, orientation, recipe, native attribute, ref, and invalid combination contracts type-check.</t>
  </si>
  <si>
    <t xml:space="preserve">../test/types/components/divider.test.ts</t>
  </si>
  <si>
    <t xml:space="preserve">Static CSS ships logical horizontal/vertical geometry, variants, thickness, inset, labels, stretch, RTL, and forced-color handling.</t>
  </si>
  <si>
    <t xml:space="preserve">../src/components/divider/divider.css</t>
  </si>
  <si>
    <t xml:space="preserve">Defaults, semantic ownership, every recipe, labeled anatomy, composition, pass-through, hooks, refs, and exclusions pass focused tests.</t>
  </si>
  <si>
    <t xml:space="preserve">../test/components/divider/divider.test.tsx</t>
  </si>
  <si>
    <t xml:space="preserve">Real-browser orientation, variants, thickness, inset, labels, stretch, output, refs, customization, RTL, and reflow pass.</t>
  </si>
  <si>
    <t xml:space="preserve">tests/components/divider/behavior.spec.ts</t>
  </si>
  <si>
    <t xml:space="preserve">Decorative and semantic separators, labeling, source order, RTL/reflow containment, focus visibility, and axe pass without splitter behavior.</t>
  </si>
  <si>
    <t xml:space="preserve">Reviewed baselines cover defaults, orientation, variants, thickness, labels, dark customization, mobile RTL, and forced colors.</t>
  </si>
  <si>
    <t xml:space="preserve">tests/components/divider/visual.spec.ts</t>
  </si>
  <si>
    <t xml:space="preserve">Current Divider mobile/RTL, forced-color, and complete visual baselines were reviewed during implementation.</t>
  </si>
  <si>
    <t xml:space="preserve">Physical mobile, 200%/400% zoom, long labels, constrained width, vertical stretch, and RTL remain readable and contained.</t>
  </si>
  <si>
    <t xml:space="preserve">manual-tests/divider.md</t>
  </si>
  <si>
    <t xml:space="preserve">Light, dark, forced colors, text spacing, and customized separators retain visible structural boundaries.</t>
  </si>
  <si>
    <t xml:space="preserve">manual-tests/divider.md; tests/components/divider/visual.spec.ts</t>
  </si>
  <si>
    <t xml:space="preserve">Decorative, semantic, labeled, horizontal, vertical, and composed output match the Atom-first public contract.</t>
  </si>
  <si>
    <t xml:space="preserve">The component-owned manual protocol passes every Divider playground scenario.</t>
  </si>
  <si>
    <t xml:space="preserve">Source-backed usage, defaults, recipes, labels, semantics, accessibility, composition, CSS, customization, and API documentation pass checks.</t>
  </si>
  <si>
    <t xml:space="preserve">../docs/components/divider/README.md</t>
  </si>
  <si>
    <t xml:space="preserve">Divider owns a public component changelog and the package changelog records the component addition.</t>
  </si>
  <si>
    <t xml:space="preserve">../docs/components/divider/CHANGELOG.md; ../CHANGELOG.md</t>
  </si>
  <si>
    <t xml:space="preserve">The packed Consumer proves the public Divider subpath as a semantic workspace break between adjacent content groups.</t>
  </si>
  <si>
    <t xml:space="preserve">Divider replaces authored separator concepts while component edges, focus, diagnostics, shell chrome, and Surface boundaries retain their owners.</t>
  </si>
  <si>
    <t xml:space="preserve">../playground/docs/divider-adoption-audit.md; ../scripts/verify-playground-divider.mjs</t>
  </si>
  <si>
    <t xml:space="preserve">D-17</t>
  </si>
  <si>
    <t xml:space="preserve">Build, SSR, exports, CSS, tarball, React 18/19, packed Consumer, browser matrix, and Divider-adoption checks pass.</t>
  </si>
  <si>
    <t xml:space="preserve">../test/package; ../scripts/verify-package.mjs; ../scripts/verify-consumers.mjs; ../scripts/verify-playground-divider.mjs</t>
  </si>
  <si>
    <t xml:space="preserve">Scroll Area Evidence</t>
  </si>
  <si>
    <t xml:space="preserve">Assertion-level Atom-backed package, browser, human-review, documentation, Consumer, visibility, and adoption evidence.</t>
  </si>
  <si>
    <t xml:space="preserve">SA-01</t>
  </si>
  <si>
    <t xml:space="preserve">Scroll Area renders Atom-backed Root and Viewport anatomy with forwarded refs and stable hooks.</t>
  </si>
  <si>
    <t xml:space="preserve">../src/components/scroll-area</t>
  </si>
  <si>
    <t xml:space="preserve">SA-02</t>
  </si>
  <si>
    <t xml:space="preserve">Root exports and the Scroll Area subpath expose the compound runtime and every public type.</t>
  </si>
  <si>
    <t xml:space="preserve">SA-03</t>
  </si>
  <si>
    <t xml:space="preserve">Orientation, gutter, visibility, composition, native props, and ref contracts type-check.</t>
  </si>
  <si>
    <t xml:space="preserve">../test/types/components/scroll-area.test.ts</t>
  </si>
  <si>
    <t xml:space="preserve">SA-04</t>
  </si>
  <si>
    <t xml:space="preserve">Static CSS ships axis ownership, gutter, visibility, focus, semantic colors, and forced-color behavior.</t>
  </si>
  <si>
    <t xml:space="preserve">../src/components/scroll-area/scroll-area.css</t>
  </si>
  <si>
    <t xml:space="preserve">SA-05</t>
  </si>
  <si>
    <t xml:space="preserve">Defaults, all closed recipes, semantics, forwarding, refs, and composition pass focused tests.</t>
  </si>
  <si>
    <t xml:space="preserve">../test/components/scroll-area/scroll-area.test.tsx</t>
  </si>
  <si>
    <t xml:space="preserve">SA-06</t>
  </si>
  <si>
    <t xml:space="preserve">Native vertical and horizontal movement, gutter, visibility, composition, refs, and reflow pass.</t>
  </si>
  <si>
    <t xml:space="preserve">tests/components/scroll-area/behavior.spec.ts</t>
  </si>
  <si>
    <t xml:space="preserve">SA-07</t>
  </si>
  <si>
    <t xml:space="preserve">Named focusable content, descendant reachability, focus visibility, containment, and axe pass.</t>
  </si>
  <si>
    <t xml:space="preserve">SA-08</t>
  </si>
  <si>
    <t xml:space="preserve">Baselines cover defaults, axes, gutter, visibility, dark appearance, mobile RTL, and forced colors.</t>
  </si>
  <si>
    <t xml:space="preserve">tests/components/scroll-area/visual.spec.ts</t>
  </si>
  <si>
    <t xml:space="preserve">Current Scroll Area visual baselines were reviewed during implementation.</t>
  </si>
  <si>
    <t xml:space="preserve">SA-09</t>
  </si>
  <si>
    <t xml:space="preserve">Physical mobile, zoom, RTL, writing mode, touch, and nested scroll handoff remain readable and usable.</t>
  </si>
  <si>
    <t xml:space="preserve">manual-tests/scroll-area.md</t>
  </si>
  <si>
    <t xml:space="preserve">SA-10</t>
  </si>
  <si>
    <t xml:space="preserve">Light, dark, forced colors, interaction visibility, focus, and customized scrollbars remain visible.</t>
  </si>
  <si>
    <t xml:space="preserve">manual-tests/scroll-area.md; tests/components/scroll-area/visual.spec.ts</t>
  </si>
  <si>
    <t xml:space="preserve">SA-11</t>
  </si>
  <si>
    <t xml:space="preserve">Plain content opts into a named region while interactive descendants avoid a redundant viewport stop.</t>
  </si>
  <si>
    <t xml:space="preserve">SA-12</t>
  </si>
  <si>
    <t xml:space="preserve">The component-owned protocol passes every Scroll Area playground scenario.</t>
  </si>
  <si>
    <t xml:space="preserve">SA-13</t>
  </si>
  <si>
    <t xml:space="preserve">Source-backed usage, defaults, axes, visibility, semantics, accessibility, composition, and API docs pass.</t>
  </si>
  <si>
    <t xml:space="preserve">../docs/components/scroll-area/README.md</t>
  </si>
  <si>
    <t xml:space="preserve">SA-14</t>
  </si>
  <si>
    <t xml:space="preserve">Scroll Area owns a public changelog and the package changelog records its addition.</t>
  </si>
  <si>
    <t xml:space="preserve">../docs/components/scroll-area/CHANGELOG.md; ../CHANGELOG.md</t>
  </si>
  <si>
    <t xml:space="preserve">SA-15</t>
  </si>
  <si>
    <t xml:space="preserve">The packed Consumer proves the public subpath in a constrained native recent-activity region.</t>
  </si>
  <si>
    <t xml:space="preserve">SA-16</t>
  </si>
  <si>
    <t xml:space="preserve">Intentional shell and fixture scrolling adopt Scroll Area while clipping, diagnostics, and code retain owners.</t>
  </si>
  <si>
    <t xml:space="preserve">../playground/docs/scroll-area-adoption-audit.md; ../scripts/verify-playground-scroll-area.mjs</t>
  </si>
  <si>
    <t xml:space="preserve">SA-17</t>
  </si>
  <si>
    <t xml:space="preserve">Build, SSR, exports, CSS, tarball, consumers, browser matrix, and adoption checks pass.</t>
  </si>
  <si>
    <t xml:space="preserve">../test/package; ../scripts/verify-consumers.mjs; ../scripts/verify-playground-scroll-area.mjs</t>
  </si>
  <si>
    <t xml:space="preserve">Automated package gates pass; complete status waits for the human manual run.</t>
  </si>
  <si>
    <t xml:space="preserve">Code Evidence</t>
  </si>
  <si>
    <t xml:space="preserve">Assertion-level inline semantics, recipes, browser, human-review, documentation, Consumer, and adoption evidence.</t>
  </si>
  <si>
    <t xml:space="preserve">CO-01</t>
  </si>
  <si>
    <t xml:space="preserve">Native code host, refs, slots, classes, styles, and closed recipes render from one server-safe component.</t>
  </si>
  <si>
    <t xml:space="preserve">../src/components/code</t>
  </si>
  <si>
    <t xml:space="preserve">CO-02</t>
  </si>
  <si>
    <t xml:space="preserve">Root and Code subpath exports expose the runtime and every public type.</t>
  </si>
  <si>
    <t xml:space="preserve">CO-03</t>
  </si>
  <si>
    <t xml:space="preserve">Recipes, native attributes, content, and HTMLElement ref contracts type-check.</t>
  </si>
  <si>
    <t xml:space="preserve">../test/types/components/code.test.ts</t>
  </si>
  <si>
    <t xml:space="preserve">CO-04</t>
  </si>
  <si>
    <t xml:space="preserve">Static CSS ships inline recipes, wrapping, forced colors, and public variables.</t>
  </si>
  <si>
    <t xml:space="preserve">../src/components/code/code.css</t>
  </si>
  <si>
    <t xml:space="preserve">CO-05</t>
  </si>
  <si>
    <t xml:space="preserve">Defaults, recipes, native forwarding, ref, events, and semantic host pass focused tests.</t>
  </si>
  <si>
    <t xml:space="preserve">../test/components/code/code.test.tsx</t>
  </si>
  <si>
    <t xml:space="preserve">CO-06</t>
  </si>
  <si>
    <t xml:space="preserve">Inline context, native output, wrapping, RTL, zoom, and focus neutrality pass.</t>
  </si>
  <si>
    <t xml:space="preserve">tests/components/code/behavior.spec.ts</t>
  </si>
  <si>
    <t xml:space="preserve">CO-07</t>
  </si>
  <si>
    <t xml:space="preserve">Native semantics, meaningful prose context, text spacing, and axe remain correct.</t>
  </si>
  <si>
    <t xml:space="preserve">CO-08</t>
  </si>
  <si>
    <t xml:space="preserve">Defaults, recipes, appearances, customization, narrow layout, and RTL own baselines.</t>
  </si>
  <si>
    <t xml:space="preserve">tests/components/code/visual.spec.ts</t>
  </si>
  <si>
    <t xml:space="preserve">Human snapshot review is pending.</t>
  </si>
  <si>
    <t xml:space="preserve">CO-09</t>
  </si>
  <si>
    <t xml:space="preserve">Long literals, narrow widths, RTL prose, zoom, and text spacing remain readable.</t>
  </si>
  <si>
    <t xml:space="preserve">manual-tests/code.md</t>
  </si>
  <si>
    <t xml:space="preserve">Protocol exists; human run is pending.</t>
  </si>
  <si>
    <t xml:space="preserve">CO-10</t>
  </si>
  <si>
    <t xml:space="preserve">The component-owned protocol covers every Code playground scenario.</t>
  </si>
  <si>
    <t xml:space="preserve">CO-11</t>
  </si>
  <si>
    <t xml:space="preserve">Source-backed usage, recipes, semantics, API, tokens, and exclusions pass.</t>
  </si>
  <si>
    <t xml:space="preserve">../docs/components/code/README.md</t>
  </si>
  <si>
    <t xml:space="preserve">CO-12</t>
  </si>
  <si>
    <t xml:space="preserve">Code owns a public changelog and the package changelog records its addition.</t>
  </si>
  <si>
    <t xml:space="preserve">../docs/components/code/CHANGELOG.md; ../CHANGELOG.md</t>
  </si>
  <si>
    <t xml:space="preserve">CO-13</t>
  </si>
  <si>
    <t xml:space="preserve">The packed Consumer proves the public subpath in realistic prose.</t>
  </si>
  <si>
    <t xml:space="preserve">CO-14</t>
  </si>
  <si>
    <t xml:space="preserve">Inline technical displays adopt Code and raw code hosts are rejected.</t>
  </si>
  <si>
    <t xml:space="preserve">docs/code-adoption-audit.md; ../scripts/verify-playground-code.mjs</t>
  </si>
  <si>
    <t xml:space="preserve">CO-15</t>
  </si>
  <si>
    <t xml:space="preserve">Automated and human release gates are pending.</t>
  </si>
  <si>
    <t xml:space="preserve">Code Block Evidence</t>
  </si>
  <si>
    <t xml:space="preserve">Assertion-level compound source, Clipboard, overflow, browser, human-review, documentation, Consumer, and adoption evidence.</t>
  </si>
  <si>
    <t xml:space="preserve">CB-01</t>
  </si>
  <si>
    <t xml:space="preserve">Root and anatomy</t>
  </si>
  <si>
    <t xml:space="preserve">Atom Clipboard Root plus Header, Title, Language, Actions, Content, and copy parts compose correctly.</t>
  </si>
  <si>
    <t xml:space="preserve">../src/components/code-block</t>
  </si>
  <si>
    <t xml:space="preserve">CB-02</t>
  </si>
  <si>
    <t xml:space="preserve">Content</t>
  </si>
  <si>
    <t xml:space="preserve">Content composes one Scroll Area viewport and canonical pre &gt; Brick Code markup.</t>
  </si>
  <si>
    <t xml:space="preserve">../test/components/code-block/code-block.test.tsx</t>
  </si>
  <si>
    <t xml:space="preserve">CB-03</t>
  </si>
  <si>
    <t xml:space="preserve">Clipboard</t>
  </si>
  <si>
    <t xml:space="preserve">Copy parts</t>
  </si>
  <si>
    <t xml:space="preserve">CopyTrigger, indicators, status, pending, success, failure, timeout, and disabled state use Atom Clipboard.</t>
  </si>
  <si>
    <t xml:space="preserve">CB-04</t>
  </si>
  <si>
    <t xml:space="preserve">Root and Code Block subpath exports expose the compound runtime and every public type.</t>
  </si>
  <si>
    <t xml:space="preserve">CB-05</t>
  </si>
  <si>
    <t xml:space="preserve">Anatomy, recipes, wrap policy, Clipboard props, native props, and refs type-check.</t>
  </si>
  <si>
    <t xml:space="preserve">../test/types/components/code-block.test.ts</t>
  </si>
  <si>
    <t xml:space="preserve">CB-06</t>
  </si>
  <si>
    <t xml:space="preserve">Static CSS ships surfaces, density, overflow, wrapping, selection, focus, forced colors, and tokens.</t>
  </si>
  <si>
    <t xml:space="preserve">../src/components/code-block/code-block.css</t>
  </si>
  <si>
    <t xml:space="preserve">CB-07</t>
  </si>
  <si>
    <t xml:space="preserve">Overflow, wrap, copy outcomes, focus retention, disabled state, RTL, and reflow pass.</t>
  </si>
  <si>
    <t xml:space="preserve">tests/components/code-block/behavior.spec.ts</t>
  </si>
  <si>
    <t xml:space="preserve">CB-08</t>
  </si>
  <si>
    <t xml:space="preserve">Content and copy</t>
  </si>
  <si>
    <t xml:space="preserve">Named scroll content, truthful live feedback, keyboard reachability, and axe pass.</t>
  </si>
  <si>
    <t xml:space="preserve">CB-09</t>
  </si>
  <si>
    <t xml:space="preserve">Defaults, recipes, anatomy, content, overflow, copy, appearances, mobile, and RTL own baselines.</t>
  </si>
  <si>
    <t xml:space="preserve">tests/components/code-block/visual.spec.ts</t>
  </si>
  <si>
    <t xml:space="preserve">CB-10</t>
  </si>
  <si>
    <t xml:space="preserve">Mobile, zoom, long lines, many lines, RTL chrome, LTR source, and selection remain usable.</t>
  </si>
  <si>
    <t xml:space="preserve">manual-tests/code-block.md</t>
  </si>
  <si>
    <t xml:space="preserve">CB-11</t>
  </si>
  <si>
    <t xml:space="preserve">The component-owned protocol covers every Code Block playground scenario.</t>
  </si>
  <si>
    <t xml:space="preserve">CB-12</t>
  </si>
  <si>
    <t xml:space="preserve">Source-backed anatomy, copy ownership, highlighting boundary, accessibility, API, and tokens pass.</t>
  </si>
  <si>
    <t xml:space="preserve">../docs/components/code-block/README.md</t>
  </si>
  <si>
    <t xml:space="preserve">CB-13</t>
  </si>
  <si>
    <t xml:space="preserve">Code Block owns a public changelog and the package changelog records its addition.</t>
  </si>
  <si>
    <t xml:space="preserve">../docs/components/code-block/CHANGELOG.md; ../CHANGELOG.md</t>
  </si>
  <si>
    <t xml:space="preserve">CB-14</t>
  </si>
  <si>
    <t xml:space="preserve">The packed Consumer proves public subpath anatomy, native source, and copy action.</t>
  </si>
  <si>
    <t xml:space="preserve">CB-15</t>
  </si>
  <si>
    <t xml:space="preserve">Structured technical displays adopt Code Block with no raw pre/code hosts.</t>
  </si>
  <si>
    <t xml:space="preserve">CB-16</t>
  </si>
  <si>
    <t xml:space="preserve">Build, SSR, exports, CSS, Atom dependency, tarball, consumers, browser matrix, and adoption pass.</t>
  </si>
  <si>
    <t xml:space="preserve">Nav List Evidence</t>
  </si>
  <si>
    <t xml:space="preserve">Assertion-level Atom anatomy, recipes, disclosure, browser, human-review, documentation, Consumer, and adoption evidence.</t>
  </si>
  <si>
    <t xml:space="preserve">NL-01</t>
  </si>
  <si>
    <t xml:space="preserve">Root, List, Item, Link, Section, SectionLabel, SectionTrigger, and SectionContent compose correctly.</t>
  </si>
  <si>
    <t xml:space="preserve">automated</t>
  </si>
  <si>
    <t xml:space="preserve">NL-02</t>
  </si>
  <si>
    <t xml:space="preserve">Recipes</t>
  </si>
  <si>
    <t xml:space="preserve">Soft, solid, and outline; accent and neutral; small, medium, and large preserve declared defaults.</t>
  </si>
  <si>
    <t xml:space="preserve">NL-03</t>
  </si>
  <si>
    <t xml:space="preserve">Leading content, trailing content, descriptions, current, disabled, and composition remain aligned and semantic.</t>
  </si>
  <si>
    <t xml:space="preserve">NL-04</t>
  </si>
  <si>
    <t xml:space="preserve">Sections</t>
  </si>
  <si>
    <t xml:space="preserve">Disclosure</t>
  </si>
  <si>
    <t xml:space="preserve">Labeled, controlled, uncontrolled, disabled, and non-collapsible sections preserve Atom relationships.</t>
  </si>
  <si>
    <t xml:space="preserve">NL-05</t>
  </si>
  <si>
    <t xml:space="preserve">Root and Nav List subpath exports expose the compound runtime and every public type.</t>
  </si>
  <si>
    <t xml:space="preserve">NL-06</t>
  </si>
  <si>
    <t xml:space="preserve">Anatomy, recipes, native props, composition, and refs type-check.</t>
  </si>
  <si>
    <t xml:space="preserve">NL-07</t>
  </si>
  <si>
    <t xml:space="preserve">Static CSS ships state, orientation, focus, forced-colors, logical layout, and public tokens.</t>
  </si>
  <si>
    <t xml:space="preserve">NL-08</t>
  </si>
  <si>
    <t xml:space="preserve">Defaults, disclosure, disabled state, composition, horizontal wrapping, and RTL pass.</t>
  </si>
  <si>
    <t xml:space="preserve">NL-09</t>
  </si>
  <si>
    <t xml:space="preserve">Navigation anatomy</t>
  </si>
  <si>
    <t xml:space="preserve">Names, lists, current state, disabled state, disclosure relationships, keyboard use, and axe pass.</t>
  </si>
  <si>
    <t xml:space="preserve">NL-10</t>
  </si>
  <si>
    <t xml:space="preserve">Defaults, recipes, content, sections, output, appearances, mobile, RTL, and forced colors own baselines.</t>
  </si>
  <si>
    <t xml:space="preserve">NL-11</t>
  </si>
  <si>
    <t xml:space="preserve">The component-owned protocol covers every Nav List playground scenario.</t>
  </si>
  <si>
    <t xml:space="preserve">not run</t>
  </si>
  <si>
    <t xml:space="preserve">NL-12</t>
  </si>
  <si>
    <t xml:space="preserve">Source-backed ownership, anatomy, accessibility, API, CSS, and examples pass the documentation contract.</t>
  </si>
  <si>
    <t xml:space="preserve">NL-13</t>
  </si>
  <si>
    <t xml:space="preserve">Nav List owns a public changelog and the package changelog records its addition.</t>
  </si>
  <si>
    <t xml:space="preserve">NL-14</t>
  </si>
  <si>
    <t xml:space="preserve">The packed Consumer proves the public subpath in realistic workspace navigation.</t>
  </si>
  <si>
    <t xml:space="preserve">NL-15</t>
  </si>
  <si>
    <t xml:space="preserve">The route covers all approved scenarios and the shell adopts public Nav List anatomy.</t>
  </si>
  <si>
    <t xml:space="preserve">NL-16</t>
  </si>
  <si>
    <t xml:space="preserve">Sidebar Evidence</t>
  </si>
  <si>
    <t xml:space="preserve">Assertion-level Atom anatomy, app-shell geometry, recipes, states, browser, human-review, documentation, Consumer, and adoption evidence.</t>
  </si>
  <si>
    <t xml:space="preserve">SB-01</t>
  </si>
  <si>
    <t xml:space="preserve">Seven parts</t>
  </si>
  <si>
    <t xml:space="preserve">Root, Trigger, Panel, Header, Content, Footer, and Main compose with exact Atom and Brick ownership.</t>
  </si>
  <si>
    <t xml:space="preserve">../src/components/sidebar</t>
  </si>
  <si>
    <t xml:space="preserve">SB-02</t>
  </si>
  <si>
    <t xml:space="preserve">State</t>
  </si>
  <si>
    <t xml:space="preserve">Controlled/uncontrolled expanded, rail, offcanvas, targets, side, and disabled state preserve Atom 0.8.0.</t>
  </si>
  <si>
    <t xml:space="preserve">../test/components/sidebar/sidebar.test.tsx</t>
  </si>
  <si>
    <t xml:space="preserve">SB-03</t>
  </si>
  <si>
    <t xml:space="preserve">Root and Panel</t>
  </si>
  <si>
    <t xml:space="preserve">Docked/floating, small/medium/large, and static/sticky preserve declared defaults and geometry.</t>
  </si>
  <si>
    <t xml:space="preserve">../playground/tests/components/sidebar/behavior.spec.ts</t>
  </si>
  <si>
    <t xml:space="preserve">SB-04</t>
  </si>
  <si>
    <t xml:space="preserve">Trigger and Panel</t>
  </si>
  <si>
    <t xml:space="preserve">Generated relationships, native activation, disabled state, inert offcanvas content, landmarks, and rail names pass.</t>
  </si>
  <si>
    <t xml:space="preserve">SB-05</t>
  </si>
  <si>
    <t xml:space="preserve">All parts</t>
  </si>
  <si>
    <t xml:space="preserve">Native props, refs, render, asChild, classes, styles, and slot overrides preserve output.</t>
  </si>
  <si>
    <t xml:space="preserve">SB-06</t>
  </si>
  <si>
    <t xml:space="preserve">Root and Sidebar subpath exports expose runtime and public types.</t>
  </si>
  <si>
    <t xml:space="preserve">SB-07</t>
  </si>
  <si>
    <t xml:space="preserve">Recipes, Atom props, refs, composition, and Root size collision type-check.</t>
  </si>
  <si>
    <t xml:space="preserve">../test/types/components/sidebar.test.ts</t>
  </si>
  <si>
    <t xml:space="preserve">SB-08</t>
  </si>
  <si>
    <t xml:space="preserve">Static CSS ships state/side geometry, regions, focus, motion preferences, forced colors, and public variables.</t>
  </si>
  <si>
    <t xml:space="preserve">../src/components/sidebar/sidebar.css</t>
  </si>
  <si>
    <t xml:space="preserve">SB-09</t>
  </si>
  <si>
    <t xml:space="preserve">Defaults, states, variants, sizes, placement, regions, behavior, appearance, stress, and forced colors own reviewed baselines.</t>
  </si>
  <si>
    <t xml:space="preserve">../playground/tests/components/sidebar/visual.spec.ts</t>
  </si>
  <si>
    <t xml:space="preserve">Human run pending.</t>
  </si>
  <si>
    <t xml:space="preserve">SB-10</t>
  </si>
  <si>
    <t xml:space="preserve">Main containment, zero offcanvas track, right placement, sticky height, narrow floating, low height, zoom, and reduced motion remain usable.</t>
  </si>
  <si>
    <t xml:space="preserve">../playground/manual-tests/sidebar.md</t>
  </si>
  <si>
    <t xml:space="preserve">SB-11</t>
  </si>
  <si>
    <t xml:space="preserve">The component-owned protocol covers every Sidebar playground scenario.</t>
  </si>
  <si>
    <t xml:space="preserve">SB-12</t>
  </si>
  <si>
    <t xml:space="preserve">Source-backed ownership, anatomy, states, recipes, Drawer boundary, accessibility, API, and tokens pass.</t>
  </si>
  <si>
    <t xml:space="preserve">../docs/components/sidebar/README.md</t>
  </si>
  <si>
    <t xml:space="preserve">SB-13</t>
  </si>
  <si>
    <t xml:space="preserve">Sidebar owns a public changelog and package changelog entry.</t>
  </si>
  <si>
    <t xml:space="preserve">../docs/components/sidebar/CHANGELOG.md; ../CHANGELOG.md</t>
  </si>
  <si>
    <t xml:space="preserve">SB-14</t>
  </si>
  <si>
    <t xml:space="preserve">The packed Consumer proves public Sidebar with Nav List and an external Trigger.</t>
  </si>
  <si>
    <t xml:space="preserve">SB-15</t>
  </si>
  <si>
    <t xml:space="preserve">Adoption</t>
  </si>
  <si>
    <t xml:space="preserve">The route covers all scenarios and desktop shell adopts Sidebar while mobile Drawer policy remains application-owned.</t>
  </si>
  <si>
    <t xml:space="preserve">adoption</t>
  </si>
  <si>
    <t xml:space="preserve">../scripts/verify-playground-sidebar.mjs</t>
  </si>
  <si>
    <t xml:space="preserve">SB-16</t>
  </si>
  <si>
    <t xml:space="preserve">Icon Evidence</t>
  </si>
  <si>
    <t xml:space="preserve">Assertion-level SVG presentation, accessibility, recipes, browser, human-review, documentation, Consumer, and scoped adoption evidence.</t>
  </si>
  <si>
    <t xml:space="preserve">IC-01</t>
  </si>
  <si>
    <t xml:space="preserve">Default wrapper and SVG-only asChild composition preserve one source graphic with deterministic props and ref.</t>
  </si>
  <si>
    <t xml:space="preserve">../src/components/icon</t>
  </si>
  <si>
    <t xml:space="preserve">IC-02</t>
  </si>
  <si>
    <t xml:space="preserve">Decorative default, direct label, and label-reference modes emit mutually exclusive native image semantics.</t>
  </si>
  <si>
    <t xml:space="preserve">../test/components/icon/icon.test.tsx</t>
  </si>
  <si>
    <t xml:space="preserve">IC-03</t>
  </si>
  <si>
    <t xml:space="preserve">Six sizes, nine semantic tones, default medium inherited presentation, and currentColor remain exact.</t>
  </si>
  <si>
    <t xml:space="preserve">../playground/tests/components/icon/behavior.spec.ts</t>
  </si>
  <si>
    <t xml:space="preserve">IC-04</t>
  </si>
  <si>
    <t xml:space="preserve">Direction</t>
  </si>
  <si>
    <t xml:space="preserve">Only directional icons mirror in genuine RTL; non-directional sources retain identity.</t>
  </si>
  <si>
    <t xml:space="preserve">IC-05</t>
  </si>
  <si>
    <t xml:space="preserve">Sources</t>
  </si>
  <si>
    <t xml:space="preserve">Graphic</t>
  </si>
  <si>
    <t xml:space="preserve">Inline, reusable React SVG, external-library-shaped, and fixed multicolor sources preserve authored geometry and fills.</t>
  </si>
  <si>
    <t xml:space="preserve">../playground/src/components/icon/IconPage.tsx</t>
  </si>
  <si>
    <t xml:space="preserve">IC-06</t>
  </si>
  <si>
    <t xml:space="preserve">Native props, classes, styles, slot override, wrapper-free SVG, and ref composition preserve output.</t>
  </si>
  <si>
    <t xml:space="preserve">IC-07</t>
  </si>
  <si>
    <t xml:space="preserve">Root and Icon subpath exports expose runtime and public types.</t>
  </si>
  <si>
    <t xml:space="preserve">IC-08</t>
  </si>
  <si>
    <t xml:space="preserve">Closed recipes and mutually exclusive accessibility modes reject invalid hosts, colors, sizes, and label combinations.</t>
  </si>
  <si>
    <t xml:space="preserve">../test/types/components/icon.test.ts</t>
  </si>
  <si>
    <t xml:space="preserve">IC-09</t>
  </si>
  <si>
    <t xml:space="preserve">Static CSS ships sizing, semantic foregrounds, direction, forced colors, and documented public properties.</t>
  </si>
  <si>
    <t xml:space="preserve">../src/components/icon/icon.css</t>
  </si>
  <si>
    <t xml:space="preserve">IC-10</t>
  </si>
  <si>
    <t xml:space="preserve">Defaults, sizes, tones, sources, direction, appearance, stress, and forced colors own reviewable baselines.</t>
  </si>
  <si>
    <t xml:space="preserve">../playground/tests/components/icon/visual.spec.ts</t>
  </si>
  <si>
    <t xml:space="preserve">IC-11</t>
  </si>
  <si>
    <t xml:space="preserve">Narrow frames, large sizes, long referenced labels, zoom, text spacing, and mobile widths remain contained.</t>
  </si>
  <si>
    <t xml:space="preserve">../playground/manual-tests/icon.md</t>
  </si>
  <si>
    <t xml:space="preserve">IC-12</t>
  </si>
  <si>
    <t xml:space="preserve">The concise protocol covers every Icon playground scenario and assistive-technology mode.</t>
  </si>
  <si>
    <t xml:space="preserve">IC-13</t>
  </si>
  <si>
    <t xml:space="preserve">Source-backed ownership, SVG boundary, accessibility, API, recipes, tokens, and composition pass.</t>
  </si>
  <si>
    <t xml:space="preserve">../docs/components/icon/README.md</t>
  </si>
  <si>
    <t xml:space="preserve">IC-14</t>
  </si>
  <si>
    <t xml:space="preserve">Icon owns a public changelog and package changelog entry.</t>
  </si>
  <si>
    <t xml:space="preserve">../docs/components/icon/CHANGELOG.md; ../CHANGELOG.md</t>
  </si>
  <si>
    <t xml:space="preserve">IC-15</t>
  </si>
  <si>
    <t xml:space="preserve">The Consumer proves the public Icon subpath inside a named IconButton.</t>
  </si>
  <si>
    <t xml:space="preserve">IC-16</t>
  </si>
  <si>
    <t xml:space="preserve">The route covers all scenarios and shell adoption follows explicit component-owned exclusions.</t>
  </si>
  <si>
    <t xml:space="preserve">../scripts/verify-playground-icon.mjs; ../playground/docs/icon-adoption-audit.md</t>
  </si>
  <si>
    <t xml:space="preserve">IC-17</t>
  </si>
  <si>
    <t xml:space="preserve">Build, SSR-safe import, exports, CSS, tarball, Consumer, browser, and adoption checks pass.</t>
  </si>
  <si>
    <t xml:space="preserve">Image Evidence</t>
  </si>
  <si>
    <t xml:space="preserve">Assertion-level media lifecycle, accessibility, recipes, native output, browser, human-review, documentation, Consumer, and scoped adoption evidence.</t>
  </si>
  <si>
    <t xml:space="preserve">IM-01</t>
  </si>
  <si>
    <t xml:space="preserve">Root / Content / Fallback</t>
  </si>
  <si>
    <t xml:space="preserve">Atom Image anatomy is styled without replacing source lifecycle, refs, or conditional parts.</t>
  </si>
  <si>
    <t xml:space="preserve">../src/components/image</t>
  </si>
  <si>
    <t xml:space="preserve">IM-02</t>
  </si>
  <si>
    <t xml:space="preserve">Source state</t>
  </si>
  <si>
    <t xml:space="preserve">Idle, loading, loaded, error, source replacement, and stale-event rejection remain Atom-owned and observable.</t>
  </si>
  <si>
    <t xml:space="preserve">atom</t>
  </si>
  <si>
    <t xml:space="preserve">@flowstack-ui/atom@0.9.0 Image tests; ../test/components/image/image.test.tsx</t>
  </si>
  <si>
    <t xml:space="preserve">IM-03</t>
  </si>
  <si>
    <t xml:space="preserve">Native output</t>
  </si>
  <si>
    <t xml:space="preserve">Required authored alt plus intrinsic, responsive, loading, decoding, priority, event, slot, and ref props reach the native image.</t>
  </si>
  <si>
    <t xml:space="preserve">../test/components/image/image.test.tsx; ../playground/tests/components/image/behavior.spec.ts</t>
  </si>
  <si>
    <t xml:space="preserve">IM-04</t>
  </si>
  <si>
    <t xml:space="preserve">Fallback</t>
  </si>
  <si>
    <t xml:space="preserve">Authored idle, loading, and error fallbacks are mutually exclusive with Content and preserve reserved geometry.</t>
  </si>
  <si>
    <t xml:space="preserve">../playground/tests/components/image/behavior.spec.ts</t>
  </si>
  <si>
    <t xml:space="preserve">IM-05</t>
  </si>
  <si>
    <t xml:space="preserve">Fit</t>
  </si>
  <si>
    <t xml:space="preserve">Cover, contain, fill, none, and scale-down change only object fit inside controlled fixtures.</t>
  </si>
  <si>
    <t xml:space="preserve">IM-06</t>
  </si>
  <si>
    <t xml:space="preserve">Position</t>
  </si>
  <si>
    <t xml:space="preserve">Center, top, bottom, logical start, and logical end move focal content; start/end reverse in RTL without mirroring pixels.</t>
  </si>
  <si>
    <t xml:space="preserve">IM-07</t>
  </si>
  <si>
    <t xml:space="preserve">Geometry</t>
  </si>
  <si>
    <t xml:space="preserve">Five radius recipes, transparent/subtle frame, and explicit Atom Aspect Ratio preserve one clipped media box.</t>
  </si>
  <si>
    <t xml:space="preserve">IM-08</t>
  </si>
  <si>
    <t xml:space="preserve">Content / Fallback</t>
  </si>
  <si>
    <t xml:space="preserve">Informative, decorative, and named-action alt ownership is explicit; fallback adds no focus or live-region policy.</t>
  </si>
  <si>
    <t xml:space="preserve">IM-09</t>
  </si>
  <si>
    <t xml:space="preserve">Default, asChild, render, native props, custom slots, styles, and refs preserve Atom composition and valid hosts.</t>
  </si>
  <si>
    <t xml:space="preserve">../test/components/image/image.test.tsx</t>
  </si>
  <si>
    <t xml:space="preserve">IM-10</t>
  </si>
  <si>
    <t xml:space="preserve">Package root and Image subpath expose one runtime namespace and public types.</t>
  </si>
  <si>
    <t xml:space="preserve">IM-11</t>
  </si>
  <si>
    <t xml:space="preserve">Required alt, closed recipes, root source ownership, native responsive props, and refs are enforced.</t>
  </si>
  <si>
    <t xml:space="preserve">../test/types/components/image.test.ts</t>
  </si>
  <si>
    <t xml:space="preserve">IM-12</t>
  </si>
  <si>
    <t xml:space="preserve">Static CSS ships fit, logical position, clipping, frame, fallback, forced colors, and documented public properties.</t>
  </si>
  <si>
    <t xml:space="preserve">../src/components/image/image.css</t>
  </si>
  <si>
    <t xml:space="preserve">IM-13</t>
  </si>
  <si>
    <t xml:space="preserve">SSR</t>
  </si>
  <si>
    <t xml:space="preserve">Idle/loading fallback output and recipe metadata render deterministically without a CSS loader.</t>
  </si>
  <si>
    <t xml:space="preserve">../test/package/ssr.test.mjs</t>
  </si>
  <si>
    <t xml:space="preserve">IM-14</t>
  </si>
  <si>
    <t xml:space="preserve">Nine numbered scenarios cover defaults, accessibility, fits, positions, geometry, native output, states, appearance, and stress.</t>
  </si>
  <si>
    <t xml:space="preserve">../playground/src/components/image/ImagePage.tsx; ../playground/tests/components/image/behavior.spec.ts</t>
  </si>
  <si>
    <t xml:space="preserve">IM-15</t>
  </si>
  <si>
    <t xml:space="preserve">Defaults, fits, positions, geometry, fallback, appearance, mobile, and forced colors own reviewed-risk baselines.</t>
  </si>
  <si>
    <t xml:space="preserve">../playground/tests/components/image/visual.spec.ts</t>
  </si>
  <si>
    <t xml:space="preserve">Owner manual review pending.</t>
  </si>
  <si>
    <t xml:space="preserve">IM-16</t>
  </si>
  <si>
    <t xml:space="preserve">Narrow, long fallback, RTL, mobile, zoom, text spacing, and physical-device containment are reviewed.</t>
  </si>
  <si>
    <t xml:space="preserve">../playground/manual-tests/image.md</t>
  </si>
  <si>
    <t xml:space="preserve">IM-17</t>
  </si>
  <si>
    <t xml:space="preserve">The concise protocol covers every Image scenario, source flow, appearance, device, and assistive-technology judgment.</t>
  </si>
  <si>
    <t xml:space="preserve">IM-18</t>
  </si>
  <si>
    <t xml:space="preserve">Source-backed ownership, alt guidance, API, recipes, native attrs, tokens, composition, and exclusions pass.</t>
  </si>
  <si>
    <t xml:space="preserve">../docs/components/image/README.md</t>
  </si>
  <si>
    <t xml:space="preserve">IM-19</t>
  </si>
  <si>
    <t xml:space="preserve">Image owns a public changelog and package release-facing entry.</t>
  </si>
  <si>
    <t xml:space="preserve">../docs/components/image/CHANGELOG.md; ../CHANGELOG.md</t>
  </si>
  <si>
    <t xml:space="preserve">IM-20</t>
  </si>
  <si>
    <t xml:space="preserve">Consumer proves the public Image subpath as informative project media inside Card on desktop and mobile.</t>
  </si>
  <si>
    <t xml:space="preserve">IM-21</t>
  </si>
  <si>
    <t xml:space="preserve">Card finished media and Consumer adopt Image while Avatar and Icon Button native child evidence remain correctly owned.</t>
  </si>
  <si>
    <t xml:space="preserve">../scripts/verify-playground-image.mjs; ../playground/docs/image-adoption-audit.md</t>
  </si>
  <si>
    <t xml:space="preserve">IM-22</t>
  </si>
  <si>
    <t xml:space="preserve">Build, SSR, exports, CSS, archive, Consumer, browser, visual, docs, and adoption gates pass.</t>
  </si>
  <si>
    <t xml:space="preserve">List Evidence</t>
  </si>
  <si>
    <t xml:space="preserve">Assertion-level native semantics, anatomy, recipes, browser, human-review, documentation, Consumer, and adoption evidence.</t>
  </si>
  <si>
    <t xml:space="preserve">Root and Item</t>
  </si>
  <si>
    <t xml:space="preserve">Root and Item adapt released Atom List while preserving native ul, ol, li, attributes, slots, composition, refs, and authored children.</t>
  </si>
  <si>
    <t xml:space="preserve">../src/components/list</t>
  </si>
  <si>
    <t xml:space="preserve">Anatomy</t>
  </si>
  <si>
    <t xml:space="preserve">Leading, Content, Title, Description, Trailing</t>
  </si>
  <si>
    <t xml:space="preserve">All five optional structured parts expose stable native hosts, refs, slots, and aligned passive row anatomy.</t>
  </si>
  <si>
    <t xml:space="preserve">../test/components/list/list.test.tsx</t>
  </si>
  <si>
    <t xml:space="preserve">Root and List subpath exports expose the compound runtime and every public List type.</t>
  </si>
  <si>
    <t xml:space="preserve">Recipes, ordered attributes, native props, refs, disabled metadata, and Root/Item composition type-check.</t>
  </si>
  <si>
    <t xml:space="preserve">../test/types/components/list.test.ts</t>
  </si>
  <si>
    <t xml:space="preserve">Static CSS ships variants, sizes, densities, all markers, structured anatomy, nesting, forced colors, and public variables.</t>
  </si>
  <si>
    <t xml:space="preserve">../src/components/list/list.css</t>
  </si>
  <si>
    <t xml:space="preserve">Defaults, recipes, native ordered output, disabled metadata, parts, composition, refs, and overrides pass focused tests.</t>
  </si>
  <si>
    <t xml:space="preserve">Recipes and semantics</t>
  </si>
  <si>
    <t xml:space="preserve">Real-browser defaults, ordered and unordered output, variants, sizes, densities, markers, nesting, and native attributes pass.</t>
  </si>
  <si>
    <t xml:space="preserve">tests/components/list/behavior.spec.ts</t>
  </si>
  <si>
    <t xml:space="preserve">Structured rows</t>
  </si>
  <si>
    <t xml:space="preserve">Leading, content, and trailing columns align, descriptions wrap, actions stay contained, and logical placement reverses in RTL.</t>
  </si>
  <si>
    <t xml:space="preserve">Native list</t>
  </si>
  <si>
    <t xml:space="preserve">List roles, item relationships, marker-free semantics, authored controls, disabled metadata, and axe pass without invented interaction.</t>
  </si>
  <si>
    <t xml:space="preserve">Reviewed baselines cover defaults, boundaries, sizing, marker recipes, anatomy, dark customization, mobile RTL, and forced colors.</t>
  </si>
  <si>
    <t xml:space="preserve">tests/components/list/visual.spec.ts</t>
  </si>
  <si>
    <t xml:space="preserve">Current List playground and all eight visual baselines were reviewed during implementation.</t>
  </si>
  <si>
    <t xml:space="preserve">Physical mobile, 200%/400% zoom, rotation, narrow content, long copy, structured actions, and RTL remain readable and contained.</t>
  </si>
  <si>
    <t xml:space="preserve">manual-tests/list.md</t>
  </si>
  <si>
    <t xml:space="preserve">Light, dark, forced colors, text spacing, markers, boundaries, and authored focus preserve hierarchy and contrast.</t>
  </si>
  <si>
    <t xml:space="preserve">manual-tests/list.md; tests/components/list/visual.spec.ts</t>
  </si>
  <si>
    <t xml:space="preserve">start, reversed, value, ordered output, nested lists, asChild, render ownership, and marker-none role behavior match the contract.</t>
  </si>
  <si>
    <t xml:space="preserve">tests/components/list/behavior.spec.ts; ../test/components/list/list.test.tsx</t>
  </si>
  <si>
    <t xml:space="preserve">The component-owned protocol covers every List playground scenario in one top-to-bottom review flow.</t>
  </si>
  <si>
    <t xml:space="preserve">Source-backed ownership, anatomy, API, defaults, accessibility, CSS, customization, composition, and examples pass documentation gates.</t>
  </si>
  <si>
    <t xml:space="preserve">../docs/components/list/README.md</t>
  </si>
  <si>
    <t xml:space="preserve">List owns a public component changelog and the package changelog records its addition.</t>
  </si>
  <si>
    <t xml:space="preserve">../docs/components/list/CHANGELOG.md; ../CHANGELOG.md</t>
  </si>
  <si>
    <t xml:space="preserve">The packed Consumer proves the public List subpath in a realistic structured release checklist.</t>
  </si>
  <si>
    <t xml:space="preserve">L-18</t>
  </si>
  <si>
    <t xml:space="preserve">The route covers all approved scenarios and eligible Consumer, Card, and Surface content lists adopt List with classified exclusions.</t>
  </si>
  <si>
    <t xml:space="preserve">docs/list-adoption-audit.md; ../scripts/verify-playground-list.mjs</t>
  </si>
  <si>
    <t xml:space="preserve">L-19</t>
  </si>
  <si>
    <t xml:space="preserve">Build, SSR, exports, CSS, Atom 0.9.1, tarball, React 18/19, packed Consumer, browser matrix, and adoption checks pass.</t>
  </si>
  <si>
    <t xml:space="preserve">../test/package; ../scripts/verify-package.mjs; ../scripts/verify-consumers.mjs; ../scripts/verify-playground-list.mjs</t>
  </si>
  <si>
    <t xml:space="preserve">Automated package gates are tracked in the workstream; complete status waits for the component-owned human manual run.</t>
  </si>
  <si>
    <t xml:space="preserve">Select Evidence</t>
  </si>
  <si>
    <t xml:space="preserve">Assertion-level Atom-backed package, browser, human-review, documentation, Consumer, positioning, and form evidence.</t>
  </si>
  <si>
    <t xml:space="preserve">Root/Trigger</t>
  </si>
  <si>
    <t xml:space="preserve">Compound Select and visual context adapt released Atom 0.9.3 without recreating behavior.</t>
  </si>
  <si>
    <t xml:space="preserve">../src/components/select</t>
  </si>
  <si>
    <t xml:space="preserve">Trigger, Value, Icon, Content/Listbox, Viewport, scroll buttons, Group, Label, Item, ItemText, Indicator, Separator, Portal, and Arrow are styled/exported.</t>
  </si>
  <si>
    <t xml:space="preserve">../test/components/select/select.test.tsx</t>
  </si>
  <si>
    <t xml:space="preserve">Root and select subpath exports expose the namespace, named parts, and public types.</t>
  </si>
  <si>
    <t xml:space="preserve">Root/parts</t>
  </si>
  <si>
    <t xml:space="preserve">Recipes, refs, Arrow children, underline shape exclusion, and no multiple mode type-check.</t>
  </si>
  <si>
    <t xml:space="preserve">../test/types/components/select.test.ts</t>
  </si>
  <si>
    <t xml:space="preserve">Trigger/Content/Item</t>
  </si>
  <si>
    <t xml:space="preserve">Static CSS ships recipes, geometry, states, popup, options, artwork, and documented variables.</t>
  </si>
  <si>
    <t xml:space="preserve">../src/components/select/select.css</t>
  </si>
  <si>
    <t xml:space="preserve">Labels</t>
  </si>
  <si>
    <t xml:space="preserve">Root/ItemText</t>
  </si>
  <si>
    <t xml:space="preserve">Closed selected values resolve authored ItemText labels before popup mount, including native forms.</t>
  </si>
  <si>
    <t xml:space="preserve">../test/components/select/select.test.tsx; tests/components/select/behavior.spec.ts</t>
  </si>
  <si>
    <t xml:space="preserve">Outline, soft, underline, sm/md/lg, shapes, and full/intrinsic width change only their named dimensions.</t>
  </si>
  <si>
    <t xml:space="preserve">tests/components/select/behavior.spec.ts</t>
  </si>
  <si>
    <t xml:space="preserve">Interaction</t>
  </si>
  <si>
    <t xml:space="preserve">Root/Trigger/Item</t>
  </si>
  <si>
    <t xml:space="preserve">Pointer and keyboard open, navigation, typeahead, selection, Escape, focus return, disabled skip, and outside dismissal remain Atom-owned.</t>
  </si>
  <si>
    <t xml:space="preserve">tests/components/select/behavior.spec.ts; Atom 0.9.3 Select suite</t>
  </si>
  <si>
    <t xml:space="preserve">Options</t>
  </si>
  <si>
    <t xml:space="preserve">Group/Viewport/Arrow</t>
  </si>
  <si>
    <t xml:space="preserve">Groups, labels, separator, long scrolling, conditional controls, and matching collision side/alignment are exposed.</t>
  </si>
  <si>
    <t xml:space="preserve">Forms</t>
  </si>
  <si>
    <t xml:space="preserve">Field relationships, required validity, native submit/reset, external form ownership, and validation use Atom's native proxy.</t>
  </si>
  <si>
    <t xml:space="preserve">Trigger/Portal</t>
  </si>
  <si>
    <t xml:space="preserve">Trigger asChild/render and portal/container paths retain props, one host, positioning, and refs.</t>
  </si>
  <si>
    <t xml:space="preserve">Field naming, combobox/listbox states, disabled options, decorative artwork, and axe checks pass.</t>
  </si>
  <si>
    <t xml:space="preserve">Baselines cover defaults, recipes, geometry, options, states, appearance, narrow RTL, and forced colors.</t>
  </si>
  <si>
    <t xml:space="preserve">tests/components/select/visual.spec.ts</t>
  </si>
  <si>
    <t xml:space="preserve">Baselines exist and automated comparison passes; final owner visual review is not recorded.</t>
  </si>
  <si>
    <t xml:space="preserve">Trigger/Content</t>
  </si>
  <si>
    <t xml:space="preserve">Physical mobile, 200%/400% zoom, long localization, popup bounds, and RTL remain usable.</t>
  </si>
  <si>
    <t xml:space="preserve">manual-tests/select.md</t>
  </si>
  <si>
    <t xml:space="preserve">Protocol is unrun; real device and zoom review remain pending.</t>
  </si>
  <si>
    <t xml:space="preserve">Touch/pen</t>
  </si>
  <si>
    <t xml:space="preserve">Outside tap dismisses after release while drag, cancellation, and scroll preserve the open Select.</t>
  </si>
  <si>
    <t xml:space="preserve">manual-tests/select.md; Atom 0.9.3 Select evidence</t>
  </si>
  <si>
    <t xml:space="preserve">Atom automated evidence passes; Brick real-device protocol is unrun.</t>
  </si>
  <si>
    <t xml:space="preserve">Screen reader</t>
  </si>
  <si>
    <t xml:space="preserve">macOS/iOS VoiceOver and a second desktop AT/browser announce name, value, groups, states, and options.</t>
  </si>
  <si>
    <t xml:space="preserve">Assistive-technology protocol is unrun.</t>
  </si>
  <si>
    <t xml:space="preserve">manual-tests/select.md; tests/components/select/visual.spec.ts</t>
  </si>
  <si>
    <t xml:space="preserve">Automated baselines exist; complete human preference review is pending.</t>
  </si>
  <si>
    <t xml:space="preserve">S-18</t>
  </si>
  <si>
    <t xml:space="preserve">The component-owned protocol passes every Select playground scenario in one scalable flow.</t>
  </si>
  <si>
    <t xml:space="preserve">S-19</t>
  </si>
  <si>
    <t xml:space="preserve">Source-backed public usage, API, anatomy, tokens, accessibility, and exclusions pass documentation gates.</t>
  </si>
  <si>
    <t xml:space="preserve">../docs/components/select/README.md</t>
  </si>
  <si>
    <t xml:space="preserve">S-20</t>
  </si>
  <si>
    <t xml:space="preserve">Select owns a component changelog and the package changelog records its public addition.</t>
  </si>
  <si>
    <t xml:space="preserve">../docs/components/select/CHANGELOG.md; ../CHANGELOG.md</t>
  </si>
  <si>
    <t xml:space="preserve">S-21</t>
  </si>
  <si>
    <t xml:space="preserve">Packed Consumer proves a realistic Field/Form plan chooser through the public Select subpath.</t>
  </si>
  <si>
    <t xml:space="preserve">2026-07-26</t>
  </si>
  <si>
    <t xml:space="preserve">None. Packed Consumer boundary and Chromium desktop/mobile flows pass.</t>
  </si>
  <si>
    <t xml:space="preserve">S-22</t>
  </si>
  <si>
    <t xml:space="preserve">Build, SSR, exports, CSS, tarball, React 18/19, Consumer, and full package gates pass.</t>
  </si>
  <si>
    <t xml:space="preserve">None. Full package check, tarball verification, and clean React 18/19 consumers pass.</t>
  </si>
  <si>
    <t xml:space="preserve">Multi Select Evidence</t>
  </si>
  <si>
    <t xml:space="preserve">Assertion-level Atom-backed package, browser, human-review, documentation, Consumer, multiple-selection, positioning, and repeated-value form evidence.</t>
  </si>
  <si>
    <t xml:space="preserve">MS-01</t>
  </si>
  <si>
    <t xml:space="preserve">Compound Multi Select and visual context adapt released Atom 0.10.1 without recreating behavior.</t>
  </si>
  <si>
    <t xml:space="preserve">../src/components/multi-select</t>
  </si>
  <si>
    <t xml:space="preserve">MS-02</t>
  </si>
  <si>
    <t xml:space="preserve">../test/components/multi-select/multi-select.test.tsx</t>
  </si>
  <si>
    <t xml:space="preserve">MS-03</t>
  </si>
  <si>
    <t xml:space="preserve">Root and multi-select subpath exports expose the namespace, named parts, and public types.</t>
  </si>
  <si>
    <t xml:space="preserve">MS-04</t>
  </si>
  <si>
    <t xml:space="preserve">Recipes, refs, Arrow children, underline shape exclusion, and array-valued selection type-check.</t>
  </si>
  <si>
    <t xml:space="preserve">../test/types/components/multi-select.test.ts</t>
  </si>
  <si>
    <t xml:space="preserve">MS-05</t>
  </si>
  <si>
    <t xml:space="preserve">../src/components/multi-select/multi-select.css</t>
  </si>
  <si>
    <t xml:space="preserve">MS-06</t>
  </si>
  <si>
    <t xml:space="preserve">Closed summaries resolve authored ItemText labels before popup mount and update for several selected values.</t>
  </si>
  <si>
    <t xml:space="preserve">../test/components/multi-select/multi-select.test.tsx; tests/components/multi-select/behavior.spec.ts</t>
  </si>
  <si>
    <t xml:space="preserve">MS-07</t>
  </si>
  <si>
    <t xml:space="preserve">tests/components/multi-select/behavior.spec.ts</t>
  </si>
  <si>
    <t xml:space="preserve">MS-08</t>
  </si>
  <si>
    <t xml:space="preserve">Pointer and keyboard open, navigation, buffered typeahead, toggle selection without closing, Escape, focus return, and disabled skip remain Atom-owned.</t>
  </si>
  <si>
    <t xml:space="preserve">tests/components/multi-select/behavior.spec.ts; Atom 0.10.1 Multi Select suite</t>
  </si>
  <si>
    <t xml:space="preserve">MS-09</t>
  </si>
  <si>
    <t xml:space="preserve">MS-10</t>
  </si>
  <si>
    <t xml:space="preserve">Field relationships, required validity, repeated-value native submit/reset, external form ownership, and validation use Atom's native multiple proxy.</t>
  </si>
  <si>
    <t xml:space="preserve">MS-11</t>
  </si>
  <si>
    <t xml:space="preserve">MS-12</t>
  </si>
  <si>
    <t xml:space="preserve">Field naming, button/listbox states, aria-multiselectable, selected options, disabled options, decorative artwork, and axe checks pass.</t>
  </si>
  <si>
    <t xml:space="preserve">MS-13</t>
  </si>
  <si>
    <t xml:space="preserve">tests/components/multi-select/visual.spec.ts</t>
  </si>
  <si>
    <t xml:space="preserve">MS-14</t>
  </si>
  <si>
    <t xml:space="preserve">manual-tests/multi-select.md</t>
  </si>
  <si>
    <t xml:space="preserve">MS-15</t>
  </si>
  <si>
    <t xml:space="preserve">Outside tap dismisses after release while drag, cancellation, and scroll preserve the open Multi Select.</t>
  </si>
  <si>
    <t xml:space="preserve">manual-tests/multi-select.md; Atom 0.10.1 Multi Select evidence</t>
  </si>
  <si>
    <t xml:space="preserve">MS-16</t>
  </si>
  <si>
    <t xml:space="preserve">MS-17</t>
  </si>
  <si>
    <t xml:space="preserve">manual-tests/multi-select.md; tests/components/multi-select/visual.spec.ts</t>
  </si>
  <si>
    <t xml:space="preserve">MS-18</t>
  </si>
  <si>
    <t xml:space="preserve">The component-owned protocol passes every Multi Select playground scenario in one scalable flow.</t>
  </si>
  <si>
    <t xml:space="preserve">MS-19</t>
  </si>
  <si>
    <t xml:space="preserve">../docs/components/multi-select/README.md</t>
  </si>
  <si>
    <t xml:space="preserve">MS-20</t>
  </si>
  <si>
    <t xml:space="preserve">Multi Select owns a component changelog and the package changelog records its public addition.</t>
  </si>
  <si>
    <t xml:space="preserve">../docs/components/multi-select/CHANGELOG.md; ../CHANGELOG.md</t>
  </si>
  <si>
    <t xml:space="preserve">MS-21</t>
  </si>
  <si>
    <t xml:space="preserve">Packed Consumer proves a realistic Field/Form team-skills chooser through the public Multi Select subpath.</t>
  </si>
  <si>
    <t xml:space="preserve">MS-22</t>
  </si>
  <si>
    <t xml:space="preserve">Textarea Evidence</t>
  </si>
  <si>
    <t xml:space="preserve">Assertion-level Atom-backed package, browser, human-review, documentation, Consumer, resize, auto-resize, counting, and native form evidence.</t>
  </si>
  <si>
    <t xml:space="preserve">TA-01</t>
  </si>
  <si>
    <t xml:space="preserve">Brick adapts the released Atom 0.10.1 Textarea primitive without recreating behavior.</t>
  </si>
  <si>
    <t xml:space="preserve">../src/components/textarea</t>
  </si>
  <si>
    <t xml:space="preserve">TA-02</t>
  </si>
  <si>
    <t xml:space="preserve">Root/Count</t>
  </si>
  <si>
    <t xml:space="preserve">The independent Root and Count parts expose the native control and optional character-count evidence.</t>
  </si>
  <si>
    <t xml:space="preserve">../test/components/textarea/textarea.test.tsx</t>
  </si>
  <si>
    <t xml:space="preserve">TA-03</t>
  </si>
  <si>
    <t xml:space="preserve">Root, Count, namespace, public types, and the textarea subpath are exported.</t>
  </si>
  <si>
    <t xml:space="preserve">TA-04</t>
  </si>
  <si>
    <t xml:space="preserve">Recipe props, native textarea props/ref, underline shape exclusion, and resize/auto-resize exclusivity type-check.</t>
  </si>
  <si>
    <t xml:space="preserve">../test/types/components/textarea.test.ts</t>
  </si>
  <si>
    <t xml:space="preserve">TA-05</t>
  </si>
  <si>
    <t xml:space="preserve">Static CSS ships variants, sizes, shapes, states, resize behavior, logical layout, and documented variables.</t>
  </si>
  <si>
    <t xml:space="preserve">../src/components/textarea/textarea.css</t>
  </si>
  <si>
    <t xml:space="preserve">TA-06</t>
  </si>
  <si>
    <t xml:space="preserve">Outline, soft, underline, sm/md/lg, and sharp/rounded change only their named visual dimension.</t>
  </si>
  <si>
    <t xml:space="preserve">tests/components/textarea/behavior.spec.ts</t>
  </si>
  <si>
    <t xml:space="preserve">TA-07</t>
  </si>
  <si>
    <t xml:space="preserve">Manual resize</t>
  </si>
  <si>
    <t xml:space="preserve">None, vertical, horizontal, and both resize modes map to native CSS without changing textarea behavior.</t>
  </si>
  <si>
    <t xml:space="preserve">TA-08</t>
  </si>
  <si>
    <t xml:space="preserve">Auto resize</t>
  </si>
  <si>
    <t xml:space="preserve">Opt-in auto-resize grows within minRows/maxRows, clamps overflow, and remains mutually exclusive with manual resize.</t>
  </si>
  <si>
    <t xml:space="preserve">tests/components/textarea/behavior.spec.ts; Atom 0.10.1 Textarea suite</t>
  </si>
  <si>
    <t xml:space="preserve">TA-09</t>
  </si>
  <si>
    <t xml:space="preserve">Values/count</t>
  </si>
  <si>
    <t xml:space="preserve">Controlled and uncontrolled values, native newlines, maxLength, reset, and the explicit Count part stay synchronized.</t>
  </si>
  <si>
    <t xml:space="preserve">TA-10</t>
  </si>
  <si>
    <t xml:space="preserve">Field relationships, native submit/reset, required validity, and external form ownership remain Atom-owned.</t>
  </si>
  <si>
    <t xml:space="preserve">TA-11</t>
  </si>
  <si>
    <t xml:space="preserve">Native textarea refs, rendered IDs/ARIA, wrapper/native prop routing, class/style escape hatches, and output remain correct.</t>
  </si>
  <si>
    <t xml:space="preserve">../test/components/textarea/textarea.test.tsx; tests/components/textarea/behavior.spec.ts</t>
  </si>
  <si>
    <t xml:space="preserve">TA-12</t>
  </si>
  <si>
    <t xml:space="preserve">Field naming, descriptions, errors, availability states, counter semantics, focus, and axe checks pass.</t>
  </si>
  <si>
    <t xml:space="preserve">TA-13</t>
  </si>
  <si>
    <t xml:space="preserve">Customization</t>
  </si>
  <si>
    <t xml:space="preserve">Documented CSS variables and wrapper/native escape hatches customize the control without changing behavior.</t>
  </si>
  <si>
    <t xml:space="preserve">tests/components/textarea/behavior.spec.ts; ../docs/components/textarea/README.md</t>
  </si>
  <si>
    <t xml:space="preserve">TA-14</t>
  </si>
  <si>
    <t xml:space="preserve">Baselines cover defaults, recipes, resize, values/states, scopes, mobile RTL, and forced colors.</t>
  </si>
  <si>
    <t xml:space="preserve">tests/components/textarea/visual.spec.ts</t>
  </si>
  <si>
    <t xml:space="preserve">TA-15</t>
  </si>
  <si>
    <t xml:space="preserve">Physical mobile, 200%/400% zoom, long content, manual resize, auto-resize, and RTL remain usable and contained.</t>
  </si>
  <si>
    <t xml:space="preserve">manual-tests/textarea.md</t>
  </si>
  <si>
    <t xml:space="preserve">Protocol is unrun; real-device and zoom review remain pending.</t>
  </si>
  <si>
    <t xml:space="preserve">TA-16</t>
  </si>
  <si>
    <t xml:space="preserve">manual-tests/textarea.md; tests/components/textarea/visual.spec.ts</t>
  </si>
  <si>
    <t xml:space="preserve">Automated baselines pass; complete human preference review is pending.</t>
  </si>
  <si>
    <t xml:space="preserve">TA-17</t>
  </si>
  <si>
    <t xml:space="preserve">macOS/iOS VoiceOver and a second desktop AT/browser announce label, help, error, state, and count evidence.</t>
  </si>
  <si>
    <t xml:space="preserve">TA-18</t>
  </si>
  <si>
    <t xml:space="preserve">The component-owned protocol covers every Textarea playground scenario in one top-to-bottom flow.</t>
  </si>
  <si>
    <t xml:space="preserve">TA-19</t>
  </si>
  <si>
    <t xml:space="preserve">Source-backed usage, API, anatomy, recipes, resize policy, tokens, accessibility, and exclusions pass documentation gates.</t>
  </si>
  <si>
    <t xml:space="preserve">../docs/components/textarea/README.md</t>
  </si>
  <si>
    <t xml:space="preserve">TA-20</t>
  </si>
  <si>
    <t xml:space="preserve">Textarea owns a component changelog and the package changelog records its public addition.</t>
  </si>
  <si>
    <t xml:space="preserve">../docs/components/textarea/CHANGELOG.md; ../CHANGELOG.md</t>
  </si>
  <si>
    <t xml:space="preserve">TA-21</t>
  </si>
  <si>
    <t xml:space="preserve">The packed Consumer proves a realistic Field/Form note with maxLength, Count, submit, and reset through the public subpath.</t>
  </si>
  <si>
    <t xml:space="preserve">TA-22</t>
  </si>
  <si>
    <t xml:space="preserve">Radio Group Evidence</t>
  </si>
  <si>
    <t xml:space="preserve">Assertion-level Atom-backed package, browser, human-review, documentation, Consumer, form, read-only, keyboard, and responsive evidence.</t>
  </si>
  <si>
    <t xml:space="preserve">RG-01</t>
  </si>
  <si>
    <t xml:space="preserve">Root/Item</t>
  </si>
  <si>
    <t xml:space="preserve">Brick adapts released Atom 0.11.0 Radio Group behavior without recreating selection, focus, keyboard, form, validation, direction, or read-only logic.</t>
  </si>
  <si>
    <t xml:space="preserve">../src/components/radio-group</t>
  </si>
  <si>
    <t xml:space="preserve">RG-02</t>
  </si>
  <si>
    <t xml:space="preserve">The public two-part namespace and stable internal control, dot, and label hooks render without public anatomy inflation.</t>
  </si>
  <si>
    <t xml:space="preserve">../test/components/radio-group/radio-group.test.tsx</t>
  </si>
  <si>
    <t xml:space="preserve">RG-03</t>
  </si>
  <si>
    <t xml:space="preserve">RadioGroup</t>
  </si>
  <si>
    <t xml:space="preserve">Namespace, named parts, public types, root export, and radio-group subpath are exported.</t>
  </si>
  <si>
    <t xml:space="preserve">RG-04</t>
  </si>
  <si>
    <t xml:space="preserve">Sizes, Atom behavior props, refs, render/asChild branches, required item values, and invalid combinations type-check.</t>
  </si>
  <si>
    <t xml:space="preserve">../test/types/components/radio-group.test.ts</t>
  </si>
  <si>
    <t xml:space="preserve">RG-05</t>
  </si>
  <si>
    <t xml:space="preserve">Static CSS provides the canonical circle/dot recipe, sizes, states, logical layout, stable hooks, reduced motion, and forced colors.</t>
  </si>
  <si>
    <t xml:space="preserve">../src/components/radio-group/radio-group.css</t>
  </si>
  <si>
    <t xml:space="preserve">RG-06</t>
  </si>
  <si>
    <t xml:space="preserve">Defaults</t>
  </si>
  <si>
    <t xml:space="preserve">Medium vertical accent selection is the one canonical default and only one item remains selected.</t>
  </si>
  <si>
    <t xml:space="preserve">tests/components/radio-group/behavior.spec.ts</t>
  </si>
  <si>
    <t xml:space="preserve">RG-07</t>
  </si>
  <si>
    <t xml:space="preserve">Sizing</t>
  </si>
  <si>
    <t xml:space="preserve">Small, medium, and large change shared item/control geometry only.</t>
  </si>
  <si>
    <t xml:space="preserve">RG-08</t>
  </si>
  <si>
    <t xml:space="preserve">Keyboard</t>
  </si>
  <si>
    <t xml:space="preserve">Roving Tab focus, orientation arrows, Home/End, loop, disabled skipping, and RTL mapping work in a real browser.</t>
  </si>
  <si>
    <t xml:space="preserve">RG-09</t>
  </si>
  <si>
    <t xml:space="preserve">Controlled and uncontrolled selection expose identical visuals and correct value-change behavior.</t>
  </si>
  <si>
    <t xml:space="preserve">../test/components/radio-group/radio-group.test.tsx; tests/components/radio-group/behavior.spec.ts</t>
  </si>
  <si>
    <t xml:space="preserve">RG-10</t>
  </si>
  <si>
    <t xml:space="preserve">States</t>
  </si>
  <si>
    <t xml:space="preserve">Group/item disabled, required, invalid, and read-only states preserve correct behavior and visible distinctions.</t>
  </si>
  <si>
    <t xml:space="preserve">RG-11</t>
  </si>
  <si>
    <t xml:space="preserve">Read only</t>
  </si>
  <si>
    <t xml:space="preserve">Read-only remains focusable and submitted, permits focus navigation, and cannot mutate or emit value changes.</t>
  </si>
  <si>
    <t xml:space="preserve">RG-12</t>
  </si>
  <si>
    <t xml:space="preserve">Named value submission, reset, external form ownership, native validation focus, and Fieldset relationships work.</t>
  </si>
  <si>
    <t xml:space="preserve">RG-13</t>
  </si>
  <si>
    <t xml:space="preserve">render and asChild preserve custom hosts, roles, built-in visuals, content, state, and events.</t>
  </si>
  <si>
    <t xml:space="preserve">RG-14</t>
  </si>
  <si>
    <t xml:space="preserve">Automated accessible names, group/radio semantics, state, and axe checks pass.</t>
  </si>
  <si>
    <t xml:space="preserve">RG-15</t>
  </si>
  <si>
    <t xml:space="preserve">Risk-selected light, dark, size, orientation, state, composition, responsive, RTL, and forced-color baselines require owner review.</t>
  </si>
  <si>
    <t xml:space="preserve">tests/components/radio-group/visual.spec.ts</t>
  </si>
  <si>
    <t xml:space="preserve">Owner visual review has not been recorded.</t>
  </si>
  <si>
    <t xml:space="preserve">RG-16</t>
  </si>
  <si>
    <t xml:space="preserve">A tester completes the short top-to-bottom protocol across keyboard, screen reader, zoom, mobile, RTL, and themes.</t>
  </si>
  <si>
    <t xml:space="preserve">manual-tests/radio-group.md</t>
  </si>
  <si>
    <t xml:space="preserve">Owner human review has not been recorded.</t>
  </si>
  <si>
    <t xml:space="preserve">RG-17</t>
  </si>
  <si>
    <t xml:space="preserve">Public usage, API, anatomy, states, accessibility, customization, responsive, composition, evidence, and exclusions are documented.</t>
  </si>
  <si>
    <t xml:space="preserve">../docs/components/radio-group/README.md</t>
  </si>
  <si>
    <t xml:space="preserve">RG-18</t>
  </si>
  <si>
    <t xml:space="preserve">The component owns a public changelog and package release note.</t>
  </si>
  <si>
    <t xml:space="preserve">../docs/components/radio-group/CHANGELOG.md; ../CHANGELOG.md</t>
  </si>
  <si>
    <t xml:space="preserve">RG-19</t>
  </si>
  <si>
    <t xml:space="preserve">The packed Consumer imports the public subpath and exercises selection, disabled state, submit, and reset.</t>
  </si>
  <si>
    <t xml:space="preserve">RG-20</t>
  </si>
  <si>
    <t xml:space="preserve">Build, exports, SSR, tarball, CSS, React 18/19, and consumer boundary verification pass.</t>
  </si>
  <si>
    <t xml:space="preserve">Switch Evidence</t>
  </si>
  <si>
    <t xml:space="preserve">Assertion-level Atom-backed package, browser, human-review, documentation, Consumer, form, state, and responsive evidence.</t>
  </si>
  <si>
    <t xml:space="preserve">SW-01</t>
  </si>
  <si>
    <t xml:space="preserve">Root/Thumb</t>
  </si>
  <si>
    <t xml:space="preserve">Brick adapts released Atom 0.11.1 Switch behavior without recreating state, keyboard, focus, form, validation, or composition logic.</t>
  </si>
  <si>
    <t xml:space="preserve">../src/components/switch</t>
  </si>
  <si>
    <t xml:space="preserve">SW-02</t>
  </si>
  <si>
    <t xml:space="preserve">The public two-part namespace renders one track Root and one decorative Thumb without extra Brick wrappers or anatomy inflation.</t>
  </si>
  <si>
    <t xml:space="preserve">../test/components/switch/switch.test.tsx</t>
  </si>
  <si>
    <t xml:space="preserve">SW-03</t>
  </si>
  <si>
    <t xml:space="preserve">Namespace, named parts, public types, root export, and switch subpath are exported.</t>
  </si>
  <si>
    <t xml:space="preserve">SW-04</t>
  </si>
  <si>
    <t xml:space="preserve">Closed sizes, Atom behavior props, refs, render/asChild branches, and rejected mixed/variant combinations type-check.</t>
  </si>
  <si>
    <t xml:space="preserve">../test/types/components/switch.test.ts</t>
  </si>
  <si>
    <t xml:space="preserve">SW-05</t>
  </si>
  <si>
    <t xml:space="preserve">Static CSS provides canonical track/thumb paint, sizes, state hooks, RTL, reduced motion, forced colors, and public variables.</t>
  </si>
  <si>
    <t xml:space="preserve">../src/components/switch/switch.css</t>
  </si>
  <si>
    <t xml:space="preserve">SW-06</t>
  </si>
  <si>
    <t xml:space="preserve">Medium unchecked neutral track is the canonical default and pointer activation changes only binary state.</t>
  </si>
  <si>
    <t xml:space="preserve">tests/components/switch/behavior.spec.ts</t>
  </si>
  <si>
    <t xml:space="preserve">SW-07</t>
  </si>
  <si>
    <t xml:space="preserve">Small, medium, and large increase complete track, thumb, and travel geometry while preserving the target.</t>
  </si>
  <si>
    <t xml:space="preserve">SW-08</t>
  </si>
  <si>
    <t xml:space="preserve">Space and Enter toggle exactly once while native focus remains on Root.</t>
  </si>
  <si>
    <t xml:space="preserve">SW-09</t>
  </si>
  <si>
    <t xml:space="preserve">Controlled and uncontrolled state expose identical visuals and correct checked-change behavior.</t>
  </si>
  <si>
    <t xml:space="preserve">../test/components/switch/switch.test.tsx; tests/components/switch/behavior.spec.ts</t>
  </si>
  <si>
    <t xml:space="preserve">SW-10</t>
  </si>
  <si>
    <t xml:space="preserve">Disabled, required, invalid, and read-only attributes propagate to both parts with distinct behavior and paint.</t>
  </si>
  <si>
    <t xml:space="preserve">SW-11</t>
  </si>
  <si>
    <t xml:space="preserve">Read-only remains focusable and submitted but cannot mutate or emit checked changes.</t>
  </si>
  <si>
    <t xml:space="preserve">SW-12</t>
  </si>
  <si>
    <t xml:space="preserve">Named submission, native required focus, reset, external ownership, and Field relationships work.</t>
  </si>
  <si>
    <t xml:space="preserve">SW-13</t>
  </si>
  <si>
    <t xml:space="preserve">render and asChild preserve custom hosts, role, state, decorative semantics, classes, slots, and native props.</t>
  </si>
  <si>
    <t xml:space="preserve">SW-14</t>
  </si>
  <si>
    <t xml:space="preserve">Accessible name, switch role, boolean checked state, decorative Thumb, Field relationships, and axe checks pass.</t>
  </si>
  <si>
    <t xml:space="preserve">SW-15</t>
  </si>
  <si>
    <t xml:space="preserve">Risk-selected defaults, sizes, composition, dark appearance, responsive RTL, and forced-color baselines require owner review.</t>
  </si>
  <si>
    <t xml:space="preserve">tests/components/switch/visual.spec.ts</t>
  </si>
  <si>
    <t xml:space="preserve">Generated and agent-inspected; owner review unclaimed</t>
  </si>
  <si>
    <t xml:space="preserve">SW-16</t>
  </si>
  <si>
    <t xml:space="preserve">A tester completes the top-to-bottom keyboard, screen reader, zoom, mobile, RTL, appearance, reduced-motion, and forced-color protocol.</t>
  </si>
  <si>
    <t xml:space="preserve">manual-tests/switch.md</t>
  </si>
  <si>
    <t xml:space="preserve">Human run intentionally unclaimed</t>
  </si>
  <si>
    <t xml:space="preserve">SW-17</t>
  </si>
  <si>
    <t xml:space="preserve">../docs/components/switch/README.md</t>
  </si>
  <si>
    <t xml:space="preserve">SW-18</t>
  </si>
  <si>
    <t xml:space="preserve">../docs/components/switch/CHANGELOG.md; ../CHANGELOG.md</t>
  </si>
  <si>
    <t xml:space="preserve">SW-19</t>
  </si>
  <si>
    <t xml:space="preserve">The packed Consumer imports the public subpath and operates a controlled immediate setting in Popover.</t>
  </si>
  <si>
    <t xml:space="preserve">SW-20</t>
  </si>
  <si>
    <t xml:space="preserve">Build, exports, SSR, tarball, CSS, React 18/19, and Consumer boundary verification pass.</t>
  </si>
  <si>
    <t xml:space="preserve">Breadcrumb Evidence</t>
  </si>
  <si>
    <t xml:space="preserve">Assertion-level Atom-backed package, browser, visual, accessibility, documentation, Consumer, composition, and responsive evidence.</t>
  </si>
  <si>
    <t xml:space="preserve">BC-01</t>
  </si>
  <si>
    <t xml:space="preserve">Root/List/Item/Link/Page/Separator/Ellipsis</t>
  </si>
  <si>
    <t xml:space="preserve">Brick styles released Atom 0.11.1 Breadcrumb semantics and composition without recreating navigation, current-page, separator, or polymorphic behavior.</t>
  </si>
  <si>
    <t xml:space="preserve">../src/components/breadcrumb</t>
  </si>
  <si>
    <t xml:space="preserve">BC-02</t>
  </si>
  <si>
    <t xml:space="preserve">The public seven-part namespace preserves nav, ordered-list, list-item, native-anchor, current-page, hidden-separator, and ellipsis hosts without Brick-only wrappers.</t>
  </si>
  <si>
    <t xml:space="preserve">../test/components/breadcrumb/breadcrumb.test.tsx</t>
  </si>
  <si>
    <t xml:space="preserve">BC-03</t>
  </si>
  <si>
    <t xml:space="preserve">Namespace, named parts, public types, root export, and breadcrumb subpath are exported with identical runtime identities.</t>
  </si>
  <si>
    <t xml:space="preserve">BC-04</t>
  </si>
  <si>
    <t xml:space="preserve">Closed size and variant recipes, native props, refs, render, asChild, separators, and ellipsis composition type-check.</t>
  </si>
  <si>
    <t xml:space="preserve">../test/types/components/breadcrumb.test.ts</t>
  </si>
  <si>
    <t xml:space="preserve">BC-05</t>
  </si>
  <si>
    <t xml:space="preserve">Static CSS ships typography, spacing, link, current-page, separator, ellipsis, focus, RTL, forced-color, and public-variable behavior.</t>
  </si>
  <si>
    <t xml:space="preserve">../src/components/breadcrumb/breadcrumb.css</t>
  </si>
  <si>
    <t xml:space="preserve">BC-06</t>
  </si>
  <si>
    <t xml:space="preserve">Root/Link/Page</t>
  </si>
  <si>
    <t xml:space="preserve">Medium plain styling renders neutral ancestor links and a primary medium-emphasis current page as the canonical default.</t>
  </si>
  <si>
    <t xml:space="preserve">tests/components/breadcrumb/behavior.spec.ts</t>
  </si>
  <si>
    <t xml:space="preserve">BC-07</t>
  </si>
  <si>
    <t xml:space="preserve">Variants</t>
  </si>
  <si>
    <t xml:space="preserve">Root/Link</t>
  </si>
  <si>
    <t xml:space="preserve">Plain and underline alter only ancestor-link decoration while content, size, separators, and current-page styling remain default.</t>
  </si>
  <si>
    <t xml:space="preserve">tests/components/breadcrumb/visual.spec.ts</t>
  </si>
  <si>
    <t xml:space="preserve">BC-08</t>
  </si>
  <si>
    <t xml:space="preserve">Sizes</t>
  </si>
  <si>
    <t xml:space="preserve">Small, medium, and large change only typography and trail spacing while preserving native semantics and usable link targets.</t>
  </si>
  <si>
    <t xml:space="preserve">BC-09</t>
  </si>
  <si>
    <t xml:space="preserve">Link/Page/Separator</t>
  </si>
  <si>
    <t xml:space="preserve">Custom separators, contextual Brick Icons, and long localized page names preserve reading order and containment.</t>
  </si>
  <si>
    <t xml:space="preserve">tests/components/breadcrumb/behavior.spec.ts; tests/components/breadcrumb/visual.spec.ts</t>
  </si>
  <si>
    <t xml:space="preserve">BC-10</t>
  </si>
  <si>
    <t xml:space="preserve">Current page</t>
  </si>
  <si>
    <t xml:space="preserve">Page</t>
  </si>
  <si>
    <t xml:space="preserve">Page exposes aria-current=page, is not a link, and remains the final announced location.</t>
  </si>
  <si>
    <t xml:space="preserve">../test/components/breadcrumb/breadcrumb.test.tsx; tests/components/breadcrumb/behavior.spec.ts</t>
  </si>
  <si>
    <t xml:space="preserve">BC-11</t>
  </si>
  <si>
    <t xml:space="preserve">Static collapse</t>
  </si>
  <si>
    <t xml:space="preserve">Ellipsis</t>
  </si>
  <si>
    <t xml:space="preserve">A presentational ellipsis may replace omitted ancestors while remaining hidden from assistive technology.</t>
  </si>
  <si>
    <t xml:space="preserve">BC-12</t>
  </si>
  <si>
    <t xml:space="preserve">Interactive collapse</t>
  </si>
  <si>
    <t xml:space="preserve">Consumer-composed interactive ellipsis exposes a named button, a 44px target, and application-owned expansion status without changing Breadcrumb state ownership.</t>
  </si>
  <si>
    <t xml:space="preserve">BC-13</t>
  </si>
  <si>
    <t xml:space="preserve">Native links</t>
  </si>
  <si>
    <t xml:space="preserve">Ancestor links preserve native href, target, rel, download, click, and focus behavior.</t>
  </si>
  <si>
    <t xml:space="preserve">BC-14</t>
  </si>
  <si>
    <t xml:space="preserve">render and asChild preserve consumer hosts, native semantics, refs, classes, data slots, Atom attributes, and one inspectable final hierarchy.</t>
  </si>
  <si>
    <t xml:space="preserve">BC-15</t>
  </si>
  <si>
    <t xml:space="preserve">Root/List</t>
  </si>
  <si>
    <t xml:space="preserve">Long trails wrap without clipping at constrained widths, 200%/400% zoom, text spacing, mobile widths, and RTL direction.</t>
  </si>
  <si>
    <t xml:space="preserve">BC-16</t>
  </si>
  <si>
    <t xml:space="preserve">Named navigation, ordered-list structure, native links, current page, hidden separators, focus visibility, target size, and axe checks pass.</t>
  </si>
  <si>
    <t xml:space="preserve">BC-17</t>
  </si>
  <si>
    <t xml:space="preserve">Reviewed baselines cover default, variants, sizes, content, collapse, composition, dark appearance, mobile RTL, and forced colors.</t>
  </si>
  <si>
    <t xml:space="preserve">Agent-inspected all nine generated baselines</t>
  </si>
  <si>
    <t xml:space="preserve">BC-18</t>
  </si>
  <si>
    <t xml:space="preserve">A tester completes the concise top-to-bottom pointer, keyboard, screen-reader, zoom, mobile, appearance, forced-color, and RTL protocol.</t>
  </si>
  <si>
    <t xml:space="preserve">manual-tests/breadcrumb.md</t>
  </si>
  <si>
    <t xml:space="preserve">BC-19</t>
  </si>
  <si>
    <t xml:space="preserve">Public use, anatomy, recipes, accessibility, native props, composition, responsive behavior, customization, evidence, and exclusions are documented.</t>
  </si>
  <si>
    <t xml:space="preserve">../docs/components/breadcrumb/README.md</t>
  </si>
  <si>
    <t xml:space="preserve">BC-20</t>
  </si>
  <si>
    <t xml:space="preserve">The component owns a public changelog and the package changelog records its addition.</t>
  </si>
  <si>
    <t xml:space="preserve">../docs/components/breadcrumb/CHANGELOG.md; ../CHANGELOG.md</t>
  </si>
  <si>
    <t xml:space="preserve">BC-21</t>
  </si>
  <si>
    <t xml:space="preserve">One navigable route exposes all adopted defaults, recipes, content, collapse, native-link, composition, appearance, customization, responsive, and RTL scenarios.</t>
  </si>
  <si>
    <t xml:space="preserve">src/components/breadcrumb/BreadcrumbPage.tsx</t>
  </si>
  <si>
    <t xml:space="preserve">BC-22</t>
  </si>
  <si>
    <t xml:space="preserve">The packed Consumer imports the public subpath and renders a realistic current-workspace trail.</t>
  </si>
  <si>
    <t xml:space="preserve">BC-23</t>
  </si>
  <si>
    <t xml:space="preserve">Build, exports, SSR, tarball, CSS, React 18/19, Consumer boundary, browser matrix, docs, and exact Atom 0.11.1 dependency pass.</t>
  </si>
  <si>
    <t xml:space="preserve">Tabs Evidence</t>
  </si>
  <si>
    <t xml:space="preserve">Assertion-level Atom-backed package, keyboard, browser, visual, accessibility, documentation, Consumer, composition, and responsive evidence.</t>
  </si>
  <si>
    <t xml:space="preserve">TB-01</t>
  </si>
  <si>
    <t xml:space="preserve">Brick styles released Atom 0.11.1 Tabs without recreating state, focus, keyboard, direction, relationships, panel lifecycle, or measurement.</t>
  </si>
  <si>
    <t xml:space="preserve">../src/components/tabs</t>
  </si>
  <si>
    <t xml:space="preserve">TB-02</t>
  </si>
  <si>
    <t xml:space="preserve">Root/List/Trigger/Content/Indicator</t>
  </si>
  <si>
    <t xml:space="preserve">The public five-part namespace preserves Atom hosts, roles, relationships, refs, native props, and composition.</t>
  </si>
  <si>
    <t xml:space="preserve">../test/components/tabs/tabs.test.tsx</t>
  </si>
  <si>
    <t xml:space="preserve">TB-03</t>
  </si>
  <si>
    <t xml:space="preserve">Root and tabs subpath expose the namespace, named parts, and every public type with identical runtime identities.</t>
  </si>
  <si>
    <t xml:space="preserve">TB-04</t>
  </si>
  <si>
    <t xml:space="preserve">Closed size/variant recipes plus Atom props, controlled state, orientation, composition, native props, and refs type-check.</t>
  </si>
  <si>
    <t xml:space="preserve">../test/types/components/tabs.test.ts</t>
  </si>
  <si>
    <t xml:space="preserve">TB-05</t>
  </si>
  <si>
    <t xml:space="preserve">Static CSS ships layouts, four recipes, sizes, states, overflow, RTL, forced-color, reduced-motion, and public-variable behavior.</t>
  </si>
  <si>
    <t xml:space="preserve">../src/components/tabs/tabs.css</t>
  </si>
  <si>
    <t xml:space="preserve">TB-06</t>
  </si>
  <si>
    <t xml:space="preserve">Root/List/Trigger/Content</t>
  </si>
  <si>
    <t xml:space="preserve">Medium horizontal line Tabs default to automatic looping activation with the authored initial panel selected.</t>
  </si>
  <si>
    <t xml:space="preserve">tests/components/tabs/behavior.spec.ts</t>
  </si>
  <si>
    <t xml:space="preserve">TB-07</t>
  </si>
  <si>
    <t xml:space="preserve">Line, solid, soft, and enclosed are visually distinct while identical content, size, state, and orientation stay default.</t>
  </si>
  <si>
    <t xml:space="preserve">tests/components/tabs/visual.spec.ts</t>
  </si>
  <si>
    <t xml:space="preserve">Agent-inspected generated variants baseline.</t>
  </si>
  <si>
    <t xml:space="preserve">TB-08</t>
  </si>
  <si>
    <t xml:space="preserve">Root/Trigger/Content</t>
  </si>
  <si>
    <t xml:space="preserve">Small, medium, and large alter shared typography, height, spacing, and panel inset only.</t>
  </si>
  <si>
    <t xml:space="preserve">Agent-inspected generated sizes baseline.</t>
  </si>
  <si>
    <t xml:space="preserve">TB-09</t>
  </si>
  <si>
    <t xml:space="preserve">Layout</t>
  </si>
  <si>
    <t xml:space="preserve">Root/List/Trigger</t>
  </si>
  <si>
    <t xml:space="preserve">Vertical orientation changes physical layout and arrow axis; fullWidth distributes horizontal triggers equally.</t>
  </si>
  <si>
    <t xml:space="preserve">tests/components/tabs/behavior.spec.ts; tests/components/tabs/visual.spec.ts</t>
  </si>
  <si>
    <t xml:space="preserve">TB-10</t>
  </si>
  <si>
    <t xml:space="preserve">Trigger</t>
  </si>
  <si>
    <t xml:space="preserve">Selected, inactive, hover, focus-visible, disabled, and composed-icon content remain aligned and distinct.</t>
  </si>
  <si>
    <t xml:space="preserve">TB-11</t>
  </si>
  <si>
    <t xml:space="preserve">Activation</t>
  </si>
  <si>
    <t xml:space="preserve">Automatic activation selects on focus; manual activation waits for Enter/Space; Home/End and disabled skipping remain Atom-owned.</t>
  </si>
  <si>
    <t xml:space="preserve">TB-12</t>
  </si>
  <si>
    <t xml:space="preserve">Panels</t>
  </si>
  <si>
    <t xml:space="preserve">Active, unmounted, keepMounted, hidden, and focusable panel contracts remain correctly related to their triggers.</t>
  </si>
  <si>
    <t xml:space="preserve">../test/components/tabs/tabs.test.tsx; tests/components/tabs/behavior.spec.ts</t>
  </si>
  <si>
    <t xml:space="preserve">TB-13</t>
  </si>
  <si>
    <t xml:space="preserve">Indicator</t>
  </si>
  <si>
    <t xml:space="preserve">Optional Indicator follows Atom trigger measurement, selected fallback remains visible, and reduced motion removes transitions.</t>
  </si>
  <si>
    <t xml:space="preserve">Agent-inspected line and vertical baselines.</t>
  </si>
  <si>
    <t xml:space="preserve">TB-14</t>
  </si>
  <si>
    <t xml:space="preserve">render and asChild preserve roles, IDs, relationships, native hosts, classes, slots, and refs in actual HTML.</t>
  </si>
  <si>
    <t xml:space="preserve">TB-15</t>
  </si>
  <si>
    <t xml:space="preserve">Constrained horizontal lists stay one row and scroll rather than wrap; vertical semantic orientation is not changed by CSS.</t>
  </si>
  <si>
    <t xml:space="preserve">TB-16</t>
  </si>
  <si>
    <t xml:space="preserve">Explicit RTL preserves genuine text and mirrors horizontal arrow navigation while vertical navigation is unchanged.</t>
  </si>
  <si>
    <t xml:space="preserve">TB-17</t>
  </si>
  <si>
    <t xml:space="preserve">Named tablists, selected/disabled states, relationships, roving focus, forced colors, and axe pass.</t>
  </si>
  <si>
    <t xml:space="preserve">TB-18</t>
  </si>
  <si>
    <t xml:space="preserve">Reviewed baselines cover defaults, variants, sizes, layouts, content, dark appearance, mobile RTL, and forced colors.</t>
  </si>
  <si>
    <t xml:space="preserve">Agent-inspected every generated Tabs baseline.</t>
  </si>
  <si>
    <t xml:space="preserve">TB-19</t>
  </si>
  <si>
    <t xml:space="preserve">A tester completes the concise top-to-bottom keyboard, AT, zoom, device, appearance, RTL, forced-color, and reduced-motion protocol.</t>
  </si>
  <si>
    <t xml:space="preserve">manual-tests/tabs.md</t>
  </si>
  <si>
    <t xml:space="preserve">Human run intentionally unclaimed.</t>
  </si>
  <si>
    <t xml:space="preserve">TB-20</t>
  </si>
  <si>
    <t xml:space="preserve">Source-backed usage, anatomy, API, recipes, accessibility, responsive behavior, composition, CSS, customization, and evidence are documented.</t>
  </si>
  <si>
    <t xml:space="preserve">../docs/components/tabs/README.md</t>
  </si>
  <si>
    <t xml:space="preserve">TB-21</t>
  </si>
  <si>
    <t xml:space="preserve">One navigable route exposes all nine controlled scenarios and actual composition output.</t>
  </si>
  <si>
    <t xml:space="preserve">src/components/tabs/TabsPage.tsx</t>
  </si>
  <si>
    <t xml:space="preserve">TB-22</t>
  </si>
  <si>
    <t xml:space="preserve">Packed Consumer imports the public subpath and operates a realistic workspace preview.</t>
  </si>
  <si>
    <t xml:space="preserve">TB-23</t>
  </si>
  <si>
    <t xml:space="preserve">Build, exports, SSR, tarball, CSS, React 18/19, Consumer, configured browsers, docs, and exact Atom dependency pass.</t>
  </si>
  <si>
    <t xml:space="preserve">Skeleton Evidence</t>
  </si>
  <si>
    <t xml:space="preserve">Assertion-level visual loading, motion, geometry, accessibility, package, documentation, Consumer, and responsive evidence.</t>
  </si>
  <si>
    <t xml:space="preserve">SK-01</t>
  </si>
  <si>
    <t xml:space="preserve">Brick owns a purely visual loading placeholder; applications own loading state and region announcements, so no Atom primitive is duplicated.</t>
  </si>
  <si>
    <t xml:space="preserve">../src/components/skeleton</t>
  </si>
  <si>
    <t xml:space="preserve">SK-02</t>
  </si>
  <si>
    <t xml:space="preserve">One stable span preserves native props/ref and private content or line children without changing the root across loading transitions.</t>
  </si>
  <si>
    <t xml:space="preserve">../test/components/skeleton/skeleton.test.tsx</t>
  </si>
  <si>
    <t xml:space="preserve">SK-03</t>
  </si>
  <si>
    <t xml:space="preserve">Root and skeleton subpath expose the runtime component and every closed public type.</t>
  </si>
  <si>
    <t xml:space="preserve">SK-04</t>
  </si>
  <si>
    <t xml:space="preserve">Closed shapes and animations, dimensions, lines, native props, style, slot, children, and ref type-check.</t>
  </si>
  <si>
    <t xml:space="preserve">../test/types/components/skeleton.test.ts</t>
  </si>
  <si>
    <t xml:space="preserve">SK-05</t>
  </si>
  <si>
    <t xml:space="preserve">Static CSS ships geometry, pulse/wave/static recipes, child hiding, line layout, forced colors, reduced motion, and public variables.</t>
  </si>
  <si>
    <t xml:space="preserve">../src/components/skeleton/skeleton.css</t>
  </si>
  <si>
    <t xml:space="preserve">SK-06</t>
  </si>
  <si>
    <t xml:space="preserve">Text, pulse, loading, and one line render as a silent full-width font-height placeholder.</t>
  </si>
  <si>
    <t xml:space="preserve">tests/components/skeleton/behavior.spec.ts</t>
  </si>
  <si>
    <t xml:space="preserve">SK-07</t>
  </si>
  <si>
    <t xml:space="preserve">Text, circular, rectangular, and rounded change only intended geometry.</t>
  </si>
  <si>
    <t xml:space="preserve">tests/components/skeleton/visual.spec.ts</t>
  </si>
  <si>
    <t xml:space="preserve">SK-08</t>
  </si>
  <si>
    <t xml:space="preserve">Animation</t>
  </si>
  <si>
    <t xml:space="preserve">Pulse, wave, and none are visually distinct and all animation stops with prefers-reduced-motion.</t>
  </si>
  <si>
    <t xml:space="preserve">Agent-inspected generated animation baseline.</t>
  </si>
  <si>
    <t xml:space="preserve">SK-09</t>
  </si>
  <si>
    <t xml:space="preserve">Dimensions</t>
  </si>
  <si>
    <t xml:space="preserve">Numeric, CSS-length, consumer style, defaults, and public variables size placeholders without a misleading component size scale.</t>
  </si>
  <si>
    <t xml:space="preserve">tests/components/skeleton/behavior.spec.ts; tests/components/skeleton/visual.spec.ts</t>
  </si>
  <si>
    <t xml:space="preserve">SK-10</t>
  </si>
  <si>
    <t xml:space="preserve">Text lines</t>
  </si>
  <si>
    <t xml:space="preserve">One, three, and five-line standalone text render exact row counts and a shorter final line.</t>
  </si>
  <si>
    <t xml:space="preserve">SK-11</t>
  </si>
  <si>
    <t xml:space="preserve">Loading</t>
  </si>
  <si>
    <t xml:space="preserve">Wrapped content preserves exact layout, stays hidden/noninteractive while loading, and returns through the same root.</t>
  </si>
  <si>
    <t xml:space="preserve">../test/components/skeleton/skeleton.test.tsx; tests/components/skeleton/behavior.spec.ts</t>
  </si>
  <si>
    <t xml:space="preserve">SK-12</t>
  </si>
  <si>
    <t xml:space="preserve">Real Brick controls, surfaces, rows, and card previews compose without Skeleton taking their semantics or data ownership.</t>
  </si>
  <si>
    <t xml:space="preserve">Agent-inspected loading and composition baselines.</t>
  </si>
  <si>
    <t xml:space="preserve">SK-13</t>
  </si>
  <si>
    <t xml:space="preserve">Loading placeholders are aria-hidden, never focusable or named, and the owning region demonstrates aria-busy; axe passes.</t>
  </si>
  <si>
    <t xml:space="preserve">SK-14</t>
  </si>
  <si>
    <t xml:space="preserve">Logical dimensions stay bounded under narrow width, RTL, mobile, and zoom without page overflow.</t>
  </si>
  <si>
    <t xml:space="preserve">SK-15</t>
  </si>
  <si>
    <t xml:space="preserve">Appearance</t>
  </si>
  <si>
    <t xml:space="preserve">Semantic paint adapts in light/dark and forced colors; exact public variables match the customization example.</t>
  </si>
  <si>
    <t xml:space="preserve">Agent-inspected appearance and forced-color baselines.</t>
  </si>
  <si>
    <t xml:space="preserve">SK-16</t>
  </si>
  <si>
    <t xml:space="preserve">Reviewed baselines cover defaults, shapes, animation, dimensions, lines, loading, appearance, mobile, and forced colors.</t>
  </si>
  <si>
    <t xml:space="preserve">Agent-inspected every generated Skeleton baseline.</t>
  </si>
  <si>
    <t xml:space="preserve">SK-17</t>
  </si>
  <si>
    <t xml:space="preserve">A tester completes the concise shape, motion, loading, AT, zoom, device, appearance, forced-color, and reduced-motion protocol.</t>
  </si>
  <si>
    <t xml:space="preserve">manual-tests/skeleton.md</t>
  </si>
  <si>
    <t xml:space="preserve">SK-18</t>
  </si>
  <si>
    <t xml:space="preserve">Source-backed use, anatomy, API, recipes, accessibility, responsive behavior, composition, CSS, customization, and evidence are documented.</t>
  </si>
  <si>
    <t xml:space="preserve">../docs/components/skeleton/README.md</t>
  </si>
  <si>
    <t xml:space="preserve">SK-19</t>
  </si>
  <si>
    <t xml:space="preserve">Skeleton owns a public changelog and the package changelog records the addition.</t>
  </si>
  <si>
    <t xml:space="preserve">../docs/components/skeleton/CHANGELOG.md; ../CHANGELOG.md</t>
  </si>
  <si>
    <t xml:space="preserve">SK-20</t>
  </si>
  <si>
    <t xml:space="preserve">One navigable route exposes all nine controlled scenarios including loading and region ownership.</t>
  </si>
  <si>
    <t xml:space="preserve">src/components/skeleton/SkeletonPage.tsx</t>
  </si>
  <si>
    <t xml:space="preserve">SK-21</t>
  </si>
  <si>
    <t xml:space="preserve">Packed Consumer imports the public subpath and renders multi-line loading geometry inside Tabs.</t>
  </si>
  <si>
    <t xml:space="preserve">SK-22</t>
  </si>
  <si>
    <t xml:space="preserve">Build, exports, SSR, tarball, CSS, React 18/19, Consumer, configured browsers, docs, and size gates pass.</t>
  </si>
  <si>
    <t xml:space="preserve">Dropdown Menu Evidence</t>
  </si>
  <si>
    <t xml:space="preserve">DM-01</t>
  </si>
  <si>
    <t xml:space="preserve">Brick styles released Atom 0.12.1 menu behavior without recreating open state, focus, keyboard, selection, dismissal, portals, or positioning.</t>
  </si>
  <si>
    <t xml:space="preserve">../src/components/dropdown-menu</t>
  </si>
  <si>
    <t xml:space="preserve">DM-02</t>
  </si>
  <si>
    <t xml:space="preserve">The complete public namespace preserves trigger, popup, group, choice, indicator, static row, separator, arrow, and submenu ownership.</t>
  </si>
  <si>
    <t xml:space="preserve">../test/components/dropdown-menu/dropdown-menu.test.tsx</t>
  </si>
  <si>
    <t xml:space="preserve">DM-03</t>
  </si>
  <si>
    <t xml:space="preserve">DropdownMenu</t>
  </si>
  <si>
    <t xml:space="preserve">Root and dropdown-menu subpath expose the namespace, named parts, and public types with identical runtime identities.</t>
  </si>
  <si>
    <t xml:space="preserve">../test/package/package.test.mjs; ../scripts/verify-consumers.mjs</t>
  </si>
  <si>
    <t xml:space="preserve">DM-04</t>
  </si>
  <si>
    <t xml:space="preserve">Closed sizes and tones plus Atom behavior, composition, native props, and refs type-check.</t>
  </si>
  <si>
    <t xml:space="preserve">../test/types/components/dropdown-menu.test.ts</t>
  </si>
  <si>
    <t xml:space="preserve">DM-05</t>
  </si>
  <si>
    <t xml:space="preserve">Static CSS ships the popup surface, row anatomy, selection, danger, disabled, submenu, preference, and public-token recipes.</t>
  </si>
  <si>
    <t xml:space="preserve">../src/components/dropdown-menu/dropdown-menu.css</t>
  </si>
  <si>
    <t xml:space="preserve">DM-06</t>
  </si>
  <si>
    <t xml:space="preserve">Root/Trigger/Content/Item</t>
  </si>
  <si>
    <t xml:space="preserve">A medium button-triggered menu opens with neutral rows and Atom-owned focus and dismissal.</t>
  </si>
  <si>
    <t xml:space="preserve">tests/components/dropdown-menu/behavior.spec.ts</t>
  </si>
  <si>
    <t xml:space="preserve">DM-07</t>
  </si>
  <si>
    <t xml:space="preserve">Content/SubContent</t>
  </si>
  <si>
    <t xml:space="preserve">Small, medium, and large change only shared popup row geometry and typography.</t>
  </si>
  <si>
    <t xml:space="preserve">tests/components/dropdown-menu/visual.spec.ts</t>
  </si>
  <si>
    <t xml:space="preserve">Agent-inspected generated size baselines.</t>
  </si>
  <si>
    <t xml:space="preserve">DM-08</t>
  </si>
  <si>
    <t xml:space="preserve">Item anatomy</t>
  </si>
  <si>
    <t xml:space="preserve">Leading content, label, description, shortcut, groups, labels, separators, and Arrow align without changing command semantics.</t>
  </si>
  <si>
    <t xml:space="preserve">Agent-inspected open and anatomy baselines.</t>
  </si>
  <si>
    <t xml:space="preserve">DM-09</t>
  </si>
  <si>
    <t xml:space="preserve">Selection</t>
  </si>
  <si>
    <t xml:space="preserve">CheckboxItem/RadioItem</t>
  </si>
  <si>
    <t xml:space="preserve">Checked, mixed, and radio choices expose persistent Atom selection and visible indicators.</t>
  </si>
  <si>
    <t xml:space="preserve">DM-10</t>
  </si>
  <si>
    <t xml:space="preserve">Item/SubTrigger</t>
  </si>
  <si>
    <t xml:space="preserve">Neutral, highlighted, disabled, and danger commands remain distinct with identical default geometry.</t>
  </si>
  <si>
    <t xml:space="preserve">tests/components/dropdown-menu/behavior.spec.ts; tests/components/dropdown-menu/visual.spec.ts</t>
  </si>
  <si>
    <t xml:space="preserve">DM-11</t>
  </si>
  <si>
    <t xml:space="preserve">Submenus</t>
  </si>
  <si>
    <t xml:space="preserve">Sub/SubTrigger/SubContent</t>
  </si>
  <si>
    <t xml:space="preserve">Keyboard and pointer submenu opening preserves nested focus, direction, collision, and dismissal.</t>
  </si>
  <si>
    <t xml:space="preserve">DM-12</t>
  </si>
  <si>
    <t xml:space="preserve">Enter opens, menu focus enters, Escape closes, and focus returns to the trigger.</t>
  </si>
  <si>
    <t xml:space="preserve">DM-13</t>
  </si>
  <si>
    <t xml:space="preserve">Trigger/static parts</t>
  </si>
  <si>
    <t xml:space="preserve">asChild and render preserve the authored host, attributes, handlers, slots, and refs without duplicate controls.</t>
  </si>
  <si>
    <t xml:space="preserve">../test/components/dropdown-menu/dropdown-menu.test.tsx; tests/components/dropdown-menu/behavior.spec.ts</t>
  </si>
  <si>
    <t xml:space="preserve">DM-14</t>
  </si>
  <si>
    <t xml:space="preserve">Constrained popups remain inside the viewport with reachable long and repeated commands.</t>
  </si>
  <si>
    <t xml:space="preserve">DM-15</t>
  </si>
  <si>
    <t xml:space="preserve">RTL content and submenu direction mirror while authored text stays genuine.</t>
  </si>
  <si>
    <t xml:space="preserve">DM-16</t>
  </si>
  <si>
    <t xml:space="preserve">Named triggers and menus, roles, choice states, disabled state, focus return, forced colors, and axe pass.</t>
  </si>
  <si>
    <t xml:space="preserve">DM-17</t>
  </si>
  <si>
    <t xml:space="preserve">Reviewed baselines cover closed and open defaults, anatomy, choices, states, dark appearance, mobile RTL, and forced colors.</t>
  </si>
  <si>
    <t xml:space="preserve">Agent-inspected every generated Dropdown Menu baseline.</t>
  </si>
  <si>
    <t xml:space="preserve">DM-18</t>
  </si>
  <si>
    <t xml:space="preserve">Interactive parts</t>
  </si>
  <si>
    <t xml:space="preserve">Keyboard opening, roving or adjacent navigation, activation, dismissal, and focus return remain Atom-owned.</t>
  </si>
  <si>
    <t xml:space="preserve">DM-19</t>
  </si>
  <si>
    <t xml:space="preserve">A tester completes the concise top-to-bottom pointer, keyboard, AT, zoom, device, appearance, RTL, forced-color, and reduced-motion protocol.</t>
  </si>
  <si>
    <t xml:space="preserve">manual-tests/dropdown-menu.md</t>
  </si>
  <si>
    <t xml:space="preserve">DM-20</t>
  </si>
  <si>
    <t xml:space="preserve">../docs/components/dropdown-menu/README.md</t>
  </si>
  <si>
    <t xml:space="preserve">DM-21</t>
  </si>
  <si>
    <t xml:space="preserve">One navigable route exposes nine controlled scenarios and actual rendered composition output.</t>
  </si>
  <si>
    <t xml:space="preserve">src/components/dropdown-menu/DropdownMenuPage.tsx</t>
  </si>
  <si>
    <t xml:space="preserve">DM-22</t>
  </si>
  <si>
    <t xml:space="preserve">Packed Consumer imports the public subpath and operates realistic component composition on desktop and mobile.</t>
  </si>
  <si>
    <t xml:space="preserve">DM-23</t>
  </si>
  <si>
    <t xml:space="preserve">Context Menu Evidence</t>
  </si>
  <si>
    <t xml:space="preserve">CM-01</t>
  </si>
  <si>
    <t xml:space="preserve">Brick styles released Atom 0.12.1 Context Menu behavior without recreating state, focus, keyboard, dismissal, portals, or positioning.</t>
  </si>
  <si>
    <t xml:space="preserve">../src/components/context-menu</t>
  </si>
  <si>
    <t xml:space="preserve">CM-02</t>
  </si>
  <si>
    <t xml:space="preserve">The public namespace preserves every adopted host, semantic relationship, native prop, ref, and composition boundary.</t>
  </si>
  <si>
    <t xml:space="preserve">../test/components/context-menu/context-menu.test.tsx</t>
  </si>
  <si>
    <t xml:space="preserve">CM-03</t>
  </si>
  <si>
    <t xml:space="preserve">ContextMenu</t>
  </si>
  <si>
    <t xml:space="preserve">Root and component subpath expose the namespace, named parts, and public types with identical runtime identities.</t>
  </si>
  <si>
    <t xml:space="preserve">CM-04</t>
  </si>
  <si>
    <t xml:space="preserve">Closed Brick recipes plus Atom behavior, composition, native props, and refs type-check.</t>
  </si>
  <si>
    <t xml:space="preserve">../test/types/components/context-menu.test.ts</t>
  </si>
  <si>
    <t xml:space="preserve">CM-05</t>
  </si>
  <si>
    <t xml:space="preserve">Static CSS ships every adopted recipe, state, responsive boundary, preference mode, and public customization hook.</t>
  </si>
  <si>
    <t xml:space="preserve">../src/components/context-menu/context-menu.css</t>
  </si>
  <si>
    <t xml:space="preserve">CM-06</t>
  </si>
  <si>
    <t xml:space="preserve">Invocation</t>
  </si>
  <si>
    <t xml:space="preserve">Pointer context gesture and Shift+F10 open at the intended target while essential actions remain visibly available.</t>
  </si>
  <si>
    <t xml:space="preserve">tests/components/context-menu/behavior.spec.ts</t>
  </si>
  <si>
    <t xml:space="preserve">CM-07</t>
  </si>
  <si>
    <t xml:space="preserve">Small, medium, and large change only popup row geometry and typography.</t>
  </si>
  <si>
    <t xml:space="preserve">tests/components/context-menu/visual.spec.ts</t>
  </si>
  <si>
    <t xml:space="preserve">Agent-inspected generated component baselines.</t>
  </si>
  <si>
    <t xml:space="preserve">CM-08</t>
  </si>
  <si>
    <t xml:space="preserve">All popup parts</t>
  </si>
  <si>
    <t xml:space="preserve">Groups, labels, rows, supporting content, separators, Arrow, choices, danger, disabled, and submenus remain aligned.</t>
  </si>
  <si>
    <t xml:space="preserve">CM-09</t>
  </si>
  <si>
    <t xml:space="preserve">Checked, mixed, and radio choices preserve Atom selection and indicators.</t>
  </si>
  <si>
    <t xml:space="preserve">CM-10</t>
  </si>
  <si>
    <t xml:space="preserve">Neutral, highlighted, disabled, and danger commands stay distinct.</t>
  </si>
  <si>
    <t xml:space="preserve">CM-11</t>
  </si>
  <si>
    <t xml:space="preserve">Nested context actions preserve keyboard direction, collision, focus, and dismissal.</t>
  </si>
  <si>
    <t xml:space="preserve">CM-12</t>
  </si>
  <si>
    <t xml:space="preserve">CM-13</t>
  </si>
  <si>
    <t xml:space="preserve">Composed parts</t>
  </si>
  <si>
    <t xml:space="preserve">render and asChild preserve native hosts, semantic roles, attributes, state, handlers, slots, and refs.</t>
  </si>
  <si>
    <t xml:space="preserve">CM-14</t>
  </si>
  <si>
    <t xml:space="preserve">Narrow viewports preserve reachable controls, constrained overlays, zoom, and the documented mobile boundary.</t>
  </si>
  <si>
    <t xml:space="preserve">CM-15</t>
  </si>
  <si>
    <t xml:space="preserve">Explicit RTL mirrors logical alignment and horizontal keyboard direction while preserving genuine text.</t>
  </si>
  <si>
    <t xml:space="preserve">CM-16</t>
  </si>
  <si>
    <t xml:space="preserve">Names, roles, states, keyboard order, focus, forced colors, and axe remain valid.</t>
  </si>
  <si>
    <t xml:space="preserve">CM-17</t>
  </si>
  <si>
    <t xml:space="preserve">Reviewed baselines cover defaults, recipes, states, dark appearance, mobile RTL, and forced colors.</t>
  </si>
  <si>
    <t xml:space="preserve">Agent-inspected every generated baseline.</t>
  </si>
  <si>
    <t xml:space="preserve">CM-18</t>
  </si>
  <si>
    <t xml:space="preserve">Behavior</t>
  </si>
  <si>
    <t xml:space="preserve">Component-specific state and interaction remain covered by focused browser and unit evidence.</t>
  </si>
  <si>
    <t xml:space="preserve">CM-19</t>
  </si>
  <si>
    <t xml:space="preserve">manual-tests/context-menu.md</t>
  </si>
  <si>
    <t xml:space="preserve">CM-20</t>
  </si>
  <si>
    <t xml:space="preserve">../docs/components/context-menu/README.md</t>
  </si>
  <si>
    <t xml:space="preserve">CM-21</t>
  </si>
  <si>
    <t xml:space="preserve">src/components/context-menu/ContextMenuPage.tsx</t>
  </si>
  <si>
    <t xml:space="preserve">CM-22</t>
  </si>
  <si>
    <t xml:space="preserve">CM-23</t>
  </si>
  <si>
    <t xml:space="preserve">Menubar Evidence</t>
  </si>
  <si>
    <t xml:space="preserve">MB-01</t>
  </si>
  <si>
    <t xml:space="preserve">Brick styles released Atom 0.12.1 Menubar behavior without recreating state, focus, keyboard, dismissal, portals, or positioning.</t>
  </si>
  <si>
    <t xml:space="preserve">../src/components/menubar</t>
  </si>
  <si>
    <t xml:space="preserve">MB-02</t>
  </si>
  <si>
    <t xml:space="preserve">../test/components/menubar/menubar.test.tsx</t>
  </si>
  <si>
    <t xml:space="preserve">MB-03</t>
  </si>
  <si>
    <t xml:space="preserve">MB-04</t>
  </si>
  <si>
    <t xml:space="preserve">../test/types/components/menubar.test.ts</t>
  </si>
  <si>
    <t xml:space="preserve">MB-05</t>
  </si>
  <si>
    <t xml:space="preserve">../src/components/menubar/menubar.css</t>
  </si>
  <si>
    <t xml:space="preserve">MB-06</t>
  </si>
  <si>
    <t xml:space="preserve">Root/Menu/Trigger/Content</t>
  </si>
  <si>
    <t xml:space="preserve">A medium horizontal menubar presents adjacent command categories and one Atom-owned popup.</t>
  </si>
  <si>
    <t xml:space="preserve">tests/components/menubar/behavior.spec.ts</t>
  </si>
  <si>
    <t xml:space="preserve">MB-07</t>
  </si>
  <si>
    <t xml:space="preserve">Orientation</t>
  </si>
  <si>
    <t xml:space="preserve">Horizontal and vertical orientations change layout and adjacent-trigger keyboard axis together.</t>
  </si>
  <si>
    <t xml:space="preserve">MB-08</t>
  </si>
  <si>
    <t xml:space="preserve">Root/Content</t>
  </si>
  <si>
    <t xml:space="preserve">Small, medium, and large change only persistent and popup control geometry.</t>
  </si>
  <si>
    <t xml:space="preserve">tests/components/menubar/visual.spec.ts</t>
  </si>
  <si>
    <t xml:space="preserve">MB-09</t>
  </si>
  <si>
    <t xml:space="preserve">Trigger/Item</t>
  </si>
  <si>
    <t xml:space="preserve">Idle, focused, open, disabled, neutral, and danger states remain distinct.</t>
  </si>
  <si>
    <t xml:space="preserve">MB-10</t>
  </si>
  <si>
    <t xml:space="preserve">Persistent choices and indicators work inside command categories.</t>
  </si>
  <si>
    <t xml:space="preserve">MB-11</t>
  </si>
  <si>
    <t xml:space="preserve">Nested command categories preserve focus, keyboard direction, and dismissal.</t>
  </si>
  <si>
    <t xml:space="preserve">MB-12</t>
  </si>
  <si>
    <t xml:space="preserve">MB-13</t>
  </si>
  <si>
    <t xml:space="preserve">MB-14</t>
  </si>
  <si>
    <t xml:space="preserve">MB-15</t>
  </si>
  <si>
    <t xml:space="preserve">MB-16</t>
  </si>
  <si>
    <t xml:space="preserve">MB-17</t>
  </si>
  <si>
    <t xml:space="preserve">MB-18</t>
  </si>
  <si>
    <t xml:space="preserve">MB-19</t>
  </si>
  <si>
    <t xml:space="preserve">manual-tests/menubar.md</t>
  </si>
  <si>
    <t xml:space="preserve">MB-20</t>
  </si>
  <si>
    <t xml:space="preserve">../docs/components/menubar/README.md</t>
  </si>
  <si>
    <t xml:space="preserve">MB-21</t>
  </si>
  <si>
    <t xml:space="preserve">src/components/menubar/MenubarPage.tsx</t>
  </si>
  <si>
    <t xml:space="preserve">MB-22</t>
  </si>
  <si>
    <t xml:space="preserve">MB-23</t>
  </si>
  <si>
    <t xml:space="preserve">Navigation Menu Evidence</t>
  </si>
  <si>
    <t xml:space="preserve">NM-01</t>
  </si>
  <si>
    <t xml:space="preserve">Brick styles released Atom 0.12.1 Navigation Menu behavior without recreating state, focus, keyboard, dismissal, portals, or positioning.</t>
  </si>
  <si>
    <t xml:space="preserve">../src/components/navigation-menu</t>
  </si>
  <si>
    <t xml:space="preserve">NM-02</t>
  </si>
  <si>
    <t xml:space="preserve">../test/components/navigation-menu/navigation-menu.test.tsx</t>
  </si>
  <si>
    <t xml:space="preserve">NM-03</t>
  </si>
  <si>
    <t xml:space="preserve">NavigationMenu</t>
  </si>
  <si>
    <t xml:space="preserve">NM-04</t>
  </si>
  <si>
    <t xml:space="preserve">../test/types/components/navigation-menu.test.ts</t>
  </si>
  <si>
    <t xml:space="preserve">NM-05</t>
  </si>
  <si>
    <t xml:space="preserve">../src/components/navigation-menu/navigation-menu.css</t>
  </si>
  <si>
    <t xml:space="preserve">NM-06</t>
  </si>
  <si>
    <t xml:space="preserve">Root/List/Item/Trigger/Content</t>
  </si>
  <si>
    <t xml:space="preserve">A medium horizontal navigation landmark combines native destinations with an optional rich panel.</t>
  </si>
  <si>
    <t xml:space="preserve">tests/components/navigation-menu/behavior.spec.ts</t>
  </si>
  <si>
    <t xml:space="preserve">NM-07</t>
  </si>
  <si>
    <t xml:space="preserve">Link model</t>
  </si>
  <si>
    <t xml:space="preserve">Link/Trigger</t>
  </si>
  <si>
    <t xml:space="preserve">Direct current links remain anchors while disclosure triggers remain buttons.</t>
  </si>
  <si>
    <t xml:space="preserve">NM-08</t>
  </si>
  <si>
    <t xml:space="preserve">Root/Sub</t>
  </si>
  <si>
    <t xml:space="preserve">Small, medium, and large change only navigation control geometry.</t>
  </si>
  <si>
    <t xml:space="preserve">tests/components/navigation-menu/visual.spec.ts</t>
  </si>
  <si>
    <t xml:space="preserve">NM-09</t>
  </si>
  <si>
    <t xml:space="preserve">Horizontal and vertical orientation change layout and keyboard axis together.</t>
  </si>
  <si>
    <t xml:space="preserve">NM-10</t>
  </si>
  <si>
    <t xml:space="preserve">Viewport</t>
  </si>
  <si>
    <t xml:space="preserve">Content/Viewport/Indicator</t>
  </si>
  <si>
    <t xml:space="preserve">Measured rich content, active trigger indicator, and viewport geometry follow Atom state.</t>
  </si>
  <si>
    <t xml:space="preserve">NM-11</t>
  </si>
  <si>
    <t xml:space="preserve">Trigger/Link</t>
  </si>
  <si>
    <t xml:space="preserve">Controlled open, current link, disabled trigger, hover, and focus states remain distinct.</t>
  </si>
  <si>
    <t xml:space="preserve">NM-12</t>
  </si>
  <si>
    <t xml:space="preserve">NM-13</t>
  </si>
  <si>
    <t xml:space="preserve">NM-14</t>
  </si>
  <si>
    <t xml:space="preserve">NM-15</t>
  </si>
  <si>
    <t xml:space="preserve">NM-16</t>
  </si>
  <si>
    <t xml:space="preserve">NM-17</t>
  </si>
  <si>
    <t xml:space="preserve">NM-18</t>
  </si>
  <si>
    <t xml:space="preserve">NM-19</t>
  </si>
  <si>
    <t xml:space="preserve">manual-tests/navigation-menu.md</t>
  </si>
  <si>
    <t xml:space="preserve">NM-20</t>
  </si>
  <si>
    <t xml:space="preserve">../docs/components/navigation-menu/README.md</t>
  </si>
  <si>
    <t xml:space="preserve">NM-21</t>
  </si>
  <si>
    <t xml:space="preserve">src/components/navigation-menu/NavigationMenuPage.tsx</t>
  </si>
  <si>
    <t xml:space="preserve">NM-22</t>
  </si>
  <si>
    <t xml:space="preserve">NM-23</t>
  </si>
  <si>
    <t xml:space="preserve">Bottom Navigation Evidence</t>
  </si>
  <si>
    <t xml:space="preserve">Assertion-level Atom-backed recipes, destination behavior, position, labels, selection, accessibility, visual, documentation, Consumer, and package evidence.</t>
  </si>
  <si>
    <t xml:space="preserve">BN-01</t>
  </si>
  <si>
    <t xml:space="preserve">Brick styles released Atom 0.13.0 Bottom Navigation behavior without recreating selection, native destination semantics, position, label visibility, disabled behavior, accessibility, refs, or composition.</t>
  </si>
  <si>
    <t xml:space="preserve">../src/components/bottom-navigation</t>
  </si>
  <si>
    <t xml:space="preserve">BN-02</t>
  </si>
  <si>
    <t xml:space="preserve">Root/Item/Icon/Label</t>
  </si>
  <si>
    <t xml:space="preserve">The public four-part namespace preserves Atom's native nav, anchor/button destination, authored Icon/Label spans, semantic relationships, slots, props, refs, and static-content boundaries.</t>
  </si>
  <si>
    <t xml:space="preserve">../test/components/bottom-navigation/bottom-navigation.test.tsx</t>
  </si>
  <si>
    <t xml:space="preserve">BN-03</t>
  </si>
  <si>
    <t xml:space="preserve">BottomNavigation</t>
  </si>
  <si>
    <t xml:space="preserve">Root and bottom-navigation subpath expose the namespace, named parts, recipe types, inherited position/label types, and public props with identical runtime identities.</t>
  </si>
  <si>
    <t xml:space="preserve">BN-04</t>
  </si>
  <si>
    <t xml:space="preserve">Closed recipes and the discriminated indicator/item selection shapes type-check; unsupported sizes and a circular whole-item selection fail.</t>
  </si>
  <si>
    <t xml:space="preserve">../test/types/components/bottom-navigation.test.ts</t>
  </si>
  <si>
    <t xml:space="preserve">BN-05</t>
  </si>
  <si>
    <t xml:space="preserve">Static CSS ships four variants, two tones, two layouts, two arrangements, three sizes, four positions, both selection targets, valid shapes, states, preferences, and documented variables.</t>
  </si>
  <si>
    <t xml:space="preserve">../src/components/bottom-navigation/bottom-navigation.css</t>
  </si>
  <si>
    <t xml:space="preserve">BN-06</t>
  </si>
  <si>
    <t xml:space="preserve">Defaults are outline, accent, full, equal, medium, static, indicator/pill, always-visible labels, safe-area support, and no blur or elevation.</t>
  </si>
  <si>
    <t xml:space="preserve">tests/components/bottom-navigation/behavior.spec.ts</t>
  </si>
  <si>
    <t xml:space="preserve">BN-07</t>
  </si>
  <si>
    <t xml:space="preserve">Solid, soft, outline, and ghost remain visually distinct in accent and fully neutral palettes without changing destination geometry.</t>
  </si>
  <si>
    <t xml:space="preserve">tests/components/bottom-navigation/behavior.spec.ts; tests/components/bottom-navigation/visual.spec.ts</t>
  </si>
  <si>
    <t xml:space="preserve">BN-08</t>
  </si>
  <si>
    <t xml:space="preserve">Full versus floating controls outer geometry independently from equal versus centered destination distribution.</t>
  </si>
  <si>
    <t xml:space="preserve">BN-09</t>
  </si>
  <si>
    <t xml:space="preserve">Small, medium, and large coordinate Root padding, Item target, Icon, indicator, and label typography as one recipe.</t>
  </si>
  <si>
    <t xml:space="preserve">BN-10</t>
  </si>
  <si>
    <t xml:space="preserve">Static, sticky, absolute, and fixed retain distinct computed positioning; safe-area ownership is internal for full bars and an outer offset for positioned floating bars.</t>
  </si>
  <si>
    <t xml:space="preserve">tests/components/bottom-navigation/behavior.spec.ts; ../test/components/bottom-navigation/bottom-navigation.test.tsx</t>
  </si>
  <si>
    <t xml:space="preserve">BN-11</t>
  </si>
  <si>
    <t xml:space="preserve">Root/Icon/Item</t>
  </si>
  <si>
    <t xml:space="preserve">Indicator selection paints only Icon with circle, rounded, or pill geometry; Item selection paints the whole destination with square, rounded, or pill geometry and no layout shift.</t>
  </si>
  <si>
    <t xml:space="preserve">BN-12</t>
  </si>
  <si>
    <t xml:space="preserve">Root/Label</t>
  </si>
  <si>
    <t xml:space="preserve">always, active, and hidden policies change only visual label presentation while every destination retains the authored accessible name.</t>
  </si>
  <si>
    <t xml:space="preserve">BN-13</t>
  </si>
  <si>
    <t xml:space="preserve">Selection behavior</t>
  </si>
  <si>
    <t xml:space="preserve">Controlled and uncontrolled values update exactly one active destination and call the application change handler.</t>
  </si>
  <si>
    <t xml:space="preserve">../test/components/bottom-navigation/bottom-navigation.test.tsx; tests/components/bottom-navigation/behavior.spec.ts</t>
  </si>
  <si>
    <t xml:space="preserve">BN-14</t>
  </si>
  <si>
    <t xml:space="preserve">Destinations/states</t>
  </si>
  <si>
    <t xml:space="preserve">href Items remain native current-page anchors; Items without href remain buttons; hover, pressed, focus-visible, current, and disabled behavior stay distinct.</t>
  </si>
  <si>
    <t xml:space="preserve">BN-15</t>
  </si>
  <si>
    <t xml:space="preserve">Icon/Label</t>
  </si>
  <si>
    <t xml:space="preserve">Three, four, and five destinations plus Notification Badge composition retain one destination name, one focus target, and bounded geometry.</t>
  </si>
  <si>
    <t xml:space="preserve">BN-16</t>
  </si>
  <si>
    <t xml:space="preserve">Router asChild output preserves the native anchor, href, state, Brick/Atom class and slot ownership without another interactive wrapper.</t>
  </si>
  <si>
    <t xml:space="preserve">BN-17</t>
  </si>
  <si>
    <t xml:space="preserve">Effects</t>
  </si>
  <si>
    <t xml:space="preserve">Elevation and blur are opt-in paint effects that do not imply layout or position; reduced transparency removes blur while preserving the surface.</t>
  </si>
  <si>
    <t xml:space="preserve">BN-18</t>
  </si>
  <si>
    <t xml:space="preserve">The documented CSS variables exactly produce the amber surface, border, selected indicator, and active foreground shown beside the code.</t>
  </si>
  <si>
    <t xml:space="preserve">src/components/bottom-navigation/BottomNavigationPage.tsx; tests/components/bottom-navigation/visual.spec.ts</t>
  </si>
  <si>
    <t xml:space="preserve">Agent inspected the generated customization and appearance baselines.</t>
  </si>
  <si>
    <t xml:space="preserve">BN-19</t>
  </si>
  <si>
    <t xml:space="preserve">Narrow width, genuine long labels, three-to-five destinations, mobile viewports, and zoom guidance remain contained without horizontal page overflow.</t>
  </si>
  <si>
    <t xml:space="preserve">BN-20</t>
  </si>
  <si>
    <t xml:space="preserve">Direction/preferences</t>
  </si>
  <si>
    <t xml:space="preserve">RTL uses logical order and genuine Arabic content; forced colors and reduced motion preserve selection, focus, and usable geometry.</t>
  </si>
  <si>
    <t xml:space="preserve">BN-21</t>
  </si>
  <si>
    <t xml:space="preserve">Named navigation landmarks, native link/button roles, aria-current, disabled state, silent Icons, hidden labels, focus, target geometry, and axe remain valid.</t>
  </si>
  <si>
    <t xml:space="preserve">BN-22</t>
  </si>
  <si>
    <t xml:space="preserve">Reviewed Chromium baselines cover defaults, all recipes, layout, selection, content, behavior, effects, dark appearance, mobile RTL, safe areas, and forced colors.</t>
  </si>
  <si>
    <t xml:space="preserve">tests/components/bottom-navigation/visual.spec.ts</t>
  </si>
  <si>
    <t xml:space="preserve">Agent inspected every revised Bottom Navigation baseline.</t>
  </si>
  <si>
    <t xml:space="preserve">BN-23</t>
  </si>
  <si>
    <t xml:space="preserve">A tester completes the concise top-down pointer, keyboard, AT, zoom, mobile, safe-area, appearance, RTL, forced-color, and preference protocol.</t>
  </si>
  <si>
    <t xml:space="preserve">manual-tests/bottom-navigation.md</t>
  </si>
  <si>
    <t xml:space="preserve">BN-24</t>
  </si>
  <si>
    <t xml:space="preserve">Source-backed usage, anatomy, API, recipes, positions, labels, accessibility, responsive behavior, composition, CSS, customization, and evidence are documented.</t>
  </si>
  <si>
    <t xml:space="preserve">../docs/components/bottom-navigation/README.md</t>
  </si>
  <si>
    <t xml:space="preserve">BN-25</t>
  </si>
  <si>
    <t xml:space="preserve">Bottom Navigation owns a public changelog and the package changelog records the public addition.</t>
  </si>
  <si>
    <t xml:space="preserve">../docs/components/bottom-navigation/CHANGELOG.md; ../CHANGELOG.md</t>
  </si>
  <si>
    <t xml:space="preserve">BN-26</t>
  </si>
  <si>
    <t xml:space="preserve">One navigable route exposes nine comprehensive scenarios, actual rendered composition output, and Brick-only public imports.</t>
  </si>
  <si>
    <t xml:space="preserve">src/components/bottom-navigation/BottomNavigationPage.tsx</t>
  </si>
  <si>
    <t xml:space="preserve">BN-27</t>
  </si>
  <si>
    <t xml:space="preserve">Packed Consumer imports the public subpath and operates realistic controlled and badged destinations on desktop and mobile.</t>
  </si>
  <si>
    <t xml:space="preserve">BN-28</t>
  </si>
  <si>
    <t xml:space="preserve">Build, exports, SSR, tarball, CSS, React 18/19, Consumer, configured desktop/mobile browsers, docs, ownership, and exact Atom 0.13.0 dependency pass.</t>
  </si>
  <si>
    <t xml:space="preserve">Visually Hidden Evidence</t>
  </si>
  <si>
    <t xml:space="preserve">Assertion-level Atom-backed assistive text, naming, composition, native ownership, accessibility, visual, documentation, Consumer, and package evidence.</t>
  </si>
  <si>
    <t xml:space="preserve">VH-01</t>
  </si>
  <si>
    <t xml:space="preserve">Brick delegates all assistive-text behavior to released Atom 0.13.0 Visually Hidden and adds only the stable Brick class and default slot.</t>
  </si>
  <si>
    <t xml:space="preserve">../src/components/visually-hidden</t>
  </si>
  <si>
    <t xml:space="preserve">VH-02</t>
  </si>
  <si>
    <t xml:space="preserve">The one-part namespace preserves Atom's default span, children, inline hiding behavior, native props, composition, and ref.</t>
  </si>
  <si>
    <t xml:space="preserve">../test/components/visually-hidden/visually-hidden.test.tsx</t>
  </si>
  <si>
    <t xml:space="preserve">VH-03</t>
  </si>
  <si>
    <t xml:space="preserve">VisuallyHidden</t>
  </si>
  <si>
    <t xml:space="preserve">Root and visually-hidden subpath expose the namespace, named Root, and Root props with identical runtime identities.</t>
  </si>
  <si>
    <t xml:space="preserve">VH-04</t>
  </si>
  <si>
    <t xml:space="preserve">Children, native span attributes, style, ref, render, and asChild type-check through the public subpath.</t>
  </si>
  <si>
    <t xml:space="preserve">../test/types/components/visually-hidden.test.ts</t>
  </si>
  <si>
    <t xml:space="preserve">VH-05</t>
  </si>
  <si>
    <t xml:space="preserve">Hooks</t>
  </si>
  <si>
    <t xml:space="preserve">Root emits the stable brick-visually-hidden class and default data-slot without inventing recipe props or public CSS variables.</t>
  </si>
  <si>
    <t xml:space="preserve">VH-06</t>
  </si>
  <si>
    <t xml:space="preserve">Atom-owned inline styles resolve to an absolute 1px by 1px clipped box with no visible layout footprint.</t>
  </si>
  <si>
    <t xml:space="preserve">tests/components/visually-hidden/behavior.spec.ts</t>
  </si>
  <si>
    <t xml:space="preserve">VH-07</t>
  </si>
  <si>
    <t xml:space="preserve">Accessible naming</t>
  </si>
  <si>
    <t xml:space="preserve">Hidden text supplies the complete accessible name for an icon-only Brick Button while the Icon remains decorative.</t>
  </si>
  <si>
    <t xml:space="preserve">VH-08</t>
  </si>
  <si>
    <t xml:space="preserve">Supplemental context</t>
  </si>
  <si>
    <t xml:space="preserve">Hidden context extends visible destructive-action text into one complete accessible name without duplicate visible copy.</t>
  </si>
  <si>
    <t xml:space="preserve">VH-09</t>
  </si>
  <si>
    <t xml:space="preserve">render and asChild change the host to strong or em while preserving hidden behavior, authored content, class, and slot.</t>
  </si>
  <si>
    <t xml:space="preserve">../test/components/visually-hidden/visually-hidden.test.tsx; tests/components/visually-hidden/behavior.spec.ts</t>
  </si>
  <si>
    <t xml:space="preserve">VH-10</t>
  </si>
  <si>
    <t xml:space="preserve">Native ownership</t>
  </si>
  <si>
    <t xml:space="preserve">Consumer class, data attributes, authored slot, styles, and the default span ref pass through and remain inspectable.</t>
  </si>
  <si>
    <t xml:space="preserve">VH-11</t>
  </si>
  <si>
    <t xml:space="preserve">Long English and Arabic names, RTL, dark appearance, narrow mobile layout, and zoom create no visible footprint or horizontal overflow.</t>
  </si>
  <si>
    <t xml:space="preserve">tests/components/visually-hidden/behavior.spec.ts; tests/components/visually-hidden/visual.spec.ts</t>
  </si>
  <si>
    <t xml:space="preserve">VH-12</t>
  </si>
  <si>
    <t xml:space="preserve">Named controls remain discoverable and the route has no automatically detectable accessibility violations across configured desktop/mobile browsers.</t>
  </si>
  <si>
    <t xml:space="preserve">VH-13</t>
  </si>
  <si>
    <t xml:space="preserve">Reviewed baselines prove that naming, composition, output, appearance, RTL, and mobile stress add no visible hidden-text footprint.</t>
  </si>
  <si>
    <t xml:space="preserve">tests/components/visually-hidden/visual.spec.ts</t>
  </si>
  <si>
    <t xml:space="preserve">Agent inspected every Visually Hidden baseline.</t>
  </si>
  <si>
    <t xml:space="preserve">VH-14</t>
  </si>
  <si>
    <t xml:space="preserve">A tester completes the concise naming, output, composition, native ownership, mobile, zoom, forced-color, and screen-reader protocol.</t>
  </si>
  <si>
    <t xml:space="preserve">manual-tests/visually-hidden.md</t>
  </si>
  <si>
    <t xml:space="preserve">VH-15</t>
  </si>
  <si>
    <t xml:space="preserve">Source-backed use, misuse, anatomy, API, hooks, customization limits, responsive behavior, accessibility, composition, and evidence are documented.</t>
  </si>
  <si>
    <t xml:space="preserve">../docs/components/visually-hidden/README.md</t>
  </si>
  <si>
    <t xml:space="preserve">VH-16</t>
  </si>
  <si>
    <t xml:space="preserve">Visually Hidden owns a public changelog and the package changelog records the public addition.</t>
  </si>
  <si>
    <t xml:space="preserve">../docs/components/visually-hidden/CHANGELOG.md; ../CHANGELOG.md</t>
  </si>
  <si>
    <t xml:space="preserve">VH-17</t>
  </si>
  <si>
    <t xml:space="preserve">One navigable route exposes six focused scenarios, actual rendered output, composition evidence, native props, and responsive stress.</t>
  </si>
  <si>
    <t xml:space="preserve">src/components/visually-hidden/VisuallyHiddenPage.tsx</t>
  </si>
  <si>
    <t xml:space="preserve">VH-18</t>
  </si>
  <si>
    <t xml:space="preserve">Packed Consumer imports the public subpath and adds supplemental context to a real link on desktop and mobile.</t>
  </si>
  <si>
    <t xml:space="preserve">VH-19</t>
  </si>
  <si>
    <t xml:space="preserve">Build, exports, SSR, tarball, React 18/19, Consumer, configured desktop/mobile browsers, docs, ownership, and exact Atom 0.13.0 dependency pass.</t>
  </si>
  <si>
    <t xml:space="preserve">Collapsible Evidence</t>
  </si>
  <si>
    <t xml:space="preserve">Assertion-level disclosure anatomy, state, motion, accessibility, package, documentation, Consumer, and responsive evidence.</t>
  </si>
  <si>
    <t xml:space="preserve">Atom owns state, semantics, generated relationships, keyboard interaction, disabled behavior, composition, mount lifecycle, and live Content measurement; Brick owns only finished visual anatomy and recipes.</t>
  </si>
  <si>
    <t xml:space="preserve">../src/components/collapsible</t>
  </si>
  <si>
    <t xml:space="preserve">Root, Trigger, Indicator, Content, and ContentInner render their stable public classes and slots; ContentInner alone owns visible panel padding.</t>
  </si>
  <si>
    <t xml:space="preserve">../test/components/collapsible/collapsible.test.tsx</t>
  </si>
  <si>
    <t xml:space="preserve">The root and collapsible subpath expose the namespace, five named parts, every prop type, and the closed size and variant unions.</t>
  </si>
  <si>
    <t xml:space="preserve">Closed recipes, Atom prop inheritance, native attributes, refs, Indicator decoration, and ContentInner attributes type-check from both entrypoints.</t>
  </si>
  <si>
    <t xml:space="preserve">../test/types/components/collapsible.test.ts</t>
  </si>
  <si>
    <t xml:space="preserve">Static CSS ships neutral surfaces, coordinated sizes, state paint, focus, disabled treatment, measured height and width motion, RTL indicator logic, reduced motion, forced colors, and public variables.</t>
  </si>
  <si>
    <t xml:space="preserve">../src/components/collapsible/collapsible.css</t>
  </si>
  <si>
    <t xml:space="preserve">The default renders closed, plain, medium, enabled, vertical, and unmounted with one full-width Trigger and decorative end Indicator.</t>
  </si>
  <si>
    <t xml:space="preserve">tests/components/collapsible/behavior.spec.ts</t>
  </si>
  <si>
    <t xml:space="preserve">Plain, soft, and outline change only the intended containing surface while size, content, and state remain at defaults.</t>
  </si>
  <si>
    <t xml:space="preserve">tests/components/collapsible/visual.spec.ts</t>
  </si>
  <si>
    <t xml:space="preserve">Agent-inspected the generated variants baseline.</t>
  </si>
  <si>
    <t xml:space="preserve">Small, medium, and large coordinate trigger target, typography, spacing, indicator size, and ContentInner padding without changing other recipes.</t>
  </si>
  <si>
    <t xml:space="preserve">Agent-inspected the generated sizes baseline.</t>
  </si>
  <si>
    <t xml:space="preserve">Uncontrolled and controlled open state change exactly once and preserve the authored onOpenChange and Trigger handlers.</t>
  </si>
  <si>
    <t xml:space="preserve">../test/components/collapsible/collapsible.test.tsx; tests/components/collapsible/behavior.spec.ts</t>
  </si>
  <si>
    <t xml:space="preserve">Disabled</t>
  </si>
  <si>
    <t xml:space="preserve">Root / Trigger</t>
  </si>
  <si>
    <t xml:space="preserve">Disabled state exposes Atom disabled semantics, does not open, and has no enabled hover or active response.</t>
  </si>
  <si>
    <t xml:space="preserve">Lifecycle</t>
  </si>
  <si>
    <t xml:space="preserve">Closed Content unmounts after exit unless keepMounted is requested; kept content becomes hidden after motion settles.</t>
  </si>
  <si>
    <t xml:space="preserve">Relationships</t>
  </si>
  <si>
    <t xml:space="preserve">Trigger / Content</t>
  </si>
  <si>
    <t xml:space="preserve">Trigger and Content retain matching generated aria-controls, id, aria-labelledby, region role, and expanded state.</t>
  </si>
  <si>
    <t xml:space="preserve">tests/components/collapsible/behavior.spec.ts; ../test/package/ssr.test.mjs</t>
  </si>
  <si>
    <t xml:space="preserve">Default and authored Indicator artwork remain decorative, nonshrinking, logically placed, and synchronized with open state.</t>
  </si>
  <si>
    <t xml:space="preserve">Agent-inspected default, custom, state, and RTL indicator baselines.</t>
  </si>
  <si>
    <t xml:space="preserve">Root / Trigger / Content</t>
  </si>
  <si>
    <t xml:space="preserve">Atom render and asChild composition preserve semantic custom hosts, event adaptation, relationships, class, style, slot, native props, and refs.</t>
  </si>
  <si>
    <t xml:space="preserve">Motion</t>
  </si>
  <si>
    <t xml:space="preserve">Vertical open and close use live --content-height measurement; horizontal open and close use live --content-width measurement with stable ContentInner geometry.</t>
  </si>
  <si>
    <t xml:space="preserve">tests/components/collapsible/behavior.spec.ts; ../test/components/collapsible/collapsible.test.tsx</t>
  </si>
  <si>
    <t xml:space="preserve">CO-16</t>
  </si>
  <si>
    <t xml:space="preserve">Keyboard activation, button/region semantics, focus retention, decoration, disabled behavior, and scoped axe checks pass.</t>
  </si>
  <si>
    <t xml:space="preserve">CO-17</t>
  </si>
  <si>
    <t xml:space="preserve">Long text, narrow width, mobile profiles, zoom-oriented reflow, horizontal contained scrolling, and RTL remain bounded without stale dimension clipping.</t>
  </si>
  <si>
    <t xml:space="preserve">tests/components/collapsible/behavior.spec.ts; tests/components/collapsible/visual.spec.ts</t>
  </si>
  <si>
    <t xml:space="preserve">CO-18</t>
  </si>
  <si>
    <t xml:space="preserve">Semantic paint adapts in light, dark, and forced colors; supported variables exactly match the customization example.</t>
  </si>
  <si>
    <t xml:space="preserve">Agent-inspected appearance, customization, and forced-color baselines.</t>
  </si>
  <si>
    <t xml:space="preserve">CO-19</t>
  </si>
  <si>
    <t xml:space="preserve">Reviewed baselines cover defaults, variants, sizes, states, Indicator anatomy, both orientations, appearance, mobile stress, and forced colors.</t>
  </si>
  <si>
    <t xml:space="preserve">Agent-inspected every generated Collapsible baseline, including horizontal orientation and RTL.</t>
  </si>
  <si>
    <t xml:space="preserve">CO-20</t>
  </si>
  <si>
    <t xml:space="preserve">One navigable route exposes nine controlled scenarios for defaults, recipes, state, anatomy, composition, appearance, both orientations, live motion, and stress.</t>
  </si>
  <si>
    <t xml:space="preserve">src/components/collapsible/CollapsiblePage.tsx</t>
  </si>
  <si>
    <t xml:space="preserve">CO-21</t>
  </si>
  <si>
    <t xml:space="preserve">A tester completes the concise pointer, keyboard, assistive-technology, appearance, zoom, mobile, RTL, forced-color, and reduced-motion protocol.</t>
  </si>
  <si>
    <t xml:space="preserve">manual-tests/collapsible.md</t>
  </si>
  <si>
    <t xml:space="preserve">CO-22</t>
  </si>
  <si>
    <t xml:space="preserve">Source-backed use, anatomy, API, recipes, accessibility, responsive motion, composition, CSS hooks, customization, and evidence are documented.</t>
  </si>
  <si>
    <t xml:space="preserve">../docs/components/collapsible/README.md</t>
  </si>
  <si>
    <t xml:space="preserve">CO-23</t>
  </si>
  <si>
    <t xml:space="preserve">Collapsible owns a public changelog and the package changelog records the user-facing addition.</t>
  </si>
  <si>
    <t xml:space="preserve">../docs/components/collapsible/CHANGELOG.md; ../CHANGELOG.md</t>
  </si>
  <si>
    <t xml:space="preserve">CO-24</t>
  </si>
  <si>
    <t xml:space="preserve">Packed Consumer imports the public collapsible subpath and operates a realistic outlined disclosure on desktop and mobile.</t>
  </si>
  <si>
    <t xml:space="preserve">CO-25</t>
  </si>
  <si>
    <t xml:space="preserve">Build, declarations, exports, SSR, CSS, tarball, docs, ownership, component coverage, and the configured browser matrix pass for Collapsible.</t>
  </si>
  <si>
    <t xml:space="preserve">../test/package/package.test.mjs; ../test/package/ssr.test.mjs; ../scripts/verify-package.mjs</t>
  </si>
  <si>
    <t xml:space="preserve">Accordion Evidence</t>
  </si>
  <si>
    <t xml:space="preserve">Assertion-level grouped disclosure, selection, orientation, keyboard, accessibility, package, documentation, Consumer, and responsive evidence.</t>
  </si>
  <si>
    <t xml:space="preserve">AC-01</t>
  </si>
  <si>
    <t xml:space="preserve">Brick styles released Atom 0.14.0 Accordion behavior without recreating selection, generated relationships, keyboard navigation, disabled state, mount lifecycle, or live dimension measurement.</t>
  </si>
  <si>
    <t xml:space="preserve">../src/components/accordion</t>
  </si>
  <si>
    <t xml:space="preserve">AC-02</t>
  </si>
  <si>
    <t xml:space="preserve">Root, Item, Header, Trigger, Indicator, Content, and ContentInner render stable public classes and slots; ContentInner alone owns visible panel padding.</t>
  </si>
  <si>
    <t xml:space="preserve">../test/components/accordion/accordion.test.tsx</t>
  </si>
  <si>
    <t xml:space="preserve">AC-03</t>
  </si>
  <si>
    <t xml:space="preserve">The root and accordion subpath expose the namespace, seven named parts, every prop type, and closed size and variant unions with identical runtime identities.</t>
  </si>
  <si>
    <t xml:space="preserve">AC-04</t>
  </si>
  <si>
    <t xml:space="preserve">Single and multiple value models, recipes, Atom props, native attributes, refs, composition, Indicator, and ContentInner type-check from the public subpath.</t>
  </si>
  <si>
    <t xml:space="preserve">../test/types/components/accordion.test.ts</t>
  </si>
  <si>
    <t xml:space="preserve">AC-05</t>
  </si>
  <si>
    <t xml:space="preserve">Static CSS ships surfaces, dividers, sizes, state paint, focus, disabled and locked-open treatment, two-axis motion, RTL, reduced motion, forced colors, and public variables.</t>
  </si>
  <si>
    <t xml:space="preserve">../src/components/accordion/accordion.css</t>
  </si>
  <si>
    <t xml:space="preserve">AC-06</t>
  </si>
  <si>
    <t xml:space="preserve">The default renders closed, plain, medium, enabled, vertical, single-selection, and collapsible with labelled panel landmarks.</t>
  </si>
  <si>
    <t xml:space="preserve">tests/components/accordion/behavior.spec.ts</t>
  </si>
  <si>
    <t xml:space="preserve">AC-07</t>
  </si>
  <si>
    <t xml:space="preserve">Plain, soft, and outline change only the intended group surface while content, size, orientation, and state remain at defaults.</t>
  </si>
  <si>
    <t xml:space="preserve">tests/components/accordion/visual.spec.ts</t>
  </si>
  <si>
    <t xml:space="preserve">AC-08</t>
  </si>
  <si>
    <t xml:space="preserve">Small, medium, and large coordinate trigger target, typography, spacing, indicator, and ContentInner padding without changing other recipes.</t>
  </si>
  <si>
    <t xml:space="preserve">AC-09</t>
  </si>
  <si>
    <t xml:space="preserve">Single selection</t>
  </si>
  <si>
    <t xml:space="preserve">Single mode opens one Item, replaces the previous value, and optionally allows the active Item to close.</t>
  </si>
  <si>
    <t xml:space="preserve">../test/components/accordion/accordion.test.tsx; tests/components/accordion/behavior.spec.ts</t>
  </si>
  <si>
    <t xml:space="preserve">AC-10</t>
  </si>
  <si>
    <t xml:space="preserve">Multiple selection</t>
  </si>
  <si>
    <t xml:space="preserve">Multiple mode independently opens and closes several unique Item values while preserving authored order.</t>
  </si>
  <si>
    <t xml:space="preserve">AC-11</t>
  </si>
  <si>
    <t xml:space="preserve">Controlled state</t>
  </si>
  <si>
    <t xml:space="preserve">Controlled selection reports the next exact string or string-array value once and preserves the authored callback.</t>
  </si>
  <si>
    <t xml:space="preserve">AC-12</t>
  </si>
  <si>
    <t xml:space="preserve">Locked open</t>
  </si>
  <si>
    <t xml:space="preserve">A non-collapsible active single Trigger stays focusable, exposes aria-disabled and data-locked-open, and does not close.</t>
  </si>
  <si>
    <t xml:space="preserve">AC-13</t>
  </si>
  <si>
    <t xml:space="preserve">Root / Item / Trigger</t>
  </si>
  <si>
    <t xml:space="preserve">Root and Item disabled states expose Atom semantics, are skipped by navigation, and never change selection.</t>
  </si>
  <si>
    <t xml:space="preserve">AC-14</t>
  </si>
  <si>
    <t xml:space="preserve">Closed Content unmounts unless keepMounted is requested; landmark false omits region and aria-labelledby without changing visible content.</t>
  </si>
  <si>
    <t xml:space="preserve">AC-15</t>
  </si>
  <si>
    <t xml:space="preserve">Header / Trigger / Content</t>
  </si>
  <si>
    <t xml:space="preserve">Heading-contained Trigger and Content retain matching generated IDs, controls, labels, expanded state, and optional region role.</t>
  </si>
  <si>
    <t xml:space="preserve">tests/components/accordion/behavior.spec.ts; ../test/package/ssr.test.mjs</t>
  </si>
  <si>
    <t xml:space="preserve">AC-16</t>
  </si>
  <si>
    <t xml:space="preserve">Enter and Space activate once; Home, End, and orientation-aware arrow keys move focus in enabled visual reading order.</t>
  </si>
  <si>
    <t xml:space="preserve">AC-17</t>
  </si>
  <si>
    <t xml:space="preserve">Vertical Items stack and animate measured height; horizontal Items order inline, pair Header beside Content, animate measured width, and reverse navigation in RTL.</t>
  </si>
  <si>
    <t xml:space="preserve">tests/components/accordion/behavior.spec.ts; tests/components/accordion/visual.spec.ts</t>
  </si>
  <si>
    <t xml:space="preserve">Agent-inspected vertical, horizontal, narrow, and RTL baselines.</t>
  </si>
  <si>
    <t xml:space="preserve">AC-18</t>
  </si>
  <si>
    <t xml:space="preserve">Atom-backed parts</t>
  </si>
  <si>
    <t xml:space="preserve">Render and asChild composition preserve semantic hosts, heading levels, relationships, classes, styles, slots, native props, events, and refs.</t>
  </si>
  <si>
    <t xml:space="preserve">AC-19</t>
  </si>
  <si>
    <t xml:space="preserve">Responsive and accessibility</t>
  </si>
  <si>
    <t xml:space="preserve">Narrow horizontal scrolling stays inside Accordion, the page remains bounded, keyboard focus stays visible, and scoped axe checks pass.</t>
  </si>
  <si>
    <t xml:space="preserve">AC-20</t>
  </si>
  <si>
    <t xml:space="preserve">AC-21</t>
  </si>
  <si>
    <t xml:space="preserve">Reviewed baselines cover defaults, variants, sizes, selection, states, both orientations, appearance, mobile RTL stress, and forced colors.</t>
  </si>
  <si>
    <t xml:space="preserve">Agent-inspected every generated Accordion baseline.</t>
  </si>
  <si>
    <t xml:space="preserve">AC-22</t>
  </si>
  <si>
    <t xml:space="preserve">One navigable route exposes nine controlled scenarios for defaults, recipes, selection, state, orientation, keyboard, composition, appearance, and stress.</t>
  </si>
  <si>
    <t xml:space="preserve">src/components/accordion/AccordionPage.tsx</t>
  </si>
  <si>
    <t xml:space="preserve">AC-23</t>
  </si>
  <si>
    <t xml:space="preserve">manual-tests/accordion.md</t>
  </si>
  <si>
    <t xml:space="preserve">AC-24</t>
  </si>
  <si>
    <t xml:space="preserve">Documentation</t>
  </si>
  <si>
    <t xml:space="preserve">Source-backed use, anatomy, API, recipes, accessibility, responsive behavior, composition, hooks, customization, evidence, and public changes are documented.</t>
  </si>
  <si>
    <t xml:space="preserve">../docs/components/accordion/README.md; ../docs/components/accordion/CHANGELOG.md; ../CHANGELOG.md</t>
  </si>
  <si>
    <t xml:space="preserve">AC-25</t>
  </si>
  <si>
    <t xml:space="preserve">Packed Consumer imports the public accordion subpath and operates a realistic linked disclosure group on desktop and mobile.</t>
  </si>
  <si>
    <t xml:space="preserve">AC-26</t>
  </si>
  <si>
    <t xml:space="preserve">Build, declarations, exports, SSR, CSS, tarball, docs, ownership, component coverage, and configured browser checks pass for Accordion.</t>
  </si>
  <si>
    <t xml:space="preserve">Toast Evidence</t>
  </si>
  <si>
    <t xml:space="preserve">Assertion-level Atom-backed API, notification lifecycle, announcement, keyboard, visual, package, documentation, Consumer, and responsive evidence.</t>
  </si>
  <si>
    <t xml:space="preserve">TO-01</t>
  </si>
  <si>
    <t xml:space="preserve">Brick styles released Atom 0.15.0 Toast behavior without recreating the store, queue, timers, announcements, focus, keyboard, portal, swipe, or lifecycle.</t>
  </si>
  <si>
    <t xml:space="preserve">../src/components/toast/Toast.tsx; ../package.json</t>
  </si>
  <si>
    <t xml:space="preserve">TO-02</t>
  </si>
  <si>
    <t xml:space="preserve">API</t>
  </si>
  <si>
    <t xml:space="preserve">Toaster / toast</t>
  </si>
  <si>
    <t xml:space="preserve">One installed Toaster and the imperative toast helper expose create, success, error, warning, info, loading, update, promise, dismiss-one, and dismiss-all workflows.</t>
  </si>
  <si>
    <t xml:space="preserve">../test/components/toast/toast.test.tsx</t>
  </si>
  <si>
    <t xml:space="preserve">TO-03</t>
  </si>
  <si>
    <t xml:space="preserve">Root, Icon, Content, Title, Description, Actions, Action, Close, and Viewport render stable Brick classes and slots with optional parts omitted when absent.</t>
  </si>
  <si>
    <t xml:space="preserve">TO-04</t>
  </si>
  <si>
    <t xml:space="preserve">Root and toast subpath exports provide Toaster, toast, the Toast namespace, named compound parts, public option/data types, and runtime identity parity.</t>
  </si>
  <si>
    <t xml:space="preserve">TO-05</t>
  </si>
  <si>
    <t xml:space="preserve">Public surface</t>
  </si>
  <si>
    <t xml:space="preserve">Closed types, logical positions, widths, stacking, swipe direction, action, promise inference, native props, composition, and refs type-check while unsupported APIs fail.</t>
  </si>
  <si>
    <t xml:space="preserve">../test/types/components/toast.test.ts</t>
  </si>
  <si>
    <t xml:space="preserve">TO-06</t>
  </si>
  <si>
    <t xml:space="preserve">Static CSS ships viewport placement, raised cards, semantic accents, widths, stacking, lifecycle, swipe, dark, reduced-motion, forced-color, responsive, RTL, and customization recipes.</t>
  </si>
  <si>
    <t xml:space="preserve">../src/components/toast/toast.css</t>
  </si>
  <si>
    <t xml:space="preserve">TO-07</t>
  </si>
  <si>
    <t xml:space="preserve">Toaster</t>
  </si>
  <si>
    <t xml:space="preserve">Defaults are bottom-end, maximum three visible, close enabled, responsive width, separated stacking, F8 region focus, paused timers on hover/focus/page loss, and no swipe.</t>
  </si>
  <si>
    <t xml:space="preserve">tests/components/toast/behavior.spec.ts; ../test/components/toast/toast.test.tsx</t>
  </si>
  <si>
    <t xml:space="preserve">TO-08</t>
  </si>
  <si>
    <t xml:space="preserve">Root / Icon</t>
  </si>
  <si>
    <t xml:space="preserve">Default, success, error, warning, info, and loading change only semantic accent, glyph or spinner, and announcement priority while preserving geometry.</t>
  </si>
  <si>
    <t xml:space="preserve">tests/components/toast/visual.spec.ts</t>
  </si>
  <si>
    <t xml:space="preserve">Agent inspected the complete six-type baseline in light and forced-color modes.</t>
  </si>
  <si>
    <t xml:space="preserve">TO-09</t>
  </si>
  <si>
    <t xml:space="preserve">Content anatomy</t>
  </si>
  <si>
    <t xml:space="preserve">Title-only, description-only, combined, long localized content, component-owned default glyphs, and consumer-authored icon content preserve intended anatomy and hierarchy.</t>
  </si>
  <si>
    <t xml:space="preserve">tests/components/toast/visual.spec.ts; ../test/components/toast/toast.test.tsx</t>
  </si>
  <si>
    <t xml:space="preserve">Agent inspected title-only, combined-content, custom-icon, loading, and localized-content baselines.</t>
  </si>
  <si>
    <t xml:space="preserve">TO-10</t>
  </si>
  <si>
    <t xml:space="preserve">Actions</t>
  </si>
  <si>
    <t xml:space="preserve">Action / Close</t>
  </si>
  <si>
    <t xml:space="preserve">One safe-to-ignore action runs once and dismisses only its toast; close policy resolves Toaster and per-toast settings with localized labels and dismissibility respected.</t>
  </si>
  <si>
    <t xml:space="preserve">TO-11</t>
  </si>
  <si>
    <t xml:space="preserve">Widths</t>
  </si>
  <si>
    <t xml:space="preserve">Viewport / Root</t>
  </si>
  <si>
    <t xml:space="preserve">Responsive width is near-full on narrow viewports and compact on larger screens; compact and full remain closed supported alternatives without page overflow.</t>
  </si>
  <si>
    <t xml:space="preserve">tests/components/toast/behavior.spec.ts; tests/components/toast/visual.spec.ts</t>
  </si>
  <si>
    <t xml:space="preserve">TO-12</t>
  </si>
  <si>
    <t xml:space="preserve">Positions</t>
  </si>
  <si>
    <t xml:space="preserve">Top-start, top-center, top-end, bottom-start, bottom-center, and bottom-end map through logical inline direction in LTR and RTL.</t>
  </si>
  <si>
    <t xml:space="preserve">Agent inspected the six-position comparison and RTL logical anatomy baseline.</t>
  </si>
  <si>
    <t xml:space="preserve">TO-13</t>
  </si>
  <si>
    <t xml:space="preserve">Stacking</t>
  </si>
  <si>
    <t xml:space="preserve">Separated stacking supports variable-height cards without collision; overlap layers inactive cards and expands for pointer or keyboard entry.</t>
  </si>
  <si>
    <t xml:space="preserve">TO-14</t>
  </si>
  <si>
    <t xml:space="preserve">Queue and timers</t>
  </si>
  <si>
    <t xml:space="preserve">Toaster / Root</t>
  </si>
  <si>
    <t xml:space="preserve">Maximum-visible queue promotion, newest-nearest-anchor order, full post-queue duration, entering/visible/exiting lifecycle, and hover/focus/page-loss pause behavior remain Atom-owned and exposed intact.</t>
  </si>
  <si>
    <t xml:space="preserve">tests/components/toast/behavior.spec.ts</t>
  </si>
  <si>
    <t xml:space="preserve">TO-15</t>
  </si>
  <si>
    <t xml:space="preserve">Async lifecycle</t>
  </si>
  <si>
    <t xml:space="preserve">toast</t>
  </si>
  <si>
    <t xml:space="preserve">Loading, update, promise success/error, stable immutable IDs, callbacks, and dismiss-one/all preserve one logical toast lifecycle without duplicate records.</t>
  </si>
  <si>
    <t xml:space="preserve">../test/components/toast/toast.test.tsx; tests/components/toast/behavior.spec.ts</t>
  </si>
  <si>
    <t xml:space="preserve">TO-16</t>
  </si>
  <si>
    <t xml:space="preserve">Announcements</t>
  </si>
  <si>
    <t xml:space="preserve">Create and update use exactly one persistent Atom-owned polite or assertive announcement path; visible cards do not create a second live region.</t>
  </si>
  <si>
    <t xml:space="preserve">TO-17</t>
  </si>
  <si>
    <t xml:space="preserve">Viewport / controls</t>
  </si>
  <si>
    <t xml:space="preserve">Appearance never steals focus; F8 enters the labelled region, Tab and Shift+Tab reach controls, focused Escape dismisses, and prior focus restores safely.</t>
  </si>
  <si>
    <t xml:space="preserve">TO-18</t>
  </si>
  <si>
    <t xml:space="preserve">Swipe</t>
  </si>
  <si>
    <t xml:space="preserve">Optional left, right, up, or down swipe dismissal exposes directional movement and cancellation at the configured threshold without enabling arbitrary dragging by default.</t>
  </si>
  <si>
    <t xml:space="preserve">../src/components/toast/Toast.tsx; ../src/components/toast/toast.css</t>
  </si>
  <si>
    <t xml:space="preserve">TO-19</t>
  </si>
  <si>
    <t xml:space="preserve">Portal and props</t>
  </si>
  <si>
    <t xml:space="preserve">Toaster / Viewport</t>
  </si>
  <si>
    <t xml:space="preserve">Body portal, custom container, disabled portal, native viewport props, style, class, data attributes, and the empty-to-visible viewport ref lifecycle preserve the public boundary.</t>
  </si>
  <si>
    <t xml:space="preserve">../test/components/toast/toast.test.tsx; ../test/package/ssr.test.mjs</t>
  </si>
  <si>
    <t xml:space="preserve">TO-20</t>
  </si>
  <si>
    <t xml:space="preserve">Public compound parts, renderToast, classes, variables, per-toast class, custom icons, viewport offsets, and native props customize presentation without transferring Atom behavior ownership.</t>
  </si>
  <si>
    <t xml:space="preserve">../test/components/toast/toast.test.tsx; ../docs/components/toast/README.md</t>
  </si>
  <si>
    <t xml:space="preserve">TO-21</t>
  </si>
  <si>
    <t xml:space="preserve">Responsive / RTL</t>
  </si>
  <si>
    <t xml:space="preserve">Mobile width, long Arabic content, RTL logical anatomy, variable heights, text spacing, safe-area fixtures, and narrow containment remain readable without horizontal page overflow.</t>
  </si>
  <si>
    <t xml:space="preserve">Agent inspected the mobile RTL stress and logical-position baselines.</t>
  </si>
  <si>
    <t xml:space="preserve">TO-22</t>
  </si>
  <si>
    <t xml:space="preserve">Semantic surface, text, accent, glyph, close, action, focus, and elevation remain legible and intentionally hierarchical in light and dark appearance.</t>
  </si>
  <si>
    <t xml:space="preserve">Agent inspected the light and dark appearance baseline.</t>
  </si>
  <si>
    <t xml:space="preserve">TO-23</t>
  </si>
  <si>
    <t xml:space="preserve">Preferences</t>
  </si>
  <si>
    <t xml:space="preserve">Reduced motion removes lifecycle and loading animation while preserving state; forced colors preserves boundaries, icons, text, controls, and focus geometry.</t>
  </si>
  <si>
    <t xml:space="preserve">Agent inspected the reduced-motion loading and forced-color type baselines.</t>
  </si>
  <si>
    <t xml:space="preserve">TO-24</t>
  </si>
  <si>
    <t xml:space="preserve">Labelled region, exactly-once live semantics, decorative glyphs, native buttons, focus order, target geometry, localized labels, and scoped axe checks remain valid.</t>
  </si>
  <si>
    <t xml:space="preserve">TO-25</t>
  </si>
  <si>
    <t xml:space="preserve">Nine reviewed Chromium baselines cover overview, six types, content, queue, positions, appearance, mobile RTL stress, reduced-motion loading, and forced colors.</t>
  </si>
  <si>
    <t xml:space="preserve">Agent inspected every generated Toast baseline after the final typography-token correction.</t>
  </si>
  <si>
    <t xml:space="preserve">TO-26</t>
  </si>
  <si>
    <t xml:space="preserve">One navigable Toast route exposes nine controlled scenarios for overview, types, content, queue, positions, async lifecycle, customization, accessibility, and stress.</t>
  </si>
  <si>
    <t xml:space="preserve">src/components/toast/ToastPage.tsx</t>
  </si>
  <si>
    <t xml:space="preserve">TO-27</t>
  </si>
  <si>
    <t xml:space="preserve">A tester completes the pointer, keyboard, assistive-technology, announcement, timer, zoom, mobile, RTL, safe-area, appearance, forced-color, reduced-motion, and portal protocol.</t>
  </si>
  <si>
    <t xml:space="preserve">manual-tests/toast.md</t>
  </si>
  <si>
    <t xml:space="preserve">TO-28</t>
  </si>
  <si>
    <t xml:space="preserve">Source-backed role, boundaries, setup, anatomy, API, defaults, types, positions, timers, queue, async lifecycle, focus, accessibility, CSS, customization, exclusions, and evidence are documented.</t>
  </si>
  <si>
    <t xml:space="preserve">../docs/components/toast/README.md</t>
  </si>
  <si>
    <t xml:space="preserve">TO-29</t>
  </si>
  <si>
    <t xml:space="preserve">Toast owns a public component changelog and the package changelog records the complete public addition and exact Atom dependency update.</t>
  </si>
  <si>
    <t xml:space="preserve">../docs/components/toast/CHANGELOG.md; ../CHANGELOG.md</t>
  </si>
  <si>
    <t xml:space="preserve">TO-30</t>
  </si>
  <si>
    <t xml:space="preserve">Packed Consumer imports the public toast subpath, installs one Toaster, and produces durable duplicate success feedback after publishing on desktop and mobile.</t>
  </si>
  <si>
    <t xml:space="preserve">TO-31</t>
  </si>
  <si>
    <t xml:space="preserve">Build, declarations, root/subpath exports, SSR, CSS, tarball, docs, ownership, clean React 18/19 consumers, full browser suite, packed Consumer, and exact Atom 0.15.0 dependency pass in GitHub Actions run 30316339713.</t>
  </si>
  <si>
    <t xml:space="preserve">../test/package/package.test.mjs; ../test/package/ssr.test.mjs; ../scripts/verify-package.mjs; ../scripts/verify-consumers.mjs</t>
  </si>
  <si>
    <t xml:space="preserve">Table Evidence</t>
  </si>
  <si>
    <t xml:space="preserve">Assertion-level native anatomy, static recipes, sorting composition, responsive containment, package, documentation, Consumer, and accessibility evidence.</t>
  </si>
  <si>
    <t xml:space="preserve">Brick styles released Atom 0.15.0 native Table semantics without recreating behavior.</t>
  </si>
  <si>
    <t xml:space="preserve">../src/components/table/Table.tsx; ../package.json</t>
  </si>
  <si>
    <t xml:space="preserve">Ten-part namespace and named exports expose the adopted static Table surface.</t>
  </si>
  <si>
    <t xml:space="preserve">../test/components/table/table.test.tsx</t>
  </si>
  <si>
    <t xml:space="preserve">Root and sections</t>
  </si>
  <si>
    <t xml:space="preserve">Container, table, caption, sections, rows, headers, cells, and indicator render exact native hosts and refs.</t>
  </si>
  <si>
    <t xml:space="preserve">Closed variants, sizes, densities, caption sides, logical alignment, numeric formatting, native props, composition, and refs type-check.</t>
  </si>
  <si>
    <t xml:space="preserve">../test/types/components/table.test.ts</t>
  </si>
  <si>
    <t xml:space="preserve">Root and table subpath exports preserve namespace and named runtime identity.</t>
  </si>
  <si>
    <t xml:space="preserve">Table imports server-safely and emits deterministic native anatomy without grid roles.</t>
  </si>
  <si>
    <t xml:space="preserve">Defaults are line, medium, comfortable, unstriped, non-sticky, top caption, and logical-start alignment.</t>
  </si>
  <si>
    <t xml:space="preserve">Line/outline, sm/md/lg, compact/comfortable, and stripe remain independent.</t>
  </si>
  <si>
    <t xml:space="preserve">tests/components/table/behavior.spec.ts</t>
  </si>
  <si>
    <t xml:space="preserve">Head / Cell</t>
  </si>
  <si>
    <t xml:space="preserve">Scope, headers, spans, caption, section relationships, and sort metadata remain native.</t>
  </si>
  <si>
    <t xml:space="preserve">Alignment</t>
  </si>
  <si>
    <t xml:space="preserve">Start, center, end, and numeric formatting use logical alignment and tabular figures with explicit precedence.</t>
  </si>
  <si>
    <t xml:space="preserve">Sorting</t>
  </si>
  <si>
    <t xml:space="preserve">Head / SortIndicator</t>
  </si>
  <si>
    <t xml:space="preserve">Application Button owns sorting while Head exposes aria-sort and decorative artwork remains silent.</t>
  </si>
  <si>
    <t xml:space="preserve">Explicit horizontal containment preserves every column without page overflow or card conversion.</t>
  </si>
  <si>
    <t xml:space="preserve">Sticky</t>
  </si>
  <si>
    <t xml:space="preserve">Header</t>
  </si>
  <si>
    <t xml:space="preserve">Header cells remain opaque and sticky within an authored vertical scroll boundary.</t>
  </si>
  <si>
    <t xml:space="preserve">RTL</t>
  </si>
  <si>
    <t xml:space="preserve">Logical alignment and overflow remain usable with translated RTL data.</t>
  </si>
  <si>
    <t xml:space="preserve">tests/components/table/visual.spec.ts</t>
  </si>
  <si>
    <t xml:space="preserve">Agent inspected the final mobile RTL baseline.</t>
  </si>
  <si>
    <t xml:space="preserve">Light, dark, forced-color, boundaries, text, badges, controls, and focus remain legible.</t>
  </si>
  <si>
    <t xml:space="preserve">Agent inspected the final appearance baselines.</t>
  </si>
  <si>
    <t xml:space="preserve">Eight reviewed baselines cover overview, variants, sizing, sorting, sticky, dark, mobile RTL, and forced colors.</t>
  </si>
  <si>
    <t xml:space="preserve">Agent inspected every final Table baseline.</t>
  </si>
  <si>
    <t xml:space="preserve">Native structure, independent tab stops, no grid role/tabindex, labelled scrolling, and axe remain valid.</t>
  </si>
  <si>
    <t xml:space="preserve">One navigable Table route exposes nine persistent controlled scenarios.</t>
  </si>
  <si>
    <t xml:space="preserve">src/components/table/TablePage.tsx</t>
  </si>
  <si>
    <t xml:space="preserve">The public guide documents role, anatomy, API, defaults, sorting, responsive/sticky behavior, accessibility, CSS, and exclusions.</t>
  </si>
  <si>
    <t xml:space="preserve">../docs/components/table/README.md</t>
  </si>
  <si>
    <t xml:space="preserve">Component and package changelogs record the complete public addition.</t>
  </si>
  <si>
    <t xml:space="preserve">../docs/components/table/CHANGELOG.md; ../CHANGELOG.md</t>
  </si>
  <si>
    <t xml:space="preserve">Packed Consumer imports the table subpath and composes caption, headers, numeric values, Badge, Link, footer, overflow, and controlled sorting.</t>
  </si>
  <si>
    <t xml:space="preserve">../apps/consumer/src/App.tsx</t>
  </si>
  <si>
    <t xml:space="preserve">Owner completes visual, keyboard, screen-reader, mobile, zoom, RTL, appearance, sticky, and overflow protocol.</t>
  </si>
  <si>
    <t xml:space="preserve">manual-tests/table.md</t>
  </si>
  <si>
    <t xml:space="preserve">TA-23</t>
  </si>
  <si>
    <t xml:space="preserve">Build, declarations, exports, SSR, CSS, docs, tarball, consumers, browser matrix, and CI pass.</t>
  </si>
  <si>
    <t xml:space="preserve">../test/package/package.test.mjs; ../scripts/verify-package.mjs</t>
  </si>
  <si>
    <t xml:space="preserve">GitHub Actions run 30322250031 passed package, full browser, and packed Consumer verification on commit fde38a9.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</si>
</sst>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yyyy\-mm\-dd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FFFFF"/>
      <name val="Aptos Display"/>
      <family val="2"/>
      <charset val="1"/>
    </font>
    <font>
      <sz val="10"/>
      <color rgb="FF5E6B7C"/>
      <name val="Aptos"/>
      <family val="2"/>
      <charset val="1"/>
    </font>
    <font>
      <b val="true"/>
      <sz val="9"/>
      <color rgb="FF5E6B7C"/>
      <name val="Aptos"/>
      <family val="2"/>
      <charset val="1"/>
    </font>
    <font>
      <b val="true"/>
      <sz val="14"/>
      <color rgb="FF172033"/>
      <name val="Aptos Display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172033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8F5EE"/>
          <bgColor rgb="FF000000"/>
        </patternFill>
      </fill>
    </dxf>
    <dxf>
      <fill>
        <patternFill>
          <bgColor rgb="FFE8F5EE"/>
        </patternFill>
      </fill>
    </dxf>
    <dxf>
      <fill>
        <patternFill patternType="solid">
          <fgColor rgb="FFDDEBFF"/>
          <bgColor rgb="FF000000"/>
        </patternFill>
      </fill>
    </dxf>
    <dxf>
      <fill>
        <patternFill>
          <bgColor rgb="FFF4F6F8"/>
        </patternFill>
      </fill>
    </dxf>
    <dxf>
      <fill>
        <patternFill>
          <bgColor rgb="FFFFF4D6"/>
        </patternFill>
      </fill>
    </dxf>
    <dxf>
      <fill>
        <patternFill>
          <bgColor rgb="FFEAF0FF"/>
        </patternFill>
      </fill>
    </dxf>
    <dxf>
      <fill>
        <patternFill>
          <bgColor rgb="FFDDEBFF"/>
        </patternFill>
      </fill>
    </dxf>
    <dxf>
      <fill>
        <patternFill>
          <bgColor rgb="FFFDEBEC"/>
        </patternFill>
      </fill>
    </dxf>
    <dxf>
      <fill>
        <patternFill patternType="solid">
          <fgColor rgb="FFEAF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67DC"/>
      <rgbColor rgb="FF9999FF"/>
      <rgbColor rgb="FF993366"/>
      <rgbColor rgb="FFFFF4D6"/>
      <rgbColor rgb="FFDDEBFF"/>
      <rgbColor rgb="FF660066"/>
      <rgbColor rgb="FFFF8080"/>
      <rgbColor rgb="FF0066CC"/>
      <rgbColor rgb="FFF4F6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E"/>
      <rgbColor rgb="FFEAF0FF"/>
      <rgbColor rgb="FFFDEB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7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lertDialogEvidence" displayName="Alert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.xml><?xml version="1.0" encoding="utf-8"?>
<table xmlns="http://schemas.openxmlformats.org/spreadsheetml/2006/main" id="2" name="AppBarEvidence" displayName="AppB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.xml><?xml version="1.0" encoding="utf-8"?>
<table xmlns="http://schemas.openxmlformats.org/spreadsheetml/2006/main" id="3" name="AvatarEvidence" displayName="Avat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BadgeEvidence" displayName="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ButtonEvidence" displayName="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CardEvidence" displayName="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7.xml><?xml version="1.0" encoding="utf-8"?>
<table xmlns="http://schemas.openxmlformats.org/spreadsheetml/2006/main" id="7" name="CheckboxEvidence" displayName="Checkbox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8.xml><?xml version="1.0" encoding="utf-8"?>
<table xmlns="http://schemas.openxmlformats.org/spreadsheetml/2006/main" id="8" name="CheckboxGroupEvidence" displayName="Checkbox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9.xml><?xml version="1.0" encoding="utf-8"?>
<table xmlns="http://schemas.openxmlformats.org/spreadsheetml/2006/main" id="9" name="CoverageIndex" displayName="CoverageIndex" ref="A7:M60" headerRowCount="1" totalsRowCount="0" totalsRowShown="0">
  <autoFilter ref="A7:M60"/>
  <tableColumns count="13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/A"/>
    <tableColumn id="10" name="Completion"/>
    <tableColumn id="11" name="Package gate"/>
    <tableColumn id="12" name="Consumer gate"/>
    <tableColumn id="13" name="Overall"/>
  </tableColumns>
</table>
</file>

<file path=xl/tables/table10.xml><?xml version="1.0" encoding="utf-8"?>
<table xmlns="http://schemas.openxmlformats.org/spreadsheetml/2006/main" id="10" name="DialogEvidence" displayName="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1.xml><?xml version="1.0" encoding="utf-8"?>
<table xmlns="http://schemas.openxmlformats.org/spreadsheetml/2006/main" id="11" name="DrawerEvidence" displayName="Draw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2.xml><?xml version="1.0" encoding="utf-8"?>
<table xmlns="http://schemas.openxmlformats.org/spreadsheetml/2006/main" id="12" name="FieldEvidence" displayName="Fiel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3.xml><?xml version="1.0" encoding="utf-8"?>
<table xmlns="http://schemas.openxmlformats.org/spreadsheetml/2006/main" id="13" name="FieldsetEvidence" displayName="Fieldse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4.xml><?xml version="1.0" encoding="utf-8"?>
<table xmlns="http://schemas.openxmlformats.org/spreadsheetml/2006/main" id="14" name="FormEvidence" displayName="Form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5.xml><?xml version="1.0" encoding="utf-8"?>
<table xmlns="http://schemas.openxmlformats.org/spreadsheetml/2006/main" id="15" name="GridEvidence" displayName="Grid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6.xml><?xml version="1.0" encoding="utf-8"?>
<table xmlns="http://schemas.openxmlformats.org/spreadsheetml/2006/main" id="16" name="HoverCardEvidence" displayName="Hover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7.xml><?xml version="1.0" encoding="utf-8"?>
<table xmlns="http://schemas.openxmlformats.org/spreadsheetml/2006/main" id="17" name="IconButtonEvidence" displayName="Icon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8.xml><?xml version="1.0" encoding="utf-8"?>
<table xmlns="http://schemas.openxmlformats.org/spreadsheetml/2006/main" id="18" name="InputEvidence" displayName="Inpu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9.xml><?xml version="1.0" encoding="utf-8"?>
<table xmlns="http://schemas.openxmlformats.org/spreadsheetml/2006/main" id="19" name="InstructionsTable" displayName="InstructionsTable" ref="A3:B15" headerRowCount="1" totalsRowCount="0" totalsRowShown="0">
  <autoFilter ref="A3:B15"/>
  <tableColumns count="2">
    <tableColumn id="1" name="Topic"/>
    <tableColumn id="2" name="Rule"/>
  </tableColumns>
</table>
</file>

<file path=xl/tables/table20.xml><?xml version="1.0" encoding="utf-8"?>
<table xmlns="http://schemas.openxmlformats.org/spreadsheetml/2006/main" id="20" name="NotificationBadgeEvidence" displayName="Notification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1.xml><?xml version="1.0" encoding="utf-8"?>
<table xmlns="http://schemas.openxmlformats.org/spreadsheetml/2006/main" id="21" name="PopoverEvidence" displayName="Popov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2.xml><?xml version="1.0" encoding="utf-8"?>
<table xmlns="http://schemas.openxmlformats.org/spreadsheetml/2006/main" id="22" name="StackEvidence" displayName="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3.xml><?xml version="1.0" encoding="utf-8"?>
<table xmlns="http://schemas.openxmlformats.org/spreadsheetml/2006/main" id="23" name="TextEvidence" displayName="Tex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4.xml><?xml version="1.0" encoding="utf-8"?>
<table xmlns="http://schemas.openxmlformats.org/spreadsheetml/2006/main" id="24" name="ToggleEvidence" displayName="Toggl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5.xml><?xml version="1.0" encoding="utf-8"?>
<table xmlns="http://schemas.openxmlformats.org/spreadsheetml/2006/main" id="25" name="ToggleGroupEvidence" displayName="Toggle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6.xml><?xml version="1.0" encoding="utf-8"?>
<table xmlns="http://schemas.openxmlformats.org/spreadsheetml/2006/main" id="26" name="TooltipEvidence" displayName="Toolti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9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9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1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14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table" Target="../tables/table16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table" Target="../tables/table17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table" Target="../tables/table18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table" Target="../tables/table23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table" Target="../tables/table20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table" Target="../tables/table21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table" Target="../tables/table24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table" Target="../tables/table25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table" Target="../tables/table22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table" Target="../tables/table26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table" Target="../tables/table15.xml"/>
</Relationships>
</file>

<file path=xl/worksheets/_rels/sheet4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2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4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5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53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54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56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57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6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9" min="2" style="1" width="12.71"/>
    <col collapsed="false" customWidth="true" hidden="false" outlineLevel="0" max="10" min="10" style="2" width="14.71"/>
    <col collapsed="false" customWidth="true" hidden="false" outlineLevel="0" max="13" min="11" style="1" width="16.71"/>
  </cols>
  <sheetData>
    <row r="1" customFormat="false" ht="37.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tr">
        <f aca="false">"Current package evidence across "&amp;B4&amp;" independently exported components."</f>
        <v>Current package evidence across 53 independently exported components.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1</v>
      </c>
      <c r="B4" s="6" t="n">
        <f aca="false">COUNTA(A8:A60)</f>
        <v>53</v>
      </c>
      <c r="D4" s="5" t="s">
        <v>2</v>
      </c>
      <c r="E4" s="6" t="n">
        <f aca="false">COUNTIF(M8:M60,"complete")</f>
        <v>1</v>
      </c>
      <c r="G4" s="5" t="n">
        <f aca="false">COUNTIF(M8:M60,"blocked")</f>
        <v>0</v>
      </c>
      <c r="H4" s="6" t="n">
        <f aca="false">COUNTIF(M8:M59,"blocked")</f>
        <v>0</v>
      </c>
      <c r="J4" s="5" t="s">
        <v>3</v>
      </c>
      <c r="K4" s="7" t="n">
        <f aca="false">IF(B4=0,0,E4/B4)</f>
        <v>0.0188679245283019</v>
      </c>
    </row>
    <row r="7" customFormat="false" ht="15" hidden="false" customHeight="true" outlineLevel="0" collapsed="false">
      <c r="A7" s="8" t="s">
        <v>4</v>
      </c>
      <c r="B7" s="8" t="s">
        <v>5</v>
      </c>
      <c r="C7" s="8" t="s">
        <v>6</v>
      </c>
      <c r="D7" s="8" t="s">
        <v>7</v>
      </c>
      <c r="E7" s="8" t="s">
        <v>8</v>
      </c>
      <c r="F7" s="8" t="s">
        <v>9</v>
      </c>
      <c r="G7" s="8" t="s">
        <v>10</v>
      </c>
      <c r="H7" s="8" t="s">
        <v>11</v>
      </c>
      <c r="I7" s="8" t="s">
        <v>12</v>
      </c>
      <c r="J7" s="9" t="s">
        <v>13</v>
      </c>
      <c r="K7" s="8" t="s">
        <v>14</v>
      </c>
      <c r="L7" s="8" t="s">
        <v>15</v>
      </c>
      <c r="M7" s="8" t="s">
        <v>3</v>
      </c>
    </row>
    <row r="8" customFormat="false" ht="24" hidden="false" customHeight="true" outlineLevel="0" collapsed="false">
      <c r="A8" s="1" t="s">
        <v>16</v>
      </c>
      <c r="B8" s="1" t="n">
        <f aca="true">INDIRECT("'"&amp;A8&amp;"'!B4")</f>
        <v>16</v>
      </c>
      <c r="C8" s="1" t="n">
        <f aca="true">COUNTIF(INDIRECT("'"&amp;A8&amp;"'!H9:H200"),"not started")</f>
        <v>0</v>
      </c>
      <c r="D8" s="1" t="n">
        <f aca="true">COUNTIF(INDIRECT("'"&amp;A8&amp;"'!H9:H200"),"partial")</f>
        <v>0</v>
      </c>
      <c r="E8" s="1" t="n">
        <f aca="true">COUNTIF(INDIRECT("'"&amp;A8&amp;"'!H9:H200"),"implemented")</f>
        <v>0</v>
      </c>
      <c r="F8" s="1" t="n">
        <f aca="true">COUNTIF(INDIRECT("'"&amp;A8&amp;"'!H9:H200"),"tested")</f>
        <v>11</v>
      </c>
      <c r="G8" s="1" t="n">
        <f aca="true">COUNTIF(INDIRECT("'"&amp;A8&amp;"'!H9:H200"),"verified")</f>
        <v>5</v>
      </c>
      <c r="H8" s="1" t="n">
        <f aca="true">COUNTIF(INDIRECT("'"&amp;A8&amp;"'!H9:H200"),"blocked")</f>
        <v>0</v>
      </c>
      <c r="I8" s="1" t="n">
        <f aca="true">COUNTIF(INDIRECT("'"&amp;A8&amp;"'!H9:H200"),"not applicable")</f>
        <v>0</v>
      </c>
      <c r="J8" s="2" t="n">
        <f aca="true">INDIRECT("'"&amp;A8&amp;"'!H4")</f>
        <v>1</v>
      </c>
      <c r="K8" s="1" t="n">
        <f aca="true">INDIRECT("'"&amp;A8&amp;"'!K4")</f>
        <v>0</v>
      </c>
      <c r="L8" s="1" t="n">
        <f aca="true">INDIRECT("'"&amp;A8&amp;"'!E5")</f>
        <v>0</v>
      </c>
      <c r="M8" s="1" t="str">
        <f aca="false">IF(AND(J8=1,K8="complete",L8="complete"),"complete",IF(H8&gt;0,"blocked","open"))</f>
        <v>open</v>
      </c>
    </row>
    <row r="9" customFormat="false" ht="24" hidden="false" customHeight="true" outlineLevel="0" collapsed="false">
      <c r="A9" s="1" t="s">
        <v>17</v>
      </c>
      <c r="B9" s="1" t="n">
        <f aca="true">INDIRECT("'"&amp;A9&amp;"'!B4")</f>
        <v>16</v>
      </c>
      <c r="C9" s="1" t="n">
        <f aca="true">COUNTIF(INDIRECT("'"&amp;A9&amp;"'!H9:H200"),"not started")</f>
        <v>0</v>
      </c>
      <c r="D9" s="1" t="n">
        <f aca="true">COUNTIF(INDIRECT("'"&amp;A9&amp;"'!H9:H200"),"partial")</f>
        <v>0</v>
      </c>
      <c r="E9" s="1" t="n">
        <f aca="true">COUNTIF(INDIRECT("'"&amp;A9&amp;"'!H9:H200"),"implemented")</f>
        <v>0</v>
      </c>
      <c r="F9" s="1" t="n">
        <f aca="true">COUNTIF(INDIRECT("'"&amp;A9&amp;"'!H9:H200"),"tested")</f>
        <v>11</v>
      </c>
      <c r="G9" s="1" t="n">
        <f aca="true">COUNTIF(INDIRECT("'"&amp;A9&amp;"'!H9:H200"),"verified")</f>
        <v>5</v>
      </c>
      <c r="H9" s="1" t="n">
        <f aca="true">COUNTIF(INDIRECT("'"&amp;A9&amp;"'!H9:H200"),"blocked")</f>
        <v>0</v>
      </c>
      <c r="I9" s="1" t="n">
        <f aca="true">COUNTIF(INDIRECT("'"&amp;A9&amp;"'!H9:H200"),"not applicable")</f>
        <v>0</v>
      </c>
      <c r="J9" s="2" t="n">
        <f aca="true">INDIRECT("'"&amp;A9&amp;"'!H4")</f>
        <v>1</v>
      </c>
      <c r="K9" s="1" t="n">
        <f aca="true">INDIRECT("'"&amp;A9&amp;"'!K4")</f>
        <v>0</v>
      </c>
      <c r="L9" s="1" t="n">
        <f aca="true">INDIRECT("'"&amp;A9&amp;"'!E5")</f>
        <v>0</v>
      </c>
      <c r="M9" s="1" t="str">
        <f aca="false">IF(AND(J9=1,K9="complete",L9="complete"),"complete",IF(H9&gt;0,"blocked","open"))</f>
        <v>open</v>
      </c>
    </row>
    <row r="10" customFormat="false" ht="24" hidden="false" customHeight="true" outlineLevel="0" collapsed="false">
      <c r="A10" s="1" t="s">
        <v>18</v>
      </c>
      <c r="B10" s="1" t="n">
        <f aca="true">INDIRECT("'"&amp;A10&amp;"'!B4")</f>
        <v>16</v>
      </c>
      <c r="C10" s="1" t="n">
        <f aca="true">COUNTIF(INDIRECT("'"&amp;A10&amp;"'!H9:H200"),"not started")</f>
        <v>0</v>
      </c>
      <c r="D10" s="1" t="n">
        <f aca="true">COUNTIF(INDIRECT("'"&amp;A10&amp;"'!H9:H200"),"partial")</f>
        <v>0</v>
      </c>
      <c r="E10" s="1" t="n">
        <f aca="true">COUNTIF(INDIRECT("'"&amp;A10&amp;"'!H9:H200"),"implemented")</f>
        <v>0</v>
      </c>
      <c r="F10" s="1" t="n">
        <f aca="true">COUNTIF(INDIRECT("'"&amp;A10&amp;"'!H9:H200"),"tested")</f>
        <v>11</v>
      </c>
      <c r="G10" s="1" t="n">
        <f aca="true">COUNTIF(INDIRECT("'"&amp;A10&amp;"'!H9:H200"),"verified")</f>
        <v>5</v>
      </c>
      <c r="H10" s="1" t="n">
        <f aca="true">COUNTIF(INDIRECT("'"&amp;A10&amp;"'!H9:H200"),"blocked")</f>
        <v>0</v>
      </c>
      <c r="I10" s="1" t="n">
        <f aca="true">COUNTIF(INDIRECT("'"&amp;A10&amp;"'!H9:H200"),"not applicable")</f>
        <v>0</v>
      </c>
      <c r="J10" s="2" t="n">
        <f aca="true">INDIRECT("'"&amp;A10&amp;"'!H4")</f>
        <v>1</v>
      </c>
      <c r="K10" s="1" t="n">
        <f aca="true">INDIRECT("'"&amp;A10&amp;"'!K4")</f>
        <v>0</v>
      </c>
      <c r="L10" s="1" t="n">
        <f aca="true">INDIRECT("'"&amp;A10&amp;"'!E5")</f>
        <v>0</v>
      </c>
      <c r="M10" s="1" t="str">
        <f aca="false">IF(AND(J10=1,K10="complete",L10="complete"),"complete",IF(H10&gt;0,"blocked","open"))</f>
        <v>open</v>
      </c>
    </row>
    <row r="11" customFormat="false" ht="24" hidden="false" customHeight="true" outlineLevel="0" collapsed="false">
      <c r="A11" s="1" t="s">
        <v>19</v>
      </c>
      <c r="B11" s="1" t="n">
        <f aca="true">INDIRECT("'"&amp;A11&amp;"'!B4")</f>
        <v>16</v>
      </c>
      <c r="C11" s="1" t="n">
        <f aca="true">COUNTIF(INDIRECT("'"&amp;A11&amp;"'!H9:H200"),"not started")</f>
        <v>0</v>
      </c>
      <c r="D11" s="1" t="n">
        <f aca="true">COUNTIF(INDIRECT("'"&amp;A11&amp;"'!H9:H200"),"partial")</f>
        <v>0</v>
      </c>
      <c r="E11" s="1" t="n">
        <f aca="true">COUNTIF(INDIRECT("'"&amp;A11&amp;"'!H9:H200"),"implemented")</f>
        <v>0</v>
      </c>
      <c r="F11" s="1" t="n">
        <f aca="true">COUNTIF(INDIRECT("'"&amp;A11&amp;"'!H9:H200"),"tested")</f>
        <v>11</v>
      </c>
      <c r="G11" s="1" t="n">
        <f aca="true">COUNTIF(INDIRECT("'"&amp;A11&amp;"'!H9:H200"),"verified")</f>
        <v>5</v>
      </c>
      <c r="H11" s="1" t="n">
        <f aca="true">COUNTIF(INDIRECT("'"&amp;A11&amp;"'!H9:H200"),"blocked")</f>
        <v>0</v>
      </c>
      <c r="I11" s="1" t="n">
        <f aca="true">COUNTIF(INDIRECT("'"&amp;A11&amp;"'!H9:H200"),"not applicable")</f>
        <v>0</v>
      </c>
      <c r="J11" s="2" t="n">
        <f aca="true">INDIRECT("'"&amp;A11&amp;"'!H4")</f>
        <v>1</v>
      </c>
      <c r="K11" s="1" t="n">
        <f aca="true">INDIRECT("'"&amp;A11&amp;"'!K4")</f>
        <v>0</v>
      </c>
      <c r="L11" s="1" t="n">
        <f aca="true">INDIRECT("'"&amp;A11&amp;"'!E5")</f>
        <v>0</v>
      </c>
      <c r="M11" s="1" t="str">
        <f aca="false">IF(AND(J11=1,K11="complete",L11="complete"),"complete",IF(H11&gt;0,"blocked","open"))</f>
        <v>open</v>
      </c>
    </row>
    <row r="12" customFormat="false" ht="24" hidden="false" customHeight="true" outlineLevel="0" collapsed="false">
      <c r="A12" s="1" t="s">
        <v>20</v>
      </c>
      <c r="B12" s="1" t="n">
        <f aca="true">INDIRECT("'"&amp;A12&amp;"'!B4")</f>
        <v>16</v>
      </c>
      <c r="C12" s="1" t="n">
        <f aca="true">COUNTIF(INDIRECT("'"&amp;A12&amp;"'!H9:H200"),"not started")</f>
        <v>0</v>
      </c>
      <c r="D12" s="1" t="n">
        <f aca="true">COUNTIF(INDIRECT("'"&amp;A12&amp;"'!H9:H200"),"partial")</f>
        <v>0</v>
      </c>
      <c r="E12" s="1" t="n">
        <f aca="true">COUNTIF(INDIRECT("'"&amp;A12&amp;"'!H9:H200"),"implemented")</f>
        <v>0</v>
      </c>
      <c r="F12" s="1" t="n">
        <f aca="true">COUNTIF(INDIRECT("'"&amp;A12&amp;"'!H9:H200"),"tested")</f>
        <v>11</v>
      </c>
      <c r="G12" s="1" t="n">
        <f aca="true">COUNTIF(INDIRECT("'"&amp;A12&amp;"'!H9:H200"),"verified")</f>
        <v>5</v>
      </c>
      <c r="H12" s="1" t="n">
        <f aca="true">COUNTIF(INDIRECT("'"&amp;A12&amp;"'!H9:H200"),"blocked")</f>
        <v>0</v>
      </c>
      <c r="I12" s="1" t="n">
        <f aca="true">COUNTIF(INDIRECT("'"&amp;A12&amp;"'!H9:H200"),"not applicable")</f>
        <v>0</v>
      </c>
      <c r="J12" s="2" t="n">
        <f aca="true">INDIRECT("'"&amp;A12&amp;"'!H4")</f>
        <v>1</v>
      </c>
      <c r="K12" s="1" t="n">
        <f aca="true">INDIRECT("'"&amp;A12&amp;"'!K4")</f>
        <v>0</v>
      </c>
      <c r="L12" s="1" t="n">
        <f aca="true">INDIRECT("'"&amp;A12&amp;"'!E5")</f>
        <v>0</v>
      </c>
      <c r="M12" s="1" t="str">
        <f aca="false">IF(AND(J12=1,K12="complete",L12="complete"),"complete",IF(H12&gt;0,"blocked","open"))</f>
        <v>open</v>
      </c>
    </row>
    <row r="13" customFormat="false" ht="24" hidden="false" customHeight="true" outlineLevel="0" collapsed="false">
      <c r="A13" s="1" t="s">
        <v>21</v>
      </c>
      <c r="B13" s="1" t="n">
        <f aca="true">INDIRECT("'"&amp;A13&amp;"'!B4")</f>
        <v>16</v>
      </c>
      <c r="C13" s="1" t="n">
        <f aca="true">COUNTIF(INDIRECT("'"&amp;A13&amp;"'!H9:H200"),"not started")</f>
        <v>0</v>
      </c>
      <c r="D13" s="1" t="n">
        <f aca="true">COUNTIF(INDIRECT("'"&amp;A13&amp;"'!H9:H200"),"partial")</f>
        <v>0</v>
      </c>
      <c r="E13" s="1" t="n">
        <f aca="true">COUNTIF(INDIRECT("'"&amp;A13&amp;"'!H9:H200"),"implemented")</f>
        <v>0</v>
      </c>
      <c r="F13" s="1" t="n">
        <f aca="true">COUNTIF(INDIRECT("'"&amp;A13&amp;"'!H9:H200"),"tested")</f>
        <v>11</v>
      </c>
      <c r="G13" s="1" t="n">
        <f aca="true">COUNTIF(INDIRECT("'"&amp;A13&amp;"'!H9:H200"),"verified")</f>
        <v>5</v>
      </c>
      <c r="H13" s="1" t="n">
        <f aca="true">COUNTIF(INDIRECT("'"&amp;A13&amp;"'!H9:H200"),"blocked")</f>
        <v>0</v>
      </c>
      <c r="I13" s="1" t="n">
        <f aca="true">COUNTIF(INDIRECT("'"&amp;A13&amp;"'!H9:H200"),"not applicable")</f>
        <v>0</v>
      </c>
      <c r="J13" s="2" t="n">
        <f aca="true">INDIRECT("'"&amp;A13&amp;"'!H4")</f>
        <v>1</v>
      </c>
      <c r="K13" s="1" t="n">
        <f aca="true">INDIRECT("'"&amp;A13&amp;"'!K4")</f>
        <v>0</v>
      </c>
      <c r="L13" s="1" t="n">
        <f aca="true">INDIRECT("'"&amp;A13&amp;"'!E5")</f>
        <v>0</v>
      </c>
      <c r="M13" s="1" t="str">
        <f aca="false">IF(AND(J13=1,K13="complete",L13="complete"),"complete",IF(H13&gt;0,"blocked","open"))</f>
        <v>open</v>
      </c>
    </row>
    <row r="14" customFormat="false" ht="24" hidden="false" customHeight="true" outlineLevel="0" collapsed="false">
      <c r="A14" s="1" t="s">
        <v>22</v>
      </c>
      <c r="B14" s="1" t="n">
        <f aca="true">INDIRECT("'"&amp;A14&amp;"'!B4")</f>
        <v>16</v>
      </c>
      <c r="C14" s="1" t="n">
        <f aca="true">COUNTIF(INDIRECT("'"&amp;A14&amp;"'!H9:H200"),"not started")</f>
        <v>0</v>
      </c>
      <c r="D14" s="1" t="n">
        <f aca="true">COUNTIF(INDIRECT("'"&amp;A14&amp;"'!H9:H200"),"partial")</f>
        <v>0</v>
      </c>
      <c r="E14" s="1" t="n">
        <f aca="true">COUNTIF(INDIRECT("'"&amp;A14&amp;"'!H9:H200"),"implemented")</f>
        <v>0</v>
      </c>
      <c r="F14" s="1" t="n">
        <f aca="true">COUNTIF(INDIRECT("'"&amp;A14&amp;"'!H9:H200"),"tested")</f>
        <v>11</v>
      </c>
      <c r="G14" s="1" t="n">
        <f aca="true">COUNTIF(INDIRECT("'"&amp;A14&amp;"'!H9:H200"),"verified")</f>
        <v>5</v>
      </c>
      <c r="H14" s="1" t="n">
        <f aca="true">COUNTIF(INDIRECT("'"&amp;A14&amp;"'!H9:H200"),"blocked")</f>
        <v>0</v>
      </c>
      <c r="I14" s="1" t="n">
        <f aca="true">COUNTIF(INDIRECT("'"&amp;A14&amp;"'!H9:H200"),"not applicable")</f>
        <v>0</v>
      </c>
      <c r="J14" s="2" t="n">
        <f aca="true">INDIRECT("'"&amp;A14&amp;"'!H4")</f>
        <v>1</v>
      </c>
      <c r="K14" s="1" t="n">
        <f aca="true">INDIRECT("'"&amp;A14&amp;"'!K4")</f>
        <v>0</v>
      </c>
      <c r="L14" s="1" t="n">
        <f aca="true">INDIRECT("'"&amp;A14&amp;"'!E5")</f>
        <v>0</v>
      </c>
      <c r="M14" s="1" t="str">
        <f aca="false">IF(AND(J14=1,K14="complete",L14="complete"),"complete",IF(H14&gt;0,"blocked","open"))</f>
        <v>open</v>
      </c>
    </row>
    <row r="15" customFormat="false" ht="24" hidden="false" customHeight="true" outlineLevel="0" collapsed="false">
      <c r="A15" s="1" t="s">
        <v>23</v>
      </c>
      <c r="B15" s="1" t="n">
        <f aca="true">INDIRECT("'"&amp;A15&amp;"'!B4")</f>
        <v>16</v>
      </c>
      <c r="C15" s="1" t="n">
        <f aca="true">COUNTIF(INDIRECT("'"&amp;A15&amp;"'!H9:H200"),"not started")</f>
        <v>0</v>
      </c>
      <c r="D15" s="1" t="n">
        <f aca="true">COUNTIF(INDIRECT("'"&amp;A15&amp;"'!H9:H200"),"partial")</f>
        <v>0</v>
      </c>
      <c r="E15" s="1" t="n">
        <f aca="true">COUNTIF(INDIRECT("'"&amp;A15&amp;"'!H9:H200"),"implemented")</f>
        <v>0</v>
      </c>
      <c r="F15" s="1" t="n">
        <f aca="true">COUNTIF(INDIRECT("'"&amp;A15&amp;"'!H9:H200"),"tested")</f>
        <v>11</v>
      </c>
      <c r="G15" s="1" t="n">
        <f aca="true">COUNTIF(INDIRECT("'"&amp;A15&amp;"'!H9:H200"),"verified")</f>
        <v>5</v>
      </c>
      <c r="H15" s="1" t="n">
        <f aca="true">COUNTIF(INDIRECT("'"&amp;A15&amp;"'!H9:H200"),"blocked")</f>
        <v>0</v>
      </c>
      <c r="I15" s="1" t="n">
        <f aca="true">COUNTIF(INDIRECT("'"&amp;A15&amp;"'!H9:H200"),"not applicable")</f>
        <v>0</v>
      </c>
      <c r="J15" s="2" t="n">
        <f aca="true">INDIRECT("'"&amp;A15&amp;"'!H4")</f>
        <v>1</v>
      </c>
      <c r="K15" s="1" t="n">
        <f aca="true">INDIRECT("'"&amp;A15&amp;"'!K4")</f>
        <v>0</v>
      </c>
      <c r="L15" s="1" t="n">
        <f aca="true">INDIRECT("'"&amp;A15&amp;"'!E5")</f>
        <v>0</v>
      </c>
      <c r="M15" s="1" t="str">
        <f aca="false">IF(AND(J15=1,K15="complete",L15="complete"),"complete",IF(H15&gt;0,"blocked","open"))</f>
        <v>open</v>
      </c>
    </row>
    <row r="16" customFormat="false" ht="24" hidden="false" customHeight="true" outlineLevel="0" collapsed="false">
      <c r="A16" s="1" t="s">
        <v>24</v>
      </c>
      <c r="B16" s="1" t="n">
        <f aca="true">INDIRECT("'"&amp;A16&amp;"'!B4")</f>
        <v>16</v>
      </c>
      <c r="C16" s="1" t="n">
        <f aca="true">COUNTIF(INDIRECT("'"&amp;A16&amp;"'!H9:H200"),"not started")</f>
        <v>0</v>
      </c>
      <c r="D16" s="1" t="n">
        <f aca="true">COUNTIF(INDIRECT("'"&amp;A16&amp;"'!H9:H200"),"partial")</f>
        <v>0</v>
      </c>
      <c r="E16" s="1" t="n">
        <f aca="true">COUNTIF(INDIRECT("'"&amp;A16&amp;"'!H9:H200"),"implemented")</f>
        <v>0</v>
      </c>
      <c r="F16" s="1" t="n">
        <f aca="true">COUNTIF(INDIRECT("'"&amp;A16&amp;"'!H9:H200"),"tested")</f>
        <v>11</v>
      </c>
      <c r="G16" s="1" t="n">
        <f aca="true">COUNTIF(INDIRECT("'"&amp;A16&amp;"'!H9:H200"),"verified")</f>
        <v>5</v>
      </c>
      <c r="H16" s="1" t="n">
        <f aca="true">COUNTIF(INDIRECT("'"&amp;A16&amp;"'!H9:H200"),"blocked")</f>
        <v>0</v>
      </c>
      <c r="I16" s="1" t="n">
        <f aca="true">COUNTIF(INDIRECT("'"&amp;A16&amp;"'!H9:H200"),"not applicable")</f>
        <v>0</v>
      </c>
      <c r="J16" s="2" t="n">
        <f aca="true">INDIRECT("'"&amp;A16&amp;"'!H4")</f>
        <v>1</v>
      </c>
      <c r="K16" s="1" t="n">
        <f aca="true">INDIRECT("'"&amp;A16&amp;"'!K4")</f>
        <v>0</v>
      </c>
      <c r="L16" s="1" t="n">
        <f aca="true">INDIRECT("'"&amp;A16&amp;"'!E5")</f>
        <v>0</v>
      </c>
      <c r="M16" s="1" t="str">
        <f aca="false">IF(AND(J16=1,K16="complete",L16="complete"),"complete",IF(H16&gt;0,"blocked","open"))</f>
        <v>open</v>
      </c>
    </row>
    <row r="17" customFormat="false" ht="24" hidden="false" customHeight="true" outlineLevel="0" collapsed="false">
      <c r="A17" s="1" t="s">
        <v>25</v>
      </c>
      <c r="B17" s="1" t="n">
        <f aca="true">INDIRECT("'"&amp;A17&amp;"'!B4")</f>
        <v>16</v>
      </c>
      <c r="C17" s="1" t="n">
        <f aca="true">COUNTIF(INDIRECT("'"&amp;A17&amp;"'!H9:H200"),"not started")</f>
        <v>0</v>
      </c>
      <c r="D17" s="1" t="n">
        <f aca="true">COUNTIF(INDIRECT("'"&amp;A17&amp;"'!H9:H200"),"partial")</f>
        <v>0</v>
      </c>
      <c r="E17" s="1" t="n">
        <f aca="true">COUNTIF(INDIRECT("'"&amp;A17&amp;"'!H9:H200"),"implemented")</f>
        <v>0</v>
      </c>
      <c r="F17" s="1" t="n">
        <f aca="true">COUNTIF(INDIRECT("'"&amp;A17&amp;"'!H9:H200"),"tested")</f>
        <v>11</v>
      </c>
      <c r="G17" s="1" t="n">
        <f aca="true">COUNTIF(INDIRECT("'"&amp;A17&amp;"'!H9:H200"),"verified")</f>
        <v>5</v>
      </c>
      <c r="H17" s="1" t="n">
        <f aca="true">COUNTIF(INDIRECT("'"&amp;A17&amp;"'!H9:H200"),"blocked")</f>
        <v>0</v>
      </c>
      <c r="I17" s="1" t="n">
        <f aca="true">COUNTIF(INDIRECT("'"&amp;A17&amp;"'!H9:H200"),"not applicable")</f>
        <v>0</v>
      </c>
      <c r="J17" s="2" t="n">
        <f aca="true">INDIRECT("'"&amp;A17&amp;"'!H4")</f>
        <v>1</v>
      </c>
      <c r="K17" s="1" t="n">
        <f aca="true">INDIRECT("'"&amp;A17&amp;"'!K4")</f>
        <v>0</v>
      </c>
      <c r="L17" s="1" t="n">
        <f aca="true">INDIRECT("'"&amp;A17&amp;"'!E5")</f>
        <v>0</v>
      </c>
      <c r="M17" s="1" t="str">
        <f aca="false">IF(AND(J17=1,K17="complete",L17="complete"),"complete",IF(H17&gt;0,"blocked","open"))</f>
        <v>open</v>
      </c>
    </row>
    <row r="18" customFormat="false" ht="24" hidden="false" customHeight="true" outlineLevel="0" collapsed="false">
      <c r="A18" s="1" t="s">
        <v>26</v>
      </c>
      <c r="B18" s="1" t="n">
        <f aca="true">INDIRECT("'"&amp;A18&amp;"'!B4")</f>
        <v>16</v>
      </c>
      <c r="C18" s="1" t="n">
        <f aca="true">COUNTIF(INDIRECT("'"&amp;A18&amp;"'!H9:H200"),"not started")</f>
        <v>0</v>
      </c>
      <c r="D18" s="1" t="n">
        <f aca="true">COUNTIF(INDIRECT("'"&amp;A18&amp;"'!H9:H200"),"partial")</f>
        <v>0</v>
      </c>
      <c r="E18" s="1" t="n">
        <f aca="true">COUNTIF(INDIRECT("'"&amp;A18&amp;"'!H9:H200"),"implemented")</f>
        <v>0</v>
      </c>
      <c r="F18" s="1" t="n">
        <f aca="true">COUNTIF(INDIRECT("'"&amp;A18&amp;"'!H9:H200"),"tested")</f>
        <v>11</v>
      </c>
      <c r="G18" s="1" t="n">
        <f aca="true">COUNTIF(INDIRECT("'"&amp;A18&amp;"'!H9:H200"),"verified")</f>
        <v>5</v>
      </c>
      <c r="H18" s="1" t="n">
        <f aca="true">COUNTIF(INDIRECT("'"&amp;A18&amp;"'!H9:H200"),"blocked")</f>
        <v>0</v>
      </c>
      <c r="I18" s="1" t="n">
        <f aca="true">COUNTIF(INDIRECT("'"&amp;A18&amp;"'!H9:H200"),"not applicable")</f>
        <v>0</v>
      </c>
      <c r="J18" s="2" t="n">
        <f aca="true">INDIRECT("'"&amp;A18&amp;"'!H4")</f>
        <v>1</v>
      </c>
      <c r="K18" s="1" t="n">
        <f aca="true">INDIRECT("'"&amp;A18&amp;"'!K4")</f>
        <v>0</v>
      </c>
      <c r="L18" s="1" t="n">
        <f aca="true">INDIRECT("'"&amp;A18&amp;"'!E5")</f>
        <v>0</v>
      </c>
      <c r="M18" s="1" t="str">
        <f aca="false">IF(AND(J18=1,K18="complete",L18="complete"),"complete",IF(H18&gt;0,"blocked","open"))</f>
        <v>open</v>
      </c>
    </row>
    <row r="19" customFormat="false" ht="24" hidden="false" customHeight="true" outlineLevel="0" collapsed="false">
      <c r="A19" s="1" t="s">
        <v>27</v>
      </c>
      <c r="B19" s="1" t="n">
        <f aca="true">INDIRECT("'"&amp;A19&amp;"'!B4")</f>
        <v>16</v>
      </c>
      <c r="C19" s="1" t="n">
        <f aca="true">COUNTIF(INDIRECT("'"&amp;A19&amp;"'!H9:H200"),"not started")</f>
        <v>0</v>
      </c>
      <c r="D19" s="1" t="n">
        <f aca="true">COUNTIF(INDIRECT("'"&amp;A19&amp;"'!H9:H200"),"partial")</f>
        <v>0</v>
      </c>
      <c r="E19" s="1" t="n">
        <f aca="true">COUNTIF(INDIRECT("'"&amp;A19&amp;"'!H9:H200"),"implemented")</f>
        <v>0</v>
      </c>
      <c r="F19" s="1" t="n">
        <f aca="true">COUNTIF(INDIRECT("'"&amp;A19&amp;"'!H9:H200"),"tested")</f>
        <v>11</v>
      </c>
      <c r="G19" s="1" t="n">
        <f aca="true">COUNTIF(INDIRECT("'"&amp;A19&amp;"'!H9:H200"),"verified")</f>
        <v>5</v>
      </c>
      <c r="H19" s="1" t="n">
        <f aca="true">COUNTIF(INDIRECT("'"&amp;A19&amp;"'!H9:H200"),"blocked")</f>
        <v>0</v>
      </c>
      <c r="I19" s="1" t="n">
        <f aca="true">COUNTIF(INDIRECT("'"&amp;A19&amp;"'!H9:H200"),"not applicable")</f>
        <v>0</v>
      </c>
      <c r="J19" s="2" t="n">
        <f aca="true">INDIRECT("'"&amp;A19&amp;"'!H4")</f>
        <v>1</v>
      </c>
      <c r="K19" s="1" t="n">
        <f aca="true">INDIRECT("'"&amp;A19&amp;"'!K4")</f>
        <v>0</v>
      </c>
      <c r="L19" s="1" t="n">
        <f aca="true">INDIRECT("'"&amp;A19&amp;"'!E5")</f>
        <v>0</v>
      </c>
      <c r="M19" s="1" t="str">
        <f aca="false">IF(AND(J19=1,K19="complete",L19="complete"),"complete",IF(H19&gt;0,"blocked","open"))</f>
        <v>open</v>
      </c>
    </row>
    <row r="20" customFormat="false" ht="24" hidden="false" customHeight="true" outlineLevel="0" collapsed="false">
      <c r="A20" s="1" t="s">
        <v>28</v>
      </c>
      <c r="B20" s="1" t="n">
        <f aca="true">INDIRECT("'"&amp;A20&amp;"'!B4")</f>
        <v>16</v>
      </c>
      <c r="C20" s="1" t="n">
        <f aca="true">COUNTIF(INDIRECT("'"&amp;A20&amp;"'!H9:H200"),"not started")</f>
        <v>0</v>
      </c>
      <c r="D20" s="1" t="n">
        <f aca="true">COUNTIF(INDIRECT("'"&amp;A20&amp;"'!H9:H200"),"partial")</f>
        <v>0</v>
      </c>
      <c r="E20" s="1" t="n">
        <f aca="true">COUNTIF(INDIRECT("'"&amp;A20&amp;"'!H9:H200"),"implemented")</f>
        <v>0</v>
      </c>
      <c r="F20" s="1" t="n">
        <f aca="true">COUNTIF(INDIRECT("'"&amp;A20&amp;"'!H9:H200"),"tested")</f>
        <v>11</v>
      </c>
      <c r="G20" s="1" t="n">
        <f aca="true">COUNTIF(INDIRECT("'"&amp;A20&amp;"'!H9:H200"),"verified")</f>
        <v>5</v>
      </c>
      <c r="H20" s="1" t="n">
        <f aca="true">COUNTIF(INDIRECT("'"&amp;A20&amp;"'!H9:H200"),"blocked")</f>
        <v>0</v>
      </c>
      <c r="I20" s="1" t="n">
        <f aca="true">COUNTIF(INDIRECT("'"&amp;A20&amp;"'!H9:H200"),"not applicable")</f>
        <v>0</v>
      </c>
      <c r="J20" s="2" t="n">
        <f aca="true">INDIRECT("'"&amp;A20&amp;"'!H4")</f>
        <v>1</v>
      </c>
      <c r="K20" s="1" t="n">
        <f aca="true">INDIRECT("'"&amp;A20&amp;"'!K4")</f>
        <v>0</v>
      </c>
      <c r="L20" s="1" t="n">
        <f aca="true">INDIRECT("'"&amp;A20&amp;"'!E5")</f>
        <v>0</v>
      </c>
      <c r="M20" s="1" t="str">
        <f aca="false">IF(AND(J20=1,K20="complete",L20="complete"),"complete",IF(H20&gt;0,"blocked","open"))</f>
        <v>open</v>
      </c>
    </row>
    <row r="21" customFormat="false" ht="24" hidden="false" customHeight="true" outlineLevel="0" collapsed="false">
      <c r="A21" s="1" t="s">
        <v>29</v>
      </c>
      <c r="B21" s="1" t="n">
        <f aca="true">INDIRECT("'"&amp;A21&amp;"'!B4")</f>
        <v>16</v>
      </c>
      <c r="C21" s="1" t="n">
        <f aca="true">COUNTIF(INDIRECT("'"&amp;A21&amp;"'!H9:H200"),"not started")</f>
        <v>0</v>
      </c>
      <c r="D21" s="1" t="n">
        <f aca="true">COUNTIF(INDIRECT("'"&amp;A21&amp;"'!H9:H200"),"partial")</f>
        <v>0</v>
      </c>
      <c r="E21" s="1" t="n">
        <f aca="true">COUNTIF(INDIRECT("'"&amp;A21&amp;"'!H9:H200"),"implemented")</f>
        <v>0</v>
      </c>
      <c r="F21" s="1" t="n">
        <f aca="true">COUNTIF(INDIRECT("'"&amp;A21&amp;"'!H9:H200"),"tested")</f>
        <v>11</v>
      </c>
      <c r="G21" s="1" t="n">
        <f aca="true">COUNTIF(INDIRECT("'"&amp;A21&amp;"'!H9:H200"),"verified")</f>
        <v>5</v>
      </c>
      <c r="H21" s="1" t="n">
        <f aca="true">COUNTIF(INDIRECT("'"&amp;A21&amp;"'!H9:H200"),"blocked")</f>
        <v>0</v>
      </c>
      <c r="I21" s="1" t="n">
        <f aca="true">COUNTIF(INDIRECT("'"&amp;A21&amp;"'!H9:H200"),"not applicable")</f>
        <v>0</v>
      </c>
      <c r="J21" s="2" t="n">
        <f aca="true">INDIRECT("'"&amp;A21&amp;"'!H4")</f>
        <v>1</v>
      </c>
      <c r="K21" s="1" t="n">
        <f aca="true">INDIRECT("'"&amp;A21&amp;"'!K4")</f>
        <v>0</v>
      </c>
      <c r="L21" s="1" t="n">
        <f aca="true">INDIRECT("'"&amp;A21&amp;"'!E5")</f>
        <v>0</v>
      </c>
      <c r="M21" s="1" t="str">
        <f aca="false">IF(AND(J21=1,K21="complete",L21="complete"),"complete",IF(H21&gt;0,"blocked","open"))</f>
        <v>open</v>
      </c>
    </row>
    <row r="22" customFormat="false" ht="24" hidden="false" customHeight="true" outlineLevel="0" collapsed="false">
      <c r="A22" s="1" t="s">
        <v>30</v>
      </c>
      <c r="B22" s="1" t="n">
        <f aca="true">INDIRECT("'"&amp;A22&amp;"'!B4")</f>
        <v>16</v>
      </c>
      <c r="C22" s="1" t="n">
        <f aca="true">COUNTIF(INDIRECT("'"&amp;A22&amp;"'!H9:H200"),"not started")</f>
        <v>0</v>
      </c>
      <c r="D22" s="1" t="n">
        <f aca="true">COUNTIF(INDIRECT("'"&amp;A22&amp;"'!H9:H200"),"partial")</f>
        <v>0</v>
      </c>
      <c r="E22" s="1" t="n">
        <f aca="true">COUNTIF(INDIRECT("'"&amp;A22&amp;"'!H9:H200"),"implemented")</f>
        <v>0</v>
      </c>
      <c r="F22" s="1" t="n">
        <f aca="true">COUNTIF(INDIRECT("'"&amp;A22&amp;"'!H9:H200"),"tested")</f>
        <v>11</v>
      </c>
      <c r="G22" s="1" t="n">
        <f aca="true">COUNTIF(INDIRECT("'"&amp;A22&amp;"'!H9:H200"),"verified")</f>
        <v>5</v>
      </c>
      <c r="H22" s="1" t="n">
        <f aca="true">COUNTIF(INDIRECT("'"&amp;A22&amp;"'!H9:H200"),"blocked")</f>
        <v>0</v>
      </c>
      <c r="I22" s="1" t="n">
        <f aca="true">COUNTIF(INDIRECT("'"&amp;A22&amp;"'!H9:H200"),"not applicable")</f>
        <v>0</v>
      </c>
      <c r="J22" s="2" t="n">
        <f aca="true">INDIRECT("'"&amp;A22&amp;"'!H4")</f>
        <v>1</v>
      </c>
      <c r="K22" s="1" t="n">
        <f aca="true">INDIRECT("'"&amp;A22&amp;"'!K4")</f>
        <v>0</v>
      </c>
      <c r="L22" s="1" t="n">
        <f aca="true">INDIRECT("'"&amp;A22&amp;"'!E5")</f>
        <v>0</v>
      </c>
      <c r="M22" s="1" t="str">
        <f aca="false">IF(AND(J22=1,K22="complete",L22="complete"),"complete",IF(H22&gt;0,"blocked","open"))</f>
        <v>open</v>
      </c>
    </row>
    <row r="23" customFormat="false" ht="24" hidden="false" customHeight="true" outlineLevel="0" collapsed="false">
      <c r="A23" s="1" t="s">
        <v>31</v>
      </c>
      <c r="B23" s="1" t="n">
        <f aca="true">INDIRECT("'"&amp;A23&amp;"'!B4")</f>
        <v>16</v>
      </c>
      <c r="C23" s="1" t="n">
        <f aca="true">COUNTIF(INDIRECT("'"&amp;A23&amp;"'!H9:H200"),"not started")</f>
        <v>0</v>
      </c>
      <c r="D23" s="1" t="n">
        <f aca="true">COUNTIF(INDIRECT("'"&amp;A23&amp;"'!H9:H200"),"partial")</f>
        <v>0</v>
      </c>
      <c r="E23" s="1" t="n">
        <f aca="true">COUNTIF(INDIRECT("'"&amp;A23&amp;"'!H9:H200"),"implemented")</f>
        <v>4</v>
      </c>
      <c r="F23" s="1" t="n">
        <f aca="true">COUNTIF(INDIRECT("'"&amp;A23&amp;"'!H9:H200"),"tested")</f>
        <v>11</v>
      </c>
      <c r="G23" s="1" t="n">
        <f aca="true">COUNTIF(INDIRECT("'"&amp;A23&amp;"'!H9:H200"),"verified")</f>
        <v>1</v>
      </c>
      <c r="H23" s="1" t="n">
        <f aca="true">COUNTIF(INDIRECT("'"&amp;A23&amp;"'!H9:H200"),"blocked")</f>
        <v>0</v>
      </c>
      <c r="I23" s="1" t="n">
        <f aca="true">COUNTIF(INDIRECT("'"&amp;A23&amp;"'!H9:H200"),"not applicable")</f>
        <v>0</v>
      </c>
      <c r="J23" s="2" t="n">
        <f aca="true">INDIRECT("'"&amp;A23&amp;"'!H4")</f>
        <v>0.75</v>
      </c>
      <c r="K23" s="1" t="str">
        <f aca="true">INDIRECT("'"&amp;A23&amp;"'!K4")</f>
        <v>open</v>
      </c>
      <c r="L23" s="1" t="str">
        <f aca="true">INDIRECT("'"&amp;A23&amp;"'!E5")</f>
        <v>complete</v>
      </c>
      <c r="M23" s="1" t="str">
        <f aca="false">IF(AND(J23=1,K23="complete",L23="complete"),"complete",IF(H23&gt;0,"blocked","open"))</f>
        <v>open</v>
      </c>
    </row>
    <row r="24" customFormat="false" ht="24" hidden="false" customHeight="true" outlineLevel="0" collapsed="false">
      <c r="A24" s="1" t="s">
        <v>32</v>
      </c>
      <c r="B24" s="1" t="n">
        <f aca="true">INDIRECT("'"&amp;A24&amp;"'!B4")</f>
        <v>17</v>
      </c>
      <c r="C24" s="1" t="n">
        <f aca="true">COUNTIF(INDIRECT("'"&amp;A24&amp;"'!H9:H200"),"not started")</f>
        <v>0</v>
      </c>
      <c r="D24" s="1" t="n">
        <f aca="true">COUNTIF(INDIRECT("'"&amp;A24&amp;"'!H9:H200"),"partial")</f>
        <v>0</v>
      </c>
      <c r="E24" s="1" t="n">
        <f aca="true">COUNTIF(INDIRECT("'"&amp;A24&amp;"'!H9:H200"),"implemented")</f>
        <v>3</v>
      </c>
      <c r="F24" s="1" t="n">
        <f aca="true">COUNTIF(INDIRECT("'"&amp;A24&amp;"'!H9:H200"),"tested")</f>
        <v>13</v>
      </c>
      <c r="G24" s="1" t="n">
        <f aca="true">COUNTIF(INDIRECT("'"&amp;A24&amp;"'!H9:H200"),"verified")</f>
        <v>1</v>
      </c>
      <c r="H24" s="1" t="n">
        <f aca="true">COUNTIF(INDIRECT("'"&amp;A24&amp;"'!H9:H200"),"blocked")</f>
        <v>0</v>
      </c>
      <c r="I24" s="1" t="n">
        <f aca="true">COUNTIF(INDIRECT("'"&amp;A24&amp;"'!H9:H200"),"not applicable")</f>
        <v>0</v>
      </c>
      <c r="J24" s="2" t="n">
        <f aca="true">INDIRECT("'"&amp;A24&amp;"'!H4")</f>
        <v>0.823529411764706</v>
      </c>
      <c r="K24" s="1" t="str">
        <f aca="true">INDIRECT("'"&amp;A24&amp;"'!K4")</f>
        <v>open</v>
      </c>
      <c r="L24" s="1" t="str">
        <f aca="true">INDIRECT("'"&amp;A24&amp;"'!E5")</f>
        <v>complete</v>
      </c>
      <c r="M24" s="1" t="str">
        <f aca="false">IF(AND(J24=1,K24="complete",L24="complete"),"complete",IF(H24&gt;0,"blocked","open"))</f>
        <v>open</v>
      </c>
    </row>
    <row r="25" customFormat="false" ht="24" hidden="false" customHeight="true" outlineLevel="0" collapsed="false">
      <c r="A25" s="1" t="s">
        <v>33</v>
      </c>
      <c r="B25" s="1" t="n">
        <f aca="true">INDIRECT("'"&amp;A25&amp;"'!B4")</f>
        <v>16</v>
      </c>
      <c r="C25" s="1" t="n">
        <f aca="true">COUNTIF(INDIRECT("'"&amp;A25&amp;"'!H9:H200"),"not started")</f>
        <v>0</v>
      </c>
      <c r="D25" s="1" t="n">
        <f aca="true">COUNTIF(INDIRECT("'"&amp;A25&amp;"'!H9:H200"),"partial")</f>
        <v>0</v>
      </c>
      <c r="E25" s="1" t="n">
        <f aca="true">COUNTIF(INDIRECT("'"&amp;A25&amp;"'!H9:H200"),"implemented")</f>
        <v>0</v>
      </c>
      <c r="F25" s="1" t="n">
        <f aca="true">COUNTIF(INDIRECT("'"&amp;A25&amp;"'!H9:H200"),"tested")</f>
        <v>11</v>
      </c>
      <c r="G25" s="1" t="n">
        <f aca="true">COUNTIF(INDIRECT("'"&amp;A25&amp;"'!H9:H200"),"verified")</f>
        <v>5</v>
      </c>
      <c r="H25" s="1" t="n">
        <f aca="true">COUNTIF(INDIRECT("'"&amp;A25&amp;"'!H9:H200"),"blocked")</f>
        <v>0</v>
      </c>
      <c r="I25" s="1" t="n">
        <f aca="true">COUNTIF(INDIRECT("'"&amp;A25&amp;"'!H9:H200"),"not applicable")</f>
        <v>0</v>
      </c>
      <c r="J25" s="2" t="n">
        <f aca="true">INDIRECT("'"&amp;A25&amp;"'!H4")</f>
        <v>1</v>
      </c>
      <c r="K25" s="1" t="n">
        <f aca="true">INDIRECT("'"&amp;A25&amp;"'!K4")</f>
        <v>0</v>
      </c>
      <c r="L25" s="1" t="n">
        <f aca="true">INDIRECT("'"&amp;A25&amp;"'!E5")</f>
        <v>0</v>
      </c>
      <c r="M25" s="1" t="str">
        <f aca="false">IF(AND(J25=1,K25="complete",L25="complete"),"complete",IF(H25&gt;0,"blocked","open"))</f>
        <v>open</v>
      </c>
    </row>
    <row r="26" customFormat="false" ht="24" hidden="false" customHeight="true" outlineLevel="0" collapsed="false">
      <c r="A26" s="1" t="s">
        <v>34</v>
      </c>
      <c r="B26" s="1" t="n">
        <f aca="true">INDIRECT("'"&amp;A26&amp;"'!B4")</f>
        <v>16</v>
      </c>
      <c r="C26" s="1" t="n">
        <f aca="true">COUNTIF(INDIRECT("'"&amp;A26&amp;"'!H9:H200"),"not started")</f>
        <v>0</v>
      </c>
      <c r="D26" s="1" t="n">
        <f aca="true">COUNTIF(INDIRECT("'"&amp;A26&amp;"'!H9:H200"),"partial")</f>
        <v>0</v>
      </c>
      <c r="E26" s="1" t="n">
        <f aca="true">COUNTIF(INDIRECT("'"&amp;A26&amp;"'!H9:H200"),"implemented")</f>
        <v>0</v>
      </c>
      <c r="F26" s="1" t="n">
        <f aca="true">COUNTIF(INDIRECT("'"&amp;A26&amp;"'!H9:H200"),"tested")</f>
        <v>11</v>
      </c>
      <c r="G26" s="1" t="n">
        <f aca="true">COUNTIF(INDIRECT("'"&amp;A26&amp;"'!H9:H200"),"verified")</f>
        <v>5</v>
      </c>
      <c r="H26" s="1" t="n">
        <f aca="true">COUNTIF(INDIRECT("'"&amp;A26&amp;"'!H9:H200"),"blocked")</f>
        <v>0</v>
      </c>
      <c r="I26" s="1" t="n">
        <f aca="true">COUNTIF(INDIRECT("'"&amp;A26&amp;"'!H9:H200"),"not applicable")</f>
        <v>0</v>
      </c>
      <c r="J26" s="2" t="n">
        <f aca="true">INDIRECT("'"&amp;A26&amp;"'!H4")</f>
        <v>1</v>
      </c>
      <c r="K26" s="1" t="n">
        <f aca="true">INDIRECT("'"&amp;A26&amp;"'!K4")</f>
        <v>0</v>
      </c>
      <c r="L26" s="1" t="n">
        <f aca="true">INDIRECT("'"&amp;A26&amp;"'!E5")</f>
        <v>0</v>
      </c>
      <c r="M26" s="1" t="str">
        <f aca="false">IF(AND(J26=1,K26="complete",L26="complete"),"complete",IF(H26&gt;0,"blocked","open"))</f>
        <v>open</v>
      </c>
    </row>
    <row r="27" customFormat="false" ht="24" hidden="false" customHeight="true" outlineLevel="0" collapsed="false">
      <c r="A27" s="1" t="s">
        <v>35</v>
      </c>
      <c r="B27" s="1" t="n">
        <f aca="true">INDIRECT("'"&amp;A27&amp;"'!B4")</f>
        <v>16</v>
      </c>
      <c r="C27" s="1" t="n">
        <f aca="true">COUNTIF(INDIRECT("'"&amp;A27&amp;"'!H9:H200"),"not started")</f>
        <v>0</v>
      </c>
      <c r="D27" s="1" t="n">
        <f aca="true">COUNTIF(INDIRECT("'"&amp;A27&amp;"'!H9:H200"),"partial")</f>
        <v>0</v>
      </c>
      <c r="E27" s="1" t="n">
        <f aca="true">COUNTIF(INDIRECT("'"&amp;A27&amp;"'!H9:H200"),"implemented")</f>
        <v>0</v>
      </c>
      <c r="F27" s="1" t="n">
        <f aca="true">COUNTIF(INDIRECT("'"&amp;A27&amp;"'!H9:H200"),"tested")</f>
        <v>11</v>
      </c>
      <c r="G27" s="1" t="n">
        <f aca="true">COUNTIF(INDIRECT("'"&amp;A27&amp;"'!H9:H200"),"verified")</f>
        <v>5</v>
      </c>
      <c r="H27" s="1" t="n">
        <f aca="true">COUNTIF(INDIRECT("'"&amp;A27&amp;"'!H9:H200"),"blocked")</f>
        <v>0</v>
      </c>
      <c r="I27" s="1" t="n">
        <f aca="true">COUNTIF(INDIRECT("'"&amp;A27&amp;"'!H9:H200"),"not applicable")</f>
        <v>0</v>
      </c>
      <c r="J27" s="2" t="n">
        <f aca="true">INDIRECT("'"&amp;A27&amp;"'!H4")</f>
        <v>1</v>
      </c>
      <c r="K27" s="1" t="n">
        <f aca="true">INDIRECT("'"&amp;A27&amp;"'!K4")</f>
        <v>0</v>
      </c>
      <c r="L27" s="1" t="n">
        <f aca="true">INDIRECT("'"&amp;A27&amp;"'!E5")</f>
        <v>0</v>
      </c>
      <c r="M27" s="1" t="str">
        <f aca="false">IF(AND(J27=1,K27="complete",L27="complete"),"complete",IF(H27&gt;0,"blocked","open"))</f>
        <v>open</v>
      </c>
    </row>
    <row r="28" customFormat="false" ht="15" hidden="false" customHeight="true" outlineLevel="0" collapsed="false">
      <c r="A28" s="1" t="s">
        <v>36</v>
      </c>
      <c r="B28" s="1" t="n">
        <f aca="true">INDIRECT("'"&amp;A28&amp;"'!B4")</f>
        <v>16</v>
      </c>
      <c r="C28" s="1" t="n">
        <f aca="true">COUNTIF(INDIRECT("'"&amp;A28&amp;"'!H9:H200"),"not started")</f>
        <v>0</v>
      </c>
      <c r="D28" s="1" t="n">
        <f aca="true">COUNTIF(INDIRECT("'"&amp;A28&amp;"'!H9:H200"),"partial")</f>
        <v>0</v>
      </c>
      <c r="E28" s="1" t="n">
        <f aca="true">COUNTIF(INDIRECT("'"&amp;A28&amp;"'!H9:H200"),"implemented")</f>
        <v>0</v>
      </c>
      <c r="F28" s="1" t="n">
        <f aca="true">COUNTIF(INDIRECT("'"&amp;A28&amp;"'!H9:H200"),"tested")</f>
        <v>11</v>
      </c>
      <c r="G28" s="1" t="n">
        <f aca="true">COUNTIF(INDIRECT("'"&amp;A28&amp;"'!H9:H200"),"verified")</f>
        <v>5</v>
      </c>
      <c r="H28" s="1" t="n">
        <f aca="true">COUNTIF(INDIRECT("'"&amp;A28&amp;"'!H9:H200"),"blocked")</f>
        <v>0</v>
      </c>
      <c r="I28" s="1" t="n">
        <f aca="true">COUNTIF(INDIRECT("'"&amp;A28&amp;"'!H9:H200"),"not applicable")</f>
        <v>0</v>
      </c>
      <c r="J28" s="2" t="n">
        <f aca="true">INDIRECT("'"&amp;A28&amp;"'!H4")</f>
        <v>1</v>
      </c>
      <c r="K28" s="1" t="n">
        <f aca="true">INDIRECT("'"&amp;A28&amp;"'!K4")</f>
        <v>0</v>
      </c>
      <c r="L28" s="1" t="n">
        <f aca="true">INDIRECT("'"&amp;A28&amp;"'!E5")</f>
        <v>0</v>
      </c>
      <c r="M28" s="1" t="str">
        <f aca="false">IF(AND(J28=1,K28="complete",L28="complete"),"complete",IF(H28&gt;0,"blocked","open"))</f>
        <v>open</v>
      </c>
    </row>
    <row r="29" customFormat="false" ht="15" hidden="false" customHeight="true" outlineLevel="0" collapsed="false">
      <c r="A29" s="1" t="s">
        <v>37</v>
      </c>
      <c r="B29" s="1" t="n">
        <f aca="true">INDIRECT("'"&amp;A29&amp;"'!B4")</f>
        <v>16</v>
      </c>
      <c r="C29" s="1" t="n">
        <f aca="true">COUNTIF(INDIRECT("'"&amp;A29&amp;"'!H9:H200"),"not started")</f>
        <v>0</v>
      </c>
      <c r="D29" s="1" t="n">
        <f aca="true">COUNTIF(INDIRECT("'"&amp;A29&amp;"'!H9:H200"),"partial")</f>
        <v>0</v>
      </c>
      <c r="E29" s="1" t="n">
        <f aca="true">COUNTIF(INDIRECT("'"&amp;A29&amp;"'!H9:H200"),"implemented")</f>
        <v>0</v>
      </c>
      <c r="F29" s="1" t="n">
        <f aca="true">COUNTIF(INDIRECT("'"&amp;A29&amp;"'!H9:H200"),"tested")</f>
        <v>11</v>
      </c>
      <c r="G29" s="1" t="n">
        <f aca="true">COUNTIF(INDIRECT("'"&amp;A29&amp;"'!H9:H200"),"verified")</f>
        <v>5</v>
      </c>
      <c r="H29" s="1" t="n">
        <f aca="true">COUNTIF(INDIRECT("'"&amp;A29&amp;"'!H9:H200"),"blocked")</f>
        <v>0</v>
      </c>
      <c r="I29" s="1" t="n">
        <f aca="true">COUNTIF(INDIRECT("'"&amp;A29&amp;"'!H9:H200"),"not applicable")</f>
        <v>0</v>
      </c>
      <c r="J29" s="2" t="n">
        <f aca="true">INDIRECT("'"&amp;A29&amp;"'!H4")</f>
        <v>1</v>
      </c>
      <c r="K29" s="1" t="n">
        <f aca="true">INDIRECT("'"&amp;A29&amp;"'!K4")</f>
        <v>0</v>
      </c>
      <c r="L29" s="1" t="n">
        <f aca="true">INDIRECT("'"&amp;A29&amp;"'!E5")</f>
        <v>0</v>
      </c>
      <c r="M29" s="1" t="str">
        <f aca="false">IF(AND(J29=1,K29="complete",L29="complete"),"complete",IF(H29&gt;0,"blocked","open"))</f>
        <v>open</v>
      </c>
    </row>
    <row r="30" customFormat="false" ht="15" hidden="false" customHeight="true" outlineLevel="0" collapsed="false">
      <c r="A30" s="1" t="s">
        <v>38</v>
      </c>
      <c r="B30" s="1" t="n">
        <f aca="true">INDIRECT("'"&amp;A30&amp;"'!B4")</f>
        <v>16</v>
      </c>
      <c r="C30" s="1" t="n">
        <f aca="true">COUNTIF(INDIRECT("'"&amp;A30&amp;"'!H9:H200"),"not started")</f>
        <v>0</v>
      </c>
      <c r="D30" s="1" t="n">
        <f aca="true">COUNTIF(INDIRECT("'"&amp;A30&amp;"'!H9:H200"),"partial")</f>
        <v>0</v>
      </c>
      <c r="E30" s="1" t="n">
        <f aca="true">COUNTIF(INDIRECT("'"&amp;A30&amp;"'!H9:H200"),"implemented")</f>
        <v>4</v>
      </c>
      <c r="F30" s="1" t="n">
        <f aca="true">COUNTIF(INDIRECT("'"&amp;A30&amp;"'!H9:H200"),"tested")</f>
        <v>11</v>
      </c>
      <c r="G30" s="1" t="n">
        <f aca="true">COUNTIF(INDIRECT("'"&amp;A30&amp;"'!H9:H200"),"verified")</f>
        <v>1</v>
      </c>
      <c r="H30" s="1" t="n">
        <f aca="true">COUNTIF(INDIRECT("'"&amp;A30&amp;"'!H9:H200"),"blocked")</f>
        <v>0</v>
      </c>
      <c r="I30" s="1" t="n">
        <f aca="true">COUNTIF(INDIRECT("'"&amp;A30&amp;"'!H9:H200"),"not applicable")</f>
        <v>0</v>
      </c>
      <c r="J30" s="2" t="n">
        <f aca="true">INDIRECT("'"&amp;A30&amp;"'!H4")</f>
        <v>0.75</v>
      </c>
      <c r="K30" s="1" t="str">
        <f aca="true">INDIRECT("'"&amp;A30&amp;"'!K4")</f>
        <v>open</v>
      </c>
      <c r="L30" s="1" t="str">
        <f aca="true">INDIRECT("'"&amp;A30&amp;"'!E5")</f>
        <v>complete</v>
      </c>
      <c r="M30" s="1" t="str">
        <f aca="false">IF(AND(J30=1,K30="complete",L30="complete"),"complete",IF(H30&gt;0,"blocked","open"))</f>
        <v>open</v>
      </c>
    </row>
    <row r="31" customFormat="false" ht="15" hidden="false" customHeight="true" outlineLevel="0" collapsed="false">
      <c r="A31" s="1" t="s">
        <v>39</v>
      </c>
      <c r="B31" s="1" t="n">
        <f aca="true">INDIRECT("'"&amp;A31&amp;"'!B4")</f>
        <v>16</v>
      </c>
      <c r="C31" s="1" t="n">
        <f aca="true">COUNTIF(INDIRECT("'"&amp;A31&amp;"'!H9:H200"),"not started")</f>
        <v>0</v>
      </c>
      <c r="D31" s="1" t="n">
        <f aca="true">COUNTIF(INDIRECT("'"&amp;A31&amp;"'!H9:H200"),"partial")</f>
        <v>0</v>
      </c>
      <c r="E31" s="1" t="n">
        <f aca="true">COUNTIF(INDIRECT("'"&amp;A31&amp;"'!H9:H200"),"implemented")</f>
        <v>4</v>
      </c>
      <c r="F31" s="1" t="n">
        <f aca="true">COUNTIF(INDIRECT("'"&amp;A31&amp;"'!H9:H200"),"tested")</f>
        <v>11</v>
      </c>
      <c r="G31" s="1" t="n">
        <f aca="true">COUNTIF(INDIRECT("'"&amp;A31&amp;"'!H9:H200"),"verified")</f>
        <v>1</v>
      </c>
      <c r="H31" s="1" t="n">
        <f aca="true">COUNTIF(INDIRECT("'"&amp;A31&amp;"'!H9:H200"),"blocked")</f>
        <v>0</v>
      </c>
      <c r="I31" s="1" t="n">
        <f aca="true">COUNTIF(INDIRECT("'"&amp;A31&amp;"'!H9:H200"),"not applicable")</f>
        <v>0</v>
      </c>
      <c r="J31" s="2" t="n">
        <f aca="true">INDIRECT("'"&amp;A31&amp;"'!H4")</f>
        <v>0.75</v>
      </c>
      <c r="K31" s="1" t="str">
        <f aca="true">INDIRECT("'"&amp;A31&amp;"'!K4")</f>
        <v>open</v>
      </c>
      <c r="L31" s="1" t="str">
        <f aca="true">INDIRECT("'"&amp;A31&amp;"'!E5")</f>
        <v>complete</v>
      </c>
      <c r="M31" s="1" t="str">
        <f aca="false">IF(AND(J31=1,K31="complete",L31="complete"),"complete",IF(H31&gt;0,"blocked","open"))</f>
        <v>open</v>
      </c>
    </row>
    <row r="32" customFormat="false" ht="15" hidden="false" customHeight="true" outlineLevel="0" collapsed="false">
      <c r="A32" s="1" t="s">
        <v>40</v>
      </c>
      <c r="B32" s="1" t="n">
        <f aca="true">INDIRECT("'"&amp;A32&amp;"'!B4")</f>
        <v>17</v>
      </c>
      <c r="C32" s="1" t="n">
        <f aca="true">COUNTIF(INDIRECT("'"&amp;A32&amp;"'!H9:H200"),"not started")</f>
        <v>0</v>
      </c>
      <c r="D32" s="1" t="n">
        <f aca="true">COUNTIF(INDIRECT("'"&amp;A32&amp;"'!H9:H200"),"partial")</f>
        <v>0</v>
      </c>
      <c r="E32" s="1" t="n">
        <f aca="true">COUNTIF(INDIRECT("'"&amp;A32&amp;"'!H9:H200"),"implemented")</f>
        <v>4</v>
      </c>
      <c r="F32" s="1" t="n">
        <f aca="true">COUNTIF(INDIRECT("'"&amp;A32&amp;"'!H9:H200"),"tested")</f>
        <v>12</v>
      </c>
      <c r="G32" s="1" t="n">
        <f aca="true">COUNTIF(INDIRECT("'"&amp;A32&amp;"'!H9:H200"),"verified")</f>
        <v>1</v>
      </c>
      <c r="H32" s="1" t="n">
        <f aca="true">COUNTIF(INDIRECT("'"&amp;A32&amp;"'!H9:H200"),"blocked")</f>
        <v>0</v>
      </c>
      <c r="I32" s="1" t="n">
        <f aca="true">COUNTIF(INDIRECT("'"&amp;A32&amp;"'!H9:H200"),"not applicable")</f>
        <v>0</v>
      </c>
      <c r="J32" s="2" t="n">
        <f aca="true">INDIRECT("'"&amp;A32&amp;"'!H4")</f>
        <v>0.764705882352941</v>
      </c>
      <c r="K32" s="1" t="str">
        <f aca="true">INDIRECT("'"&amp;A32&amp;"'!K4")</f>
        <v>open</v>
      </c>
      <c r="L32" s="1" t="str">
        <f aca="true">INDIRECT("'"&amp;A32&amp;"'!E5")</f>
        <v>complete</v>
      </c>
      <c r="M32" s="1" t="str">
        <f aca="false">IF(AND(J32=1,K32="complete",L32="complete"),"complete",IF(H32&gt;0,"blocked","open"))</f>
        <v>open</v>
      </c>
    </row>
    <row r="33" customFormat="false" ht="15" hidden="false" customHeight="true" outlineLevel="0" collapsed="false">
      <c r="A33" s="1" t="s">
        <v>41</v>
      </c>
      <c r="B33" s="1" t="n">
        <f aca="true">INDIRECT("'"&amp;A33&amp;"'!B4")</f>
        <v>17</v>
      </c>
      <c r="C33" s="1" t="n">
        <f aca="true">COUNTIF(INDIRECT("'"&amp;A33&amp;"'!H9:H200"),"not started")</f>
        <v>0</v>
      </c>
      <c r="D33" s="1" t="n">
        <f aca="true">COUNTIF(INDIRECT("'"&amp;A33&amp;"'!H9:H200"),"partial")</f>
        <v>0</v>
      </c>
      <c r="E33" s="1" t="n">
        <f aca="true">COUNTIF(INDIRECT("'"&amp;A33&amp;"'!H9:H200"),"implemented")</f>
        <v>4</v>
      </c>
      <c r="F33" s="1" t="n">
        <f aca="true">COUNTIF(INDIRECT("'"&amp;A33&amp;"'!H9:H200"),"tested")</f>
        <v>12</v>
      </c>
      <c r="G33" s="1" t="n">
        <f aca="true">COUNTIF(INDIRECT("'"&amp;A33&amp;"'!H9:H200"),"verified")</f>
        <v>1</v>
      </c>
      <c r="H33" s="1" t="n">
        <f aca="true">COUNTIF(INDIRECT("'"&amp;A33&amp;"'!H9:H200"),"blocked")</f>
        <v>0</v>
      </c>
      <c r="I33" s="1" t="n">
        <f aca="true">COUNTIF(INDIRECT("'"&amp;A33&amp;"'!H9:H200"),"not applicable")</f>
        <v>0</v>
      </c>
      <c r="J33" s="2" t="n">
        <f aca="true">INDIRECT("'"&amp;A33&amp;"'!H4")</f>
        <v>0.764705882352941</v>
      </c>
      <c r="K33" s="1" t="str">
        <f aca="true">INDIRECT("'"&amp;A33&amp;"'!K4")</f>
        <v>open</v>
      </c>
      <c r="L33" s="1" t="str">
        <f aca="true">INDIRECT("'"&amp;A33&amp;"'!E5")</f>
        <v>complete</v>
      </c>
      <c r="M33" s="1" t="str">
        <f aca="false">IF(AND(J33=1,K33="complete",L33="complete"),"complete",IF(H33&gt;0,"blocked","open"))</f>
        <v>open</v>
      </c>
    </row>
    <row r="34" customFormat="false" ht="15" hidden="false" customHeight="true" outlineLevel="0" collapsed="false">
      <c r="A34" s="1" t="s">
        <v>42</v>
      </c>
      <c r="B34" s="1" t="n">
        <f aca="true">INDIRECT("'"&amp;A34&amp;"'!B4")</f>
        <v>17</v>
      </c>
      <c r="C34" s="1" t="n">
        <f aca="true">COUNTIF(INDIRECT("'"&amp;A34&amp;"'!H9:H200"),"not started")</f>
        <v>0</v>
      </c>
      <c r="D34" s="1" t="n">
        <f aca="true">COUNTIF(INDIRECT("'"&amp;A34&amp;"'!H9:H200"),"partial")</f>
        <v>0</v>
      </c>
      <c r="E34" s="1" t="n">
        <f aca="true">COUNTIF(INDIRECT("'"&amp;A34&amp;"'!H9:H200"),"implemented")</f>
        <v>4</v>
      </c>
      <c r="F34" s="1" t="n">
        <f aca="true">COUNTIF(INDIRECT("'"&amp;A34&amp;"'!H9:H200"),"tested")</f>
        <v>12</v>
      </c>
      <c r="G34" s="1" t="n">
        <f aca="true">COUNTIF(INDIRECT("'"&amp;A34&amp;"'!H9:H200"),"verified")</f>
        <v>1</v>
      </c>
      <c r="H34" s="1" t="n">
        <f aca="true">COUNTIF(INDIRECT("'"&amp;A34&amp;"'!H9:H200"),"blocked")</f>
        <v>0</v>
      </c>
      <c r="I34" s="1" t="n">
        <f aca="true">COUNTIF(INDIRECT("'"&amp;A34&amp;"'!H9:H200"),"not applicable")</f>
        <v>0</v>
      </c>
      <c r="J34" s="2" t="n">
        <f aca="true">INDIRECT("'"&amp;A34&amp;"'!H4")</f>
        <v>0.764705882352941</v>
      </c>
      <c r="K34" s="1" t="str">
        <f aca="true">INDIRECT("'"&amp;A34&amp;"'!K4")</f>
        <v>open</v>
      </c>
      <c r="L34" s="1" t="str">
        <f aca="true">INDIRECT("'"&amp;A34&amp;"'!E5")</f>
        <v>complete</v>
      </c>
      <c r="M34" s="1" t="str">
        <f aca="false">IF(AND(J34=1,K34="complete",L34="complete"),"complete",IF(H34&gt;0,"blocked","open"))</f>
        <v>open</v>
      </c>
    </row>
    <row r="35" customFormat="false" ht="15" hidden="false" customHeight="true" outlineLevel="0" collapsed="false">
      <c r="A35" s="1" t="s">
        <v>43</v>
      </c>
      <c r="B35" s="1" t="n">
        <f aca="true">INDIRECT("'"&amp;A35&amp;"'!B4")</f>
        <v>17</v>
      </c>
      <c r="C35" s="1" t="n">
        <f aca="true">COUNTIF(INDIRECT("'"&amp;A35&amp;"'!H9:H200"),"not started")</f>
        <v>0</v>
      </c>
      <c r="D35" s="1" t="n">
        <f aca="true">COUNTIF(INDIRECT("'"&amp;A35&amp;"'!H9:H200"),"partial")</f>
        <v>0</v>
      </c>
      <c r="E35" s="1" t="n">
        <f aca="true">COUNTIF(INDIRECT("'"&amp;A35&amp;"'!H9:H200"),"implemented")</f>
        <v>4</v>
      </c>
      <c r="F35" s="1" t="n">
        <f aca="true">COUNTIF(INDIRECT("'"&amp;A35&amp;"'!H9:H200"),"tested")</f>
        <v>12</v>
      </c>
      <c r="G35" s="1" t="n">
        <f aca="true">COUNTIF(INDIRECT("'"&amp;A35&amp;"'!H9:H200"),"verified")</f>
        <v>1</v>
      </c>
      <c r="H35" s="1" t="n">
        <f aca="true">COUNTIF(INDIRECT("'"&amp;A35&amp;"'!H9:H200"),"blocked")</f>
        <v>0</v>
      </c>
      <c r="I35" s="1" t="n">
        <f aca="true">COUNTIF(INDIRECT("'"&amp;A35&amp;"'!H9:H200"),"not applicable")</f>
        <v>0</v>
      </c>
      <c r="J35" s="2" t="n">
        <f aca="true">INDIRECT("'"&amp;A35&amp;"'!H4")</f>
        <v>0.764705882352941</v>
      </c>
      <c r="K35" s="1" t="str">
        <f aca="true">INDIRECT("'"&amp;A35&amp;"'!K4")</f>
        <v>open</v>
      </c>
      <c r="L35" s="1" t="str">
        <f aca="true">INDIRECT("'"&amp;A35&amp;"'!E5")</f>
        <v>complete</v>
      </c>
      <c r="M35" s="1" t="str">
        <f aca="false">IF(AND(J35=1,K35="complete",L35="complete"),"complete",IF(H35&gt;0,"blocked","open"))</f>
        <v>open</v>
      </c>
    </row>
    <row r="36" customFormat="false" ht="15" hidden="false" customHeight="true" outlineLevel="0" collapsed="false">
      <c r="A36" s="1" t="s">
        <v>44</v>
      </c>
      <c r="B36" s="1" t="n">
        <f aca="true">INDIRECT("'"&amp;A36&amp;"'!B4")</f>
        <v>17</v>
      </c>
      <c r="C36" s="1" t="n">
        <f aca="true">COUNTIF(INDIRECT("'"&amp;A36&amp;"'!H9:H200"),"not started")</f>
        <v>0</v>
      </c>
      <c r="D36" s="1" t="n">
        <f aca="true">COUNTIF(INDIRECT("'"&amp;A36&amp;"'!H9:H200"),"partial")</f>
        <v>0</v>
      </c>
      <c r="E36" s="1" t="n">
        <f aca="true">COUNTIF(INDIRECT("'"&amp;A36&amp;"'!H9:H200"),"implemented")</f>
        <v>4</v>
      </c>
      <c r="F36" s="1" t="n">
        <f aca="true">COUNTIF(INDIRECT("'"&amp;A36&amp;"'!H9:H200"),"tested")</f>
        <v>12</v>
      </c>
      <c r="G36" s="1" t="n">
        <f aca="true">COUNTIF(INDIRECT("'"&amp;A36&amp;"'!H9:H200"),"verified")</f>
        <v>1</v>
      </c>
      <c r="H36" s="1" t="n">
        <f aca="true">COUNTIF(INDIRECT("'"&amp;A36&amp;"'!H9:H200"),"blocked")</f>
        <v>0</v>
      </c>
      <c r="I36" s="1" t="n">
        <f aca="true">COUNTIF(INDIRECT("'"&amp;A36&amp;"'!H9:H200"),"not applicable")</f>
        <v>0</v>
      </c>
      <c r="J36" s="2" t="n">
        <f aca="true">INDIRECT("'"&amp;A36&amp;"'!H4")</f>
        <v>0.764705882352941</v>
      </c>
      <c r="K36" s="1" t="str">
        <f aca="true">INDIRECT("'"&amp;A36&amp;"'!K4")</f>
        <v>open</v>
      </c>
      <c r="L36" s="1" t="str">
        <f aca="true">INDIRECT("'"&amp;A36&amp;"'!E5")</f>
        <v>complete</v>
      </c>
      <c r="M36" s="1" t="str">
        <f aca="false">IF(AND(J36=1,K36="complete",L36="complete"),"complete",IF(H36&gt;0,"blocked","open"))</f>
        <v>open</v>
      </c>
    </row>
    <row r="37" customFormat="false" ht="15" hidden="false" customHeight="true" outlineLevel="0" collapsed="false">
      <c r="A37" s="1" t="s">
        <v>45</v>
      </c>
      <c r="B37" s="1" t="n">
        <f aca="true">INDIRECT("'"&amp;A37&amp;"'!B4")</f>
        <v>15</v>
      </c>
      <c r="C37" s="1" t="n">
        <f aca="true">COUNTIF(INDIRECT("'"&amp;A37&amp;"'!H9:H200"),"not started")</f>
        <v>0</v>
      </c>
      <c r="D37" s="1" t="n">
        <f aca="true">COUNTIF(INDIRECT("'"&amp;A37&amp;"'!H9:H200"),"partial")</f>
        <v>0</v>
      </c>
      <c r="E37" s="1" t="n">
        <f aca="true">COUNTIF(INDIRECT("'"&amp;A37&amp;"'!H9:H200"),"implemented")</f>
        <v>4</v>
      </c>
      <c r="F37" s="1" t="n">
        <f aca="true">COUNTIF(INDIRECT("'"&amp;A37&amp;"'!H9:H200"),"tested")</f>
        <v>11</v>
      </c>
      <c r="G37" s="1" t="n">
        <f aca="true">COUNTIF(INDIRECT("'"&amp;A37&amp;"'!H9:H200"),"verified")</f>
        <v>0</v>
      </c>
      <c r="H37" s="1" t="n">
        <f aca="true">COUNTIF(INDIRECT("'"&amp;A37&amp;"'!H9:H200"),"blocked")</f>
        <v>0</v>
      </c>
      <c r="I37" s="1" t="n">
        <f aca="true">COUNTIF(INDIRECT("'"&amp;A37&amp;"'!H9:H200"),"not applicable")</f>
        <v>0</v>
      </c>
      <c r="J37" s="2" t="n">
        <f aca="true">INDIRECT("'"&amp;A37&amp;"'!H4")</f>
        <v>0.733333333333333</v>
      </c>
      <c r="K37" s="1" t="str">
        <f aca="true">INDIRECT("'"&amp;A37&amp;"'!K4")</f>
        <v>open</v>
      </c>
      <c r="L37" s="1" t="str">
        <f aca="true">INDIRECT("'"&amp;A37&amp;"'!E5")</f>
        <v>complete</v>
      </c>
      <c r="M37" s="1" t="str">
        <f aca="false">IF(AND(J37=1,K37="complete",L37="complete"),"complete",IF(H37&gt;0,"blocked","open"))</f>
        <v>open</v>
      </c>
    </row>
    <row r="38" customFormat="false" ht="15" hidden="false" customHeight="true" outlineLevel="0" collapsed="false">
      <c r="A38" s="1" t="s">
        <v>46</v>
      </c>
      <c r="B38" s="1" t="n">
        <f aca="true">INDIRECT("'"&amp;A38&amp;"'!B4")</f>
        <v>16</v>
      </c>
      <c r="C38" s="1" t="n">
        <f aca="true">COUNTIF(INDIRECT("'"&amp;A38&amp;"'!H9:H200"),"not started")</f>
        <v>0</v>
      </c>
      <c r="D38" s="1" t="n">
        <f aca="true">COUNTIF(INDIRECT("'"&amp;A38&amp;"'!H9:H200"),"partial")</f>
        <v>0</v>
      </c>
      <c r="E38" s="1" t="n">
        <f aca="true">COUNTIF(INDIRECT("'"&amp;A38&amp;"'!H9:H200"),"implemented")</f>
        <v>4</v>
      </c>
      <c r="F38" s="1" t="n">
        <f aca="true">COUNTIF(INDIRECT("'"&amp;A38&amp;"'!H9:H200"),"tested")</f>
        <v>12</v>
      </c>
      <c r="G38" s="1" t="n">
        <f aca="true">COUNTIF(INDIRECT("'"&amp;A38&amp;"'!H9:H200"),"verified")</f>
        <v>0</v>
      </c>
      <c r="H38" s="1" t="n">
        <f aca="true">COUNTIF(INDIRECT("'"&amp;A38&amp;"'!H9:H200"),"blocked")</f>
        <v>0</v>
      </c>
      <c r="I38" s="1" t="n">
        <f aca="true">COUNTIF(INDIRECT("'"&amp;A38&amp;"'!H9:H200"),"not applicable")</f>
        <v>0</v>
      </c>
      <c r="J38" s="2" t="n">
        <f aca="true">INDIRECT("'"&amp;A38&amp;"'!H4")</f>
        <v>0.75</v>
      </c>
      <c r="K38" s="1" t="str">
        <f aca="true">INDIRECT("'"&amp;A38&amp;"'!K4")</f>
        <v>open</v>
      </c>
      <c r="L38" s="1" t="str">
        <f aca="true">INDIRECT("'"&amp;A38&amp;"'!E5")</f>
        <v>complete</v>
      </c>
      <c r="M38" s="1" t="str">
        <f aca="false">IF(AND(J38=1,K38="complete",L38="complete"),"complete",IF(H38&gt;0,"blocked","open"))</f>
        <v>open</v>
      </c>
    </row>
    <row r="39" customFormat="false" ht="15" hidden="false" customHeight="true" outlineLevel="0" collapsed="false">
      <c r="A39" s="1" t="s">
        <v>47</v>
      </c>
      <c r="B39" s="1" t="n">
        <f aca="true">INDIRECT("'"&amp;A39&amp;"'!B4")</f>
        <v>16</v>
      </c>
      <c r="C39" s="1" t="n">
        <f aca="true">COUNTIF(INDIRECT("'"&amp;A39&amp;"'!H9:H200"),"not started")</f>
        <v>0</v>
      </c>
      <c r="D39" s="1" t="n">
        <f aca="true">COUNTIF(INDIRECT("'"&amp;A39&amp;"'!H9:H200"),"partial")</f>
        <v>0</v>
      </c>
      <c r="E39" s="1" t="n">
        <f aca="true">COUNTIF(INDIRECT("'"&amp;A39&amp;"'!H9:H200"),"implemented")</f>
        <v>0</v>
      </c>
      <c r="F39" s="1" t="n">
        <f aca="true">COUNTIF(INDIRECT("'"&amp;A39&amp;"'!H9:H200"),"tested")</f>
        <v>16</v>
      </c>
      <c r="G39" s="1" t="n">
        <f aca="true">COUNTIF(INDIRECT("'"&amp;A39&amp;"'!H9:H200"),"verified")</f>
        <v>0</v>
      </c>
      <c r="H39" s="1" t="n">
        <f aca="true">COUNTIF(INDIRECT("'"&amp;A39&amp;"'!H9:H200"),"blocked")</f>
        <v>0</v>
      </c>
      <c r="I39" s="1" t="n">
        <f aca="true">COUNTIF(INDIRECT("'"&amp;A39&amp;"'!H9:H200"),"not applicable")</f>
        <v>0</v>
      </c>
      <c r="J39" s="2" t="n">
        <f aca="true">INDIRECT("'"&amp;A39&amp;"'!H4")</f>
        <v>1</v>
      </c>
      <c r="K39" s="1" t="str">
        <f aca="true">INDIRECT("'"&amp;A39&amp;"'!K4")</f>
        <v>complete</v>
      </c>
      <c r="L39" s="1" t="str">
        <f aca="true">INDIRECT("'"&amp;A39&amp;"'!E5")</f>
        <v>complete</v>
      </c>
      <c r="M39" s="1" t="str">
        <f aca="false">IF(AND(J39=1,K39="complete",L39="complete"),"complete",IF(H39&gt;0,"blocked","open"))</f>
        <v>complete</v>
      </c>
    </row>
    <row r="40" customFormat="false" ht="15" hidden="false" customHeight="true" outlineLevel="0" collapsed="false">
      <c r="A40" s="1" t="s">
        <v>48</v>
      </c>
      <c r="B40" s="1" t="n">
        <f aca="true">INDIRECT("'"&amp;A40&amp;"'!B4")</f>
        <v>16</v>
      </c>
      <c r="C40" s="1" t="n">
        <f aca="true">COUNTIF(INDIRECT("'"&amp;A40&amp;"'!H9:H200"),"not started")</f>
        <v>0</v>
      </c>
      <c r="D40" s="1" t="n">
        <f aca="true">COUNTIF(INDIRECT("'"&amp;A40&amp;"'!H9:H200"),"partial")</f>
        <v>0</v>
      </c>
      <c r="E40" s="1" t="n">
        <f aca="true">COUNTIF(INDIRECT("'"&amp;A40&amp;"'!H9:H200"),"implemented")</f>
        <v>3</v>
      </c>
      <c r="F40" s="1" t="n">
        <f aca="true">COUNTIF(INDIRECT("'"&amp;A40&amp;"'!H9:H200"),"tested")</f>
        <v>13</v>
      </c>
      <c r="G40" s="1" t="n">
        <f aca="true">COUNTIF(INDIRECT("'"&amp;A40&amp;"'!H9:H200"),"verified")</f>
        <v>0</v>
      </c>
      <c r="H40" s="1" t="n">
        <f aca="true">COUNTIF(INDIRECT("'"&amp;A40&amp;"'!H9:H200"),"blocked")</f>
        <v>0</v>
      </c>
      <c r="I40" s="1" t="n">
        <f aca="true">COUNTIF(INDIRECT("'"&amp;A40&amp;"'!H9:H200"),"not applicable")</f>
        <v>0</v>
      </c>
      <c r="J40" s="2" t="n">
        <f aca="true">INDIRECT("'"&amp;A40&amp;"'!H4")</f>
        <v>0.8125</v>
      </c>
      <c r="K40" s="1" t="str">
        <f aca="true">INDIRECT("'"&amp;A40&amp;"'!K4")</f>
        <v>open</v>
      </c>
      <c r="L40" s="1" t="str">
        <f aca="true">INDIRECT("'"&amp;A40&amp;"'!E5")</f>
        <v>complete</v>
      </c>
      <c r="M40" s="1" t="str">
        <f aca="false">IF(AND(J40=1,K40="complete",L40="complete"),"complete",IF(H40&gt;0,"blocked","open"))</f>
        <v>open</v>
      </c>
    </row>
    <row r="41" customFormat="false" ht="15" hidden="false" customHeight="true" outlineLevel="0" collapsed="false">
      <c r="A41" s="1" t="s">
        <v>49</v>
      </c>
      <c r="B41" s="1" t="n">
        <f aca="true">INDIRECT("'"&amp;A41&amp;"'!B4")</f>
        <v>17</v>
      </c>
      <c r="C41" s="1" t="n">
        <f aca="true">COUNTIF(INDIRECT("'"&amp;A41&amp;"'!H9:H200"),"not started")</f>
        <v>0</v>
      </c>
      <c r="D41" s="1" t="n">
        <f aca="true">COUNTIF(INDIRECT("'"&amp;A41&amp;"'!H9:H200"),"partial")</f>
        <v>0</v>
      </c>
      <c r="E41" s="1" t="n">
        <f aca="true">COUNTIF(INDIRECT("'"&amp;A41&amp;"'!H9:H200"),"implemented")</f>
        <v>3</v>
      </c>
      <c r="F41" s="1" t="n">
        <f aca="true">COUNTIF(INDIRECT("'"&amp;A41&amp;"'!H9:H200"),"tested")</f>
        <v>14</v>
      </c>
      <c r="G41" s="1" t="n">
        <f aca="true">COUNTIF(INDIRECT("'"&amp;A41&amp;"'!H9:H200"),"verified")</f>
        <v>0</v>
      </c>
      <c r="H41" s="1" t="n">
        <f aca="true">COUNTIF(INDIRECT("'"&amp;A41&amp;"'!H9:H200"),"blocked")</f>
        <v>0</v>
      </c>
      <c r="I41" s="1" t="n">
        <f aca="true">COUNTIF(INDIRECT("'"&amp;A41&amp;"'!H9:H200"),"not applicable")</f>
        <v>0</v>
      </c>
      <c r="J41" s="2" t="n">
        <f aca="true">INDIRECT("'"&amp;A41&amp;"'!H4")</f>
        <v>0.823529411764706</v>
      </c>
      <c r="K41" s="1" t="str">
        <f aca="true">INDIRECT("'"&amp;A41&amp;"'!K4")</f>
        <v>open</v>
      </c>
      <c r="L41" s="1" t="str">
        <f aca="true">INDIRECT("'"&amp;A41&amp;"'!E5")</f>
        <v>complete</v>
      </c>
      <c r="M41" s="1" t="str">
        <f aca="false">IF(AND(J41=1,K41="complete",L41="complete"),"complete",IF(H41&gt;0,"blocked","open"))</f>
        <v>open</v>
      </c>
    </row>
    <row r="42" customFormat="false" ht="15" hidden="false" customHeight="true" outlineLevel="0" collapsed="false">
      <c r="A42" s="1" t="s">
        <v>50</v>
      </c>
      <c r="B42" s="1" t="n">
        <f aca="true">INDIRECT("'"&amp;A42&amp;"'!B4")</f>
        <v>22</v>
      </c>
      <c r="C42" s="1" t="n">
        <f aca="true">COUNTIF(INDIRECT("'"&amp;A42&amp;"'!H9:H200"),"not started")</f>
        <v>0</v>
      </c>
      <c r="D42" s="1" t="n">
        <f aca="true">COUNTIF(INDIRECT("'"&amp;A42&amp;"'!H9:H200"),"partial")</f>
        <v>0</v>
      </c>
      <c r="E42" s="1" t="n">
        <f aca="true">COUNTIF(INDIRECT("'"&amp;A42&amp;"'!H9:H200"),"implemented")</f>
        <v>3</v>
      </c>
      <c r="F42" s="1" t="n">
        <f aca="true">COUNTIF(INDIRECT("'"&amp;A42&amp;"'!H9:H200"),"tested")</f>
        <v>19</v>
      </c>
      <c r="G42" s="1" t="n">
        <f aca="true">COUNTIF(INDIRECT("'"&amp;A42&amp;"'!H9:H200"),"verified")</f>
        <v>0</v>
      </c>
      <c r="H42" s="1" t="n">
        <f aca="true">COUNTIF(INDIRECT("'"&amp;A42&amp;"'!H9:H200"),"blocked")</f>
        <v>0</v>
      </c>
      <c r="I42" s="1" t="n">
        <f aca="true">COUNTIF(INDIRECT("'"&amp;A42&amp;"'!H9:H200"),"not applicable")</f>
        <v>0</v>
      </c>
      <c r="J42" s="2" t="n">
        <f aca="true">INDIRECT("'"&amp;A42&amp;"'!H4")</f>
        <v>0.863636363636364</v>
      </c>
      <c r="K42" s="1" t="str">
        <f aca="true">INDIRECT("'"&amp;A42&amp;"'!K4")</f>
        <v>open</v>
      </c>
      <c r="L42" s="1" t="str">
        <f aca="true">INDIRECT("'"&amp;A42&amp;"'!E5")</f>
        <v>complete</v>
      </c>
      <c r="M42" s="1" t="str">
        <f aca="false">IF(AND(J42=1,K42="complete",L42="complete"),"complete",IF(H42&gt;0,"blocked","open"))</f>
        <v>open</v>
      </c>
    </row>
    <row r="43" customFormat="false" ht="15" hidden="false" customHeight="true" outlineLevel="0" collapsed="false">
      <c r="A43" s="1" t="s">
        <v>51</v>
      </c>
      <c r="B43" s="1" t="n">
        <f aca="true">INDIRECT("'"&amp;A43&amp;"'!B4")</f>
        <v>19</v>
      </c>
      <c r="C43" s="1" t="n">
        <f aca="true">COUNTIF(INDIRECT("'"&amp;A43&amp;"'!H9:H200"),"not started")</f>
        <v>0</v>
      </c>
      <c r="D43" s="1" t="n">
        <f aca="true">COUNTIF(INDIRECT("'"&amp;A43&amp;"'!H9:H200"),"partial")</f>
        <v>0</v>
      </c>
      <c r="E43" s="1" t="n">
        <f aca="true">COUNTIF(INDIRECT("'"&amp;A43&amp;"'!H9:H200"),"implemented")</f>
        <v>4</v>
      </c>
      <c r="F43" s="1" t="n">
        <f aca="true">COUNTIF(INDIRECT("'"&amp;A43&amp;"'!H9:H200"),"tested")</f>
        <v>14</v>
      </c>
      <c r="G43" s="1" t="n">
        <f aca="true">COUNTIF(INDIRECT("'"&amp;A43&amp;"'!H9:H200"),"verified")</f>
        <v>1</v>
      </c>
      <c r="H43" s="1" t="n">
        <f aca="true">COUNTIF(INDIRECT("'"&amp;A43&amp;"'!H9:H200"),"blocked")</f>
        <v>0</v>
      </c>
      <c r="I43" s="1" t="n">
        <f aca="true">COUNTIF(INDIRECT("'"&amp;A43&amp;"'!H9:H200"),"not applicable")</f>
        <v>0</v>
      </c>
      <c r="J43" s="2" t="n">
        <f aca="true">INDIRECT("'"&amp;A43&amp;"'!H4")</f>
        <v>0.789473684210526</v>
      </c>
      <c r="K43" s="1" t="str">
        <f aca="true">INDIRECT("'"&amp;A43&amp;"'!K4")</f>
        <v>open</v>
      </c>
      <c r="L43" s="1" t="str">
        <f aca="true">INDIRECT("'"&amp;A43&amp;"'!E5")</f>
        <v>complete</v>
      </c>
      <c r="M43" s="1" t="str">
        <f aca="false">IF(AND(J43=1,K43="complete",L43="complete"),"complete",IF(H43&gt;0,"blocked","open"))</f>
        <v>open</v>
      </c>
    </row>
    <row r="44" customFormat="false" ht="15" hidden="false" customHeight="true" outlineLevel="0" collapsed="false">
      <c r="A44" s="1" t="s">
        <v>52</v>
      </c>
      <c r="B44" s="1" t="n">
        <f aca="true">INDIRECT("'"&amp;A44&amp;"'!B4")</f>
        <v>22</v>
      </c>
      <c r="C44" s="1" t="n">
        <f aca="true">COUNTIF(INDIRECT("'"&amp;A44&amp;"'!H9:H200"),"not started")</f>
        <v>0</v>
      </c>
      <c r="D44" s="1" t="n">
        <f aca="true">COUNTIF(INDIRECT("'"&amp;A44&amp;"'!H9:H200"),"partial")</f>
        <v>0</v>
      </c>
      <c r="E44" s="1" t="n">
        <f aca="true">COUNTIF(INDIRECT("'"&amp;A44&amp;"'!H9:H200"),"implemented")</f>
        <v>6</v>
      </c>
      <c r="F44" s="1" t="n">
        <f aca="true">COUNTIF(INDIRECT("'"&amp;A44&amp;"'!H9:H200"),"tested")</f>
        <v>16</v>
      </c>
      <c r="G44" s="1" t="n">
        <f aca="true">COUNTIF(INDIRECT("'"&amp;A44&amp;"'!H9:H200"),"verified")</f>
        <v>0</v>
      </c>
      <c r="H44" s="1" t="n">
        <f aca="true">COUNTIF(INDIRECT("'"&amp;A44&amp;"'!H9:H200"),"blocked")</f>
        <v>0</v>
      </c>
      <c r="I44" s="1" t="n">
        <f aca="true">COUNTIF(INDIRECT("'"&amp;A44&amp;"'!H9:H200"),"not applicable")</f>
        <v>0</v>
      </c>
      <c r="J44" s="2" t="n">
        <f aca="true">INDIRECT("'"&amp;A44&amp;"'!H4")</f>
        <v>0.727272727272727</v>
      </c>
      <c r="K44" s="1" t="str">
        <f aca="true">INDIRECT("'"&amp;A44&amp;"'!K4")</f>
        <v>open</v>
      </c>
      <c r="L44" s="1" t="str">
        <f aca="true">INDIRECT("'"&amp;A44&amp;"'!E5")</f>
        <v>complete</v>
      </c>
      <c r="M44" s="1" t="str">
        <f aca="false">IF(AND(J44=1,K44="complete",L44="complete"),"complete",IF(H44&gt;0,"blocked","open"))</f>
        <v>open</v>
      </c>
    </row>
    <row r="45" customFormat="false" ht="15" hidden="false" customHeight="true" outlineLevel="0" collapsed="false">
      <c r="A45" s="1" t="s">
        <v>53</v>
      </c>
      <c r="B45" s="1" t="n">
        <f aca="true">INDIRECT("'"&amp;A45&amp;"'!B4")</f>
        <v>22</v>
      </c>
      <c r="C45" s="1" t="n">
        <f aca="true">COUNTIF(INDIRECT("'"&amp;A45&amp;"'!H9:H200"),"not started")</f>
        <v>0</v>
      </c>
      <c r="D45" s="1" t="n">
        <f aca="true">COUNTIF(INDIRECT("'"&amp;A45&amp;"'!H9:H200"),"partial")</f>
        <v>0</v>
      </c>
      <c r="E45" s="1" t="n">
        <f aca="true">COUNTIF(INDIRECT("'"&amp;A45&amp;"'!H9:H200"),"implemented")</f>
        <v>6</v>
      </c>
      <c r="F45" s="1" t="n">
        <f aca="true">COUNTIF(INDIRECT("'"&amp;A45&amp;"'!H9:H200"),"tested")</f>
        <v>16</v>
      </c>
      <c r="G45" s="1" t="n">
        <f aca="true">COUNTIF(INDIRECT("'"&amp;A45&amp;"'!H9:H200"),"verified")</f>
        <v>0</v>
      </c>
      <c r="H45" s="1" t="n">
        <f aca="true">COUNTIF(INDIRECT("'"&amp;A45&amp;"'!H9:H200"),"blocked")</f>
        <v>0</v>
      </c>
      <c r="I45" s="1" t="n">
        <f aca="true">COUNTIF(INDIRECT("'"&amp;A45&amp;"'!H9:H200"),"not applicable")</f>
        <v>0</v>
      </c>
      <c r="J45" s="2" t="n">
        <f aca="true">INDIRECT("'"&amp;A45&amp;"'!H4")</f>
        <v>0.727272727272727</v>
      </c>
      <c r="K45" s="1" t="str">
        <f aca="true">INDIRECT("'"&amp;A45&amp;"'!K4")</f>
        <v>open</v>
      </c>
      <c r="L45" s="1" t="str">
        <f aca="true">INDIRECT("'"&amp;A45&amp;"'!E5")</f>
        <v>complete</v>
      </c>
      <c r="M45" s="1" t="str">
        <f aca="false">IF(AND(J45=1,K45="complete",L45="complete"),"complete",IF(H45&gt;0,"blocked","open"))</f>
        <v>open</v>
      </c>
    </row>
    <row r="46" customFormat="false" ht="15" hidden="false" customHeight="true" outlineLevel="0" collapsed="false">
      <c r="A46" s="1" t="s">
        <v>54</v>
      </c>
      <c r="B46" s="1" t="n">
        <f aca="true">INDIRECT("'"&amp;A46&amp;"'!B4")</f>
        <v>22</v>
      </c>
      <c r="C46" s="1" t="n">
        <f aca="true">COUNTIF(INDIRECT("'"&amp;A46&amp;"'!H9:H200"),"not started")</f>
        <v>0</v>
      </c>
      <c r="D46" s="1" t="n">
        <f aca="true">COUNTIF(INDIRECT("'"&amp;A46&amp;"'!H9:H200"),"partial")</f>
        <v>0</v>
      </c>
      <c r="E46" s="1" t="n">
        <f aca="true">COUNTIF(INDIRECT("'"&amp;A46&amp;"'!H9:H200"),"implemented")</f>
        <v>5</v>
      </c>
      <c r="F46" s="1" t="n">
        <f aca="true">COUNTIF(INDIRECT("'"&amp;A46&amp;"'!H9:H200"),"tested")</f>
        <v>17</v>
      </c>
      <c r="G46" s="1" t="n">
        <f aca="true">COUNTIF(INDIRECT("'"&amp;A46&amp;"'!H9:H200"),"verified")</f>
        <v>0</v>
      </c>
      <c r="H46" s="1" t="n">
        <f aca="true">COUNTIF(INDIRECT("'"&amp;A46&amp;"'!H9:H200"),"blocked")</f>
        <v>0</v>
      </c>
      <c r="I46" s="1" t="n">
        <f aca="true">COUNTIF(INDIRECT("'"&amp;A46&amp;"'!H9:H200"),"not applicable")</f>
        <v>0</v>
      </c>
      <c r="J46" s="2" t="n">
        <f aca="true">INDIRECT("'"&amp;A46&amp;"'!H4")</f>
        <v>0.772727272727273</v>
      </c>
      <c r="K46" s="1" t="str">
        <f aca="true">INDIRECT("'"&amp;A46&amp;"'!K4")</f>
        <v>open</v>
      </c>
      <c r="L46" s="1" t="str">
        <f aca="true">INDIRECT("'"&amp;A46&amp;"'!E5")</f>
        <v>complete</v>
      </c>
      <c r="M46" s="1" t="str">
        <f aca="false">IF(AND(J46=1,K46="complete",L46="complete"),"complete",IF(H46&gt;0,"blocked","open"))</f>
        <v>open</v>
      </c>
    </row>
    <row r="47" customFormat="false" ht="15" hidden="false" customHeight="true" outlineLevel="0" collapsed="false">
      <c r="A47" s="1" t="s">
        <v>55</v>
      </c>
      <c r="B47" s="1" t="n">
        <f aca="true">INDIRECT("'"&amp;A47&amp;"'!B4")</f>
        <v>20</v>
      </c>
      <c r="C47" s="1" t="n">
        <f aca="true">COUNTIF(INDIRECT("'"&amp;A47&amp;"'!H9:H200"),"not started")</f>
        <v>2</v>
      </c>
      <c r="D47" s="1" t="n">
        <f aca="true">COUNTIF(INDIRECT("'"&amp;A47&amp;"'!H9:H200"),"partial")</f>
        <v>0</v>
      </c>
      <c r="E47" s="1" t="n">
        <f aca="true">COUNTIF(INDIRECT("'"&amp;A47&amp;"'!H9:H200"),"implemented")</f>
        <v>0</v>
      </c>
      <c r="F47" s="1" t="n">
        <f aca="true">COUNTIF(INDIRECT("'"&amp;A47&amp;"'!H9:H200"),"tested")</f>
        <v>18</v>
      </c>
      <c r="G47" s="1" t="n">
        <f aca="true">COUNTIF(INDIRECT("'"&amp;A47&amp;"'!H9:H200"),"verified")</f>
        <v>0</v>
      </c>
      <c r="H47" s="1" t="n">
        <f aca="true">COUNTIF(INDIRECT("'"&amp;A47&amp;"'!H9:H200"),"blocked")</f>
        <v>0</v>
      </c>
      <c r="I47" s="1" t="n">
        <f aca="true">COUNTIF(INDIRECT("'"&amp;A47&amp;"'!H9:H200"),"not applicable")</f>
        <v>0</v>
      </c>
      <c r="J47" s="2" t="n">
        <f aca="true">INDIRECT("'"&amp;A47&amp;"'!H4")</f>
        <v>0.9</v>
      </c>
      <c r="K47" s="1" t="str">
        <f aca="true">INDIRECT("'"&amp;A47&amp;"'!K4")</f>
        <v>open</v>
      </c>
      <c r="L47" s="1" t="str">
        <f aca="true">INDIRECT("'"&amp;A47&amp;"'!E5")</f>
        <v>complete</v>
      </c>
      <c r="M47" s="1" t="str">
        <f aca="false">IF(AND(J47=1,K47="complete",L47="complete"),"complete",IF(H47&gt;0,"blocked","open"))</f>
        <v>open</v>
      </c>
    </row>
    <row r="48" customFormat="false" ht="15" hidden="false" customHeight="true" outlineLevel="0" collapsed="false">
      <c r="A48" s="1" t="s">
        <v>56</v>
      </c>
      <c r="B48" s="1" t="n">
        <f aca="true">INDIRECT("'"&amp;A48&amp;"'!B4")</f>
        <v>20</v>
      </c>
      <c r="C48" s="1" t="n">
        <f aca="true">COUNTIF(INDIRECT("'"&amp;A48&amp;"'!H9:H200"),"not started")</f>
        <v>2</v>
      </c>
      <c r="D48" s="1" t="n">
        <f aca="true">COUNTIF(INDIRECT("'"&amp;A48&amp;"'!H9:H200"),"partial")</f>
        <v>0</v>
      </c>
      <c r="E48" s="1" t="n">
        <f aca="true">COUNTIF(INDIRECT("'"&amp;A48&amp;"'!H9:H200"),"implemented")</f>
        <v>0</v>
      </c>
      <c r="F48" s="1" t="n">
        <f aca="true">COUNTIF(INDIRECT("'"&amp;A48&amp;"'!H9:H200"),"tested")</f>
        <v>18</v>
      </c>
      <c r="G48" s="1" t="n">
        <f aca="true">COUNTIF(INDIRECT("'"&amp;A48&amp;"'!H9:H200"),"verified")</f>
        <v>0</v>
      </c>
      <c r="H48" s="1" t="n">
        <f aca="true">COUNTIF(INDIRECT("'"&amp;A48&amp;"'!H9:H200"),"blocked")</f>
        <v>0</v>
      </c>
      <c r="I48" s="1" t="n">
        <f aca="true">COUNTIF(INDIRECT("'"&amp;A48&amp;"'!H9:H200"),"not applicable")</f>
        <v>0</v>
      </c>
      <c r="J48" s="2" t="n">
        <f aca="true">INDIRECT("'"&amp;A48&amp;"'!H4")</f>
        <v>0.9</v>
      </c>
      <c r="K48" s="1" t="str">
        <f aca="true">INDIRECT("'"&amp;A48&amp;"'!B5")</f>
        <v>open</v>
      </c>
      <c r="L48" s="1" t="str">
        <f aca="true">INDIRECT("'"&amp;A48&amp;"'!E5")</f>
        <v>complete</v>
      </c>
      <c r="M48" s="1" t="str">
        <f aca="false">IF(AND(J48=1,K48="complete",L48="complete"),"complete",IF(H48&gt;0,"blocked","open"))</f>
        <v>open</v>
      </c>
    </row>
    <row r="49" customFormat="false" ht="15" hidden="false" customHeight="true" outlineLevel="0" collapsed="false">
      <c r="A49" s="1" t="s">
        <v>57</v>
      </c>
      <c r="B49" s="1" t="n">
        <f aca="true">INDIRECT("'"&amp;A49&amp;"'!B4")</f>
        <v>23</v>
      </c>
      <c r="C49" s="1" t="n">
        <f aca="true">COUNTIF(INDIRECT("'"&amp;A49&amp;"'!H9:H200"),"not started")</f>
        <v>1</v>
      </c>
      <c r="D49" s="1" t="n">
        <f aca="true">COUNTIF(INDIRECT("'"&amp;A49&amp;"'!H9:H200"),"partial")</f>
        <v>0</v>
      </c>
      <c r="E49" s="1" t="n">
        <f aca="true">COUNTIF(INDIRECT("'"&amp;A49&amp;"'!H9:H200"),"implemented")</f>
        <v>0</v>
      </c>
      <c r="F49" s="1" t="n">
        <f aca="true">COUNTIF(INDIRECT("'"&amp;A49&amp;"'!H9:H200"),"tested")</f>
        <v>19</v>
      </c>
      <c r="G49" s="1" t="n">
        <f aca="true">COUNTIF(INDIRECT("'"&amp;A49&amp;"'!H9:H200"),"verified")</f>
        <v>3</v>
      </c>
      <c r="H49" s="1" t="n">
        <f aca="true">COUNTIF(INDIRECT("'"&amp;A49&amp;"'!H9:H200"),"blocked")</f>
        <v>0</v>
      </c>
      <c r="I49" s="1" t="n">
        <f aca="true">COUNTIF(INDIRECT("'"&amp;A49&amp;"'!H9:H200"),"not applicable")</f>
        <v>0</v>
      </c>
      <c r="J49" s="2" t="n">
        <f aca="true">INDIRECT("'"&amp;A49&amp;"'!H4")</f>
        <v>0.956521739130435</v>
      </c>
      <c r="K49" s="1" t="str">
        <f aca="true">INDIRECT("'"&amp;A49&amp;"'!B5")</f>
        <v>open</v>
      </c>
      <c r="L49" s="1" t="str">
        <f aca="true">INDIRECT("'"&amp;A49&amp;"'!E5")</f>
        <v>complete</v>
      </c>
      <c r="M49" s="1" t="str">
        <f aca="false">IF(AND(J49=1,K49="complete",L49="complete"),"complete",IF(H49&gt;0,"blocked","open"))</f>
        <v>open</v>
      </c>
    </row>
    <row r="50" customFormat="false" ht="15" hidden="false" customHeight="true" outlineLevel="0" collapsed="false">
      <c r="A50" s="1" t="s">
        <v>58</v>
      </c>
      <c r="B50" s="1" t="n">
        <f aca="true">INDIRECT("'"&amp;A50&amp;"'!B4")</f>
        <v>23</v>
      </c>
      <c r="C50" s="1" t="n">
        <f aca="true">COUNTIF(INDIRECT("'"&amp;A50&amp;"'!H9:H200"),"not started")</f>
        <v>1</v>
      </c>
      <c r="D50" s="1" t="n">
        <f aca="true">COUNTIF(INDIRECT("'"&amp;A50&amp;"'!H9:H200"),"partial")</f>
        <v>0</v>
      </c>
      <c r="E50" s="1" t="n">
        <f aca="true">COUNTIF(INDIRECT("'"&amp;A50&amp;"'!H9:H200"),"implemented")</f>
        <v>0</v>
      </c>
      <c r="F50" s="1" t="n">
        <f aca="true">COUNTIF(INDIRECT("'"&amp;A50&amp;"'!H9:H200"),"tested")</f>
        <v>18</v>
      </c>
      <c r="G50" s="1" t="n">
        <f aca="true">COUNTIF(INDIRECT("'"&amp;A50&amp;"'!H9:H200"),"verified")</f>
        <v>4</v>
      </c>
      <c r="H50" s="1" t="n">
        <f aca="true">COUNTIF(INDIRECT("'"&amp;A50&amp;"'!H9:H200"),"blocked")</f>
        <v>0</v>
      </c>
      <c r="I50" s="1" t="n">
        <f aca="true">COUNTIF(INDIRECT("'"&amp;A50&amp;"'!H9:H200"),"not applicable")</f>
        <v>0</v>
      </c>
      <c r="J50" s="2" t="n">
        <f aca="true">INDIRECT("'"&amp;A50&amp;"'!H4")</f>
        <v>0.956521739130435</v>
      </c>
      <c r="K50" s="1" t="str">
        <f aca="true">INDIRECT("'"&amp;A50&amp;"'!K4")</f>
        <v>open</v>
      </c>
      <c r="L50" s="1" t="str">
        <f aca="true">INDIRECT("'"&amp;A50&amp;"'!E5")</f>
        <v>complete</v>
      </c>
      <c r="M50" s="1" t="str">
        <f aca="false">IF(AND(J50=1,K50="complete",L50="complete"),"complete",IF(H50&gt;0,"blocked","open"))</f>
        <v>open</v>
      </c>
    </row>
    <row r="51" customFormat="false" ht="15" hidden="false" customHeight="true" outlineLevel="0" collapsed="false">
      <c r="A51" s="1" t="s">
        <v>59</v>
      </c>
      <c r="B51" s="1" t="n">
        <f aca="true">INDIRECT("'"&amp;A51&amp;"'!B4")</f>
        <v>22</v>
      </c>
      <c r="C51" s="1" t="n">
        <f aca="true">COUNTIF(INDIRECT("'"&amp;A51&amp;"'!H9:H200"),"not started")</f>
        <v>1</v>
      </c>
      <c r="D51" s="1" t="n">
        <f aca="true">COUNTIF(INDIRECT("'"&amp;A51&amp;"'!H9:H200"),"partial")</f>
        <v>0</v>
      </c>
      <c r="E51" s="1" t="n">
        <f aca="true">COUNTIF(INDIRECT("'"&amp;A51&amp;"'!H9:H200"),"implemented")</f>
        <v>0</v>
      </c>
      <c r="F51" s="1" t="n">
        <f aca="true">COUNTIF(INDIRECT("'"&amp;A51&amp;"'!H9:H200"),"tested")</f>
        <v>16</v>
      </c>
      <c r="G51" s="1" t="n">
        <f aca="true">COUNTIF(INDIRECT("'"&amp;A51&amp;"'!H9:H200"),"verified")</f>
        <v>5</v>
      </c>
      <c r="H51" s="1" t="n">
        <f aca="true">COUNTIF(INDIRECT("'"&amp;A51&amp;"'!H9:H200"),"blocked")</f>
        <v>0</v>
      </c>
      <c r="I51" s="1" t="n">
        <f aca="true">COUNTIF(INDIRECT("'"&amp;A51&amp;"'!H9:H200"),"not applicable")</f>
        <v>0</v>
      </c>
      <c r="J51" s="2" t="n">
        <f aca="true">INDIRECT("'"&amp;A51&amp;"'!H4")</f>
        <v>0.954545454545455</v>
      </c>
      <c r="K51" s="1" t="str">
        <f aca="true">INDIRECT("'"&amp;A51&amp;"'!K4")</f>
        <v>open</v>
      </c>
      <c r="L51" s="1" t="str">
        <f aca="true">INDIRECT("'"&amp;A51&amp;"'!E5")</f>
        <v>complete</v>
      </c>
      <c r="M51" s="1" t="str">
        <f aca="false">IF(AND(J51=1,K51="complete",L51="complete"),"complete",IF(H51&gt;0,"blocked","open"))</f>
        <v>open</v>
      </c>
    </row>
    <row r="52" customFormat="false" ht="15" hidden="false" customHeight="true" outlineLevel="0" collapsed="false">
      <c r="A52" s="1" t="s">
        <v>60</v>
      </c>
      <c r="B52" s="1" t="n">
        <f aca="true">INDIRECT("'"&amp;A52&amp;"'!B4")</f>
        <v>23</v>
      </c>
      <c r="C52" s="1" t="n">
        <f aca="true">COUNTIF(INDIRECT("'"&amp;A52&amp;"'!H9:H200"),"not started")</f>
        <v>1</v>
      </c>
      <c r="D52" s="1" t="n">
        <f aca="true">COUNTIF(INDIRECT("'"&amp;A52&amp;"'!H9:H200"),"partial")</f>
        <v>0</v>
      </c>
      <c r="E52" s="1" t="n">
        <f aca="true">COUNTIF(INDIRECT("'"&amp;A52&amp;"'!H9:H200"),"implemented")</f>
        <v>0</v>
      </c>
      <c r="F52" s="1" t="n">
        <f aca="true">COUNTIF(INDIRECT("'"&amp;A52&amp;"'!H9:H200"),"tested")</f>
        <v>19</v>
      </c>
      <c r="G52" s="1" t="n">
        <f aca="true">COUNTIF(INDIRECT("'"&amp;A52&amp;"'!H9:H200"),"verified")</f>
        <v>3</v>
      </c>
      <c r="H52" s="1" t="n">
        <f aca="true">COUNTIF(INDIRECT("'"&amp;A52&amp;"'!H9:H200"),"blocked")</f>
        <v>0</v>
      </c>
      <c r="I52" s="1" t="n">
        <f aca="true">COUNTIF(INDIRECT("'"&amp;A52&amp;"'!H9:H200"),"not applicable")</f>
        <v>0</v>
      </c>
      <c r="J52" s="2" t="n">
        <f aca="true">INDIRECT("'"&amp;A52&amp;"'!H4")</f>
        <v>0.956521739130435</v>
      </c>
      <c r="K52" s="1" t="str">
        <f aca="true">INDIRECT("'"&amp;A52&amp;"'!K4")</f>
        <v>open</v>
      </c>
      <c r="L52" s="1" t="str">
        <f aca="true">INDIRECT("'"&amp;A52&amp;"'!E5")</f>
        <v>complete</v>
      </c>
      <c r="M52" s="1" t="str">
        <f aca="false">IF(AND(J52=1,K52="complete",L52="complete"),"complete",IF(H52&gt;0,"blocked","open"))</f>
        <v>open</v>
      </c>
    </row>
    <row r="53" customFormat="false" ht="15" hidden="false" customHeight="true" outlineLevel="0" collapsed="false">
      <c r="A53" s="1" t="s">
        <v>61</v>
      </c>
      <c r="B53" s="1" t="n">
        <f aca="true">INDIRECT("'"&amp;A53&amp;"'!B4")</f>
        <v>23</v>
      </c>
      <c r="C53" s="1" t="n">
        <f aca="true">COUNTIF(INDIRECT("'"&amp;A53&amp;"'!H9:H200"),"not started")</f>
        <v>1</v>
      </c>
      <c r="D53" s="1" t="n">
        <f aca="true">COUNTIF(INDIRECT("'"&amp;A53&amp;"'!H9:H200"),"partial")</f>
        <v>0</v>
      </c>
      <c r="E53" s="1" t="n">
        <f aca="true">COUNTIF(INDIRECT("'"&amp;A53&amp;"'!H9:H200"),"implemented")</f>
        <v>0</v>
      </c>
      <c r="F53" s="1" t="n">
        <f aca="true">COUNTIF(INDIRECT("'"&amp;A53&amp;"'!H9:H200"),"tested")</f>
        <v>19</v>
      </c>
      <c r="G53" s="1" t="n">
        <f aca="true">COUNTIF(INDIRECT("'"&amp;A53&amp;"'!H9:H200"),"verified")</f>
        <v>3</v>
      </c>
      <c r="H53" s="1" t="n">
        <f aca="true">COUNTIF(INDIRECT("'"&amp;A53&amp;"'!H9:H200"),"blocked")</f>
        <v>0</v>
      </c>
      <c r="I53" s="1" t="n">
        <f aca="true">COUNTIF(INDIRECT("'"&amp;A53&amp;"'!H9:H200"),"not applicable")</f>
        <v>0</v>
      </c>
      <c r="J53" s="2" t="n">
        <f aca="true">INDIRECT("'"&amp;A53&amp;"'!H4")</f>
        <v>0.956521739130435</v>
      </c>
      <c r="K53" s="1" t="str">
        <f aca="true">INDIRECT("'"&amp;A53&amp;"'!K4")</f>
        <v>open</v>
      </c>
      <c r="L53" s="1" t="str">
        <f aca="true">INDIRECT("'"&amp;A53&amp;"'!E5")</f>
        <v>complete</v>
      </c>
      <c r="M53" s="1" t="str">
        <f aca="false">IF(AND(J53=1,K53="complete",L53="complete"),"complete",IF(H53&gt;0,"blocked","open"))</f>
        <v>open</v>
      </c>
    </row>
    <row r="54" customFormat="false" ht="15" hidden="false" customHeight="true" outlineLevel="0" collapsed="false">
      <c r="A54" s="1" t="s">
        <v>62</v>
      </c>
      <c r="B54" s="1" t="n">
        <f aca="true">INDIRECT("'"&amp;A54&amp;"'!B4")</f>
        <v>23</v>
      </c>
      <c r="C54" s="1" t="n">
        <f aca="true">COUNTIF(INDIRECT("'"&amp;A54&amp;"'!H9:H200"),"not started")</f>
        <v>1</v>
      </c>
      <c r="D54" s="1" t="n">
        <f aca="true">COUNTIF(INDIRECT("'"&amp;A54&amp;"'!H9:H200"),"partial")</f>
        <v>0</v>
      </c>
      <c r="E54" s="1" t="n">
        <f aca="true">COUNTIF(INDIRECT("'"&amp;A54&amp;"'!H9:H200"),"implemented")</f>
        <v>0</v>
      </c>
      <c r="F54" s="1" t="n">
        <f aca="true">COUNTIF(INDIRECT("'"&amp;A54&amp;"'!H9:H200"),"tested")</f>
        <v>20</v>
      </c>
      <c r="G54" s="1" t="n">
        <f aca="true">COUNTIF(INDIRECT("'"&amp;A54&amp;"'!H9:H200"),"verified")</f>
        <v>2</v>
      </c>
      <c r="H54" s="1" t="n">
        <f aca="true">COUNTIF(INDIRECT("'"&amp;A54&amp;"'!H9:H200"),"blocked")</f>
        <v>0</v>
      </c>
      <c r="I54" s="1" t="n">
        <f aca="true">COUNTIF(INDIRECT("'"&amp;A54&amp;"'!H9:H200"),"not applicable")</f>
        <v>0</v>
      </c>
      <c r="J54" s="2" t="n">
        <f aca="true">INDIRECT("'"&amp;A54&amp;"'!H4")</f>
        <v>0.956521739130435</v>
      </c>
      <c r="K54" s="1" t="str">
        <f aca="true">INDIRECT("'"&amp;A54&amp;"'!K4")</f>
        <v>open</v>
      </c>
      <c r="L54" s="1" t="str">
        <f aca="true">INDIRECT("'"&amp;A54&amp;"'!E5")</f>
        <v>complete</v>
      </c>
      <c r="M54" s="1" t="str">
        <f aca="false">IF(AND(J54=1,K54="complete",L54="complete"),"complete",IF(H54&gt;0,"blocked","open"))</f>
        <v>open</v>
      </c>
    </row>
    <row r="55" customFormat="false" ht="15" hidden="false" customHeight="true" outlineLevel="0" collapsed="false">
      <c r="A55" s="1" t="s">
        <v>63</v>
      </c>
      <c r="B55" s="1" t="n">
        <f aca="true">INDIRECT("'"&amp;A55&amp;"'!B4")</f>
        <v>23</v>
      </c>
      <c r="C55" s="1" t="n">
        <f aca="true">COUNTIF(INDIRECT("'"&amp;A55&amp;"'!H9:H200"),"not started")</f>
        <v>1</v>
      </c>
      <c r="D55" s="1" t="n">
        <f aca="true">COUNTIF(INDIRECT("'"&amp;A55&amp;"'!H9:H200"),"partial")</f>
        <v>0</v>
      </c>
      <c r="E55" s="1" t="n">
        <f aca="true">COUNTIF(INDIRECT("'"&amp;A55&amp;"'!H9:H200"),"implemented")</f>
        <v>0</v>
      </c>
      <c r="F55" s="1" t="n">
        <f aca="true">COUNTIF(INDIRECT("'"&amp;A55&amp;"'!H9:H200"),"tested")</f>
        <v>20</v>
      </c>
      <c r="G55" s="1" t="n">
        <f aca="true">COUNTIF(INDIRECT("'"&amp;A55&amp;"'!H9:H200"),"verified")</f>
        <v>2</v>
      </c>
      <c r="H55" s="1" t="n">
        <f aca="true">COUNTIF(INDIRECT("'"&amp;A55&amp;"'!H9:H200"),"blocked")</f>
        <v>0</v>
      </c>
      <c r="I55" s="1" t="n">
        <f aca="true">COUNTIF(INDIRECT("'"&amp;A55&amp;"'!H9:H200"),"not applicable")</f>
        <v>0</v>
      </c>
      <c r="J55" s="2" t="n">
        <f aca="true">INDIRECT("'"&amp;A55&amp;"'!H4")</f>
        <v>0.956521739130435</v>
      </c>
      <c r="K55" s="1" t="str">
        <f aca="true">INDIRECT("'"&amp;A55&amp;"'!K4")</f>
        <v>open</v>
      </c>
      <c r="L55" s="1" t="str">
        <f aca="true">INDIRECT("'"&amp;A55&amp;"'!E5")</f>
        <v>complete</v>
      </c>
      <c r="M55" s="1" t="str">
        <f aca="false">IF(AND(J55=1,K55="complete",L55="complete"),"complete",IF(H55&gt;0,"blocked","open"))</f>
        <v>open</v>
      </c>
    </row>
    <row r="56" customFormat="false" ht="15" hidden="false" customHeight="true" outlineLevel="0" collapsed="false">
      <c r="A56" s="1" t="s">
        <v>64</v>
      </c>
      <c r="B56" s="1" t="n">
        <f aca="true">INDIRECT("'"&amp;A56&amp;"'!B4")</f>
        <v>28</v>
      </c>
      <c r="C56" s="1" t="n">
        <f aca="true">COUNTIF(INDIRECT("'"&amp;A56&amp;"'!H9:H200"),"not started")</f>
        <v>1</v>
      </c>
      <c r="D56" s="1" t="n">
        <f aca="true">COUNTIF(INDIRECT("'"&amp;A56&amp;"'!H9:H200"),"partial")</f>
        <v>0</v>
      </c>
      <c r="E56" s="1" t="n">
        <f aca="true">COUNTIF(INDIRECT("'"&amp;A56&amp;"'!H9:H200"),"implemented")</f>
        <v>0</v>
      </c>
      <c r="F56" s="1" t="n">
        <f aca="true">COUNTIF(INDIRECT("'"&amp;A56&amp;"'!H9:H200"),"tested")</f>
        <v>25</v>
      </c>
      <c r="G56" s="1" t="n">
        <f aca="true">COUNTIF(INDIRECT("'"&amp;A56&amp;"'!H9:H200"),"verified")</f>
        <v>2</v>
      </c>
      <c r="H56" s="1" t="n">
        <f aca="true">COUNTIF(INDIRECT("'"&amp;A56&amp;"'!H9:H200"),"blocked")</f>
        <v>0</v>
      </c>
      <c r="I56" s="1" t="n">
        <f aca="true">COUNTIF(INDIRECT("'"&amp;A56&amp;"'!H9:H200"),"not applicable")</f>
        <v>0</v>
      </c>
      <c r="J56" s="2" t="n">
        <f aca="true">INDIRECT("'"&amp;A56&amp;"'!H4")</f>
        <v>0.964285714285714</v>
      </c>
      <c r="K56" s="1" t="str">
        <f aca="true">INDIRECT("'"&amp;A56&amp;"'!K4")</f>
        <v>open</v>
      </c>
      <c r="L56" s="1" t="str">
        <f aca="true">INDIRECT("'"&amp;A56&amp;"'!E5")</f>
        <v>complete</v>
      </c>
      <c r="M56" s="1" t="str">
        <f aca="false">IF(AND(J56=1,K56="complete",L56="complete"),"complete",IF(H56&gt;0,"blocked","open"))</f>
        <v>open</v>
      </c>
    </row>
    <row r="57" customFormat="false" ht="15" hidden="false" customHeight="true" outlineLevel="0" collapsed="false">
      <c r="A57" s="1" t="s">
        <v>65</v>
      </c>
      <c r="B57" s="1" t="n">
        <f aca="true">INDIRECT("'"&amp;A57&amp;"'!B4")</f>
        <v>19</v>
      </c>
      <c r="C57" s="1" t="n">
        <f aca="true">COUNTIF(INDIRECT("'"&amp;A57&amp;"'!H9:H200"),"not started")</f>
        <v>1</v>
      </c>
      <c r="D57" s="1" t="n">
        <f aca="true">COUNTIF(INDIRECT("'"&amp;A57&amp;"'!H9:H200"),"partial")</f>
        <v>0</v>
      </c>
      <c r="E57" s="1" t="n">
        <f aca="true">COUNTIF(INDIRECT("'"&amp;A57&amp;"'!H9:H200"),"implemented")</f>
        <v>0</v>
      </c>
      <c r="F57" s="1" t="n">
        <f aca="true">COUNTIF(INDIRECT("'"&amp;A57&amp;"'!H9:H200"),"tested")</f>
        <v>17</v>
      </c>
      <c r="G57" s="1" t="n">
        <f aca="true">COUNTIF(INDIRECT("'"&amp;A57&amp;"'!H9:H200"),"verified")</f>
        <v>1</v>
      </c>
      <c r="H57" s="1" t="n">
        <f aca="true">COUNTIF(INDIRECT("'"&amp;A57&amp;"'!H9:H200"),"blocked")</f>
        <v>0</v>
      </c>
      <c r="I57" s="1" t="n">
        <f aca="true">COUNTIF(INDIRECT("'"&amp;A57&amp;"'!H9:H200"),"not applicable")</f>
        <v>0</v>
      </c>
      <c r="J57" s="2" t="n">
        <f aca="true">INDIRECT("'"&amp;A57&amp;"'!H4")</f>
        <v>0.947368421052632</v>
      </c>
      <c r="K57" s="1" t="str">
        <f aca="true">INDIRECT("'"&amp;A57&amp;"'!K4")</f>
        <v>open</v>
      </c>
      <c r="L57" s="1" t="str">
        <f aca="true">INDIRECT("'"&amp;A57&amp;"'!E5")</f>
        <v>complete</v>
      </c>
      <c r="M57" s="1" t="str">
        <f aca="false">IF(AND(J57=1,K57="complete",L57="complete"),"complete",IF(H57&gt;0,"blocked","open"))</f>
        <v>open</v>
      </c>
    </row>
    <row r="58" customFormat="false" ht="15" hidden="false" customHeight="true" outlineLevel="0" collapsed="false">
      <c r="A58" s="1" t="s">
        <v>66</v>
      </c>
      <c r="B58" s="1" t="n">
        <f aca="true">INDIRECT("'"&amp;A58&amp;"'!B4")</f>
        <v>25</v>
      </c>
      <c r="C58" s="1" t="n">
        <f aca="true">COUNTIF(INDIRECT("'"&amp;A58&amp;"'!H9:H200"),"not started")</f>
        <v>1</v>
      </c>
      <c r="D58" s="1" t="n">
        <f aca="true">COUNTIF(INDIRECT("'"&amp;A58&amp;"'!H9:H200"),"partial")</f>
        <v>0</v>
      </c>
      <c r="E58" s="1" t="n">
        <f aca="true">COUNTIF(INDIRECT("'"&amp;A58&amp;"'!H9:H200"),"implemented")</f>
        <v>0</v>
      </c>
      <c r="F58" s="1" t="n">
        <f aca="true">COUNTIF(INDIRECT("'"&amp;A58&amp;"'!H9:H200"),"tested")</f>
        <v>19</v>
      </c>
      <c r="G58" s="1" t="n">
        <f aca="true">COUNTIF(INDIRECT("'"&amp;A58&amp;"'!H9:H200"),"verified")</f>
        <v>5</v>
      </c>
      <c r="H58" s="1" t="n">
        <f aca="true">COUNTIF(INDIRECT("'"&amp;A58&amp;"'!H9:H200"),"blocked")</f>
        <v>0</v>
      </c>
      <c r="I58" s="1" t="n">
        <f aca="true">COUNTIF(INDIRECT("'"&amp;A58&amp;"'!H9:H200"),"not applicable")</f>
        <v>0</v>
      </c>
      <c r="J58" s="2" t="n">
        <f aca="true">INDIRECT("'"&amp;A58&amp;"'!H4")</f>
        <v>0.96</v>
      </c>
      <c r="K58" s="1" t="str">
        <f aca="true">INDIRECT("'"&amp;A58&amp;"'!K4")</f>
        <v>open</v>
      </c>
      <c r="L58" s="1" t="str">
        <f aca="true">INDIRECT("'"&amp;A58&amp;"'!E5")</f>
        <v>complete</v>
      </c>
      <c r="M58" s="1" t="str">
        <f aca="false">IF(AND(J58=1,K58="complete",L58="complete"),"complete",IF(H58&gt;0,"blocked","open"))</f>
        <v>open</v>
      </c>
    </row>
    <row r="59" customFormat="false" ht="15" hidden="false" customHeight="true" outlineLevel="0" collapsed="false">
      <c r="A59" s="1" t="s">
        <v>67</v>
      </c>
      <c r="B59" s="1" t="n">
        <f aca="true">INDIRECT("'"&amp;A59&amp;"'!B4")</f>
        <v>26</v>
      </c>
      <c r="C59" s="1" t="n">
        <f aca="true">COUNTIF(INDIRECT("'"&amp;A59&amp;"'!H9:H200"),"not started")</f>
        <v>1</v>
      </c>
      <c r="D59" s="1" t="n">
        <f aca="true">COUNTIF(INDIRECT("'"&amp;A59&amp;"'!H9:H200"),"partial")</f>
        <v>0</v>
      </c>
      <c r="E59" s="1" t="n">
        <f aca="true">COUNTIF(INDIRECT("'"&amp;A59&amp;"'!H9:H200"),"implemented")</f>
        <v>0</v>
      </c>
      <c r="F59" s="1" t="n">
        <f aca="true">COUNTIF(INDIRECT("'"&amp;A59&amp;"'!H9:H200"),"tested")</f>
        <v>20</v>
      </c>
      <c r="G59" s="1" t="n">
        <f aca="true">COUNTIF(INDIRECT("'"&amp;A59&amp;"'!H9:H200"),"verified")</f>
        <v>5</v>
      </c>
      <c r="H59" s="1" t="n">
        <f aca="true">COUNTIF(INDIRECT("'"&amp;A59&amp;"'!H9:H200"),"blocked")</f>
        <v>0</v>
      </c>
      <c r="I59" s="1" t="n">
        <f aca="true">COUNTIF(INDIRECT("'"&amp;A59&amp;"'!H9:H200"),"not applicable")</f>
        <v>0</v>
      </c>
      <c r="J59" s="2" t="n">
        <f aca="true">INDIRECT("'"&amp;A59&amp;"'!H4")</f>
        <v>0.961538461538462</v>
      </c>
      <c r="K59" s="1" t="str">
        <f aca="true">INDIRECT("'"&amp;A59&amp;"'!K4")</f>
        <v>open</v>
      </c>
      <c r="L59" s="1" t="str">
        <f aca="true">INDIRECT("'"&amp;A59&amp;"'!E5")</f>
        <v>complete</v>
      </c>
      <c r="M59" s="1" t="str">
        <f aca="false">IF(AND(J59=1,K59="complete",L59="complete"),"complete",IF(H59&gt;0,"blocked","open"))</f>
        <v>open</v>
      </c>
    </row>
    <row r="60" customFormat="false" ht="15" hidden="false" customHeight="true" outlineLevel="0" collapsed="false">
      <c r="A60" s="1" t="s">
        <v>68</v>
      </c>
      <c r="B60" s="1" t="n">
        <f aca="true">INDIRECT("'"&amp;A60&amp;"'!B4")</f>
        <v>31</v>
      </c>
      <c r="C60" s="1" t="n">
        <f aca="true">COUNTIF(INDIRECT("'"&amp;A60&amp;"'!H9:H200"),"not started")</f>
        <v>1</v>
      </c>
      <c r="D60" s="1" t="n">
        <f aca="true">COUNTIF(INDIRECT("'"&amp;A60&amp;"'!H9:H200"),"partial")</f>
        <v>0</v>
      </c>
      <c r="E60" s="1" t="n">
        <f aca="true">COUNTIF(INDIRECT("'"&amp;A60&amp;"'!H9:H200"),"implemented")</f>
        <v>0</v>
      </c>
      <c r="F60" s="1" t="n">
        <f aca="true">COUNTIF(INDIRECT("'"&amp;A60&amp;"'!H9:H200"),"tested")</f>
        <v>23</v>
      </c>
      <c r="G60" s="1" t="n">
        <f aca="true">COUNTIF(INDIRECT("'"&amp;A60&amp;"'!H9:H200"),"verified")</f>
        <v>7</v>
      </c>
      <c r="H60" s="1" t="n">
        <f aca="true">COUNTIF(INDIRECT("'"&amp;A60&amp;"'!H9:H200"),"blocked")</f>
        <v>0</v>
      </c>
      <c r="I60" s="1" t="n">
        <f aca="true">COUNTIF(INDIRECT("'"&amp;A60&amp;"'!H9:H200"),"not applicable")</f>
        <v>0</v>
      </c>
      <c r="J60" s="2" t="n">
        <f aca="true">INDIRECT("'"&amp;A60&amp;"'!H4")</f>
        <v>0.967741935483871</v>
      </c>
      <c r="K60" s="1" t="str">
        <f aca="true">INDIRECT("'"&amp;A60&amp;"'!K4")</f>
        <v>open</v>
      </c>
      <c r="L60" s="1" t="str">
        <f aca="true">INDIRECT("'"&amp;A60&amp;"'!E5")</f>
        <v>complete</v>
      </c>
      <c r="M60" s="1" t="str">
        <f aca="false">IF(AND(J60=1,K60="complete",L60="complete"),"complete",IF(H60&gt;0,"blocked","open"))</f>
        <v>open</v>
      </c>
    </row>
    <row r="61" customFormat="false" ht="15" hidden="false" customHeight="false" outlineLevel="0" collapsed="false">
      <c r="A61" s="1" t="s">
        <v>69</v>
      </c>
      <c r="B61" s="1" t="n">
        <f aca="true">INDIRECT("'"&amp;A61&amp;"'!B4")</f>
        <v>23</v>
      </c>
      <c r="C61" s="1" t="n">
        <f aca="true">COUNTIF(INDIRECT("'"&amp;A61&amp;"'!H9:H200"),"not started")</f>
        <v>1</v>
      </c>
      <c r="D61" s="1" t="n">
        <f aca="true">COUNTIF(INDIRECT("'"&amp;A61&amp;"'!H9:H200"),"partial")</f>
        <v>0</v>
      </c>
      <c r="E61" s="1" t="n">
        <f aca="true">COUNTIF(INDIRECT("'"&amp;A61&amp;"'!H9:H200"),"implemented")</f>
        <v>0</v>
      </c>
      <c r="F61" s="1" t="n">
        <f aca="true">COUNTIF(INDIRECT("'"&amp;A61&amp;"'!H9:H200"),"tested")</f>
        <v>19</v>
      </c>
      <c r="G61" s="1" t="n">
        <f aca="true">COUNTIF(INDIRECT("'"&amp;A61&amp;"'!H9:H200"),"verified")</f>
        <v>3</v>
      </c>
      <c r="H61" s="1" t="n">
        <f aca="true">COUNTIF(INDIRECT("'"&amp;A61&amp;"'!H9:H200"),"blocked")</f>
        <v>0</v>
      </c>
      <c r="I61" s="1" t="n">
        <f aca="true">COUNTIF(INDIRECT("'"&amp;A61&amp;"'!H9:H200"),"not applicable")</f>
        <v>0</v>
      </c>
      <c r="J61" s="2" t="n">
        <f aca="true">INDIRECT("'"&amp;A61&amp;"'!H4")</f>
        <v>0.956521739130435</v>
      </c>
      <c r="K61" s="1" t="str">
        <f aca="true">INDIRECT("'"&amp;A61&amp;"'!K4")</f>
        <v>open</v>
      </c>
      <c r="L61" s="1" t="str">
        <f aca="true">INDIRECT("'"&amp;A61&amp;"'!E5")</f>
        <v>complete</v>
      </c>
      <c r="M61" s="1" t="str">
        <f aca="false">IF(AND(J61=1,K61="complete",L61="complete"),"complete",IF(H61&gt;0,"blocked","open"))</f>
        <v>open</v>
      </c>
    </row>
  </sheetData>
  <autoFilter ref="A7:M61"/>
  <mergeCells count="2">
    <mergeCell ref="A1:M1"/>
    <mergeCell ref="A2:M2"/>
  </mergeCells>
  <conditionalFormatting sqref="M8:M57">
    <cfRule type="containsText" priority="2" operator="containsText" aboveAverage="0" equalAverage="0" bottom="0" percent="0" rank="0" text="complete" dxfId="3">
      <formula>NOT(ISERROR(SEARCH("complete",M8)))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2" min="2" style="1" width="105.71"/>
  </cols>
  <sheetData>
    <row r="1" customFormat="false" ht="37.5" hidden="false" customHeight="true" outlineLevel="0" collapsed="false">
      <c r="A1" s="3" t="s">
        <v>70</v>
      </c>
      <c r="B1" s="3"/>
      <c r="C1" s="3"/>
      <c r="D1" s="3"/>
    </row>
    <row r="2" customFormat="false" ht="27.75" hidden="false" customHeight="true" outlineLevel="0" collapsed="false">
      <c r="A2" s="4" t="s">
        <v>71</v>
      </c>
      <c r="B2" s="4"/>
      <c r="C2" s="4"/>
      <c r="D2" s="4"/>
    </row>
    <row r="3" customFormat="false" ht="15" hidden="false" customHeight="true" outlineLevel="0" collapsed="false">
      <c r="A3" s="8" t="s">
        <v>72</v>
      </c>
      <c r="B3" s="8" t="s">
        <v>73</v>
      </c>
    </row>
    <row r="4" customFormat="false" ht="30" hidden="false" customHeight="true" outlineLevel="0" collapsed="false">
      <c r="A4" s="1" t="s">
        <v>74</v>
      </c>
      <c r="B4" s="1" t="s">
        <v>75</v>
      </c>
    </row>
    <row r="5" customFormat="false" ht="30" hidden="false" customHeight="true" outlineLevel="0" collapsed="false">
      <c r="A5" s="1" t="s">
        <v>76</v>
      </c>
      <c r="B5" s="1" t="s">
        <v>77</v>
      </c>
    </row>
    <row r="6" customFormat="false" ht="30" hidden="false" customHeight="true" outlineLevel="0" collapsed="false">
      <c r="A6" s="1" t="s">
        <v>78</v>
      </c>
      <c r="B6" s="1" t="s">
        <v>79</v>
      </c>
    </row>
    <row r="7" customFormat="false" ht="30" hidden="false" customHeight="true" outlineLevel="0" collapsed="false">
      <c r="A7" s="1" t="s">
        <v>80</v>
      </c>
      <c r="B7" s="1" t="s">
        <v>81</v>
      </c>
    </row>
    <row r="8" customFormat="false" ht="30" hidden="false" customHeight="true" outlineLevel="0" collapsed="false">
      <c r="A8" s="1" t="s">
        <v>82</v>
      </c>
      <c r="B8" s="1" t="s">
        <v>83</v>
      </c>
    </row>
    <row r="9" customFormat="false" ht="30" hidden="false" customHeight="true" outlineLevel="0" collapsed="false">
      <c r="A9" s="1" t="s">
        <v>84</v>
      </c>
      <c r="B9" s="1" t="s">
        <v>85</v>
      </c>
    </row>
    <row r="10" customFormat="false" ht="30" hidden="false" customHeight="true" outlineLevel="0" collapsed="false">
      <c r="A10" s="1" t="s">
        <v>86</v>
      </c>
      <c r="B10" s="1" t="s">
        <v>87</v>
      </c>
    </row>
    <row r="11" customFormat="false" ht="30" hidden="false" customHeight="true" outlineLevel="0" collapsed="false">
      <c r="A11" s="1" t="s">
        <v>88</v>
      </c>
      <c r="B11" s="1" t="s">
        <v>89</v>
      </c>
    </row>
    <row r="12" customFormat="false" ht="30" hidden="false" customHeight="true" outlineLevel="0" collapsed="false">
      <c r="A12" s="1" t="s">
        <v>90</v>
      </c>
      <c r="B12" s="1" t="s">
        <v>91</v>
      </c>
    </row>
    <row r="13" customFormat="false" ht="30" hidden="false" customHeight="true" outlineLevel="0" collapsed="false">
      <c r="A13" s="1" t="s">
        <v>92</v>
      </c>
      <c r="B13" s="1" t="s">
        <v>93</v>
      </c>
    </row>
    <row r="14" customFormat="false" ht="30" hidden="false" customHeight="true" outlineLevel="0" collapsed="false">
      <c r="A14" s="1" t="s">
        <v>94</v>
      </c>
      <c r="B14" s="1" t="s">
        <v>95</v>
      </c>
    </row>
    <row r="15" customFormat="false" ht="30" hidden="false" customHeight="true" outlineLevel="0" collapsed="false">
      <c r="A15" s="1" t="s">
        <v>96</v>
      </c>
      <c r="B15" s="1" t="s">
        <v>97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78</v>
      </c>
      <c r="B1" s="1" t="s">
        <v>98</v>
      </c>
    </row>
    <row r="2" customFormat="false" ht="15" hidden="false" customHeight="true" outlineLevel="0" collapsed="false">
      <c r="A2" s="1" t="s">
        <v>80</v>
      </c>
      <c r="B2" s="1" t="s">
        <v>99</v>
      </c>
    </row>
    <row r="3" customFormat="false" ht="15" hidden="false" customHeight="true" outlineLevel="0" collapsed="false">
      <c r="A3" s="1" t="s">
        <v>82</v>
      </c>
    </row>
    <row r="4" customFormat="false" ht="15" hidden="false" customHeight="true" outlineLevel="0" collapsed="false">
      <c r="A4" s="1" t="s">
        <v>84</v>
      </c>
    </row>
    <row r="5" customFormat="false" ht="15" hidden="false" customHeight="true" outlineLevel="0" collapsed="false">
      <c r="A5" s="1" t="s">
        <v>86</v>
      </c>
    </row>
    <row r="6" customFormat="false" ht="15" hidden="false" customHeight="true" outlineLevel="0" collapsed="false">
      <c r="A6" s="1" t="s">
        <v>88</v>
      </c>
    </row>
    <row r="7" customFormat="false" ht="15" hidden="false" customHeight="true" outlineLevel="0" collapsed="false">
      <c r="A7" s="1" t="s">
        <v>90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116</v>
      </c>
      <c r="B9" s="1" t="s">
        <v>117</v>
      </c>
      <c r="C9" s="1" t="s">
        <v>118</v>
      </c>
      <c r="D9" s="1" t="s">
        <v>119</v>
      </c>
      <c r="E9" s="1" t="s">
        <v>120</v>
      </c>
      <c r="F9" s="1" t="s">
        <v>121</v>
      </c>
      <c r="G9" s="1" t="s">
        <v>122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123</v>
      </c>
      <c r="B10" s="1" t="s">
        <v>124</v>
      </c>
      <c r="C10" s="1" t="s">
        <v>118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127</v>
      </c>
      <c r="B11" s="1" t="s">
        <v>128</v>
      </c>
      <c r="C11" s="1" t="s">
        <v>118</v>
      </c>
      <c r="D11" s="1" t="s">
        <v>129</v>
      </c>
      <c r="E11" s="1" t="s">
        <v>120</v>
      </c>
      <c r="F11" s="1" t="s">
        <v>130</v>
      </c>
      <c r="G11" s="1" t="s">
        <v>131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132</v>
      </c>
      <c r="B12" s="1" t="s">
        <v>133</v>
      </c>
      <c r="C12" s="1" t="s">
        <v>118</v>
      </c>
      <c r="D12" s="1" t="s">
        <v>134</v>
      </c>
      <c r="E12" s="1" t="s">
        <v>120</v>
      </c>
      <c r="F12" s="1" t="s">
        <v>135</v>
      </c>
      <c r="G12" s="1" t="s">
        <v>136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137</v>
      </c>
      <c r="B13" s="1" t="s">
        <v>138</v>
      </c>
      <c r="C13" s="1" t="s">
        <v>118</v>
      </c>
      <c r="D13" s="1" t="s">
        <v>139</v>
      </c>
      <c r="E13" s="1" t="s">
        <v>120</v>
      </c>
      <c r="F13" s="1" t="s">
        <v>140</v>
      </c>
      <c r="G13" s="1" t="s">
        <v>141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142</v>
      </c>
      <c r="B14" s="1" t="s">
        <v>143</v>
      </c>
      <c r="C14" s="1" t="s">
        <v>118</v>
      </c>
      <c r="D14" s="1" t="s">
        <v>144</v>
      </c>
      <c r="E14" s="1" t="s">
        <v>120</v>
      </c>
      <c r="F14" s="1" t="s">
        <v>145</v>
      </c>
      <c r="G14" s="1" t="s">
        <v>146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147</v>
      </c>
      <c r="B15" s="1" t="s">
        <v>148</v>
      </c>
      <c r="C15" s="1" t="s">
        <v>118</v>
      </c>
      <c r="D15" s="1" t="s">
        <v>149</v>
      </c>
      <c r="E15" s="1" t="s">
        <v>120</v>
      </c>
      <c r="F15" s="1" t="s">
        <v>150</v>
      </c>
      <c r="G15" s="1" t="s">
        <v>151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152</v>
      </c>
      <c r="B16" s="1" t="s">
        <v>153</v>
      </c>
      <c r="C16" s="1" t="s">
        <v>118</v>
      </c>
      <c r="D16" s="1" t="s">
        <v>154</v>
      </c>
      <c r="E16" s="1" t="s">
        <v>120</v>
      </c>
      <c r="F16" s="1" t="s">
        <v>155</v>
      </c>
      <c r="G16" s="1" t="s">
        <v>156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158</v>
      </c>
      <c r="B17" s="1" t="s">
        <v>159</v>
      </c>
      <c r="C17" s="1" t="s">
        <v>118</v>
      </c>
      <c r="D17" s="1" t="s">
        <v>160</v>
      </c>
      <c r="E17" s="1" t="s">
        <v>120</v>
      </c>
      <c r="F17" s="1" t="s">
        <v>161</v>
      </c>
      <c r="G17" s="1" t="s">
        <v>162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164</v>
      </c>
      <c r="B18" s="1" t="s">
        <v>165</v>
      </c>
      <c r="C18" s="1" t="s">
        <v>118</v>
      </c>
      <c r="D18" s="1" t="s">
        <v>166</v>
      </c>
      <c r="E18" s="1" t="s">
        <v>120</v>
      </c>
      <c r="F18" s="1" t="s">
        <v>161</v>
      </c>
      <c r="G18" s="1" t="s">
        <v>162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167</v>
      </c>
      <c r="B19" s="1" t="s">
        <v>168</v>
      </c>
      <c r="C19" s="1" t="s">
        <v>118</v>
      </c>
      <c r="D19" s="1" t="s">
        <v>169</v>
      </c>
      <c r="E19" s="1" t="s">
        <v>120</v>
      </c>
      <c r="F19" s="1" t="s">
        <v>161</v>
      </c>
      <c r="G19" s="1" t="s">
        <v>170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172</v>
      </c>
      <c r="B20" s="1" t="s">
        <v>173</v>
      </c>
      <c r="C20" s="1" t="s">
        <v>118</v>
      </c>
      <c r="D20" s="1" t="s">
        <v>174</v>
      </c>
      <c r="E20" s="1" t="s">
        <v>120</v>
      </c>
      <c r="F20" s="1" t="s">
        <v>161</v>
      </c>
      <c r="G20" s="1" t="s">
        <v>162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176</v>
      </c>
      <c r="B21" s="1" t="s">
        <v>177</v>
      </c>
      <c r="C21" s="1" t="s">
        <v>118</v>
      </c>
      <c r="D21" s="1" t="s">
        <v>178</v>
      </c>
      <c r="E21" s="1" t="s">
        <v>120</v>
      </c>
      <c r="F21" s="1" t="s">
        <v>179</v>
      </c>
      <c r="G21" s="1" t="s">
        <v>180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181</v>
      </c>
      <c r="B22" s="1" t="s">
        <v>182</v>
      </c>
      <c r="C22" s="1" t="s">
        <v>118</v>
      </c>
      <c r="D22" s="1" t="s">
        <v>183</v>
      </c>
      <c r="E22" s="1" t="s">
        <v>120</v>
      </c>
      <c r="F22" s="1" t="s">
        <v>179</v>
      </c>
      <c r="G22" s="1" t="s">
        <v>184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185</v>
      </c>
      <c r="B23" s="1" t="s">
        <v>186</v>
      </c>
      <c r="C23" s="1" t="s">
        <v>118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190</v>
      </c>
      <c r="B24" s="1" t="s">
        <v>191</v>
      </c>
      <c r="C24" s="1" t="s">
        <v>118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194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195</v>
      </c>
      <c r="B9" s="1" t="s">
        <v>117</v>
      </c>
      <c r="C9" s="1" t="s">
        <v>196</v>
      </c>
      <c r="D9" s="1" t="s">
        <v>119</v>
      </c>
      <c r="E9" s="1" t="s">
        <v>120</v>
      </c>
      <c r="F9" s="1" t="s">
        <v>121</v>
      </c>
      <c r="G9" s="1" t="s">
        <v>197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198</v>
      </c>
      <c r="B10" s="1" t="s">
        <v>124</v>
      </c>
      <c r="C10" s="1" t="s">
        <v>196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199</v>
      </c>
      <c r="B11" s="1" t="s">
        <v>128</v>
      </c>
      <c r="C11" s="1" t="s">
        <v>196</v>
      </c>
      <c r="D11" s="1" t="s">
        <v>129</v>
      </c>
      <c r="E11" s="1" t="s">
        <v>120</v>
      </c>
      <c r="F11" s="1" t="s">
        <v>130</v>
      </c>
      <c r="G11" s="1" t="s">
        <v>200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201</v>
      </c>
      <c r="B12" s="1" t="s">
        <v>133</v>
      </c>
      <c r="C12" s="1" t="s">
        <v>196</v>
      </c>
      <c r="D12" s="1" t="s">
        <v>134</v>
      </c>
      <c r="E12" s="1" t="s">
        <v>120</v>
      </c>
      <c r="F12" s="1" t="s">
        <v>135</v>
      </c>
      <c r="G12" s="1" t="s">
        <v>202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203</v>
      </c>
      <c r="B13" s="1" t="s">
        <v>138</v>
      </c>
      <c r="C13" s="1" t="s">
        <v>196</v>
      </c>
      <c r="D13" s="1" t="s">
        <v>139</v>
      </c>
      <c r="E13" s="1" t="s">
        <v>120</v>
      </c>
      <c r="F13" s="1" t="s">
        <v>140</v>
      </c>
      <c r="G13" s="1" t="s">
        <v>204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205</v>
      </c>
      <c r="B14" s="1" t="s">
        <v>143</v>
      </c>
      <c r="C14" s="1" t="s">
        <v>196</v>
      </c>
      <c r="D14" s="1" t="s">
        <v>144</v>
      </c>
      <c r="E14" s="1" t="s">
        <v>120</v>
      </c>
      <c r="F14" s="1" t="s">
        <v>145</v>
      </c>
      <c r="G14" s="1" t="s">
        <v>206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207</v>
      </c>
      <c r="B15" s="1" t="s">
        <v>148</v>
      </c>
      <c r="C15" s="1" t="s">
        <v>196</v>
      </c>
      <c r="D15" s="1" t="s">
        <v>149</v>
      </c>
      <c r="E15" s="1" t="s">
        <v>120</v>
      </c>
      <c r="F15" s="1" t="s">
        <v>150</v>
      </c>
      <c r="G15" s="1" t="s">
        <v>208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209</v>
      </c>
      <c r="B16" s="1" t="s">
        <v>153</v>
      </c>
      <c r="C16" s="1" t="s">
        <v>196</v>
      </c>
      <c r="D16" s="1" t="s">
        <v>154</v>
      </c>
      <c r="E16" s="1" t="s">
        <v>120</v>
      </c>
      <c r="F16" s="1" t="s">
        <v>155</v>
      </c>
      <c r="G16" s="1" t="s">
        <v>210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211</v>
      </c>
      <c r="B17" s="1" t="s">
        <v>159</v>
      </c>
      <c r="C17" s="1" t="s">
        <v>196</v>
      </c>
      <c r="D17" s="1" t="s">
        <v>160</v>
      </c>
      <c r="E17" s="1" t="s">
        <v>120</v>
      </c>
      <c r="F17" s="1" t="s">
        <v>161</v>
      </c>
      <c r="G17" s="1" t="s">
        <v>212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213</v>
      </c>
      <c r="B18" s="1" t="s">
        <v>165</v>
      </c>
      <c r="C18" s="1" t="s">
        <v>196</v>
      </c>
      <c r="D18" s="1" t="s">
        <v>166</v>
      </c>
      <c r="E18" s="1" t="s">
        <v>120</v>
      </c>
      <c r="F18" s="1" t="s">
        <v>161</v>
      </c>
      <c r="G18" s="1" t="s">
        <v>212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214</v>
      </c>
      <c r="B19" s="1" t="s">
        <v>168</v>
      </c>
      <c r="C19" s="1" t="s">
        <v>196</v>
      </c>
      <c r="D19" s="1" t="s">
        <v>169</v>
      </c>
      <c r="E19" s="1" t="s">
        <v>120</v>
      </c>
      <c r="F19" s="1" t="s">
        <v>161</v>
      </c>
      <c r="G19" s="1" t="s">
        <v>215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216</v>
      </c>
      <c r="B20" s="1" t="s">
        <v>173</v>
      </c>
      <c r="C20" s="1" t="s">
        <v>196</v>
      </c>
      <c r="D20" s="1" t="s">
        <v>174</v>
      </c>
      <c r="E20" s="1" t="s">
        <v>120</v>
      </c>
      <c r="F20" s="1" t="s">
        <v>161</v>
      </c>
      <c r="G20" s="1" t="s">
        <v>212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217</v>
      </c>
      <c r="B21" s="1" t="s">
        <v>177</v>
      </c>
      <c r="C21" s="1" t="s">
        <v>196</v>
      </c>
      <c r="D21" s="1" t="s">
        <v>178</v>
      </c>
      <c r="E21" s="1" t="s">
        <v>120</v>
      </c>
      <c r="F21" s="1" t="s">
        <v>179</v>
      </c>
      <c r="G21" s="1" t="s">
        <v>218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219</v>
      </c>
      <c r="B22" s="1" t="s">
        <v>182</v>
      </c>
      <c r="C22" s="1" t="s">
        <v>196</v>
      </c>
      <c r="D22" s="1" t="s">
        <v>183</v>
      </c>
      <c r="E22" s="1" t="s">
        <v>120</v>
      </c>
      <c r="F22" s="1" t="s">
        <v>179</v>
      </c>
      <c r="G22" s="1" t="s">
        <v>220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221</v>
      </c>
      <c r="B23" s="1" t="s">
        <v>186</v>
      </c>
      <c r="C23" s="1" t="s">
        <v>196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222</v>
      </c>
      <c r="B24" s="1" t="s">
        <v>191</v>
      </c>
      <c r="C24" s="1" t="s">
        <v>196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224</v>
      </c>
      <c r="B9" s="1" t="s">
        <v>117</v>
      </c>
      <c r="C9" s="1" t="s">
        <v>18</v>
      </c>
      <c r="D9" s="1" t="s">
        <v>119</v>
      </c>
      <c r="E9" s="1" t="s">
        <v>120</v>
      </c>
      <c r="F9" s="1" t="s">
        <v>121</v>
      </c>
      <c r="G9" s="1" t="s">
        <v>225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226</v>
      </c>
      <c r="B10" s="1" t="s">
        <v>124</v>
      </c>
      <c r="C10" s="1" t="s">
        <v>18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227</v>
      </c>
      <c r="B11" s="1" t="s">
        <v>128</v>
      </c>
      <c r="C11" s="1" t="s">
        <v>18</v>
      </c>
      <c r="D11" s="1" t="s">
        <v>129</v>
      </c>
      <c r="E11" s="1" t="s">
        <v>120</v>
      </c>
      <c r="F11" s="1" t="s">
        <v>130</v>
      </c>
      <c r="G11" s="1" t="s">
        <v>228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229</v>
      </c>
      <c r="B12" s="1" t="s">
        <v>133</v>
      </c>
      <c r="C12" s="1" t="s">
        <v>18</v>
      </c>
      <c r="D12" s="1" t="s">
        <v>134</v>
      </c>
      <c r="E12" s="1" t="s">
        <v>120</v>
      </c>
      <c r="F12" s="1" t="s">
        <v>135</v>
      </c>
      <c r="G12" s="1" t="s">
        <v>230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231</v>
      </c>
      <c r="B13" s="1" t="s">
        <v>138</v>
      </c>
      <c r="C13" s="1" t="s">
        <v>18</v>
      </c>
      <c r="D13" s="1" t="s">
        <v>139</v>
      </c>
      <c r="E13" s="1" t="s">
        <v>120</v>
      </c>
      <c r="F13" s="1" t="s">
        <v>140</v>
      </c>
      <c r="G13" s="1" t="s">
        <v>232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233</v>
      </c>
      <c r="B14" s="1" t="s">
        <v>143</v>
      </c>
      <c r="C14" s="1" t="s">
        <v>18</v>
      </c>
      <c r="D14" s="1" t="s">
        <v>144</v>
      </c>
      <c r="E14" s="1" t="s">
        <v>120</v>
      </c>
      <c r="F14" s="1" t="s">
        <v>145</v>
      </c>
      <c r="G14" s="1" t="s">
        <v>234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235</v>
      </c>
      <c r="B15" s="1" t="s">
        <v>148</v>
      </c>
      <c r="C15" s="1" t="s">
        <v>18</v>
      </c>
      <c r="D15" s="1" t="s">
        <v>149</v>
      </c>
      <c r="E15" s="1" t="s">
        <v>120</v>
      </c>
      <c r="F15" s="1" t="s">
        <v>150</v>
      </c>
      <c r="G15" s="1" t="s">
        <v>236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237</v>
      </c>
      <c r="B16" s="1" t="s">
        <v>153</v>
      </c>
      <c r="C16" s="1" t="s">
        <v>18</v>
      </c>
      <c r="D16" s="1" t="s">
        <v>154</v>
      </c>
      <c r="E16" s="1" t="s">
        <v>120</v>
      </c>
      <c r="F16" s="1" t="s">
        <v>155</v>
      </c>
      <c r="G16" s="1" t="s">
        <v>238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239</v>
      </c>
      <c r="B17" s="1" t="s">
        <v>159</v>
      </c>
      <c r="C17" s="1" t="s">
        <v>18</v>
      </c>
      <c r="D17" s="1" t="s">
        <v>160</v>
      </c>
      <c r="E17" s="1" t="s">
        <v>120</v>
      </c>
      <c r="F17" s="1" t="s">
        <v>161</v>
      </c>
      <c r="G17" s="1" t="s">
        <v>240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241</v>
      </c>
      <c r="B18" s="1" t="s">
        <v>165</v>
      </c>
      <c r="C18" s="1" t="s">
        <v>18</v>
      </c>
      <c r="D18" s="1" t="s">
        <v>166</v>
      </c>
      <c r="E18" s="1" t="s">
        <v>120</v>
      </c>
      <c r="F18" s="1" t="s">
        <v>161</v>
      </c>
      <c r="G18" s="1" t="s">
        <v>240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242</v>
      </c>
      <c r="B19" s="1" t="s">
        <v>168</v>
      </c>
      <c r="C19" s="1" t="s">
        <v>18</v>
      </c>
      <c r="D19" s="1" t="s">
        <v>169</v>
      </c>
      <c r="E19" s="1" t="s">
        <v>120</v>
      </c>
      <c r="F19" s="1" t="s">
        <v>161</v>
      </c>
      <c r="G19" s="1" t="s">
        <v>243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244</v>
      </c>
      <c r="B20" s="1" t="s">
        <v>173</v>
      </c>
      <c r="C20" s="1" t="s">
        <v>18</v>
      </c>
      <c r="D20" s="1" t="s">
        <v>174</v>
      </c>
      <c r="E20" s="1" t="s">
        <v>120</v>
      </c>
      <c r="F20" s="1" t="s">
        <v>161</v>
      </c>
      <c r="G20" s="1" t="s">
        <v>240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245</v>
      </c>
      <c r="B21" s="1" t="s">
        <v>177</v>
      </c>
      <c r="C21" s="1" t="s">
        <v>18</v>
      </c>
      <c r="D21" s="1" t="s">
        <v>178</v>
      </c>
      <c r="E21" s="1" t="s">
        <v>120</v>
      </c>
      <c r="F21" s="1" t="s">
        <v>179</v>
      </c>
      <c r="G21" s="1" t="s">
        <v>246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247</v>
      </c>
      <c r="B22" s="1" t="s">
        <v>182</v>
      </c>
      <c r="C22" s="1" t="s">
        <v>18</v>
      </c>
      <c r="D22" s="1" t="s">
        <v>183</v>
      </c>
      <c r="E22" s="1" t="s">
        <v>120</v>
      </c>
      <c r="F22" s="1" t="s">
        <v>179</v>
      </c>
      <c r="G22" s="1" t="s">
        <v>248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249</v>
      </c>
      <c r="B23" s="1" t="s">
        <v>186</v>
      </c>
      <c r="C23" s="1" t="s">
        <v>18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250</v>
      </c>
      <c r="B24" s="1" t="s">
        <v>191</v>
      </c>
      <c r="C24" s="1" t="s">
        <v>18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251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252</v>
      </c>
      <c r="B9" s="1" t="s">
        <v>117</v>
      </c>
      <c r="C9" s="1" t="s">
        <v>19</v>
      </c>
      <c r="D9" s="1" t="s">
        <v>119</v>
      </c>
      <c r="E9" s="1" t="s">
        <v>120</v>
      </c>
      <c r="F9" s="1" t="s">
        <v>121</v>
      </c>
      <c r="G9" s="1" t="s">
        <v>253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254</v>
      </c>
      <c r="B10" s="1" t="s">
        <v>124</v>
      </c>
      <c r="C10" s="1" t="s">
        <v>19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255</v>
      </c>
      <c r="B11" s="1" t="s">
        <v>128</v>
      </c>
      <c r="C11" s="1" t="s">
        <v>19</v>
      </c>
      <c r="D11" s="1" t="s">
        <v>129</v>
      </c>
      <c r="E11" s="1" t="s">
        <v>120</v>
      </c>
      <c r="F11" s="1" t="s">
        <v>130</v>
      </c>
      <c r="G11" s="1" t="s">
        <v>256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257</v>
      </c>
      <c r="B12" s="1" t="s">
        <v>133</v>
      </c>
      <c r="C12" s="1" t="s">
        <v>19</v>
      </c>
      <c r="D12" s="1" t="s">
        <v>134</v>
      </c>
      <c r="E12" s="1" t="s">
        <v>120</v>
      </c>
      <c r="F12" s="1" t="s">
        <v>135</v>
      </c>
      <c r="G12" s="1" t="s">
        <v>258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259</v>
      </c>
      <c r="B13" s="1" t="s">
        <v>138</v>
      </c>
      <c r="C13" s="1" t="s">
        <v>19</v>
      </c>
      <c r="D13" s="1" t="s">
        <v>139</v>
      </c>
      <c r="E13" s="1" t="s">
        <v>120</v>
      </c>
      <c r="F13" s="1" t="s">
        <v>140</v>
      </c>
      <c r="G13" s="1" t="s">
        <v>260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261</v>
      </c>
      <c r="B14" s="1" t="s">
        <v>143</v>
      </c>
      <c r="C14" s="1" t="s">
        <v>19</v>
      </c>
      <c r="D14" s="1" t="s">
        <v>144</v>
      </c>
      <c r="E14" s="1" t="s">
        <v>120</v>
      </c>
      <c r="F14" s="1" t="s">
        <v>145</v>
      </c>
      <c r="G14" s="1" t="s">
        <v>262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263</v>
      </c>
      <c r="B15" s="1" t="s">
        <v>148</v>
      </c>
      <c r="C15" s="1" t="s">
        <v>19</v>
      </c>
      <c r="D15" s="1" t="s">
        <v>149</v>
      </c>
      <c r="E15" s="1" t="s">
        <v>120</v>
      </c>
      <c r="F15" s="1" t="s">
        <v>150</v>
      </c>
      <c r="G15" s="1" t="s">
        <v>264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265</v>
      </c>
      <c r="B16" s="1" t="s">
        <v>153</v>
      </c>
      <c r="C16" s="1" t="s">
        <v>19</v>
      </c>
      <c r="D16" s="1" t="s">
        <v>154</v>
      </c>
      <c r="E16" s="1" t="s">
        <v>120</v>
      </c>
      <c r="F16" s="1" t="s">
        <v>155</v>
      </c>
      <c r="G16" s="1" t="s">
        <v>266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267</v>
      </c>
      <c r="B17" s="1" t="s">
        <v>159</v>
      </c>
      <c r="C17" s="1" t="s">
        <v>19</v>
      </c>
      <c r="D17" s="1" t="s">
        <v>160</v>
      </c>
      <c r="E17" s="1" t="s">
        <v>120</v>
      </c>
      <c r="F17" s="1" t="s">
        <v>161</v>
      </c>
      <c r="G17" s="1" t="s">
        <v>268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269</v>
      </c>
      <c r="B18" s="1" t="s">
        <v>165</v>
      </c>
      <c r="C18" s="1" t="s">
        <v>19</v>
      </c>
      <c r="D18" s="1" t="s">
        <v>166</v>
      </c>
      <c r="E18" s="1" t="s">
        <v>120</v>
      </c>
      <c r="F18" s="1" t="s">
        <v>161</v>
      </c>
      <c r="G18" s="1" t="s">
        <v>268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270</v>
      </c>
      <c r="B19" s="1" t="s">
        <v>168</v>
      </c>
      <c r="C19" s="1" t="s">
        <v>19</v>
      </c>
      <c r="D19" s="1" t="s">
        <v>169</v>
      </c>
      <c r="E19" s="1" t="s">
        <v>120</v>
      </c>
      <c r="F19" s="1" t="s">
        <v>161</v>
      </c>
      <c r="G19" s="1" t="s">
        <v>271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272</v>
      </c>
      <c r="B20" s="1" t="s">
        <v>173</v>
      </c>
      <c r="C20" s="1" t="s">
        <v>19</v>
      </c>
      <c r="D20" s="1" t="s">
        <v>174</v>
      </c>
      <c r="E20" s="1" t="s">
        <v>120</v>
      </c>
      <c r="F20" s="1" t="s">
        <v>161</v>
      </c>
      <c r="G20" s="1" t="s">
        <v>268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273</v>
      </c>
      <c r="B21" s="1" t="s">
        <v>177</v>
      </c>
      <c r="C21" s="1" t="s">
        <v>19</v>
      </c>
      <c r="D21" s="1" t="s">
        <v>178</v>
      </c>
      <c r="E21" s="1" t="s">
        <v>120</v>
      </c>
      <c r="F21" s="1" t="s">
        <v>179</v>
      </c>
      <c r="G21" s="1" t="s">
        <v>274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275</v>
      </c>
      <c r="B22" s="1" t="s">
        <v>182</v>
      </c>
      <c r="C22" s="1" t="s">
        <v>19</v>
      </c>
      <c r="D22" s="1" t="s">
        <v>183</v>
      </c>
      <c r="E22" s="1" t="s">
        <v>120</v>
      </c>
      <c r="F22" s="1" t="s">
        <v>179</v>
      </c>
      <c r="G22" s="1" t="s">
        <v>276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277</v>
      </c>
      <c r="B23" s="1" t="s">
        <v>186</v>
      </c>
      <c r="C23" s="1" t="s">
        <v>19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278</v>
      </c>
      <c r="B24" s="1" t="s">
        <v>191</v>
      </c>
      <c r="C24" s="1" t="s">
        <v>19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279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252</v>
      </c>
      <c r="B9" s="1" t="s">
        <v>117</v>
      </c>
      <c r="C9" s="1" t="s">
        <v>20</v>
      </c>
      <c r="D9" s="1" t="s">
        <v>119</v>
      </c>
      <c r="E9" s="1" t="s">
        <v>120</v>
      </c>
      <c r="F9" s="1" t="s">
        <v>121</v>
      </c>
      <c r="G9" s="1" t="s">
        <v>280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254</v>
      </c>
      <c r="B10" s="1" t="s">
        <v>124</v>
      </c>
      <c r="C10" s="1" t="s">
        <v>20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255</v>
      </c>
      <c r="B11" s="1" t="s">
        <v>128</v>
      </c>
      <c r="C11" s="1" t="s">
        <v>20</v>
      </c>
      <c r="D11" s="1" t="s">
        <v>129</v>
      </c>
      <c r="E11" s="1" t="s">
        <v>120</v>
      </c>
      <c r="F11" s="1" t="s">
        <v>130</v>
      </c>
      <c r="G11" s="1" t="s">
        <v>281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257</v>
      </c>
      <c r="B12" s="1" t="s">
        <v>133</v>
      </c>
      <c r="C12" s="1" t="s">
        <v>20</v>
      </c>
      <c r="D12" s="1" t="s">
        <v>134</v>
      </c>
      <c r="E12" s="1" t="s">
        <v>120</v>
      </c>
      <c r="F12" s="1" t="s">
        <v>135</v>
      </c>
      <c r="G12" s="1" t="s">
        <v>282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259</v>
      </c>
      <c r="B13" s="1" t="s">
        <v>138</v>
      </c>
      <c r="C13" s="1" t="s">
        <v>20</v>
      </c>
      <c r="D13" s="1" t="s">
        <v>139</v>
      </c>
      <c r="E13" s="1" t="s">
        <v>120</v>
      </c>
      <c r="F13" s="1" t="s">
        <v>140</v>
      </c>
      <c r="G13" s="1" t="s">
        <v>283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261</v>
      </c>
      <c r="B14" s="1" t="s">
        <v>143</v>
      </c>
      <c r="C14" s="1" t="s">
        <v>20</v>
      </c>
      <c r="D14" s="1" t="s">
        <v>144</v>
      </c>
      <c r="E14" s="1" t="s">
        <v>120</v>
      </c>
      <c r="F14" s="1" t="s">
        <v>145</v>
      </c>
      <c r="G14" s="1" t="s">
        <v>284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263</v>
      </c>
      <c r="B15" s="1" t="s">
        <v>148</v>
      </c>
      <c r="C15" s="1" t="s">
        <v>20</v>
      </c>
      <c r="D15" s="1" t="s">
        <v>149</v>
      </c>
      <c r="E15" s="1" t="s">
        <v>120</v>
      </c>
      <c r="F15" s="1" t="s">
        <v>150</v>
      </c>
      <c r="G15" s="1" t="s">
        <v>285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265</v>
      </c>
      <c r="B16" s="1" t="s">
        <v>153</v>
      </c>
      <c r="C16" s="1" t="s">
        <v>20</v>
      </c>
      <c r="D16" s="1" t="s">
        <v>154</v>
      </c>
      <c r="E16" s="1" t="s">
        <v>120</v>
      </c>
      <c r="F16" s="1" t="s">
        <v>155</v>
      </c>
      <c r="G16" s="1" t="s">
        <v>286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267</v>
      </c>
      <c r="B17" s="1" t="s">
        <v>159</v>
      </c>
      <c r="C17" s="1" t="s">
        <v>20</v>
      </c>
      <c r="D17" s="1" t="s">
        <v>160</v>
      </c>
      <c r="E17" s="1" t="s">
        <v>120</v>
      </c>
      <c r="F17" s="1" t="s">
        <v>161</v>
      </c>
      <c r="G17" s="1" t="s">
        <v>287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269</v>
      </c>
      <c r="B18" s="1" t="s">
        <v>165</v>
      </c>
      <c r="C18" s="1" t="s">
        <v>20</v>
      </c>
      <c r="D18" s="1" t="s">
        <v>166</v>
      </c>
      <c r="E18" s="1" t="s">
        <v>120</v>
      </c>
      <c r="F18" s="1" t="s">
        <v>161</v>
      </c>
      <c r="G18" s="1" t="s">
        <v>287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270</v>
      </c>
      <c r="B19" s="1" t="s">
        <v>168</v>
      </c>
      <c r="C19" s="1" t="s">
        <v>20</v>
      </c>
      <c r="D19" s="1" t="s">
        <v>169</v>
      </c>
      <c r="E19" s="1" t="s">
        <v>120</v>
      </c>
      <c r="F19" s="1" t="s">
        <v>161</v>
      </c>
      <c r="G19" s="1" t="s">
        <v>288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272</v>
      </c>
      <c r="B20" s="1" t="s">
        <v>173</v>
      </c>
      <c r="C20" s="1" t="s">
        <v>20</v>
      </c>
      <c r="D20" s="1" t="s">
        <v>174</v>
      </c>
      <c r="E20" s="1" t="s">
        <v>120</v>
      </c>
      <c r="F20" s="1" t="s">
        <v>161</v>
      </c>
      <c r="G20" s="1" t="s">
        <v>287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273</v>
      </c>
      <c r="B21" s="1" t="s">
        <v>177</v>
      </c>
      <c r="C21" s="1" t="s">
        <v>20</v>
      </c>
      <c r="D21" s="1" t="s">
        <v>178</v>
      </c>
      <c r="E21" s="1" t="s">
        <v>120</v>
      </c>
      <c r="F21" s="1" t="s">
        <v>179</v>
      </c>
      <c r="G21" s="1" t="s">
        <v>289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275</v>
      </c>
      <c r="B22" s="1" t="s">
        <v>182</v>
      </c>
      <c r="C22" s="1" t="s">
        <v>20</v>
      </c>
      <c r="D22" s="1" t="s">
        <v>183</v>
      </c>
      <c r="E22" s="1" t="s">
        <v>120</v>
      </c>
      <c r="F22" s="1" t="s">
        <v>179</v>
      </c>
      <c r="G22" s="1" t="s">
        <v>290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277</v>
      </c>
      <c r="B23" s="1" t="s">
        <v>186</v>
      </c>
      <c r="C23" s="1" t="s">
        <v>20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278</v>
      </c>
      <c r="B24" s="1" t="s">
        <v>191</v>
      </c>
      <c r="C24" s="1" t="s">
        <v>20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291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292</v>
      </c>
      <c r="B9" s="1" t="s">
        <v>117</v>
      </c>
      <c r="C9" s="1" t="s">
        <v>21</v>
      </c>
      <c r="D9" s="1" t="s">
        <v>119</v>
      </c>
      <c r="E9" s="1" t="s">
        <v>120</v>
      </c>
      <c r="F9" s="1" t="s">
        <v>121</v>
      </c>
      <c r="G9" s="1" t="s">
        <v>293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294</v>
      </c>
      <c r="B10" s="1" t="s">
        <v>124</v>
      </c>
      <c r="C10" s="1" t="s">
        <v>21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295</v>
      </c>
      <c r="B11" s="1" t="s">
        <v>128</v>
      </c>
      <c r="C11" s="1" t="s">
        <v>21</v>
      </c>
      <c r="D11" s="1" t="s">
        <v>129</v>
      </c>
      <c r="E11" s="1" t="s">
        <v>120</v>
      </c>
      <c r="F11" s="1" t="s">
        <v>130</v>
      </c>
      <c r="G11" s="1" t="s">
        <v>296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297</v>
      </c>
      <c r="B12" s="1" t="s">
        <v>133</v>
      </c>
      <c r="C12" s="1" t="s">
        <v>21</v>
      </c>
      <c r="D12" s="1" t="s">
        <v>134</v>
      </c>
      <c r="E12" s="1" t="s">
        <v>120</v>
      </c>
      <c r="F12" s="1" t="s">
        <v>135</v>
      </c>
      <c r="G12" s="1" t="s">
        <v>298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299</v>
      </c>
      <c r="B13" s="1" t="s">
        <v>138</v>
      </c>
      <c r="C13" s="1" t="s">
        <v>21</v>
      </c>
      <c r="D13" s="1" t="s">
        <v>139</v>
      </c>
      <c r="E13" s="1" t="s">
        <v>120</v>
      </c>
      <c r="F13" s="1" t="s">
        <v>140</v>
      </c>
      <c r="G13" s="1" t="s">
        <v>300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301</v>
      </c>
      <c r="B14" s="1" t="s">
        <v>143</v>
      </c>
      <c r="C14" s="1" t="s">
        <v>21</v>
      </c>
      <c r="D14" s="1" t="s">
        <v>144</v>
      </c>
      <c r="E14" s="1" t="s">
        <v>120</v>
      </c>
      <c r="F14" s="1" t="s">
        <v>145</v>
      </c>
      <c r="G14" s="1" t="s">
        <v>302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303</v>
      </c>
      <c r="B15" s="1" t="s">
        <v>148</v>
      </c>
      <c r="C15" s="1" t="s">
        <v>21</v>
      </c>
      <c r="D15" s="1" t="s">
        <v>149</v>
      </c>
      <c r="E15" s="1" t="s">
        <v>120</v>
      </c>
      <c r="F15" s="1" t="s">
        <v>150</v>
      </c>
      <c r="G15" s="1" t="s">
        <v>304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305</v>
      </c>
      <c r="B16" s="1" t="s">
        <v>153</v>
      </c>
      <c r="C16" s="1" t="s">
        <v>21</v>
      </c>
      <c r="D16" s="1" t="s">
        <v>154</v>
      </c>
      <c r="E16" s="1" t="s">
        <v>120</v>
      </c>
      <c r="F16" s="1" t="s">
        <v>155</v>
      </c>
      <c r="G16" s="1" t="s">
        <v>306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307</v>
      </c>
      <c r="B17" s="1" t="s">
        <v>159</v>
      </c>
      <c r="C17" s="1" t="s">
        <v>21</v>
      </c>
      <c r="D17" s="1" t="s">
        <v>160</v>
      </c>
      <c r="E17" s="1" t="s">
        <v>120</v>
      </c>
      <c r="F17" s="1" t="s">
        <v>161</v>
      </c>
      <c r="G17" s="1" t="s">
        <v>308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309</v>
      </c>
      <c r="B18" s="1" t="s">
        <v>165</v>
      </c>
      <c r="C18" s="1" t="s">
        <v>21</v>
      </c>
      <c r="D18" s="1" t="s">
        <v>166</v>
      </c>
      <c r="E18" s="1" t="s">
        <v>120</v>
      </c>
      <c r="F18" s="1" t="s">
        <v>161</v>
      </c>
      <c r="G18" s="1" t="s">
        <v>308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310</v>
      </c>
      <c r="B19" s="1" t="s">
        <v>168</v>
      </c>
      <c r="C19" s="1" t="s">
        <v>21</v>
      </c>
      <c r="D19" s="1" t="s">
        <v>169</v>
      </c>
      <c r="E19" s="1" t="s">
        <v>120</v>
      </c>
      <c r="F19" s="1" t="s">
        <v>161</v>
      </c>
      <c r="G19" s="1" t="s">
        <v>311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312</v>
      </c>
      <c r="B20" s="1" t="s">
        <v>173</v>
      </c>
      <c r="C20" s="1" t="s">
        <v>21</v>
      </c>
      <c r="D20" s="1" t="s">
        <v>174</v>
      </c>
      <c r="E20" s="1" t="s">
        <v>120</v>
      </c>
      <c r="F20" s="1" t="s">
        <v>161</v>
      </c>
      <c r="G20" s="1" t="s">
        <v>308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313</v>
      </c>
      <c r="B21" s="1" t="s">
        <v>177</v>
      </c>
      <c r="C21" s="1" t="s">
        <v>21</v>
      </c>
      <c r="D21" s="1" t="s">
        <v>178</v>
      </c>
      <c r="E21" s="1" t="s">
        <v>120</v>
      </c>
      <c r="F21" s="1" t="s">
        <v>179</v>
      </c>
      <c r="G21" s="1" t="s">
        <v>314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315</v>
      </c>
      <c r="B22" s="1" t="s">
        <v>182</v>
      </c>
      <c r="C22" s="1" t="s">
        <v>21</v>
      </c>
      <c r="D22" s="1" t="s">
        <v>183</v>
      </c>
      <c r="E22" s="1" t="s">
        <v>120</v>
      </c>
      <c r="F22" s="1" t="s">
        <v>179</v>
      </c>
      <c r="G22" s="1" t="s">
        <v>316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317</v>
      </c>
      <c r="B23" s="1" t="s">
        <v>186</v>
      </c>
      <c r="C23" s="1" t="s">
        <v>21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318</v>
      </c>
      <c r="B24" s="1" t="s">
        <v>191</v>
      </c>
      <c r="C24" s="1" t="s">
        <v>21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319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292</v>
      </c>
      <c r="B9" s="1" t="s">
        <v>117</v>
      </c>
      <c r="C9" s="1" t="s">
        <v>22</v>
      </c>
      <c r="D9" s="1" t="s">
        <v>119</v>
      </c>
      <c r="E9" s="1" t="s">
        <v>120</v>
      </c>
      <c r="F9" s="1" t="s">
        <v>121</v>
      </c>
      <c r="G9" s="1" t="s">
        <v>320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294</v>
      </c>
      <c r="B10" s="1" t="s">
        <v>124</v>
      </c>
      <c r="C10" s="1" t="s">
        <v>22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295</v>
      </c>
      <c r="B11" s="1" t="s">
        <v>128</v>
      </c>
      <c r="C11" s="1" t="s">
        <v>22</v>
      </c>
      <c r="D11" s="1" t="s">
        <v>129</v>
      </c>
      <c r="E11" s="1" t="s">
        <v>120</v>
      </c>
      <c r="F11" s="1" t="s">
        <v>130</v>
      </c>
      <c r="G11" s="1" t="s">
        <v>321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297</v>
      </c>
      <c r="B12" s="1" t="s">
        <v>133</v>
      </c>
      <c r="C12" s="1" t="s">
        <v>22</v>
      </c>
      <c r="D12" s="1" t="s">
        <v>134</v>
      </c>
      <c r="E12" s="1" t="s">
        <v>120</v>
      </c>
      <c r="F12" s="1" t="s">
        <v>135</v>
      </c>
      <c r="G12" s="1" t="s">
        <v>322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299</v>
      </c>
      <c r="B13" s="1" t="s">
        <v>138</v>
      </c>
      <c r="C13" s="1" t="s">
        <v>22</v>
      </c>
      <c r="D13" s="1" t="s">
        <v>139</v>
      </c>
      <c r="E13" s="1" t="s">
        <v>120</v>
      </c>
      <c r="F13" s="1" t="s">
        <v>140</v>
      </c>
      <c r="G13" s="1" t="s">
        <v>323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301</v>
      </c>
      <c r="B14" s="1" t="s">
        <v>143</v>
      </c>
      <c r="C14" s="1" t="s">
        <v>22</v>
      </c>
      <c r="D14" s="1" t="s">
        <v>144</v>
      </c>
      <c r="E14" s="1" t="s">
        <v>120</v>
      </c>
      <c r="F14" s="1" t="s">
        <v>145</v>
      </c>
      <c r="G14" s="1" t="s">
        <v>324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303</v>
      </c>
      <c r="B15" s="1" t="s">
        <v>148</v>
      </c>
      <c r="C15" s="1" t="s">
        <v>22</v>
      </c>
      <c r="D15" s="1" t="s">
        <v>149</v>
      </c>
      <c r="E15" s="1" t="s">
        <v>120</v>
      </c>
      <c r="F15" s="1" t="s">
        <v>150</v>
      </c>
      <c r="G15" s="1" t="s">
        <v>325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305</v>
      </c>
      <c r="B16" s="1" t="s">
        <v>153</v>
      </c>
      <c r="C16" s="1" t="s">
        <v>22</v>
      </c>
      <c r="D16" s="1" t="s">
        <v>154</v>
      </c>
      <c r="E16" s="1" t="s">
        <v>120</v>
      </c>
      <c r="F16" s="1" t="s">
        <v>155</v>
      </c>
      <c r="G16" s="1" t="s">
        <v>326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307</v>
      </c>
      <c r="B17" s="1" t="s">
        <v>159</v>
      </c>
      <c r="C17" s="1" t="s">
        <v>22</v>
      </c>
      <c r="D17" s="1" t="s">
        <v>160</v>
      </c>
      <c r="E17" s="1" t="s">
        <v>120</v>
      </c>
      <c r="F17" s="1" t="s">
        <v>161</v>
      </c>
      <c r="G17" s="1" t="s">
        <v>327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309</v>
      </c>
      <c r="B18" s="1" t="s">
        <v>165</v>
      </c>
      <c r="C18" s="1" t="s">
        <v>22</v>
      </c>
      <c r="D18" s="1" t="s">
        <v>166</v>
      </c>
      <c r="E18" s="1" t="s">
        <v>120</v>
      </c>
      <c r="F18" s="1" t="s">
        <v>161</v>
      </c>
      <c r="G18" s="1" t="s">
        <v>327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310</v>
      </c>
      <c r="B19" s="1" t="s">
        <v>168</v>
      </c>
      <c r="C19" s="1" t="s">
        <v>22</v>
      </c>
      <c r="D19" s="1" t="s">
        <v>169</v>
      </c>
      <c r="E19" s="1" t="s">
        <v>120</v>
      </c>
      <c r="F19" s="1" t="s">
        <v>161</v>
      </c>
      <c r="G19" s="1" t="s">
        <v>328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312</v>
      </c>
      <c r="B20" s="1" t="s">
        <v>173</v>
      </c>
      <c r="C20" s="1" t="s">
        <v>22</v>
      </c>
      <c r="D20" s="1" t="s">
        <v>174</v>
      </c>
      <c r="E20" s="1" t="s">
        <v>120</v>
      </c>
      <c r="F20" s="1" t="s">
        <v>161</v>
      </c>
      <c r="G20" s="1" t="s">
        <v>327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313</v>
      </c>
      <c r="B21" s="1" t="s">
        <v>177</v>
      </c>
      <c r="C21" s="1" t="s">
        <v>22</v>
      </c>
      <c r="D21" s="1" t="s">
        <v>178</v>
      </c>
      <c r="E21" s="1" t="s">
        <v>120</v>
      </c>
      <c r="F21" s="1" t="s">
        <v>179</v>
      </c>
      <c r="G21" s="1" t="s">
        <v>329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315</v>
      </c>
      <c r="B22" s="1" t="s">
        <v>182</v>
      </c>
      <c r="C22" s="1" t="s">
        <v>22</v>
      </c>
      <c r="D22" s="1" t="s">
        <v>183</v>
      </c>
      <c r="E22" s="1" t="s">
        <v>120</v>
      </c>
      <c r="F22" s="1" t="s">
        <v>179</v>
      </c>
      <c r="G22" s="1" t="s">
        <v>330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317</v>
      </c>
      <c r="B23" s="1" t="s">
        <v>186</v>
      </c>
      <c r="C23" s="1" t="s">
        <v>22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318</v>
      </c>
      <c r="B24" s="1" t="s">
        <v>191</v>
      </c>
      <c r="C24" s="1" t="s">
        <v>22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332</v>
      </c>
      <c r="B9" s="1" t="s">
        <v>117</v>
      </c>
      <c r="C9" s="1" t="s">
        <v>333</v>
      </c>
      <c r="D9" s="1" t="s">
        <v>119</v>
      </c>
      <c r="E9" s="1" t="s">
        <v>120</v>
      </c>
      <c r="F9" s="1" t="s">
        <v>121</v>
      </c>
      <c r="G9" s="1" t="s">
        <v>334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335</v>
      </c>
      <c r="B10" s="1" t="s">
        <v>124</v>
      </c>
      <c r="C10" s="1" t="s">
        <v>333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336</v>
      </c>
      <c r="B11" s="1" t="s">
        <v>128</v>
      </c>
      <c r="C11" s="1" t="s">
        <v>333</v>
      </c>
      <c r="D11" s="1" t="s">
        <v>129</v>
      </c>
      <c r="E11" s="1" t="s">
        <v>120</v>
      </c>
      <c r="F11" s="1" t="s">
        <v>130</v>
      </c>
      <c r="G11" s="1" t="s">
        <v>337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338</v>
      </c>
      <c r="B12" s="1" t="s">
        <v>133</v>
      </c>
      <c r="C12" s="1" t="s">
        <v>333</v>
      </c>
      <c r="D12" s="1" t="s">
        <v>134</v>
      </c>
      <c r="E12" s="1" t="s">
        <v>120</v>
      </c>
      <c r="F12" s="1" t="s">
        <v>135</v>
      </c>
      <c r="G12" s="1" t="s">
        <v>339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340</v>
      </c>
      <c r="B13" s="1" t="s">
        <v>138</v>
      </c>
      <c r="C13" s="1" t="s">
        <v>333</v>
      </c>
      <c r="D13" s="1" t="s">
        <v>139</v>
      </c>
      <c r="E13" s="1" t="s">
        <v>120</v>
      </c>
      <c r="F13" s="1" t="s">
        <v>140</v>
      </c>
      <c r="G13" s="1" t="s">
        <v>341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342</v>
      </c>
      <c r="B14" s="1" t="s">
        <v>143</v>
      </c>
      <c r="C14" s="1" t="s">
        <v>333</v>
      </c>
      <c r="D14" s="1" t="s">
        <v>144</v>
      </c>
      <c r="E14" s="1" t="s">
        <v>120</v>
      </c>
      <c r="F14" s="1" t="s">
        <v>145</v>
      </c>
      <c r="G14" s="1" t="s">
        <v>343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344</v>
      </c>
      <c r="B15" s="1" t="s">
        <v>148</v>
      </c>
      <c r="C15" s="1" t="s">
        <v>333</v>
      </c>
      <c r="D15" s="1" t="s">
        <v>149</v>
      </c>
      <c r="E15" s="1" t="s">
        <v>120</v>
      </c>
      <c r="F15" s="1" t="s">
        <v>150</v>
      </c>
      <c r="G15" s="1" t="s">
        <v>345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346</v>
      </c>
      <c r="B16" s="1" t="s">
        <v>153</v>
      </c>
      <c r="C16" s="1" t="s">
        <v>333</v>
      </c>
      <c r="D16" s="1" t="s">
        <v>154</v>
      </c>
      <c r="E16" s="1" t="s">
        <v>120</v>
      </c>
      <c r="F16" s="1" t="s">
        <v>155</v>
      </c>
      <c r="G16" s="1" t="s">
        <v>347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348</v>
      </c>
      <c r="B17" s="1" t="s">
        <v>159</v>
      </c>
      <c r="C17" s="1" t="s">
        <v>333</v>
      </c>
      <c r="D17" s="1" t="s">
        <v>160</v>
      </c>
      <c r="E17" s="1" t="s">
        <v>120</v>
      </c>
      <c r="F17" s="1" t="s">
        <v>161</v>
      </c>
      <c r="G17" s="1" t="s">
        <v>349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350</v>
      </c>
      <c r="B18" s="1" t="s">
        <v>165</v>
      </c>
      <c r="C18" s="1" t="s">
        <v>333</v>
      </c>
      <c r="D18" s="1" t="s">
        <v>166</v>
      </c>
      <c r="E18" s="1" t="s">
        <v>120</v>
      </c>
      <c r="F18" s="1" t="s">
        <v>161</v>
      </c>
      <c r="G18" s="1" t="s">
        <v>349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351</v>
      </c>
      <c r="B19" s="1" t="s">
        <v>168</v>
      </c>
      <c r="C19" s="1" t="s">
        <v>333</v>
      </c>
      <c r="D19" s="1" t="s">
        <v>169</v>
      </c>
      <c r="E19" s="1" t="s">
        <v>120</v>
      </c>
      <c r="F19" s="1" t="s">
        <v>161</v>
      </c>
      <c r="G19" s="1" t="s">
        <v>352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353</v>
      </c>
      <c r="B20" s="1" t="s">
        <v>173</v>
      </c>
      <c r="C20" s="1" t="s">
        <v>333</v>
      </c>
      <c r="D20" s="1" t="s">
        <v>174</v>
      </c>
      <c r="E20" s="1" t="s">
        <v>120</v>
      </c>
      <c r="F20" s="1" t="s">
        <v>161</v>
      </c>
      <c r="G20" s="1" t="s">
        <v>349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354</v>
      </c>
      <c r="B21" s="1" t="s">
        <v>177</v>
      </c>
      <c r="C21" s="1" t="s">
        <v>333</v>
      </c>
      <c r="D21" s="1" t="s">
        <v>178</v>
      </c>
      <c r="E21" s="1" t="s">
        <v>120</v>
      </c>
      <c r="F21" s="1" t="s">
        <v>179</v>
      </c>
      <c r="G21" s="1" t="s">
        <v>355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356</v>
      </c>
      <c r="B22" s="1" t="s">
        <v>182</v>
      </c>
      <c r="C22" s="1" t="s">
        <v>333</v>
      </c>
      <c r="D22" s="1" t="s">
        <v>183</v>
      </c>
      <c r="E22" s="1" t="s">
        <v>120</v>
      </c>
      <c r="F22" s="1" t="s">
        <v>179</v>
      </c>
      <c r="G22" s="1" t="s">
        <v>357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358</v>
      </c>
      <c r="B23" s="1" t="s">
        <v>186</v>
      </c>
      <c r="C23" s="1" t="s">
        <v>333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359</v>
      </c>
      <c r="B24" s="1" t="s">
        <v>191</v>
      </c>
      <c r="C24" s="1" t="s">
        <v>333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360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361</v>
      </c>
      <c r="B9" s="1" t="s">
        <v>117</v>
      </c>
      <c r="C9" s="1" t="s">
        <v>24</v>
      </c>
      <c r="D9" s="1" t="s">
        <v>119</v>
      </c>
      <c r="E9" s="1" t="s">
        <v>120</v>
      </c>
      <c r="F9" s="1" t="s">
        <v>121</v>
      </c>
      <c r="G9" s="1" t="s">
        <v>362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363</v>
      </c>
      <c r="B10" s="1" t="s">
        <v>124</v>
      </c>
      <c r="C10" s="1" t="s">
        <v>24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364</v>
      </c>
      <c r="B11" s="1" t="s">
        <v>128</v>
      </c>
      <c r="C11" s="1" t="s">
        <v>24</v>
      </c>
      <c r="D11" s="1" t="s">
        <v>129</v>
      </c>
      <c r="E11" s="1" t="s">
        <v>120</v>
      </c>
      <c r="F11" s="1" t="s">
        <v>130</v>
      </c>
      <c r="G11" s="1" t="s">
        <v>365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366</v>
      </c>
      <c r="B12" s="1" t="s">
        <v>133</v>
      </c>
      <c r="C12" s="1" t="s">
        <v>24</v>
      </c>
      <c r="D12" s="1" t="s">
        <v>134</v>
      </c>
      <c r="E12" s="1" t="s">
        <v>120</v>
      </c>
      <c r="F12" s="1" t="s">
        <v>135</v>
      </c>
      <c r="G12" s="1" t="s">
        <v>367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368</v>
      </c>
      <c r="B13" s="1" t="s">
        <v>138</v>
      </c>
      <c r="C13" s="1" t="s">
        <v>24</v>
      </c>
      <c r="D13" s="1" t="s">
        <v>139</v>
      </c>
      <c r="E13" s="1" t="s">
        <v>120</v>
      </c>
      <c r="F13" s="1" t="s">
        <v>140</v>
      </c>
      <c r="G13" s="1" t="s">
        <v>369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370</v>
      </c>
      <c r="B14" s="1" t="s">
        <v>143</v>
      </c>
      <c r="C14" s="1" t="s">
        <v>24</v>
      </c>
      <c r="D14" s="1" t="s">
        <v>144</v>
      </c>
      <c r="E14" s="1" t="s">
        <v>120</v>
      </c>
      <c r="F14" s="1" t="s">
        <v>145</v>
      </c>
      <c r="G14" s="1" t="s">
        <v>371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372</v>
      </c>
      <c r="B15" s="1" t="s">
        <v>148</v>
      </c>
      <c r="C15" s="1" t="s">
        <v>24</v>
      </c>
      <c r="D15" s="1" t="s">
        <v>149</v>
      </c>
      <c r="E15" s="1" t="s">
        <v>120</v>
      </c>
      <c r="F15" s="1" t="s">
        <v>150</v>
      </c>
      <c r="G15" s="1" t="s">
        <v>373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374</v>
      </c>
      <c r="B16" s="1" t="s">
        <v>153</v>
      </c>
      <c r="C16" s="1" t="s">
        <v>24</v>
      </c>
      <c r="D16" s="1" t="s">
        <v>154</v>
      </c>
      <c r="E16" s="1" t="s">
        <v>120</v>
      </c>
      <c r="F16" s="1" t="s">
        <v>155</v>
      </c>
      <c r="G16" s="1" t="s">
        <v>375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376</v>
      </c>
      <c r="B17" s="1" t="s">
        <v>159</v>
      </c>
      <c r="C17" s="1" t="s">
        <v>24</v>
      </c>
      <c r="D17" s="1" t="s">
        <v>160</v>
      </c>
      <c r="E17" s="1" t="s">
        <v>120</v>
      </c>
      <c r="F17" s="1" t="s">
        <v>161</v>
      </c>
      <c r="G17" s="1" t="s">
        <v>377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378</v>
      </c>
      <c r="B18" s="1" t="s">
        <v>165</v>
      </c>
      <c r="C18" s="1" t="s">
        <v>24</v>
      </c>
      <c r="D18" s="1" t="s">
        <v>166</v>
      </c>
      <c r="E18" s="1" t="s">
        <v>120</v>
      </c>
      <c r="F18" s="1" t="s">
        <v>161</v>
      </c>
      <c r="G18" s="1" t="s">
        <v>377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379</v>
      </c>
      <c r="B19" s="1" t="s">
        <v>168</v>
      </c>
      <c r="C19" s="1" t="s">
        <v>24</v>
      </c>
      <c r="D19" s="1" t="s">
        <v>169</v>
      </c>
      <c r="E19" s="1" t="s">
        <v>120</v>
      </c>
      <c r="F19" s="1" t="s">
        <v>161</v>
      </c>
      <c r="G19" s="1" t="s">
        <v>380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381</v>
      </c>
      <c r="B20" s="1" t="s">
        <v>173</v>
      </c>
      <c r="C20" s="1" t="s">
        <v>24</v>
      </c>
      <c r="D20" s="1" t="s">
        <v>174</v>
      </c>
      <c r="E20" s="1" t="s">
        <v>120</v>
      </c>
      <c r="F20" s="1" t="s">
        <v>161</v>
      </c>
      <c r="G20" s="1" t="s">
        <v>377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382</v>
      </c>
      <c r="B21" s="1" t="s">
        <v>177</v>
      </c>
      <c r="C21" s="1" t="s">
        <v>24</v>
      </c>
      <c r="D21" s="1" t="s">
        <v>178</v>
      </c>
      <c r="E21" s="1" t="s">
        <v>120</v>
      </c>
      <c r="F21" s="1" t="s">
        <v>179</v>
      </c>
      <c r="G21" s="1" t="s">
        <v>383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384</v>
      </c>
      <c r="B22" s="1" t="s">
        <v>182</v>
      </c>
      <c r="C22" s="1" t="s">
        <v>24</v>
      </c>
      <c r="D22" s="1" t="s">
        <v>183</v>
      </c>
      <c r="E22" s="1" t="s">
        <v>120</v>
      </c>
      <c r="F22" s="1" t="s">
        <v>179</v>
      </c>
      <c r="G22" s="1" t="s">
        <v>385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386</v>
      </c>
      <c r="B23" s="1" t="s">
        <v>186</v>
      </c>
      <c r="C23" s="1" t="s">
        <v>24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387</v>
      </c>
      <c r="B24" s="1" t="s">
        <v>191</v>
      </c>
      <c r="C24" s="1" t="s">
        <v>24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388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361</v>
      </c>
      <c r="B9" s="1" t="s">
        <v>117</v>
      </c>
      <c r="C9" s="1" t="s">
        <v>25</v>
      </c>
      <c r="D9" s="1" t="s">
        <v>119</v>
      </c>
      <c r="E9" s="1" t="s">
        <v>120</v>
      </c>
      <c r="F9" s="1" t="s">
        <v>121</v>
      </c>
      <c r="G9" s="1" t="s">
        <v>389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363</v>
      </c>
      <c r="B10" s="1" t="s">
        <v>124</v>
      </c>
      <c r="C10" s="1" t="s">
        <v>25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364</v>
      </c>
      <c r="B11" s="1" t="s">
        <v>128</v>
      </c>
      <c r="C11" s="1" t="s">
        <v>25</v>
      </c>
      <c r="D11" s="1" t="s">
        <v>129</v>
      </c>
      <c r="E11" s="1" t="s">
        <v>120</v>
      </c>
      <c r="F11" s="1" t="s">
        <v>130</v>
      </c>
      <c r="G11" s="1" t="s">
        <v>390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366</v>
      </c>
      <c r="B12" s="1" t="s">
        <v>133</v>
      </c>
      <c r="C12" s="1" t="s">
        <v>25</v>
      </c>
      <c r="D12" s="1" t="s">
        <v>134</v>
      </c>
      <c r="E12" s="1" t="s">
        <v>120</v>
      </c>
      <c r="F12" s="1" t="s">
        <v>135</v>
      </c>
      <c r="G12" s="1" t="s">
        <v>391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368</v>
      </c>
      <c r="B13" s="1" t="s">
        <v>138</v>
      </c>
      <c r="C13" s="1" t="s">
        <v>25</v>
      </c>
      <c r="D13" s="1" t="s">
        <v>139</v>
      </c>
      <c r="E13" s="1" t="s">
        <v>120</v>
      </c>
      <c r="F13" s="1" t="s">
        <v>140</v>
      </c>
      <c r="G13" s="1" t="s">
        <v>392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370</v>
      </c>
      <c r="B14" s="1" t="s">
        <v>143</v>
      </c>
      <c r="C14" s="1" t="s">
        <v>25</v>
      </c>
      <c r="D14" s="1" t="s">
        <v>144</v>
      </c>
      <c r="E14" s="1" t="s">
        <v>120</v>
      </c>
      <c r="F14" s="1" t="s">
        <v>145</v>
      </c>
      <c r="G14" s="1" t="s">
        <v>393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372</v>
      </c>
      <c r="B15" s="1" t="s">
        <v>148</v>
      </c>
      <c r="C15" s="1" t="s">
        <v>25</v>
      </c>
      <c r="D15" s="1" t="s">
        <v>149</v>
      </c>
      <c r="E15" s="1" t="s">
        <v>120</v>
      </c>
      <c r="F15" s="1" t="s">
        <v>150</v>
      </c>
      <c r="G15" s="1" t="s">
        <v>394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374</v>
      </c>
      <c r="B16" s="1" t="s">
        <v>153</v>
      </c>
      <c r="C16" s="1" t="s">
        <v>25</v>
      </c>
      <c r="D16" s="1" t="s">
        <v>154</v>
      </c>
      <c r="E16" s="1" t="s">
        <v>120</v>
      </c>
      <c r="F16" s="1" t="s">
        <v>155</v>
      </c>
      <c r="G16" s="1" t="s">
        <v>395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376</v>
      </c>
      <c r="B17" s="1" t="s">
        <v>159</v>
      </c>
      <c r="C17" s="1" t="s">
        <v>25</v>
      </c>
      <c r="D17" s="1" t="s">
        <v>160</v>
      </c>
      <c r="E17" s="1" t="s">
        <v>120</v>
      </c>
      <c r="F17" s="1" t="s">
        <v>161</v>
      </c>
      <c r="G17" s="1" t="s">
        <v>396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378</v>
      </c>
      <c r="B18" s="1" t="s">
        <v>165</v>
      </c>
      <c r="C18" s="1" t="s">
        <v>25</v>
      </c>
      <c r="D18" s="1" t="s">
        <v>166</v>
      </c>
      <c r="E18" s="1" t="s">
        <v>120</v>
      </c>
      <c r="F18" s="1" t="s">
        <v>161</v>
      </c>
      <c r="G18" s="1" t="s">
        <v>396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379</v>
      </c>
      <c r="B19" s="1" t="s">
        <v>168</v>
      </c>
      <c r="C19" s="1" t="s">
        <v>25</v>
      </c>
      <c r="D19" s="1" t="s">
        <v>169</v>
      </c>
      <c r="E19" s="1" t="s">
        <v>120</v>
      </c>
      <c r="F19" s="1" t="s">
        <v>161</v>
      </c>
      <c r="G19" s="1" t="s">
        <v>397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381</v>
      </c>
      <c r="B20" s="1" t="s">
        <v>173</v>
      </c>
      <c r="C20" s="1" t="s">
        <v>25</v>
      </c>
      <c r="D20" s="1" t="s">
        <v>174</v>
      </c>
      <c r="E20" s="1" t="s">
        <v>120</v>
      </c>
      <c r="F20" s="1" t="s">
        <v>161</v>
      </c>
      <c r="G20" s="1" t="s">
        <v>396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382</v>
      </c>
      <c r="B21" s="1" t="s">
        <v>177</v>
      </c>
      <c r="C21" s="1" t="s">
        <v>25</v>
      </c>
      <c r="D21" s="1" t="s">
        <v>178</v>
      </c>
      <c r="E21" s="1" t="s">
        <v>120</v>
      </c>
      <c r="F21" s="1" t="s">
        <v>179</v>
      </c>
      <c r="G21" s="1" t="s">
        <v>398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384</v>
      </c>
      <c r="B22" s="1" t="s">
        <v>182</v>
      </c>
      <c r="C22" s="1" t="s">
        <v>25</v>
      </c>
      <c r="D22" s="1" t="s">
        <v>183</v>
      </c>
      <c r="E22" s="1" t="s">
        <v>120</v>
      </c>
      <c r="F22" s="1" t="s">
        <v>179</v>
      </c>
      <c r="G22" s="1" t="s">
        <v>399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386</v>
      </c>
      <c r="B23" s="1" t="s">
        <v>186</v>
      </c>
      <c r="C23" s="1" t="s">
        <v>25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387</v>
      </c>
      <c r="B24" s="1" t="s">
        <v>191</v>
      </c>
      <c r="C24" s="1" t="s">
        <v>25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400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401</v>
      </c>
      <c r="B9" s="1" t="s">
        <v>117</v>
      </c>
      <c r="C9" s="1" t="s">
        <v>26</v>
      </c>
      <c r="D9" s="1" t="s">
        <v>119</v>
      </c>
      <c r="E9" s="1" t="s">
        <v>120</v>
      </c>
      <c r="F9" s="1" t="s">
        <v>121</v>
      </c>
      <c r="G9" s="1" t="s">
        <v>402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403</v>
      </c>
      <c r="B10" s="1" t="s">
        <v>124</v>
      </c>
      <c r="C10" s="1" t="s">
        <v>26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404</v>
      </c>
      <c r="B11" s="1" t="s">
        <v>128</v>
      </c>
      <c r="C11" s="1" t="s">
        <v>26</v>
      </c>
      <c r="D11" s="1" t="s">
        <v>129</v>
      </c>
      <c r="E11" s="1" t="s">
        <v>120</v>
      </c>
      <c r="F11" s="1" t="s">
        <v>130</v>
      </c>
      <c r="G11" s="1" t="s">
        <v>405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406</v>
      </c>
      <c r="B12" s="1" t="s">
        <v>133</v>
      </c>
      <c r="C12" s="1" t="s">
        <v>26</v>
      </c>
      <c r="D12" s="1" t="s">
        <v>134</v>
      </c>
      <c r="E12" s="1" t="s">
        <v>120</v>
      </c>
      <c r="F12" s="1" t="s">
        <v>135</v>
      </c>
      <c r="G12" s="1" t="s">
        <v>407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408</v>
      </c>
      <c r="B13" s="1" t="s">
        <v>138</v>
      </c>
      <c r="C13" s="1" t="s">
        <v>26</v>
      </c>
      <c r="D13" s="1" t="s">
        <v>139</v>
      </c>
      <c r="E13" s="1" t="s">
        <v>120</v>
      </c>
      <c r="F13" s="1" t="s">
        <v>140</v>
      </c>
      <c r="G13" s="1" t="s">
        <v>409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410</v>
      </c>
      <c r="B14" s="1" t="s">
        <v>143</v>
      </c>
      <c r="C14" s="1" t="s">
        <v>26</v>
      </c>
      <c r="D14" s="1" t="s">
        <v>144</v>
      </c>
      <c r="E14" s="1" t="s">
        <v>120</v>
      </c>
      <c r="F14" s="1" t="s">
        <v>145</v>
      </c>
      <c r="G14" s="1" t="s">
        <v>411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412</v>
      </c>
      <c r="B15" s="1" t="s">
        <v>148</v>
      </c>
      <c r="C15" s="1" t="s">
        <v>26</v>
      </c>
      <c r="D15" s="1" t="s">
        <v>149</v>
      </c>
      <c r="E15" s="1" t="s">
        <v>120</v>
      </c>
      <c r="F15" s="1" t="s">
        <v>150</v>
      </c>
      <c r="G15" s="1" t="s">
        <v>413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414</v>
      </c>
      <c r="B16" s="1" t="s">
        <v>153</v>
      </c>
      <c r="C16" s="1" t="s">
        <v>26</v>
      </c>
      <c r="D16" s="1" t="s">
        <v>154</v>
      </c>
      <c r="E16" s="1" t="s">
        <v>120</v>
      </c>
      <c r="F16" s="1" t="s">
        <v>155</v>
      </c>
      <c r="G16" s="1" t="s">
        <v>415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416</v>
      </c>
      <c r="B17" s="1" t="s">
        <v>159</v>
      </c>
      <c r="C17" s="1" t="s">
        <v>26</v>
      </c>
      <c r="D17" s="1" t="s">
        <v>160</v>
      </c>
      <c r="E17" s="1" t="s">
        <v>120</v>
      </c>
      <c r="F17" s="1" t="s">
        <v>161</v>
      </c>
      <c r="G17" s="1" t="s">
        <v>417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418</v>
      </c>
      <c r="B18" s="1" t="s">
        <v>165</v>
      </c>
      <c r="C18" s="1" t="s">
        <v>26</v>
      </c>
      <c r="D18" s="1" t="s">
        <v>166</v>
      </c>
      <c r="E18" s="1" t="s">
        <v>120</v>
      </c>
      <c r="F18" s="1" t="s">
        <v>161</v>
      </c>
      <c r="G18" s="1" t="s">
        <v>417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419</v>
      </c>
      <c r="B19" s="1" t="s">
        <v>168</v>
      </c>
      <c r="C19" s="1" t="s">
        <v>26</v>
      </c>
      <c r="D19" s="1" t="s">
        <v>169</v>
      </c>
      <c r="E19" s="1" t="s">
        <v>120</v>
      </c>
      <c r="F19" s="1" t="s">
        <v>161</v>
      </c>
      <c r="G19" s="1" t="s">
        <v>420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421</v>
      </c>
      <c r="B20" s="1" t="s">
        <v>173</v>
      </c>
      <c r="C20" s="1" t="s">
        <v>26</v>
      </c>
      <c r="D20" s="1" t="s">
        <v>174</v>
      </c>
      <c r="E20" s="1" t="s">
        <v>120</v>
      </c>
      <c r="F20" s="1" t="s">
        <v>161</v>
      </c>
      <c r="G20" s="1" t="s">
        <v>417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422</v>
      </c>
      <c r="B21" s="1" t="s">
        <v>177</v>
      </c>
      <c r="C21" s="1" t="s">
        <v>26</v>
      </c>
      <c r="D21" s="1" t="s">
        <v>178</v>
      </c>
      <c r="E21" s="1" t="s">
        <v>120</v>
      </c>
      <c r="F21" s="1" t="s">
        <v>179</v>
      </c>
      <c r="G21" s="1" t="s">
        <v>423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424</v>
      </c>
      <c r="B22" s="1" t="s">
        <v>182</v>
      </c>
      <c r="C22" s="1" t="s">
        <v>26</v>
      </c>
      <c r="D22" s="1" t="s">
        <v>183</v>
      </c>
      <c r="E22" s="1" t="s">
        <v>120</v>
      </c>
      <c r="F22" s="1" t="s">
        <v>179</v>
      </c>
      <c r="G22" s="1" t="s">
        <v>425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426</v>
      </c>
      <c r="B23" s="1" t="s">
        <v>186</v>
      </c>
      <c r="C23" s="1" t="s">
        <v>26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427</v>
      </c>
      <c r="B24" s="1" t="s">
        <v>191</v>
      </c>
      <c r="C24" s="1" t="s">
        <v>26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401</v>
      </c>
      <c r="B9" s="1" t="s">
        <v>117</v>
      </c>
      <c r="C9" s="1" t="s">
        <v>27</v>
      </c>
      <c r="D9" s="1" t="s">
        <v>119</v>
      </c>
      <c r="E9" s="1" t="s">
        <v>120</v>
      </c>
      <c r="F9" s="1" t="s">
        <v>121</v>
      </c>
      <c r="G9" s="1" t="s">
        <v>429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403</v>
      </c>
      <c r="B10" s="1" t="s">
        <v>124</v>
      </c>
      <c r="C10" s="1" t="s">
        <v>27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404</v>
      </c>
      <c r="B11" s="1" t="s">
        <v>128</v>
      </c>
      <c r="C11" s="1" t="s">
        <v>27</v>
      </c>
      <c r="D11" s="1" t="s">
        <v>129</v>
      </c>
      <c r="E11" s="1" t="s">
        <v>120</v>
      </c>
      <c r="F11" s="1" t="s">
        <v>130</v>
      </c>
      <c r="G11" s="1" t="s">
        <v>430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406</v>
      </c>
      <c r="B12" s="1" t="s">
        <v>133</v>
      </c>
      <c r="C12" s="1" t="s">
        <v>27</v>
      </c>
      <c r="D12" s="1" t="s">
        <v>134</v>
      </c>
      <c r="E12" s="1" t="s">
        <v>120</v>
      </c>
      <c r="F12" s="1" t="s">
        <v>135</v>
      </c>
      <c r="G12" s="1" t="s">
        <v>431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408</v>
      </c>
      <c r="B13" s="1" t="s">
        <v>138</v>
      </c>
      <c r="C13" s="1" t="s">
        <v>27</v>
      </c>
      <c r="D13" s="1" t="s">
        <v>139</v>
      </c>
      <c r="E13" s="1" t="s">
        <v>120</v>
      </c>
      <c r="F13" s="1" t="s">
        <v>140</v>
      </c>
      <c r="G13" s="1" t="s">
        <v>432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410</v>
      </c>
      <c r="B14" s="1" t="s">
        <v>143</v>
      </c>
      <c r="C14" s="1" t="s">
        <v>27</v>
      </c>
      <c r="D14" s="1" t="s">
        <v>144</v>
      </c>
      <c r="E14" s="1" t="s">
        <v>120</v>
      </c>
      <c r="F14" s="1" t="s">
        <v>145</v>
      </c>
      <c r="G14" s="1" t="s">
        <v>433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412</v>
      </c>
      <c r="B15" s="1" t="s">
        <v>148</v>
      </c>
      <c r="C15" s="1" t="s">
        <v>27</v>
      </c>
      <c r="D15" s="1" t="s">
        <v>149</v>
      </c>
      <c r="E15" s="1" t="s">
        <v>120</v>
      </c>
      <c r="F15" s="1" t="s">
        <v>150</v>
      </c>
      <c r="G15" s="1" t="s">
        <v>434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414</v>
      </c>
      <c r="B16" s="1" t="s">
        <v>153</v>
      </c>
      <c r="C16" s="1" t="s">
        <v>27</v>
      </c>
      <c r="D16" s="1" t="s">
        <v>154</v>
      </c>
      <c r="E16" s="1" t="s">
        <v>120</v>
      </c>
      <c r="F16" s="1" t="s">
        <v>155</v>
      </c>
      <c r="G16" s="1" t="s">
        <v>435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416</v>
      </c>
      <c r="B17" s="1" t="s">
        <v>159</v>
      </c>
      <c r="C17" s="1" t="s">
        <v>27</v>
      </c>
      <c r="D17" s="1" t="s">
        <v>160</v>
      </c>
      <c r="E17" s="1" t="s">
        <v>120</v>
      </c>
      <c r="F17" s="1" t="s">
        <v>161</v>
      </c>
      <c r="G17" s="1" t="s">
        <v>436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418</v>
      </c>
      <c r="B18" s="1" t="s">
        <v>165</v>
      </c>
      <c r="C18" s="1" t="s">
        <v>27</v>
      </c>
      <c r="D18" s="1" t="s">
        <v>166</v>
      </c>
      <c r="E18" s="1" t="s">
        <v>120</v>
      </c>
      <c r="F18" s="1" t="s">
        <v>161</v>
      </c>
      <c r="G18" s="1" t="s">
        <v>436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419</v>
      </c>
      <c r="B19" s="1" t="s">
        <v>168</v>
      </c>
      <c r="C19" s="1" t="s">
        <v>27</v>
      </c>
      <c r="D19" s="1" t="s">
        <v>169</v>
      </c>
      <c r="E19" s="1" t="s">
        <v>120</v>
      </c>
      <c r="F19" s="1" t="s">
        <v>161</v>
      </c>
      <c r="G19" s="1" t="s">
        <v>437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421</v>
      </c>
      <c r="B20" s="1" t="s">
        <v>173</v>
      </c>
      <c r="C20" s="1" t="s">
        <v>27</v>
      </c>
      <c r="D20" s="1" t="s">
        <v>174</v>
      </c>
      <c r="E20" s="1" t="s">
        <v>120</v>
      </c>
      <c r="F20" s="1" t="s">
        <v>161</v>
      </c>
      <c r="G20" s="1" t="s">
        <v>436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422</v>
      </c>
      <c r="B21" s="1" t="s">
        <v>177</v>
      </c>
      <c r="C21" s="1" t="s">
        <v>27</v>
      </c>
      <c r="D21" s="1" t="s">
        <v>178</v>
      </c>
      <c r="E21" s="1" t="s">
        <v>120</v>
      </c>
      <c r="F21" s="1" t="s">
        <v>179</v>
      </c>
      <c r="G21" s="1" t="s">
        <v>438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424</v>
      </c>
      <c r="B22" s="1" t="s">
        <v>182</v>
      </c>
      <c r="C22" s="1" t="s">
        <v>27</v>
      </c>
      <c r="D22" s="1" t="s">
        <v>183</v>
      </c>
      <c r="E22" s="1" t="s">
        <v>120</v>
      </c>
      <c r="F22" s="1" t="s">
        <v>179</v>
      </c>
      <c r="G22" s="1" t="s">
        <v>439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426</v>
      </c>
      <c r="B23" s="1" t="s">
        <v>186</v>
      </c>
      <c r="C23" s="1" t="s">
        <v>27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427</v>
      </c>
      <c r="B24" s="1" t="s">
        <v>191</v>
      </c>
      <c r="C24" s="1" t="s">
        <v>27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440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401</v>
      </c>
      <c r="B9" s="1" t="s">
        <v>117</v>
      </c>
      <c r="C9" s="1" t="s">
        <v>28</v>
      </c>
      <c r="D9" s="1" t="s">
        <v>119</v>
      </c>
      <c r="E9" s="1" t="s">
        <v>120</v>
      </c>
      <c r="F9" s="1" t="s">
        <v>121</v>
      </c>
      <c r="G9" s="1" t="s">
        <v>441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403</v>
      </c>
      <c r="B10" s="1" t="s">
        <v>124</v>
      </c>
      <c r="C10" s="1" t="s">
        <v>28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404</v>
      </c>
      <c r="B11" s="1" t="s">
        <v>128</v>
      </c>
      <c r="C11" s="1" t="s">
        <v>28</v>
      </c>
      <c r="D11" s="1" t="s">
        <v>129</v>
      </c>
      <c r="E11" s="1" t="s">
        <v>120</v>
      </c>
      <c r="F11" s="1" t="s">
        <v>130</v>
      </c>
      <c r="G11" s="1" t="s">
        <v>442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406</v>
      </c>
      <c r="B12" s="1" t="s">
        <v>133</v>
      </c>
      <c r="C12" s="1" t="s">
        <v>28</v>
      </c>
      <c r="D12" s="1" t="s">
        <v>134</v>
      </c>
      <c r="E12" s="1" t="s">
        <v>120</v>
      </c>
      <c r="F12" s="1" t="s">
        <v>135</v>
      </c>
      <c r="G12" s="1" t="s">
        <v>443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408</v>
      </c>
      <c r="B13" s="1" t="s">
        <v>138</v>
      </c>
      <c r="C13" s="1" t="s">
        <v>28</v>
      </c>
      <c r="D13" s="1" t="s">
        <v>139</v>
      </c>
      <c r="E13" s="1" t="s">
        <v>120</v>
      </c>
      <c r="F13" s="1" t="s">
        <v>140</v>
      </c>
      <c r="G13" s="1" t="s">
        <v>444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410</v>
      </c>
      <c r="B14" s="1" t="s">
        <v>143</v>
      </c>
      <c r="C14" s="1" t="s">
        <v>28</v>
      </c>
      <c r="D14" s="1" t="s">
        <v>144</v>
      </c>
      <c r="E14" s="1" t="s">
        <v>120</v>
      </c>
      <c r="F14" s="1" t="s">
        <v>145</v>
      </c>
      <c r="G14" s="1" t="s">
        <v>445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412</v>
      </c>
      <c r="B15" s="1" t="s">
        <v>148</v>
      </c>
      <c r="C15" s="1" t="s">
        <v>28</v>
      </c>
      <c r="D15" s="1" t="s">
        <v>149</v>
      </c>
      <c r="E15" s="1" t="s">
        <v>120</v>
      </c>
      <c r="F15" s="1" t="s">
        <v>150</v>
      </c>
      <c r="G15" s="1" t="s">
        <v>446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414</v>
      </c>
      <c r="B16" s="1" t="s">
        <v>153</v>
      </c>
      <c r="C16" s="1" t="s">
        <v>28</v>
      </c>
      <c r="D16" s="1" t="s">
        <v>154</v>
      </c>
      <c r="E16" s="1" t="s">
        <v>120</v>
      </c>
      <c r="F16" s="1" t="s">
        <v>155</v>
      </c>
      <c r="G16" s="1" t="s">
        <v>447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416</v>
      </c>
      <c r="B17" s="1" t="s">
        <v>159</v>
      </c>
      <c r="C17" s="1" t="s">
        <v>28</v>
      </c>
      <c r="D17" s="1" t="s">
        <v>160</v>
      </c>
      <c r="E17" s="1" t="s">
        <v>120</v>
      </c>
      <c r="F17" s="1" t="s">
        <v>161</v>
      </c>
      <c r="G17" s="1" t="s">
        <v>448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418</v>
      </c>
      <c r="B18" s="1" t="s">
        <v>165</v>
      </c>
      <c r="C18" s="1" t="s">
        <v>28</v>
      </c>
      <c r="D18" s="1" t="s">
        <v>166</v>
      </c>
      <c r="E18" s="1" t="s">
        <v>120</v>
      </c>
      <c r="F18" s="1" t="s">
        <v>161</v>
      </c>
      <c r="G18" s="1" t="s">
        <v>448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419</v>
      </c>
      <c r="B19" s="1" t="s">
        <v>168</v>
      </c>
      <c r="C19" s="1" t="s">
        <v>28</v>
      </c>
      <c r="D19" s="1" t="s">
        <v>169</v>
      </c>
      <c r="E19" s="1" t="s">
        <v>120</v>
      </c>
      <c r="F19" s="1" t="s">
        <v>161</v>
      </c>
      <c r="G19" s="1" t="s">
        <v>449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421</v>
      </c>
      <c r="B20" s="1" t="s">
        <v>173</v>
      </c>
      <c r="C20" s="1" t="s">
        <v>28</v>
      </c>
      <c r="D20" s="1" t="s">
        <v>174</v>
      </c>
      <c r="E20" s="1" t="s">
        <v>120</v>
      </c>
      <c r="F20" s="1" t="s">
        <v>161</v>
      </c>
      <c r="G20" s="1" t="s">
        <v>448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422</v>
      </c>
      <c r="B21" s="1" t="s">
        <v>177</v>
      </c>
      <c r="C21" s="1" t="s">
        <v>28</v>
      </c>
      <c r="D21" s="1" t="s">
        <v>178</v>
      </c>
      <c r="E21" s="1" t="s">
        <v>120</v>
      </c>
      <c r="F21" s="1" t="s">
        <v>179</v>
      </c>
      <c r="G21" s="1" t="s">
        <v>450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424</v>
      </c>
      <c r="B22" s="1" t="s">
        <v>182</v>
      </c>
      <c r="C22" s="1" t="s">
        <v>28</v>
      </c>
      <c r="D22" s="1" t="s">
        <v>183</v>
      </c>
      <c r="E22" s="1" t="s">
        <v>120</v>
      </c>
      <c r="F22" s="1" t="s">
        <v>179</v>
      </c>
      <c r="G22" s="1" t="s">
        <v>451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426</v>
      </c>
      <c r="B23" s="1" t="s">
        <v>186</v>
      </c>
      <c r="C23" s="1" t="s">
        <v>28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427</v>
      </c>
      <c r="B24" s="1" t="s">
        <v>191</v>
      </c>
      <c r="C24" s="1" t="s">
        <v>28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452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453</v>
      </c>
      <c r="B9" s="1" t="s">
        <v>117</v>
      </c>
      <c r="C9" s="1" t="s">
        <v>454</v>
      </c>
      <c r="D9" s="1" t="s">
        <v>119</v>
      </c>
      <c r="E9" s="1" t="s">
        <v>120</v>
      </c>
      <c r="F9" s="1" t="s">
        <v>121</v>
      </c>
      <c r="G9" s="1" t="s">
        <v>455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456</v>
      </c>
      <c r="B10" s="1" t="s">
        <v>124</v>
      </c>
      <c r="C10" s="1" t="s">
        <v>454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457</v>
      </c>
      <c r="B11" s="1" t="s">
        <v>128</v>
      </c>
      <c r="C11" s="1" t="s">
        <v>454</v>
      </c>
      <c r="D11" s="1" t="s">
        <v>129</v>
      </c>
      <c r="E11" s="1" t="s">
        <v>120</v>
      </c>
      <c r="F11" s="1" t="s">
        <v>130</v>
      </c>
      <c r="G11" s="1" t="s">
        <v>458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459</v>
      </c>
      <c r="B12" s="1" t="s">
        <v>133</v>
      </c>
      <c r="C12" s="1" t="s">
        <v>454</v>
      </c>
      <c r="D12" s="1" t="s">
        <v>134</v>
      </c>
      <c r="E12" s="1" t="s">
        <v>120</v>
      </c>
      <c r="F12" s="1" t="s">
        <v>135</v>
      </c>
      <c r="G12" s="1" t="s">
        <v>460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461</v>
      </c>
      <c r="B13" s="1" t="s">
        <v>138</v>
      </c>
      <c r="C13" s="1" t="s">
        <v>454</v>
      </c>
      <c r="D13" s="1" t="s">
        <v>139</v>
      </c>
      <c r="E13" s="1" t="s">
        <v>120</v>
      </c>
      <c r="F13" s="1" t="s">
        <v>140</v>
      </c>
      <c r="G13" s="1" t="s">
        <v>462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463</v>
      </c>
      <c r="B14" s="1" t="s">
        <v>143</v>
      </c>
      <c r="C14" s="1" t="s">
        <v>454</v>
      </c>
      <c r="D14" s="1" t="s">
        <v>144</v>
      </c>
      <c r="E14" s="1" t="s">
        <v>120</v>
      </c>
      <c r="F14" s="1" t="s">
        <v>145</v>
      </c>
      <c r="G14" s="1" t="s">
        <v>464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465</v>
      </c>
      <c r="B15" s="1" t="s">
        <v>148</v>
      </c>
      <c r="C15" s="1" t="s">
        <v>454</v>
      </c>
      <c r="D15" s="1" t="s">
        <v>149</v>
      </c>
      <c r="E15" s="1" t="s">
        <v>120</v>
      </c>
      <c r="F15" s="1" t="s">
        <v>150</v>
      </c>
      <c r="G15" s="1" t="s">
        <v>466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467</v>
      </c>
      <c r="B16" s="1" t="s">
        <v>153</v>
      </c>
      <c r="C16" s="1" t="s">
        <v>454</v>
      </c>
      <c r="D16" s="1" t="s">
        <v>154</v>
      </c>
      <c r="E16" s="1" t="s">
        <v>120</v>
      </c>
      <c r="F16" s="1" t="s">
        <v>155</v>
      </c>
      <c r="G16" s="1" t="s">
        <v>468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469</v>
      </c>
      <c r="B17" s="1" t="s">
        <v>159</v>
      </c>
      <c r="C17" s="1" t="s">
        <v>454</v>
      </c>
      <c r="D17" s="1" t="s">
        <v>160</v>
      </c>
      <c r="E17" s="1" t="s">
        <v>120</v>
      </c>
      <c r="F17" s="1" t="s">
        <v>161</v>
      </c>
      <c r="G17" s="1" t="s">
        <v>470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471</v>
      </c>
      <c r="B18" s="1" t="s">
        <v>165</v>
      </c>
      <c r="C18" s="1" t="s">
        <v>454</v>
      </c>
      <c r="D18" s="1" t="s">
        <v>166</v>
      </c>
      <c r="E18" s="1" t="s">
        <v>120</v>
      </c>
      <c r="F18" s="1" t="s">
        <v>161</v>
      </c>
      <c r="G18" s="1" t="s">
        <v>470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472</v>
      </c>
      <c r="B19" s="1" t="s">
        <v>168</v>
      </c>
      <c r="C19" s="1" t="s">
        <v>454</v>
      </c>
      <c r="D19" s="1" t="s">
        <v>169</v>
      </c>
      <c r="E19" s="1" t="s">
        <v>120</v>
      </c>
      <c r="F19" s="1" t="s">
        <v>161</v>
      </c>
      <c r="G19" s="1" t="s">
        <v>473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474</v>
      </c>
      <c r="B20" s="1" t="s">
        <v>173</v>
      </c>
      <c r="C20" s="1" t="s">
        <v>454</v>
      </c>
      <c r="D20" s="1" t="s">
        <v>174</v>
      </c>
      <c r="E20" s="1" t="s">
        <v>120</v>
      </c>
      <c r="F20" s="1" t="s">
        <v>161</v>
      </c>
      <c r="G20" s="1" t="s">
        <v>470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475</v>
      </c>
      <c r="B21" s="1" t="s">
        <v>177</v>
      </c>
      <c r="C21" s="1" t="s">
        <v>454</v>
      </c>
      <c r="D21" s="1" t="s">
        <v>178</v>
      </c>
      <c r="E21" s="1" t="s">
        <v>120</v>
      </c>
      <c r="F21" s="1" t="s">
        <v>179</v>
      </c>
      <c r="G21" s="1" t="s">
        <v>476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477</v>
      </c>
      <c r="B22" s="1" t="s">
        <v>182</v>
      </c>
      <c r="C22" s="1" t="s">
        <v>454</v>
      </c>
      <c r="D22" s="1" t="s">
        <v>183</v>
      </c>
      <c r="E22" s="1" t="s">
        <v>120</v>
      </c>
      <c r="F22" s="1" t="s">
        <v>179</v>
      </c>
      <c r="G22" s="1" t="s">
        <v>478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479</v>
      </c>
      <c r="B23" s="1" t="s">
        <v>186</v>
      </c>
      <c r="C23" s="1" t="s">
        <v>454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480</v>
      </c>
      <c r="B24" s="1" t="s">
        <v>191</v>
      </c>
      <c r="C24" s="1" t="s">
        <v>454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481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482</v>
      </c>
      <c r="B9" s="1" t="s">
        <v>117</v>
      </c>
      <c r="C9" s="1" t="s">
        <v>483</v>
      </c>
      <c r="D9" s="1" t="s">
        <v>119</v>
      </c>
      <c r="E9" s="1" t="s">
        <v>120</v>
      </c>
      <c r="F9" s="1" t="s">
        <v>121</v>
      </c>
      <c r="G9" s="1" t="s">
        <v>484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485</v>
      </c>
      <c r="B10" s="1" t="s">
        <v>124</v>
      </c>
      <c r="C10" s="1" t="s">
        <v>483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486</v>
      </c>
      <c r="B11" s="1" t="s">
        <v>128</v>
      </c>
      <c r="C11" s="1" t="s">
        <v>483</v>
      </c>
      <c r="D11" s="1" t="s">
        <v>129</v>
      </c>
      <c r="E11" s="1" t="s">
        <v>120</v>
      </c>
      <c r="F11" s="1" t="s">
        <v>130</v>
      </c>
      <c r="G11" s="1" t="s">
        <v>487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488</v>
      </c>
      <c r="B12" s="1" t="s">
        <v>133</v>
      </c>
      <c r="C12" s="1" t="s">
        <v>483</v>
      </c>
      <c r="D12" s="1" t="s">
        <v>134</v>
      </c>
      <c r="E12" s="1" t="s">
        <v>120</v>
      </c>
      <c r="F12" s="1" t="s">
        <v>135</v>
      </c>
      <c r="G12" s="1" t="s">
        <v>489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490</v>
      </c>
      <c r="B13" s="1" t="s">
        <v>138</v>
      </c>
      <c r="C13" s="1" t="s">
        <v>483</v>
      </c>
      <c r="D13" s="1" t="s">
        <v>139</v>
      </c>
      <c r="E13" s="1" t="s">
        <v>120</v>
      </c>
      <c r="F13" s="1" t="s">
        <v>140</v>
      </c>
      <c r="G13" s="1" t="s">
        <v>491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492</v>
      </c>
      <c r="B14" s="1" t="s">
        <v>143</v>
      </c>
      <c r="C14" s="1" t="s">
        <v>483</v>
      </c>
      <c r="D14" s="1" t="s">
        <v>144</v>
      </c>
      <c r="E14" s="1" t="s">
        <v>120</v>
      </c>
      <c r="F14" s="1" t="s">
        <v>145</v>
      </c>
      <c r="G14" s="1" t="s">
        <v>493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494</v>
      </c>
      <c r="B15" s="1" t="s">
        <v>148</v>
      </c>
      <c r="C15" s="1" t="s">
        <v>483</v>
      </c>
      <c r="D15" s="1" t="s">
        <v>149</v>
      </c>
      <c r="E15" s="1" t="s">
        <v>120</v>
      </c>
      <c r="F15" s="1" t="s">
        <v>150</v>
      </c>
      <c r="G15" s="1" t="s">
        <v>495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496</v>
      </c>
      <c r="B16" s="1" t="s">
        <v>153</v>
      </c>
      <c r="C16" s="1" t="s">
        <v>483</v>
      </c>
      <c r="D16" s="1" t="s">
        <v>154</v>
      </c>
      <c r="E16" s="1" t="s">
        <v>120</v>
      </c>
      <c r="F16" s="1" t="s">
        <v>155</v>
      </c>
      <c r="G16" s="1" t="s">
        <v>497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498</v>
      </c>
      <c r="B17" s="1" t="s">
        <v>159</v>
      </c>
      <c r="C17" s="1" t="s">
        <v>483</v>
      </c>
      <c r="D17" s="1" t="s">
        <v>160</v>
      </c>
      <c r="E17" s="1" t="s">
        <v>120</v>
      </c>
      <c r="F17" s="1" t="s">
        <v>161</v>
      </c>
      <c r="G17" s="1" t="s">
        <v>499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500</v>
      </c>
      <c r="B18" s="1" t="s">
        <v>165</v>
      </c>
      <c r="C18" s="1" t="s">
        <v>483</v>
      </c>
      <c r="D18" s="1" t="s">
        <v>166</v>
      </c>
      <c r="E18" s="1" t="s">
        <v>120</v>
      </c>
      <c r="F18" s="1" t="s">
        <v>161</v>
      </c>
      <c r="G18" s="1" t="s">
        <v>499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501</v>
      </c>
      <c r="B19" s="1" t="s">
        <v>168</v>
      </c>
      <c r="C19" s="1" t="s">
        <v>483</v>
      </c>
      <c r="D19" s="1" t="s">
        <v>169</v>
      </c>
      <c r="E19" s="1" t="s">
        <v>120</v>
      </c>
      <c r="F19" s="1" t="s">
        <v>161</v>
      </c>
      <c r="G19" s="1" t="s">
        <v>502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503</v>
      </c>
      <c r="B20" s="1" t="s">
        <v>173</v>
      </c>
      <c r="C20" s="1" t="s">
        <v>483</v>
      </c>
      <c r="D20" s="1" t="s">
        <v>174</v>
      </c>
      <c r="E20" s="1" t="s">
        <v>120</v>
      </c>
      <c r="F20" s="1" t="s">
        <v>161</v>
      </c>
      <c r="G20" s="1" t="s">
        <v>499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504</v>
      </c>
      <c r="B21" s="1" t="s">
        <v>177</v>
      </c>
      <c r="C21" s="1" t="s">
        <v>483</v>
      </c>
      <c r="D21" s="1" t="s">
        <v>178</v>
      </c>
      <c r="E21" s="1" t="s">
        <v>120</v>
      </c>
      <c r="F21" s="1" t="s">
        <v>179</v>
      </c>
      <c r="G21" s="1" t="s">
        <v>505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506</v>
      </c>
      <c r="B22" s="1" t="s">
        <v>182</v>
      </c>
      <c r="C22" s="1" t="s">
        <v>483</v>
      </c>
      <c r="D22" s="1" t="s">
        <v>183</v>
      </c>
      <c r="E22" s="1" t="s">
        <v>120</v>
      </c>
      <c r="F22" s="1" t="s">
        <v>179</v>
      </c>
      <c r="G22" s="1" t="s">
        <v>507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508</v>
      </c>
      <c r="B23" s="1" t="s">
        <v>186</v>
      </c>
      <c r="C23" s="1" t="s">
        <v>483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509</v>
      </c>
      <c r="B24" s="1" t="s">
        <v>191</v>
      </c>
      <c r="C24" s="1" t="s">
        <v>483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510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COUNTA(A9:A24)</f>
        <v>16</v>
      </c>
      <c r="D4" s="5" t="s">
        <v>102</v>
      </c>
      <c r="E4" s="6" t="n">
        <f aca="false">SUM(M9:M24)</f>
        <v>12</v>
      </c>
      <c r="G4" s="5" t="s">
        <v>13</v>
      </c>
      <c r="H4" s="7" t="n">
        <f aca="false">IF(B4=0,0,E4/B4)</f>
        <v>0.75</v>
      </c>
      <c r="J4" s="5" t="s">
        <v>14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IF(COUNTIFS(I9:I24,"yes",M9:M24,0)&gt;0,"open","complete")</f>
        <v>open</v>
      </c>
      <c r="D5" s="5" t="s">
        <v>15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54" hidden="false" customHeight="true" outlineLevel="0" collapsed="false">
      <c r="A9" s="12" t="s">
        <v>511</v>
      </c>
      <c r="B9" s="12" t="s">
        <v>117</v>
      </c>
      <c r="C9" s="12" t="s">
        <v>31</v>
      </c>
      <c r="D9" s="13" t="s">
        <v>512</v>
      </c>
      <c r="E9" s="12" t="s">
        <v>120</v>
      </c>
      <c r="F9" s="12" t="s">
        <v>121</v>
      </c>
      <c r="G9" s="13" t="s">
        <v>513</v>
      </c>
      <c r="H9" s="12" t="s">
        <v>84</v>
      </c>
      <c r="I9" s="12" t="s">
        <v>99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514</v>
      </c>
      <c r="B10" s="12" t="s">
        <v>124</v>
      </c>
      <c r="C10" s="12" t="s">
        <v>31</v>
      </c>
      <c r="D10" s="13" t="s">
        <v>515</v>
      </c>
      <c r="E10" s="12" t="s">
        <v>120</v>
      </c>
      <c r="F10" s="12" t="s">
        <v>120</v>
      </c>
      <c r="G10" s="13" t="s">
        <v>126</v>
      </c>
      <c r="H10" s="12" t="s">
        <v>84</v>
      </c>
      <c r="I10" s="12" t="s">
        <v>99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516</v>
      </c>
      <c r="B11" s="12" t="s">
        <v>128</v>
      </c>
      <c r="C11" s="12" t="s">
        <v>31</v>
      </c>
      <c r="D11" s="13" t="s">
        <v>517</v>
      </c>
      <c r="E11" s="12" t="s">
        <v>120</v>
      </c>
      <c r="F11" s="12" t="s">
        <v>130</v>
      </c>
      <c r="G11" s="13" t="s">
        <v>518</v>
      </c>
      <c r="H11" s="12" t="s">
        <v>84</v>
      </c>
      <c r="I11" s="12" t="s">
        <v>99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519</v>
      </c>
      <c r="B12" s="12" t="s">
        <v>133</v>
      </c>
      <c r="C12" s="12" t="s">
        <v>31</v>
      </c>
      <c r="D12" s="13" t="s">
        <v>520</v>
      </c>
      <c r="E12" s="12" t="s">
        <v>120</v>
      </c>
      <c r="F12" s="12" t="s">
        <v>135</v>
      </c>
      <c r="G12" s="13" t="s">
        <v>521</v>
      </c>
      <c r="H12" s="12" t="s">
        <v>84</v>
      </c>
      <c r="I12" s="12" t="s">
        <v>99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522</v>
      </c>
      <c r="B13" s="12" t="s">
        <v>138</v>
      </c>
      <c r="C13" s="12" t="s">
        <v>31</v>
      </c>
      <c r="D13" s="13" t="s">
        <v>523</v>
      </c>
      <c r="E13" s="12" t="s">
        <v>120</v>
      </c>
      <c r="F13" s="12" t="s">
        <v>140</v>
      </c>
      <c r="G13" s="13" t="s">
        <v>524</v>
      </c>
      <c r="H13" s="12" t="s">
        <v>84</v>
      </c>
      <c r="I13" s="12" t="s">
        <v>99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525</v>
      </c>
      <c r="B14" s="12" t="s">
        <v>143</v>
      </c>
      <c r="C14" s="12" t="s">
        <v>31</v>
      </c>
      <c r="D14" s="13" t="s">
        <v>526</v>
      </c>
      <c r="E14" s="12" t="s">
        <v>120</v>
      </c>
      <c r="F14" s="12" t="s">
        <v>145</v>
      </c>
      <c r="G14" s="13" t="s">
        <v>527</v>
      </c>
      <c r="H14" s="12" t="s">
        <v>84</v>
      </c>
      <c r="I14" s="12" t="s">
        <v>99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528</v>
      </c>
      <c r="B15" s="12" t="s">
        <v>148</v>
      </c>
      <c r="C15" s="12" t="s">
        <v>31</v>
      </c>
      <c r="D15" s="13" t="s">
        <v>529</v>
      </c>
      <c r="E15" s="12" t="s">
        <v>120</v>
      </c>
      <c r="F15" s="12" t="s">
        <v>150</v>
      </c>
      <c r="G15" s="13" t="s">
        <v>530</v>
      </c>
      <c r="H15" s="12" t="s">
        <v>84</v>
      </c>
      <c r="I15" s="12" t="s">
        <v>99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531</v>
      </c>
      <c r="B16" s="12" t="s">
        <v>153</v>
      </c>
      <c r="C16" s="12" t="s">
        <v>31</v>
      </c>
      <c r="D16" s="13" t="s">
        <v>532</v>
      </c>
      <c r="E16" s="12" t="s">
        <v>120</v>
      </c>
      <c r="F16" s="12" t="s">
        <v>155</v>
      </c>
      <c r="G16" s="13" t="s">
        <v>533</v>
      </c>
      <c r="H16" s="12" t="s">
        <v>86</v>
      </c>
      <c r="I16" s="12" t="s">
        <v>98</v>
      </c>
      <c r="J16" s="14" t="n">
        <v>46227</v>
      </c>
      <c r="K16" s="13" t="s">
        <v>534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535</v>
      </c>
      <c r="B17" s="12" t="s">
        <v>159</v>
      </c>
      <c r="C17" s="12" t="s">
        <v>31</v>
      </c>
      <c r="D17" s="13" t="s">
        <v>536</v>
      </c>
      <c r="E17" s="12" t="s">
        <v>120</v>
      </c>
      <c r="F17" s="12" t="s">
        <v>161</v>
      </c>
      <c r="G17" s="13" t="s">
        <v>537</v>
      </c>
      <c r="H17" s="12" t="s">
        <v>82</v>
      </c>
      <c r="I17" s="12" t="s">
        <v>98</v>
      </c>
      <c r="J17" s="14"/>
      <c r="K17" s="13" t="s">
        <v>538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539</v>
      </c>
      <c r="B18" s="12" t="s">
        <v>165</v>
      </c>
      <c r="C18" s="12" t="s">
        <v>31</v>
      </c>
      <c r="D18" s="13" t="s">
        <v>540</v>
      </c>
      <c r="E18" s="12" t="s">
        <v>120</v>
      </c>
      <c r="F18" s="12" t="s">
        <v>161</v>
      </c>
      <c r="G18" s="13" t="s">
        <v>541</v>
      </c>
      <c r="H18" s="12" t="s">
        <v>82</v>
      </c>
      <c r="I18" s="12" t="s">
        <v>98</v>
      </c>
      <c r="J18" s="14"/>
      <c r="K18" s="13" t="s">
        <v>542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543</v>
      </c>
      <c r="B19" s="12" t="s">
        <v>168</v>
      </c>
      <c r="C19" s="12" t="s">
        <v>31</v>
      </c>
      <c r="D19" s="13" t="s">
        <v>544</v>
      </c>
      <c r="E19" s="12" t="s">
        <v>120</v>
      </c>
      <c r="F19" s="12" t="s">
        <v>161</v>
      </c>
      <c r="G19" s="13" t="s">
        <v>545</v>
      </c>
      <c r="H19" s="12" t="s">
        <v>82</v>
      </c>
      <c r="I19" s="12" t="s">
        <v>98</v>
      </c>
      <c r="J19" s="14"/>
      <c r="K19" s="13" t="s">
        <v>546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547</v>
      </c>
      <c r="B20" s="12" t="s">
        <v>173</v>
      </c>
      <c r="C20" s="12" t="s">
        <v>31</v>
      </c>
      <c r="D20" s="13" t="s">
        <v>548</v>
      </c>
      <c r="E20" s="12" t="s">
        <v>120</v>
      </c>
      <c r="F20" s="12" t="s">
        <v>161</v>
      </c>
      <c r="G20" s="13" t="s">
        <v>537</v>
      </c>
      <c r="H20" s="12" t="s">
        <v>82</v>
      </c>
      <c r="I20" s="12" t="s">
        <v>98</v>
      </c>
      <c r="J20" s="14"/>
      <c r="K20" s="13" t="s">
        <v>549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550</v>
      </c>
      <c r="B21" s="12" t="s">
        <v>177</v>
      </c>
      <c r="C21" s="12" t="s">
        <v>31</v>
      </c>
      <c r="D21" s="13" t="s">
        <v>551</v>
      </c>
      <c r="E21" s="12" t="s">
        <v>120</v>
      </c>
      <c r="F21" s="12" t="s">
        <v>179</v>
      </c>
      <c r="G21" s="13" t="s">
        <v>552</v>
      </c>
      <c r="H21" s="12" t="s">
        <v>84</v>
      </c>
      <c r="I21" s="12" t="s">
        <v>99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553</v>
      </c>
      <c r="B22" s="12" t="s">
        <v>182</v>
      </c>
      <c r="C22" s="12" t="s">
        <v>31</v>
      </c>
      <c r="D22" s="13" t="s">
        <v>554</v>
      </c>
      <c r="E22" s="12" t="s">
        <v>120</v>
      </c>
      <c r="F22" s="12" t="s">
        <v>179</v>
      </c>
      <c r="G22" s="13" t="s">
        <v>555</v>
      </c>
      <c r="H22" s="12" t="s">
        <v>84</v>
      </c>
      <c r="I22" s="12" t="s">
        <v>99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556</v>
      </c>
      <c r="B23" s="12" t="s">
        <v>186</v>
      </c>
      <c r="C23" s="12" t="s">
        <v>31</v>
      </c>
      <c r="D23" s="13" t="s">
        <v>557</v>
      </c>
      <c r="E23" s="12" t="s">
        <v>188</v>
      </c>
      <c r="F23" s="12" t="s">
        <v>188</v>
      </c>
      <c r="G23" s="13" t="s">
        <v>189</v>
      </c>
      <c r="H23" s="12" t="s">
        <v>84</v>
      </c>
      <c r="I23" s="12" t="s">
        <v>99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558</v>
      </c>
      <c r="B24" s="12" t="s">
        <v>191</v>
      </c>
      <c r="C24" s="12" t="s">
        <v>31</v>
      </c>
      <c r="D24" s="13" t="s">
        <v>559</v>
      </c>
      <c r="E24" s="12" t="s">
        <v>120</v>
      </c>
      <c r="F24" s="12" t="s">
        <v>120</v>
      </c>
      <c r="G24" s="13" t="s">
        <v>560</v>
      </c>
      <c r="H24" s="12" t="s">
        <v>84</v>
      </c>
      <c r="I24" s="12" t="s">
        <v>99</v>
      </c>
      <c r="J24" s="14" t="n">
        <v>46227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561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562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17</v>
      </c>
      <c r="D4" s="5" t="s">
        <v>102</v>
      </c>
      <c r="E4" s="6" t="n">
        <f aca="false">SUM(M9:M25)</f>
        <v>14</v>
      </c>
      <c r="G4" s="5" t="s">
        <v>13</v>
      </c>
      <c r="H4" s="7" t="n">
        <f aca="false">IF(B4=0,0,E4/B4)</f>
        <v>0.823529411764706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54" hidden="false" customHeight="true" outlineLevel="0" collapsed="false">
      <c r="A9" s="12" t="s">
        <v>563</v>
      </c>
      <c r="B9" s="12" t="s">
        <v>117</v>
      </c>
      <c r="C9" s="12" t="s">
        <v>32</v>
      </c>
      <c r="D9" s="13" t="s">
        <v>564</v>
      </c>
      <c r="E9" s="12" t="s">
        <v>120</v>
      </c>
      <c r="F9" s="12" t="s">
        <v>121</v>
      </c>
      <c r="G9" s="13" t="s">
        <v>565</v>
      </c>
      <c r="H9" s="12" t="s">
        <v>84</v>
      </c>
      <c r="I9" s="12" t="s">
        <v>99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566</v>
      </c>
      <c r="B10" s="12" t="s">
        <v>124</v>
      </c>
      <c r="C10" s="12" t="s">
        <v>32</v>
      </c>
      <c r="D10" s="13" t="s">
        <v>567</v>
      </c>
      <c r="E10" s="12" t="s">
        <v>120</v>
      </c>
      <c r="F10" s="12" t="s">
        <v>120</v>
      </c>
      <c r="G10" s="13" t="s">
        <v>568</v>
      </c>
      <c r="H10" s="12" t="s">
        <v>84</v>
      </c>
      <c r="I10" s="12" t="s">
        <v>99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569</v>
      </c>
      <c r="B11" s="12" t="s">
        <v>128</v>
      </c>
      <c r="C11" s="12" t="s">
        <v>32</v>
      </c>
      <c r="D11" s="13" t="s">
        <v>570</v>
      </c>
      <c r="E11" s="12" t="s">
        <v>120</v>
      </c>
      <c r="F11" s="12" t="s">
        <v>130</v>
      </c>
      <c r="G11" s="13" t="s">
        <v>571</v>
      </c>
      <c r="H11" s="12" t="s">
        <v>84</v>
      </c>
      <c r="I11" s="12" t="s">
        <v>99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572</v>
      </c>
      <c r="B12" s="12" t="s">
        <v>133</v>
      </c>
      <c r="C12" s="12" t="s">
        <v>32</v>
      </c>
      <c r="D12" s="13" t="s">
        <v>573</v>
      </c>
      <c r="E12" s="12" t="s">
        <v>120</v>
      </c>
      <c r="F12" s="12" t="s">
        <v>135</v>
      </c>
      <c r="G12" s="13" t="s">
        <v>574</v>
      </c>
      <c r="H12" s="12" t="s">
        <v>84</v>
      </c>
      <c r="I12" s="12" t="s">
        <v>99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575</v>
      </c>
      <c r="B13" s="12" t="s">
        <v>138</v>
      </c>
      <c r="C13" s="12" t="s">
        <v>32</v>
      </c>
      <c r="D13" s="13" t="s">
        <v>576</v>
      </c>
      <c r="E13" s="12" t="s">
        <v>120</v>
      </c>
      <c r="F13" s="12" t="s">
        <v>140</v>
      </c>
      <c r="G13" s="13" t="s">
        <v>577</v>
      </c>
      <c r="H13" s="12" t="s">
        <v>84</v>
      </c>
      <c r="I13" s="12" t="s">
        <v>99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578</v>
      </c>
      <c r="B14" s="12" t="s">
        <v>143</v>
      </c>
      <c r="C14" s="12" t="s">
        <v>32</v>
      </c>
      <c r="D14" s="13" t="s">
        <v>579</v>
      </c>
      <c r="E14" s="12" t="s">
        <v>120</v>
      </c>
      <c r="F14" s="12" t="s">
        <v>145</v>
      </c>
      <c r="G14" s="13" t="s">
        <v>580</v>
      </c>
      <c r="H14" s="12" t="s">
        <v>84</v>
      </c>
      <c r="I14" s="12" t="s">
        <v>99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581</v>
      </c>
      <c r="B15" s="12" t="s">
        <v>148</v>
      </c>
      <c r="C15" s="12" t="s">
        <v>32</v>
      </c>
      <c r="D15" s="13" t="s">
        <v>582</v>
      </c>
      <c r="E15" s="12" t="s">
        <v>120</v>
      </c>
      <c r="F15" s="12" t="s">
        <v>150</v>
      </c>
      <c r="G15" s="13" t="s">
        <v>580</v>
      </c>
      <c r="H15" s="12" t="s">
        <v>84</v>
      </c>
      <c r="I15" s="12" t="s">
        <v>99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583</v>
      </c>
      <c r="B16" s="12" t="s">
        <v>153</v>
      </c>
      <c r="C16" s="12" t="s">
        <v>32</v>
      </c>
      <c r="D16" s="13" t="s">
        <v>584</v>
      </c>
      <c r="E16" s="12" t="s">
        <v>120</v>
      </c>
      <c r="F16" s="12" t="s">
        <v>155</v>
      </c>
      <c r="G16" s="13" t="s">
        <v>585</v>
      </c>
      <c r="H16" s="12" t="s">
        <v>86</v>
      </c>
      <c r="I16" s="12" t="s">
        <v>98</v>
      </c>
      <c r="J16" s="14"/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586</v>
      </c>
      <c r="B17" s="12" t="s">
        <v>159</v>
      </c>
      <c r="C17" s="12" t="s">
        <v>32</v>
      </c>
      <c r="D17" s="13" t="s">
        <v>587</v>
      </c>
      <c r="E17" s="12" t="s">
        <v>120</v>
      </c>
      <c r="F17" s="12" t="s">
        <v>161</v>
      </c>
      <c r="G17" s="13" t="s">
        <v>588</v>
      </c>
      <c r="H17" s="12" t="s">
        <v>82</v>
      </c>
      <c r="I17" s="12" t="s">
        <v>98</v>
      </c>
      <c r="J17" s="14"/>
      <c r="K17" s="13" t="s">
        <v>589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590</v>
      </c>
      <c r="B18" s="12" t="s">
        <v>165</v>
      </c>
      <c r="C18" s="12" t="s">
        <v>32</v>
      </c>
      <c r="D18" s="13" t="s">
        <v>591</v>
      </c>
      <c r="E18" s="12" t="s">
        <v>120</v>
      </c>
      <c r="F18" s="12" t="s">
        <v>161</v>
      </c>
      <c r="G18" s="13" t="s">
        <v>592</v>
      </c>
      <c r="H18" s="12" t="s">
        <v>82</v>
      </c>
      <c r="I18" s="12" t="s">
        <v>98</v>
      </c>
      <c r="J18" s="14"/>
      <c r="K18" s="13" t="s">
        <v>593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594</v>
      </c>
      <c r="B19" s="12" t="s">
        <v>168</v>
      </c>
      <c r="C19" s="12" t="s">
        <v>32</v>
      </c>
      <c r="D19" s="13" t="s">
        <v>595</v>
      </c>
      <c r="E19" s="12" t="s">
        <v>120</v>
      </c>
      <c r="F19" s="12" t="s">
        <v>145</v>
      </c>
      <c r="G19" s="13" t="s">
        <v>580</v>
      </c>
      <c r="H19" s="12" t="s">
        <v>84</v>
      </c>
      <c r="I19" s="12" t="s">
        <v>99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596</v>
      </c>
      <c r="B20" s="12" t="s">
        <v>173</v>
      </c>
      <c r="C20" s="12" t="s">
        <v>32</v>
      </c>
      <c r="D20" s="13" t="s">
        <v>597</v>
      </c>
      <c r="E20" s="12" t="s">
        <v>120</v>
      </c>
      <c r="F20" s="12" t="s">
        <v>161</v>
      </c>
      <c r="G20" s="13" t="s">
        <v>588</v>
      </c>
      <c r="H20" s="12" t="s">
        <v>82</v>
      </c>
      <c r="I20" s="12" t="s">
        <v>98</v>
      </c>
      <c r="J20" s="14"/>
      <c r="K20" s="13" t="s">
        <v>598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599</v>
      </c>
      <c r="B21" s="12" t="s">
        <v>177</v>
      </c>
      <c r="C21" s="12" t="s">
        <v>32</v>
      </c>
      <c r="D21" s="13" t="s">
        <v>600</v>
      </c>
      <c r="E21" s="12" t="s">
        <v>120</v>
      </c>
      <c r="F21" s="12" t="s">
        <v>179</v>
      </c>
      <c r="G21" s="13" t="s">
        <v>601</v>
      </c>
      <c r="H21" s="12" t="s">
        <v>84</v>
      </c>
      <c r="I21" s="12" t="s">
        <v>99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602</v>
      </c>
      <c r="B22" s="12" t="s">
        <v>182</v>
      </c>
      <c r="C22" s="12" t="s">
        <v>32</v>
      </c>
      <c r="D22" s="13" t="s">
        <v>603</v>
      </c>
      <c r="E22" s="12" t="s">
        <v>120</v>
      </c>
      <c r="F22" s="12" t="s">
        <v>179</v>
      </c>
      <c r="G22" s="13" t="s">
        <v>604</v>
      </c>
      <c r="H22" s="12" t="s">
        <v>84</v>
      </c>
      <c r="I22" s="12" t="s">
        <v>99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605</v>
      </c>
      <c r="B23" s="12" t="s">
        <v>186</v>
      </c>
      <c r="C23" s="12" t="s">
        <v>32</v>
      </c>
      <c r="D23" s="13" t="s">
        <v>606</v>
      </c>
      <c r="E23" s="12" t="s">
        <v>188</v>
      </c>
      <c r="F23" s="12" t="s">
        <v>188</v>
      </c>
      <c r="G23" s="13" t="s">
        <v>189</v>
      </c>
      <c r="H23" s="12" t="s">
        <v>84</v>
      </c>
      <c r="I23" s="12" t="s">
        <v>99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607</v>
      </c>
      <c r="B24" s="12" t="s">
        <v>608</v>
      </c>
      <c r="C24" s="12" t="s">
        <v>32</v>
      </c>
      <c r="D24" s="13" t="s">
        <v>609</v>
      </c>
      <c r="E24" s="12" t="s">
        <v>120</v>
      </c>
      <c r="F24" s="12" t="s">
        <v>610</v>
      </c>
      <c r="G24" s="13" t="s">
        <v>611</v>
      </c>
      <c r="H24" s="12" t="s">
        <v>84</v>
      </c>
      <c r="I24" s="12" t="s">
        <v>99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612</v>
      </c>
      <c r="B25" s="12" t="s">
        <v>191</v>
      </c>
      <c r="C25" s="12" t="s">
        <v>32</v>
      </c>
      <c r="D25" s="13" t="s">
        <v>613</v>
      </c>
      <c r="E25" s="12" t="s">
        <v>120</v>
      </c>
      <c r="F25" s="12" t="s">
        <v>120</v>
      </c>
      <c r="G25" s="13" t="s">
        <v>614</v>
      </c>
      <c r="H25" s="12" t="s">
        <v>84</v>
      </c>
      <c r="I25" s="12" t="s">
        <v>99</v>
      </c>
      <c r="J25" s="14" t="n">
        <v>46228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5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615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COUNTA(A9:A24)</f>
        <v>16</v>
      </c>
      <c r="D4" s="5" t="s">
        <v>102</v>
      </c>
      <c r="E4" s="6" t="n">
        <f aca="false">SUM(M9:M24)</f>
        <v>12</v>
      </c>
      <c r="G4" s="5" t="s">
        <v>13</v>
      </c>
      <c r="H4" s="7" t="n">
        <f aca="false">IF(B4=0,0,E4/B4)</f>
        <v>0.75</v>
      </c>
      <c r="J4" s="5" t="s">
        <v>14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IF(COUNTIFS(I9:I24,"yes",M9:M24,0)&gt;0,"open","complete")</f>
        <v>open</v>
      </c>
      <c r="D5" s="5" t="s">
        <v>15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54" hidden="false" customHeight="true" outlineLevel="0" collapsed="false">
      <c r="A9" s="12" t="s">
        <v>616</v>
      </c>
      <c r="B9" s="12" t="s">
        <v>117</v>
      </c>
      <c r="C9" s="12" t="s">
        <v>39</v>
      </c>
      <c r="D9" s="13" t="s">
        <v>617</v>
      </c>
      <c r="E9" s="12" t="s">
        <v>120</v>
      </c>
      <c r="F9" s="12" t="s">
        <v>121</v>
      </c>
      <c r="G9" s="13" t="s">
        <v>618</v>
      </c>
      <c r="H9" s="12" t="s">
        <v>84</v>
      </c>
      <c r="I9" s="12" t="s">
        <v>99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619</v>
      </c>
      <c r="B10" s="12" t="s">
        <v>124</v>
      </c>
      <c r="C10" s="12" t="s">
        <v>39</v>
      </c>
      <c r="D10" s="13" t="s">
        <v>620</v>
      </c>
      <c r="E10" s="12" t="s">
        <v>120</v>
      </c>
      <c r="F10" s="12" t="s">
        <v>120</v>
      </c>
      <c r="G10" s="13" t="s">
        <v>126</v>
      </c>
      <c r="H10" s="12" t="s">
        <v>84</v>
      </c>
      <c r="I10" s="12" t="s">
        <v>99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621</v>
      </c>
      <c r="B11" s="12" t="s">
        <v>128</v>
      </c>
      <c r="C11" s="12" t="s">
        <v>39</v>
      </c>
      <c r="D11" s="13" t="s">
        <v>622</v>
      </c>
      <c r="E11" s="12" t="s">
        <v>120</v>
      </c>
      <c r="F11" s="12" t="s">
        <v>130</v>
      </c>
      <c r="G11" s="13" t="s">
        <v>623</v>
      </c>
      <c r="H11" s="12" t="s">
        <v>84</v>
      </c>
      <c r="I11" s="12" t="s">
        <v>99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624</v>
      </c>
      <c r="B12" s="12" t="s">
        <v>133</v>
      </c>
      <c r="C12" s="12" t="s">
        <v>39</v>
      </c>
      <c r="D12" s="13" t="s">
        <v>625</v>
      </c>
      <c r="E12" s="12" t="s">
        <v>120</v>
      </c>
      <c r="F12" s="12" t="s">
        <v>135</v>
      </c>
      <c r="G12" s="13" t="s">
        <v>626</v>
      </c>
      <c r="H12" s="12" t="s">
        <v>84</v>
      </c>
      <c r="I12" s="12" t="s">
        <v>99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627</v>
      </c>
      <c r="B13" s="12" t="s">
        <v>138</v>
      </c>
      <c r="C13" s="12" t="s">
        <v>39</v>
      </c>
      <c r="D13" s="13" t="s">
        <v>628</v>
      </c>
      <c r="E13" s="12" t="s">
        <v>120</v>
      </c>
      <c r="F13" s="12" t="s">
        <v>140</v>
      </c>
      <c r="G13" s="13" t="s">
        <v>629</v>
      </c>
      <c r="H13" s="12" t="s">
        <v>84</v>
      </c>
      <c r="I13" s="12" t="s">
        <v>99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630</v>
      </c>
      <c r="B14" s="12" t="s">
        <v>143</v>
      </c>
      <c r="C14" s="12" t="s">
        <v>39</v>
      </c>
      <c r="D14" s="13" t="s">
        <v>631</v>
      </c>
      <c r="E14" s="12" t="s">
        <v>120</v>
      </c>
      <c r="F14" s="12" t="s">
        <v>145</v>
      </c>
      <c r="G14" s="13" t="s">
        <v>632</v>
      </c>
      <c r="H14" s="12" t="s">
        <v>84</v>
      </c>
      <c r="I14" s="12" t="s">
        <v>99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633</v>
      </c>
      <c r="B15" s="12" t="s">
        <v>148</v>
      </c>
      <c r="C15" s="12" t="s">
        <v>39</v>
      </c>
      <c r="D15" s="13" t="s">
        <v>634</v>
      </c>
      <c r="E15" s="12" t="s">
        <v>120</v>
      </c>
      <c r="F15" s="12" t="s">
        <v>150</v>
      </c>
      <c r="G15" s="13" t="s">
        <v>632</v>
      </c>
      <c r="H15" s="12" t="s">
        <v>84</v>
      </c>
      <c r="I15" s="12" t="s">
        <v>99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635</v>
      </c>
      <c r="B16" s="12" t="s">
        <v>153</v>
      </c>
      <c r="C16" s="12" t="s">
        <v>39</v>
      </c>
      <c r="D16" s="13" t="s">
        <v>636</v>
      </c>
      <c r="E16" s="12" t="s">
        <v>120</v>
      </c>
      <c r="F16" s="12" t="s">
        <v>155</v>
      </c>
      <c r="G16" s="13" t="s">
        <v>637</v>
      </c>
      <c r="H16" s="12" t="s">
        <v>86</v>
      </c>
      <c r="I16" s="12" t="s">
        <v>98</v>
      </c>
      <c r="J16" s="14" t="n">
        <v>46227</v>
      </c>
      <c r="K16" s="13" t="s">
        <v>638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639</v>
      </c>
      <c r="B17" s="12" t="s">
        <v>159</v>
      </c>
      <c r="C17" s="12" t="s">
        <v>39</v>
      </c>
      <c r="D17" s="13" t="s">
        <v>640</v>
      </c>
      <c r="E17" s="12" t="s">
        <v>120</v>
      </c>
      <c r="F17" s="12" t="s">
        <v>161</v>
      </c>
      <c r="G17" s="13" t="s">
        <v>641</v>
      </c>
      <c r="H17" s="12" t="s">
        <v>82</v>
      </c>
      <c r="I17" s="12" t="s">
        <v>98</v>
      </c>
      <c r="J17" s="14"/>
      <c r="K17" s="13" t="s">
        <v>642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643</v>
      </c>
      <c r="B18" s="12" t="s">
        <v>165</v>
      </c>
      <c r="C18" s="12" t="s">
        <v>39</v>
      </c>
      <c r="D18" s="13" t="s">
        <v>644</v>
      </c>
      <c r="E18" s="12" t="s">
        <v>120</v>
      </c>
      <c r="F18" s="12" t="s">
        <v>161</v>
      </c>
      <c r="G18" s="13" t="s">
        <v>645</v>
      </c>
      <c r="H18" s="12" t="s">
        <v>82</v>
      </c>
      <c r="I18" s="12" t="s">
        <v>98</v>
      </c>
      <c r="J18" s="14"/>
      <c r="K18" s="13" t="s">
        <v>646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647</v>
      </c>
      <c r="B19" s="12" t="s">
        <v>648</v>
      </c>
      <c r="C19" s="12" t="s">
        <v>39</v>
      </c>
      <c r="D19" s="13" t="s">
        <v>649</v>
      </c>
      <c r="E19" s="12" t="s">
        <v>120</v>
      </c>
      <c r="F19" s="12" t="s">
        <v>145</v>
      </c>
      <c r="G19" s="13" t="s">
        <v>632</v>
      </c>
      <c r="H19" s="12" t="s">
        <v>84</v>
      </c>
      <c r="I19" s="12" t="s">
        <v>99</v>
      </c>
      <c r="J19" s="14" t="n">
        <v>46227</v>
      </c>
      <c r="K19" s="13" t="s">
        <v>546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650</v>
      </c>
      <c r="B20" s="12" t="s">
        <v>173</v>
      </c>
      <c r="C20" s="12" t="s">
        <v>39</v>
      </c>
      <c r="D20" s="13" t="s">
        <v>651</v>
      </c>
      <c r="E20" s="12" t="s">
        <v>120</v>
      </c>
      <c r="F20" s="12" t="s">
        <v>161</v>
      </c>
      <c r="G20" s="13" t="s">
        <v>641</v>
      </c>
      <c r="H20" s="12" t="s">
        <v>82</v>
      </c>
      <c r="I20" s="12" t="s">
        <v>98</v>
      </c>
      <c r="J20" s="14"/>
      <c r="K20" s="13" t="s">
        <v>549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652</v>
      </c>
      <c r="B21" s="12" t="s">
        <v>177</v>
      </c>
      <c r="C21" s="12" t="s">
        <v>39</v>
      </c>
      <c r="D21" s="13" t="s">
        <v>551</v>
      </c>
      <c r="E21" s="12" t="s">
        <v>120</v>
      </c>
      <c r="F21" s="12" t="s">
        <v>179</v>
      </c>
      <c r="G21" s="13" t="s">
        <v>653</v>
      </c>
      <c r="H21" s="12" t="s">
        <v>84</v>
      </c>
      <c r="I21" s="12" t="s">
        <v>99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654</v>
      </c>
      <c r="B22" s="12" t="s">
        <v>182</v>
      </c>
      <c r="C22" s="12" t="s">
        <v>39</v>
      </c>
      <c r="D22" s="13" t="s">
        <v>655</v>
      </c>
      <c r="E22" s="12" t="s">
        <v>120</v>
      </c>
      <c r="F22" s="12" t="s">
        <v>179</v>
      </c>
      <c r="G22" s="13" t="s">
        <v>656</v>
      </c>
      <c r="H22" s="12" t="s">
        <v>84</v>
      </c>
      <c r="I22" s="12" t="s">
        <v>99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657</v>
      </c>
      <c r="B23" s="12" t="s">
        <v>186</v>
      </c>
      <c r="C23" s="12" t="s">
        <v>39</v>
      </c>
      <c r="D23" s="13" t="s">
        <v>658</v>
      </c>
      <c r="E23" s="12" t="s">
        <v>188</v>
      </c>
      <c r="F23" s="12" t="s">
        <v>188</v>
      </c>
      <c r="G23" s="13" t="s">
        <v>189</v>
      </c>
      <c r="H23" s="12" t="s">
        <v>84</v>
      </c>
      <c r="I23" s="12" t="s">
        <v>99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659</v>
      </c>
      <c r="B24" s="12" t="s">
        <v>191</v>
      </c>
      <c r="C24" s="12" t="s">
        <v>39</v>
      </c>
      <c r="D24" s="13" t="s">
        <v>559</v>
      </c>
      <c r="E24" s="12" t="s">
        <v>120</v>
      </c>
      <c r="F24" s="12" t="s">
        <v>120</v>
      </c>
      <c r="G24" s="13" t="s">
        <v>560</v>
      </c>
      <c r="H24" s="12" t="s">
        <v>82</v>
      </c>
      <c r="I24" s="12" t="s">
        <v>98</v>
      </c>
      <c r="J24" s="14" t="n">
        <v>46227</v>
      </c>
      <c r="K24" s="13" t="s">
        <v>660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661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662</v>
      </c>
      <c r="B9" s="1" t="s">
        <v>117</v>
      </c>
      <c r="C9" s="1" t="s">
        <v>663</v>
      </c>
      <c r="D9" s="1" t="s">
        <v>119</v>
      </c>
      <c r="E9" s="1" t="s">
        <v>120</v>
      </c>
      <c r="F9" s="1" t="s">
        <v>121</v>
      </c>
      <c r="G9" s="1" t="s">
        <v>253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664</v>
      </c>
      <c r="B10" s="1" t="s">
        <v>124</v>
      </c>
      <c r="C10" s="1" t="s">
        <v>663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665</v>
      </c>
      <c r="B11" s="1" t="s">
        <v>128</v>
      </c>
      <c r="C11" s="1" t="s">
        <v>663</v>
      </c>
      <c r="D11" s="1" t="s">
        <v>129</v>
      </c>
      <c r="E11" s="1" t="s">
        <v>120</v>
      </c>
      <c r="F11" s="1" t="s">
        <v>130</v>
      </c>
      <c r="G11" s="1" t="s">
        <v>666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667</v>
      </c>
      <c r="B12" s="1" t="s">
        <v>133</v>
      </c>
      <c r="C12" s="1" t="s">
        <v>663</v>
      </c>
      <c r="D12" s="1" t="s">
        <v>134</v>
      </c>
      <c r="E12" s="1" t="s">
        <v>120</v>
      </c>
      <c r="F12" s="1" t="s">
        <v>135</v>
      </c>
      <c r="G12" s="1" t="s">
        <v>258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668</v>
      </c>
      <c r="B13" s="1" t="s">
        <v>138</v>
      </c>
      <c r="C13" s="1" t="s">
        <v>663</v>
      </c>
      <c r="D13" s="1" t="s">
        <v>139</v>
      </c>
      <c r="E13" s="1" t="s">
        <v>120</v>
      </c>
      <c r="F13" s="1" t="s">
        <v>140</v>
      </c>
      <c r="G13" s="1" t="s">
        <v>669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670</v>
      </c>
      <c r="B14" s="1" t="s">
        <v>143</v>
      </c>
      <c r="C14" s="1" t="s">
        <v>663</v>
      </c>
      <c r="D14" s="1" t="s">
        <v>144</v>
      </c>
      <c r="E14" s="1" t="s">
        <v>120</v>
      </c>
      <c r="F14" s="1" t="s">
        <v>145</v>
      </c>
      <c r="G14" s="1" t="s">
        <v>671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672</v>
      </c>
      <c r="B15" s="1" t="s">
        <v>148</v>
      </c>
      <c r="C15" s="1" t="s">
        <v>663</v>
      </c>
      <c r="D15" s="1" t="s">
        <v>149</v>
      </c>
      <c r="E15" s="1" t="s">
        <v>120</v>
      </c>
      <c r="F15" s="1" t="s">
        <v>150</v>
      </c>
      <c r="G15" s="1" t="s">
        <v>673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674</v>
      </c>
      <c r="B16" s="1" t="s">
        <v>153</v>
      </c>
      <c r="C16" s="1" t="s">
        <v>663</v>
      </c>
      <c r="D16" s="1" t="s">
        <v>154</v>
      </c>
      <c r="E16" s="1" t="s">
        <v>120</v>
      </c>
      <c r="F16" s="1" t="s">
        <v>155</v>
      </c>
      <c r="G16" s="1" t="s">
        <v>675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676</v>
      </c>
      <c r="B17" s="1" t="s">
        <v>159</v>
      </c>
      <c r="C17" s="1" t="s">
        <v>663</v>
      </c>
      <c r="D17" s="1" t="s">
        <v>160</v>
      </c>
      <c r="E17" s="1" t="s">
        <v>120</v>
      </c>
      <c r="F17" s="1" t="s">
        <v>161</v>
      </c>
      <c r="G17" s="1" t="s">
        <v>677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678</v>
      </c>
      <c r="B18" s="1" t="s">
        <v>165</v>
      </c>
      <c r="C18" s="1" t="s">
        <v>663</v>
      </c>
      <c r="D18" s="1" t="s">
        <v>166</v>
      </c>
      <c r="E18" s="1" t="s">
        <v>120</v>
      </c>
      <c r="F18" s="1" t="s">
        <v>161</v>
      </c>
      <c r="G18" s="1" t="s">
        <v>677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679</v>
      </c>
      <c r="B19" s="1" t="s">
        <v>168</v>
      </c>
      <c r="C19" s="1" t="s">
        <v>663</v>
      </c>
      <c r="D19" s="1" t="s">
        <v>169</v>
      </c>
      <c r="E19" s="1" t="s">
        <v>120</v>
      </c>
      <c r="F19" s="1" t="s">
        <v>161</v>
      </c>
      <c r="G19" s="1" t="s">
        <v>680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681</v>
      </c>
      <c r="B20" s="1" t="s">
        <v>173</v>
      </c>
      <c r="C20" s="1" t="s">
        <v>663</v>
      </c>
      <c r="D20" s="1" t="s">
        <v>174</v>
      </c>
      <c r="E20" s="1" t="s">
        <v>120</v>
      </c>
      <c r="F20" s="1" t="s">
        <v>161</v>
      </c>
      <c r="G20" s="1" t="s">
        <v>677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682</v>
      </c>
      <c r="B21" s="1" t="s">
        <v>177</v>
      </c>
      <c r="C21" s="1" t="s">
        <v>663</v>
      </c>
      <c r="D21" s="1" t="s">
        <v>178</v>
      </c>
      <c r="E21" s="1" t="s">
        <v>120</v>
      </c>
      <c r="F21" s="1" t="s">
        <v>179</v>
      </c>
      <c r="G21" s="1" t="s">
        <v>683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684</v>
      </c>
      <c r="B22" s="1" t="s">
        <v>182</v>
      </c>
      <c r="C22" s="1" t="s">
        <v>663</v>
      </c>
      <c r="D22" s="1" t="s">
        <v>183</v>
      </c>
      <c r="E22" s="1" t="s">
        <v>120</v>
      </c>
      <c r="F22" s="1" t="s">
        <v>179</v>
      </c>
      <c r="G22" s="1" t="s">
        <v>685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686</v>
      </c>
      <c r="B23" s="1" t="s">
        <v>186</v>
      </c>
      <c r="C23" s="1" t="s">
        <v>663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687</v>
      </c>
      <c r="B24" s="1" t="s">
        <v>191</v>
      </c>
      <c r="C24" s="1" t="s">
        <v>663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688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689</v>
      </c>
      <c r="B9" s="1" t="s">
        <v>117</v>
      </c>
      <c r="C9" s="1" t="s">
        <v>34</v>
      </c>
      <c r="D9" s="1" t="s">
        <v>119</v>
      </c>
      <c r="E9" s="1" t="s">
        <v>120</v>
      </c>
      <c r="F9" s="1" t="s">
        <v>121</v>
      </c>
      <c r="G9" s="1" t="s">
        <v>690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691</v>
      </c>
      <c r="B10" s="1" t="s">
        <v>124</v>
      </c>
      <c r="C10" s="1" t="s">
        <v>34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692</v>
      </c>
      <c r="B11" s="1" t="s">
        <v>128</v>
      </c>
      <c r="C11" s="1" t="s">
        <v>34</v>
      </c>
      <c r="D11" s="1" t="s">
        <v>129</v>
      </c>
      <c r="E11" s="1" t="s">
        <v>120</v>
      </c>
      <c r="F11" s="1" t="s">
        <v>130</v>
      </c>
      <c r="G11" s="1" t="s">
        <v>693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694</v>
      </c>
      <c r="B12" s="1" t="s">
        <v>133</v>
      </c>
      <c r="C12" s="1" t="s">
        <v>34</v>
      </c>
      <c r="D12" s="1" t="s">
        <v>134</v>
      </c>
      <c r="E12" s="1" t="s">
        <v>120</v>
      </c>
      <c r="F12" s="1" t="s">
        <v>135</v>
      </c>
      <c r="G12" s="1" t="s">
        <v>695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696</v>
      </c>
      <c r="B13" s="1" t="s">
        <v>138</v>
      </c>
      <c r="C13" s="1" t="s">
        <v>34</v>
      </c>
      <c r="D13" s="1" t="s">
        <v>139</v>
      </c>
      <c r="E13" s="1" t="s">
        <v>120</v>
      </c>
      <c r="F13" s="1" t="s">
        <v>140</v>
      </c>
      <c r="G13" s="1" t="s">
        <v>697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698</v>
      </c>
      <c r="B14" s="1" t="s">
        <v>143</v>
      </c>
      <c r="C14" s="1" t="s">
        <v>34</v>
      </c>
      <c r="D14" s="1" t="s">
        <v>144</v>
      </c>
      <c r="E14" s="1" t="s">
        <v>120</v>
      </c>
      <c r="F14" s="1" t="s">
        <v>145</v>
      </c>
      <c r="G14" s="1" t="s">
        <v>699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700</v>
      </c>
      <c r="B15" s="1" t="s">
        <v>148</v>
      </c>
      <c r="C15" s="1" t="s">
        <v>34</v>
      </c>
      <c r="D15" s="1" t="s">
        <v>149</v>
      </c>
      <c r="E15" s="1" t="s">
        <v>120</v>
      </c>
      <c r="F15" s="1" t="s">
        <v>150</v>
      </c>
      <c r="G15" s="1" t="s">
        <v>701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702</v>
      </c>
      <c r="B16" s="1" t="s">
        <v>153</v>
      </c>
      <c r="C16" s="1" t="s">
        <v>34</v>
      </c>
      <c r="D16" s="1" t="s">
        <v>154</v>
      </c>
      <c r="E16" s="1" t="s">
        <v>120</v>
      </c>
      <c r="F16" s="1" t="s">
        <v>155</v>
      </c>
      <c r="G16" s="1" t="s">
        <v>703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704</v>
      </c>
      <c r="B17" s="1" t="s">
        <v>159</v>
      </c>
      <c r="C17" s="1" t="s">
        <v>34</v>
      </c>
      <c r="D17" s="1" t="s">
        <v>160</v>
      </c>
      <c r="E17" s="1" t="s">
        <v>120</v>
      </c>
      <c r="F17" s="1" t="s">
        <v>161</v>
      </c>
      <c r="G17" s="1" t="s">
        <v>705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706</v>
      </c>
      <c r="B18" s="1" t="s">
        <v>165</v>
      </c>
      <c r="C18" s="1" t="s">
        <v>34</v>
      </c>
      <c r="D18" s="1" t="s">
        <v>166</v>
      </c>
      <c r="E18" s="1" t="s">
        <v>120</v>
      </c>
      <c r="F18" s="1" t="s">
        <v>161</v>
      </c>
      <c r="G18" s="1" t="s">
        <v>705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707</v>
      </c>
      <c r="B19" s="1" t="s">
        <v>168</v>
      </c>
      <c r="C19" s="1" t="s">
        <v>34</v>
      </c>
      <c r="D19" s="1" t="s">
        <v>169</v>
      </c>
      <c r="E19" s="1" t="s">
        <v>120</v>
      </c>
      <c r="F19" s="1" t="s">
        <v>161</v>
      </c>
      <c r="G19" s="1" t="s">
        <v>708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709</v>
      </c>
      <c r="B20" s="1" t="s">
        <v>173</v>
      </c>
      <c r="C20" s="1" t="s">
        <v>34</v>
      </c>
      <c r="D20" s="1" t="s">
        <v>174</v>
      </c>
      <c r="E20" s="1" t="s">
        <v>120</v>
      </c>
      <c r="F20" s="1" t="s">
        <v>161</v>
      </c>
      <c r="G20" s="1" t="s">
        <v>705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710</v>
      </c>
      <c r="B21" s="1" t="s">
        <v>177</v>
      </c>
      <c r="C21" s="1" t="s">
        <v>34</v>
      </c>
      <c r="D21" s="1" t="s">
        <v>178</v>
      </c>
      <c r="E21" s="1" t="s">
        <v>120</v>
      </c>
      <c r="F21" s="1" t="s">
        <v>179</v>
      </c>
      <c r="G21" s="1" t="s">
        <v>711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712</v>
      </c>
      <c r="B22" s="1" t="s">
        <v>182</v>
      </c>
      <c r="C22" s="1" t="s">
        <v>34</v>
      </c>
      <c r="D22" s="1" t="s">
        <v>183</v>
      </c>
      <c r="E22" s="1" t="s">
        <v>120</v>
      </c>
      <c r="F22" s="1" t="s">
        <v>179</v>
      </c>
      <c r="G22" s="1" t="s">
        <v>713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714</v>
      </c>
      <c r="B23" s="1" t="s">
        <v>186</v>
      </c>
      <c r="C23" s="1" t="s">
        <v>34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715</v>
      </c>
      <c r="B24" s="1" t="s">
        <v>191</v>
      </c>
      <c r="C24" s="1" t="s">
        <v>34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716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616</v>
      </c>
      <c r="B9" s="1" t="s">
        <v>117</v>
      </c>
      <c r="C9" s="1" t="s">
        <v>35</v>
      </c>
      <c r="D9" s="1" t="s">
        <v>119</v>
      </c>
      <c r="E9" s="1" t="s">
        <v>120</v>
      </c>
      <c r="F9" s="1" t="s">
        <v>121</v>
      </c>
      <c r="G9" s="1" t="s">
        <v>717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619</v>
      </c>
      <c r="B10" s="1" t="s">
        <v>124</v>
      </c>
      <c r="C10" s="1" t="s">
        <v>35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621</v>
      </c>
      <c r="B11" s="1" t="s">
        <v>128</v>
      </c>
      <c r="C11" s="1" t="s">
        <v>35</v>
      </c>
      <c r="D11" s="1" t="s">
        <v>129</v>
      </c>
      <c r="E11" s="1" t="s">
        <v>120</v>
      </c>
      <c r="F11" s="1" t="s">
        <v>130</v>
      </c>
      <c r="G11" s="1" t="s">
        <v>718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624</v>
      </c>
      <c r="B12" s="1" t="s">
        <v>133</v>
      </c>
      <c r="C12" s="1" t="s">
        <v>35</v>
      </c>
      <c r="D12" s="1" t="s">
        <v>134</v>
      </c>
      <c r="E12" s="1" t="s">
        <v>120</v>
      </c>
      <c r="F12" s="1" t="s">
        <v>135</v>
      </c>
      <c r="G12" s="1" t="s">
        <v>719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627</v>
      </c>
      <c r="B13" s="1" t="s">
        <v>138</v>
      </c>
      <c r="C13" s="1" t="s">
        <v>35</v>
      </c>
      <c r="D13" s="1" t="s">
        <v>139</v>
      </c>
      <c r="E13" s="1" t="s">
        <v>120</v>
      </c>
      <c r="F13" s="1" t="s">
        <v>140</v>
      </c>
      <c r="G13" s="1" t="s">
        <v>720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630</v>
      </c>
      <c r="B14" s="1" t="s">
        <v>143</v>
      </c>
      <c r="C14" s="1" t="s">
        <v>35</v>
      </c>
      <c r="D14" s="1" t="s">
        <v>144</v>
      </c>
      <c r="E14" s="1" t="s">
        <v>120</v>
      </c>
      <c r="F14" s="1" t="s">
        <v>145</v>
      </c>
      <c r="G14" s="1" t="s">
        <v>721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633</v>
      </c>
      <c r="B15" s="1" t="s">
        <v>148</v>
      </c>
      <c r="C15" s="1" t="s">
        <v>35</v>
      </c>
      <c r="D15" s="1" t="s">
        <v>149</v>
      </c>
      <c r="E15" s="1" t="s">
        <v>120</v>
      </c>
      <c r="F15" s="1" t="s">
        <v>150</v>
      </c>
      <c r="G15" s="1" t="s">
        <v>722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635</v>
      </c>
      <c r="B16" s="1" t="s">
        <v>153</v>
      </c>
      <c r="C16" s="1" t="s">
        <v>35</v>
      </c>
      <c r="D16" s="1" t="s">
        <v>154</v>
      </c>
      <c r="E16" s="1" t="s">
        <v>120</v>
      </c>
      <c r="F16" s="1" t="s">
        <v>155</v>
      </c>
      <c r="G16" s="1" t="s">
        <v>723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639</v>
      </c>
      <c r="B17" s="1" t="s">
        <v>159</v>
      </c>
      <c r="C17" s="1" t="s">
        <v>35</v>
      </c>
      <c r="D17" s="1" t="s">
        <v>160</v>
      </c>
      <c r="E17" s="1" t="s">
        <v>120</v>
      </c>
      <c r="F17" s="1" t="s">
        <v>161</v>
      </c>
      <c r="G17" s="1" t="s">
        <v>724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643</v>
      </c>
      <c r="B18" s="1" t="s">
        <v>165</v>
      </c>
      <c r="C18" s="1" t="s">
        <v>35</v>
      </c>
      <c r="D18" s="1" t="s">
        <v>166</v>
      </c>
      <c r="E18" s="1" t="s">
        <v>120</v>
      </c>
      <c r="F18" s="1" t="s">
        <v>161</v>
      </c>
      <c r="G18" s="1" t="s">
        <v>724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647</v>
      </c>
      <c r="B19" s="1" t="s">
        <v>168</v>
      </c>
      <c r="C19" s="1" t="s">
        <v>35</v>
      </c>
      <c r="D19" s="1" t="s">
        <v>169</v>
      </c>
      <c r="E19" s="1" t="s">
        <v>120</v>
      </c>
      <c r="F19" s="1" t="s">
        <v>161</v>
      </c>
      <c r="G19" s="1" t="s">
        <v>725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650</v>
      </c>
      <c r="B20" s="1" t="s">
        <v>173</v>
      </c>
      <c r="C20" s="1" t="s">
        <v>35</v>
      </c>
      <c r="D20" s="1" t="s">
        <v>174</v>
      </c>
      <c r="E20" s="1" t="s">
        <v>120</v>
      </c>
      <c r="F20" s="1" t="s">
        <v>161</v>
      </c>
      <c r="G20" s="1" t="s">
        <v>724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652</v>
      </c>
      <c r="B21" s="1" t="s">
        <v>177</v>
      </c>
      <c r="C21" s="1" t="s">
        <v>35</v>
      </c>
      <c r="D21" s="1" t="s">
        <v>178</v>
      </c>
      <c r="E21" s="1" t="s">
        <v>120</v>
      </c>
      <c r="F21" s="1" t="s">
        <v>179</v>
      </c>
      <c r="G21" s="1" t="s">
        <v>726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654</v>
      </c>
      <c r="B22" s="1" t="s">
        <v>182</v>
      </c>
      <c r="C22" s="1" t="s">
        <v>35</v>
      </c>
      <c r="D22" s="1" t="s">
        <v>183</v>
      </c>
      <c r="E22" s="1" t="s">
        <v>120</v>
      </c>
      <c r="F22" s="1" t="s">
        <v>179</v>
      </c>
      <c r="G22" s="1" t="s">
        <v>727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657</v>
      </c>
      <c r="B23" s="1" t="s">
        <v>186</v>
      </c>
      <c r="C23" s="1" t="s">
        <v>35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659</v>
      </c>
      <c r="B24" s="1" t="s">
        <v>191</v>
      </c>
      <c r="C24" s="1" t="s">
        <v>35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729</v>
      </c>
      <c r="B9" s="1" t="s">
        <v>117</v>
      </c>
      <c r="C9" s="1" t="s">
        <v>730</v>
      </c>
      <c r="D9" s="1" t="s">
        <v>119</v>
      </c>
      <c r="E9" s="1" t="s">
        <v>120</v>
      </c>
      <c r="F9" s="1" t="s">
        <v>121</v>
      </c>
      <c r="G9" s="1" t="s">
        <v>731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732</v>
      </c>
      <c r="B10" s="1" t="s">
        <v>124</v>
      </c>
      <c r="C10" s="1" t="s">
        <v>730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733</v>
      </c>
      <c r="B11" s="1" t="s">
        <v>128</v>
      </c>
      <c r="C11" s="1" t="s">
        <v>730</v>
      </c>
      <c r="D11" s="1" t="s">
        <v>129</v>
      </c>
      <c r="E11" s="1" t="s">
        <v>120</v>
      </c>
      <c r="F11" s="1" t="s">
        <v>130</v>
      </c>
      <c r="G11" s="1" t="s">
        <v>734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735</v>
      </c>
      <c r="B12" s="1" t="s">
        <v>133</v>
      </c>
      <c r="C12" s="1" t="s">
        <v>730</v>
      </c>
      <c r="D12" s="1" t="s">
        <v>134</v>
      </c>
      <c r="E12" s="1" t="s">
        <v>120</v>
      </c>
      <c r="F12" s="1" t="s">
        <v>135</v>
      </c>
      <c r="G12" s="1" t="s">
        <v>736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737</v>
      </c>
      <c r="B13" s="1" t="s">
        <v>138</v>
      </c>
      <c r="C13" s="1" t="s">
        <v>730</v>
      </c>
      <c r="D13" s="1" t="s">
        <v>139</v>
      </c>
      <c r="E13" s="1" t="s">
        <v>120</v>
      </c>
      <c r="F13" s="1" t="s">
        <v>140</v>
      </c>
      <c r="G13" s="1" t="s">
        <v>738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739</v>
      </c>
      <c r="B14" s="1" t="s">
        <v>143</v>
      </c>
      <c r="C14" s="1" t="s">
        <v>730</v>
      </c>
      <c r="D14" s="1" t="s">
        <v>144</v>
      </c>
      <c r="E14" s="1" t="s">
        <v>120</v>
      </c>
      <c r="F14" s="1" t="s">
        <v>145</v>
      </c>
      <c r="G14" s="1" t="s">
        <v>740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741</v>
      </c>
      <c r="B15" s="1" t="s">
        <v>148</v>
      </c>
      <c r="C15" s="1" t="s">
        <v>730</v>
      </c>
      <c r="D15" s="1" t="s">
        <v>149</v>
      </c>
      <c r="E15" s="1" t="s">
        <v>120</v>
      </c>
      <c r="F15" s="1" t="s">
        <v>150</v>
      </c>
      <c r="G15" s="1" t="s">
        <v>742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743</v>
      </c>
      <c r="B16" s="1" t="s">
        <v>153</v>
      </c>
      <c r="C16" s="1" t="s">
        <v>730</v>
      </c>
      <c r="D16" s="1" t="s">
        <v>154</v>
      </c>
      <c r="E16" s="1" t="s">
        <v>120</v>
      </c>
      <c r="F16" s="1" t="s">
        <v>155</v>
      </c>
      <c r="G16" s="1" t="s">
        <v>744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745</v>
      </c>
      <c r="B17" s="1" t="s">
        <v>159</v>
      </c>
      <c r="C17" s="1" t="s">
        <v>730</v>
      </c>
      <c r="D17" s="1" t="s">
        <v>160</v>
      </c>
      <c r="E17" s="1" t="s">
        <v>120</v>
      </c>
      <c r="F17" s="1" t="s">
        <v>161</v>
      </c>
      <c r="G17" s="1" t="s">
        <v>746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747</v>
      </c>
      <c r="B18" s="1" t="s">
        <v>165</v>
      </c>
      <c r="C18" s="1" t="s">
        <v>730</v>
      </c>
      <c r="D18" s="1" t="s">
        <v>166</v>
      </c>
      <c r="E18" s="1" t="s">
        <v>120</v>
      </c>
      <c r="F18" s="1" t="s">
        <v>161</v>
      </c>
      <c r="G18" s="1" t="s">
        <v>746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748</v>
      </c>
      <c r="B19" s="1" t="s">
        <v>168</v>
      </c>
      <c r="C19" s="1" t="s">
        <v>730</v>
      </c>
      <c r="D19" s="1" t="s">
        <v>169</v>
      </c>
      <c r="E19" s="1" t="s">
        <v>120</v>
      </c>
      <c r="F19" s="1" t="s">
        <v>161</v>
      </c>
      <c r="G19" s="1" t="s">
        <v>749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750</v>
      </c>
      <c r="B20" s="1" t="s">
        <v>173</v>
      </c>
      <c r="C20" s="1" t="s">
        <v>730</v>
      </c>
      <c r="D20" s="1" t="s">
        <v>174</v>
      </c>
      <c r="E20" s="1" t="s">
        <v>120</v>
      </c>
      <c r="F20" s="1" t="s">
        <v>161</v>
      </c>
      <c r="G20" s="1" t="s">
        <v>746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751</v>
      </c>
      <c r="B21" s="1" t="s">
        <v>177</v>
      </c>
      <c r="C21" s="1" t="s">
        <v>730</v>
      </c>
      <c r="D21" s="1" t="s">
        <v>178</v>
      </c>
      <c r="E21" s="1" t="s">
        <v>120</v>
      </c>
      <c r="F21" s="1" t="s">
        <v>179</v>
      </c>
      <c r="G21" s="1" t="s">
        <v>752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753</v>
      </c>
      <c r="B22" s="1" t="s">
        <v>182</v>
      </c>
      <c r="C22" s="1" t="s">
        <v>730</v>
      </c>
      <c r="D22" s="1" t="s">
        <v>183</v>
      </c>
      <c r="E22" s="1" t="s">
        <v>120</v>
      </c>
      <c r="F22" s="1" t="s">
        <v>179</v>
      </c>
      <c r="G22" s="1" t="s">
        <v>754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755</v>
      </c>
      <c r="B23" s="1" t="s">
        <v>186</v>
      </c>
      <c r="C23" s="1" t="s">
        <v>730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756</v>
      </c>
      <c r="B24" s="1" t="s">
        <v>191</v>
      </c>
      <c r="C24" s="1" t="s">
        <v>730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757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COUNTA(A9:A24)</f>
        <v>16</v>
      </c>
      <c r="D4" s="5" t="s">
        <v>102</v>
      </c>
      <c r="E4" s="6" t="n">
        <f aca="false">SUM(M9:M24)</f>
        <v>12</v>
      </c>
      <c r="G4" s="5" t="s">
        <v>13</v>
      </c>
      <c r="H4" s="7" t="n">
        <f aca="false">IF(B4=0,0,E4/B4)</f>
        <v>0.75</v>
      </c>
      <c r="J4" s="5" t="s">
        <v>14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IF(COUNTIFS(I9:I24,"yes",M9:M24,0)&gt;0,"open","complete")</f>
        <v>open</v>
      </c>
      <c r="D5" s="5" t="s">
        <v>15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54" hidden="false" customHeight="true" outlineLevel="0" collapsed="false">
      <c r="A9" s="12" t="s">
        <v>758</v>
      </c>
      <c r="B9" s="12" t="s">
        <v>117</v>
      </c>
      <c r="C9" s="12" t="s">
        <v>38</v>
      </c>
      <c r="D9" s="13" t="s">
        <v>759</v>
      </c>
      <c r="E9" s="12" t="s">
        <v>120</v>
      </c>
      <c r="F9" s="12" t="s">
        <v>121</v>
      </c>
      <c r="G9" s="13" t="s">
        <v>760</v>
      </c>
      <c r="H9" s="12" t="s">
        <v>84</v>
      </c>
      <c r="I9" s="12" t="s">
        <v>99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761</v>
      </c>
      <c r="B10" s="12" t="s">
        <v>124</v>
      </c>
      <c r="C10" s="12" t="s">
        <v>762</v>
      </c>
      <c r="D10" s="13" t="s">
        <v>763</v>
      </c>
      <c r="E10" s="12" t="s">
        <v>120</v>
      </c>
      <c r="F10" s="12" t="s">
        <v>120</v>
      </c>
      <c r="G10" s="13" t="s">
        <v>126</v>
      </c>
      <c r="H10" s="12" t="s">
        <v>84</v>
      </c>
      <c r="I10" s="12" t="s">
        <v>99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764</v>
      </c>
      <c r="B11" s="12" t="s">
        <v>128</v>
      </c>
      <c r="C11" s="12" t="s">
        <v>762</v>
      </c>
      <c r="D11" s="13" t="s">
        <v>765</v>
      </c>
      <c r="E11" s="12" t="s">
        <v>120</v>
      </c>
      <c r="F11" s="12" t="s">
        <v>130</v>
      </c>
      <c r="G11" s="13" t="s">
        <v>766</v>
      </c>
      <c r="H11" s="12" t="s">
        <v>84</v>
      </c>
      <c r="I11" s="12" t="s">
        <v>99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767</v>
      </c>
      <c r="B12" s="12" t="s">
        <v>133</v>
      </c>
      <c r="C12" s="12" t="s">
        <v>768</v>
      </c>
      <c r="D12" s="13" t="s">
        <v>769</v>
      </c>
      <c r="E12" s="12" t="s">
        <v>120</v>
      </c>
      <c r="F12" s="12" t="s">
        <v>135</v>
      </c>
      <c r="G12" s="13" t="s">
        <v>770</v>
      </c>
      <c r="H12" s="12" t="s">
        <v>84</v>
      </c>
      <c r="I12" s="12" t="s">
        <v>99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771</v>
      </c>
      <c r="B13" s="12" t="s">
        <v>138</v>
      </c>
      <c r="C13" s="12" t="s">
        <v>762</v>
      </c>
      <c r="D13" s="13" t="s">
        <v>772</v>
      </c>
      <c r="E13" s="12" t="s">
        <v>120</v>
      </c>
      <c r="F13" s="12" t="s">
        <v>140</v>
      </c>
      <c r="G13" s="13" t="s">
        <v>773</v>
      </c>
      <c r="H13" s="12" t="s">
        <v>84</v>
      </c>
      <c r="I13" s="12" t="s">
        <v>99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774</v>
      </c>
      <c r="B14" s="12" t="s">
        <v>143</v>
      </c>
      <c r="C14" s="12" t="s">
        <v>762</v>
      </c>
      <c r="D14" s="13" t="s">
        <v>775</v>
      </c>
      <c r="E14" s="12" t="s">
        <v>120</v>
      </c>
      <c r="F14" s="12" t="s">
        <v>145</v>
      </c>
      <c r="G14" s="13" t="s">
        <v>776</v>
      </c>
      <c r="H14" s="12" t="s">
        <v>84</v>
      </c>
      <c r="I14" s="12" t="s">
        <v>99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777</v>
      </c>
      <c r="B15" s="12" t="s">
        <v>148</v>
      </c>
      <c r="C15" s="12" t="s">
        <v>768</v>
      </c>
      <c r="D15" s="13" t="s">
        <v>778</v>
      </c>
      <c r="E15" s="12" t="s">
        <v>120</v>
      </c>
      <c r="F15" s="12" t="s">
        <v>150</v>
      </c>
      <c r="G15" s="13" t="s">
        <v>776</v>
      </c>
      <c r="H15" s="12" t="s">
        <v>84</v>
      </c>
      <c r="I15" s="12" t="s">
        <v>99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779</v>
      </c>
      <c r="B16" s="12" t="s">
        <v>153</v>
      </c>
      <c r="C16" s="12" t="s">
        <v>762</v>
      </c>
      <c r="D16" s="13" t="s">
        <v>780</v>
      </c>
      <c r="E16" s="12" t="s">
        <v>120</v>
      </c>
      <c r="F16" s="12" t="s">
        <v>155</v>
      </c>
      <c r="G16" s="13" t="s">
        <v>781</v>
      </c>
      <c r="H16" s="12" t="s">
        <v>86</v>
      </c>
      <c r="I16" s="12" t="s">
        <v>98</v>
      </c>
      <c r="J16" s="14" t="n">
        <v>46227</v>
      </c>
      <c r="K16" s="13" t="s">
        <v>782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783</v>
      </c>
      <c r="B17" s="12" t="s">
        <v>159</v>
      </c>
      <c r="C17" s="12" t="s">
        <v>762</v>
      </c>
      <c r="D17" s="13" t="s">
        <v>784</v>
      </c>
      <c r="E17" s="12" t="s">
        <v>120</v>
      </c>
      <c r="F17" s="12" t="s">
        <v>161</v>
      </c>
      <c r="G17" s="13" t="s">
        <v>785</v>
      </c>
      <c r="H17" s="12" t="s">
        <v>82</v>
      </c>
      <c r="I17" s="12" t="s">
        <v>98</v>
      </c>
      <c r="J17" s="14"/>
      <c r="K17" s="13" t="s">
        <v>786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787</v>
      </c>
      <c r="B18" s="12" t="s">
        <v>165</v>
      </c>
      <c r="C18" s="12" t="s">
        <v>768</v>
      </c>
      <c r="D18" s="13" t="s">
        <v>788</v>
      </c>
      <c r="E18" s="12" t="s">
        <v>120</v>
      </c>
      <c r="F18" s="12" t="s">
        <v>161</v>
      </c>
      <c r="G18" s="13" t="s">
        <v>789</v>
      </c>
      <c r="H18" s="12" t="s">
        <v>82</v>
      </c>
      <c r="I18" s="12" t="s">
        <v>98</v>
      </c>
      <c r="J18" s="14"/>
      <c r="K18" s="13" t="s">
        <v>790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791</v>
      </c>
      <c r="B19" s="12" t="s">
        <v>648</v>
      </c>
      <c r="C19" s="12" t="s">
        <v>768</v>
      </c>
      <c r="D19" s="13" t="s">
        <v>792</v>
      </c>
      <c r="E19" s="12" t="s">
        <v>120</v>
      </c>
      <c r="F19" s="12" t="s">
        <v>145</v>
      </c>
      <c r="G19" s="13" t="s">
        <v>776</v>
      </c>
      <c r="H19" s="12" t="s">
        <v>84</v>
      </c>
      <c r="I19" s="12" t="s">
        <v>99</v>
      </c>
      <c r="J19" s="14" t="n">
        <v>46227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793</v>
      </c>
      <c r="B20" s="12" t="s">
        <v>173</v>
      </c>
      <c r="C20" s="12" t="s">
        <v>762</v>
      </c>
      <c r="D20" s="13" t="s">
        <v>794</v>
      </c>
      <c r="E20" s="12" t="s">
        <v>120</v>
      </c>
      <c r="F20" s="12" t="s">
        <v>161</v>
      </c>
      <c r="G20" s="13" t="s">
        <v>785</v>
      </c>
      <c r="H20" s="12" t="s">
        <v>82</v>
      </c>
      <c r="I20" s="12" t="s">
        <v>98</v>
      </c>
      <c r="J20" s="14"/>
      <c r="K20" s="13" t="s">
        <v>795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796</v>
      </c>
      <c r="B21" s="12" t="s">
        <v>177</v>
      </c>
      <c r="C21" s="12" t="s">
        <v>762</v>
      </c>
      <c r="D21" s="13" t="s">
        <v>797</v>
      </c>
      <c r="E21" s="12" t="s">
        <v>120</v>
      </c>
      <c r="F21" s="12" t="s">
        <v>179</v>
      </c>
      <c r="G21" s="13" t="s">
        <v>798</v>
      </c>
      <c r="H21" s="12" t="s">
        <v>84</v>
      </c>
      <c r="I21" s="12" t="s">
        <v>99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799</v>
      </c>
      <c r="B22" s="12" t="s">
        <v>182</v>
      </c>
      <c r="C22" s="12" t="s">
        <v>762</v>
      </c>
      <c r="D22" s="13" t="s">
        <v>800</v>
      </c>
      <c r="E22" s="12" t="s">
        <v>120</v>
      </c>
      <c r="F22" s="12" t="s">
        <v>179</v>
      </c>
      <c r="G22" s="13" t="s">
        <v>801</v>
      </c>
      <c r="H22" s="12" t="s">
        <v>84</v>
      </c>
      <c r="I22" s="12" t="s">
        <v>99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802</v>
      </c>
      <c r="B23" s="12" t="s">
        <v>186</v>
      </c>
      <c r="C23" s="12" t="s">
        <v>803</v>
      </c>
      <c r="D23" s="13" t="s">
        <v>804</v>
      </c>
      <c r="E23" s="12" t="s">
        <v>188</v>
      </c>
      <c r="F23" s="12" t="s">
        <v>188</v>
      </c>
      <c r="G23" s="13" t="s">
        <v>189</v>
      </c>
      <c r="H23" s="12" t="s">
        <v>84</v>
      </c>
      <c r="I23" s="12" t="s">
        <v>99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805</v>
      </c>
      <c r="B24" s="12" t="s">
        <v>191</v>
      </c>
      <c r="C24" s="12" t="s">
        <v>762</v>
      </c>
      <c r="D24" s="13" t="s">
        <v>806</v>
      </c>
      <c r="E24" s="12" t="s">
        <v>120</v>
      </c>
      <c r="F24" s="12" t="s">
        <v>120</v>
      </c>
      <c r="G24" s="13" t="s">
        <v>807</v>
      </c>
      <c r="H24" s="12" t="s">
        <v>82</v>
      </c>
      <c r="I24" s="12" t="s">
        <v>98</v>
      </c>
      <c r="J24" s="14" t="n">
        <v>46227</v>
      </c>
      <c r="K24" s="13" t="s">
        <v>808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809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616</v>
      </c>
      <c r="B9" s="1" t="s">
        <v>117</v>
      </c>
      <c r="C9" s="1" t="s">
        <v>37</v>
      </c>
      <c r="D9" s="1" t="s">
        <v>119</v>
      </c>
      <c r="E9" s="1" t="s">
        <v>120</v>
      </c>
      <c r="F9" s="1" t="s">
        <v>121</v>
      </c>
      <c r="G9" s="1" t="s">
        <v>810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619</v>
      </c>
      <c r="B10" s="1" t="s">
        <v>124</v>
      </c>
      <c r="C10" s="1" t="s">
        <v>37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621</v>
      </c>
      <c r="B11" s="1" t="s">
        <v>128</v>
      </c>
      <c r="C11" s="1" t="s">
        <v>37</v>
      </c>
      <c r="D11" s="1" t="s">
        <v>129</v>
      </c>
      <c r="E11" s="1" t="s">
        <v>120</v>
      </c>
      <c r="F11" s="1" t="s">
        <v>130</v>
      </c>
      <c r="G11" s="1" t="s">
        <v>811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624</v>
      </c>
      <c r="B12" s="1" t="s">
        <v>133</v>
      </c>
      <c r="C12" s="1" t="s">
        <v>37</v>
      </c>
      <c r="D12" s="1" t="s">
        <v>134</v>
      </c>
      <c r="E12" s="1" t="s">
        <v>120</v>
      </c>
      <c r="F12" s="1" t="s">
        <v>135</v>
      </c>
      <c r="G12" s="1" t="s">
        <v>812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627</v>
      </c>
      <c r="B13" s="1" t="s">
        <v>138</v>
      </c>
      <c r="C13" s="1" t="s">
        <v>37</v>
      </c>
      <c r="D13" s="1" t="s">
        <v>139</v>
      </c>
      <c r="E13" s="1" t="s">
        <v>120</v>
      </c>
      <c r="F13" s="1" t="s">
        <v>140</v>
      </c>
      <c r="G13" s="1" t="s">
        <v>813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630</v>
      </c>
      <c r="B14" s="1" t="s">
        <v>143</v>
      </c>
      <c r="C14" s="1" t="s">
        <v>37</v>
      </c>
      <c r="D14" s="1" t="s">
        <v>144</v>
      </c>
      <c r="E14" s="1" t="s">
        <v>120</v>
      </c>
      <c r="F14" s="1" t="s">
        <v>145</v>
      </c>
      <c r="G14" s="1" t="s">
        <v>814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633</v>
      </c>
      <c r="B15" s="1" t="s">
        <v>148</v>
      </c>
      <c r="C15" s="1" t="s">
        <v>37</v>
      </c>
      <c r="D15" s="1" t="s">
        <v>149</v>
      </c>
      <c r="E15" s="1" t="s">
        <v>120</v>
      </c>
      <c r="F15" s="1" t="s">
        <v>150</v>
      </c>
      <c r="G15" s="1" t="s">
        <v>815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635</v>
      </c>
      <c r="B16" s="1" t="s">
        <v>153</v>
      </c>
      <c r="C16" s="1" t="s">
        <v>37</v>
      </c>
      <c r="D16" s="1" t="s">
        <v>154</v>
      </c>
      <c r="E16" s="1" t="s">
        <v>120</v>
      </c>
      <c r="F16" s="1" t="s">
        <v>155</v>
      </c>
      <c r="G16" s="1" t="s">
        <v>816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639</v>
      </c>
      <c r="B17" s="1" t="s">
        <v>159</v>
      </c>
      <c r="C17" s="1" t="s">
        <v>37</v>
      </c>
      <c r="D17" s="1" t="s">
        <v>160</v>
      </c>
      <c r="E17" s="1" t="s">
        <v>120</v>
      </c>
      <c r="F17" s="1" t="s">
        <v>161</v>
      </c>
      <c r="G17" s="1" t="s">
        <v>817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643</v>
      </c>
      <c r="B18" s="1" t="s">
        <v>165</v>
      </c>
      <c r="C18" s="1" t="s">
        <v>37</v>
      </c>
      <c r="D18" s="1" t="s">
        <v>166</v>
      </c>
      <c r="E18" s="1" t="s">
        <v>120</v>
      </c>
      <c r="F18" s="1" t="s">
        <v>161</v>
      </c>
      <c r="G18" s="1" t="s">
        <v>817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647</v>
      </c>
      <c r="B19" s="1" t="s">
        <v>168</v>
      </c>
      <c r="C19" s="1" t="s">
        <v>37</v>
      </c>
      <c r="D19" s="1" t="s">
        <v>169</v>
      </c>
      <c r="E19" s="1" t="s">
        <v>120</v>
      </c>
      <c r="F19" s="1" t="s">
        <v>161</v>
      </c>
      <c r="G19" s="1" t="s">
        <v>818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650</v>
      </c>
      <c r="B20" s="1" t="s">
        <v>173</v>
      </c>
      <c r="C20" s="1" t="s">
        <v>37</v>
      </c>
      <c r="D20" s="1" t="s">
        <v>174</v>
      </c>
      <c r="E20" s="1" t="s">
        <v>120</v>
      </c>
      <c r="F20" s="1" t="s">
        <v>161</v>
      </c>
      <c r="G20" s="1" t="s">
        <v>817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652</v>
      </c>
      <c r="B21" s="1" t="s">
        <v>177</v>
      </c>
      <c r="C21" s="1" t="s">
        <v>37</v>
      </c>
      <c r="D21" s="1" t="s">
        <v>178</v>
      </c>
      <c r="E21" s="1" t="s">
        <v>120</v>
      </c>
      <c r="F21" s="1" t="s">
        <v>179</v>
      </c>
      <c r="G21" s="1" t="s">
        <v>819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654</v>
      </c>
      <c r="B22" s="1" t="s">
        <v>182</v>
      </c>
      <c r="C22" s="1" t="s">
        <v>37</v>
      </c>
      <c r="D22" s="1" t="s">
        <v>183</v>
      </c>
      <c r="E22" s="1" t="s">
        <v>120</v>
      </c>
      <c r="F22" s="1" t="s">
        <v>179</v>
      </c>
      <c r="G22" s="1" t="s">
        <v>820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657</v>
      </c>
      <c r="B23" s="1" t="s">
        <v>186</v>
      </c>
      <c r="C23" s="1" t="s">
        <v>37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659</v>
      </c>
      <c r="B24" s="1" t="s">
        <v>191</v>
      </c>
      <c r="C24" s="1" t="s">
        <v>37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821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17</v>
      </c>
      <c r="D4" s="5" t="s">
        <v>102</v>
      </c>
      <c r="E4" s="6" t="n">
        <f aca="false">SUM(M9:M25)</f>
        <v>13</v>
      </c>
      <c r="G4" s="5" t="s">
        <v>13</v>
      </c>
      <c r="H4" s="7" t="n">
        <f aca="false">IF(B4=0,0,E4/B4)</f>
        <v>0.764705882352941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54" hidden="false" customHeight="true" outlineLevel="0" collapsed="false">
      <c r="A9" s="12" t="s">
        <v>822</v>
      </c>
      <c r="B9" s="12" t="s">
        <v>117</v>
      </c>
      <c r="C9" s="12" t="s">
        <v>823</v>
      </c>
      <c r="D9" s="13" t="s">
        <v>824</v>
      </c>
      <c r="E9" s="12" t="s">
        <v>120</v>
      </c>
      <c r="F9" s="12" t="s">
        <v>121</v>
      </c>
      <c r="G9" s="13" t="s">
        <v>825</v>
      </c>
      <c r="H9" s="12" t="s">
        <v>84</v>
      </c>
      <c r="I9" s="12" t="s">
        <v>99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826</v>
      </c>
      <c r="B10" s="12" t="s">
        <v>124</v>
      </c>
      <c r="C10" s="12" t="s">
        <v>40</v>
      </c>
      <c r="D10" s="13" t="s">
        <v>827</v>
      </c>
      <c r="E10" s="12" t="s">
        <v>120</v>
      </c>
      <c r="F10" s="12" t="s">
        <v>120</v>
      </c>
      <c r="G10" s="13" t="s">
        <v>568</v>
      </c>
      <c r="H10" s="12" t="s">
        <v>84</v>
      </c>
      <c r="I10" s="12" t="s">
        <v>99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828</v>
      </c>
      <c r="B11" s="12" t="s">
        <v>128</v>
      </c>
      <c r="C11" s="12" t="s">
        <v>823</v>
      </c>
      <c r="D11" s="13" t="s">
        <v>829</v>
      </c>
      <c r="E11" s="12" t="s">
        <v>120</v>
      </c>
      <c r="F11" s="12" t="s">
        <v>130</v>
      </c>
      <c r="G11" s="13" t="s">
        <v>830</v>
      </c>
      <c r="H11" s="12" t="s">
        <v>84</v>
      </c>
      <c r="I11" s="12" t="s">
        <v>99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831</v>
      </c>
      <c r="B12" s="12" t="s">
        <v>133</v>
      </c>
      <c r="C12" s="12" t="s">
        <v>823</v>
      </c>
      <c r="D12" s="13" t="s">
        <v>832</v>
      </c>
      <c r="E12" s="12" t="s">
        <v>120</v>
      </c>
      <c r="F12" s="12" t="s">
        <v>135</v>
      </c>
      <c r="G12" s="13" t="s">
        <v>833</v>
      </c>
      <c r="H12" s="12" t="s">
        <v>84</v>
      </c>
      <c r="I12" s="12" t="s">
        <v>99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834</v>
      </c>
      <c r="B13" s="12" t="s">
        <v>138</v>
      </c>
      <c r="C13" s="12" t="s">
        <v>823</v>
      </c>
      <c r="D13" s="13" t="s">
        <v>835</v>
      </c>
      <c r="E13" s="12" t="s">
        <v>120</v>
      </c>
      <c r="F13" s="12" t="s">
        <v>140</v>
      </c>
      <c r="G13" s="13" t="s">
        <v>836</v>
      </c>
      <c r="H13" s="12" t="s">
        <v>84</v>
      </c>
      <c r="I13" s="12" t="s">
        <v>99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837</v>
      </c>
      <c r="B14" s="12" t="s">
        <v>143</v>
      </c>
      <c r="C14" s="12" t="s">
        <v>768</v>
      </c>
      <c r="D14" s="13" t="s">
        <v>838</v>
      </c>
      <c r="E14" s="12" t="s">
        <v>120</v>
      </c>
      <c r="F14" s="12" t="s">
        <v>145</v>
      </c>
      <c r="G14" s="13" t="s">
        <v>839</v>
      </c>
      <c r="H14" s="12" t="s">
        <v>84</v>
      </c>
      <c r="I14" s="12" t="s">
        <v>99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840</v>
      </c>
      <c r="B15" s="12" t="s">
        <v>143</v>
      </c>
      <c r="C15" s="12" t="s">
        <v>841</v>
      </c>
      <c r="D15" s="13" t="s">
        <v>842</v>
      </c>
      <c r="E15" s="12" t="s">
        <v>120</v>
      </c>
      <c r="F15" s="12" t="s">
        <v>145</v>
      </c>
      <c r="G15" s="13" t="s">
        <v>839</v>
      </c>
      <c r="H15" s="12" t="s">
        <v>84</v>
      </c>
      <c r="I15" s="12" t="s">
        <v>99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843</v>
      </c>
      <c r="B16" s="12" t="s">
        <v>148</v>
      </c>
      <c r="C16" s="12" t="s">
        <v>823</v>
      </c>
      <c r="D16" s="13" t="s">
        <v>844</v>
      </c>
      <c r="E16" s="12" t="s">
        <v>120</v>
      </c>
      <c r="F16" s="12" t="s">
        <v>150</v>
      </c>
      <c r="G16" s="13" t="s">
        <v>839</v>
      </c>
      <c r="H16" s="12" t="s">
        <v>84</v>
      </c>
      <c r="I16" s="12" t="s">
        <v>99</v>
      </c>
      <c r="J16" s="14" t="n">
        <v>46228</v>
      </c>
      <c r="K16" s="13" t="s">
        <v>782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845</v>
      </c>
      <c r="B17" s="12" t="s">
        <v>153</v>
      </c>
      <c r="C17" s="12" t="s">
        <v>823</v>
      </c>
      <c r="D17" s="13" t="s">
        <v>846</v>
      </c>
      <c r="E17" s="12" t="s">
        <v>120</v>
      </c>
      <c r="F17" s="12" t="s">
        <v>155</v>
      </c>
      <c r="G17" s="13" t="s">
        <v>847</v>
      </c>
      <c r="H17" s="12" t="s">
        <v>86</v>
      </c>
      <c r="I17" s="12" t="s">
        <v>98</v>
      </c>
      <c r="J17" s="14" t="n">
        <v>46228</v>
      </c>
      <c r="K17" s="13" t="s">
        <v>848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849</v>
      </c>
      <c r="B18" s="12" t="s">
        <v>159</v>
      </c>
      <c r="C18" s="12" t="s">
        <v>823</v>
      </c>
      <c r="D18" s="13" t="s">
        <v>850</v>
      </c>
      <c r="E18" s="12" t="s">
        <v>120</v>
      </c>
      <c r="F18" s="12" t="s">
        <v>161</v>
      </c>
      <c r="G18" s="13" t="s">
        <v>851</v>
      </c>
      <c r="H18" s="12" t="s">
        <v>82</v>
      </c>
      <c r="I18" s="12" t="s">
        <v>98</v>
      </c>
      <c r="J18" s="14"/>
      <c r="K18" s="13" t="s">
        <v>786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852</v>
      </c>
      <c r="B19" s="12" t="s">
        <v>165</v>
      </c>
      <c r="C19" s="12" t="s">
        <v>823</v>
      </c>
      <c r="D19" s="13" t="s">
        <v>853</v>
      </c>
      <c r="E19" s="12" t="s">
        <v>120</v>
      </c>
      <c r="F19" s="12" t="s">
        <v>161</v>
      </c>
      <c r="G19" s="13" t="s">
        <v>854</v>
      </c>
      <c r="H19" s="12" t="s">
        <v>82</v>
      </c>
      <c r="I19" s="12" t="s">
        <v>98</v>
      </c>
      <c r="J19" s="14" t="n">
        <v>46227</v>
      </c>
      <c r="K19" s="13" t="s">
        <v>790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855</v>
      </c>
      <c r="B20" s="12" t="s">
        <v>648</v>
      </c>
      <c r="C20" s="12" t="s">
        <v>823</v>
      </c>
      <c r="D20" s="13" t="s">
        <v>856</v>
      </c>
      <c r="E20" s="12" t="s">
        <v>120</v>
      </c>
      <c r="F20" s="12" t="s">
        <v>145</v>
      </c>
      <c r="G20" s="13" t="s">
        <v>839</v>
      </c>
      <c r="H20" s="12" t="s">
        <v>84</v>
      </c>
      <c r="I20" s="12" t="s">
        <v>99</v>
      </c>
      <c r="J20" s="14" t="n">
        <v>46228</v>
      </c>
      <c r="K20" s="13" t="s">
        <v>795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857</v>
      </c>
      <c r="B21" s="12" t="s">
        <v>173</v>
      </c>
      <c r="C21" s="12" t="s">
        <v>823</v>
      </c>
      <c r="D21" s="13" t="s">
        <v>858</v>
      </c>
      <c r="E21" s="12" t="s">
        <v>120</v>
      </c>
      <c r="F21" s="12" t="s">
        <v>161</v>
      </c>
      <c r="G21" s="13" t="s">
        <v>851</v>
      </c>
      <c r="H21" s="12" t="s">
        <v>82</v>
      </c>
      <c r="I21" s="12" t="s">
        <v>98</v>
      </c>
      <c r="J21" s="14" t="n">
        <v>46227</v>
      </c>
      <c r="K21" s="13" t="s">
        <v>795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859</v>
      </c>
      <c r="B22" s="12" t="s">
        <v>177</v>
      </c>
      <c r="C22" s="12" t="s">
        <v>40</v>
      </c>
      <c r="D22" s="13" t="s">
        <v>860</v>
      </c>
      <c r="E22" s="12" t="s">
        <v>120</v>
      </c>
      <c r="F22" s="12" t="s">
        <v>179</v>
      </c>
      <c r="G22" s="13" t="s">
        <v>861</v>
      </c>
      <c r="H22" s="12" t="s">
        <v>84</v>
      </c>
      <c r="I22" s="12" t="s">
        <v>99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862</v>
      </c>
      <c r="B23" s="12" t="s">
        <v>182</v>
      </c>
      <c r="C23" s="12" t="s">
        <v>40</v>
      </c>
      <c r="D23" s="13" t="s">
        <v>863</v>
      </c>
      <c r="E23" s="12" t="s">
        <v>120</v>
      </c>
      <c r="F23" s="12" t="s">
        <v>179</v>
      </c>
      <c r="G23" s="13" t="s">
        <v>864</v>
      </c>
      <c r="H23" s="12" t="s">
        <v>84</v>
      </c>
      <c r="I23" s="12" t="s">
        <v>99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865</v>
      </c>
      <c r="B24" s="12" t="s">
        <v>186</v>
      </c>
      <c r="C24" s="12" t="s">
        <v>823</v>
      </c>
      <c r="D24" s="13" t="s">
        <v>866</v>
      </c>
      <c r="E24" s="12" t="s">
        <v>188</v>
      </c>
      <c r="F24" s="12" t="s">
        <v>188</v>
      </c>
      <c r="G24" s="13" t="s">
        <v>189</v>
      </c>
      <c r="H24" s="12" t="s">
        <v>84</v>
      </c>
      <c r="I24" s="12" t="s">
        <v>99</v>
      </c>
      <c r="J24" s="14" t="n">
        <v>46228</v>
      </c>
      <c r="K24" s="13" t="s">
        <v>808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867</v>
      </c>
      <c r="B25" s="12" t="s">
        <v>191</v>
      </c>
      <c r="C25" s="12" t="s">
        <v>40</v>
      </c>
      <c r="D25" s="13" t="s">
        <v>868</v>
      </c>
      <c r="E25" s="12" t="s">
        <v>120</v>
      </c>
      <c r="F25" s="12" t="s">
        <v>120</v>
      </c>
      <c r="G25" s="13" t="s">
        <v>869</v>
      </c>
      <c r="H25" s="12" t="s">
        <v>82</v>
      </c>
      <c r="I25" s="12" t="s">
        <v>98</v>
      </c>
      <c r="J25" s="14" t="n">
        <v>46228</v>
      </c>
      <c r="K25" s="13" t="s">
        <v>808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871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17</v>
      </c>
      <c r="D4" s="5" t="s">
        <v>102</v>
      </c>
      <c r="E4" s="6" t="n">
        <f aca="false">SUM(M9:M25)</f>
        <v>13</v>
      </c>
      <c r="G4" s="5" t="s">
        <v>13</v>
      </c>
      <c r="H4" s="7" t="n">
        <f aca="false">IF(B4=0,0,E4/B4)</f>
        <v>0.764705882352941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54" hidden="false" customHeight="true" outlineLevel="0" collapsed="false">
      <c r="A9" s="12" t="s">
        <v>292</v>
      </c>
      <c r="B9" s="12" t="s">
        <v>117</v>
      </c>
      <c r="C9" s="12" t="s">
        <v>41</v>
      </c>
      <c r="D9" s="13" t="s">
        <v>872</v>
      </c>
      <c r="E9" s="12" t="s">
        <v>120</v>
      </c>
      <c r="F9" s="12" t="s">
        <v>121</v>
      </c>
      <c r="G9" s="13" t="s">
        <v>873</v>
      </c>
      <c r="H9" s="12" t="s">
        <v>84</v>
      </c>
      <c r="I9" s="12" t="s">
        <v>99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294</v>
      </c>
      <c r="B10" s="12" t="s">
        <v>124</v>
      </c>
      <c r="C10" s="12" t="s">
        <v>41</v>
      </c>
      <c r="D10" s="13" t="s">
        <v>874</v>
      </c>
      <c r="E10" s="12" t="s">
        <v>120</v>
      </c>
      <c r="F10" s="12" t="s">
        <v>120</v>
      </c>
      <c r="G10" s="13" t="s">
        <v>568</v>
      </c>
      <c r="H10" s="12" t="s">
        <v>84</v>
      </c>
      <c r="I10" s="12" t="s">
        <v>99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295</v>
      </c>
      <c r="B11" s="12" t="s">
        <v>128</v>
      </c>
      <c r="C11" s="12" t="s">
        <v>41</v>
      </c>
      <c r="D11" s="13" t="s">
        <v>875</v>
      </c>
      <c r="E11" s="12" t="s">
        <v>120</v>
      </c>
      <c r="F11" s="12" t="s">
        <v>130</v>
      </c>
      <c r="G11" s="13" t="s">
        <v>876</v>
      </c>
      <c r="H11" s="12" t="s">
        <v>84</v>
      </c>
      <c r="I11" s="12" t="s">
        <v>99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297</v>
      </c>
      <c r="B12" s="12" t="s">
        <v>133</v>
      </c>
      <c r="C12" s="12" t="s">
        <v>41</v>
      </c>
      <c r="D12" s="13" t="s">
        <v>877</v>
      </c>
      <c r="E12" s="12" t="s">
        <v>120</v>
      </c>
      <c r="F12" s="12" t="s">
        <v>135</v>
      </c>
      <c r="G12" s="13" t="s">
        <v>878</v>
      </c>
      <c r="H12" s="12" t="s">
        <v>84</v>
      </c>
      <c r="I12" s="12" t="s">
        <v>99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299</v>
      </c>
      <c r="B13" s="12" t="s">
        <v>138</v>
      </c>
      <c r="C13" s="12" t="s">
        <v>41</v>
      </c>
      <c r="D13" s="13" t="s">
        <v>879</v>
      </c>
      <c r="E13" s="12" t="s">
        <v>120</v>
      </c>
      <c r="F13" s="12" t="s">
        <v>140</v>
      </c>
      <c r="G13" s="13" t="s">
        <v>880</v>
      </c>
      <c r="H13" s="12" t="s">
        <v>84</v>
      </c>
      <c r="I13" s="12" t="s">
        <v>99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301</v>
      </c>
      <c r="B14" s="12" t="s">
        <v>143</v>
      </c>
      <c r="C14" s="12" t="s">
        <v>41</v>
      </c>
      <c r="D14" s="13" t="s">
        <v>881</v>
      </c>
      <c r="E14" s="12" t="s">
        <v>120</v>
      </c>
      <c r="F14" s="12" t="s">
        <v>145</v>
      </c>
      <c r="G14" s="13" t="s">
        <v>882</v>
      </c>
      <c r="H14" s="12" t="s">
        <v>84</v>
      </c>
      <c r="I14" s="12" t="s">
        <v>99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303</v>
      </c>
      <c r="B15" s="12" t="s">
        <v>148</v>
      </c>
      <c r="C15" s="12" t="s">
        <v>41</v>
      </c>
      <c r="D15" s="13" t="s">
        <v>883</v>
      </c>
      <c r="E15" s="12" t="s">
        <v>120</v>
      </c>
      <c r="F15" s="12" t="s">
        <v>150</v>
      </c>
      <c r="G15" s="13" t="s">
        <v>882</v>
      </c>
      <c r="H15" s="12" t="s">
        <v>84</v>
      </c>
      <c r="I15" s="12" t="s">
        <v>99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305</v>
      </c>
      <c r="B16" s="12" t="s">
        <v>153</v>
      </c>
      <c r="C16" s="12" t="s">
        <v>41</v>
      </c>
      <c r="D16" s="13" t="s">
        <v>884</v>
      </c>
      <c r="E16" s="12" t="s">
        <v>120</v>
      </c>
      <c r="F16" s="12" t="s">
        <v>155</v>
      </c>
      <c r="G16" s="13" t="s">
        <v>885</v>
      </c>
      <c r="H16" s="12" t="s">
        <v>86</v>
      </c>
      <c r="I16" s="12" t="s">
        <v>98</v>
      </c>
      <c r="J16" s="14" t="n">
        <v>46228</v>
      </c>
      <c r="K16" s="13" t="s">
        <v>886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307</v>
      </c>
      <c r="B17" s="12" t="s">
        <v>159</v>
      </c>
      <c r="C17" s="12" t="s">
        <v>41</v>
      </c>
      <c r="D17" s="13" t="s">
        <v>887</v>
      </c>
      <c r="E17" s="12" t="s">
        <v>120</v>
      </c>
      <c r="F17" s="12" t="s">
        <v>161</v>
      </c>
      <c r="G17" s="13" t="s">
        <v>888</v>
      </c>
      <c r="H17" s="12" t="s">
        <v>82</v>
      </c>
      <c r="I17" s="12" t="s">
        <v>98</v>
      </c>
      <c r="J17" s="14"/>
      <c r="K17" s="13" t="s">
        <v>889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309</v>
      </c>
      <c r="B18" s="12" t="s">
        <v>165</v>
      </c>
      <c r="C18" s="12" t="s">
        <v>41</v>
      </c>
      <c r="D18" s="13" t="s">
        <v>890</v>
      </c>
      <c r="E18" s="12" t="s">
        <v>120</v>
      </c>
      <c r="F18" s="12" t="s">
        <v>161</v>
      </c>
      <c r="G18" s="13" t="s">
        <v>891</v>
      </c>
      <c r="H18" s="12" t="s">
        <v>82</v>
      </c>
      <c r="I18" s="12" t="s">
        <v>98</v>
      </c>
      <c r="J18" s="14"/>
      <c r="K18" s="13" t="s">
        <v>790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310</v>
      </c>
      <c r="B19" s="12" t="s">
        <v>648</v>
      </c>
      <c r="C19" s="12" t="s">
        <v>41</v>
      </c>
      <c r="D19" s="13" t="s">
        <v>892</v>
      </c>
      <c r="E19" s="12" t="s">
        <v>120</v>
      </c>
      <c r="F19" s="12" t="s">
        <v>145</v>
      </c>
      <c r="G19" s="13" t="s">
        <v>882</v>
      </c>
      <c r="H19" s="12" t="s">
        <v>84</v>
      </c>
      <c r="I19" s="12" t="s">
        <v>99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312</v>
      </c>
      <c r="B20" s="12" t="s">
        <v>173</v>
      </c>
      <c r="C20" s="12" t="s">
        <v>41</v>
      </c>
      <c r="D20" s="13" t="s">
        <v>893</v>
      </c>
      <c r="E20" s="12" t="s">
        <v>120</v>
      </c>
      <c r="F20" s="12" t="s">
        <v>161</v>
      </c>
      <c r="G20" s="13" t="s">
        <v>888</v>
      </c>
      <c r="H20" s="12" t="s">
        <v>82</v>
      </c>
      <c r="I20" s="12" t="s">
        <v>98</v>
      </c>
      <c r="J20" s="14"/>
      <c r="K20" s="13" t="s">
        <v>894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313</v>
      </c>
      <c r="B21" s="12" t="s">
        <v>177</v>
      </c>
      <c r="C21" s="12" t="s">
        <v>41</v>
      </c>
      <c r="D21" s="13" t="s">
        <v>895</v>
      </c>
      <c r="E21" s="12" t="s">
        <v>120</v>
      </c>
      <c r="F21" s="12" t="s">
        <v>179</v>
      </c>
      <c r="G21" s="13" t="s">
        <v>896</v>
      </c>
      <c r="H21" s="12" t="s">
        <v>84</v>
      </c>
      <c r="I21" s="12" t="s">
        <v>99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315</v>
      </c>
      <c r="B22" s="12" t="s">
        <v>182</v>
      </c>
      <c r="C22" s="12" t="s">
        <v>41</v>
      </c>
      <c r="D22" s="13" t="s">
        <v>897</v>
      </c>
      <c r="E22" s="12" t="s">
        <v>120</v>
      </c>
      <c r="F22" s="12" t="s">
        <v>179</v>
      </c>
      <c r="G22" s="13" t="s">
        <v>898</v>
      </c>
      <c r="H22" s="12" t="s">
        <v>84</v>
      </c>
      <c r="I22" s="12" t="s">
        <v>99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317</v>
      </c>
      <c r="B23" s="12" t="s">
        <v>186</v>
      </c>
      <c r="C23" s="12" t="s">
        <v>41</v>
      </c>
      <c r="D23" s="13" t="s">
        <v>899</v>
      </c>
      <c r="E23" s="12" t="s">
        <v>188</v>
      </c>
      <c r="F23" s="12" t="s">
        <v>188</v>
      </c>
      <c r="G23" s="13" t="s">
        <v>189</v>
      </c>
      <c r="H23" s="12" t="s">
        <v>84</v>
      </c>
      <c r="I23" s="12" t="s">
        <v>99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318</v>
      </c>
      <c r="B24" s="12" t="s">
        <v>608</v>
      </c>
      <c r="C24" s="12" t="s">
        <v>41</v>
      </c>
      <c r="D24" s="13" t="s">
        <v>900</v>
      </c>
      <c r="E24" s="12" t="s">
        <v>120</v>
      </c>
      <c r="F24" s="12" t="s">
        <v>120</v>
      </c>
      <c r="G24" s="13" t="s">
        <v>901</v>
      </c>
      <c r="H24" s="12" t="s">
        <v>84</v>
      </c>
      <c r="I24" s="12" t="s">
        <v>99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902</v>
      </c>
      <c r="B25" s="12" t="s">
        <v>191</v>
      </c>
      <c r="C25" s="12" t="s">
        <v>41</v>
      </c>
      <c r="D25" s="13" t="s">
        <v>903</v>
      </c>
      <c r="E25" s="12" t="s">
        <v>120</v>
      </c>
      <c r="F25" s="12" t="s">
        <v>120</v>
      </c>
      <c r="G25" s="13" t="s">
        <v>904</v>
      </c>
      <c r="H25" s="12" t="s">
        <v>82</v>
      </c>
      <c r="I25" s="12" t="s">
        <v>98</v>
      </c>
      <c r="J25" s="14"/>
      <c r="K25" s="13" t="s">
        <v>808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905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906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17</v>
      </c>
      <c r="D4" s="5" t="s">
        <v>102</v>
      </c>
      <c r="E4" s="6" t="n">
        <f aca="false">SUM(M9:M25)</f>
        <v>13</v>
      </c>
      <c r="G4" s="5" t="s">
        <v>13</v>
      </c>
      <c r="H4" s="7" t="n">
        <f aca="false">IF(B4=0,0,E4/B4)</f>
        <v>0.764705882352941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54" hidden="false" customHeight="true" outlineLevel="0" collapsed="false">
      <c r="A9" s="12" t="s">
        <v>758</v>
      </c>
      <c r="B9" s="12" t="s">
        <v>117</v>
      </c>
      <c r="C9" s="12" t="s">
        <v>42</v>
      </c>
      <c r="D9" s="13" t="s">
        <v>907</v>
      </c>
      <c r="E9" s="12" t="s">
        <v>120</v>
      </c>
      <c r="F9" s="12" t="s">
        <v>121</v>
      </c>
      <c r="G9" s="13" t="s">
        <v>908</v>
      </c>
      <c r="H9" s="12" t="s">
        <v>84</v>
      </c>
      <c r="I9" s="12" t="s">
        <v>99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761</v>
      </c>
      <c r="B10" s="12" t="s">
        <v>124</v>
      </c>
      <c r="C10" s="12" t="s">
        <v>42</v>
      </c>
      <c r="D10" s="13" t="s">
        <v>909</v>
      </c>
      <c r="E10" s="12" t="s">
        <v>120</v>
      </c>
      <c r="F10" s="12" t="s">
        <v>120</v>
      </c>
      <c r="G10" s="13" t="s">
        <v>568</v>
      </c>
      <c r="H10" s="12" t="s">
        <v>84</v>
      </c>
      <c r="I10" s="12" t="s">
        <v>99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764</v>
      </c>
      <c r="B11" s="12" t="s">
        <v>128</v>
      </c>
      <c r="C11" s="12" t="s">
        <v>42</v>
      </c>
      <c r="D11" s="13" t="s">
        <v>910</v>
      </c>
      <c r="E11" s="12" t="s">
        <v>120</v>
      </c>
      <c r="F11" s="12" t="s">
        <v>130</v>
      </c>
      <c r="G11" s="13" t="s">
        <v>911</v>
      </c>
      <c r="H11" s="12" t="s">
        <v>84</v>
      </c>
      <c r="I11" s="12" t="s">
        <v>99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767</v>
      </c>
      <c r="B12" s="12" t="s">
        <v>133</v>
      </c>
      <c r="C12" s="12" t="s">
        <v>42</v>
      </c>
      <c r="D12" s="13" t="s">
        <v>912</v>
      </c>
      <c r="E12" s="12" t="s">
        <v>120</v>
      </c>
      <c r="F12" s="12" t="s">
        <v>135</v>
      </c>
      <c r="G12" s="13" t="s">
        <v>913</v>
      </c>
      <c r="H12" s="12" t="s">
        <v>84</v>
      </c>
      <c r="I12" s="12" t="s">
        <v>99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771</v>
      </c>
      <c r="B13" s="12" t="s">
        <v>138</v>
      </c>
      <c r="C13" s="12" t="s">
        <v>42</v>
      </c>
      <c r="D13" s="13" t="s">
        <v>914</v>
      </c>
      <c r="E13" s="12" t="s">
        <v>120</v>
      </c>
      <c r="F13" s="12" t="s">
        <v>140</v>
      </c>
      <c r="G13" s="13" t="s">
        <v>915</v>
      </c>
      <c r="H13" s="12" t="s">
        <v>84</v>
      </c>
      <c r="I13" s="12" t="s">
        <v>99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774</v>
      </c>
      <c r="B14" s="12" t="s">
        <v>143</v>
      </c>
      <c r="C14" s="12" t="s">
        <v>42</v>
      </c>
      <c r="D14" s="13" t="s">
        <v>916</v>
      </c>
      <c r="E14" s="12" t="s">
        <v>120</v>
      </c>
      <c r="F14" s="12" t="s">
        <v>145</v>
      </c>
      <c r="G14" s="13" t="s">
        <v>917</v>
      </c>
      <c r="H14" s="12" t="s">
        <v>84</v>
      </c>
      <c r="I14" s="12" t="s">
        <v>99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777</v>
      </c>
      <c r="B15" s="12" t="s">
        <v>148</v>
      </c>
      <c r="C15" s="12" t="s">
        <v>42</v>
      </c>
      <c r="D15" s="13" t="s">
        <v>918</v>
      </c>
      <c r="E15" s="12" t="s">
        <v>120</v>
      </c>
      <c r="F15" s="12" t="s">
        <v>150</v>
      </c>
      <c r="G15" s="13" t="s">
        <v>917</v>
      </c>
      <c r="H15" s="12" t="s">
        <v>84</v>
      </c>
      <c r="I15" s="12" t="s">
        <v>99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779</v>
      </c>
      <c r="B16" s="12" t="s">
        <v>153</v>
      </c>
      <c r="C16" s="12" t="s">
        <v>42</v>
      </c>
      <c r="D16" s="13" t="s">
        <v>919</v>
      </c>
      <c r="E16" s="12" t="s">
        <v>120</v>
      </c>
      <c r="F16" s="12" t="s">
        <v>155</v>
      </c>
      <c r="G16" s="13" t="s">
        <v>920</v>
      </c>
      <c r="H16" s="12" t="s">
        <v>86</v>
      </c>
      <c r="I16" s="12" t="s">
        <v>98</v>
      </c>
      <c r="J16" s="14" t="n">
        <v>46228</v>
      </c>
      <c r="K16" s="13" t="s">
        <v>921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783</v>
      </c>
      <c r="B17" s="12" t="s">
        <v>159</v>
      </c>
      <c r="C17" s="12" t="s">
        <v>42</v>
      </c>
      <c r="D17" s="13" t="s">
        <v>922</v>
      </c>
      <c r="E17" s="12" t="s">
        <v>120</v>
      </c>
      <c r="F17" s="12" t="s">
        <v>161</v>
      </c>
      <c r="G17" s="13" t="s">
        <v>923</v>
      </c>
      <c r="H17" s="12" t="s">
        <v>82</v>
      </c>
      <c r="I17" s="12" t="s">
        <v>98</v>
      </c>
      <c r="J17" s="14"/>
      <c r="K17" s="13" t="s">
        <v>889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787</v>
      </c>
      <c r="B18" s="12" t="s">
        <v>165</v>
      </c>
      <c r="C18" s="12" t="s">
        <v>42</v>
      </c>
      <c r="D18" s="13" t="s">
        <v>924</v>
      </c>
      <c r="E18" s="12" t="s">
        <v>120</v>
      </c>
      <c r="F18" s="12" t="s">
        <v>161</v>
      </c>
      <c r="G18" s="13" t="s">
        <v>925</v>
      </c>
      <c r="H18" s="12" t="s">
        <v>82</v>
      </c>
      <c r="I18" s="12" t="s">
        <v>98</v>
      </c>
      <c r="J18" s="14"/>
      <c r="K18" s="13" t="s">
        <v>790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791</v>
      </c>
      <c r="B19" s="12" t="s">
        <v>648</v>
      </c>
      <c r="C19" s="12" t="s">
        <v>42</v>
      </c>
      <c r="D19" s="13" t="s">
        <v>926</v>
      </c>
      <c r="E19" s="12" t="s">
        <v>120</v>
      </c>
      <c r="F19" s="12" t="s">
        <v>145</v>
      </c>
      <c r="G19" s="13" t="s">
        <v>917</v>
      </c>
      <c r="H19" s="12" t="s">
        <v>84</v>
      </c>
      <c r="I19" s="12" t="s">
        <v>99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793</v>
      </c>
      <c r="B20" s="12" t="s">
        <v>173</v>
      </c>
      <c r="C20" s="12" t="s">
        <v>42</v>
      </c>
      <c r="D20" s="13" t="s">
        <v>927</v>
      </c>
      <c r="E20" s="12" t="s">
        <v>120</v>
      </c>
      <c r="F20" s="12" t="s">
        <v>161</v>
      </c>
      <c r="G20" s="13" t="s">
        <v>923</v>
      </c>
      <c r="H20" s="12" t="s">
        <v>82</v>
      </c>
      <c r="I20" s="12" t="s">
        <v>98</v>
      </c>
      <c r="J20" s="14"/>
      <c r="K20" s="13" t="s">
        <v>894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796</v>
      </c>
      <c r="B21" s="12" t="s">
        <v>177</v>
      </c>
      <c r="C21" s="12" t="s">
        <v>42</v>
      </c>
      <c r="D21" s="13" t="s">
        <v>928</v>
      </c>
      <c r="E21" s="12" t="s">
        <v>120</v>
      </c>
      <c r="F21" s="12" t="s">
        <v>179</v>
      </c>
      <c r="G21" s="13" t="s">
        <v>929</v>
      </c>
      <c r="H21" s="12" t="s">
        <v>84</v>
      </c>
      <c r="I21" s="12" t="s">
        <v>99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799</v>
      </c>
      <c r="B22" s="12" t="s">
        <v>182</v>
      </c>
      <c r="C22" s="12" t="s">
        <v>42</v>
      </c>
      <c r="D22" s="13" t="s">
        <v>930</v>
      </c>
      <c r="E22" s="12" t="s">
        <v>120</v>
      </c>
      <c r="F22" s="12" t="s">
        <v>179</v>
      </c>
      <c r="G22" s="13" t="s">
        <v>931</v>
      </c>
      <c r="H22" s="12" t="s">
        <v>84</v>
      </c>
      <c r="I22" s="12" t="s">
        <v>99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802</v>
      </c>
      <c r="B23" s="12" t="s">
        <v>186</v>
      </c>
      <c r="C23" s="12" t="s">
        <v>42</v>
      </c>
      <c r="D23" s="13" t="s">
        <v>932</v>
      </c>
      <c r="E23" s="12" t="s">
        <v>188</v>
      </c>
      <c r="F23" s="12" t="s">
        <v>188</v>
      </c>
      <c r="G23" s="13" t="s">
        <v>189</v>
      </c>
      <c r="H23" s="12" t="s">
        <v>84</v>
      </c>
      <c r="I23" s="12" t="s">
        <v>99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805</v>
      </c>
      <c r="B24" s="12" t="s">
        <v>608</v>
      </c>
      <c r="C24" s="12" t="s">
        <v>42</v>
      </c>
      <c r="D24" s="13" t="s">
        <v>933</v>
      </c>
      <c r="E24" s="12" t="s">
        <v>120</v>
      </c>
      <c r="F24" s="12" t="s">
        <v>120</v>
      </c>
      <c r="G24" s="13" t="s">
        <v>934</v>
      </c>
      <c r="H24" s="12" t="s">
        <v>84</v>
      </c>
      <c r="I24" s="12" t="s">
        <v>99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935</v>
      </c>
      <c r="B25" s="12" t="s">
        <v>191</v>
      </c>
      <c r="C25" s="12" t="s">
        <v>42</v>
      </c>
      <c r="D25" s="13" t="s">
        <v>936</v>
      </c>
      <c r="E25" s="12" t="s">
        <v>120</v>
      </c>
      <c r="F25" s="12" t="s">
        <v>120</v>
      </c>
      <c r="G25" s="13" t="s">
        <v>937</v>
      </c>
      <c r="H25" s="12" t="s">
        <v>82</v>
      </c>
      <c r="I25" s="12" t="s">
        <v>98</v>
      </c>
      <c r="J25" s="14"/>
      <c r="K25" s="13" t="s">
        <v>808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938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939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17</v>
      </c>
      <c r="D4" s="5" t="s">
        <v>102</v>
      </c>
      <c r="E4" s="6" t="n">
        <f aca="false">SUM(M9:M25)</f>
        <v>13</v>
      </c>
      <c r="G4" s="5" t="s">
        <v>13</v>
      </c>
      <c r="H4" s="7" t="n">
        <f aca="false">IF(B4=0,0,E4/B4)</f>
        <v>0.764705882352941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54" hidden="false" customHeight="true" outlineLevel="0" collapsed="false">
      <c r="A9" s="12" t="s">
        <v>361</v>
      </c>
      <c r="B9" s="12" t="s">
        <v>117</v>
      </c>
      <c r="C9" s="12" t="s">
        <v>43</v>
      </c>
      <c r="D9" s="13" t="s">
        <v>940</v>
      </c>
      <c r="E9" s="12" t="s">
        <v>120</v>
      </c>
      <c r="F9" s="12" t="s">
        <v>121</v>
      </c>
      <c r="G9" s="13" t="s">
        <v>941</v>
      </c>
      <c r="H9" s="12" t="s">
        <v>84</v>
      </c>
      <c r="I9" s="12" t="s">
        <v>99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363</v>
      </c>
      <c r="B10" s="12" t="s">
        <v>124</v>
      </c>
      <c r="C10" s="12" t="s">
        <v>43</v>
      </c>
      <c r="D10" s="13" t="s">
        <v>942</v>
      </c>
      <c r="E10" s="12" t="s">
        <v>120</v>
      </c>
      <c r="F10" s="12" t="s">
        <v>120</v>
      </c>
      <c r="G10" s="13" t="s">
        <v>568</v>
      </c>
      <c r="H10" s="12" t="s">
        <v>84</v>
      </c>
      <c r="I10" s="12" t="s">
        <v>99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364</v>
      </c>
      <c r="B11" s="12" t="s">
        <v>128</v>
      </c>
      <c r="C11" s="12" t="s">
        <v>43</v>
      </c>
      <c r="D11" s="13" t="s">
        <v>943</v>
      </c>
      <c r="E11" s="12" t="s">
        <v>120</v>
      </c>
      <c r="F11" s="12" t="s">
        <v>130</v>
      </c>
      <c r="G11" s="13" t="s">
        <v>944</v>
      </c>
      <c r="H11" s="12" t="s">
        <v>84</v>
      </c>
      <c r="I11" s="12" t="s">
        <v>99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366</v>
      </c>
      <c r="B12" s="12" t="s">
        <v>133</v>
      </c>
      <c r="C12" s="12" t="s">
        <v>43</v>
      </c>
      <c r="D12" s="13" t="s">
        <v>945</v>
      </c>
      <c r="E12" s="12" t="s">
        <v>120</v>
      </c>
      <c r="F12" s="12" t="s">
        <v>135</v>
      </c>
      <c r="G12" s="13" t="s">
        <v>946</v>
      </c>
      <c r="H12" s="12" t="s">
        <v>84</v>
      </c>
      <c r="I12" s="12" t="s">
        <v>99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368</v>
      </c>
      <c r="B13" s="12" t="s">
        <v>138</v>
      </c>
      <c r="C13" s="12" t="s">
        <v>43</v>
      </c>
      <c r="D13" s="13" t="s">
        <v>947</v>
      </c>
      <c r="E13" s="12" t="s">
        <v>120</v>
      </c>
      <c r="F13" s="12" t="s">
        <v>140</v>
      </c>
      <c r="G13" s="13" t="s">
        <v>948</v>
      </c>
      <c r="H13" s="12" t="s">
        <v>84</v>
      </c>
      <c r="I13" s="12" t="s">
        <v>99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370</v>
      </c>
      <c r="B14" s="12" t="s">
        <v>143</v>
      </c>
      <c r="C14" s="12" t="s">
        <v>43</v>
      </c>
      <c r="D14" s="13" t="s">
        <v>949</v>
      </c>
      <c r="E14" s="12" t="s">
        <v>120</v>
      </c>
      <c r="F14" s="12" t="s">
        <v>145</v>
      </c>
      <c r="G14" s="13" t="s">
        <v>950</v>
      </c>
      <c r="H14" s="12" t="s">
        <v>84</v>
      </c>
      <c r="I14" s="12" t="s">
        <v>99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372</v>
      </c>
      <c r="B15" s="12" t="s">
        <v>148</v>
      </c>
      <c r="C15" s="12" t="s">
        <v>43</v>
      </c>
      <c r="D15" s="13" t="s">
        <v>951</v>
      </c>
      <c r="E15" s="12" t="s">
        <v>120</v>
      </c>
      <c r="F15" s="12" t="s">
        <v>150</v>
      </c>
      <c r="G15" s="13" t="s">
        <v>950</v>
      </c>
      <c r="H15" s="12" t="s">
        <v>84</v>
      </c>
      <c r="I15" s="12" t="s">
        <v>99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374</v>
      </c>
      <c r="B16" s="12" t="s">
        <v>153</v>
      </c>
      <c r="C16" s="12" t="s">
        <v>43</v>
      </c>
      <c r="D16" s="13" t="s">
        <v>952</v>
      </c>
      <c r="E16" s="12" t="s">
        <v>120</v>
      </c>
      <c r="F16" s="12" t="s">
        <v>155</v>
      </c>
      <c r="G16" s="13" t="s">
        <v>953</v>
      </c>
      <c r="H16" s="12" t="s">
        <v>86</v>
      </c>
      <c r="I16" s="12" t="s">
        <v>98</v>
      </c>
      <c r="J16" s="14" t="n">
        <v>46228</v>
      </c>
      <c r="K16" s="13" t="s">
        <v>954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376</v>
      </c>
      <c r="B17" s="12" t="s">
        <v>159</v>
      </c>
      <c r="C17" s="12" t="s">
        <v>43</v>
      </c>
      <c r="D17" s="13" t="s">
        <v>955</v>
      </c>
      <c r="E17" s="12" t="s">
        <v>120</v>
      </c>
      <c r="F17" s="12" t="s">
        <v>161</v>
      </c>
      <c r="G17" s="13" t="s">
        <v>956</v>
      </c>
      <c r="H17" s="12" t="s">
        <v>82</v>
      </c>
      <c r="I17" s="12" t="s">
        <v>98</v>
      </c>
      <c r="J17" s="14"/>
      <c r="K17" s="13" t="s">
        <v>889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378</v>
      </c>
      <c r="B18" s="12" t="s">
        <v>165</v>
      </c>
      <c r="C18" s="12" t="s">
        <v>43</v>
      </c>
      <c r="D18" s="13" t="s">
        <v>957</v>
      </c>
      <c r="E18" s="12" t="s">
        <v>120</v>
      </c>
      <c r="F18" s="12" t="s">
        <v>161</v>
      </c>
      <c r="G18" s="13" t="s">
        <v>958</v>
      </c>
      <c r="H18" s="12" t="s">
        <v>82</v>
      </c>
      <c r="I18" s="12" t="s">
        <v>98</v>
      </c>
      <c r="J18" s="14"/>
      <c r="K18" s="13" t="s">
        <v>790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379</v>
      </c>
      <c r="B19" s="12" t="s">
        <v>648</v>
      </c>
      <c r="C19" s="12" t="s">
        <v>43</v>
      </c>
      <c r="D19" s="13" t="s">
        <v>959</v>
      </c>
      <c r="E19" s="12" t="s">
        <v>120</v>
      </c>
      <c r="F19" s="12" t="s">
        <v>145</v>
      </c>
      <c r="G19" s="13" t="s">
        <v>950</v>
      </c>
      <c r="H19" s="12" t="s">
        <v>84</v>
      </c>
      <c r="I19" s="12" t="s">
        <v>99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381</v>
      </c>
      <c r="B20" s="12" t="s">
        <v>173</v>
      </c>
      <c r="C20" s="12" t="s">
        <v>43</v>
      </c>
      <c r="D20" s="13" t="s">
        <v>960</v>
      </c>
      <c r="E20" s="12" t="s">
        <v>120</v>
      </c>
      <c r="F20" s="12" t="s">
        <v>161</v>
      </c>
      <c r="G20" s="13" t="s">
        <v>956</v>
      </c>
      <c r="H20" s="12" t="s">
        <v>82</v>
      </c>
      <c r="I20" s="12" t="s">
        <v>98</v>
      </c>
      <c r="J20" s="14"/>
      <c r="K20" s="13" t="s">
        <v>894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382</v>
      </c>
      <c r="B21" s="12" t="s">
        <v>177</v>
      </c>
      <c r="C21" s="12" t="s">
        <v>43</v>
      </c>
      <c r="D21" s="13" t="s">
        <v>961</v>
      </c>
      <c r="E21" s="12" t="s">
        <v>120</v>
      </c>
      <c r="F21" s="12" t="s">
        <v>179</v>
      </c>
      <c r="G21" s="13" t="s">
        <v>962</v>
      </c>
      <c r="H21" s="12" t="s">
        <v>84</v>
      </c>
      <c r="I21" s="12" t="s">
        <v>99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384</v>
      </c>
      <c r="B22" s="12" t="s">
        <v>182</v>
      </c>
      <c r="C22" s="12" t="s">
        <v>43</v>
      </c>
      <c r="D22" s="13" t="s">
        <v>963</v>
      </c>
      <c r="E22" s="12" t="s">
        <v>120</v>
      </c>
      <c r="F22" s="12" t="s">
        <v>179</v>
      </c>
      <c r="G22" s="13" t="s">
        <v>964</v>
      </c>
      <c r="H22" s="12" t="s">
        <v>84</v>
      </c>
      <c r="I22" s="12" t="s">
        <v>99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386</v>
      </c>
      <c r="B23" s="12" t="s">
        <v>186</v>
      </c>
      <c r="C23" s="12" t="s">
        <v>43</v>
      </c>
      <c r="D23" s="13" t="s">
        <v>965</v>
      </c>
      <c r="E23" s="12" t="s">
        <v>188</v>
      </c>
      <c r="F23" s="12" t="s">
        <v>188</v>
      </c>
      <c r="G23" s="13" t="s">
        <v>189</v>
      </c>
      <c r="H23" s="12" t="s">
        <v>84</v>
      </c>
      <c r="I23" s="12" t="s">
        <v>99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387</v>
      </c>
      <c r="B24" s="12" t="s">
        <v>608</v>
      </c>
      <c r="C24" s="12" t="s">
        <v>43</v>
      </c>
      <c r="D24" s="13" t="s">
        <v>966</v>
      </c>
      <c r="E24" s="12" t="s">
        <v>120</v>
      </c>
      <c r="F24" s="12" t="s">
        <v>120</v>
      </c>
      <c r="G24" s="13" t="s">
        <v>967</v>
      </c>
      <c r="H24" s="12" t="s">
        <v>84</v>
      </c>
      <c r="I24" s="12" t="s">
        <v>99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968</v>
      </c>
      <c r="B25" s="12" t="s">
        <v>191</v>
      </c>
      <c r="C25" s="12" t="s">
        <v>43</v>
      </c>
      <c r="D25" s="13" t="s">
        <v>969</v>
      </c>
      <c r="E25" s="12" t="s">
        <v>120</v>
      </c>
      <c r="F25" s="12" t="s">
        <v>120</v>
      </c>
      <c r="G25" s="13" t="s">
        <v>970</v>
      </c>
      <c r="H25" s="12" t="s">
        <v>82</v>
      </c>
      <c r="I25" s="12" t="s">
        <v>98</v>
      </c>
      <c r="J25" s="14"/>
      <c r="K25" s="13" t="s">
        <v>808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972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17</v>
      </c>
      <c r="D4" s="5" t="s">
        <v>102</v>
      </c>
      <c r="E4" s="6" t="n">
        <f aca="false">SUM(M9:M25)</f>
        <v>13</v>
      </c>
      <c r="G4" s="5" t="s">
        <v>13</v>
      </c>
      <c r="H4" s="7" t="n">
        <f aca="false">IF(B4=0,0,E4/B4)</f>
        <v>0.764705882352941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54" hidden="false" customHeight="true" outlineLevel="0" collapsed="false">
      <c r="A9" s="12" t="s">
        <v>973</v>
      </c>
      <c r="B9" s="12" t="s">
        <v>117</v>
      </c>
      <c r="C9" s="12" t="s">
        <v>44</v>
      </c>
      <c r="D9" s="13" t="s">
        <v>974</v>
      </c>
      <c r="E9" s="12" t="s">
        <v>120</v>
      </c>
      <c r="F9" s="12" t="s">
        <v>121</v>
      </c>
      <c r="G9" s="13" t="s">
        <v>975</v>
      </c>
      <c r="H9" s="12" t="s">
        <v>84</v>
      </c>
      <c r="I9" s="12" t="s">
        <v>99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976</v>
      </c>
      <c r="B10" s="12" t="s">
        <v>124</v>
      </c>
      <c r="C10" s="12" t="s">
        <v>44</v>
      </c>
      <c r="D10" s="13" t="s">
        <v>977</v>
      </c>
      <c r="E10" s="12" t="s">
        <v>120</v>
      </c>
      <c r="F10" s="12" t="s">
        <v>120</v>
      </c>
      <c r="G10" s="13" t="s">
        <v>568</v>
      </c>
      <c r="H10" s="12" t="s">
        <v>84</v>
      </c>
      <c r="I10" s="12" t="s">
        <v>99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978</v>
      </c>
      <c r="B11" s="12" t="s">
        <v>128</v>
      </c>
      <c r="C11" s="12" t="s">
        <v>44</v>
      </c>
      <c r="D11" s="13" t="s">
        <v>979</v>
      </c>
      <c r="E11" s="12" t="s">
        <v>120</v>
      </c>
      <c r="F11" s="12" t="s">
        <v>130</v>
      </c>
      <c r="G11" s="13" t="s">
        <v>980</v>
      </c>
      <c r="H11" s="12" t="s">
        <v>84</v>
      </c>
      <c r="I11" s="12" t="s">
        <v>99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981</v>
      </c>
      <c r="B12" s="12" t="s">
        <v>133</v>
      </c>
      <c r="C12" s="12" t="s">
        <v>44</v>
      </c>
      <c r="D12" s="13" t="s">
        <v>982</v>
      </c>
      <c r="E12" s="12" t="s">
        <v>120</v>
      </c>
      <c r="F12" s="12" t="s">
        <v>135</v>
      </c>
      <c r="G12" s="13" t="s">
        <v>983</v>
      </c>
      <c r="H12" s="12" t="s">
        <v>84</v>
      </c>
      <c r="I12" s="12" t="s">
        <v>99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984</v>
      </c>
      <c r="B13" s="12" t="s">
        <v>138</v>
      </c>
      <c r="C13" s="12" t="s">
        <v>44</v>
      </c>
      <c r="D13" s="13" t="s">
        <v>985</v>
      </c>
      <c r="E13" s="12" t="s">
        <v>120</v>
      </c>
      <c r="F13" s="12" t="s">
        <v>140</v>
      </c>
      <c r="G13" s="13" t="s">
        <v>986</v>
      </c>
      <c r="H13" s="12" t="s">
        <v>84</v>
      </c>
      <c r="I13" s="12" t="s">
        <v>99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987</v>
      </c>
      <c r="B14" s="12" t="s">
        <v>143</v>
      </c>
      <c r="C14" s="12" t="s">
        <v>44</v>
      </c>
      <c r="D14" s="13" t="s">
        <v>988</v>
      </c>
      <c r="E14" s="12" t="s">
        <v>120</v>
      </c>
      <c r="F14" s="12" t="s">
        <v>145</v>
      </c>
      <c r="G14" s="13" t="s">
        <v>989</v>
      </c>
      <c r="H14" s="12" t="s">
        <v>84</v>
      </c>
      <c r="I14" s="12" t="s">
        <v>99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990</v>
      </c>
      <c r="B15" s="12" t="s">
        <v>148</v>
      </c>
      <c r="C15" s="12" t="s">
        <v>44</v>
      </c>
      <c r="D15" s="13" t="s">
        <v>991</v>
      </c>
      <c r="E15" s="12" t="s">
        <v>120</v>
      </c>
      <c r="F15" s="12" t="s">
        <v>150</v>
      </c>
      <c r="G15" s="13" t="s">
        <v>989</v>
      </c>
      <c r="H15" s="12" t="s">
        <v>84</v>
      </c>
      <c r="I15" s="12" t="s">
        <v>99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992</v>
      </c>
      <c r="B16" s="12" t="s">
        <v>153</v>
      </c>
      <c r="C16" s="12" t="s">
        <v>44</v>
      </c>
      <c r="D16" s="13" t="s">
        <v>993</v>
      </c>
      <c r="E16" s="12" t="s">
        <v>120</v>
      </c>
      <c r="F16" s="12" t="s">
        <v>155</v>
      </c>
      <c r="G16" s="13" t="s">
        <v>994</v>
      </c>
      <c r="H16" s="12" t="s">
        <v>86</v>
      </c>
      <c r="I16" s="12" t="s">
        <v>98</v>
      </c>
      <c r="J16" s="14" t="n">
        <v>46228</v>
      </c>
      <c r="K16" s="13" t="s">
        <v>995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996</v>
      </c>
      <c r="B17" s="12" t="s">
        <v>159</v>
      </c>
      <c r="C17" s="12" t="s">
        <v>44</v>
      </c>
      <c r="D17" s="13" t="s">
        <v>997</v>
      </c>
      <c r="E17" s="12" t="s">
        <v>120</v>
      </c>
      <c r="F17" s="12" t="s">
        <v>161</v>
      </c>
      <c r="G17" s="13" t="s">
        <v>998</v>
      </c>
      <c r="H17" s="12" t="s">
        <v>82</v>
      </c>
      <c r="I17" s="12" t="s">
        <v>98</v>
      </c>
      <c r="J17" s="14"/>
      <c r="K17" s="13" t="s">
        <v>889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999</v>
      </c>
      <c r="B18" s="12" t="s">
        <v>165</v>
      </c>
      <c r="C18" s="12" t="s">
        <v>44</v>
      </c>
      <c r="D18" s="13" t="s">
        <v>1000</v>
      </c>
      <c r="E18" s="12" t="s">
        <v>120</v>
      </c>
      <c r="F18" s="12" t="s">
        <v>161</v>
      </c>
      <c r="G18" s="13" t="s">
        <v>1001</v>
      </c>
      <c r="H18" s="12" t="s">
        <v>82</v>
      </c>
      <c r="I18" s="12" t="s">
        <v>98</v>
      </c>
      <c r="J18" s="14"/>
      <c r="K18" s="13" t="s">
        <v>790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1002</v>
      </c>
      <c r="B19" s="12" t="s">
        <v>648</v>
      </c>
      <c r="C19" s="12" t="s">
        <v>44</v>
      </c>
      <c r="D19" s="13" t="s">
        <v>1003</v>
      </c>
      <c r="E19" s="12" t="s">
        <v>120</v>
      </c>
      <c r="F19" s="12" t="s">
        <v>145</v>
      </c>
      <c r="G19" s="13" t="s">
        <v>989</v>
      </c>
      <c r="H19" s="12" t="s">
        <v>84</v>
      </c>
      <c r="I19" s="12" t="s">
        <v>99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1004</v>
      </c>
      <c r="B20" s="12" t="s">
        <v>173</v>
      </c>
      <c r="C20" s="12" t="s">
        <v>44</v>
      </c>
      <c r="D20" s="13" t="s">
        <v>1005</v>
      </c>
      <c r="E20" s="12" t="s">
        <v>120</v>
      </c>
      <c r="F20" s="12" t="s">
        <v>161</v>
      </c>
      <c r="G20" s="13" t="s">
        <v>998</v>
      </c>
      <c r="H20" s="12" t="s">
        <v>82</v>
      </c>
      <c r="I20" s="12" t="s">
        <v>98</v>
      </c>
      <c r="J20" s="14"/>
      <c r="K20" s="13" t="s">
        <v>894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1006</v>
      </c>
      <c r="B21" s="12" t="s">
        <v>177</v>
      </c>
      <c r="C21" s="12" t="s">
        <v>44</v>
      </c>
      <c r="D21" s="13" t="s">
        <v>1007</v>
      </c>
      <c r="E21" s="12" t="s">
        <v>120</v>
      </c>
      <c r="F21" s="12" t="s">
        <v>179</v>
      </c>
      <c r="G21" s="13" t="s">
        <v>1008</v>
      </c>
      <c r="H21" s="12" t="s">
        <v>84</v>
      </c>
      <c r="I21" s="12" t="s">
        <v>99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1009</v>
      </c>
      <c r="B22" s="12" t="s">
        <v>182</v>
      </c>
      <c r="C22" s="12" t="s">
        <v>44</v>
      </c>
      <c r="D22" s="13" t="s">
        <v>1010</v>
      </c>
      <c r="E22" s="12" t="s">
        <v>120</v>
      </c>
      <c r="F22" s="12" t="s">
        <v>179</v>
      </c>
      <c r="G22" s="13" t="s">
        <v>1011</v>
      </c>
      <c r="H22" s="12" t="s">
        <v>84</v>
      </c>
      <c r="I22" s="12" t="s">
        <v>99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1012</v>
      </c>
      <c r="B23" s="12" t="s">
        <v>186</v>
      </c>
      <c r="C23" s="12" t="s">
        <v>44</v>
      </c>
      <c r="D23" s="13" t="s">
        <v>1013</v>
      </c>
      <c r="E23" s="12" t="s">
        <v>188</v>
      </c>
      <c r="F23" s="12" t="s">
        <v>188</v>
      </c>
      <c r="G23" s="13" t="s">
        <v>189</v>
      </c>
      <c r="H23" s="12" t="s">
        <v>84</v>
      </c>
      <c r="I23" s="12" t="s">
        <v>99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1014</v>
      </c>
      <c r="B24" s="12" t="s">
        <v>608</v>
      </c>
      <c r="C24" s="12" t="s">
        <v>44</v>
      </c>
      <c r="D24" s="13" t="s">
        <v>1015</v>
      </c>
      <c r="E24" s="12" t="s">
        <v>120</v>
      </c>
      <c r="F24" s="12" t="s">
        <v>120</v>
      </c>
      <c r="G24" s="13" t="s">
        <v>1016</v>
      </c>
      <c r="H24" s="12" t="s">
        <v>84</v>
      </c>
      <c r="I24" s="12" t="s">
        <v>99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1017</v>
      </c>
      <c r="B25" s="12" t="s">
        <v>191</v>
      </c>
      <c r="C25" s="12" t="s">
        <v>44</v>
      </c>
      <c r="D25" s="13" t="s">
        <v>1018</v>
      </c>
      <c r="E25" s="12" t="s">
        <v>120</v>
      </c>
      <c r="F25" s="12" t="s">
        <v>120</v>
      </c>
      <c r="G25" s="13" t="s">
        <v>1019</v>
      </c>
      <c r="H25" s="12" t="s">
        <v>82</v>
      </c>
      <c r="I25" s="12" t="s">
        <v>98</v>
      </c>
      <c r="J25" s="14"/>
      <c r="K25" s="13" t="s">
        <v>1020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1021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1022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15</v>
      </c>
      <c r="D4" s="5" t="s">
        <v>102</v>
      </c>
      <c r="E4" s="6" t="n">
        <f aca="false">SUM(M9:M25)</f>
        <v>11</v>
      </c>
      <c r="G4" s="5" t="s">
        <v>13</v>
      </c>
      <c r="H4" s="7" t="n">
        <f aca="false">IF(B4=0,0,E4/B4)</f>
        <v>0.733333333333333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54" hidden="false" customHeight="true" outlineLevel="0" collapsed="false">
      <c r="A9" s="12" t="s">
        <v>1023</v>
      </c>
      <c r="B9" s="12" t="s">
        <v>117</v>
      </c>
      <c r="C9" s="12" t="s">
        <v>45</v>
      </c>
      <c r="D9" s="13" t="s">
        <v>1024</v>
      </c>
      <c r="E9" s="12" t="s">
        <v>120</v>
      </c>
      <c r="F9" s="12" t="s">
        <v>121</v>
      </c>
      <c r="G9" s="13" t="s">
        <v>1025</v>
      </c>
      <c r="H9" s="12" t="s">
        <v>84</v>
      </c>
      <c r="I9" s="12" t="s">
        <v>99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1026</v>
      </c>
      <c r="B10" s="12" t="s">
        <v>124</v>
      </c>
      <c r="C10" s="12" t="s">
        <v>45</v>
      </c>
      <c r="D10" s="13" t="s">
        <v>1027</v>
      </c>
      <c r="E10" s="12" t="s">
        <v>120</v>
      </c>
      <c r="F10" s="12" t="s">
        <v>120</v>
      </c>
      <c r="G10" s="13" t="s">
        <v>568</v>
      </c>
      <c r="H10" s="12" t="s">
        <v>84</v>
      </c>
      <c r="I10" s="12" t="s">
        <v>99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1028</v>
      </c>
      <c r="B11" s="12" t="s">
        <v>128</v>
      </c>
      <c r="C11" s="12" t="s">
        <v>45</v>
      </c>
      <c r="D11" s="13" t="s">
        <v>1029</v>
      </c>
      <c r="E11" s="12" t="s">
        <v>120</v>
      </c>
      <c r="F11" s="12" t="s">
        <v>130</v>
      </c>
      <c r="G11" s="13" t="s">
        <v>1030</v>
      </c>
      <c r="H11" s="12" t="s">
        <v>84</v>
      </c>
      <c r="I11" s="12" t="s">
        <v>99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1031</v>
      </c>
      <c r="B12" s="12" t="s">
        <v>133</v>
      </c>
      <c r="C12" s="12" t="s">
        <v>45</v>
      </c>
      <c r="D12" s="13" t="s">
        <v>1032</v>
      </c>
      <c r="E12" s="12" t="s">
        <v>120</v>
      </c>
      <c r="F12" s="12" t="s">
        <v>135</v>
      </c>
      <c r="G12" s="13" t="s">
        <v>1033</v>
      </c>
      <c r="H12" s="12" t="s">
        <v>84</v>
      </c>
      <c r="I12" s="12" t="s">
        <v>99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1034</v>
      </c>
      <c r="B13" s="12" t="s">
        <v>138</v>
      </c>
      <c r="C13" s="12" t="s">
        <v>45</v>
      </c>
      <c r="D13" s="13" t="s">
        <v>1035</v>
      </c>
      <c r="E13" s="12" t="s">
        <v>120</v>
      </c>
      <c r="F13" s="12" t="s">
        <v>140</v>
      </c>
      <c r="G13" s="13" t="s">
        <v>1036</v>
      </c>
      <c r="H13" s="12" t="s">
        <v>84</v>
      </c>
      <c r="I13" s="12" t="s">
        <v>99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1037</v>
      </c>
      <c r="B14" s="12" t="s">
        <v>143</v>
      </c>
      <c r="C14" s="12" t="s">
        <v>45</v>
      </c>
      <c r="D14" s="13" t="s">
        <v>1038</v>
      </c>
      <c r="E14" s="12" t="s">
        <v>120</v>
      </c>
      <c r="F14" s="12" t="s">
        <v>145</v>
      </c>
      <c r="G14" s="13" t="s">
        <v>1039</v>
      </c>
      <c r="H14" s="12" t="s">
        <v>84</v>
      </c>
      <c r="I14" s="12" t="s">
        <v>99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1040</v>
      </c>
      <c r="B15" s="12" t="s">
        <v>148</v>
      </c>
      <c r="C15" s="12" t="s">
        <v>45</v>
      </c>
      <c r="D15" s="13" t="s">
        <v>1041</v>
      </c>
      <c r="E15" s="12" t="s">
        <v>120</v>
      </c>
      <c r="F15" s="12" t="s">
        <v>150</v>
      </c>
      <c r="G15" s="13" t="s">
        <v>1039</v>
      </c>
      <c r="H15" s="12" t="s">
        <v>84</v>
      </c>
      <c r="I15" s="12" t="s">
        <v>99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1042</v>
      </c>
      <c r="B16" s="12" t="s">
        <v>153</v>
      </c>
      <c r="C16" s="12" t="s">
        <v>45</v>
      </c>
      <c r="D16" s="13" t="s">
        <v>1043</v>
      </c>
      <c r="E16" s="12" t="s">
        <v>120</v>
      </c>
      <c r="F16" s="12" t="s">
        <v>155</v>
      </c>
      <c r="G16" s="13" t="s">
        <v>1044</v>
      </c>
      <c r="H16" s="12" t="s">
        <v>82</v>
      </c>
      <c r="I16" s="12" t="s">
        <v>98</v>
      </c>
      <c r="J16" s="14" t="n">
        <v>46228</v>
      </c>
      <c r="K16" s="13" t="s">
        <v>1045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1046</v>
      </c>
      <c r="B17" s="12" t="s">
        <v>159</v>
      </c>
      <c r="C17" s="12" t="s">
        <v>45</v>
      </c>
      <c r="D17" s="13" t="s">
        <v>1047</v>
      </c>
      <c r="E17" s="12" t="s">
        <v>120</v>
      </c>
      <c r="F17" s="12" t="s">
        <v>161</v>
      </c>
      <c r="G17" s="13" t="s">
        <v>1048</v>
      </c>
      <c r="H17" s="12" t="s">
        <v>82</v>
      </c>
      <c r="I17" s="12" t="s">
        <v>98</v>
      </c>
      <c r="J17" s="14"/>
      <c r="K17" s="13" t="s">
        <v>1049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1050</v>
      </c>
      <c r="B18" s="12" t="s">
        <v>173</v>
      </c>
      <c r="C18" s="12" t="s">
        <v>45</v>
      </c>
      <c r="D18" s="13" t="s">
        <v>1051</v>
      </c>
      <c r="E18" s="12" t="s">
        <v>120</v>
      </c>
      <c r="F18" s="12" t="s">
        <v>161</v>
      </c>
      <c r="G18" s="13" t="s">
        <v>1048</v>
      </c>
      <c r="H18" s="12" t="s">
        <v>82</v>
      </c>
      <c r="I18" s="12" t="s">
        <v>98</v>
      </c>
      <c r="J18" s="14"/>
      <c r="K18" s="13" t="s">
        <v>1049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1052</v>
      </c>
      <c r="B19" s="12" t="s">
        <v>177</v>
      </c>
      <c r="C19" s="12" t="s">
        <v>45</v>
      </c>
      <c r="D19" s="13" t="s">
        <v>1053</v>
      </c>
      <c r="E19" s="12" t="s">
        <v>120</v>
      </c>
      <c r="F19" s="12" t="s">
        <v>179</v>
      </c>
      <c r="G19" s="13" t="s">
        <v>1054</v>
      </c>
      <c r="H19" s="12" t="s">
        <v>84</v>
      </c>
      <c r="I19" s="12" t="s">
        <v>99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1055</v>
      </c>
      <c r="B20" s="12" t="s">
        <v>182</v>
      </c>
      <c r="C20" s="12" t="s">
        <v>45</v>
      </c>
      <c r="D20" s="13" t="s">
        <v>1056</v>
      </c>
      <c r="E20" s="12" t="s">
        <v>120</v>
      </c>
      <c r="F20" s="12" t="s">
        <v>179</v>
      </c>
      <c r="G20" s="13" t="s">
        <v>1057</v>
      </c>
      <c r="H20" s="12" t="s">
        <v>84</v>
      </c>
      <c r="I20" s="12" t="s">
        <v>99</v>
      </c>
      <c r="J20" s="14" t="n">
        <v>46228</v>
      </c>
      <c r="K20" s="13" t="s">
        <v>894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1058</v>
      </c>
      <c r="B21" s="12" t="s">
        <v>186</v>
      </c>
      <c r="C21" s="12" t="s">
        <v>45</v>
      </c>
      <c r="D21" s="13" t="s">
        <v>1059</v>
      </c>
      <c r="E21" s="12" t="s">
        <v>188</v>
      </c>
      <c r="F21" s="12" t="s">
        <v>188</v>
      </c>
      <c r="G21" s="13" t="s">
        <v>189</v>
      </c>
      <c r="H21" s="12" t="s">
        <v>84</v>
      </c>
      <c r="I21" s="12" t="s">
        <v>99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1060</v>
      </c>
      <c r="B22" s="12" t="s">
        <v>608</v>
      </c>
      <c r="C22" s="12" t="s">
        <v>45</v>
      </c>
      <c r="D22" s="13" t="s">
        <v>1061</v>
      </c>
      <c r="E22" s="12" t="s">
        <v>120</v>
      </c>
      <c r="F22" s="12" t="s">
        <v>120</v>
      </c>
      <c r="G22" s="13" t="s">
        <v>1062</v>
      </c>
      <c r="H22" s="12" t="s">
        <v>84</v>
      </c>
      <c r="I22" s="12" t="s">
        <v>99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1063</v>
      </c>
      <c r="B23" s="12" t="s">
        <v>191</v>
      </c>
      <c r="C23" s="12" t="s">
        <v>45</v>
      </c>
      <c r="D23" s="13" t="s">
        <v>1018</v>
      </c>
      <c r="E23" s="12" t="s">
        <v>120</v>
      </c>
      <c r="F23" s="12" t="s">
        <v>120</v>
      </c>
      <c r="G23" s="13" t="s">
        <v>614</v>
      </c>
      <c r="H23" s="12" t="s">
        <v>82</v>
      </c>
      <c r="I23" s="12" t="s">
        <v>98</v>
      </c>
      <c r="J23" s="14" t="n">
        <v>46228</v>
      </c>
      <c r="K23" s="13" t="s">
        <v>1064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/>
      <c r="B24" s="12"/>
      <c r="C24" s="12"/>
      <c r="D24" s="13"/>
      <c r="E24" s="12"/>
      <c r="F24" s="12"/>
      <c r="G24" s="13"/>
      <c r="H24" s="12"/>
      <c r="I24" s="12"/>
      <c r="J24" s="14"/>
      <c r="K24" s="13"/>
      <c r="L24" s="12"/>
      <c r="M24" s="12"/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1065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1066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16</v>
      </c>
      <c r="D4" s="5" t="s">
        <v>102</v>
      </c>
      <c r="E4" s="6" t="n">
        <f aca="false">SUM(M9:M25)</f>
        <v>12</v>
      </c>
      <c r="G4" s="5" t="s">
        <v>13</v>
      </c>
      <c r="H4" s="7" t="n">
        <f aca="false">IF(B4=0,0,E4/B4)</f>
        <v>0.75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54" hidden="false" customHeight="true" outlineLevel="0" collapsed="false">
      <c r="A9" s="12" t="s">
        <v>1067</v>
      </c>
      <c r="B9" s="12" t="s">
        <v>117</v>
      </c>
      <c r="C9" s="12" t="s">
        <v>1068</v>
      </c>
      <c r="D9" s="13" t="s">
        <v>1069</v>
      </c>
      <c r="E9" s="12" t="s">
        <v>120</v>
      </c>
      <c r="F9" s="12" t="s">
        <v>121</v>
      </c>
      <c r="G9" s="13" t="s">
        <v>1070</v>
      </c>
      <c r="H9" s="12" t="s">
        <v>84</v>
      </c>
      <c r="I9" s="12" t="s">
        <v>99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1071</v>
      </c>
      <c r="B10" s="12" t="s">
        <v>168</v>
      </c>
      <c r="C10" s="12" t="s">
        <v>1072</v>
      </c>
      <c r="D10" s="13" t="s">
        <v>1073</v>
      </c>
      <c r="E10" s="12" t="s">
        <v>120</v>
      </c>
      <c r="F10" s="12" t="s">
        <v>140</v>
      </c>
      <c r="G10" s="13" t="s">
        <v>1074</v>
      </c>
      <c r="H10" s="12" t="s">
        <v>84</v>
      </c>
      <c r="I10" s="12" t="s">
        <v>99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1075</v>
      </c>
      <c r="B11" s="12" t="s">
        <v>1076</v>
      </c>
      <c r="C11" s="12" t="s">
        <v>1077</v>
      </c>
      <c r="D11" s="13" t="s">
        <v>1078</v>
      </c>
      <c r="E11" s="12" t="s">
        <v>120</v>
      </c>
      <c r="F11" s="12" t="s">
        <v>140</v>
      </c>
      <c r="G11" s="13" t="s">
        <v>1074</v>
      </c>
      <c r="H11" s="12" t="s">
        <v>84</v>
      </c>
      <c r="I11" s="12" t="s">
        <v>99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1079</v>
      </c>
      <c r="B12" s="12" t="s">
        <v>124</v>
      </c>
      <c r="C12" s="12" t="s">
        <v>46</v>
      </c>
      <c r="D12" s="13" t="s">
        <v>1080</v>
      </c>
      <c r="E12" s="12" t="s">
        <v>120</v>
      </c>
      <c r="F12" s="12" t="s">
        <v>120</v>
      </c>
      <c r="G12" s="13" t="s">
        <v>568</v>
      </c>
      <c r="H12" s="12" t="s">
        <v>84</v>
      </c>
      <c r="I12" s="12" t="s">
        <v>99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1081</v>
      </c>
      <c r="B13" s="12" t="s">
        <v>128</v>
      </c>
      <c r="C13" s="12" t="s">
        <v>46</v>
      </c>
      <c r="D13" s="13" t="s">
        <v>1082</v>
      </c>
      <c r="E13" s="12" t="s">
        <v>120</v>
      </c>
      <c r="F13" s="12" t="s">
        <v>130</v>
      </c>
      <c r="G13" s="13" t="s">
        <v>1083</v>
      </c>
      <c r="H13" s="12" t="s">
        <v>84</v>
      </c>
      <c r="I13" s="12" t="s">
        <v>99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1084</v>
      </c>
      <c r="B14" s="12" t="s">
        <v>133</v>
      </c>
      <c r="C14" s="12" t="s">
        <v>46</v>
      </c>
      <c r="D14" s="13" t="s">
        <v>1085</v>
      </c>
      <c r="E14" s="12" t="s">
        <v>120</v>
      </c>
      <c r="F14" s="12" t="s">
        <v>135</v>
      </c>
      <c r="G14" s="13" t="s">
        <v>1086</v>
      </c>
      <c r="H14" s="12" t="s">
        <v>84</v>
      </c>
      <c r="I14" s="12" t="s">
        <v>99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1087</v>
      </c>
      <c r="B15" s="12" t="s">
        <v>143</v>
      </c>
      <c r="C15" s="12" t="s">
        <v>46</v>
      </c>
      <c r="D15" s="13" t="s">
        <v>1088</v>
      </c>
      <c r="E15" s="12" t="s">
        <v>120</v>
      </c>
      <c r="F15" s="12" t="s">
        <v>145</v>
      </c>
      <c r="G15" s="13" t="s">
        <v>1089</v>
      </c>
      <c r="H15" s="12" t="s">
        <v>84</v>
      </c>
      <c r="I15" s="12" t="s">
        <v>99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1090</v>
      </c>
      <c r="B16" s="12" t="s">
        <v>148</v>
      </c>
      <c r="C16" s="12" t="s">
        <v>1091</v>
      </c>
      <c r="D16" s="13" t="s">
        <v>1092</v>
      </c>
      <c r="E16" s="12" t="s">
        <v>120</v>
      </c>
      <c r="F16" s="12" t="s">
        <v>150</v>
      </c>
      <c r="G16" s="13" t="s">
        <v>1089</v>
      </c>
      <c r="H16" s="12" t="s">
        <v>84</v>
      </c>
      <c r="I16" s="12" t="s">
        <v>99</v>
      </c>
      <c r="J16" s="14" t="n">
        <v>46228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1093</v>
      </c>
      <c r="B17" s="12" t="s">
        <v>153</v>
      </c>
      <c r="C17" s="12" t="s">
        <v>46</v>
      </c>
      <c r="D17" s="13" t="s">
        <v>1094</v>
      </c>
      <c r="E17" s="12" t="s">
        <v>120</v>
      </c>
      <c r="F17" s="12" t="s">
        <v>155</v>
      </c>
      <c r="G17" s="13" t="s">
        <v>1095</v>
      </c>
      <c r="H17" s="12" t="s">
        <v>82</v>
      </c>
      <c r="I17" s="12" t="s">
        <v>98</v>
      </c>
      <c r="J17" s="14"/>
      <c r="K17" s="13" t="s">
        <v>1045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1096</v>
      </c>
      <c r="B18" s="12" t="s">
        <v>159</v>
      </c>
      <c r="C18" s="12" t="s">
        <v>46</v>
      </c>
      <c r="D18" s="13" t="s">
        <v>1097</v>
      </c>
      <c r="E18" s="12" t="s">
        <v>120</v>
      </c>
      <c r="F18" s="12" t="s">
        <v>161</v>
      </c>
      <c r="G18" s="13" t="s">
        <v>1098</v>
      </c>
      <c r="H18" s="12" t="s">
        <v>82</v>
      </c>
      <c r="I18" s="12" t="s">
        <v>98</v>
      </c>
      <c r="J18" s="14"/>
      <c r="K18" s="13" t="s">
        <v>1049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1099</v>
      </c>
      <c r="B19" s="12" t="s">
        <v>173</v>
      </c>
      <c r="C19" s="12" t="s">
        <v>46</v>
      </c>
      <c r="D19" s="13" t="s">
        <v>1100</v>
      </c>
      <c r="E19" s="12" t="s">
        <v>120</v>
      </c>
      <c r="F19" s="12" t="s">
        <v>161</v>
      </c>
      <c r="G19" s="13" t="s">
        <v>1098</v>
      </c>
      <c r="H19" s="12" t="s">
        <v>82</v>
      </c>
      <c r="I19" s="12" t="s">
        <v>98</v>
      </c>
      <c r="J19" s="14" t="n">
        <v>46228</v>
      </c>
      <c r="K19" s="13" t="s">
        <v>1049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1101</v>
      </c>
      <c r="B20" s="12" t="s">
        <v>177</v>
      </c>
      <c r="C20" s="12" t="s">
        <v>46</v>
      </c>
      <c r="D20" s="13" t="s">
        <v>1102</v>
      </c>
      <c r="E20" s="12" t="s">
        <v>120</v>
      </c>
      <c r="F20" s="12" t="s">
        <v>179</v>
      </c>
      <c r="G20" s="13" t="s">
        <v>1103</v>
      </c>
      <c r="H20" s="12" t="s">
        <v>84</v>
      </c>
      <c r="I20" s="12" t="s">
        <v>99</v>
      </c>
      <c r="J20" s="14" t="n">
        <v>46228</v>
      </c>
      <c r="K20" s="13" t="s">
        <v>894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1104</v>
      </c>
      <c r="B21" s="12" t="s">
        <v>182</v>
      </c>
      <c r="C21" s="12" t="s">
        <v>46</v>
      </c>
      <c r="D21" s="13" t="s">
        <v>1105</v>
      </c>
      <c r="E21" s="12" t="s">
        <v>120</v>
      </c>
      <c r="F21" s="12" t="s">
        <v>179</v>
      </c>
      <c r="G21" s="13" t="s">
        <v>1106</v>
      </c>
      <c r="H21" s="12" t="s">
        <v>84</v>
      </c>
      <c r="I21" s="12" t="s">
        <v>99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1107</v>
      </c>
      <c r="B22" s="12" t="s">
        <v>186</v>
      </c>
      <c r="C22" s="12" t="s">
        <v>46</v>
      </c>
      <c r="D22" s="13" t="s">
        <v>1108</v>
      </c>
      <c r="E22" s="12" t="s">
        <v>188</v>
      </c>
      <c r="F22" s="12" t="s">
        <v>188</v>
      </c>
      <c r="G22" s="13" t="s">
        <v>189</v>
      </c>
      <c r="H22" s="12" t="s">
        <v>84</v>
      </c>
      <c r="I22" s="12" t="s">
        <v>99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1109</v>
      </c>
      <c r="B23" s="12" t="s">
        <v>608</v>
      </c>
      <c r="C23" s="12" t="s">
        <v>46</v>
      </c>
      <c r="D23" s="13" t="s">
        <v>1110</v>
      </c>
      <c r="E23" s="12" t="s">
        <v>120</v>
      </c>
      <c r="F23" s="12" t="s">
        <v>120</v>
      </c>
      <c r="G23" s="13" t="s">
        <v>1062</v>
      </c>
      <c r="H23" s="12" t="s">
        <v>84</v>
      </c>
      <c r="I23" s="12" t="s">
        <v>99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1111</v>
      </c>
      <c r="B24" s="12" t="s">
        <v>191</v>
      </c>
      <c r="C24" s="12" t="s">
        <v>46</v>
      </c>
      <c r="D24" s="13" t="s">
        <v>1112</v>
      </c>
      <c r="E24" s="12" t="s">
        <v>120</v>
      </c>
      <c r="F24" s="12" t="s">
        <v>120</v>
      </c>
      <c r="G24" s="13" t="s">
        <v>614</v>
      </c>
      <c r="H24" s="12" t="s">
        <v>82</v>
      </c>
      <c r="I24" s="12" t="s">
        <v>98</v>
      </c>
      <c r="J24" s="14" t="n">
        <v>46228</v>
      </c>
      <c r="K24" s="13" t="s">
        <v>1064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1113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16</v>
      </c>
      <c r="D4" s="5" t="s">
        <v>102</v>
      </c>
      <c r="E4" s="6" t="n">
        <f aca="false">SUM(M9:M25)</f>
        <v>16</v>
      </c>
      <c r="G4" s="5" t="s">
        <v>13</v>
      </c>
      <c r="H4" s="7" t="n">
        <f aca="false">IF(B4=0,0,E4/B4)</f>
        <v>1</v>
      </c>
      <c r="J4" s="5" t="s">
        <v>14</v>
      </c>
      <c r="K4" s="6" t="str">
        <f aca="false">IF(COUNTIFS(E9:E25,"package",M9:M25,0)&gt;0,"open","complete")</f>
        <v>complete</v>
      </c>
    </row>
    <row r="5" customFormat="false" ht="17.25" hidden="false" customHeight="true" outlineLevel="0" collapsed="false">
      <c r="A5" s="5" t="s">
        <v>103</v>
      </c>
      <c r="B5" s="6" t="str">
        <f aca="false">IF(COUNTIFS(I9:I25,"yes",M9:M25,0)&gt;0,"open","complete")</f>
        <v>complete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54" hidden="false" customHeight="true" outlineLevel="0" collapsed="false">
      <c r="A9" s="12" t="s">
        <v>1115</v>
      </c>
      <c r="B9" s="12" t="s">
        <v>117</v>
      </c>
      <c r="C9" s="12" t="s">
        <v>1068</v>
      </c>
      <c r="D9" s="13" t="s">
        <v>1116</v>
      </c>
      <c r="E9" s="12" t="s">
        <v>120</v>
      </c>
      <c r="F9" s="12" t="s">
        <v>121</v>
      </c>
      <c r="G9" s="13" t="s">
        <v>1070</v>
      </c>
      <c r="H9" s="12" t="s">
        <v>84</v>
      </c>
      <c r="I9" s="12" t="s">
        <v>99</v>
      </c>
      <c r="J9" s="14" t="s">
        <v>120</v>
      </c>
      <c r="K9" s="13" t="s">
        <v>1117</v>
      </c>
      <c r="L9" s="12"/>
      <c r="M9" s="12" t="n">
        <f aca="false">IF(OR(H9="not started",H9="partial"),0,1)</f>
        <v>1</v>
      </c>
    </row>
    <row r="10" customFormat="false" ht="54" hidden="false" customHeight="true" outlineLevel="0" collapsed="false">
      <c r="A10" s="12" t="s">
        <v>1118</v>
      </c>
      <c r="B10" s="12" t="s">
        <v>1119</v>
      </c>
      <c r="C10" s="12" t="s">
        <v>768</v>
      </c>
      <c r="D10" s="13" t="s">
        <v>1120</v>
      </c>
      <c r="E10" s="12" t="s">
        <v>120</v>
      </c>
      <c r="F10" s="12" t="s">
        <v>140</v>
      </c>
      <c r="G10" s="13" t="s">
        <v>1074</v>
      </c>
      <c r="H10" s="12" t="s">
        <v>84</v>
      </c>
      <c r="I10" s="12" t="s">
        <v>99</v>
      </c>
      <c r="J10" s="14" t="s">
        <v>120</v>
      </c>
      <c r="K10" s="13" t="s">
        <v>1117</v>
      </c>
      <c r="L10" s="12"/>
      <c r="M10" s="12" t="n">
        <f aca="false">IF(OR(H10="not started",H10="partial"),0,1)</f>
        <v>1</v>
      </c>
    </row>
    <row r="11" customFormat="false" ht="54" hidden="false" customHeight="true" outlineLevel="0" collapsed="false">
      <c r="A11" s="12" t="s">
        <v>1121</v>
      </c>
      <c r="B11" s="12" t="s">
        <v>1072</v>
      </c>
      <c r="C11" s="12" t="s">
        <v>32</v>
      </c>
      <c r="D11" s="13" t="s">
        <v>1122</v>
      </c>
      <c r="E11" s="12" t="s">
        <v>120</v>
      </c>
      <c r="F11" s="12" t="s">
        <v>140</v>
      </c>
      <c r="G11" s="13" t="s">
        <v>1074</v>
      </c>
      <c r="H11" s="12" t="s">
        <v>84</v>
      </c>
      <c r="I11" s="12" t="s">
        <v>99</v>
      </c>
      <c r="J11" s="14" t="s">
        <v>120</v>
      </c>
      <c r="K11" s="13" t="s">
        <v>1117</v>
      </c>
      <c r="L11" s="12"/>
      <c r="M11" s="12" t="n">
        <f aca="false">IF(OR(H11="not started",H11="partial"),0,1)</f>
        <v>1</v>
      </c>
    </row>
    <row r="12" customFormat="false" ht="54" hidden="false" customHeight="true" outlineLevel="0" collapsed="false">
      <c r="A12" s="12" t="s">
        <v>1123</v>
      </c>
      <c r="B12" s="12" t="s">
        <v>1124</v>
      </c>
      <c r="C12" s="12" t="s">
        <v>1125</v>
      </c>
      <c r="D12" s="13" t="s">
        <v>1126</v>
      </c>
      <c r="E12" s="12" t="s">
        <v>120</v>
      </c>
      <c r="F12" s="12" t="s">
        <v>120</v>
      </c>
      <c r="G12" s="13" t="s">
        <v>568</v>
      </c>
      <c r="H12" s="12" t="s">
        <v>84</v>
      </c>
      <c r="I12" s="12" t="s">
        <v>99</v>
      </c>
      <c r="J12" s="14" t="s">
        <v>120</v>
      </c>
      <c r="K12" s="13" t="s">
        <v>1117</v>
      </c>
      <c r="L12" s="12"/>
      <c r="M12" s="12" t="n">
        <f aca="false">IF(OR(H12="not started",H12="partial"),0,1)</f>
        <v>1</v>
      </c>
    </row>
    <row r="13" customFormat="false" ht="54" hidden="false" customHeight="true" outlineLevel="0" collapsed="false">
      <c r="A13" s="12" t="s">
        <v>1127</v>
      </c>
      <c r="B13" s="12" t="s">
        <v>124</v>
      </c>
      <c r="C13" s="12" t="s">
        <v>47</v>
      </c>
      <c r="D13" s="13" t="s">
        <v>1128</v>
      </c>
      <c r="E13" s="12" t="s">
        <v>120</v>
      </c>
      <c r="F13" s="12" t="s">
        <v>130</v>
      </c>
      <c r="G13" s="13" t="s">
        <v>1083</v>
      </c>
      <c r="H13" s="12" t="s">
        <v>84</v>
      </c>
      <c r="I13" s="12" t="s">
        <v>99</v>
      </c>
      <c r="J13" s="14" t="s">
        <v>120</v>
      </c>
      <c r="K13" s="13" t="s">
        <v>1117</v>
      </c>
      <c r="L13" s="12"/>
      <c r="M13" s="12" t="n">
        <f aca="false">IF(OR(H13="not started",H13="partial"),0,1)</f>
        <v>1</v>
      </c>
    </row>
    <row r="14" customFormat="false" ht="54" hidden="false" customHeight="true" outlineLevel="0" collapsed="false">
      <c r="A14" s="12" t="s">
        <v>1129</v>
      </c>
      <c r="B14" s="12" t="s">
        <v>128</v>
      </c>
      <c r="C14" s="12" t="s">
        <v>47</v>
      </c>
      <c r="D14" s="13" t="s">
        <v>1130</v>
      </c>
      <c r="E14" s="12" t="s">
        <v>120</v>
      </c>
      <c r="F14" s="12" t="s">
        <v>135</v>
      </c>
      <c r="G14" s="13" t="s">
        <v>1086</v>
      </c>
      <c r="H14" s="12" t="s">
        <v>84</v>
      </c>
      <c r="I14" s="12" t="s">
        <v>99</v>
      </c>
      <c r="J14" s="14" t="s">
        <v>120</v>
      </c>
      <c r="K14" s="13" t="s">
        <v>1117</v>
      </c>
      <c r="L14" s="12"/>
      <c r="M14" s="12" t="n">
        <f aca="false">IF(OR(H14="not started",H14="partial"),0,1)</f>
        <v>1</v>
      </c>
    </row>
    <row r="15" customFormat="false" ht="54" hidden="false" customHeight="true" outlineLevel="0" collapsed="false">
      <c r="A15" s="12" t="s">
        <v>1131</v>
      </c>
      <c r="B15" s="12" t="s">
        <v>133</v>
      </c>
      <c r="C15" s="12" t="s">
        <v>47</v>
      </c>
      <c r="D15" s="13" t="s">
        <v>1132</v>
      </c>
      <c r="E15" s="12" t="s">
        <v>120</v>
      </c>
      <c r="F15" s="12" t="s">
        <v>145</v>
      </c>
      <c r="G15" s="13" t="s">
        <v>1089</v>
      </c>
      <c r="H15" s="12" t="s">
        <v>84</v>
      </c>
      <c r="I15" s="12" t="s">
        <v>99</v>
      </c>
      <c r="J15" s="14" t="s">
        <v>120</v>
      </c>
      <c r="K15" s="13" t="s">
        <v>1117</v>
      </c>
      <c r="L15" s="12"/>
      <c r="M15" s="12" t="n">
        <f aca="false">IF(OR(H15="not started",H15="partial"),0,1)</f>
        <v>1</v>
      </c>
    </row>
    <row r="16" customFormat="false" ht="54" hidden="false" customHeight="true" outlineLevel="0" collapsed="false">
      <c r="A16" s="12" t="s">
        <v>1133</v>
      </c>
      <c r="B16" s="12" t="s">
        <v>143</v>
      </c>
      <c r="C16" s="12" t="s">
        <v>47</v>
      </c>
      <c r="D16" s="13" t="s">
        <v>1134</v>
      </c>
      <c r="E16" s="12" t="s">
        <v>120</v>
      </c>
      <c r="F16" s="12" t="s">
        <v>150</v>
      </c>
      <c r="G16" s="13" t="s">
        <v>1089</v>
      </c>
      <c r="H16" s="12" t="s">
        <v>84</v>
      </c>
      <c r="I16" s="12" t="s">
        <v>99</v>
      </c>
      <c r="J16" s="14" t="s">
        <v>120</v>
      </c>
      <c r="K16" s="13" t="s">
        <v>1117</v>
      </c>
      <c r="L16" s="12"/>
      <c r="M16" s="12" t="n">
        <f aca="false">IF(OR(H16="not started",H16="partial"),0,1)</f>
        <v>1</v>
      </c>
    </row>
    <row r="17" customFormat="false" ht="54" hidden="false" customHeight="true" outlineLevel="0" collapsed="false">
      <c r="A17" s="12" t="s">
        <v>1135</v>
      </c>
      <c r="B17" s="12" t="s">
        <v>148</v>
      </c>
      <c r="C17" s="12" t="s">
        <v>1136</v>
      </c>
      <c r="D17" s="13" t="s">
        <v>1137</v>
      </c>
      <c r="E17" s="12" t="s">
        <v>120</v>
      </c>
      <c r="F17" s="12" t="s">
        <v>155</v>
      </c>
      <c r="G17" s="13" t="s">
        <v>1095</v>
      </c>
      <c r="H17" s="12" t="s">
        <v>84</v>
      </c>
      <c r="I17" s="12" t="s">
        <v>98</v>
      </c>
      <c r="J17" s="14" t="s">
        <v>120</v>
      </c>
      <c r="K17" s="13" t="s">
        <v>1117</v>
      </c>
      <c r="L17" s="12"/>
      <c r="M17" s="12" t="n">
        <f aca="false">IF(OR(H17="not started",H17="partial"),0,1)</f>
        <v>1</v>
      </c>
    </row>
    <row r="18" customFormat="false" ht="54" hidden="false" customHeight="true" outlineLevel="0" collapsed="false">
      <c r="A18" s="12" t="s">
        <v>1138</v>
      </c>
      <c r="B18" s="12" t="s">
        <v>153</v>
      </c>
      <c r="C18" s="12" t="s">
        <v>47</v>
      </c>
      <c r="D18" s="13" t="s">
        <v>1139</v>
      </c>
      <c r="E18" s="12" t="s">
        <v>120</v>
      </c>
      <c r="F18" s="12" t="s">
        <v>161</v>
      </c>
      <c r="G18" s="13" t="s">
        <v>1098</v>
      </c>
      <c r="H18" s="12" t="s">
        <v>84</v>
      </c>
      <c r="I18" s="12" t="s">
        <v>98</v>
      </c>
      <c r="J18" s="14" t="s">
        <v>120</v>
      </c>
      <c r="K18" s="13" t="s">
        <v>1117</v>
      </c>
      <c r="L18" s="12"/>
      <c r="M18" s="12" t="n">
        <f aca="false">IF(OR(H18="not started",H18="partial"),0,1)</f>
        <v>1</v>
      </c>
    </row>
    <row r="19" customFormat="false" ht="54" hidden="false" customHeight="true" outlineLevel="0" collapsed="false">
      <c r="A19" s="12" t="s">
        <v>1140</v>
      </c>
      <c r="B19" s="12" t="s">
        <v>173</v>
      </c>
      <c r="C19" s="12" t="s">
        <v>47</v>
      </c>
      <c r="D19" s="13" t="s">
        <v>1141</v>
      </c>
      <c r="E19" s="12" t="s">
        <v>120</v>
      </c>
      <c r="F19" s="12" t="s">
        <v>161</v>
      </c>
      <c r="G19" s="13" t="s">
        <v>1098</v>
      </c>
      <c r="H19" s="12" t="s">
        <v>84</v>
      </c>
      <c r="I19" s="12" t="s">
        <v>98</v>
      </c>
      <c r="J19" s="14" t="s">
        <v>120</v>
      </c>
      <c r="K19" s="13" t="s">
        <v>1142</v>
      </c>
      <c r="L19" s="12"/>
      <c r="M19" s="12" t="n">
        <f aca="false">IF(OR(H19="not started",H19="partial"),0,1)</f>
        <v>1</v>
      </c>
    </row>
    <row r="20" customFormat="false" ht="54" hidden="false" customHeight="true" outlineLevel="0" collapsed="false">
      <c r="A20" s="12" t="s">
        <v>1143</v>
      </c>
      <c r="B20" s="12" t="s">
        <v>177</v>
      </c>
      <c r="C20" s="12" t="s">
        <v>47</v>
      </c>
      <c r="D20" s="13" t="s">
        <v>1144</v>
      </c>
      <c r="E20" s="12" t="s">
        <v>120</v>
      </c>
      <c r="F20" s="12" t="s">
        <v>179</v>
      </c>
      <c r="G20" s="13" t="s">
        <v>1103</v>
      </c>
      <c r="H20" s="12" t="s">
        <v>84</v>
      </c>
      <c r="I20" s="12" t="s">
        <v>99</v>
      </c>
      <c r="J20" s="14" t="s">
        <v>120</v>
      </c>
      <c r="K20" s="13" t="s">
        <v>1117</v>
      </c>
      <c r="L20" s="12"/>
      <c r="M20" s="12" t="n">
        <f aca="false">IF(OR(H20="not started",H20="partial"),0,1)</f>
        <v>1</v>
      </c>
    </row>
    <row r="21" customFormat="false" ht="54" hidden="false" customHeight="true" outlineLevel="0" collapsed="false">
      <c r="A21" s="12" t="s">
        <v>1145</v>
      </c>
      <c r="B21" s="12" t="s">
        <v>182</v>
      </c>
      <c r="C21" s="12" t="s">
        <v>47</v>
      </c>
      <c r="D21" s="13" t="s">
        <v>1146</v>
      </c>
      <c r="E21" s="12" t="s">
        <v>120</v>
      </c>
      <c r="F21" s="12" t="s">
        <v>179</v>
      </c>
      <c r="G21" s="13" t="s">
        <v>1106</v>
      </c>
      <c r="H21" s="12" t="s">
        <v>84</v>
      </c>
      <c r="I21" s="12" t="s">
        <v>99</v>
      </c>
      <c r="J21" s="14" t="s">
        <v>120</v>
      </c>
      <c r="K21" s="13" t="s">
        <v>1117</v>
      </c>
      <c r="L21" s="12"/>
      <c r="M21" s="12" t="n">
        <f aca="false">IF(OR(H21="not started",H21="partial"),0,1)</f>
        <v>1</v>
      </c>
    </row>
    <row r="22" customFormat="false" ht="54" hidden="false" customHeight="true" outlineLevel="0" collapsed="false">
      <c r="A22" s="12" t="s">
        <v>1147</v>
      </c>
      <c r="B22" s="12" t="s">
        <v>186</v>
      </c>
      <c r="C22" s="12" t="s">
        <v>47</v>
      </c>
      <c r="D22" s="13" t="s">
        <v>1148</v>
      </c>
      <c r="E22" s="12" t="s">
        <v>188</v>
      </c>
      <c r="F22" s="12" t="s">
        <v>188</v>
      </c>
      <c r="G22" s="13" t="s">
        <v>189</v>
      </c>
      <c r="H22" s="12" t="s">
        <v>84</v>
      </c>
      <c r="I22" s="12" t="s">
        <v>99</v>
      </c>
      <c r="J22" s="14" t="s">
        <v>120</v>
      </c>
      <c r="K22" s="13" t="s">
        <v>1117</v>
      </c>
      <c r="L22" s="12"/>
      <c r="M22" s="12" t="n">
        <f aca="false">IF(OR(H22="not started",H22="partial"),0,1)</f>
        <v>1</v>
      </c>
    </row>
    <row r="23" customFormat="false" ht="54" hidden="false" customHeight="true" outlineLevel="0" collapsed="false">
      <c r="A23" s="12" t="s">
        <v>1149</v>
      </c>
      <c r="B23" s="12" t="s">
        <v>608</v>
      </c>
      <c r="C23" s="12" t="s">
        <v>47</v>
      </c>
      <c r="D23" s="13" t="s">
        <v>1150</v>
      </c>
      <c r="E23" s="12" t="s">
        <v>120</v>
      </c>
      <c r="F23" s="12" t="s">
        <v>120</v>
      </c>
      <c r="G23" s="13" t="s">
        <v>1062</v>
      </c>
      <c r="H23" s="12" t="s">
        <v>84</v>
      </c>
      <c r="I23" s="12" t="s">
        <v>99</v>
      </c>
      <c r="J23" s="14" t="s">
        <v>120</v>
      </c>
      <c r="K23" s="13" t="s">
        <v>1117</v>
      </c>
      <c r="L23" s="12"/>
      <c r="M23" s="12" t="n">
        <f aca="false">IF(OR(H23="not started",H23="partial"),0,1)</f>
        <v>1</v>
      </c>
    </row>
    <row r="24" customFormat="false" ht="54" hidden="false" customHeight="true" outlineLevel="0" collapsed="false">
      <c r="A24" s="12" t="s">
        <v>1151</v>
      </c>
      <c r="B24" s="12" t="s">
        <v>191</v>
      </c>
      <c r="C24" s="12" t="s">
        <v>47</v>
      </c>
      <c r="D24" s="13" t="s">
        <v>1112</v>
      </c>
      <c r="E24" s="12" t="s">
        <v>120</v>
      </c>
      <c r="F24" s="12" t="s">
        <v>120</v>
      </c>
      <c r="G24" s="13" t="s">
        <v>614</v>
      </c>
      <c r="H24" s="12" t="s">
        <v>84</v>
      </c>
      <c r="I24" s="12" t="s">
        <v>99</v>
      </c>
      <c r="J24" s="14" t="s">
        <v>120</v>
      </c>
      <c r="K24" s="13" t="s">
        <v>1117</v>
      </c>
      <c r="L24" s="12"/>
      <c r="M24" s="12" t="n">
        <f aca="false">IF(OR(H24="not started",H24="partial"),0,1)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1152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1153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16</v>
      </c>
      <c r="D4" s="5" t="s">
        <v>102</v>
      </c>
      <c r="E4" s="6" t="n">
        <f aca="false">SUM(M9:M25)</f>
        <v>13</v>
      </c>
      <c r="G4" s="5" t="s">
        <v>13</v>
      </c>
      <c r="H4" s="7" t="n">
        <f aca="false">IF(B4=0,0,E4/B4)</f>
        <v>0.8125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54" hidden="false" customHeight="true" outlineLevel="0" collapsed="false">
      <c r="A9" s="12" t="s">
        <v>1154</v>
      </c>
      <c r="B9" s="12" t="s">
        <v>117</v>
      </c>
      <c r="C9" s="12" t="s">
        <v>1155</v>
      </c>
      <c r="D9" s="13" t="s">
        <v>1156</v>
      </c>
      <c r="E9" s="12" t="s">
        <v>120</v>
      </c>
      <c r="F9" s="12" t="s">
        <v>121</v>
      </c>
      <c r="G9" s="13" t="s">
        <v>1157</v>
      </c>
      <c r="H9" s="12" t="s">
        <v>84</v>
      </c>
      <c r="I9" s="12" t="s">
        <v>99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1158</v>
      </c>
      <c r="B10" s="12" t="s">
        <v>1159</v>
      </c>
      <c r="C10" s="12" t="s">
        <v>768</v>
      </c>
      <c r="D10" s="13" t="s">
        <v>1160</v>
      </c>
      <c r="E10" s="12" t="s">
        <v>120</v>
      </c>
      <c r="F10" s="12" t="s">
        <v>140</v>
      </c>
      <c r="G10" s="13" t="s">
        <v>1161</v>
      </c>
      <c r="H10" s="12" t="s">
        <v>84</v>
      </c>
      <c r="I10" s="12" t="s">
        <v>99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1162</v>
      </c>
      <c r="B11" s="12" t="s">
        <v>1119</v>
      </c>
      <c r="C11" s="12" t="s">
        <v>1163</v>
      </c>
      <c r="D11" s="13" t="s">
        <v>1164</v>
      </c>
      <c r="E11" s="12" t="s">
        <v>120</v>
      </c>
      <c r="F11" s="12" t="s">
        <v>145</v>
      </c>
      <c r="G11" s="13" t="s">
        <v>1165</v>
      </c>
      <c r="H11" s="12" t="s">
        <v>84</v>
      </c>
      <c r="I11" s="12" t="s">
        <v>99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1166</v>
      </c>
      <c r="B12" s="12" t="s">
        <v>148</v>
      </c>
      <c r="C12" s="12" t="s">
        <v>1167</v>
      </c>
      <c r="D12" s="13" t="s">
        <v>1168</v>
      </c>
      <c r="E12" s="12" t="s">
        <v>120</v>
      </c>
      <c r="F12" s="12" t="s">
        <v>145</v>
      </c>
      <c r="G12" s="13" t="s">
        <v>1165</v>
      </c>
      <c r="H12" s="12" t="s">
        <v>84</v>
      </c>
      <c r="I12" s="12" t="s">
        <v>99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1169</v>
      </c>
      <c r="B13" s="12" t="s">
        <v>168</v>
      </c>
      <c r="C13" s="12" t="s">
        <v>1170</v>
      </c>
      <c r="D13" s="13" t="s">
        <v>1171</v>
      </c>
      <c r="E13" s="12" t="s">
        <v>120</v>
      </c>
      <c r="F13" s="12" t="s">
        <v>140</v>
      </c>
      <c r="G13" s="13" t="s">
        <v>1161</v>
      </c>
      <c r="H13" s="12" t="s">
        <v>84</v>
      </c>
      <c r="I13" s="12" t="s">
        <v>99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1172</v>
      </c>
      <c r="B14" s="12" t="s">
        <v>124</v>
      </c>
      <c r="C14" s="12" t="s">
        <v>48</v>
      </c>
      <c r="D14" s="13" t="s">
        <v>1173</v>
      </c>
      <c r="E14" s="12" t="s">
        <v>120</v>
      </c>
      <c r="F14" s="12" t="s">
        <v>120</v>
      </c>
      <c r="G14" s="13" t="s">
        <v>126</v>
      </c>
      <c r="H14" s="12" t="s">
        <v>84</v>
      </c>
      <c r="I14" s="12" t="s">
        <v>99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1174</v>
      </c>
      <c r="B15" s="12" t="s">
        <v>128</v>
      </c>
      <c r="C15" s="12" t="s">
        <v>48</v>
      </c>
      <c r="D15" s="13" t="s">
        <v>1175</v>
      </c>
      <c r="E15" s="12" t="s">
        <v>120</v>
      </c>
      <c r="F15" s="12" t="s">
        <v>130</v>
      </c>
      <c r="G15" s="13" t="s">
        <v>1176</v>
      </c>
      <c r="H15" s="12" t="s">
        <v>84</v>
      </c>
      <c r="I15" s="12" t="s">
        <v>99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1177</v>
      </c>
      <c r="B16" s="12" t="s">
        <v>133</v>
      </c>
      <c r="C16" s="12" t="s">
        <v>48</v>
      </c>
      <c r="D16" s="13" t="s">
        <v>1178</v>
      </c>
      <c r="E16" s="12" t="s">
        <v>120</v>
      </c>
      <c r="F16" s="12" t="s">
        <v>135</v>
      </c>
      <c r="G16" s="13" t="s">
        <v>1179</v>
      </c>
      <c r="H16" s="12" t="s">
        <v>84</v>
      </c>
      <c r="I16" s="12" t="s">
        <v>99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1180</v>
      </c>
      <c r="B17" s="12" t="s">
        <v>153</v>
      </c>
      <c r="C17" s="12" t="s">
        <v>48</v>
      </c>
      <c r="D17" s="13" t="s">
        <v>1181</v>
      </c>
      <c r="E17" s="12" t="s">
        <v>120</v>
      </c>
      <c r="F17" s="12" t="s">
        <v>155</v>
      </c>
      <c r="G17" s="13" t="s">
        <v>1182</v>
      </c>
      <c r="H17" s="12" t="s">
        <v>82</v>
      </c>
      <c r="I17" s="12" t="s">
        <v>98</v>
      </c>
      <c r="J17" s="14"/>
      <c r="K17" s="13" t="s">
        <v>1183</v>
      </c>
      <c r="L17" s="12" t="n">
        <v>1</v>
      </c>
      <c r="M17" s="12" t="n">
        <f aca="false">IF(OR(H17="not started",H17="partial",H17="implemented"),0,1)</f>
        <v>0</v>
      </c>
    </row>
    <row r="18" customFormat="false" ht="54" hidden="false" customHeight="true" outlineLevel="0" collapsed="false">
      <c r="A18" s="12" t="s">
        <v>1184</v>
      </c>
      <c r="B18" s="12" t="s">
        <v>159</v>
      </c>
      <c r="C18" s="12" t="s">
        <v>48</v>
      </c>
      <c r="D18" s="13" t="s">
        <v>1185</v>
      </c>
      <c r="E18" s="12" t="s">
        <v>120</v>
      </c>
      <c r="F18" s="12" t="s">
        <v>161</v>
      </c>
      <c r="G18" s="13" t="s">
        <v>1186</v>
      </c>
      <c r="H18" s="12" t="s">
        <v>82</v>
      </c>
      <c r="I18" s="12" t="s">
        <v>98</v>
      </c>
      <c r="J18" s="14"/>
      <c r="K18" s="13" t="s">
        <v>1183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1187</v>
      </c>
      <c r="B19" s="12" t="s">
        <v>173</v>
      </c>
      <c r="C19" s="12" t="s">
        <v>48</v>
      </c>
      <c r="D19" s="13" t="s">
        <v>1188</v>
      </c>
      <c r="E19" s="12" t="s">
        <v>120</v>
      </c>
      <c r="F19" s="12" t="s">
        <v>161</v>
      </c>
      <c r="G19" s="13" t="s">
        <v>1186</v>
      </c>
      <c r="H19" s="12" t="s">
        <v>82</v>
      </c>
      <c r="I19" s="12" t="s">
        <v>98</v>
      </c>
      <c r="J19" s="14"/>
      <c r="K19" s="13" t="s">
        <v>1183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1189</v>
      </c>
      <c r="B20" s="12" t="s">
        <v>177</v>
      </c>
      <c r="C20" s="12" t="s">
        <v>48</v>
      </c>
      <c r="D20" s="13" t="s">
        <v>1190</v>
      </c>
      <c r="E20" s="12" t="s">
        <v>120</v>
      </c>
      <c r="F20" s="12" t="s">
        <v>179</v>
      </c>
      <c r="G20" s="13" t="s">
        <v>1191</v>
      </c>
      <c r="H20" s="12" t="s">
        <v>84</v>
      </c>
      <c r="I20" s="12" t="s">
        <v>99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1192</v>
      </c>
      <c r="B21" s="12" t="s">
        <v>182</v>
      </c>
      <c r="C21" s="12" t="s">
        <v>48</v>
      </c>
      <c r="D21" s="13" t="s">
        <v>1193</v>
      </c>
      <c r="E21" s="12" t="s">
        <v>120</v>
      </c>
      <c r="F21" s="12" t="s">
        <v>179</v>
      </c>
      <c r="G21" s="13" t="s">
        <v>1194</v>
      </c>
      <c r="H21" s="12" t="s">
        <v>84</v>
      </c>
      <c r="I21" s="12" t="s">
        <v>99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1195</v>
      </c>
      <c r="B22" s="12" t="s">
        <v>186</v>
      </c>
      <c r="C22" s="12" t="s">
        <v>48</v>
      </c>
      <c r="D22" s="13" t="s">
        <v>1196</v>
      </c>
      <c r="E22" s="12" t="s">
        <v>188</v>
      </c>
      <c r="F22" s="12" t="s">
        <v>188</v>
      </c>
      <c r="G22" s="13" t="s">
        <v>189</v>
      </c>
      <c r="H22" s="12" t="s">
        <v>84</v>
      </c>
      <c r="I22" s="12" t="s">
        <v>99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1197</v>
      </c>
      <c r="B23" s="12" t="s">
        <v>608</v>
      </c>
      <c r="C23" s="12" t="s">
        <v>1198</v>
      </c>
      <c r="D23" s="13" t="s">
        <v>1199</v>
      </c>
      <c r="E23" s="12" t="s">
        <v>120</v>
      </c>
      <c r="F23" s="12" t="s">
        <v>1200</v>
      </c>
      <c r="G23" s="13" t="s">
        <v>1201</v>
      </c>
      <c r="H23" s="12" t="s">
        <v>84</v>
      </c>
      <c r="I23" s="12" t="s">
        <v>99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1202</v>
      </c>
      <c r="B24" s="12" t="s">
        <v>191</v>
      </c>
      <c r="C24" s="12" t="s">
        <v>48</v>
      </c>
      <c r="D24" s="13" t="s">
        <v>1112</v>
      </c>
      <c r="E24" s="12" t="s">
        <v>120</v>
      </c>
      <c r="F24" s="12" t="s">
        <v>120</v>
      </c>
      <c r="G24" s="13" t="s">
        <v>568</v>
      </c>
      <c r="H24" s="12" t="s">
        <v>84</v>
      </c>
      <c r="I24" s="12" t="s">
        <v>99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1203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1204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17</v>
      </c>
      <c r="D4" s="5" t="s">
        <v>102</v>
      </c>
      <c r="E4" s="6" t="n">
        <f aca="false">SUM(M9:M25)</f>
        <v>14</v>
      </c>
      <c r="G4" s="5" t="s">
        <v>13</v>
      </c>
      <c r="H4" s="7" t="n">
        <f aca="false">IF(B4=0,0,E4/B4)</f>
        <v>0.823529411764706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54" hidden="false" customHeight="true" outlineLevel="0" collapsed="false">
      <c r="A9" s="12" t="s">
        <v>1205</v>
      </c>
      <c r="B9" s="12" t="s">
        <v>117</v>
      </c>
      <c r="C9" s="12" t="s">
        <v>49</v>
      </c>
      <c r="D9" s="13" t="s">
        <v>1206</v>
      </c>
      <c r="E9" s="12" t="s">
        <v>120</v>
      </c>
      <c r="F9" s="12" t="s">
        <v>121</v>
      </c>
      <c r="G9" s="13" t="s">
        <v>1207</v>
      </c>
      <c r="H9" s="12" t="s">
        <v>84</v>
      </c>
      <c r="I9" s="12" t="s">
        <v>99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1208</v>
      </c>
      <c r="B10" s="12" t="s">
        <v>148</v>
      </c>
      <c r="C10" s="12" t="s">
        <v>49</v>
      </c>
      <c r="D10" s="13" t="s">
        <v>1209</v>
      </c>
      <c r="E10" s="12" t="s">
        <v>120</v>
      </c>
      <c r="F10" s="12" t="s">
        <v>140</v>
      </c>
      <c r="G10" s="13" t="s">
        <v>1210</v>
      </c>
      <c r="H10" s="12" t="s">
        <v>84</v>
      </c>
      <c r="I10" s="12" t="s">
        <v>99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1211</v>
      </c>
      <c r="B11" s="12" t="s">
        <v>1119</v>
      </c>
      <c r="C11" s="12" t="s">
        <v>49</v>
      </c>
      <c r="D11" s="13" t="s">
        <v>1212</v>
      </c>
      <c r="E11" s="12" t="s">
        <v>120</v>
      </c>
      <c r="F11" s="12" t="s">
        <v>145</v>
      </c>
      <c r="G11" s="13" t="s">
        <v>1213</v>
      </c>
      <c r="H11" s="12" t="s">
        <v>84</v>
      </c>
      <c r="I11" s="12" t="s">
        <v>99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1214</v>
      </c>
      <c r="B12" s="12" t="s">
        <v>1215</v>
      </c>
      <c r="C12" s="12" t="s">
        <v>49</v>
      </c>
      <c r="D12" s="13" t="s">
        <v>1216</v>
      </c>
      <c r="E12" s="12" t="s">
        <v>120</v>
      </c>
      <c r="F12" s="12" t="s">
        <v>145</v>
      </c>
      <c r="G12" s="13" t="s">
        <v>1213</v>
      </c>
      <c r="H12" s="12" t="s">
        <v>84</v>
      </c>
      <c r="I12" s="12" t="s">
        <v>99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1217</v>
      </c>
      <c r="B13" s="12" t="s">
        <v>1218</v>
      </c>
      <c r="C13" s="12" t="s">
        <v>1219</v>
      </c>
      <c r="D13" s="13" t="s">
        <v>1220</v>
      </c>
      <c r="E13" s="12" t="s">
        <v>120</v>
      </c>
      <c r="F13" s="12" t="s">
        <v>145</v>
      </c>
      <c r="G13" s="13" t="s">
        <v>1221</v>
      </c>
      <c r="H13" s="12" t="s">
        <v>84</v>
      </c>
      <c r="I13" s="12" t="s">
        <v>99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1222</v>
      </c>
      <c r="B14" s="12" t="s">
        <v>168</v>
      </c>
      <c r="C14" s="12" t="s">
        <v>49</v>
      </c>
      <c r="D14" s="13" t="s">
        <v>1223</v>
      </c>
      <c r="E14" s="12" t="s">
        <v>120</v>
      </c>
      <c r="F14" s="12" t="s">
        <v>140</v>
      </c>
      <c r="G14" s="13" t="s">
        <v>1210</v>
      </c>
      <c r="H14" s="12" t="s">
        <v>84</v>
      </c>
      <c r="I14" s="12" t="s">
        <v>99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1224</v>
      </c>
      <c r="B15" s="12" t="s">
        <v>124</v>
      </c>
      <c r="C15" s="12" t="s">
        <v>49</v>
      </c>
      <c r="D15" s="13" t="s">
        <v>1225</v>
      </c>
      <c r="E15" s="12" t="s">
        <v>120</v>
      </c>
      <c r="F15" s="12" t="s">
        <v>120</v>
      </c>
      <c r="G15" s="13" t="s">
        <v>126</v>
      </c>
      <c r="H15" s="12" t="s">
        <v>84</v>
      </c>
      <c r="I15" s="12" t="s">
        <v>99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1226</v>
      </c>
      <c r="B16" s="12" t="s">
        <v>128</v>
      </c>
      <c r="C16" s="12" t="s">
        <v>49</v>
      </c>
      <c r="D16" s="13" t="s">
        <v>1227</v>
      </c>
      <c r="E16" s="12" t="s">
        <v>120</v>
      </c>
      <c r="F16" s="12" t="s">
        <v>130</v>
      </c>
      <c r="G16" s="13" t="s">
        <v>1228</v>
      </c>
      <c r="H16" s="12" t="s">
        <v>84</v>
      </c>
      <c r="I16" s="12" t="s">
        <v>99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1229</v>
      </c>
      <c r="B17" s="12" t="s">
        <v>133</v>
      </c>
      <c r="C17" s="12" t="s">
        <v>49</v>
      </c>
      <c r="D17" s="13" t="s">
        <v>1230</v>
      </c>
      <c r="E17" s="12" t="s">
        <v>120</v>
      </c>
      <c r="F17" s="12" t="s">
        <v>135</v>
      </c>
      <c r="G17" s="13" t="s">
        <v>1231</v>
      </c>
      <c r="H17" s="12" t="s">
        <v>84</v>
      </c>
      <c r="I17" s="12" t="s">
        <v>99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1232</v>
      </c>
      <c r="B18" s="12" t="s">
        <v>153</v>
      </c>
      <c r="C18" s="12" t="s">
        <v>49</v>
      </c>
      <c r="D18" s="13" t="s">
        <v>1233</v>
      </c>
      <c r="E18" s="12" t="s">
        <v>120</v>
      </c>
      <c r="F18" s="12" t="s">
        <v>155</v>
      </c>
      <c r="G18" s="13" t="s">
        <v>1234</v>
      </c>
      <c r="H18" s="12" t="s">
        <v>82</v>
      </c>
      <c r="I18" s="12" t="s">
        <v>98</v>
      </c>
      <c r="J18" s="14"/>
      <c r="K18" s="13" t="s">
        <v>1183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1235</v>
      </c>
      <c r="B19" s="12" t="s">
        <v>159</v>
      </c>
      <c r="C19" s="12" t="s">
        <v>49</v>
      </c>
      <c r="D19" s="13" t="s">
        <v>1236</v>
      </c>
      <c r="E19" s="12" t="s">
        <v>120</v>
      </c>
      <c r="F19" s="12" t="s">
        <v>161</v>
      </c>
      <c r="G19" s="13" t="s">
        <v>1237</v>
      </c>
      <c r="H19" s="12" t="s">
        <v>82</v>
      </c>
      <c r="I19" s="12" t="s">
        <v>98</v>
      </c>
      <c r="J19" s="14"/>
      <c r="K19" s="13" t="s">
        <v>1183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1238</v>
      </c>
      <c r="B20" s="12" t="s">
        <v>173</v>
      </c>
      <c r="C20" s="12" t="s">
        <v>49</v>
      </c>
      <c r="D20" s="13" t="s">
        <v>1239</v>
      </c>
      <c r="E20" s="12" t="s">
        <v>120</v>
      </c>
      <c r="F20" s="12" t="s">
        <v>161</v>
      </c>
      <c r="G20" s="13" t="s">
        <v>1237</v>
      </c>
      <c r="H20" s="12" t="s">
        <v>82</v>
      </c>
      <c r="I20" s="12" t="s">
        <v>98</v>
      </c>
      <c r="J20" s="14"/>
      <c r="K20" s="13" t="s">
        <v>1183</v>
      </c>
      <c r="L20" s="12" t="n">
        <v>1</v>
      </c>
      <c r="M20" s="12" t="n">
        <f aca="false">IF(OR(H20="not started",H20="partial",H20="implemented"),0,1)</f>
        <v>0</v>
      </c>
    </row>
    <row r="21" customFormat="false" ht="54" hidden="false" customHeight="true" outlineLevel="0" collapsed="false">
      <c r="A21" s="12" t="s">
        <v>1240</v>
      </c>
      <c r="B21" s="12" t="s">
        <v>177</v>
      </c>
      <c r="C21" s="12" t="s">
        <v>49</v>
      </c>
      <c r="D21" s="13" t="s">
        <v>1241</v>
      </c>
      <c r="E21" s="12" t="s">
        <v>120</v>
      </c>
      <c r="F21" s="12" t="s">
        <v>179</v>
      </c>
      <c r="G21" s="13" t="s">
        <v>1242</v>
      </c>
      <c r="H21" s="12" t="s">
        <v>84</v>
      </c>
      <c r="I21" s="12" t="s">
        <v>99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1243</v>
      </c>
      <c r="B22" s="12" t="s">
        <v>182</v>
      </c>
      <c r="C22" s="12" t="s">
        <v>49</v>
      </c>
      <c r="D22" s="13" t="s">
        <v>1244</v>
      </c>
      <c r="E22" s="12" t="s">
        <v>120</v>
      </c>
      <c r="F22" s="12" t="s">
        <v>179</v>
      </c>
      <c r="G22" s="13" t="s">
        <v>1245</v>
      </c>
      <c r="H22" s="12" t="s">
        <v>84</v>
      </c>
      <c r="I22" s="12" t="s">
        <v>99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1246</v>
      </c>
      <c r="B23" s="12" t="s">
        <v>186</v>
      </c>
      <c r="C23" s="12" t="s">
        <v>49</v>
      </c>
      <c r="D23" s="13" t="s">
        <v>1247</v>
      </c>
      <c r="E23" s="12" t="s">
        <v>188</v>
      </c>
      <c r="F23" s="12" t="s">
        <v>188</v>
      </c>
      <c r="G23" s="13" t="s">
        <v>189</v>
      </c>
      <c r="H23" s="12" t="s">
        <v>84</v>
      </c>
      <c r="I23" s="12" t="s">
        <v>99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1248</v>
      </c>
      <c r="B24" s="12" t="s">
        <v>608</v>
      </c>
      <c r="C24" s="12" t="s">
        <v>1198</v>
      </c>
      <c r="D24" s="13" t="s">
        <v>1249</v>
      </c>
      <c r="E24" s="12" t="s">
        <v>120</v>
      </c>
      <c r="F24" s="12" t="s">
        <v>1200</v>
      </c>
      <c r="G24" s="13" t="s">
        <v>1250</v>
      </c>
      <c r="H24" s="12" t="s">
        <v>84</v>
      </c>
      <c r="I24" s="12" t="s">
        <v>99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 t="s">
        <v>1251</v>
      </c>
      <c r="B25" s="12" t="s">
        <v>191</v>
      </c>
      <c r="C25" s="12" t="s">
        <v>49</v>
      </c>
      <c r="D25" s="13" t="s">
        <v>1252</v>
      </c>
      <c r="E25" s="12" t="s">
        <v>120</v>
      </c>
      <c r="F25" s="12" t="s">
        <v>120</v>
      </c>
      <c r="G25" s="13" t="s">
        <v>126</v>
      </c>
      <c r="H25" s="12" t="s">
        <v>84</v>
      </c>
      <c r="I25" s="12" t="s">
        <v>99</v>
      </c>
      <c r="J25" s="14"/>
      <c r="K25" s="13"/>
      <c r="L25" s="12" t="n">
        <v>1</v>
      </c>
      <c r="M25" s="12" t="n">
        <f aca="false">IF(OR(H25="not started",H25="partial",H25="implemented"),0,1)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1253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1254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COUNTA(A9:A30)</f>
        <v>22</v>
      </c>
      <c r="D4" s="5" t="s">
        <v>102</v>
      </c>
      <c r="E4" s="6" t="n">
        <f aca="false">SUM(M9:M30)</f>
        <v>19</v>
      </c>
      <c r="G4" s="5" t="s">
        <v>13</v>
      </c>
      <c r="H4" s="7" t="n">
        <f aca="false">IF(B4=0,0,E4/B4)</f>
        <v>0.863636363636364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IF(COUNTIFS(I9:I30,"yes",M9:M30,0)&gt;0,"open","complete")</f>
        <v>open</v>
      </c>
      <c r="D5" s="5" t="s">
        <v>15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54" hidden="false" customHeight="true" outlineLevel="0" collapsed="false">
      <c r="A9" s="12" t="s">
        <v>1255</v>
      </c>
      <c r="B9" s="12" t="s">
        <v>117</v>
      </c>
      <c r="C9" s="12" t="s">
        <v>1256</v>
      </c>
      <c r="D9" s="13" t="s">
        <v>1257</v>
      </c>
      <c r="E9" s="12" t="s">
        <v>120</v>
      </c>
      <c r="F9" s="12" t="s">
        <v>121</v>
      </c>
      <c r="G9" s="13" t="s">
        <v>1258</v>
      </c>
      <c r="H9" s="12" t="s">
        <v>84</v>
      </c>
      <c r="I9" s="12" t="s">
        <v>99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1259</v>
      </c>
      <c r="B10" s="12" t="s">
        <v>1260</v>
      </c>
      <c r="C10" s="12" t="s">
        <v>768</v>
      </c>
      <c r="D10" s="13" t="s">
        <v>1261</v>
      </c>
      <c r="E10" s="12" t="s">
        <v>120</v>
      </c>
      <c r="F10" s="12" t="s">
        <v>1262</v>
      </c>
      <c r="G10" s="13" t="s">
        <v>1263</v>
      </c>
      <c r="H10" s="12" t="s">
        <v>84</v>
      </c>
      <c r="I10" s="12" t="s">
        <v>99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1264</v>
      </c>
      <c r="B11" s="12" t="s">
        <v>1265</v>
      </c>
      <c r="C11" s="12" t="s">
        <v>1072</v>
      </c>
      <c r="D11" s="13" t="s">
        <v>1266</v>
      </c>
      <c r="E11" s="12" t="s">
        <v>120</v>
      </c>
      <c r="F11" s="12" t="s">
        <v>140</v>
      </c>
      <c r="G11" s="13" t="s">
        <v>1267</v>
      </c>
      <c r="H11" s="12" t="s">
        <v>84</v>
      </c>
      <c r="I11" s="12" t="s">
        <v>99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1268</v>
      </c>
      <c r="B12" s="12" t="s">
        <v>1269</v>
      </c>
      <c r="C12" s="12" t="s">
        <v>1269</v>
      </c>
      <c r="D12" s="13" t="s">
        <v>1270</v>
      </c>
      <c r="E12" s="12" t="s">
        <v>120</v>
      </c>
      <c r="F12" s="12" t="s">
        <v>145</v>
      </c>
      <c r="G12" s="13" t="s">
        <v>1271</v>
      </c>
      <c r="H12" s="12" t="s">
        <v>84</v>
      </c>
      <c r="I12" s="12" t="s">
        <v>99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1272</v>
      </c>
      <c r="B13" s="12" t="s">
        <v>1273</v>
      </c>
      <c r="C13" s="12" t="s">
        <v>1072</v>
      </c>
      <c r="D13" s="13" t="s">
        <v>1274</v>
      </c>
      <c r="E13" s="12" t="s">
        <v>120</v>
      </c>
      <c r="F13" s="12" t="s">
        <v>145</v>
      </c>
      <c r="G13" s="13" t="s">
        <v>1271</v>
      </c>
      <c r="H13" s="12" t="s">
        <v>84</v>
      </c>
      <c r="I13" s="12" t="s">
        <v>99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1275</v>
      </c>
      <c r="B14" s="12" t="s">
        <v>1276</v>
      </c>
      <c r="C14" s="12" t="s">
        <v>1072</v>
      </c>
      <c r="D14" s="13" t="s">
        <v>1277</v>
      </c>
      <c r="E14" s="12" t="s">
        <v>120</v>
      </c>
      <c r="F14" s="12" t="s">
        <v>145</v>
      </c>
      <c r="G14" s="13" t="s">
        <v>1271</v>
      </c>
      <c r="H14" s="12" t="s">
        <v>84</v>
      </c>
      <c r="I14" s="12" t="s">
        <v>99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1278</v>
      </c>
      <c r="B15" s="12" t="s">
        <v>1279</v>
      </c>
      <c r="C15" s="12" t="s">
        <v>768</v>
      </c>
      <c r="D15" s="13" t="s">
        <v>1280</v>
      </c>
      <c r="E15" s="12" t="s">
        <v>120</v>
      </c>
      <c r="F15" s="12" t="s">
        <v>145</v>
      </c>
      <c r="G15" s="13" t="s">
        <v>1271</v>
      </c>
      <c r="H15" s="12" t="s">
        <v>84</v>
      </c>
      <c r="I15" s="12" t="s">
        <v>99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1281</v>
      </c>
      <c r="B16" s="12" t="s">
        <v>148</v>
      </c>
      <c r="C16" s="12" t="s">
        <v>1282</v>
      </c>
      <c r="D16" s="13" t="s">
        <v>1283</v>
      </c>
      <c r="E16" s="12" t="s">
        <v>120</v>
      </c>
      <c r="F16" s="12" t="s">
        <v>145</v>
      </c>
      <c r="G16" s="13" t="s">
        <v>1271</v>
      </c>
      <c r="H16" s="12" t="s">
        <v>84</v>
      </c>
      <c r="I16" s="12" t="s">
        <v>99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1284</v>
      </c>
      <c r="B17" s="12" t="s">
        <v>168</v>
      </c>
      <c r="C17" s="12" t="s">
        <v>1170</v>
      </c>
      <c r="D17" s="13" t="s">
        <v>1285</v>
      </c>
      <c r="E17" s="12" t="s">
        <v>120</v>
      </c>
      <c r="F17" s="12" t="s">
        <v>140</v>
      </c>
      <c r="G17" s="13" t="s">
        <v>1286</v>
      </c>
      <c r="H17" s="12" t="s">
        <v>84</v>
      </c>
      <c r="I17" s="12" t="s">
        <v>99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1287</v>
      </c>
      <c r="B18" s="12" t="s">
        <v>124</v>
      </c>
      <c r="C18" s="12" t="s">
        <v>50</v>
      </c>
      <c r="D18" s="13" t="s">
        <v>1288</v>
      </c>
      <c r="E18" s="12" t="s">
        <v>120</v>
      </c>
      <c r="F18" s="12" t="s">
        <v>120</v>
      </c>
      <c r="G18" s="13" t="s">
        <v>126</v>
      </c>
      <c r="H18" s="12" t="s">
        <v>84</v>
      </c>
      <c r="I18" s="12" t="s">
        <v>99</v>
      </c>
      <c r="J18" s="14"/>
      <c r="K18" s="13"/>
      <c r="L18" s="12" t="n">
        <v>1</v>
      </c>
      <c r="M18" s="12" t="n">
        <f aca="false">IF(OR(H18="not started",H18="partial",H18="implemented"),0,1)</f>
        <v>1</v>
      </c>
    </row>
    <row r="19" customFormat="false" ht="54" hidden="false" customHeight="true" outlineLevel="0" collapsed="false">
      <c r="A19" s="12" t="s">
        <v>1289</v>
      </c>
      <c r="B19" s="12" t="s">
        <v>128</v>
      </c>
      <c r="C19" s="12" t="s">
        <v>50</v>
      </c>
      <c r="D19" s="13" t="s">
        <v>1290</v>
      </c>
      <c r="E19" s="12" t="s">
        <v>120</v>
      </c>
      <c r="F19" s="12" t="s">
        <v>130</v>
      </c>
      <c r="G19" s="13" t="s">
        <v>1291</v>
      </c>
      <c r="H19" s="12" t="s">
        <v>84</v>
      </c>
      <c r="I19" s="12" t="s">
        <v>99</v>
      </c>
      <c r="J19" s="14"/>
      <c r="K19" s="13"/>
      <c r="L19" s="12" t="n">
        <v>1</v>
      </c>
      <c r="M19" s="12" t="n">
        <f aca="false">IF(OR(H19="not started",H19="partial",H19="implemented"),0,1)</f>
        <v>1</v>
      </c>
    </row>
    <row r="20" customFormat="false" ht="54" hidden="false" customHeight="true" outlineLevel="0" collapsed="false">
      <c r="A20" s="12" t="s">
        <v>1292</v>
      </c>
      <c r="B20" s="12" t="s">
        <v>133</v>
      </c>
      <c r="C20" s="12" t="s">
        <v>50</v>
      </c>
      <c r="D20" s="13" t="s">
        <v>1293</v>
      </c>
      <c r="E20" s="12" t="s">
        <v>120</v>
      </c>
      <c r="F20" s="12" t="s">
        <v>135</v>
      </c>
      <c r="G20" s="13" t="s">
        <v>1294</v>
      </c>
      <c r="H20" s="12" t="s">
        <v>84</v>
      </c>
      <c r="I20" s="12" t="s">
        <v>99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1295</v>
      </c>
      <c r="B21" s="12" t="s">
        <v>1296</v>
      </c>
      <c r="C21" s="12" t="s">
        <v>50</v>
      </c>
      <c r="D21" s="13" t="s">
        <v>1297</v>
      </c>
      <c r="E21" s="12" t="s">
        <v>120</v>
      </c>
      <c r="F21" s="12" t="s">
        <v>120</v>
      </c>
      <c r="G21" s="13" t="s">
        <v>1298</v>
      </c>
      <c r="H21" s="12" t="s">
        <v>84</v>
      </c>
      <c r="I21" s="12" t="s">
        <v>99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1299</v>
      </c>
      <c r="B22" s="12" t="s">
        <v>608</v>
      </c>
      <c r="C22" s="12" t="s">
        <v>50</v>
      </c>
      <c r="D22" s="13" t="s">
        <v>1300</v>
      </c>
      <c r="E22" s="12" t="s">
        <v>120</v>
      </c>
      <c r="F22" s="12" t="s">
        <v>145</v>
      </c>
      <c r="G22" s="13" t="s">
        <v>1301</v>
      </c>
      <c r="H22" s="12" t="s">
        <v>84</v>
      </c>
      <c r="I22" s="12" t="s">
        <v>99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1302</v>
      </c>
      <c r="B23" s="12" t="s">
        <v>153</v>
      </c>
      <c r="C23" s="12" t="s">
        <v>50</v>
      </c>
      <c r="D23" s="13" t="s">
        <v>1303</v>
      </c>
      <c r="E23" s="12" t="s">
        <v>120</v>
      </c>
      <c r="F23" s="12" t="s">
        <v>155</v>
      </c>
      <c r="G23" s="13" t="s">
        <v>1304</v>
      </c>
      <c r="H23" s="12" t="s">
        <v>82</v>
      </c>
      <c r="I23" s="12" t="s">
        <v>98</v>
      </c>
      <c r="J23" s="14"/>
      <c r="K23" s="13" t="s">
        <v>1305</v>
      </c>
      <c r="L23" s="12" t="n">
        <v>1</v>
      </c>
      <c r="M23" s="12" t="n">
        <f aca="false">IF(OR(H23="not started",H23="partial",H23="implemented"),0,1)</f>
        <v>0</v>
      </c>
    </row>
    <row r="24" customFormat="false" ht="54" hidden="false" customHeight="true" outlineLevel="0" collapsed="false">
      <c r="A24" s="12" t="s">
        <v>1306</v>
      </c>
      <c r="B24" s="12" t="s">
        <v>159</v>
      </c>
      <c r="C24" s="12" t="s">
        <v>50</v>
      </c>
      <c r="D24" s="13" t="s">
        <v>1307</v>
      </c>
      <c r="E24" s="12" t="s">
        <v>120</v>
      </c>
      <c r="F24" s="12" t="s">
        <v>161</v>
      </c>
      <c r="G24" s="13" t="s">
        <v>1308</v>
      </c>
      <c r="H24" s="12" t="s">
        <v>82</v>
      </c>
      <c r="I24" s="12" t="s">
        <v>98</v>
      </c>
      <c r="J24" s="14"/>
      <c r="K24" s="13" t="s">
        <v>1305</v>
      </c>
      <c r="L24" s="12" t="n">
        <v>1</v>
      </c>
      <c r="M24" s="12" t="n">
        <f aca="false">IF(OR(H24="not started",H24="partial",H24="implemented"),0,1)</f>
        <v>0</v>
      </c>
    </row>
    <row r="25" customFormat="false" ht="54" hidden="false" customHeight="true" outlineLevel="0" collapsed="false">
      <c r="A25" s="12" t="s">
        <v>1309</v>
      </c>
      <c r="B25" s="12" t="s">
        <v>173</v>
      </c>
      <c r="C25" s="12" t="s">
        <v>50</v>
      </c>
      <c r="D25" s="13" t="s">
        <v>1310</v>
      </c>
      <c r="E25" s="12" t="s">
        <v>120</v>
      </c>
      <c r="F25" s="12" t="s">
        <v>161</v>
      </c>
      <c r="G25" s="13" t="s">
        <v>1308</v>
      </c>
      <c r="H25" s="12" t="s">
        <v>82</v>
      </c>
      <c r="I25" s="12" t="s">
        <v>98</v>
      </c>
      <c r="J25" s="14"/>
      <c r="K25" s="13" t="s">
        <v>1305</v>
      </c>
      <c r="L25" s="12" t="n">
        <v>1</v>
      </c>
      <c r="M25" s="12" t="n">
        <f aca="false">IF(OR(H25="not started",H25="partial",H25="implemented"),0,1)</f>
        <v>0</v>
      </c>
    </row>
    <row r="26" customFormat="false" ht="54" hidden="false" customHeight="true" outlineLevel="0" collapsed="false">
      <c r="A26" s="12" t="s">
        <v>1311</v>
      </c>
      <c r="B26" s="12" t="s">
        <v>177</v>
      </c>
      <c r="C26" s="12" t="s">
        <v>50</v>
      </c>
      <c r="D26" s="13" t="s">
        <v>1312</v>
      </c>
      <c r="E26" s="12" t="s">
        <v>120</v>
      </c>
      <c r="F26" s="12" t="s">
        <v>179</v>
      </c>
      <c r="G26" s="13" t="s">
        <v>1313</v>
      </c>
      <c r="H26" s="12" t="s">
        <v>84</v>
      </c>
      <c r="I26" s="12" t="s">
        <v>99</v>
      </c>
      <c r="J26" s="14"/>
      <c r="K26" s="13"/>
      <c r="L26" s="12" t="n">
        <v>1</v>
      </c>
      <c r="M26" s="12" t="n">
        <f aca="false">IF(OR(H26="not started",H26="partial",H26="implemented"),0,1)</f>
        <v>1</v>
      </c>
    </row>
    <row r="27" customFormat="false" ht="54" hidden="false" customHeight="true" outlineLevel="0" collapsed="false">
      <c r="A27" s="12" t="s">
        <v>1314</v>
      </c>
      <c r="B27" s="12" t="s">
        <v>182</v>
      </c>
      <c r="C27" s="12" t="s">
        <v>50</v>
      </c>
      <c r="D27" s="13" t="s">
        <v>1315</v>
      </c>
      <c r="E27" s="12" t="s">
        <v>120</v>
      </c>
      <c r="F27" s="12" t="s">
        <v>179</v>
      </c>
      <c r="G27" s="13" t="s">
        <v>1316</v>
      </c>
      <c r="H27" s="12" t="s">
        <v>84</v>
      </c>
      <c r="I27" s="12" t="s">
        <v>99</v>
      </c>
      <c r="J27" s="14"/>
      <c r="K27" s="13"/>
      <c r="L27" s="12" t="n">
        <v>1</v>
      </c>
      <c r="M27" s="12" t="n">
        <f aca="false">IF(OR(H27="not started",H27="partial",H27="implemented"),0,1)</f>
        <v>1</v>
      </c>
    </row>
    <row r="28" customFormat="false" ht="54" hidden="false" customHeight="true" outlineLevel="0" collapsed="false">
      <c r="A28" s="12" t="s">
        <v>1317</v>
      </c>
      <c r="B28" s="12" t="s">
        <v>186</v>
      </c>
      <c r="C28" s="12" t="s">
        <v>50</v>
      </c>
      <c r="D28" s="13" t="s">
        <v>1318</v>
      </c>
      <c r="E28" s="12" t="s">
        <v>188</v>
      </c>
      <c r="F28" s="12" t="s">
        <v>188</v>
      </c>
      <c r="G28" s="13" t="s">
        <v>189</v>
      </c>
      <c r="H28" s="12" t="s">
        <v>84</v>
      </c>
      <c r="I28" s="12" t="s">
        <v>99</v>
      </c>
      <c r="J28" s="14"/>
      <c r="K28" s="13"/>
      <c r="L28" s="12" t="n">
        <v>1</v>
      </c>
      <c r="M28" s="12" t="n">
        <f aca="false">IF(OR(H28="not started",H28="partial",H28="implemented"),0,1)</f>
        <v>1</v>
      </c>
    </row>
    <row r="29" customFormat="false" ht="54" hidden="false" customHeight="true" outlineLevel="0" collapsed="false">
      <c r="A29" s="12" t="s">
        <v>1319</v>
      </c>
      <c r="B29" s="12" t="s">
        <v>1198</v>
      </c>
      <c r="C29" s="12" t="s">
        <v>50</v>
      </c>
      <c r="D29" s="13" t="s">
        <v>1320</v>
      </c>
      <c r="E29" s="12" t="s">
        <v>120</v>
      </c>
      <c r="F29" s="12" t="s">
        <v>1200</v>
      </c>
      <c r="G29" s="13" t="s">
        <v>1321</v>
      </c>
      <c r="H29" s="12" t="s">
        <v>84</v>
      </c>
      <c r="I29" s="12" t="s">
        <v>99</v>
      </c>
      <c r="J29" s="14"/>
      <c r="K29" s="13"/>
      <c r="L29" s="12" t="n">
        <v>1</v>
      </c>
      <c r="M29" s="12" t="n">
        <f aca="false">IF(OR(H29="not started",H29="partial",H29="implemented"),0,1)</f>
        <v>1</v>
      </c>
    </row>
    <row r="30" customFormat="false" ht="54" hidden="false" customHeight="true" outlineLevel="0" collapsed="false">
      <c r="A30" s="12" t="s">
        <v>1322</v>
      </c>
      <c r="B30" s="12" t="s">
        <v>191</v>
      </c>
      <c r="C30" s="12" t="s">
        <v>50</v>
      </c>
      <c r="D30" s="13" t="s">
        <v>1323</v>
      </c>
      <c r="E30" s="12" t="s">
        <v>120</v>
      </c>
      <c r="F30" s="12" t="s">
        <v>120</v>
      </c>
      <c r="G30" s="13" t="s">
        <v>126</v>
      </c>
      <c r="H30" s="12" t="s">
        <v>84</v>
      </c>
      <c r="I30" s="12" t="s">
        <v>99</v>
      </c>
      <c r="J30" s="14"/>
      <c r="K30" s="13"/>
      <c r="L30" s="12" t="n">
        <v>1</v>
      </c>
      <c r="M30" s="12" t="n">
        <f aca="false">IF(OR(H30="not started",H30="partial",H30="implemented"),0,1)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1324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1325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COUNTA(A9:A27)</f>
        <v>19</v>
      </c>
      <c r="D4" s="5" t="s">
        <v>102</v>
      </c>
      <c r="E4" s="6" t="n">
        <f aca="false">SUM(M9:M27)</f>
        <v>15</v>
      </c>
      <c r="G4" s="5" t="s">
        <v>13</v>
      </c>
      <c r="H4" s="7" t="n">
        <f aca="false">IF(B4=0,0,E4/B4)</f>
        <v>0.789473684210526</v>
      </c>
      <c r="J4" s="5" t="s">
        <v>14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IF(COUNTIFS(I9:I27,"yes",M9:M27,0)&gt;0,"open","complete")</f>
        <v>open</v>
      </c>
      <c r="D5" s="5" t="s">
        <v>15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54" hidden="false" customHeight="true" outlineLevel="0" collapsed="false">
      <c r="A9" s="12" t="s">
        <v>563</v>
      </c>
      <c r="B9" s="12" t="s">
        <v>117</v>
      </c>
      <c r="C9" s="12" t="s">
        <v>1326</v>
      </c>
      <c r="D9" s="13" t="s">
        <v>1327</v>
      </c>
      <c r="E9" s="12" t="s">
        <v>120</v>
      </c>
      <c r="F9" s="12" t="s">
        <v>121</v>
      </c>
      <c r="G9" s="13" t="s">
        <v>1328</v>
      </c>
      <c r="H9" s="12" t="s">
        <v>84</v>
      </c>
      <c r="I9" s="12" t="s">
        <v>99</v>
      </c>
      <c r="J9" s="14" t="n">
        <v>46229</v>
      </c>
      <c r="K9" s="13"/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566</v>
      </c>
      <c r="B10" s="12" t="s">
        <v>1329</v>
      </c>
      <c r="C10" s="12" t="s">
        <v>1330</v>
      </c>
      <c r="D10" s="13" t="s">
        <v>1331</v>
      </c>
      <c r="E10" s="12" t="s">
        <v>120</v>
      </c>
      <c r="F10" s="12" t="s">
        <v>140</v>
      </c>
      <c r="G10" s="13" t="s">
        <v>1332</v>
      </c>
      <c r="H10" s="12" t="s">
        <v>84</v>
      </c>
      <c r="I10" s="12" t="s">
        <v>99</v>
      </c>
      <c r="J10" s="14" t="n">
        <v>46229</v>
      </c>
      <c r="K10" s="13"/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569</v>
      </c>
      <c r="B11" s="12" t="s">
        <v>124</v>
      </c>
      <c r="C11" s="12" t="s">
        <v>51</v>
      </c>
      <c r="D11" s="13" t="s">
        <v>1333</v>
      </c>
      <c r="E11" s="12" t="s">
        <v>120</v>
      </c>
      <c r="F11" s="12" t="s">
        <v>120</v>
      </c>
      <c r="G11" s="13" t="s">
        <v>568</v>
      </c>
      <c r="H11" s="12" t="s">
        <v>84</v>
      </c>
      <c r="I11" s="12" t="s">
        <v>99</v>
      </c>
      <c r="J11" s="14" t="n">
        <v>46229</v>
      </c>
      <c r="K11" s="13"/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572</v>
      </c>
      <c r="B12" s="12" t="s">
        <v>128</v>
      </c>
      <c r="C12" s="12" t="s">
        <v>51</v>
      </c>
      <c r="D12" s="13" t="s">
        <v>1334</v>
      </c>
      <c r="E12" s="12" t="s">
        <v>120</v>
      </c>
      <c r="F12" s="12" t="s">
        <v>130</v>
      </c>
      <c r="G12" s="13" t="s">
        <v>1335</v>
      </c>
      <c r="H12" s="12" t="s">
        <v>84</v>
      </c>
      <c r="I12" s="12" t="s">
        <v>99</v>
      </c>
      <c r="J12" s="14" t="n">
        <v>46229</v>
      </c>
      <c r="K12" s="13"/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575</v>
      </c>
      <c r="B13" s="12" t="s">
        <v>133</v>
      </c>
      <c r="C13" s="12" t="s">
        <v>51</v>
      </c>
      <c r="D13" s="13" t="s">
        <v>1336</v>
      </c>
      <c r="E13" s="12" t="s">
        <v>120</v>
      </c>
      <c r="F13" s="12" t="s">
        <v>135</v>
      </c>
      <c r="G13" s="13" t="s">
        <v>1337</v>
      </c>
      <c r="H13" s="12" t="s">
        <v>84</v>
      </c>
      <c r="I13" s="12" t="s">
        <v>99</v>
      </c>
      <c r="J13" s="14" t="n">
        <v>46229</v>
      </c>
      <c r="K13" s="13"/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578</v>
      </c>
      <c r="B14" s="12" t="s">
        <v>138</v>
      </c>
      <c r="C14" s="12" t="s">
        <v>51</v>
      </c>
      <c r="D14" s="13" t="s">
        <v>1338</v>
      </c>
      <c r="E14" s="12" t="s">
        <v>120</v>
      </c>
      <c r="F14" s="12" t="s">
        <v>140</v>
      </c>
      <c r="G14" s="13" t="s">
        <v>1332</v>
      </c>
      <c r="H14" s="12" t="s">
        <v>84</v>
      </c>
      <c r="I14" s="12" t="s">
        <v>99</v>
      </c>
      <c r="J14" s="14" t="n">
        <v>46229</v>
      </c>
      <c r="K14" s="13"/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581</v>
      </c>
      <c r="B15" s="12" t="s">
        <v>143</v>
      </c>
      <c r="C15" s="12" t="s">
        <v>1339</v>
      </c>
      <c r="D15" s="13" t="s">
        <v>1340</v>
      </c>
      <c r="E15" s="12" t="s">
        <v>120</v>
      </c>
      <c r="F15" s="12" t="s">
        <v>145</v>
      </c>
      <c r="G15" s="13" t="s">
        <v>1341</v>
      </c>
      <c r="H15" s="12" t="s">
        <v>84</v>
      </c>
      <c r="I15" s="12" t="s">
        <v>99</v>
      </c>
      <c r="J15" s="14" t="n">
        <v>46229</v>
      </c>
      <c r="K15" s="13"/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583</v>
      </c>
      <c r="B16" s="12" t="s">
        <v>1279</v>
      </c>
      <c r="C16" s="12" t="s">
        <v>1342</v>
      </c>
      <c r="D16" s="13" t="s">
        <v>1343</v>
      </c>
      <c r="E16" s="12" t="s">
        <v>120</v>
      </c>
      <c r="F16" s="12" t="s">
        <v>145</v>
      </c>
      <c r="G16" s="13" t="s">
        <v>1341</v>
      </c>
      <c r="H16" s="12" t="s">
        <v>84</v>
      </c>
      <c r="I16" s="12" t="s">
        <v>99</v>
      </c>
      <c r="J16" s="14" t="n">
        <v>46229</v>
      </c>
      <c r="K16" s="13"/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586</v>
      </c>
      <c r="B17" s="12" t="s">
        <v>148</v>
      </c>
      <c r="C17" s="12" t="s">
        <v>1344</v>
      </c>
      <c r="D17" s="13" t="s">
        <v>1345</v>
      </c>
      <c r="E17" s="12" t="s">
        <v>120</v>
      </c>
      <c r="F17" s="12" t="s">
        <v>150</v>
      </c>
      <c r="G17" s="13" t="s">
        <v>1341</v>
      </c>
      <c r="H17" s="12" t="s">
        <v>84</v>
      </c>
      <c r="I17" s="12" t="s">
        <v>99</v>
      </c>
      <c r="J17" s="14" t="n">
        <v>46229</v>
      </c>
      <c r="K17" s="13"/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590</v>
      </c>
      <c r="B18" s="12" t="s">
        <v>153</v>
      </c>
      <c r="C18" s="12" t="s">
        <v>51</v>
      </c>
      <c r="D18" s="13" t="s">
        <v>1346</v>
      </c>
      <c r="E18" s="12" t="s">
        <v>120</v>
      </c>
      <c r="F18" s="12" t="s">
        <v>155</v>
      </c>
      <c r="G18" s="13" t="s">
        <v>1347</v>
      </c>
      <c r="H18" s="12" t="s">
        <v>86</v>
      </c>
      <c r="I18" s="12" t="s">
        <v>98</v>
      </c>
      <c r="J18" s="14" t="n">
        <v>46229</v>
      </c>
      <c r="K18" s="13" t="s">
        <v>1348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594</v>
      </c>
      <c r="B19" s="12" t="s">
        <v>159</v>
      </c>
      <c r="C19" s="12" t="s">
        <v>51</v>
      </c>
      <c r="D19" s="13" t="s">
        <v>1349</v>
      </c>
      <c r="E19" s="12" t="s">
        <v>120</v>
      </c>
      <c r="F19" s="12" t="s">
        <v>161</v>
      </c>
      <c r="G19" s="13" t="s">
        <v>1350</v>
      </c>
      <c r="H19" s="12" t="s">
        <v>82</v>
      </c>
      <c r="I19" s="12" t="s">
        <v>98</v>
      </c>
      <c r="J19" s="14"/>
      <c r="K19" s="13" t="s">
        <v>889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596</v>
      </c>
      <c r="B20" s="12" t="s">
        <v>165</v>
      </c>
      <c r="C20" s="12" t="s">
        <v>51</v>
      </c>
      <c r="D20" s="13" t="s">
        <v>1351</v>
      </c>
      <c r="E20" s="12" t="s">
        <v>120</v>
      </c>
      <c r="F20" s="12" t="s">
        <v>161</v>
      </c>
      <c r="G20" s="13" t="s">
        <v>1352</v>
      </c>
      <c r="H20" s="12" t="s">
        <v>82</v>
      </c>
      <c r="I20" s="12" t="s">
        <v>98</v>
      </c>
      <c r="J20" s="14"/>
      <c r="K20" s="13" t="s">
        <v>790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599</v>
      </c>
      <c r="B21" s="12" t="s">
        <v>1265</v>
      </c>
      <c r="C21" s="12" t="s">
        <v>1326</v>
      </c>
      <c r="D21" s="13" t="s">
        <v>1353</v>
      </c>
      <c r="E21" s="12" t="s">
        <v>120</v>
      </c>
      <c r="F21" s="12" t="s">
        <v>145</v>
      </c>
      <c r="G21" s="13" t="s">
        <v>1354</v>
      </c>
      <c r="H21" s="12" t="s">
        <v>84</v>
      </c>
      <c r="I21" s="12" t="s">
        <v>99</v>
      </c>
      <c r="J21" s="14" t="n">
        <v>46229</v>
      </c>
      <c r="K21" s="13"/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602</v>
      </c>
      <c r="B22" s="12" t="s">
        <v>173</v>
      </c>
      <c r="C22" s="12" t="s">
        <v>51</v>
      </c>
      <c r="D22" s="13" t="s">
        <v>1355</v>
      </c>
      <c r="E22" s="12" t="s">
        <v>120</v>
      </c>
      <c r="F22" s="12" t="s">
        <v>161</v>
      </c>
      <c r="G22" s="13" t="s">
        <v>1350</v>
      </c>
      <c r="H22" s="12" t="s">
        <v>82</v>
      </c>
      <c r="I22" s="12" t="s">
        <v>98</v>
      </c>
      <c r="J22" s="14"/>
      <c r="K22" s="13" t="s">
        <v>894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605</v>
      </c>
      <c r="B23" s="12" t="s">
        <v>177</v>
      </c>
      <c r="C23" s="12" t="s">
        <v>51</v>
      </c>
      <c r="D23" s="13" t="s">
        <v>1356</v>
      </c>
      <c r="E23" s="12" t="s">
        <v>120</v>
      </c>
      <c r="F23" s="12" t="s">
        <v>179</v>
      </c>
      <c r="G23" s="13" t="s">
        <v>1357</v>
      </c>
      <c r="H23" s="12" t="s">
        <v>84</v>
      </c>
      <c r="I23" s="12" t="s">
        <v>99</v>
      </c>
      <c r="J23" s="14" t="n">
        <v>46229</v>
      </c>
      <c r="K23" s="13"/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607</v>
      </c>
      <c r="B24" s="12" t="s">
        <v>182</v>
      </c>
      <c r="C24" s="12" t="s">
        <v>51</v>
      </c>
      <c r="D24" s="13" t="s">
        <v>1358</v>
      </c>
      <c r="E24" s="12" t="s">
        <v>120</v>
      </c>
      <c r="F24" s="12" t="s">
        <v>179</v>
      </c>
      <c r="G24" s="13" t="s">
        <v>1359</v>
      </c>
      <c r="H24" s="12" t="s">
        <v>84</v>
      </c>
      <c r="I24" s="12" t="s">
        <v>99</v>
      </c>
      <c r="J24" s="14" t="n">
        <v>46229</v>
      </c>
      <c r="K24" s="13"/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612</v>
      </c>
      <c r="B25" s="12" t="s">
        <v>186</v>
      </c>
      <c r="C25" s="12" t="s">
        <v>51</v>
      </c>
      <c r="D25" s="13" t="s">
        <v>1360</v>
      </c>
      <c r="E25" s="12" t="s">
        <v>188</v>
      </c>
      <c r="F25" s="12" t="s">
        <v>188</v>
      </c>
      <c r="G25" s="13" t="s">
        <v>189</v>
      </c>
      <c r="H25" s="12" t="s">
        <v>84</v>
      </c>
      <c r="I25" s="12" t="s">
        <v>99</v>
      </c>
      <c r="J25" s="14" t="n">
        <v>46229</v>
      </c>
      <c r="K25" s="13"/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1361</v>
      </c>
      <c r="B26" s="12" t="s">
        <v>608</v>
      </c>
      <c r="C26" s="12" t="s">
        <v>51</v>
      </c>
      <c r="D26" s="13" t="s">
        <v>1362</v>
      </c>
      <c r="E26" s="12" t="s">
        <v>120</v>
      </c>
      <c r="F26" s="12" t="s">
        <v>120</v>
      </c>
      <c r="G26" s="13" t="s">
        <v>1363</v>
      </c>
      <c r="H26" s="12" t="s">
        <v>84</v>
      </c>
      <c r="I26" s="12" t="s">
        <v>99</v>
      </c>
      <c r="J26" s="14" t="n">
        <v>46229</v>
      </c>
      <c r="K26" s="13"/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1364</v>
      </c>
      <c r="B27" s="12" t="s">
        <v>191</v>
      </c>
      <c r="C27" s="12" t="s">
        <v>51</v>
      </c>
      <c r="D27" s="13" t="s">
        <v>1365</v>
      </c>
      <c r="E27" s="12" t="s">
        <v>120</v>
      </c>
      <c r="F27" s="12" t="s">
        <v>120</v>
      </c>
      <c r="G27" s="13" t="s">
        <v>1366</v>
      </c>
      <c r="H27" s="12" t="s">
        <v>82</v>
      </c>
      <c r="I27" s="12" t="s">
        <v>98</v>
      </c>
      <c r="J27" s="14"/>
      <c r="K27" s="13" t="s">
        <v>1367</v>
      </c>
      <c r="M27" s="12" t="n">
        <f aca="false">IF(OR(AND(I27="yes",H27="verified"),AND(I27="no",OR(H27="tested",H27="verified")),AND(H27="not applicable",K27&lt;&gt;"")),1,0)</f>
        <v>0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1368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COUNTA(A9:A30)</f>
        <v>22</v>
      </c>
      <c r="D4" s="5" t="s">
        <v>102</v>
      </c>
      <c r="E4" s="6" t="n">
        <f aca="false">SUM(M9:M30)</f>
        <v>16</v>
      </c>
      <c r="G4" s="5" t="s">
        <v>13</v>
      </c>
      <c r="H4" s="7" t="n">
        <f aca="false">IF(B4=0,0,E4/B4)</f>
        <v>0.727272727272727</v>
      </c>
      <c r="J4" s="5" t="s">
        <v>14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IF(COUNTIFS(I9:I30,"yes",M9:M30,0)&gt;0,"open","complete")</f>
        <v>open</v>
      </c>
      <c r="D5" s="5" t="s">
        <v>15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54" hidden="false" customHeight="true" outlineLevel="0" collapsed="false">
      <c r="A9" s="12" t="s">
        <v>758</v>
      </c>
      <c r="B9" s="12" t="s">
        <v>117</v>
      </c>
      <c r="C9" s="12" t="s">
        <v>1370</v>
      </c>
      <c r="D9" s="13" t="s">
        <v>1371</v>
      </c>
      <c r="E9" s="12" t="s">
        <v>120</v>
      </c>
      <c r="F9" s="12" t="s">
        <v>121</v>
      </c>
      <c r="G9" s="13" t="s">
        <v>1372</v>
      </c>
      <c r="H9" s="12" t="s">
        <v>84</v>
      </c>
      <c r="I9" s="12" t="s">
        <v>99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761</v>
      </c>
      <c r="B10" s="12" t="s">
        <v>1329</v>
      </c>
      <c r="C10" s="12" t="s">
        <v>1170</v>
      </c>
      <c r="D10" s="13" t="s">
        <v>1373</v>
      </c>
      <c r="E10" s="12" t="s">
        <v>120</v>
      </c>
      <c r="F10" s="12" t="s">
        <v>140</v>
      </c>
      <c r="G10" s="13" t="s">
        <v>1374</v>
      </c>
      <c r="H10" s="12" t="s">
        <v>84</v>
      </c>
      <c r="I10" s="12" t="s">
        <v>99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764</v>
      </c>
      <c r="B11" s="12" t="s">
        <v>124</v>
      </c>
      <c r="C11" s="12" t="s">
        <v>52</v>
      </c>
      <c r="D11" s="13" t="s">
        <v>1375</v>
      </c>
      <c r="E11" s="12" t="s">
        <v>120</v>
      </c>
      <c r="F11" s="12" t="s">
        <v>120</v>
      </c>
      <c r="G11" s="13" t="s">
        <v>126</v>
      </c>
      <c r="H11" s="12" t="s">
        <v>84</v>
      </c>
      <c r="I11" s="12" t="s">
        <v>99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767</v>
      </c>
      <c r="B12" s="12" t="s">
        <v>128</v>
      </c>
      <c r="C12" s="12" t="s">
        <v>1376</v>
      </c>
      <c r="D12" s="13" t="s">
        <v>1377</v>
      </c>
      <c r="E12" s="12" t="s">
        <v>120</v>
      </c>
      <c r="F12" s="12" t="s">
        <v>130</v>
      </c>
      <c r="G12" s="13" t="s">
        <v>1378</v>
      </c>
      <c r="H12" s="12" t="s">
        <v>84</v>
      </c>
      <c r="I12" s="12" t="s">
        <v>99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771</v>
      </c>
      <c r="B13" s="12" t="s">
        <v>133</v>
      </c>
      <c r="C13" s="12" t="s">
        <v>1379</v>
      </c>
      <c r="D13" s="13" t="s">
        <v>1380</v>
      </c>
      <c r="E13" s="12" t="s">
        <v>120</v>
      </c>
      <c r="F13" s="12" t="s">
        <v>135</v>
      </c>
      <c r="G13" s="13" t="s">
        <v>1381</v>
      </c>
      <c r="H13" s="12" t="s">
        <v>84</v>
      </c>
      <c r="I13" s="12" t="s">
        <v>99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774</v>
      </c>
      <c r="B14" s="12" t="s">
        <v>1382</v>
      </c>
      <c r="C14" s="12" t="s">
        <v>1383</v>
      </c>
      <c r="D14" s="13" t="s">
        <v>1384</v>
      </c>
      <c r="E14" s="12" t="s">
        <v>120</v>
      </c>
      <c r="F14" s="12" t="s">
        <v>140</v>
      </c>
      <c r="G14" s="13" t="s">
        <v>1385</v>
      </c>
      <c r="H14" s="12" t="s">
        <v>84</v>
      </c>
      <c r="I14" s="12" t="s">
        <v>99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777</v>
      </c>
      <c r="B15" s="12" t="s">
        <v>1119</v>
      </c>
      <c r="C15" s="12" t="s">
        <v>1370</v>
      </c>
      <c r="D15" s="13" t="s">
        <v>1386</v>
      </c>
      <c r="E15" s="12" t="s">
        <v>120</v>
      </c>
      <c r="F15" s="12" t="s">
        <v>145</v>
      </c>
      <c r="G15" s="13" t="s">
        <v>1387</v>
      </c>
      <c r="H15" s="12" t="s">
        <v>84</v>
      </c>
      <c r="I15" s="12" t="s">
        <v>99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779</v>
      </c>
      <c r="B16" s="12" t="s">
        <v>1388</v>
      </c>
      <c r="C16" s="12" t="s">
        <v>1389</v>
      </c>
      <c r="D16" s="13" t="s">
        <v>1390</v>
      </c>
      <c r="E16" s="12" t="s">
        <v>120</v>
      </c>
      <c r="F16" s="12" t="s">
        <v>145</v>
      </c>
      <c r="G16" s="13" t="s">
        <v>1391</v>
      </c>
      <c r="H16" s="12" t="s">
        <v>84</v>
      </c>
      <c r="I16" s="12" t="s">
        <v>99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783</v>
      </c>
      <c r="B17" s="12" t="s">
        <v>1392</v>
      </c>
      <c r="C17" s="12" t="s">
        <v>1393</v>
      </c>
      <c r="D17" s="13" t="s">
        <v>1394</v>
      </c>
      <c r="E17" s="12" t="s">
        <v>120</v>
      </c>
      <c r="F17" s="12" t="s">
        <v>145</v>
      </c>
      <c r="G17" s="13" t="s">
        <v>1387</v>
      </c>
      <c r="H17" s="12" t="s">
        <v>84</v>
      </c>
      <c r="I17" s="12" t="s">
        <v>99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787</v>
      </c>
      <c r="B18" s="12" t="s">
        <v>1395</v>
      </c>
      <c r="C18" s="12" t="s">
        <v>1370</v>
      </c>
      <c r="D18" s="13" t="s">
        <v>1396</v>
      </c>
      <c r="E18" s="12" t="s">
        <v>120</v>
      </c>
      <c r="F18" s="12" t="s">
        <v>145</v>
      </c>
      <c r="G18" s="13" t="s">
        <v>1391</v>
      </c>
      <c r="H18" s="12" t="s">
        <v>84</v>
      </c>
      <c r="I18" s="12" t="s">
        <v>99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791</v>
      </c>
      <c r="B19" s="12" t="s">
        <v>168</v>
      </c>
      <c r="C19" s="12" t="s">
        <v>1397</v>
      </c>
      <c r="D19" s="13" t="s">
        <v>1398</v>
      </c>
      <c r="E19" s="12" t="s">
        <v>120</v>
      </c>
      <c r="F19" s="12" t="s">
        <v>140</v>
      </c>
      <c r="G19" s="13" t="s">
        <v>1385</v>
      </c>
      <c r="H19" s="12" t="s">
        <v>84</v>
      </c>
      <c r="I19" s="12" t="s">
        <v>99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793</v>
      </c>
      <c r="B20" s="12" t="s">
        <v>148</v>
      </c>
      <c r="C20" s="12" t="s">
        <v>52</v>
      </c>
      <c r="D20" s="13" t="s">
        <v>1399</v>
      </c>
      <c r="E20" s="12" t="s">
        <v>120</v>
      </c>
      <c r="F20" s="12" t="s">
        <v>150</v>
      </c>
      <c r="G20" s="13" t="s">
        <v>1387</v>
      </c>
      <c r="H20" s="12" t="s">
        <v>84</v>
      </c>
      <c r="I20" s="12" t="s">
        <v>99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796</v>
      </c>
      <c r="B21" s="12" t="s">
        <v>153</v>
      </c>
      <c r="C21" s="12" t="s">
        <v>52</v>
      </c>
      <c r="D21" s="13" t="s">
        <v>1400</v>
      </c>
      <c r="E21" s="12" t="s">
        <v>120</v>
      </c>
      <c r="F21" s="12" t="s">
        <v>155</v>
      </c>
      <c r="G21" s="13" t="s">
        <v>1401</v>
      </c>
      <c r="H21" s="12" t="s">
        <v>82</v>
      </c>
      <c r="I21" s="12" t="s">
        <v>98</v>
      </c>
      <c r="J21" s="14"/>
      <c r="K21" s="13" t="s">
        <v>1402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799</v>
      </c>
      <c r="B22" s="12" t="s">
        <v>159</v>
      </c>
      <c r="C22" s="12" t="s">
        <v>1403</v>
      </c>
      <c r="D22" s="13" t="s">
        <v>1404</v>
      </c>
      <c r="E22" s="12" t="s">
        <v>120</v>
      </c>
      <c r="F22" s="12" t="s">
        <v>161</v>
      </c>
      <c r="G22" s="13" t="s">
        <v>1405</v>
      </c>
      <c r="H22" s="12" t="s">
        <v>82</v>
      </c>
      <c r="I22" s="12" t="s">
        <v>98</v>
      </c>
      <c r="J22" s="14"/>
      <c r="K22" s="13" t="s">
        <v>1406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802</v>
      </c>
      <c r="B23" s="12" t="s">
        <v>1407</v>
      </c>
      <c r="C23" s="12" t="s">
        <v>1072</v>
      </c>
      <c r="D23" s="13" t="s">
        <v>1408</v>
      </c>
      <c r="E23" s="12" t="s">
        <v>120</v>
      </c>
      <c r="F23" s="12" t="s">
        <v>161</v>
      </c>
      <c r="G23" s="13" t="s">
        <v>1409</v>
      </c>
      <c r="H23" s="12" t="s">
        <v>82</v>
      </c>
      <c r="I23" s="12" t="s">
        <v>98</v>
      </c>
      <c r="J23" s="14"/>
      <c r="K23" s="13" t="s">
        <v>1410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805</v>
      </c>
      <c r="B24" s="12" t="s">
        <v>1411</v>
      </c>
      <c r="C24" s="12" t="s">
        <v>52</v>
      </c>
      <c r="D24" s="13" t="s">
        <v>1412</v>
      </c>
      <c r="E24" s="12" t="s">
        <v>120</v>
      </c>
      <c r="F24" s="12" t="s">
        <v>161</v>
      </c>
      <c r="G24" s="13" t="s">
        <v>1405</v>
      </c>
      <c r="H24" s="12" t="s">
        <v>82</v>
      </c>
      <c r="I24" s="12" t="s">
        <v>98</v>
      </c>
      <c r="J24" s="14"/>
      <c r="K24" s="13" t="s">
        <v>1413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935</v>
      </c>
      <c r="B25" s="12" t="s">
        <v>165</v>
      </c>
      <c r="C25" s="12" t="s">
        <v>52</v>
      </c>
      <c r="D25" s="13" t="s">
        <v>540</v>
      </c>
      <c r="E25" s="12" t="s">
        <v>120</v>
      </c>
      <c r="F25" s="12" t="s">
        <v>161</v>
      </c>
      <c r="G25" s="13" t="s">
        <v>1414</v>
      </c>
      <c r="H25" s="12" t="s">
        <v>82</v>
      </c>
      <c r="I25" s="12" t="s">
        <v>98</v>
      </c>
      <c r="J25" s="14"/>
      <c r="K25" s="13" t="s">
        <v>1415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1416</v>
      </c>
      <c r="B26" s="12" t="s">
        <v>173</v>
      </c>
      <c r="C26" s="12" t="s">
        <v>52</v>
      </c>
      <c r="D26" s="13" t="s">
        <v>1417</v>
      </c>
      <c r="E26" s="12" t="s">
        <v>120</v>
      </c>
      <c r="F26" s="12" t="s">
        <v>161</v>
      </c>
      <c r="G26" s="13" t="s">
        <v>1405</v>
      </c>
      <c r="H26" s="12" t="s">
        <v>82</v>
      </c>
      <c r="I26" s="12" t="s">
        <v>98</v>
      </c>
      <c r="J26" s="14"/>
      <c r="K26" s="13" t="s">
        <v>549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1418</v>
      </c>
      <c r="B27" s="12" t="s">
        <v>177</v>
      </c>
      <c r="C27" s="12" t="s">
        <v>52</v>
      </c>
      <c r="D27" s="13" t="s">
        <v>1419</v>
      </c>
      <c r="E27" s="12" t="s">
        <v>120</v>
      </c>
      <c r="F27" s="12" t="s">
        <v>179</v>
      </c>
      <c r="G27" s="13" t="s">
        <v>1420</v>
      </c>
      <c r="H27" s="12" t="s">
        <v>84</v>
      </c>
      <c r="I27" s="12" t="s">
        <v>99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1421</v>
      </c>
      <c r="B28" s="12" t="s">
        <v>182</v>
      </c>
      <c r="C28" s="12" t="s">
        <v>52</v>
      </c>
      <c r="D28" s="13" t="s">
        <v>1422</v>
      </c>
      <c r="E28" s="12" t="s">
        <v>120</v>
      </c>
      <c r="F28" s="12" t="s">
        <v>179</v>
      </c>
      <c r="G28" s="13" t="s">
        <v>1423</v>
      </c>
      <c r="H28" s="12" t="s">
        <v>84</v>
      </c>
      <c r="I28" s="12" t="s">
        <v>99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1424</v>
      </c>
      <c r="B29" s="12" t="s">
        <v>186</v>
      </c>
      <c r="C29" s="12" t="s">
        <v>52</v>
      </c>
      <c r="D29" s="13" t="s">
        <v>1425</v>
      </c>
      <c r="E29" s="12" t="s">
        <v>188</v>
      </c>
      <c r="F29" s="12" t="s">
        <v>188</v>
      </c>
      <c r="G29" s="13" t="s">
        <v>189</v>
      </c>
      <c r="H29" s="12" t="s">
        <v>84</v>
      </c>
      <c r="I29" s="12" t="s">
        <v>99</v>
      </c>
      <c r="J29" s="14" t="s">
        <v>1426</v>
      </c>
      <c r="K29" s="13" t="s">
        <v>1427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1428</v>
      </c>
      <c r="B30" s="12" t="s">
        <v>191</v>
      </c>
      <c r="C30" s="12" t="s">
        <v>52</v>
      </c>
      <c r="D30" s="13" t="s">
        <v>1429</v>
      </c>
      <c r="E30" s="12" t="s">
        <v>120</v>
      </c>
      <c r="F30" s="12" t="s">
        <v>120</v>
      </c>
      <c r="G30" s="13" t="s">
        <v>560</v>
      </c>
      <c r="H30" s="12" t="s">
        <v>84</v>
      </c>
      <c r="I30" s="12" t="s">
        <v>99</v>
      </c>
      <c r="J30" s="14" t="s">
        <v>1426</v>
      </c>
      <c r="K30" s="13" t="s">
        <v>1430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1431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COUNTA(A9:A30)</f>
        <v>22</v>
      </c>
      <c r="D4" s="5" t="s">
        <v>102</v>
      </c>
      <c r="E4" s="6" t="n">
        <f aca="false">SUM(M9:M30)</f>
        <v>16</v>
      </c>
      <c r="G4" s="5" t="s">
        <v>13</v>
      </c>
      <c r="H4" s="7" t="n">
        <f aca="false">IF(B4=0,0,E4/B4)</f>
        <v>0.727272727272727</v>
      </c>
      <c r="J4" s="5" t="s">
        <v>14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IF(COUNTIFS(I9:I30,"yes",M9:M30,0)&gt;0,"open","complete")</f>
        <v>open</v>
      </c>
      <c r="D5" s="5" t="s">
        <v>15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54" hidden="false" customHeight="true" outlineLevel="0" collapsed="false">
      <c r="A9" s="12" t="s">
        <v>1433</v>
      </c>
      <c r="B9" s="12" t="s">
        <v>117</v>
      </c>
      <c r="C9" s="12" t="s">
        <v>1370</v>
      </c>
      <c r="D9" s="13" t="s">
        <v>1434</v>
      </c>
      <c r="E9" s="12" t="s">
        <v>120</v>
      </c>
      <c r="F9" s="12" t="s">
        <v>121</v>
      </c>
      <c r="G9" s="13" t="s">
        <v>1435</v>
      </c>
      <c r="H9" s="12" t="s">
        <v>84</v>
      </c>
      <c r="I9" s="12" t="s">
        <v>99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1436</v>
      </c>
      <c r="B10" s="12" t="s">
        <v>1329</v>
      </c>
      <c r="C10" s="12" t="s">
        <v>1170</v>
      </c>
      <c r="D10" s="13" t="s">
        <v>1373</v>
      </c>
      <c r="E10" s="12" t="s">
        <v>120</v>
      </c>
      <c r="F10" s="12" t="s">
        <v>140</v>
      </c>
      <c r="G10" s="13" t="s">
        <v>1437</v>
      </c>
      <c r="H10" s="12" t="s">
        <v>84</v>
      </c>
      <c r="I10" s="12" t="s">
        <v>99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1438</v>
      </c>
      <c r="B11" s="12" t="s">
        <v>124</v>
      </c>
      <c r="C11" s="12" t="s">
        <v>53</v>
      </c>
      <c r="D11" s="13" t="s">
        <v>1439</v>
      </c>
      <c r="E11" s="12" t="s">
        <v>120</v>
      </c>
      <c r="F11" s="12" t="s">
        <v>120</v>
      </c>
      <c r="G11" s="13" t="s">
        <v>126</v>
      </c>
      <c r="H11" s="12" t="s">
        <v>84</v>
      </c>
      <c r="I11" s="12" t="s">
        <v>99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1440</v>
      </c>
      <c r="B12" s="12" t="s">
        <v>128</v>
      </c>
      <c r="C12" s="12" t="s">
        <v>1376</v>
      </c>
      <c r="D12" s="13" t="s">
        <v>1441</v>
      </c>
      <c r="E12" s="12" t="s">
        <v>120</v>
      </c>
      <c r="F12" s="12" t="s">
        <v>130</v>
      </c>
      <c r="G12" s="13" t="s">
        <v>1442</v>
      </c>
      <c r="H12" s="12" t="s">
        <v>84</v>
      </c>
      <c r="I12" s="12" t="s">
        <v>99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1443</v>
      </c>
      <c r="B13" s="12" t="s">
        <v>133</v>
      </c>
      <c r="C13" s="12" t="s">
        <v>1379</v>
      </c>
      <c r="D13" s="13" t="s">
        <v>1380</v>
      </c>
      <c r="E13" s="12" t="s">
        <v>120</v>
      </c>
      <c r="F13" s="12" t="s">
        <v>135</v>
      </c>
      <c r="G13" s="13" t="s">
        <v>1444</v>
      </c>
      <c r="H13" s="12" t="s">
        <v>84</v>
      </c>
      <c r="I13" s="12" t="s">
        <v>99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1445</v>
      </c>
      <c r="B14" s="12" t="s">
        <v>1382</v>
      </c>
      <c r="C14" s="12" t="s">
        <v>1383</v>
      </c>
      <c r="D14" s="13" t="s">
        <v>1446</v>
      </c>
      <c r="E14" s="12" t="s">
        <v>120</v>
      </c>
      <c r="F14" s="12" t="s">
        <v>140</v>
      </c>
      <c r="G14" s="13" t="s">
        <v>1447</v>
      </c>
      <c r="H14" s="12" t="s">
        <v>84</v>
      </c>
      <c r="I14" s="12" t="s">
        <v>99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1448</v>
      </c>
      <c r="B15" s="12" t="s">
        <v>1119</v>
      </c>
      <c r="C15" s="12" t="s">
        <v>1370</v>
      </c>
      <c r="D15" s="13" t="s">
        <v>1386</v>
      </c>
      <c r="E15" s="12" t="s">
        <v>120</v>
      </c>
      <c r="F15" s="12" t="s">
        <v>145</v>
      </c>
      <c r="G15" s="13" t="s">
        <v>1449</v>
      </c>
      <c r="H15" s="12" t="s">
        <v>84</v>
      </c>
      <c r="I15" s="12" t="s">
        <v>99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1450</v>
      </c>
      <c r="B16" s="12" t="s">
        <v>1388</v>
      </c>
      <c r="C16" s="12" t="s">
        <v>1389</v>
      </c>
      <c r="D16" s="13" t="s">
        <v>1451</v>
      </c>
      <c r="E16" s="12" t="s">
        <v>120</v>
      </c>
      <c r="F16" s="12" t="s">
        <v>145</v>
      </c>
      <c r="G16" s="13" t="s">
        <v>1452</v>
      </c>
      <c r="H16" s="12" t="s">
        <v>84</v>
      </c>
      <c r="I16" s="12" t="s">
        <v>99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1453</v>
      </c>
      <c r="B17" s="12" t="s">
        <v>1392</v>
      </c>
      <c r="C17" s="12" t="s">
        <v>1393</v>
      </c>
      <c r="D17" s="13" t="s">
        <v>1394</v>
      </c>
      <c r="E17" s="12" t="s">
        <v>120</v>
      </c>
      <c r="F17" s="12" t="s">
        <v>145</v>
      </c>
      <c r="G17" s="13" t="s">
        <v>1449</v>
      </c>
      <c r="H17" s="12" t="s">
        <v>84</v>
      </c>
      <c r="I17" s="12" t="s">
        <v>99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1454</v>
      </c>
      <c r="B18" s="12" t="s">
        <v>1395</v>
      </c>
      <c r="C18" s="12" t="s">
        <v>1370</v>
      </c>
      <c r="D18" s="13" t="s">
        <v>1455</v>
      </c>
      <c r="E18" s="12" t="s">
        <v>120</v>
      </c>
      <c r="F18" s="12" t="s">
        <v>145</v>
      </c>
      <c r="G18" s="13" t="s">
        <v>1452</v>
      </c>
      <c r="H18" s="12" t="s">
        <v>84</v>
      </c>
      <c r="I18" s="12" t="s">
        <v>99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1456</v>
      </c>
      <c r="B19" s="12" t="s">
        <v>168</v>
      </c>
      <c r="C19" s="12" t="s">
        <v>1397</v>
      </c>
      <c r="D19" s="13" t="s">
        <v>1398</v>
      </c>
      <c r="E19" s="12" t="s">
        <v>120</v>
      </c>
      <c r="F19" s="12" t="s">
        <v>140</v>
      </c>
      <c r="G19" s="13" t="s">
        <v>1447</v>
      </c>
      <c r="H19" s="12" t="s">
        <v>84</v>
      </c>
      <c r="I19" s="12" t="s">
        <v>99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1457</v>
      </c>
      <c r="B20" s="12" t="s">
        <v>148</v>
      </c>
      <c r="C20" s="12" t="s">
        <v>53</v>
      </c>
      <c r="D20" s="13" t="s">
        <v>1458</v>
      </c>
      <c r="E20" s="12" t="s">
        <v>120</v>
      </c>
      <c r="F20" s="12" t="s">
        <v>150</v>
      </c>
      <c r="G20" s="13" t="s">
        <v>1449</v>
      </c>
      <c r="H20" s="12" t="s">
        <v>84</v>
      </c>
      <c r="I20" s="12" t="s">
        <v>99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1459</v>
      </c>
      <c r="B21" s="12" t="s">
        <v>153</v>
      </c>
      <c r="C21" s="12" t="s">
        <v>53</v>
      </c>
      <c r="D21" s="13" t="s">
        <v>1400</v>
      </c>
      <c r="E21" s="12" t="s">
        <v>120</v>
      </c>
      <c r="F21" s="12" t="s">
        <v>155</v>
      </c>
      <c r="G21" s="13" t="s">
        <v>1460</v>
      </c>
      <c r="H21" s="12" t="s">
        <v>82</v>
      </c>
      <c r="I21" s="12" t="s">
        <v>98</v>
      </c>
      <c r="J21" s="14"/>
      <c r="K21" s="13" t="s">
        <v>1402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1461</v>
      </c>
      <c r="B22" s="12" t="s">
        <v>159</v>
      </c>
      <c r="C22" s="12" t="s">
        <v>1403</v>
      </c>
      <c r="D22" s="13" t="s">
        <v>1404</v>
      </c>
      <c r="E22" s="12" t="s">
        <v>120</v>
      </c>
      <c r="F22" s="12" t="s">
        <v>161</v>
      </c>
      <c r="G22" s="13" t="s">
        <v>1462</v>
      </c>
      <c r="H22" s="12" t="s">
        <v>82</v>
      </c>
      <c r="I22" s="12" t="s">
        <v>98</v>
      </c>
      <c r="J22" s="14"/>
      <c r="K22" s="13" t="s">
        <v>1406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1463</v>
      </c>
      <c r="B23" s="12" t="s">
        <v>1407</v>
      </c>
      <c r="C23" s="12" t="s">
        <v>1072</v>
      </c>
      <c r="D23" s="13" t="s">
        <v>1464</v>
      </c>
      <c r="E23" s="12" t="s">
        <v>120</v>
      </c>
      <c r="F23" s="12" t="s">
        <v>161</v>
      </c>
      <c r="G23" s="13" t="s">
        <v>1465</v>
      </c>
      <c r="H23" s="12" t="s">
        <v>82</v>
      </c>
      <c r="I23" s="12" t="s">
        <v>98</v>
      </c>
      <c r="J23" s="14"/>
      <c r="K23" s="13" t="s">
        <v>1410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1466</v>
      </c>
      <c r="B24" s="12" t="s">
        <v>1411</v>
      </c>
      <c r="C24" s="12" t="s">
        <v>53</v>
      </c>
      <c r="D24" s="13" t="s">
        <v>1412</v>
      </c>
      <c r="E24" s="12" t="s">
        <v>120</v>
      </c>
      <c r="F24" s="12" t="s">
        <v>161</v>
      </c>
      <c r="G24" s="13" t="s">
        <v>1462</v>
      </c>
      <c r="H24" s="12" t="s">
        <v>82</v>
      </c>
      <c r="I24" s="12" t="s">
        <v>98</v>
      </c>
      <c r="J24" s="14"/>
      <c r="K24" s="13" t="s">
        <v>1413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1467</v>
      </c>
      <c r="B25" s="12" t="s">
        <v>165</v>
      </c>
      <c r="C25" s="12" t="s">
        <v>53</v>
      </c>
      <c r="D25" s="13" t="s">
        <v>540</v>
      </c>
      <c r="E25" s="12" t="s">
        <v>120</v>
      </c>
      <c r="F25" s="12" t="s">
        <v>161</v>
      </c>
      <c r="G25" s="13" t="s">
        <v>1468</v>
      </c>
      <c r="H25" s="12" t="s">
        <v>82</v>
      </c>
      <c r="I25" s="12" t="s">
        <v>98</v>
      </c>
      <c r="J25" s="14"/>
      <c r="K25" s="13" t="s">
        <v>1415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1469</v>
      </c>
      <c r="B26" s="12" t="s">
        <v>173</v>
      </c>
      <c r="C26" s="12" t="s">
        <v>53</v>
      </c>
      <c r="D26" s="13" t="s">
        <v>1470</v>
      </c>
      <c r="E26" s="12" t="s">
        <v>120</v>
      </c>
      <c r="F26" s="12" t="s">
        <v>161</v>
      </c>
      <c r="G26" s="13" t="s">
        <v>1462</v>
      </c>
      <c r="H26" s="12" t="s">
        <v>82</v>
      </c>
      <c r="I26" s="12" t="s">
        <v>98</v>
      </c>
      <c r="J26" s="14"/>
      <c r="K26" s="13" t="s">
        <v>549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1471</v>
      </c>
      <c r="B27" s="12" t="s">
        <v>177</v>
      </c>
      <c r="C27" s="12" t="s">
        <v>53</v>
      </c>
      <c r="D27" s="13" t="s">
        <v>1419</v>
      </c>
      <c r="E27" s="12" t="s">
        <v>120</v>
      </c>
      <c r="F27" s="12" t="s">
        <v>179</v>
      </c>
      <c r="G27" s="13" t="s">
        <v>1472</v>
      </c>
      <c r="H27" s="12" t="s">
        <v>84</v>
      </c>
      <c r="I27" s="12" t="s">
        <v>99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1473</v>
      </c>
      <c r="B28" s="12" t="s">
        <v>182</v>
      </c>
      <c r="C28" s="12" t="s">
        <v>53</v>
      </c>
      <c r="D28" s="13" t="s">
        <v>1474</v>
      </c>
      <c r="E28" s="12" t="s">
        <v>120</v>
      </c>
      <c r="F28" s="12" t="s">
        <v>179</v>
      </c>
      <c r="G28" s="13" t="s">
        <v>1475</v>
      </c>
      <c r="H28" s="12" t="s">
        <v>84</v>
      </c>
      <c r="I28" s="12" t="s">
        <v>99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1476</v>
      </c>
      <c r="B29" s="12" t="s">
        <v>186</v>
      </c>
      <c r="C29" s="12" t="s">
        <v>53</v>
      </c>
      <c r="D29" s="13" t="s">
        <v>1477</v>
      </c>
      <c r="E29" s="12" t="s">
        <v>188</v>
      </c>
      <c r="F29" s="12" t="s">
        <v>188</v>
      </c>
      <c r="G29" s="13" t="s">
        <v>189</v>
      </c>
      <c r="H29" s="12" t="s">
        <v>84</v>
      </c>
      <c r="I29" s="12" t="s">
        <v>99</v>
      </c>
      <c r="J29" s="14" t="n">
        <v>46229</v>
      </c>
      <c r="K29" s="13" t="s">
        <v>1427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1478</v>
      </c>
      <c r="B30" s="12" t="s">
        <v>191</v>
      </c>
      <c r="C30" s="12" t="s">
        <v>53</v>
      </c>
      <c r="D30" s="13" t="s">
        <v>1429</v>
      </c>
      <c r="E30" s="12" t="s">
        <v>120</v>
      </c>
      <c r="F30" s="12" t="s">
        <v>120</v>
      </c>
      <c r="G30" s="13" t="s">
        <v>560</v>
      </c>
      <c r="H30" s="12" t="s">
        <v>84</v>
      </c>
      <c r="I30" s="12" t="s">
        <v>99</v>
      </c>
      <c r="J30" s="14" t="n">
        <v>46229</v>
      </c>
      <c r="K30" s="13" t="s">
        <v>1430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67DC"/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1479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1480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COUNTA(A9:A30)</f>
        <v>22</v>
      </c>
      <c r="D4" s="5" t="s">
        <v>102</v>
      </c>
      <c r="E4" s="6" t="n">
        <f aca="false">SUM(M9:M30)</f>
        <v>17</v>
      </c>
      <c r="G4" s="5" t="s">
        <v>13</v>
      </c>
      <c r="H4" s="7" t="n">
        <f aca="false">IF(B4=0,0,E4/B4)</f>
        <v>0.772727272727273</v>
      </c>
      <c r="J4" s="5" t="s">
        <v>14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IF(COUNTIFS(I9:I30,"yes",M9:M30,0)&gt;0,"open","complete")</f>
        <v>open</v>
      </c>
      <c r="D5" s="5" t="s">
        <v>15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54" hidden="false" customHeight="true" outlineLevel="0" collapsed="false">
      <c r="A9" s="12" t="s">
        <v>1481</v>
      </c>
      <c r="B9" s="12" t="s">
        <v>117</v>
      </c>
      <c r="C9" s="12" t="s">
        <v>768</v>
      </c>
      <c r="D9" s="13" t="s">
        <v>1482</v>
      </c>
      <c r="E9" s="12" t="s">
        <v>120</v>
      </c>
      <c r="F9" s="12" t="s">
        <v>121</v>
      </c>
      <c r="G9" s="13" t="s">
        <v>1483</v>
      </c>
      <c r="H9" s="12" t="s">
        <v>84</v>
      </c>
      <c r="I9" s="12" t="s">
        <v>99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1484</v>
      </c>
      <c r="B10" s="12" t="s">
        <v>1329</v>
      </c>
      <c r="C10" s="12" t="s">
        <v>1485</v>
      </c>
      <c r="D10" s="13" t="s">
        <v>1486</v>
      </c>
      <c r="E10" s="12" t="s">
        <v>120</v>
      </c>
      <c r="F10" s="12" t="s">
        <v>140</v>
      </c>
      <c r="G10" s="13" t="s">
        <v>1487</v>
      </c>
      <c r="H10" s="12" t="s">
        <v>84</v>
      </c>
      <c r="I10" s="12" t="s">
        <v>99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1488</v>
      </c>
      <c r="B11" s="12" t="s">
        <v>124</v>
      </c>
      <c r="C11" s="12" t="s">
        <v>54</v>
      </c>
      <c r="D11" s="13" t="s">
        <v>1489</v>
      </c>
      <c r="E11" s="12" t="s">
        <v>120</v>
      </c>
      <c r="F11" s="12" t="s">
        <v>120</v>
      </c>
      <c r="G11" s="13" t="s">
        <v>126</v>
      </c>
      <c r="H11" s="12" t="s">
        <v>84</v>
      </c>
      <c r="I11" s="12" t="s">
        <v>99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1490</v>
      </c>
      <c r="B12" s="12" t="s">
        <v>128</v>
      </c>
      <c r="C12" s="12" t="s">
        <v>1485</v>
      </c>
      <c r="D12" s="13" t="s">
        <v>1491</v>
      </c>
      <c r="E12" s="12" t="s">
        <v>120</v>
      </c>
      <c r="F12" s="12" t="s">
        <v>130</v>
      </c>
      <c r="G12" s="13" t="s">
        <v>1492</v>
      </c>
      <c r="H12" s="12" t="s">
        <v>84</v>
      </c>
      <c r="I12" s="12" t="s">
        <v>99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1493</v>
      </c>
      <c r="B13" s="12" t="s">
        <v>133</v>
      </c>
      <c r="C13" s="12" t="s">
        <v>1485</v>
      </c>
      <c r="D13" s="13" t="s">
        <v>1494</v>
      </c>
      <c r="E13" s="12" t="s">
        <v>120</v>
      </c>
      <c r="F13" s="12" t="s">
        <v>135</v>
      </c>
      <c r="G13" s="13" t="s">
        <v>1495</v>
      </c>
      <c r="H13" s="12" t="s">
        <v>84</v>
      </c>
      <c r="I13" s="12" t="s">
        <v>99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1496</v>
      </c>
      <c r="B14" s="12" t="s">
        <v>1119</v>
      </c>
      <c r="C14" s="12" t="s">
        <v>768</v>
      </c>
      <c r="D14" s="13" t="s">
        <v>1497</v>
      </c>
      <c r="E14" s="12" t="s">
        <v>120</v>
      </c>
      <c r="F14" s="12" t="s">
        <v>145</v>
      </c>
      <c r="G14" s="13" t="s">
        <v>1498</v>
      </c>
      <c r="H14" s="12" t="s">
        <v>84</v>
      </c>
      <c r="I14" s="12" t="s">
        <v>99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1499</v>
      </c>
      <c r="B15" s="12" t="s">
        <v>1500</v>
      </c>
      <c r="C15" s="12" t="s">
        <v>768</v>
      </c>
      <c r="D15" s="13" t="s">
        <v>1501</v>
      </c>
      <c r="E15" s="12" t="s">
        <v>120</v>
      </c>
      <c r="F15" s="12" t="s">
        <v>145</v>
      </c>
      <c r="G15" s="13" t="s">
        <v>1498</v>
      </c>
      <c r="H15" s="12" t="s">
        <v>84</v>
      </c>
      <c r="I15" s="12" t="s">
        <v>99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1502</v>
      </c>
      <c r="B16" s="12" t="s">
        <v>1503</v>
      </c>
      <c r="C16" s="12" t="s">
        <v>768</v>
      </c>
      <c r="D16" s="13" t="s">
        <v>1504</v>
      </c>
      <c r="E16" s="12" t="s">
        <v>120</v>
      </c>
      <c r="F16" s="12" t="s">
        <v>145</v>
      </c>
      <c r="G16" s="13" t="s">
        <v>1505</v>
      </c>
      <c r="H16" s="12" t="s">
        <v>84</v>
      </c>
      <c r="I16" s="12" t="s">
        <v>99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1506</v>
      </c>
      <c r="B17" s="12" t="s">
        <v>1507</v>
      </c>
      <c r="C17" s="12" t="s">
        <v>1485</v>
      </c>
      <c r="D17" s="13" t="s">
        <v>1508</v>
      </c>
      <c r="E17" s="12" t="s">
        <v>120</v>
      </c>
      <c r="F17" s="12" t="s">
        <v>145</v>
      </c>
      <c r="G17" s="13" t="s">
        <v>1498</v>
      </c>
      <c r="H17" s="12" t="s">
        <v>84</v>
      </c>
      <c r="I17" s="12" t="s">
        <v>99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1509</v>
      </c>
      <c r="B18" s="12" t="s">
        <v>1395</v>
      </c>
      <c r="C18" s="12" t="s">
        <v>768</v>
      </c>
      <c r="D18" s="13" t="s">
        <v>1510</v>
      </c>
      <c r="E18" s="12" t="s">
        <v>120</v>
      </c>
      <c r="F18" s="12" t="s">
        <v>145</v>
      </c>
      <c r="G18" s="13" t="s">
        <v>1505</v>
      </c>
      <c r="H18" s="12" t="s">
        <v>84</v>
      </c>
      <c r="I18" s="12" t="s">
        <v>99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1511</v>
      </c>
      <c r="B19" s="12" t="s">
        <v>168</v>
      </c>
      <c r="C19" s="12" t="s">
        <v>768</v>
      </c>
      <c r="D19" s="13" t="s">
        <v>1512</v>
      </c>
      <c r="E19" s="12" t="s">
        <v>120</v>
      </c>
      <c r="F19" s="12" t="s">
        <v>140</v>
      </c>
      <c r="G19" s="13" t="s">
        <v>1513</v>
      </c>
      <c r="H19" s="12" t="s">
        <v>84</v>
      </c>
      <c r="I19" s="12" t="s">
        <v>99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1514</v>
      </c>
      <c r="B20" s="12" t="s">
        <v>148</v>
      </c>
      <c r="C20" s="12" t="s">
        <v>54</v>
      </c>
      <c r="D20" s="13" t="s">
        <v>1515</v>
      </c>
      <c r="E20" s="12" t="s">
        <v>120</v>
      </c>
      <c r="F20" s="12" t="s">
        <v>150</v>
      </c>
      <c r="G20" s="13" t="s">
        <v>1498</v>
      </c>
      <c r="H20" s="12" t="s">
        <v>84</v>
      </c>
      <c r="I20" s="12" t="s">
        <v>99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1516</v>
      </c>
      <c r="B21" s="12" t="s">
        <v>1517</v>
      </c>
      <c r="C21" s="12" t="s">
        <v>768</v>
      </c>
      <c r="D21" s="13" t="s">
        <v>1518</v>
      </c>
      <c r="E21" s="12" t="s">
        <v>120</v>
      </c>
      <c r="F21" s="12" t="s">
        <v>145</v>
      </c>
      <c r="G21" s="13" t="s">
        <v>1519</v>
      </c>
      <c r="H21" s="12" t="s">
        <v>84</v>
      </c>
      <c r="I21" s="12" t="s">
        <v>99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1520</v>
      </c>
      <c r="B22" s="12" t="s">
        <v>153</v>
      </c>
      <c r="C22" s="12" t="s">
        <v>54</v>
      </c>
      <c r="D22" s="13" t="s">
        <v>1521</v>
      </c>
      <c r="E22" s="12" t="s">
        <v>120</v>
      </c>
      <c r="F22" s="12" t="s">
        <v>155</v>
      </c>
      <c r="G22" s="13" t="s">
        <v>1522</v>
      </c>
      <c r="H22" s="12" t="s">
        <v>82</v>
      </c>
      <c r="I22" s="12" t="s">
        <v>98</v>
      </c>
      <c r="J22" s="14"/>
      <c r="K22" s="13" t="s">
        <v>1402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1523</v>
      </c>
      <c r="B23" s="12" t="s">
        <v>159</v>
      </c>
      <c r="C23" s="12" t="s">
        <v>768</v>
      </c>
      <c r="D23" s="13" t="s">
        <v>1524</v>
      </c>
      <c r="E23" s="12" t="s">
        <v>120</v>
      </c>
      <c r="F23" s="12" t="s">
        <v>161</v>
      </c>
      <c r="G23" s="13" t="s">
        <v>1525</v>
      </c>
      <c r="H23" s="12" t="s">
        <v>82</v>
      </c>
      <c r="I23" s="12" t="s">
        <v>98</v>
      </c>
      <c r="J23" s="14"/>
      <c r="K23" s="13" t="s">
        <v>1526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1527</v>
      </c>
      <c r="B24" s="12" t="s">
        <v>165</v>
      </c>
      <c r="C24" s="12" t="s">
        <v>1485</v>
      </c>
      <c r="D24" s="13" t="s">
        <v>540</v>
      </c>
      <c r="E24" s="12" t="s">
        <v>120</v>
      </c>
      <c r="F24" s="12" t="s">
        <v>161</v>
      </c>
      <c r="G24" s="13" t="s">
        <v>1528</v>
      </c>
      <c r="H24" s="12" t="s">
        <v>82</v>
      </c>
      <c r="I24" s="12" t="s">
        <v>98</v>
      </c>
      <c r="J24" s="14"/>
      <c r="K24" s="13" t="s">
        <v>1529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1530</v>
      </c>
      <c r="B25" s="12" t="s">
        <v>1411</v>
      </c>
      <c r="C25" s="12" t="s">
        <v>54</v>
      </c>
      <c r="D25" s="13" t="s">
        <v>1531</v>
      </c>
      <c r="E25" s="12" t="s">
        <v>120</v>
      </c>
      <c r="F25" s="12" t="s">
        <v>161</v>
      </c>
      <c r="G25" s="13" t="s">
        <v>1525</v>
      </c>
      <c r="H25" s="12" t="s">
        <v>82</v>
      </c>
      <c r="I25" s="12" t="s">
        <v>98</v>
      </c>
      <c r="J25" s="14"/>
      <c r="K25" s="13" t="s">
        <v>1413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1532</v>
      </c>
      <c r="B26" s="12" t="s">
        <v>173</v>
      </c>
      <c r="C26" s="12" t="s">
        <v>54</v>
      </c>
      <c r="D26" s="13" t="s">
        <v>1533</v>
      </c>
      <c r="E26" s="12" t="s">
        <v>120</v>
      </c>
      <c r="F26" s="12" t="s">
        <v>161</v>
      </c>
      <c r="G26" s="13" t="s">
        <v>1525</v>
      </c>
      <c r="H26" s="12" t="s">
        <v>82</v>
      </c>
      <c r="I26" s="12" t="s">
        <v>98</v>
      </c>
      <c r="J26" s="14"/>
      <c r="K26" s="13" t="s">
        <v>549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1534</v>
      </c>
      <c r="B27" s="12" t="s">
        <v>177</v>
      </c>
      <c r="C27" s="12" t="s">
        <v>54</v>
      </c>
      <c r="D27" s="13" t="s">
        <v>1535</v>
      </c>
      <c r="E27" s="12" t="s">
        <v>120</v>
      </c>
      <c r="F27" s="12" t="s">
        <v>179</v>
      </c>
      <c r="G27" s="13" t="s">
        <v>1536</v>
      </c>
      <c r="H27" s="12" t="s">
        <v>84</v>
      </c>
      <c r="I27" s="12" t="s">
        <v>99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1537</v>
      </c>
      <c r="B28" s="12" t="s">
        <v>182</v>
      </c>
      <c r="C28" s="12" t="s">
        <v>54</v>
      </c>
      <c r="D28" s="13" t="s">
        <v>1538</v>
      </c>
      <c r="E28" s="12" t="s">
        <v>120</v>
      </c>
      <c r="F28" s="12" t="s">
        <v>179</v>
      </c>
      <c r="G28" s="13" t="s">
        <v>1539</v>
      </c>
      <c r="H28" s="12" t="s">
        <v>84</v>
      </c>
      <c r="I28" s="12" t="s">
        <v>99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1540</v>
      </c>
      <c r="B29" s="12" t="s">
        <v>186</v>
      </c>
      <c r="C29" s="12" t="s">
        <v>54</v>
      </c>
      <c r="D29" s="13" t="s">
        <v>1541</v>
      </c>
      <c r="E29" s="12" t="s">
        <v>188</v>
      </c>
      <c r="F29" s="12" t="s">
        <v>188</v>
      </c>
      <c r="G29" s="13" t="s">
        <v>189</v>
      </c>
      <c r="H29" s="12" t="s">
        <v>84</v>
      </c>
      <c r="I29" s="12" t="s">
        <v>99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1542</v>
      </c>
      <c r="B30" s="12" t="s">
        <v>191</v>
      </c>
      <c r="C30" s="12" t="s">
        <v>54</v>
      </c>
      <c r="D30" s="13" t="s">
        <v>1429</v>
      </c>
      <c r="E30" s="12" t="s">
        <v>120</v>
      </c>
      <c r="F30" s="12" t="s">
        <v>120</v>
      </c>
      <c r="G30" s="13" t="s">
        <v>560</v>
      </c>
      <c r="H30" s="12" t="s">
        <v>84</v>
      </c>
      <c r="I30" s="12" t="s">
        <v>99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1543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1544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COUNTA(A9:A28)</f>
        <v>20</v>
      </c>
      <c r="D4" s="5" t="s">
        <v>102</v>
      </c>
      <c r="E4" s="6" t="n">
        <f aca="false">SUM(M9:M28)</f>
        <v>18</v>
      </c>
      <c r="G4" s="5" t="s">
        <v>13</v>
      </c>
      <c r="H4" s="7" t="n">
        <f aca="false">IF(B4=0,0,E4/B4)</f>
        <v>0.9</v>
      </c>
      <c r="J4" s="5" t="s">
        <v>14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IF(COUNTIFS(I9:I28,"yes",M9:M28,0)&gt;0,"open","complete")</f>
        <v>open</v>
      </c>
      <c r="D5" s="5" t="s">
        <v>15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1545</v>
      </c>
      <c r="B9" s="1" t="s">
        <v>117</v>
      </c>
      <c r="C9" s="1" t="s">
        <v>1546</v>
      </c>
      <c r="D9" s="1" t="s">
        <v>1547</v>
      </c>
      <c r="E9" s="1" t="s">
        <v>120</v>
      </c>
      <c r="F9" s="1" t="s">
        <v>121</v>
      </c>
      <c r="G9" s="1" t="s">
        <v>1548</v>
      </c>
      <c r="H9" s="1" t="s">
        <v>84</v>
      </c>
      <c r="I9" s="1" t="s">
        <v>99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1549</v>
      </c>
      <c r="B10" s="1" t="s">
        <v>1329</v>
      </c>
      <c r="C10" s="1" t="s">
        <v>1546</v>
      </c>
      <c r="D10" s="1" t="s">
        <v>1550</v>
      </c>
      <c r="E10" s="1" t="s">
        <v>120</v>
      </c>
      <c r="F10" s="1" t="s">
        <v>140</v>
      </c>
      <c r="G10" s="1" t="s">
        <v>1551</v>
      </c>
      <c r="H10" s="1" t="s">
        <v>84</v>
      </c>
      <c r="I10" s="1" t="s">
        <v>99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1552</v>
      </c>
      <c r="B11" s="1" t="s">
        <v>124</v>
      </c>
      <c r="C11" s="1" t="s">
        <v>1553</v>
      </c>
      <c r="D11" s="1" t="s">
        <v>1554</v>
      </c>
      <c r="E11" s="1" t="s">
        <v>120</v>
      </c>
      <c r="F11" s="1" t="s">
        <v>120</v>
      </c>
      <c r="G11" s="1" t="s">
        <v>126</v>
      </c>
      <c r="H11" s="1" t="s">
        <v>84</v>
      </c>
      <c r="I11" s="1" t="s">
        <v>99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1555</v>
      </c>
      <c r="B12" s="1" t="s">
        <v>128</v>
      </c>
      <c r="C12" s="1" t="s">
        <v>1546</v>
      </c>
      <c r="D12" s="1" t="s">
        <v>1556</v>
      </c>
      <c r="E12" s="1" t="s">
        <v>120</v>
      </c>
      <c r="F12" s="1" t="s">
        <v>130</v>
      </c>
      <c r="G12" s="1" t="s">
        <v>1557</v>
      </c>
      <c r="H12" s="1" t="s">
        <v>84</v>
      </c>
      <c r="I12" s="1" t="s">
        <v>99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1558</v>
      </c>
      <c r="B13" s="1" t="s">
        <v>133</v>
      </c>
      <c r="C13" s="1" t="s">
        <v>1546</v>
      </c>
      <c r="D13" s="1" t="s">
        <v>1559</v>
      </c>
      <c r="E13" s="1" t="s">
        <v>120</v>
      </c>
      <c r="F13" s="1" t="s">
        <v>135</v>
      </c>
      <c r="G13" s="1" t="s">
        <v>1560</v>
      </c>
      <c r="H13" s="1" t="s">
        <v>84</v>
      </c>
      <c r="I13" s="1" t="s">
        <v>99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1561</v>
      </c>
      <c r="B14" s="1" t="s">
        <v>1562</v>
      </c>
      <c r="C14" s="1" t="s">
        <v>1546</v>
      </c>
      <c r="D14" s="1" t="s">
        <v>1563</v>
      </c>
      <c r="E14" s="1" t="s">
        <v>120</v>
      </c>
      <c r="F14" s="1" t="s">
        <v>145</v>
      </c>
      <c r="G14" s="1" t="s">
        <v>1564</v>
      </c>
      <c r="H14" s="1" t="s">
        <v>84</v>
      </c>
      <c r="I14" s="1" t="s">
        <v>99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1565</v>
      </c>
      <c r="B15" s="1" t="s">
        <v>1566</v>
      </c>
      <c r="C15" s="1" t="s">
        <v>768</v>
      </c>
      <c r="D15" s="1" t="s">
        <v>1567</v>
      </c>
      <c r="E15" s="1" t="s">
        <v>120</v>
      </c>
      <c r="F15" s="1" t="s">
        <v>145</v>
      </c>
      <c r="G15" s="1" t="s">
        <v>1564</v>
      </c>
      <c r="H15" s="1" t="s">
        <v>84</v>
      </c>
      <c r="I15" s="1" t="s">
        <v>99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1568</v>
      </c>
      <c r="B16" s="1" t="s">
        <v>1569</v>
      </c>
      <c r="C16" s="1" t="s">
        <v>1546</v>
      </c>
      <c r="D16" s="1" t="s">
        <v>1570</v>
      </c>
      <c r="E16" s="1" t="s">
        <v>120</v>
      </c>
      <c r="F16" s="1" t="s">
        <v>145</v>
      </c>
      <c r="G16" s="1" t="s">
        <v>1564</v>
      </c>
      <c r="H16" s="1" t="s">
        <v>84</v>
      </c>
      <c r="I16" s="1" t="s">
        <v>99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1571</v>
      </c>
      <c r="B17" s="1" t="s">
        <v>76</v>
      </c>
      <c r="C17" s="1" t="s">
        <v>768</v>
      </c>
      <c r="D17" s="1" t="s">
        <v>1572</v>
      </c>
      <c r="E17" s="1" t="s">
        <v>120</v>
      </c>
      <c r="F17" s="1" t="s">
        <v>140</v>
      </c>
      <c r="G17" s="1" t="s">
        <v>1573</v>
      </c>
      <c r="H17" s="1" t="s">
        <v>84</v>
      </c>
      <c r="I17" s="1" t="s">
        <v>99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1574</v>
      </c>
      <c r="B18" s="1" t="s">
        <v>1575</v>
      </c>
      <c r="C18" s="1" t="s">
        <v>1546</v>
      </c>
      <c r="D18" s="1" t="s">
        <v>1576</v>
      </c>
      <c r="E18" s="1" t="s">
        <v>120</v>
      </c>
      <c r="F18" s="1" t="s">
        <v>145</v>
      </c>
      <c r="G18" s="1" t="s">
        <v>1564</v>
      </c>
      <c r="H18" s="1" t="s">
        <v>84</v>
      </c>
      <c r="I18" s="1" t="s">
        <v>99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1577</v>
      </c>
      <c r="B19" s="1" t="s">
        <v>1578</v>
      </c>
      <c r="C19" s="1" t="s">
        <v>1546</v>
      </c>
      <c r="D19" s="1" t="s">
        <v>1579</v>
      </c>
      <c r="E19" s="1" t="s">
        <v>120</v>
      </c>
      <c r="F19" s="1" t="s">
        <v>145</v>
      </c>
      <c r="G19" s="1" t="s">
        <v>1573</v>
      </c>
      <c r="H19" s="1" t="s">
        <v>84</v>
      </c>
      <c r="I19" s="1" t="s">
        <v>99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1580</v>
      </c>
      <c r="B20" s="1" t="s">
        <v>1395</v>
      </c>
      <c r="C20" s="1" t="s">
        <v>768</v>
      </c>
      <c r="D20" s="1" t="s">
        <v>1581</v>
      </c>
      <c r="E20" s="1" t="s">
        <v>120</v>
      </c>
      <c r="F20" s="1" t="s">
        <v>145</v>
      </c>
      <c r="G20" s="1" t="s">
        <v>1564</v>
      </c>
      <c r="H20" s="1" t="s">
        <v>84</v>
      </c>
      <c r="I20" s="1" t="s">
        <v>99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1582</v>
      </c>
      <c r="B21" s="1" t="s">
        <v>168</v>
      </c>
      <c r="C21" s="1" t="s">
        <v>1546</v>
      </c>
      <c r="D21" s="1" t="s">
        <v>1583</v>
      </c>
      <c r="E21" s="1" t="s">
        <v>120</v>
      </c>
      <c r="F21" s="1" t="s">
        <v>145</v>
      </c>
      <c r="G21" s="1" t="s">
        <v>1564</v>
      </c>
      <c r="H21" s="1" t="s">
        <v>84</v>
      </c>
      <c r="I21" s="1" t="s">
        <v>99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1584</v>
      </c>
      <c r="B22" s="1" t="s">
        <v>148</v>
      </c>
      <c r="C22" s="1" t="s">
        <v>1546</v>
      </c>
      <c r="D22" s="1" t="s">
        <v>1585</v>
      </c>
      <c r="E22" s="1" t="s">
        <v>120</v>
      </c>
      <c r="F22" s="1" t="s">
        <v>150</v>
      </c>
      <c r="G22" s="1" t="s">
        <v>1564</v>
      </c>
      <c r="H22" s="1" t="s">
        <v>84</v>
      </c>
      <c r="I22" s="1" t="s">
        <v>99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1586</v>
      </c>
      <c r="B23" s="1" t="s">
        <v>153</v>
      </c>
      <c r="C23" s="1" t="s">
        <v>1553</v>
      </c>
      <c r="D23" s="1" t="s">
        <v>1587</v>
      </c>
      <c r="E23" s="1" t="s">
        <v>120</v>
      </c>
      <c r="F23" s="1" t="s">
        <v>155</v>
      </c>
      <c r="G23" s="1" t="s">
        <v>1588</v>
      </c>
      <c r="H23" s="1" t="s">
        <v>78</v>
      </c>
      <c r="I23" s="1" t="s">
        <v>98</v>
      </c>
      <c r="J23" s="10" t="n">
        <v>46229</v>
      </c>
      <c r="K23" s="1" t="s">
        <v>1589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1590</v>
      </c>
      <c r="B24" s="1" t="s">
        <v>173</v>
      </c>
      <c r="C24" s="1" t="s">
        <v>1553</v>
      </c>
      <c r="D24" s="1" t="s">
        <v>1591</v>
      </c>
      <c r="E24" s="1" t="s">
        <v>120</v>
      </c>
      <c r="F24" s="1" t="s">
        <v>161</v>
      </c>
      <c r="G24" s="1" t="s">
        <v>1592</v>
      </c>
      <c r="H24" s="1" t="s">
        <v>78</v>
      </c>
      <c r="I24" s="1" t="s">
        <v>98</v>
      </c>
      <c r="J24" s="10" t="n">
        <v>46229</v>
      </c>
      <c r="K24" s="1" t="s">
        <v>1593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1594</v>
      </c>
      <c r="B25" s="1" t="s">
        <v>177</v>
      </c>
      <c r="C25" s="1" t="s">
        <v>1553</v>
      </c>
      <c r="D25" s="1" t="s">
        <v>1595</v>
      </c>
      <c r="E25" s="1" t="s">
        <v>120</v>
      </c>
      <c r="F25" s="1" t="s">
        <v>179</v>
      </c>
      <c r="G25" s="1" t="s">
        <v>1596</v>
      </c>
      <c r="H25" s="1" t="s">
        <v>84</v>
      </c>
      <c r="I25" s="1" t="s">
        <v>99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1597</v>
      </c>
      <c r="B26" s="1" t="s">
        <v>182</v>
      </c>
      <c r="C26" s="1" t="s">
        <v>1553</v>
      </c>
      <c r="D26" s="1" t="s">
        <v>1598</v>
      </c>
      <c r="E26" s="1" t="s">
        <v>120</v>
      </c>
      <c r="F26" s="1" t="s">
        <v>179</v>
      </c>
      <c r="G26" s="1" t="s">
        <v>1599</v>
      </c>
      <c r="H26" s="1" t="s">
        <v>84</v>
      </c>
      <c r="I26" s="1" t="s">
        <v>99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1600</v>
      </c>
      <c r="B27" s="1" t="s">
        <v>186</v>
      </c>
      <c r="C27" s="1" t="s">
        <v>1553</v>
      </c>
      <c r="D27" s="1" t="s">
        <v>1601</v>
      </c>
      <c r="E27" s="1" t="s">
        <v>188</v>
      </c>
      <c r="F27" s="1" t="s">
        <v>188</v>
      </c>
      <c r="G27" s="1" t="s">
        <v>189</v>
      </c>
      <c r="H27" s="1" t="s">
        <v>84</v>
      </c>
      <c r="I27" s="1" t="s">
        <v>99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1602</v>
      </c>
      <c r="B28" s="1" t="s">
        <v>191</v>
      </c>
      <c r="C28" s="1" t="s">
        <v>1553</v>
      </c>
      <c r="D28" s="1" t="s">
        <v>1603</v>
      </c>
      <c r="E28" s="1" t="s">
        <v>120</v>
      </c>
      <c r="F28" s="1" t="s">
        <v>120</v>
      </c>
      <c r="G28" s="1" t="s">
        <v>193</v>
      </c>
      <c r="H28" s="1" t="s">
        <v>84</v>
      </c>
      <c r="I28" s="1" t="s">
        <v>99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autoFilter ref="A8:M28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1604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1605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COUNTA(A9:A28)</f>
        <v>20</v>
      </c>
      <c r="D4" s="5" t="s">
        <v>102</v>
      </c>
      <c r="E4" s="6" t="n">
        <f aca="false">SUM(M9:M28)</f>
        <v>18</v>
      </c>
      <c r="G4" s="5" t="s">
        <v>13</v>
      </c>
      <c r="H4" s="7" t="n">
        <f aca="false">IF(B4=0,0,E4/B4)</f>
        <v>0.9</v>
      </c>
      <c r="J4" s="5" t="s">
        <v>14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IF(COUNTIFS(I9:I28,"yes",M9:M28,0)&gt;0,"open","complete")</f>
        <v>open</v>
      </c>
      <c r="D5" s="5" t="s">
        <v>15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42" hidden="false" customHeight="true" outlineLevel="0" collapsed="false">
      <c r="A9" s="1" t="s">
        <v>1606</v>
      </c>
      <c r="B9" s="1" t="s">
        <v>117</v>
      </c>
      <c r="C9" s="1" t="s">
        <v>1607</v>
      </c>
      <c r="D9" s="1" t="s">
        <v>1608</v>
      </c>
      <c r="E9" s="1" t="s">
        <v>120</v>
      </c>
      <c r="F9" s="1" t="s">
        <v>121</v>
      </c>
      <c r="G9" s="1" t="s">
        <v>1609</v>
      </c>
      <c r="H9" s="1" t="s">
        <v>84</v>
      </c>
      <c r="I9" s="1" t="s">
        <v>99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1610</v>
      </c>
      <c r="B10" s="1" t="s">
        <v>1329</v>
      </c>
      <c r="C10" s="1" t="s">
        <v>1607</v>
      </c>
      <c r="D10" s="1" t="s">
        <v>1611</v>
      </c>
      <c r="E10" s="1" t="s">
        <v>120</v>
      </c>
      <c r="F10" s="1" t="s">
        <v>140</v>
      </c>
      <c r="G10" s="1" t="s">
        <v>1612</v>
      </c>
      <c r="H10" s="1" t="s">
        <v>84</v>
      </c>
      <c r="I10" s="1" t="s">
        <v>99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1613</v>
      </c>
      <c r="B11" s="1" t="s">
        <v>124</v>
      </c>
      <c r="C11" s="1" t="s">
        <v>56</v>
      </c>
      <c r="D11" s="1" t="s">
        <v>1614</v>
      </c>
      <c r="E11" s="1" t="s">
        <v>120</v>
      </c>
      <c r="F11" s="1" t="s">
        <v>120</v>
      </c>
      <c r="G11" s="1" t="s">
        <v>126</v>
      </c>
      <c r="H11" s="1" t="s">
        <v>84</v>
      </c>
      <c r="I11" s="1" t="s">
        <v>99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1615</v>
      </c>
      <c r="B12" s="1" t="s">
        <v>128</v>
      </c>
      <c r="C12" s="1" t="s">
        <v>1607</v>
      </c>
      <c r="D12" s="1" t="s">
        <v>1616</v>
      </c>
      <c r="E12" s="1" t="s">
        <v>120</v>
      </c>
      <c r="F12" s="1" t="s">
        <v>130</v>
      </c>
      <c r="G12" s="1" t="s">
        <v>1617</v>
      </c>
      <c r="H12" s="1" t="s">
        <v>84</v>
      </c>
      <c r="I12" s="1" t="s">
        <v>99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1618</v>
      </c>
      <c r="B13" s="1" t="s">
        <v>133</v>
      </c>
      <c r="C13" s="1" t="s">
        <v>1607</v>
      </c>
      <c r="D13" s="1" t="s">
        <v>1619</v>
      </c>
      <c r="E13" s="1" t="s">
        <v>120</v>
      </c>
      <c r="F13" s="1" t="s">
        <v>135</v>
      </c>
      <c r="G13" s="1" t="s">
        <v>1620</v>
      </c>
      <c r="H13" s="1" t="s">
        <v>84</v>
      </c>
      <c r="I13" s="1" t="s">
        <v>99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1621</v>
      </c>
      <c r="B14" s="1" t="s">
        <v>1562</v>
      </c>
      <c r="C14" s="1" t="s">
        <v>1607</v>
      </c>
      <c r="D14" s="1" t="s">
        <v>1622</v>
      </c>
      <c r="E14" s="1" t="s">
        <v>120</v>
      </c>
      <c r="F14" s="1" t="s">
        <v>145</v>
      </c>
      <c r="G14" s="1" t="s">
        <v>1623</v>
      </c>
      <c r="H14" s="1" t="s">
        <v>84</v>
      </c>
      <c r="I14" s="1" t="s">
        <v>99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1624</v>
      </c>
      <c r="B15" s="1" t="s">
        <v>1566</v>
      </c>
      <c r="C15" s="1" t="s">
        <v>768</v>
      </c>
      <c r="D15" s="1" t="s">
        <v>1625</v>
      </c>
      <c r="E15" s="1" t="s">
        <v>120</v>
      </c>
      <c r="F15" s="1" t="s">
        <v>145</v>
      </c>
      <c r="G15" s="1" t="s">
        <v>1623</v>
      </c>
      <c r="H15" s="1" t="s">
        <v>84</v>
      </c>
      <c r="I15" s="1" t="s">
        <v>99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1626</v>
      </c>
      <c r="B16" s="1" t="s">
        <v>1569</v>
      </c>
      <c r="C16" s="1" t="s">
        <v>768</v>
      </c>
      <c r="D16" s="1" t="s">
        <v>1627</v>
      </c>
      <c r="E16" s="1" t="s">
        <v>120</v>
      </c>
      <c r="F16" s="1" t="s">
        <v>145</v>
      </c>
      <c r="G16" s="1" t="s">
        <v>1623</v>
      </c>
      <c r="H16" s="1" t="s">
        <v>84</v>
      </c>
      <c r="I16" s="1" t="s">
        <v>99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1628</v>
      </c>
      <c r="B17" s="1" t="s">
        <v>76</v>
      </c>
      <c r="C17" s="1" t="s">
        <v>768</v>
      </c>
      <c r="D17" s="1" t="s">
        <v>1629</v>
      </c>
      <c r="E17" s="1" t="s">
        <v>120</v>
      </c>
      <c r="F17" s="1" t="s">
        <v>140</v>
      </c>
      <c r="G17" s="1" t="s">
        <v>1630</v>
      </c>
      <c r="H17" s="1" t="s">
        <v>84</v>
      </c>
      <c r="I17" s="1" t="s">
        <v>99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1631</v>
      </c>
      <c r="B18" s="1" t="s">
        <v>1575</v>
      </c>
      <c r="C18" s="1" t="s">
        <v>1607</v>
      </c>
      <c r="D18" s="1" t="s">
        <v>1632</v>
      </c>
      <c r="E18" s="1" t="s">
        <v>120</v>
      </c>
      <c r="F18" s="1" t="s">
        <v>145</v>
      </c>
      <c r="G18" s="1" t="s">
        <v>1630</v>
      </c>
      <c r="H18" s="1" t="s">
        <v>84</v>
      </c>
      <c r="I18" s="1" t="s">
        <v>99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1633</v>
      </c>
      <c r="B19" s="1" t="s">
        <v>1578</v>
      </c>
      <c r="C19" s="1" t="s">
        <v>1607</v>
      </c>
      <c r="D19" s="1" t="s">
        <v>1634</v>
      </c>
      <c r="E19" s="1" t="s">
        <v>120</v>
      </c>
      <c r="F19" s="1" t="s">
        <v>140</v>
      </c>
      <c r="G19" s="1" t="s">
        <v>1612</v>
      </c>
      <c r="H19" s="1" t="s">
        <v>84</v>
      </c>
      <c r="I19" s="1" t="s">
        <v>99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1635</v>
      </c>
      <c r="B20" s="1" t="s">
        <v>1395</v>
      </c>
      <c r="C20" s="1" t="s">
        <v>768</v>
      </c>
      <c r="D20" s="1" t="s">
        <v>1636</v>
      </c>
      <c r="E20" s="1" t="s">
        <v>120</v>
      </c>
      <c r="F20" s="1" t="s">
        <v>145</v>
      </c>
      <c r="G20" s="1" t="s">
        <v>1623</v>
      </c>
      <c r="H20" s="1" t="s">
        <v>84</v>
      </c>
      <c r="I20" s="1" t="s">
        <v>99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1637</v>
      </c>
      <c r="B21" s="1" t="s">
        <v>168</v>
      </c>
      <c r="C21" s="1" t="s">
        <v>1607</v>
      </c>
      <c r="D21" s="1" t="s">
        <v>1638</v>
      </c>
      <c r="E21" s="1" t="s">
        <v>120</v>
      </c>
      <c r="F21" s="1" t="s">
        <v>145</v>
      </c>
      <c r="G21" s="1" t="s">
        <v>1623</v>
      </c>
      <c r="H21" s="1" t="s">
        <v>84</v>
      </c>
      <c r="I21" s="1" t="s">
        <v>99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1639</v>
      </c>
      <c r="B22" s="1" t="s">
        <v>148</v>
      </c>
      <c r="C22" s="1" t="s">
        <v>1607</v>
      </c>
      <c r="D22" s="1" t="s">
        <v>1640</v>
      </c>
      <c r="E22" s="1" t="s">
        <v>120</v>
      </c>
      <c r="F22" s="1" t="s">
        <v>150</v>
      </c>
      <c r="G22" s="1" t="s">
        <v>1623</v>
      </c>
      <c r="H22" s="1" t="s">
        <v>84</v>
      </c>
      <c r="I22" s="1" t="s">
        <v>99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1641</v>
      </c>
      <c r="B23" s="1" t="s">
        <v>153</v>
      </c>
      <c r="C23" s="1" t="s">
        <v>56</v>
      </c>
      <c r="D23" s="1" t="s">
        <v>1642</v>
      </c>
      <c r="E23" s="1" t="s">
        <v>120</v>
      </c>
      <c r="F23" s="1" t="s">
        <v>155</v>
      </c>
      <c r="G23" s="1" t="s">
        <v>1643</v>
      </c>
      <c r="H23" s="1" t="s">
        <v>78</v>
      </c>
      <c r="I23" s="1" t="s">
        <v>98</v>
      </c>
      <c r="J23" s="10" t="n">
        <v>46229</v>
      </c>
      <c r="K23" s="1" t="s">
        <v>1644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1645</v>
      </c>
      <c r="B24" s="1" t="s">
        <v>173</v>
      </c>
      <c r="C24" s="1" t="s">
        <v>56</v>
      </c>
      <c r="D24" s="1" t="s">
        <v>1646</v>
      </c>
      <c r="E24" s="1" t="s">
        <v>120</v>
      </c>
      <c r="F24" s="1" t="s">
        <v>161</v>
      </c>
      <c r="G24" s="1" t="s">
        <v>1647</v>
      </c>
      <c r="H24" s="1" t="s">
        <v>78</v>
      </c>
      <c r="I24" s="1" t="s">
        <v>98</v>
      </c>
      <c r="J24" s="10" t="n">
        <v>46229</v>
      </c>
      <c r="K24" s="1" t="s">
        <v>1648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1649</v>
      </c>
      <c r="B25" s="1" t="s">
        <v>177</v>
      </c>
      <c r="C25" s="1" t="s">
        <v>56</v>
      </c>
      <c r="D25" s="1" t="s">
        <v>1595</v>
      </c>
      <c r="E25" s="1" t="s">
        <v>120</v>
      </c>
      <c r="F25" s="1" t="s">
        <v>179</v>
      </c>
      <c r="G25" s="1" t="s">
        <v>1650</v>
      </c>
      <c r="H25" s="1" t="s">
        <v>84</v>
      </c>
      <c r="I25" s="1" t="s">
        <v>99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1651</v>
      </c>
      <c r="B26" s="1" t="s">
        <v>182</v>
      </c>
      <c r="C26" s="1" t="s">
        <v>56</v>
      </c>
      <c r="D26" s="1" t="s">
        <v>1598</v>
      </c>
      <c r="E26" s="1" t="s">
        <v>120</v>
      </c>
      <c r="F26" s="1" t="s">
        <v>179</v>
      </c>
      <c r="G26" s="1" t="s">
        <v>1652</v>
      </c>
      <c r="H26" s="1" t="s">
        <v>84</v>
      </c>
      <c r="I26" s="1" t="s">
        <v>99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1653</v>
      </c>
      <c r="B27" s="1" t="s">
        <v>186</v>
      </c>
      <c r="C27" s="1" t="s">
        <v>56</v>
      </c>
      <c r="D27" s="1" t="s">
        <v>1654</v>
      </c>
      <c r="E27" s="1" t="s">
        <v>188</v>
      </c>
      <c r="F27" s="1" t="s">
        <v>188</v>
      </c>
      <c r="G27" s="1" t="s">
        <v>189</v>
      </c>
      <c r="H27" s="1" t="s">
        <v>84</v>
      </c>
      <c r="I27" s="1" t="s">
        <v>99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1655</v>
      </c>
      <c r="B28" s="1" t="s">
        <v>191</v>
      </c>
      <c r="C28" s="1" t="s">
        <v>56</v>
      </c>
      <c r="D28" s="1" t="s">
        <v>1656</v>
      </c>
      <c r="E28" s="1" t="s">
        <v>120</v>
      </c>
      <c r="F28" s="1" t="s">
        <v>120</v>
      </c>
      <c r="G28" s="1" t="s">
        <v>193</v>
      </c>
      <c r="H28" s="1" t="s">
        <v>84</v>
      </c>
      <c r="I28" s="1" t="s">
        <v>99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1657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1658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COUNTA(A9:A31)</f>
        <v>23</v>
      </c>
      <c r="D4" s="5" t="s">
        <v>102</v>
      </c>
      <c r="E4" s="6" t="n">
        <f aca="false">SUM(M9:M31)</f>
        <v>22</v>
      </c>
      <c r="G4" s="5" t="s">
        <v>13</v>
      </c>
      <c r="H4" s="7" t="n">
        <f aca="false">IF(B4=0,0,E4/B4)</f>
        <v>0.956521739130435</v>
      </c>
      <c r="J4" s="5" t="s">
        <v>14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IF(COUNTIFS(I9:I31,"yes",M9:M31,0)&gt;0,"open","complete")</f>
        <v>open</v>
      </c>
      <c r="D5" s="5" t="s">
        <v>15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42" hidden="false" customHeight="true" outlineLevel="0" collapsed="false">
      <c r="A9" s="1" t="s">
        <v>1659</v>
      </c>
      <c r="B9" s="1" t="s">
        <v>76</v>
      </c>
      <c r="C9" s="1" t="s">
        <v>1660</v>
      </c>
      <c r="D9" s="1" t="s">
        <v>1661</v>
      </c>
      <c r="E9" s="1" t="s">
        <v>120</v>
      </c>
      <c r="F9" s="1" t="s">
        <v>121</v>
      </c>
      <c r="G9" s="1" t="s">
        <v>1662</v>
      </c>
      <c r="H9" s="1" t="s">
        <v>84</v>
      </c>
      <c r="I9" s="1" t="s">
        <v>99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1663</v>
      </c>
      <c r="B10" s="1" t="s">
        <v>1329</v>
      </c>
      <c r="C10" s="1" t="s">
        <v>1170</v>
      </c>
      <c r="D10" s="1" t="s">
        <v>1664</v>
      </c>
      <c r="E10" s="1" t="s">
        <v>120</v>
      </c>
      <c r="F10" s="1" t="s">
        <v>140</v>
      </c>
      <c r="G10" s="1" t="s">
        <v>1665</v>
      </c>
      <c r="H10" s="1" t="s">
        <v>84</v>
      </c>
      <c r="I10" s="1" t="s">
        <v>99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1666</v>
      </c>
      <c r="B11" s="1" t="s">
        <v>124</v>
      </c>
      <c r="C11" s="1" t="s">
        <v>57</v>
      </c>
      <c r="D11" s="1" t="s">
        <v>1667</v>
      </c>
      <c r="E11" s="1" t="s">
        <v>120</v>
      </c>
      <c r="F11" s="1" t="s">
        <v>120</v>
      </c>
      <c r="G11" s="1" t="s">
        <v>126</v>
      </c>
      <c r="H11" s="1" t="s">
        <v>84</v>
      </c>
      <c r="I11" s="1" t="s">
        <v>99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1668</v>
      </c>
      <c r="B12" s="1" t="s">
        <v>128</v>
      </c>
      <c r="C12" s="1" t="s">
        <v>1170</v>
      </c>
      <c r="D12" s="1" t="s">
        <v>1669</v>
      </c>
      <c r="E12" s="1" t="s">
        <v>120</v>
      </c>
      <c r="F12" s="1" t="s">
        <v>130</v>
      </c>
      <c r="G12" s="1" t="s">
        <v>1670</v>
      </c>
      <c r="H12" s="1" t="s">
        <v>84</v>
      </c>
      <c r="I12" s="1" t="s">
        <v>99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1671</v>
      </c>
      <c r="B13" s="1" t="s">
        <v>133</v>
      </c>
      <c r="C13" s="1" t="s">
        <v>1170</v>
      </c>
      <c r="D13" s="1" t="s">
        <v>1672</v>
      </c>
      <c r="E13" s="1" t="s">
        <v>120</v>
      </c>
      <c r="F13" s="1" t="s">
        <v>135</v>
      </c>
      <c r="G13" s="1" t="s">
        <v>1673</v>
      </c>
      <c r="H13" s="1" t="s">
        <v>84</v>
      </c>
      <c r="I13" s="1" t="s">
        <v>99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1674</v>
      </c>
      <c r="B14" s="1" t="s">
        <v>1562</v>
      </c>
      <c r="C14" s="1" t="s">
        <v>1675</v>
      </c>
      <c r="D14" s="1" t="s">
        <v>1676</v>
      </c>
      <c r="E14" s="1" t="s">
        <v>120</v>
      </c>
      <c r="F14" s="1" t="s">
        <v>145</v>
      </c>
      <c r="G14" s="1" t="s">
        <v>1677</v>
      </c>
      <c r="H14" s="1" t="s">
        <v>84</v>
      </c>
      <c r="I14" s="1" t="s">
        <v>99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1678</v>
      </c>
      <c r="B15" s="1" t="s">
        <v>1679</v>
      </c>
      <c r="C15" s="1" t="s">
        <v>1680</v>
      </c>
      <c r="D15" s="1" t="s">
        <v>1681</v>
      </c>
      <c r="E15" s="1" t="s">
        <v>120</v>
      </c>
      <c r="F15" s="1" t="s">
        <v>155</v>
      </c>
      <c r="G15" s="1" t="s">
        <v>1682</v>
      </c>
      <c r="H15" s="1" t="s">
        <v>86</v>
      </c>
      <c r="I15" s="1" t="s">
        <v>98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1683</v>
      </c>
      <c r="B16" s="1" t="s">
        <v>1684</v>
      </c>
      <c r="C16" s="1" t="s">
        <v>768</v>
      </c>
      <c r="D16" s="1" t="s">
        <v>1685</v>
      </c>
      <c r="E16" s="1" t="s">
        <v>120</v>
      </c>
      <c r="F16" s="1" t="s">
        <v>155</v>
      </c>
      <c r="G16" s="1" t="s">
        <v>1682</v>
      </c>
      <c r="H16" s="1" t="s">
        <v>86</v>
      </c>
      <c r="I16" s="1" t="s">
        <v>98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1686</v>
      </c>
      <c r="B17" s="1" t="s">
        <v>1072</v>
      </c>
      <c r="C17" s="1" t="s">
        <v>1687</v>
      </c>
      <c r="D17" s="1" t="s">
        <v>1688</v>
      </c>
      <c r="E17" s="1" t="s">
        <v>120</v>
      </c>
      <c r="F17" s="1" t="s">
        <v>145</v>
      </c>
      <c r="G17" s="1" t="s">
        <v>1689</v>
      </c>
      <c r="H17" s="1" t="s">
        <v>84</v>
      </c>
      <c r="I17" s="1" t="s">
        <v>99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1690</v>
      </c>
      <c r="B18" s="1" t="s">
        <v>1691</v>
      </c>
      <c r="C18" s="1" t="s">
        <v>1692</v>
      </c>
      <c r="D18" s="1" t="s">
        <v>1693</v>
      </c>
      <c r="E18" s="1" t="s">
        <v>120</v>
      </c>
      <c r="F18" s="1" t="s">
        <v>150</v>
      </c>
      <c r="G18" s="1" t="s">
        <v>1694</v>
      </c>
      <c r="H18" s="1" t="s">
        <v>84</v>
      </c>
      <c r="I18" s="1" t="s">
        <v>99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1695</v>
      </c>
      <c r="B19" s="1" t="s">
        <v>1696</v>
      </c>
      <c r="C19" s="1" t="s">
        <v>1697</v>
      </c>
      <c r="D19" s="1" t="s">
        <v>1698</v>
      </c>
      <c r="E19" s="1" t="s">
        <v>120</v>
      </c>
      <c r="F19" s="1" t="s">
        <v>140</v>
      </c>
      <c r="G19" s="1" t="s">
        <v>1694</v>
      </c>
      <c r="H19" s="1" t="s">
        <v>84</v>
      </c>
      <c r="I19" s="1" t="s">
        <v>99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1699</v>
      </c>
      <c r="B20" s="1" t="s">
        <v>1700</v>
      </c>
      <c r="C20" s="1" t="s">
        <v>1697</v>
      </c>
      <c r="D20" s="1" t="s">
        <v>1701</v>
      </c>
      <c r="E20" s="1" t="s">
        <v>120</v>
      </c>
      <c r="F20" s="1" t="s">
        <v>145</v>
      </c>
      <c r="G20" s="1" t="s">
        <v>1677</v>
      </c>
      <c r="H20" s="1" t="s">
        <v>84</v>
      </c>
      <c r="I20" s="1" t="s">
        <v>99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1702</v>
      </c>
      <c r="B21" s="1" t="s">
        <v>1703</v>
      </c>
      <c r="C21" s="1" t="s">
        <v>32</v>
      </c>
      <c r="D21" s="1" t="s">
        <v>1704</v>
      </c>
      <c r="E21" s="1" t="s">
        <v>120</v>
      </c>
      <c r="F21" s="1" t="s">
        <v>145</v>
      </c>
      <c r="G21" s="1" t="s">
        <v>1677</v>
      </c>
      <c r="H21" s="1" t="s">
        <v>84</v>
      </c>
      <c r="I21" s="1" t="s">
        <v>99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1705</v>
      </c>
      <c r="B22" s="1" t="s">
        <v>168</v>
      </c>
      <c r="C22" s="1" t="s">
        <v>1170</v>
      </c>
      <c r="D22" s="1" t="s">
        <v>1706</v>
      </c>
      <c r="E22" s="1" t="s">
        <v>120</v>
      </c>
      <c r="F22" s="1" t="s">
        <v>145</v>
      </c>
      <c r="G22" s="1" t="s">
        <v>1694</v>
      </c>
      <c r="H22" s="1" t="s">
        <v>84</v>
      </c>
      <c r="I22" s="1" t="s">
        <v>99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1707</v>
      </c>
      <c r="B23" s="1" t="s">
        <v>159</v>
      </c>
      <c r="C23" s="1" t="s">
        <v>1708</v>
      </c>
      <c r="D23" s="1" t="s">
        <v>1709</v>
      </c>
      <c r="E23" s="1" t="s">
        <v>120</v>
      </c>
      <c r="F23" s="1" t="s">
        <v>145</v>
      </c>
      <c r="G23" s="1" t="s">
        <v>1689</v>
      </c>
      <c r="H23" s="1" t="s">
        <v>84</v>
      </c>
      <c r="I23" s="1" t="s">
        <v>99</v>
      </c>
      <c r="J23" s="10" t="n">
        <v>46229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1710</v>
      </c>
      <c r="B24" s="1" t="s">
        <v>148</v>
      </c>
      <c r="C24" s="1" t="s">
        <v>1170</v>
      </c>
      <c r="D24" s="1" t="s">
        <v>1711</v>
      </c>
      <c r="E24" s="1" t="s">
        <v>120</v>
      </c>
      <c r="F24" s="1" t="s">
        <v>150</v>
      </c>
      <c r="G24" s="1" t="s">
        <v>1677</v>
      </c>
      <c r="H24" s="1" t="s">
        <v>84</v>
      </c>
      <c r="I24" s="1" t="s">
        <v>99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15" hidden="false" customHeight="true" outlineLevel="0" collapsed="false">
      <c r="A25" s="1" t="s">
        <v>1712</v>
      </c>
      <c r="B25" s="1" t="s">
        <v>153</v>
      </c>
      <c r="C25" s="1" t="s">
        <v>57</v>
      </c>
      <c r="D25" s="1" t="s">
        <v>1713</v>
      </c>
      <c r="E25" s="1" t="s">
        <v>120</v>
      </c>
      <c r="F25" s="1" t="s">
        <v>155</v>
      </c>
      <c r="G25" s="1" t="s">
        <v>1682</v>
      </c>
      <c r="H25" s="1" t="s">
        <v>86</v>
      </c>
      <c r="I25" s="1" t="s">
        <v>98</v>
      </c>
      <c r="J25" s="10" t="n">
        <v>46229</v>
      </c>
      <c r="K25" s="1" t="s">
        <v>1714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1715</v>
      </c>
      <c r="B26" s="1" t="s">
        <v>173</v>
      </c>
      <c r="C26" s="1" t="s">
        <v>57</v>
      </c>
      <c r="D26" s="1" t="s">
        <v>1716</v>
      </c>
      <c r="E26" s="1" t="s">
        <v>120</v>
      </c>
      <c r="F26" s="1" t="s">
        <v>161</v>
      </c>
      <c r="G26" s="1" t="s">
        <v>1717</v>
      </c>
      <c r="H26" s="1" t="s">
        <v>78</v>
      </c>
      <c r="I26" s="1" t="s">
        <v>98</v>
      </c>
      <c r="J26" s="10" t="n">
        <v>46229</v>
      </c>
      <c r="K26" s="1" t="s">
        <v>1648</v>
      </c>
      <c r="L26" s="1" t="n">
        <v>1</v>
      </c>
      <c r="M26" s="1" t="n">
        <f aca="false">IF(OR(AND(I26="yes",H26="verified"),AND(I26="no",OR(H26="tested",H26="verified")),AND(H26="not applicable",K26&lt;&gt;"")),1,0)</f>
        <v>0</v>
      </c>
    </row>
    <row r="27" customFormat="false" ht="15" hidden="false" customHeight="true" outlineLevel="0" collapsed="false">
      <c r="A27" s="1" t="s">
        <v>1718</v>
      </c>
      <c r="B27" s="1" t="s">
        <v>177</v>
      </c>
      <c r="C27" s="1" t="s">
        <v>57</v>
      </c>
      <c r="D27" s="1" t="s">
        <v>1719</v>
      </c>
      <c r="E27" s="1" t="s">
        <v>120</v>
      </c>
      <c r="F27" s="1" t="s">
        <v>179</v>
      </c>
      <c r="G27" s="1" t="s">
        <v>1720</v>
      </c>
      <c r="H27" s="1" t="s">
        <v>84</v>
      </c>
      <c r="I27" s="1" t="s">
        <v>99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1721</v>
      </c>
      <c r="B28" s="1" t="s">
        <v>182</v>
      </c>
      <c r="C28" s="1" t="s">
        <v>57</v>
      </c>
      <c r="D28" s="1" t="s">
        <v>1722</v>
      </c>
      <c r="E28" s="1" t="s">
        <v>120</v>
      </c>
      <c r="F28" s="1" t="s">
        <v>179</v>
      </c>
      <c r="G28" s="1" t="s">
        <v>1723</v>
      </c>
      <c r="H28" s="1" t="s">
        <v>84</v>
      </c>
      <c r="I28" s="1" t="s">
        <v>99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15" hidden="false" customHeight="true" outlineLevel="0" collapsed="false">
      <c r="A29" s="1" t="s">
        <v>1724</v>
      </c>
      <c r="B29" s="1" t="s">
        <v>608</v>
      </c>
      <c r="C29" s="1" t="s">
        <v>57</v>
      </c>
      <c r="D29" s="1" t="s">
        <v>1725</v>
      </c>
      <c r="E29" s="1" t="s">
        <v>120</v>
      </c>
      <c r="F29" s="1" t="s">
        <v>610</v>
      </c>
      <c r="G29" s="1" t="s">
        <v>1726</v>
      </c>
      <c r="H29" s="1" t="s">
        <v>84</v>
      </c>
      <c r="I29" s="1" t="s">
        <v>99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15" hidden="false" customHeight="true" outlineLevel="0" collapsed="false">
      <c r="A30" s="1" t="s">
        <v>1727</v>
      </c>
      <c r="B30" s="1" t="s">
        <v>186</v>
      </c>
      <c r="C30" s="1" t="s">
        <v>57</v>
      </c>
      <c r="D30" s="1" t="s">
        <v>1728</v>
      </c>
      <c r="E30" s="1" t="s">
        <v>188</v>
      </c>
      <c r="F30" s="1" t="s">
        <v>188</v>
      </c>
      <c r="G30" s="1" t="s">
        <v>189</v>
      </c>
      <c r="H30" s="1" t="s">
        <v>84</v>
      </c>
      <c r="I30" s="1" t="s">
        <v>99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" t="s">
        <v>1729</v>
      </c>
      <c r="B31" s="1" t="s">
        <v>191</v>
      </c>
      <c r="C31" s="1" t="s">
        <v>57</v>
      </c>
      <c r="D31" s="1" t="s">
        <v>1730</v>
      </c>
      <c r="E31" s="1" t="s">
        <v>120</v>
      </c>
      <c r="F31" s="1" t="s">
        <v>120</v>
      </c>
      <c r="G31" s="1" t="s">
        <v>193</v>
      </c>
      <c r="H31" s="1" t="s">
        <v>84</v>
      </c>
      <c r="I31" s="1" t="s">
        <v>99</v>
      </c>
      <c r="J31" s="10" t="n">
        <v>46229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1731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1732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COUNTA(A9:A31)</f>
        <v>23</v>
      </c>
      <c r="D4" s="5" t="s">
        <v>102</v>
      </c>
      <c r="E4" s="6" t="n">
        <f aca="false">SUM(M9:M31)</f>
        <v>22</v>
      </c>
      <c r="G4" s="5" t="s">
        <v>13</v>
      </c>
      <c r="H4" s="7" t="n">
        <f aca="false">IF(B4=0,0,E4/B4)</f>
        <v>0.956521739130435</v>
      </c>
      <c r="J4" s="5" t="s">
        <v>14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IF(COUNTIFS(I9:I31,"yes",M9:M31,0)&gt;0,"open","complete")</f>
        <v>open</v>
      </c>
      <c r="D5" s="5" t="s">
        <v>15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1733</v>
      </c>
      <c r="B9" s="1" t="s">
        <v>76</v>
      </c>
      <c r="C9" s="1" t="s">
        <v>1170</v>
      </c>
      <c r="D9" s="1" t="s">
        <v>1734</v>
      </c>
      <c r="E9" s="1" t="s">
        <v>120</v>
      </c>
      <c r="F9" s="1" t="s">
        <v>121</v>
      </c>
      <c r="G9" s="1" t="s">
        <v>1735</v>
      </c>
      <c r="H9" s="8" t="s">
        <v>84</v>
      </c>
      <c r="I9" s="8" t="s">
        <v>99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1736</v>
      </c>
      <c r="B10" s="1" t="s">
        <v>1329</v>
      </c>
      <c r="C10" s="1" t="s">
        <v>1737</v>
      </c>
      <c r="D10" s="1" t="s">
        <v>1738</v>
      </c>
      <c r="E10" s="1" t="s">
        <v>120</v>
      </c>
      <c r="F10" s="1" t="s">
        <v>140</v>
      </c>
      <c r="G10" s="1" t="s">
        <v>1739</v>
      </c>
      <c r="H10" s="8" t="s">
        <v>84</v>
      </c>
      <c r="I10" s="8" t="s">
        <v>99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1740</v>
      </c>
      <c r="B11" s="1" t="s">
        <v>124</v>
      </c>
      <c r="C11" s="1" t="s">
        <v>58</v>
      </c>
      <c r="D11" s="1" t="s">
        <v>1741</v>
      </c>
      <c r="E11" s="1" t="s">
        <v>120</v>
      </c>
      <c r="F11" s="1" t="s">
        <v>120</v>
      </c>
      <c r="G11" s="1" t="s">
        <v>126</v>
      </c>
      <c r="H11" s="8" t="s">
        <v>84</v>
      </c>
      <c r="I11" s="8" t="s">
        <v>99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1742</v>
      </c>
      <c r="B12" s="1" t="s">
        <v>128</v>
      </c>
      <c r="C12" s="1" t="s">
        <v>1170</v>
      </c>
      <c r="D12" s="1" t="s">
        <v>1743</v>
      </c>
      <c r="E12" s="1" t="s">
        <v>120</v>
      </c>
      <c r="F12" s="1" t="s">
        <v>130</v>
      </c>
      <c r="G12" s="1" t="s">
        <v>1744</v>
      </c>
      <c r="H12" s="8" t="s">
        <v>84</v>
      </c>
      <c r="I12" s="8" t="s">
        <v>99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1745</v>
      </c>
      <c r="B13" s="1" t="s">
        <v>133</v>
      </c>
      <c r="C13" s="1" t="s">
        <v>1170</v>
      </c>
      <c r="D13" s="1" t="s">
        <v>1746</v>
      </c>
      <c r="E13" s="1" t="s">
        <v>120</v>
      </c>
      <c r="F13" s="1" t="s">
        <v>135</v>
      </c>
      <c r="G13" s="1" t="s">
        <v>1747</v>
      </c>
      <c r="H13" s="8" t="s">
        <v>84</v>
      </c>
      <c r="I13" s="8" t="s">
        <v>99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1748</v>
      </c>
      <c r="B14" s="1" t="s">
        <v>1562</v>
      </c>
      <c r="C14" s="1" t="s">
        <v>1749</v>
      </c>
      <c r="D14" s="1" t="s">
        <v>1750</v>
      </c>
      <c r="E14" s="1" t="s">
        <v>120</v>
      </c>
      <c r="F14" s="1" t="s">
        <v>145</v>
      </c>
      <c r="G14" s="1" t="s">
        <v>1751</v>
      </c>
      <c r="H14" s="8" t="s">
        <v>84</v>
      </c>
      <c r="I14" s="8" t="s">
        <v>99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1752</v>
      </c>
      <c r="B15" s="1" t="s">
        <v>1679</v>
      </c>
      <c r="C15" s="1" t="s">
        <v>1170</v>
      </c>
      <c r="D15" s="1" t="s">
        <v>1753</v>
      </c>
      <c r="E15" s="1" t="s">
        <v>120</v>
      </c>
      <c r="F15" s="1" t="s">
        <v>155</v>
      </c>
      <c r="G15" s="1" t="s">
        <v>1754</v>
      </c>
      <c r="H15" s="8" t="s">
        <v>86</v>
      </c>
      <c r="I15" s="8" t="s">
        <v>98</v>
      </c>
      <c r="J15" s="10" t="n">
        <v>46229</v>
      </c>
      <c r="K15" s="1" t="s">
        <v>1755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1756</v>
      </c>
      <c r="B16" s="1" t="s">
        <v>1684</v>
      </c>
      <c r="C16" s="1" t="s">
        <v>1757</v>
      </c>
      <c r="D16" s="1" t="s">
        <v>1758</v>
      </c>
      <c r="E16" s="1" t="s">
        <v>120</v>
      </c>
      <c r="F16" s="1" t="s">
        <v>155</v>
      </c>
      <c r="G16" s="1" t="s">
        <v>1754</v>
      </c>
      <c r="H16" s="8" t="s">
        <v>86</v>
      </c>
      <c r="I16" s="8" t="s">
        <v>98</v>
      </c>
      <c r="J16" s="10" t="n">
        <v>46229</v>
      </c>
      <c r="K16" s="1" t="s">
        <v>1759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1760</v>
      </c>
      <c r="B17" s="1" t="s">
        <v>1761</v>
      </c>
      <c r="C17" s="1" t="s">
        <v>1762</v>
      </c>
      <c r="D17" s="1" t="s">
        <v>1763</v>
      </c>
      <c r="E17" s="1" t="s">
        <v>120</v>
      </c>
      <c r="F17" s="1" t="s">
        <v>145</v>
      </c>
      <c r="G17" s="1" t="s">
        <v>1764</v>
      </c>
      <c r="H17" s="8" t="s">
        <v>84</v>
      </c>
      <c r="I17" s="8" t="s">
        <v>99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1765</v>
      </c>
      <c r="B18" s="1" t="s">
        <v>1575</v>
      </c>
      <c r="C18" s="1" t="s">
        <v>1766</v>
      </c>
      <c r="D18" s="1" t="s">
        <v>1767</v>
      </c>
      <c r="E18" s="1" t="s">
        <v>120</v>
      </c>
      <c r="F18" s="1" t="s">
        <v>145</v>
      </c>
      <c r="G18" s="1" t="s">
        <v>1764</v>
      </c>
      <c r="H18" s="8" t="s">
        <v>84</v>
      </c>
      <c r="I18" s="8" t="s">
        <v>99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1768</v>
      </c>
      <c r="B19" s="1" t="s">
        <v>1769</v>
      </c>
      <c r="C19" s="1" t="s">
        <v>1762</v>
      </c>
      <c r="D19" s="1" t="s">
        <v>1770</v>
      </c>
      <c r="E19" s="1" t="s">
        <v>120</v>
      </c>
      <c r="F19" s="1" t="s">
        <v>145</v>
      </c>
      <c r="G19" s="1" t="s">
        <v>1751</v>
      </c>
      <c r="H19" s="8" t="s">
        <v>84</v>
      </c>
      <c r="I19" s="8" t="s">
        <v>99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1771</v>
      </c>
      <c r="B20" s="1" t="s">
        <v>1772</v>
      </c>
      <c r="C20" s="1" t="s">
        <v>1072</v>
      </c>
      <c r="D20" s="1" t="s">
        <v>1773</v>
      </c>
      <c r="E20" s="1" t="s">
        <v>120</v>
      </c>
      <c r="F20" s="1" t="s">
        <v>140</v>
      </c>
      <c r="G20" s="1" t="s">
        <v>1774</v>
      </c>
      <c r="H20" s="8" t="s">
        <v>84</v>
      </c>
      <c r="I20" s="8" t="s">
        <v>99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1775</v>
      </c>
      <c r="B21" s="1" t="s">
        <v>1776</v>
      </c>
      <c r="C21" s="1" t="s">
        <v>1776</v>
      </c>
      <c r="D21" s="1" t="s">
        <v>1777</v>
      </c>
      <c r="E21" s="1" t="s">
        <v>120</v>
      </c>
      <c r="F21" s="1" t="s">
        <v>155</v>
      </c>
      <c r="G21" s="1" t="s">
        <v>1754</v>
      </c>
      <c r="H21" s="8" t="s">
        <v>86</v>
      </c>
      <c r="I21" s="8" t="s">
        <v>98</v>
      </c>
      <c r="J21" s="10" t="n">
        <v>46229</v>
      </c>
      <c r="K21" s="1" t="s">
        <v>1778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1779</v>
      </c>
      <c r="B22" s="1" t="s">
        <v>168</v>
      </c>
      <c r="C22" s="1" t="s">
        <v>1749</v>
      </c>
      <c r="D22" s="1" t="s">
        <v>1780</v>
      </c>
      <c r="E22" s="1" t="s">
        <v>120</v>
      </c>
      <c r="F22" s="1" t="s">
        <v>145</v>
      </c>
      <c r="G22" s="1" t="s">
        <v>1774</v>
      </c>
      <c r="H22" s="8" t="s">
        <v>84</v>
      </c>
      <c r="I22" s="8" t="s">
        <v>99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1781</v>
      </c>
      <c r="B23" s="1" t="s">
        <v>159</v>
      </c>
      <c r="C23" s="1" t="s">
        <v>1708</v>
      </c>
      <c r="D23" s="1" t="s">
        <v>1782</v>
      </c>
      <c r="E23" s="1" t="s">
        <v>120</v>
      </c>
      <c r="F23" s="1" t="s">
        <v>145</v>
      </c>
      <c r="G23" s="1" t="s">
        <v>1764</v>
      </c>
      <c r="H23" s="8" t="s">
        <v>84</v>
      </c>
      <c r="I23" s="8" t="s">
        <v>99</v>
      </c>
      <c r="J23" s="10" t="n">
        <v>46229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1783</v>
      </c>
      <c r="B24" s="1" t="s">
        <v>1215</v>
      </c>
      <c r="C24" s="1" t="s">
        <v>1708</v>
      </c>
      <c r="D24" s="1" t="s">
        <v>1784</v>
      </c>
      <c r="E24" s="1" t="s">
        <v>120</v>
      </c>
      <c r="F24" s="1" t="s">
        <v>145</v>
      </c>
      <c r="G24" s="1" t="s">
        <v>1751</v>
      </c>
      <c r="H24" s="8" t="s">
        <v>84</v>
      </c>
      <c r="I24" s="8" t="s">
        <v>99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1785</v>
      </c>
      <c r="B25" s="1" t="s">
        <v>148</v>
      </c>
      <c r="C25" s="1" t="s">
        <v>1170</v>
      </c>
      <c r="D25" s="1" t="s">
        <v>1786</v>
      </c>
      <c r="E25" s="1" t="s">
        <v>120</v>
      </c>
      <c r="F25" s="1" t="s">
        <v>150</v>
      </c>
      <c r="G25" s="1" t="s">
        <v>1751</v>
      </c>
      <c r="H25" s="8" t="s">
        <v>84</v>
      </c>
      <c r="I25" s="8" t="s">
        <v>99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1787</v>
      </c>
      <c r="B26" s="1" t="s">
        <v>153</v>
      </c>
      <c r="C26" s="1" t="s">
        <v>58</v>
      </c>
      <c r="D26" s="1" t="s">
        <v>1788</v>
      </c>
      <c r="E26" s="1" t="s">
        <v>120</v>
      </c>
      <c r="F26" s="1" t="s">
        <v>155</v>
      </c>
      <c r="G26" s="1" t="s">
        <v>1754</v>
      </c>
      <c r="H26" s="8" t="s">
        <v>86</v>
      </c>
      <c r="I26" s="8" t="s">
        <v>98</v>
      </c>
      <c r="J26" s="10" t="n">
        <v>46229</v>
      </c>
      <c r="K26" s="1" t="s">
        <v>1789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1790</v>
      </c>
      <c r="B27" s="1" t="s">
        <v>173</v>
      </c>
      <c r="C27" s="1" t="s">
        <v>58</v>
      </c>
      <c r="D27" s="1" t="s">
        <v>1791</v>
      </c>
      <c r="E27" s="1" t="s">
        <v>120</v>
      </c>
      <c r="F27" s="1" t="s">
        <v>161</v>
      </c>
      <c r="G27" s="1" t="s">
        <v>1792</v>
      </c>
      <c r="H27" s="8" t="s">
        <v>78</v>
      </c>
      <c r="I27" s="8" t="s">
        <v>98</v>
      </c>
      <c r="J27" s="10" t="n">
        <v>46229</v>
      </c>
      <c r="K27" s="1" t="s">
        <v>1793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1794</v>
      </c>
      <c r="B28" s="1" t="s">
        <v>177</v>
      </c>
      <c r="C28" s="1" t="s">
        <v>58</v>
      </c>
      <c r="D28" s="1" t="s">
        <v>1795</v>
      </c>
      <c r="E28" s="1" t="s">
        <v>120</v>
      </c>
      <c r="F28" s="1" t="s">
        <v>179</v>
      </c>
      <c r="G28" s="1" t="s">
        <v>1796</v>
      </c>
      <c r="H28" s="8" t="s">
        <v>84</v>
      </c>
      <c r="I28" s="8" t="s">
        <v>99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1797</v>
      </c>
      <c r="B29" s="1" t="s">
        <v>608</v>
      </c>
      <c r="C29" s="1" t="s">
        <v>58</v>
      </c>
      <c r="D29" s="1" t="s">
        <v>1798</v>
      </c>
      <c r="E29" s="1" t="s">
        <v>120</v>
      </c>
      <c r="F29" s="1" t="s">
        <v>610</v>
      </c>
      <c r="G29" s="1" t="s">
        <v>1799</v>
      </c>
      <c r="H29" s="8" t="s">
        <v>84</v>
      </c>
      <c r="I29" s="8" t="s">
        <v>99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1800</v>
      </c>
      <c r="B30" s="1" t="s">
        <v>186</v>
      </c>
      <c r="C30" s="1" t="s">
        <v>58</v>
      </c>
      <c r="D30" s="1" t="s">
        <v>1801</v>
      </c>
      <c r="E30" s="1" t="s">
        <v>188</v>
      </c>
      <c r="F30" s="1" t="s">
        <v>188</v>
      </c>
      <c r="G30" s="1" t="s">
        <v>189</v>
      </c>
      <c r="H30" s="8" t="s">
        <v>84</v>
      </c>
      <c r="I30" s="8" t="s">
        <v>99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1802</v>
      </c>
      <c r="B31" s="1" t="s">
        <v>191</v>
      </c>
      <c r="C31" s="1" t="s">
        <v>58</v>
      </c>
      <c r="D31" s="1" t="s">
        <v>1803</v>
      </c>
      <c r="E31" s="1" t="s">
        <v>120</v>
      </c>
      <c r="F31" s="1" t="s">
        <v>120</v>
      </c>
      <c r="G31" s="1" t="s">
        <v>193</v>
      </c>
      <c r="H31" s="8" t="s">
        <v>84</v>
      </c>
      <c r="I31" s="8" t="s">
        <v>99</v>
      </c>
      <c r="J31" s="10" t="n">
        <v>46229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autoFilter ref="A8:M31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1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1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1804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1805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COUNTA(A9:A30)</f>
        <v>22</v>
      </c>
      <c r="D4" s="5" t="s">
        <v>102</v>
      </c>
      <c r="E4" s="6" t="n">
        <f aca="false">SUM(M9:M30)</f>
        <v>21</v>
      </c>
      <c r="G4" s="5" t="s">
        <v>13</v>
      </c>
      <c r="H4" s="7" t="n">
        <f aca="false">IF(B4=0,0,E4/B4)</f>
        <v>0.954545454545455</v>
      </c>
      <c r="J4" s="5" t="s">
        <v>14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IF(COUNTIFS(I9:I30,"yes",M9:M30,0)&gt;0,"open","complete")</f>
        <v>open</v>
      </c>
      <c r="D5" s="5" t="s">
        <v>15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54" hidden="false" customHeight="true" outlineLevel="0" collapsed="false">
      <c r="A9" s="12" t="s">
        <v>1806</v>
      </c>
      <c r="B9" s="12" t="s">
        <v>76</v>
      </c>
      <c r="C9" s="12" t="s">
        <v>59</v>
      </c>
      <c r="D9" s="13" t="s">
        <v>1807</v>
      </c>
      <c r="E9" s="12" t="s">
        <v>120</v>
      </c>
      <c r="F9" s="12" t="s">
        <v>121</v>
      </c>
      <c r="G9" s="13" t="s">
        <v>1808</v>
      </c>
      <c r="H9" s="12" t="s">
        <v>84</v>
      </c>
      <c r="I9" s="12" t="s">
        <v>99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1809</v>
      </c>
      <c r="B10" s="12" t="s">
        <v>1329</v>
      </c>
      <c r="C10" s="12" t="s">
        <v>59</v>
      </c>
      <c r="D10" s="13" t="s">
        <v>1810</v>
      </c>
      <c r="E10" s="12" t="s">
        <v>120</v>
      </c>
      <c r="F10" s="12" t="s">
        <v>140</v>
      </c>
      <c r="G10" s="13" t="s">
        <v>1811</v>
      </c>
      <c r="H10" s="12" t="s">
        <v>84</v>
      </c>
      <c r="I10" s="12" t="s">
        <v>99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1812</v>
      </c>
      <c r="B11" s="12" t="s">
        <v>124</v>
      </c>
      <c r="C11" s="12" t="s">
        <v>59</v>
      </c>
      <c r="D11" s="13" t="s">
        <v>1813</v>
      </c>
      <c r="E11" s="12" t="s">
        <v>120</v>
      </c>
      <c r="F11" s="12" t="s">
        <v>120</v>
      </c>
      <c r="G11" s="13" t="s">
        <v>126</v>
      </c>
      <c r="H11" s="12" t="s">
        <v>84</v>
      </c>
      <c r="I11" s="12" t="s">
        <v>99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1814</v>
      </c>
      <c r="B12" s="12" t="s">
        <v>128</v>
      </c>
      <c r="C12" s="12" t="s">
        <v>59</v>
      </c>
      <c r="D12" s="13" t="s">
        <v>1815</v>
      </c>
      <c r="E12" s="12" t="s">
        <v>120</v>
      </c>
      <c r="F12" s="12" t="s">
        <v>130</v>
      </c>
      <c r="G12" s="13" t="s">
        <v>1816</v>
      </c>
      <c r="H12" s="12" t="s">
        <v>84</v>
      </c>
      <c r="I12" s="12" t="s">
        <v>99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1817</v>
      </c>
      <c r="B13" s="12" t="s">
        <v>133</v>
      </c>
      <c r="C13" s="12" t="s">
        <v>59</v>
      </c>
      <c r="D13" s="13" t="s">
        <v>1818</v>
      </c>
      <c r="E13" s="12" t="s">
        <v>120</v>
      </c>
      <c r="F13" s="12" t="s">
        <v>135</v>
      </c>
      <c r="G13" s="13" t="s">
        <v>1819</v>
      </c>
      <c r="H13" s="12" t="s">
        <v>84</v>
      </c>
      <c r="I13" s="12" t="s">
        <v>99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1820</v>
      </c>
      <c r="B14" s="12" t="s">
        <v>1562</v>
      </c>
      <c r="C14" s="12" t="s">
        <v>59</v>
      </c>
      <c r="D14" s="13" t="s">
        <v>1821</v>
      </c>
      <c r="E14" s="12" t="s">
        <v>120</v>
      </c>
      <c r="F14" s="12" t="s">
        <v>145</v>
      </c>
      <c r="G14" s="13" t="s">
        <v>1822</v>
      </c>
      <c r="H14" s="12" t="s">
        <v>84</v>
      </c>
      <c r="I14" s="12" t="s">
        <v>99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1823</v>
      </c>
      <c r="B15" s="12" t="s">
        <v>1679</v>
      </c>
      <c r="C15" s="12" t="s">
        <v>59</v>
      </c>
      <c r="D15" s="13" t="s">
        <v>1824</v>
      </c>
      <c r="E15" s="12" t="s">
        <v>120</v>
      </c>
      <c r="F15" s="12" t="s">
        <v>155</v>
      </c>
      <c r="G15" s="13" t="s">
        <v>1825</v>
      </c>
      <c r="H15" s="12" t="s">
        <v>86</v>
      </c>
      <c r="I15" s="12" t="s">
        <v>98</v>
      </c>
      <c r="J15" s="14" t="n">
        <v>46229</v>
      </c>
      <c r="K15" s="13" t="s">
        <v>1755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1826</v>
      </c>
      <c r="B16" s="12" t="s">
        <v>1827</v>
      </c>
      <c r="C16" s="12" t="s">
        <v>59</v>
      </c>
      <c r="D16" s="13" t="s">
        <v>1828</v>
      </c>
      <c r="E16" s="12" t="s">
        <v>120</v>
      </c>
      <c r="F16" s="12" t="s">
        <v>155</v>
      </c>
      <c r="G16" s="13" t="s">
        <v>1825</v>
      </c>
      <c r="H16" s="12" t="s">
        <v>86</v>
      </c>
      <c r="I16" s="12" t="s">
        <v>98</v>
      </c>
      <c r="J16" s="14" t="n">
        <v>46229</v>
      </c>
      <c r="K16" s="13" t="s">
        <v>1829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1830</v>
      </c>
      <c r="B17" s="12" t="s">
        <v>1831</v>
      </c>
      <c r="C17" s="12" t="s">
        <v>59</v>
      </c>
      <c r="D17" s="13" t="s">
        <v>1832</v>
      </c>
      <c r="E17" s="12" t="s">
        <v>120</v>
      </c>
      <c r="F17" s="12" t="s">
        <v>145</v>
      </c>
      <c r="G17" s="13" t="s">
        <v>1833</v>
      </c>
      <c r="H17" s="12" t="s">
        <v>84</v>
      </c>
      <c r="I17" s="12" t="s">
        <v>99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1834</v>
      </c>
      <c r="B18" s="12" t="s">
        <v>1835</v>
      </c>
      <c r="C18" s="12" t="s">
        <v>59</v>
      </c>
      <c r="D18" s="13" t="s">
        <v>1836</v>
      </c>
      <c r="E18" s="12" t="s">
        <v>120</v>
      </c>
      <c r="F18" s="12" t="s">
        <v>145</v>
      </c>
      <c r="G18" s="13" t="s">
        <v>1822</v>
      </c>
      <c r="H18" s="12" t="s">
        <v>84</v>
      </c>
      <c r="I18" s="12" t="s">
        <v>99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1837</v>
      </c>
      <c r="B19" s="12" t="s">
        <v>1838</v>
      </c>
      <c r="C19" s="12" t="s">
        <v>59</v>
      </c>
      <c r="D19" s="13" t="s">
        <v>1839</v>
      </c>
      <c r="E19" s="12" t="s">
        <v>120</v>
      </c>
      <c r="F19" s="12" t="s">
        <v>145</v>
      </c>
      <c r="G19" s="13" t="s">
        <v>1840</v>
      </c>
      <c r="H19" s="12" t="s">
        <v>84</v>
      </c>
      <c r="I19" s="12" t="s">
        <v>99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1841</v>
      </c>
      <c r="B20" s="12" t="s">
        <v>168</v>
      </c>
      <c r="C20" s="12" t="s">
        <v>59</v>
      </c>
      <c r="D20" s="13" t="s">
        <v>1842</v>
      </c>
      <c r="E20" s="12" t="s">
        <v>120</v>
      </c>
      <c r="F20" s="12" t="s">
        <v>155</v>
      </c>
      <c r="G20" s="13" t="s">
        <v>1825</v>
      </c>
      <c r="H20" s="12" t="s">
        <v>86</v>
      </c>
      <c r="I20" s="12" t="s">
        <v>98</v>
      </c>
      <c r="J20" s="14" t="n">
        <v>46229</v>
      </c>
      <c r="K20" s="13" t="s">
        <v>1843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1844</v>
      </c>
      <c r="B21" s="12" t="s">
        <v>148</v>
      </c>
      <c r="C21" s="12" t="s">
        <v>59</v>
      </c>
      <c r="D21" s="13" t="s">
        <v>1845</v>
      </c>
      <c r="E21" s="12" t="s">
        <v>120</v>
      </c>
      <c r="F21" s="12" t="s">
        <v>150</v>
      </c>
      <c r="G21" s="13" t="s">
        <v>1822</v>
      </c>
      <c r="H21" s="12" t="s">
        <v>84</v>
      </c>
      <c r="I21" s="12" t="s">
        <v>99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1846</v>
      </c>
      <c r="B22" s="12" t="s">
        <v>159</v>
      </c>
      <c r="C22" s="12" t="s">
        <v>59</v>
      </c>
      <c r="D22" s="13" t="s">
        <v>1847</v>
      </c>
      <c r="E22" s="12" t="s">
        <v>120</v>
      </c>
      <c r="F22" s="12" t="s">
        <v>145</v>
      </c>
      <c r="G22" s="13" t="s">
        <v>1833</v>
      </c>
      <c r="H22" s="12" t="s">
        <v>84</v>
      </c>
      <c r="I22" s="12" t="s">
        <v>99</v>
      </c>
      <c r="J22" s="14" t="n">
        <v>46229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1848</v>
      </c>
      <c r="B23" s="12" t="s">
        <v>1849</v>
      </c>
      <c r="C23" s="12" t="s">
        <v>59</v>
      </c>
      <c r="D23" s="13" t="s">
        <v>1850</v>
      </c>
      <c r="E23" s="12" t="s">
        <v>120</v>
      </c>
      <c r="F23" s="12" t="s">
        <v>155</v>
      </c>
      <c r="G23" s="13" t="s">
        <v>1825</v>
      </c>
      <c r="H23" s="12" t="s">
        <v>86</v>
      </c>
      <c r="I23" s="12" t="s">
        <v>98</v>
      </c>
      <c r="J23" s="14" t="n">
        <v>46229</v>
      </c>
      <c r="K23" s="13" t="s">
        <v>1851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1852</v>
      </c>
      <c r="B24" s="12" t="s">
        <v>153</v>
      </c>
      <c r="C24" s="12" t="s">
        <v>59</v>
      </c>
      <c r="D24" s="13" t="s">
        <v>1853</v>
      </c>
      <c r="E24" s="12" t="s">
        <v>120</v>
      </c>
      <c r="F24" s="12" t="s">
        <v>155</v>
      </c>
      <c r="G24" s="13" t="s">
        <v>1825</v>
      </c>
      <c r="H24" s="12" t="s">
        <v>86</v>
      </c>
      <c r="I24" s="12" t="s">
        <v>98</v>
      </c>
      <c r="J24" s="14" t="n">
        <v>46229</v>
      </c>
      <c r="K24" s="13" t="s">
        <v>1854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1855</v>
      </c>
      <c r="B25" s="12" t="s">
        <v>173</v>
      </c>
      <c r="C25" s="12" t="s">
        <v>59</v>
      </c>
      <c r="D25" s="13" t="s">
        <v>1856</v>
      </c>
      <c r="E25" s="12" t="s">
        <v>120</v>
      </c>
      <c r="F25" s="12" t="s">
        <v>161</v>
      </c>
      <c r="G25" s="13" t="s">
        <v>1857</v>
      </c>
      <c r="H25" s="12" t="s">
        <v>78</v>
      </c>
      <c r="I25" s="12" t="s">
        <v>98</v>
      </c>
      <c r="J25" s="14" t="n">
        <v>46229</v>
      </c>
      <c r="K25" s="13" t="s">
        <v>1793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1858</v>
      </c>
      <c r="B26" s="12" t="s">
        <v>177</v>
      </c>
      <c r="C26" s="12" t="s">
        <v>59</v>
      </c>
      <c r="D26" s="13" t="s">
        <v>1859</v>
      </c>
      <c r="E26" s="12" t="s">
        <v>120</v>
      </c>
      <c r="F26" s="12" t="s">
        <v>179</v>
      </c>
      <c r="G26" s="13" t="s">
        <v>1860</v>
      </c>
      <c r="H26" s="12" t="s">
        <v>84</v>
      </c>
      <c r="I26" s="12" t="s">
        <v>99</v>
      </c>
      <c r="J26" s="14" t="n">
        <v>46229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1861</v>
      </c>
      <c r="B27" s="12" t="s">
        <v>182</v>
      </c>
      <c r="C27" s="12" t="s">
        <v>59</v>
      </c>
      <c r="D27" s="13" t="s">
        <v>1862</v>
      </c>
      <c r="E27" s="12" t="s">
        <v>120</v>
      </c>
      <c r="F27" s="12" t="s">
        <v>179</v>
      </c>
      <c r="G27" s="13" t="s">
        <v>1863</v>
      </c>
      <c r="H27" s="12" t="s">
        <v>84</v>
      </c>
      <c r="I27" s="12" t="s">
        <v>99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1864</v>
      </c>
      <c r="B28" s="12" t="s">
        <v>608</v>
      </c>
      <c r="C28" s="12" t="s">
        <v>59</v>
      </c>
      <c r="D28" s="13" t="s">
        <v>1865</v>
      </c>
      <c r="E28" s="12" t="s">
        <v>120</v>
      </c>
      <c r="F28" s="12" t="s">
        <v>610</v>
      </c>
      <c r="G28" s="13" t="s">
        <v>1866</v>
      </c>
      <c r="H28" s="12" t="s">
        <v>84</v>
      </c>
      <c r="I28" s="12" t="s">
        <v>99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1867</v>
      </c>
      <c r="B29" s="12" t="s">
        <v>186</v>
      </c>
      <c r="C29" s="12" t="s">
        <v>59</v>
      </c>
      <c r="D29" s="13" t="s">
        <v>1868</v>
      </c>
      <c r="E29" s="12" t="s">
        <v>188</v>
      </c>
      <c r="F29" s="12" t="s">
        <v>188</v>
      </c>
      <c r="G29" s="13" t="s">
        <v>189</v>
      </c>
      <c r="H29" s="12" t="s">
        <v>84</v>
      </c>
      <c r="I29" s="12" t="s">
        <v>99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1869</v>
      </c>
      <c r="B30" s="12" t="s">
        <v>191</v>
      </c>
      <c r="C30" s="12" t="s">
        <v>59</v>
      </c>
      <c r="D30" s="13" t="s">
        <v>1870</v>
      </c>
      <c r="E30" s="12" t="s">
        <v>120</v>
      </c>
      <c r="F30" s="12" t="s">
        <v>120</v>
      </c>
      <c r="G30" s="13" t="s">
        <v>193</v>
      </c>
      <c r="H30" s="12" t="s">
        <v>84</v>
      </c>
      <c r="I30" s="12" t="s">
        <v>99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1732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COUNTA(A9:A31)</f>
        <v>23</v>
      </c>
      <c r="D4" s="5" t="s">
        <v>102</v>
      </c>
      <c r="E4" s="6" t="n">
        <f aca="false">SUM(M9:M31)</f>
        <v>22</v>
      </c>
      <c r="G4" s="5" t="s">
        <v>13</v>
      </c>
      <c r="H4" s="7" t="n">
        <f aca="false">IF(B4=0,0,E4/B4)</f>
        <v>0.956521739130435</v>
      </c>
      <c r="J4" s="5" t="s">
        <v>14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IF(COUNTIFS(I9:I31,"yes",M9:M31,0)&gt;0,"open","complete")</f>
        <v>open</v>
      </c>
      <c r="D5" s="5" t="s">
        <v>15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42" hidden="false" customHeight="true" outlineLevel="0" collapsed="false">
      <c r="A9" s="1" t="s">
        <v>1872</v>
      </c>
      <c r="B9" s="1" t="s">
        <v>76</v>
      </c>
      <c r="C9" s="1" t="s">
        <v>1170</v>
      </c>
      <c r="D9" s="1" t="s">
        <v>1873</v>
      </c>
      <c r="E9" s="1" t="s">
        <v>120</v>
      </c>
      <c r="F9" s="1" t="s">
        <v>121</v>
      </c>
      <c r="G9" s="1" t="s">
        <v>1874</v>
      </c>
      <c r="H9" s="1" t="s">
        <v>84</v>
      </c>
      <c r="I9" s="1" t="s">
        <v>99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1875</v>
      </c>
      <c r="B10" s="1" t="s">
        <v>1329</v>
      </c>
      <c r="C10" s="1" t="s">
        <v>1170</v>
      </c>
      <c r="D10" s="1" t="s">
        <v>1876</v>
      </c>
      <c r="E10" s="1" t="s">
        <v>120</v>
      </c>
      <c r="F10" s="1" t="s">
        <v>140</v>
      </c>
      <c r="G10" s="1" t="s">
        <v>1877</v>
      </c>
      <c r="H10" s="1" t="s">
        <v>84</v>
      </c>
      <c r="I10" s="1" t="s">
        <v>99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1878</v>
      </c>
      <c r="B11" s="1" t="s">
        <v>124</v>
      </c>
      <c r="C11" s="1" t="s">
        <v>1879</v>
      </c>
      <c r="D11" s="1" t="s">
        <v>1880</v>
      </c>
      <c r="E11" s="1" t="s">
        <v>120</v>
      </c>
      <c r="F11" s="1" t="s">
        <v>120</v>
      </c>
      <c r="G11" s="1" t="s">
        <v>1881</v>
      </c>
      <c r="H11" s="1" t="s">
        <v>84</v>
      </c>
      <c r="I11" s="1" t="s">
        <v>99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1882</v>
      </c>
      <c r="B12" s="1" t="s">
        <v>128</v>
      </c>
      <c r="C12" s="1" t="s">
        <v>1170</v>
      </c>
      <c r="D12" s="1" t="s">
        <v>1883</v>
      </c>
      <c r="E12" s="1" t="s">
        <v>120</v>
      </c>
      <c r="F12" s="1" t="s">
        <v>130</v>
      </c>
      <c r="G12" s="1" t="s">
        <v>1884</v>
      </c>
      <c r="H12" s="1" t="s">
        <v>84</v>
      </c>
      <c r="I12" s="1" t="s">
        <v>99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1885</v>
      </c>
      <c r="B13" s="1" t="s">
        <v>133</v>
      </c>
      <c r="C13" s="1" t="s">
        <v>1170</v>
      </c>
      <c r="D13" s="1" t="s">
        <v>1886</v>
      </c>
      <c r="E13" s="1" t="s">
        <v>120</v>
      </c>
      <c r="F13" s="1" t="s">
        <v>135</v>
      </c>
      <c r="G13" s="1" t="s">
        <v>1887</v>
      </c>
      <c r="H13" s="1" t="s">
        <v>84</v>
      </c>
      <c r="I13" s="1" t="s">
        <v>99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1888</v>
      </c>
      <c r="B14" s="1" t="s">
        <v>1562</v>
      </c>
      <c r="C14" s="1" t="s">
        <v>1889</v>
      </c>
      <c r="D14" s="1" t="s">
        <v>1890</v>
      </c>
      <c r="E14" s="1" t="s">
        <v>120</v>
      </c>
      <c r="F14" s="1" t="s">
        <v>145</v>
      </c>
      <c r="G14" s="1" t="s">
        <v>1891</v>
      </c>
      <c r="H14" s="1" t="s">
        <v>84</v>
      </c>
      <c r="I14" s="1" t="s">
        <v>99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1892</v>
      </c>
      <c r="B15" s="1" t="s">
        <v>1684</v>
      </c>
      <c r="C15" s="1" t="s">
        <v>1893</v>
      </c>
      <c r="D15" s="1" t="s">
        <v>1894</v>
      </c>
      <c r="E15" s="1" t="s">
        <v>120</v>
      </c>
      <c r="F15" s="1" t="s">
        <v>155</v>
      </c>
      <c r="G15" s="1" t="s">
        <v>1895</v>
      </c>
      <c r="H15" s="1" t="s">
        <v>86</v>
      </c>
      <c r="I15" s="1" t="s">
        <v>98</v>
      </c>
      <c r="J15" s="10" t="n">
        <v>46230</v>
      </c>
      <c r="K15" s="1" t="s">
        <v>1896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1897</v>
      </c>
      <c r="B16" s="1" t="s">
        <v>1329</v>
      </c>
      <c r="C16" s="1" t="s">
        <v>1898</v>
      </c>
      <c r="D16" s="1" t="s">
        <v>1899</v>
      </c>
      <c r="E16" s="1" t="s">
        <v>120</v>
      </c>
      <c r="F16" s="1" t="s">
        <v>155</v>
      </c>
      <c r="G16" s="1" t="s">
        <v>1895</v>
      </c>
      <c r="H16" s="1" t="s">
        <v>86</v>
      </c>
      <c r="I16" s="1" t="s">
        <v>98</v>
      </c>
      <c r="J16" s="10" t="n">
        <v>46230</v>
      </c>
      <c r="K16" s="1" t="s">
        <v>1900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1901</v>
      </c>
      <c r="B17" s="1" t="s">
        <v>1902</v>
      </c>
      <c r="C17" s="1" t="s">
        <v>1903</v>
      </c>
      <c r="D17" s="1" t="s">
        <v>1904</v>
      </c>
      <c r="E17" s="1" t="s">
        <v>120</v>
      </c>
      <c r="F17" s="1" t="s">
        <v>145</v>
      </c>
      <c r="G17" s="1" t="s">
        <v>1891</v>
      </c>
      <c r="H17" s="1" t="s">
        <v>84</v>
      </c>
      <c r="I17" s="1" t="s">
        <v>99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1905</v>
      </c>
      <c r="B18" s="1" t="s">
        <v>1575</v>
      </c>
      <c r="C18" s="1" t="s">
        <v>1906</v>
      </c>
      <c r="D18" s="1" t="s">
        <v>1907</v>
      </c>
      <c r="E18" s="1" t="s">
        <v>120</v>
      </c>
      <c r="F18" s="1" t="s">
        <v>145</v>
      </c>
      <c r="G18" s="1" t="s">
        <v>1908</v>
      </c>
      <c r="H18" s="1" t="s">
        <v>84</v>
      </c>
      <c r="I18" s="1" t="s">
        <v>99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1909</v>
      </c>
      <c r="B19" s="1" t="s">
        <v>1910</v>
      </c>
      <c r="C19" s="1" t="s">
        <v>1911</v>
      </c>
      <c r="D19" s="1" t="s">
        <v>1912</v>
      </c>
      <c r="E19" s="1" t="s">
        <v>120</v>
      </c>
      <c r="F19" s="1" t="s">
        <v>145</v>
      </c>
      <c r="G19" s="1" t="s">
        <v>1891</v>
      </c>
      <c r="H19" s="1" t="s">
        <v>84</v>
      </c>
      <c r="I19" s="1" t="s">
        <v>99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1913</v>
      </c>
      <c r="B20" s="1" t="s">
        <v>1569</v>
      </c>
      <c r="C20" s="1" t="s">
        <v>1403</v>
      </c>
      <c r="D20" s="1" t="s">
        <v>1914</v>
      </c>
      <c r="E20" s="1" t="s">
        <v>120</v>
      </c>
      <c r="F20" s="1" t="s">
        <v>145</v>
      </c>
      <c r="G20" s="1" t="s">
        <v>1891</v>
      </c>
      <c r="H20" s="1" t="s">
        <v>84</v>
      </c>
      <c r="I20" s="1" t="s">
        <v>99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1915</v>
      </c>
      <c r="B21" s="1" t="s">
        <v>168</v>
      </c>
      <c r="C21" s="1" t="s">
        <v>1916</v>
      </c>
      <c r="D21" s="1" t="s">
        <v>1917</v>
      </c>
      <c r="E21" s="1" t="s">
        <v>120</v>
      </c>
      <c r="F21" s="1" t="s">
        <v>145</v>
      </c>
      <c r="G21" s="1" t="s">
        <v>1918</v>
      </c>
      <c r="H21" s="1" t="s">
        <v>84</v>
      </c>
      <c r="I21" s="1" t="s">
        <v>99</v>
      </c>
      <c r="J21" s="10" t="n">
        <v>46230</v>
      </c>
      <c r="K21" s="1" t="s">
        <v>1778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1919</v>
      </c>
      <c r="B22" s="1" t="s">
        <v>159</v>
      </c>
      <c r="C22" s="1" t="s">
        <v>1893</v>
      </c>
      <c r="D22" s="1" t="s">
        <v>1920</v>
      </c>
      <c r="E22" s="1" t="s">
        <v>120</v>
      </c>
      <c r="F22" s="1" t="s">
        <v>145</v>
      </c>
      <c r="G22" s="1" t="s">
        <v>1908</v>
      </c>
      <c r="H22" s="1" t="s">
        <v>84</v>
      </c>
      <c r="I22" s="1" t="s">
        <v>99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1921</v>
      </c>
      <c r="B23" s="1" t="s">
        <v>1215</v>
      </c>
      <c r="C23" s="1" t="s">
        <v>1893</v>
      </c>
      <c r="D23" s="1" t="s">
        <v>1922</v>
      </c>
      <c r="E23" s="1" t="s">
        <v>120</v>
      </c>
      <c r="F23" s="1" t="s">
        <v>145</v>
      </c>
      <c r="G23" s="1" t="s">
        <v>1891</v>
      </c>
      <c r="H23" s="1" t="s">
        <v>84</v>
      </c>
      <c r="I23" s="1" t="s">
        <v>99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1923</v>
      </c>
      <c r="B24" s="1" t="s">
        <v>148</v>
      </c>
      <c r="C24" s="1" t="s">
        <v>1170</v>
      </c>
      <c r="D24" s="1" t="s">
        <v>1924</v>
      </c>
      <c r="E24" s="1" t="s">
        <v>120</v>
      </c>
      <c r="F24" s="1" t="s">
        <v>150</v>
      </c>
      <c r="G24" s="1" t="s">
        <v>1891</v>
      </c>
      <c r="H24" s="1" t="s">
        <v>84</v>
      </c>
      <c r="I24" s="1" t="s">
        <v>99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1925</v>
      </c>
      <c r="B25" s="1" t="s">
        <v>153</v>
      </c>
      <c r="C25" s="1" t="s">
        <v>1879</v>
      </c>
      <c r="D25" s="1" t="s">
        <v>1926</v>
      </c>
      <c r="E25" s="1" t="s">
        <v>120</v>
      </c>
      <c r="F25" s="1" t="s">
        <v>155</v>
      </c>
      <c r="G25" s="1" t="s">
        <v>1895</v>
      </c>
      <c r="H25" s="1" t="s">
        <v>86</v>
      </c>
      <c r="I25" s="1" t="s">
        <v>98</v>
      </c>
      <c r="J25" s="10" t="n">
        <v>46230</v>
      </c>
      <c r="K25" s="1" t="s">
        <v>1927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1928</v>
      </c>
      <c r="B26" s="1" t="s">
        <v>1569</v>
      </c>
      <c r="C26" s="1" t="s">
        <v>1929</v>
      </c>
      <c r="D26" s="1" t="s">
        <v>1930</v>
      </c>
      <c r="E26" s="1" t="s">
        <v>120</v>
      </c>
      <c r="F26" s="1" t="s">
        <v>145</v>
      </c>
      <c r="G26" s="1" t="s">
        <v>1891</v>
      </c>
      <c r="H26" s="1" t="s">
        <v>84</v>
      </c>
      <c r="I26" s="1" t="s">
        <v>99</v>
      </c>
      <c r="J26" s="10" t="n">
        <v>46230</v>
      </c>
      <c r="K26" s="1" t="s">
        <v>1789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1931</v>
      </c>
      <c r="B27" s="1" t="s">
        <v>173</v>
      </c>
      <c r="C27" s="1" t="s">
        <v>60</v>
      </c>
      <c r="D27" s="1" t="s">
        <v>1932</v>
      </c>
      <c r="E27" s="1" t="s">
        <v>120</v>
      </c>
      <c r="F27" s="1" t="s">
        <v>161</v>
      </c>
      <c r="G27" s="1" t="s">
        <v>1933</v>
      </c>
      <c r="H27" s="1" t="s">
        <v>78</v>
      </c>
      <c r="I27" s="1" t="s">
        <v>98</v>
      </c>
      <c r="J27" s="10" t="n">
        <v>46230</v>
      </c>
      <c r="K27" s="1" t="s">
        <v>1793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1934</v>
      </c>
      <c r="B28" s="1" t="s">
        <v>177</v>
      </c>
      <c r="C28" s="1" t="s">
        <v>60</v>
      </c>
      <c r="D28" s="1" t="s">
        <v>1795</v>
      </c>
      <c r="E28" s="1" t="s">
        <v>120</v>
      </c>
      <c r="F28" s="1" t="s">
        <v>179</v>
      </c>
      <c r="G28" s="1" t="s">
        <v>1935</v>
      </c>
      <c r="H28" s="1" t="s">
        <v>84</v>
      </c>
      <c r="I28" s="1" t="s">
        <v>99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1936</v>
      </c>
      <c r="B29" s="1" t="s">
        <v>608</v>
      </c>
      <c r="C29" s="1" t="s">
        <v>60</v>
      </c>
      <c r="D29" s="1" t="s">
        <v>1937</v>
      </c>
      <c r="E29" s="1" t="s">
        <v>120</v>
      </c>
      <c r="F29" s="1" t="s">
        <v>610</v>
      </c>
      <c r="G29" s="1" t="s">
        <v>1938</v>
      </c>
      <c r="H29" s="1" t="s">
        <v>84</v>
      </c>
      <c r="I29" s="1" t="s">
        <v>99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1939</v>
      </c>
      <c r="B30" s="1" t="s">
        <v>186</v>
      </c>
      <c r="C30" s="1" t="s">
        <v>60</v>
      </c>
      <c r="D30" s="1" t="s">
        <v>1940</v>
      </c>
      <c r="E30" s="1" t="s">
        <v>188</v>
      </c>
      <c r="F30" s="1" t="s">
        <v>188</v>
      </c>
      <c r="G30" s="1" t="s">
        <v>189</v>
      </c>
      <c r="H30" s="1" t="s">
        <v>84</v>
      </c>
      <c r="I30" s="1" t="s">
        <v>99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1941</v>
      </c>
      <c r="B31" s="1" t="s">
        <v>191</v>
      </c>
      <c r="C31" s="1" t="s">
        <v>60</v>
      </c>
      <c r="D31" s="1" t="s">
        <v>1803</v>
      </c>
      <c r="E31" s="1" t="s">
        <v>120</v>
      </c>
      <c r="F31" s="1" t="s">
        <v>120</v>
      </c>
      <c r="G31" s="1" t="s">
        <v>193</v>
      </c>
      <c r="H31" s="1" t="s">
        <v>84</v>
      </c>
      <c r="I31" s="1" t="s">
        <v>99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1942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1732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COUNTA(A9:A31)</f>
        <v>23</v>
      </c>
      <c r="D4" s="5" t="s">
        <v>102</v>
      </c>
      <c r="E4" s="6" t="n">
        <f aca="false">SUM(M9:M31)</f>
        <v>22</v>
      </c>
      <c r="G4" s="5" t="s">
        <v>13</v>
      </c>
      <c r="H4" s="7" t="n">
        <f aca="false">IF(B4=0,0,E4/B4)</f>
        <v>0.956521739130435</v>
      </c>
      <c r="J4" s="5" t="s">
        <v>14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IF(COUNTIFS(I9:I31,"yes",M9:M31,0)&gt;0,"open","complete")</f>
        <v>open</v>
      </c>
      <c r="D5" s="5" t="s">
        <v>15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42" hidden="false" customHeight="true" outlineLevel="0" collapsed="false">
      <c r="A9" s="1" t="s">
        <v>1943</v>
      </c>
      <c r="B9" s="1" t="s">
        <v>76</v>
      </c>
      <c r="C9" s="1" t="s">
        <v>1170</v>
      </c>
      <c r="D9" s="1" t="s">
        <v>1944</v>
      </c>
      <c r="E9" s="1" t="s">
        <v>120</v>
      </c>
      <c r="F9" s="1" t="s">
        <v>121</v>
      </c>
      <c r="G9" s="1" t="s">
        <v>1945</v>
      </c>
      <c r="H9" s="1" t="s">
        <v>84</v>
      </c>
      <c r="I9" s="1" t="s">
        <v>99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1946</v>
      </c>
      <c r="B10" s="1" t="s">
        <v>1329</v>
      </c>
      <c r="C10" s="1" t="s">
        <v>1170</v>
      </c>
      <c r="D10" s="1" t="s">
        <v>1947</v>
      </c>
      <c r="E10" s="1" t="s">
        <v>120</v>
      </c>
      <c r="F10" s="1" t="s">
        <v>140</v>
      </c>
      <c r="G10" s="1" t="s">
        <v>1948</v>
      </c>
      <c r="H10" s="1" t="s">
        <v>84</v>
      </c>
      <c r="I10" s="1" t="s">
        <v>99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1949</v>
      </c>
      <c r="B11" s="1" t="s">
        <v>124</v>
      </c>
      <c r="C11" s="1" t="s">
        <v>1950</v>
      </c>
      <c r="D11" s="1" t="s">
        <v>1951</v>
      </c>
      <c r="E11" s="1" t="s">
        <v>120</v>
      </c>
      <c r="F11" s="1" t="s">
        <v>120</v>
      </c>
      <c r="G11" s="1" t="s">
        <v>1881</v>
      </c>
      <c r="H11" s="1" t="s">
        <v>84</v>
      </c>
      <c r="I11" s="1" t="s">
        <v>99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1952</v>
      </c>
      <c r="B12" s="1" t="s">
        <v>128</v>
      </c>
      <c r="C12" s="1" t="s">
        <v>1170</v>
      </c>
      <c r="D12" s="1" t="s">
        <v>1953</v>
      </c>
      <c r="E12" s="1" t="s">
        <v>120</v>
      </c>
      <c r="F12" s="1" t="s">
        <v>130</v>
      </c>
      <c r="G12" s="1" t="s">
        <v>1954</v>
      </c>
      <c r="H12" s="1" t="s">
        <v>84</v>
      </c>
      <c r="I12" s="1" t="s">
        <v>99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1955</v>
      </c>
      <c r="B13" s="1" t="s">
        <v>133</v>
      </c>
      <c r="C13" s="1" t="s">
        <v>1170</v>
      </c>
      <c r="D13" s="1" t="s">
        <v>1956</v>
      </c>
      <c r="E13" s="1" t="s">
        <v>120</v>
      </c>
      <c r="F13" s="1" t="s">
        <v>135</v>
      </c>
      <c r="G13" s="1" t="s">
        <v>1957</v>
      </c>
      <c r="H13" s="1" t="s">
        <v>84</v>
      </c>
      <c r="I13" s="1" t="s">
        <v>99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1958</v>
      </c>
      <c r="B14" s="1" t="s">
        <v>1959</v>
      </c>
      <c r="C14" s="1" t="s">
        <v>1403</v>
      </c>
      <c r="D14" s="1" t="s">
        <v>1960</v>
      </c>
      <c r="E14" s="1" t="s">
        <v>120</v>
      </c>
      <c r="F14" s="1" t="s">
        <v>145</v>
      </c>
      <c r="G14" s="1" t="s">
        <v>1961</v>
      </c>
      <c r="H14" s="1" t="s">
        <v>84</v>
      </c>
      <c r="I14" s="1" t="s">
        <v>99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1962</v>
      </c>
      <c r="B15" s="1" t="s">
        <v>1684</v>
      </c>
      <c r="C15" s="1" t="s">
        <v>1893</v>
      </c>
      <c r="D15" s="1" t="s">
        <v>1963</v>
      </c>
      <c r="E15" s="1" t="s">
        <v>120</v>
      </c>
      <c r="F15" s="1" t="s">
        <v>155</v>
      </c>
      <c r="G15" s="1" t="s">
        <v>1964</v>
      </c>
      <c r="H15" s="1" t="s">
        <v>86</v>
      </c>
      <c r="I15" s="1" t="s">
        <v>98</v>
      </c>
      <c r="J15" s="10" t="n">
        <v>46230</v>
      </c>
      <c r="K15" s="1" t="s">
        <v>1965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1966</v>
      </c>
      <c r="B16" s="1" t="s">
        <v>1329</v>
      </c>
      <c r="C16" s="1" t="s">
        <v>1967</v>
      </c>
      <c r="D16" s="1" t="s">
        <v>1968</v>
      </c>
      <c r="E16" s="1" t="s">
        <v>120</v>
      </c>
      <c r="F16" s="1" t="s">
        <v>155</v>
      </c>
      <c r="G16" s="1" t="s">
        <v>1964</v>
      </c>
      <c r="H16" s="1" t="s">
        <v>86</v>
      </c>
      <c r="I16" s="1" t="s">
        <v>98</v>
      </c>
      <c r="J16" s="10" t="n">
        <v>46230</v>
      </c>
      <c r="K16" s="1" t="s">
        <v>1965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1969</v>
      </c>
      <c r="B17" s="1" t="s">
        <v>1902</v>
      </c>
      <c r="C17" s="1" t="s">
        <v>1903</v>
      </c>
      <c r="D17" s="1" t="s">
        <v>1970</v>
      </c>
      <c r="E17" s="1" t="s">
        <v>120</v>
      </c>
      <c r="F17" s="1" t="s">
        <v>145</v>
      </c>
      <c r="G17" s="1" t="s">
        <v>1961</v>
      </c>
      <c r="H17" s="1" t="s">
        <v>84</v>
      </c>
      <c r="I17" s="1" t="s">
        <v>99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1971</v>
      </c>
      <c r="B18" s="1" t="s">
        <v>1575</v>
      </c>
      <c r="C18" s="1" t="s">
        <v>1906</v>
      </c>
      <c r="D18" s="1" t="s">
        <v>1972</v>
      </c>
      <c r="E18" s="1" t="s">
        <v>120</v>
      </c>
      <c r="F18" s="1" t="s">
        <v>145</v>
      </c>
      <c r="G18" s="1" t="s">
        <v>1961</v>
      </c>
      <c r="H18" s="1" t="s">
        <v>84</v>
      </c>
      <c r="I18" s="1" t="s">
        <v>99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1973</v>
      </c>
      <c r="B19" s="1" t="s">
        <v>1910</v>
      </c>
      <c r="C19" s="1" t="s">
        <v>1911</v>
      </c>
      <c r="D19" s="1" t="s">
        <v>1974</v>
      </c>
      <c r="E19" s="1" t="s">
        <v>120</v>
      </c>
      <c r="F19" s="1" t="s">
        <v>145</v>
      </c>
      <c r="G19" s="1" t="s">
        <v>1961</v>
      </c>
      <c r="H19" s="1" t="s">
        <v>84</v>
      </c>
      <c r="I19" s="1" t="s">
        <v>99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1975</v>
      </c>
      <c r="B20" s="1" t="s">
        <v>1569</v>
      </c>
      <c r="C20" s="1" t="s">
        <v>1929</v>
      </c>
      <c r="D20" s="1" t="s">
        <v>1930</v>
      </c>
      <c r="E20" s="1" t="s">
        <v>120</v>
      </c>
      <c r="F20" s="1" t="s">
        <v>145</v>
      </c>
      <c r="G20" s="1" t="s">
        <v>1961</v>
      </c>
      <c r="H20" s="1" t="s">
        <v>84</v>
      </c>
      <c r="I20" s="1" t="s">
        <v>99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1976</v>
      </c>
      <c r="B21" s="1" t="s">
        <v>168</v>
      </c>
      <c r="C21" s="1" t="s">
        <v>1977</v>
      </c>
      <c r="D21" s="1" t="s">
        <v>1978</v>
      </c>
      <c r="E21" s="1" t="s">
        <v>120</v>
      </c>
      <c r="F21" s="1" t="s">
        <v>145</v>
      </c>
      <c r="G21" s="1" t="s">
        <v>1961</v>
      </c>
      <c r="H21" s="1" t="s">
        <v>84</v>
      </c>
      <c r="I21" s="1" t="s">
        <v>99</v>
      </c>
      <c r="J21" s="10" t="n">
        <v>46230</v>
      </c>
      <c r="K21" s="1" t="s">
        <v>1778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1979</v>
      </c>
      <c r="B22" s="1" t="s">
        <v>159</v>
      </c>
      <c r="C22" s="1" t="s">
        <v>1170</v>
      </c>
      <c r="D22" s="1" t="s">
        <v>1980</v>
      </c>
      <c r="E22" s="1" t="s">
        <v>120</v>
      </c>
      <c r="F22" s="1" t="s">
        <v>145</v>
      </c>
      <c r="G22" s="1" t="s">
        <v>1961</v>
      </c>
      <c r="H22" s="1" t="s">
        <v>84</v>
      </c>
      <c r="I22" s="1" t="s">
        <v>99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1981</v>
      </c>
      <c r="B23" s="1" t="s">
        <v>1215</v>
      </c>
      <c r="C23" s="1" t="s">
        <v>1170</v>
      </c>
      <c r="D23" s="1" t="s">
        <v>1982</v>
      </c>
      <c r="E23" s="1" t="s">
        <v>120</v>
      </c>
      <c r="F23" s="1" t="s">
        <v>145</v>
      </c>
      <c r="G23" s="1" t="s">
        <v>1961</v>
      </c>
      <c r="H23" s="1" t="s">
        <v>84</v>
      </c>
      <c r="I23" s="1" t="s">
        <v>99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1983</v>
      </c>
      <c r="B24" s="1" t="s">
        <v>148</v>
      </c>
      <c r="C24" s="1" t="s">
        <v>1170</v>
      </c>
      <c r="D24" s="1" t="s">
        <v>1984</v>
      </c>
      <c r="E24" s="1" t="s">
        <v>120</v>
      </c>
      <c r="F24" s="1" t="s">
        <v>150</v>
      </c>
      <c r="G24" s="1" t="s">
        <v>1961</v>
      </c>
      <c r="H24" s="1" t="s">
        <v>84</v>
      </c>
      <c r="I24" s="1" t="s">
        <v>99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1985</v>
      </c>
      <c r="B25" s="1" t="s">
        <v>153</v>
      </c>
      <c r="C25" s="1" t="s">
        <v>1170</v>
      </c>
      <c r="D25" s="1" t="s">
        <v>1986</v>
      </c>
      <c r="E25" s="1" t="s">
        <v>120</v>
      </c>
      <c r="F25" s="1" t="s">
        <v>155</v>
      </c>
      <c r="G25" s="1" t="s">
        <v>1964</v>
      </c>
      <c r="H25" s="1" t="s">
        <v>86</v>
      </c>
      <c r="I25" s="1" t="s">
        <v>98</v>
      </c>
      <c r="J25" s="10" t="n">
        <v>46230</v>
      </c>
      <c r="K25" s="1" t="s">
        <v>1987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1988</v>
      </c>
      <c r="B26" s="1" t="s">
        <v>1989</v>
      </c>
      <c r="C26" s="1" t="s">
        <v>1170</v>
      </c>
      <c r="D26" s="1" t="s">
        <v>1990</v>
      </c>
      <c r="E26" s="1" t="s">
        <v>120</v>
      </c>
      <c r="F26" s="1" t="s">
        <v>145</v>
      </c>
      <c r="G26" s="1" t="s">
        <v>1961</v>
      </c>
      <c r="H26" s="1" t="s">
        <v>84</v>
      </c>
      <c r="I26" s="1" t="s">
        <v>99</v>
      </c>
      <c r="J26" s="10" t="n">
        <v>46230</v>
      </c>
      <c r="K26" s="1" t="s">
        <v>1789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1991</v>
      </c>
      <c r="B27" s="1" t="s">
        <v>173</v>
      </c>
      <c r="C27" s="1" t="s">
        <v>61</v>
      </c>
      <c r="D27" s="1" t="s">
        <v>1932</v>
      </c>
      <c r="E27" s="1" t="s">
        <v>120</v>
      </c>
      <c r="F27" s="1" t="s">
        <v>161</v>
      </c>
      <c r="G27" s="1" t="s">
        <v>1992</v>
      </c>
      <c r="H27" s="1" t="s">
        <v>78</v>
      </c>
      <c r="I27" s="1" t="s">
        <v>98</v>
      </c>
      <c r="J27" s="10" t="n">
        <v>46230</v>
      </c>
      <c r="K27" s="1" t="s">
        <v>1793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1993</v>
      </c>
      <c r="B28" s="1" t="s">
        <v>177</v>
      </c>
      <c r="C28" s="1" t="s">
        <v>61</v>
      </c>
      <c r="D28" s="1" t="s">
        <v>1795</v>
      </c>
      <c r="E28" s="1" t="s">
        <v>120</v>
      </c>
      <c r="F28" s="1" t="s">
        <v>179</v>
      </c>
      <c r="G28" s="1" t="s">
        <v>1994</v>
      </c>
      <c r="H28" s="1" t="s">
        <v>84</v>
      </c>
      <c r="I28" s="1" t="s">
        <v>99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1995</v>
      </c>
      <c r="B29" s="1" t="s">
        <v>608</v>
      </c>
      <c r="C29" s="1" t="s">
        <v>61</v>
      </c>
      <c r="D29" s="1" t="s">
        <v>1937</v>
      </c>
      <c r="E29" s="1" t="s">
        <v>120</v>
      </c>
      <c r="F29" s="1" t="s">
        <v>610</v>
      </c>
      <c r="G29" s="1" t="s">
        <v>1996</v>
      </c>
      <c r="H29" s="1" t="s">
        <v>84</v>
      </c>
      <c r="I29" s="1" t="s">
        <v>99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1997</v>
      </c>
      <c r="B30" s="1" t="s">
        <v>186</v>
      </c>
      <c r="C30" s="1" t="s">
        <v>61</v>
      </c>
      <c r="D30" s="1" t="s">
        <v>1940</v>
      </c>
      <c r="E30" s="1" t="s">
        <v>188</v>
      </c>
      <c r="F30" s="1" t="s">
        <v>188</v>
      </c>
      <c r="G30" s="1" t="s">
        <v>189</v>
      </c>
      <c r="H30" s="1" t="s">
        <v>84</v>
      </c>
      <c r="I30" s="1" t="s">
        <v>99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1998</v>
      </c>
      <c r="B31" s="1" t="s">
        <v>191</v>
      </c>
      <c r="C31" s="1" t="s">
        <v>61</v>
      </c>
      <c r="D31" s="1" t="s">
        <v>1803</v>
      </c>
      <c r="E31" s="1" t="s">
        <v>120</v>
      </c>
      <c r="F31" s="1" t="s">
        <v>120</v>
      </c>
      <c r="G31" s="1" t="s">
        <v>193</v>
      </c>
      <c r="H31" s="1" t="s">
        <v>84</v>
      </c>
      <c r="I31" s="1" t="s">
        <v>99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1999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1732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COUNTA(A9:A31)</f>
        <v>23</v>
      </c>
      <c r="D4" s="5" t="s">
        <v>102</v>
      </c>
      <c r="E4" s="6" t="n">
        <f aca="false">SUM(M9:M31)</f>
        <v>22</v>
      </c>
      <c r="G4" s="5" t="s">
        <v>13</v>
      </c>
      <c r="H4" s="7" t="n">
        <f aca="false">IF(B4=0,0,E4/B4)</f>
        <v>0.956521739130435</v>
      </c>
      <c r="J4" s="5" t="s">
        <v>14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IF(COUNTIFS(I9:I31,"yes",M9:M31,0)&gt;0,"open","complete")</f>
        <v>open</v>
      </c>
      <c r="D5" s="5" t="s">
        <v>15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42" hidden="false" customHeight="true" outlineLevel="0" collapsed="false">
      <c r="A9" s="1" t="s">
        <v>2000</v>
      </c>
      <c r="B9" s="1" t="s">
        <v>76</v>
      </c>
      <c r="C9" s="1" t="s">
        <v>1170</v>
      </c>
      <c r="D9" s="1" t="s">
        <v>2001</v>
      </c>
      <c r="E9" s="1" t="s">
        <v>120</v>
      </c>
      <c r="F9" s="1" t="s">
        <v>121</v>
      </c>
      <c r="G9" s="1" t="s">
        <v>2002</v>
      </c>
      <c r="H9" s="1" t="s">
        <v>84</v>
      </c>
      <c r="I9" s="1" t="s">
        <v>99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2003</v>
      </c>
      <c r="B10" s="1" t="s">
        <v>1329</v>
      </c>
      <c r="C10" s="1" t="s">
        <v>1170</v>
      </c>
      <c r="D10" s="1" t="s">
        <v>1947</v>
      </c>
      <c r="E10" s="1" t="s">
        <v>120</v>
      </c>
      <c r="F10" s="1" t="s">
        <v>140</v>
      </c>
      <c r="G10" s="1" t="s">
        <v>2004</v>
      </c>
      <c r="H10" s="1" t="s">
        <v>84</v>
      </c>
      <c r="I10" s="1" t="s">
        <v>99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2005</v>
      </c>
      <c r="B11" s="1" t="s">
        <v>124</v>
      </c>
      <c r="C11" s="1" t="s">
        <v>62</v>
      </c>
      <c r="D11" s="1" t="s">
        <v>1951</v>
      </c>
      <c r="E11" s="1" t="s">
        <v>120</v>
      </c>
      <c r="F11" s="1" t="s">
        <v>120</v>
      </c>
      <c r="G11" s="1" t="s">
        <v>1881</v>
      </c>
      <c r="H11" s="1" t="s">
        <v>84</v>
      </c>
      <c r="I11" s="1" t="s">
        <v>99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2006</v>
      </c>
      <c r="B12" s="1" t="s">
        <v>128</v>
      </c>
      <c r="C12" s="1" t="s">
        <v>1170</v>
      </c>
      <c r="D12" s="1" t="s">
        <v>1953</v>
      </c>
      <c r="E12" s="1" t="s">
        <v>120</v>
      </c>
      <c r="F12" s="1" t="s">
        <v>130</v>
      </c>
      <c r="G12" s="1" t="s">
        <v>2007</v>
      </c>
      <c r="H12" s="1" t="s">
        <v>84</v>
      </c>
      <c r="I12" s="1" t="s">
        <v>99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2008</v>
      </c>
      <c r="B13" s="1" t="s">
        <v>133</v>
      </c>
      <c r="C13" s="1" t="s">
        <v>1170</v>
      </c>
      <c r="D13" s="1" t="s">
        <v>1956</v>
      </c>
      <c r="E13" s="1" t="s">
        <v>120</v>
      </c>
      <c r="F13" s="1" t="s">
        <v>135</v>
      </c>
      <c r="G13" s="1" t="s">
        <v>2009</v>
      </c>
      <c r="H13" s="1" t="s">
        <v>84</v>
      </c>
      <c r="I13" s="1" t="s">
        <v>99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2010</v>
      </c>
      <c r="B14" s="1" t="s">
        <v>1562</v>
      </c>
      <c r="C14" s="1" t="s">
        <v>2011</v>
      </c>
      <c r="D14" s="1" t="s">
        <v>2012</v>
      </c>
      <c r="E14" s="1" t="s">
        <v>120</v>
      </c>
      <c r="F14" s="1" t="s">
        <v>145</v>
      </c>
      <c r="G14" s="1" t="s">
        <v>2013</v>
      </c>
      <c r="H14" s="1" t="s">
        <v>84</v>
      </c>
      <c r="I14" s="1" t="s">
        <v>99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2014</v>
      </c>
      <c r="B15" s="1" t="s">
        <v>2015</v>
      </c>
      <c r="C15" s="1" t="s">
        <v>1370</v>
      </c>
      <c r="D15" s="1" t="s">
        <v>2016</v>
      </c>
      <c r="E15" s="1" t="s">
        <v>120</v>
      </c>
      <c r="F15" s="1" t="s">
        <v>145</v>
      </c>
      <c r="G15" s="1" t="s">
        <v>2013</v>
      </c>
      <c r="H15" s="1" t="s">
        <v>84</v>
      </c>
      <c r="I15" s="1" t="s">
        <v>99</v>
      </c>
      <c r="J15" s="10" t="n">
        <v>46230</v>
      </c>
      <c r="K15" s="1" t="s">
        <v>1755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2017</v>
      </c>
      <c r="B16" s="1" t="s">
        <v>1684</v>
      </c>
      <c r="C16" s="1" t="s">
        <v>2018</v>
      </c>
      <c r="D16" s="1" t="s">
        <v>2019</v>
      </c>
      <c r="E16" s="1" t="s">
        <v>120</v>
      </c>
      <c r="F16" s="1" t="s">
        <v>155</v>
      </c>
      <c r="G16" s="1" t="s">
        <v>2020</v>
      </c>
      <c r="H16" s="1" t="s">
        <v>86</v>
      </c>
      <c r="I16" s="1" t="s">
        <v>98</v>
      </c>
      <c r="J16" s="10" t="n">
        <v>46230</v>
      </c>
      <c r="K16" s="1" t="s">
        <v>1965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2021</v>
      </c>
      <c r="B17" s="1" t="s">
        <v>1575</v>
      </c>
      <c r="C17" s="1" t="s">
        <v>2022</v>
      </c>
      <c r="D17" s="1" t="s">
        <v>2023</v>
      </c>
      <c r="E17" s="1" t="s">
        <v>120</v>
      </c>
      <c r="F17" s="1" t="s">
        <v>145</v>
      </c>
      <c r="G17" s="1" t="s">
        <v>2013</v>
      </c>
      <c r="H17" s="1" t="s">
        <v>84</v>
      </c>
      <c r="I17" s="1" t="s">
        <v>99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2024</v>
      </c>
      <c r="B18" s="1" t="s">
        <v>1902</v>
      </c>
      <c r="C18" s="1" t="s">
        <v>1903</v>
      </c>
      <c r="D18" s="1" t="s">
        <v>2025</v>
      </c>
      <c r="E18" s="1" t="s">
        <v>120</v>
      </c>
      <c r="F18" s="1" t="s">
        <v>145</v>
      </c>
      <c r="G18" s="1" t="s">
        <v>2013</v>
      </c>
      <c r="H18" s="1" t="s">
        <v>84</v>
      </c>
      <c r="I18" s="1" t="s">
        <v>99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2026</v>
      </c>
      <c r="B19" s="1" t="s">
        <v>1910</v>
      </c>
      <c r="C19" s="1" t="s">
        <v>1911</v>
      </c>
      <c r="D19" s="1" t="s">
        <v>2027</v>
      </c>
      <c r="E19" s="1" t="s">
        <v>120</v>
      </c>
      <c r="F19" s="1" t="s">
        <v>145</v>
      </c>
      <c r="G19" s="1" t="s">
        <v>2013</v>
      </c>
      <c r="H19" s="1" t="s">
        <v>84</v>
      </c>
      <c r="I19" s="1" t="s">
        <v>99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2028</v>
      </c>
      <c r="B20" s="1" t="s">
        <v>1569</v>
      </c>
      <c r="C20" s="1" t="s">
        <v>1929</v>
      </c>
      <c r="D20" s="1" t="s">
        <v>1930</v>
      </c>
      <c r="E20" s="1" t="s">
        <v>120</v>
      </c>
      <c r="F20" s="1" t="s">
        <v>145</v>
      </c>
      <c r="G20" s="1" t="s">
        <v>2013</v>
      </c>
      <c r="H20" s="1" t="s">
        <v>84</v>
      </c>
      <c r="I20" s="1" t="s">
        <v>99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2029</v>
      </c>
      <c r="B21" s="1" t="s">
        <v>168</v>
      </c>
      <c r="C21" s="1" t="s">
        <v>1977</v>
      </c>
      <c r="D21" s="1" t="s">
        <v>1978</v>
      </c>
      <c r="E21" s="1" t="s">
        <v>120</v>
      </c>
      <c r="F21" s="1" t="s">
        <v>145</v>
      </c>
      <c r="G21" s="1" t="s">
        <v>2013</v>
      </c>
      <c r="H21" s="1" t="s">
        <v>84</v>
      </c>
      <c r="I21" s="1" t="s">
        <v>99</v>
      </c>
      <c r="J21" s="10" t="n">
        <v>46230</v>
      </c>
      <c r="K21" s="1" t="s">
        <v>1778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2030</v>
      </c>
      <c r="B22" s="1" t="s">
        <v>159</v>
      </c>
      <c r="C22" s="1" t="s">
        <v>1170</v>
      </c>
      <c r="D22" s="1" t="s">
        <v>1980</v>
      </c>
      <c r="E22" s="1" t="s">
        <v>120</v>
      </c>
      <c r="F22" s="1" t="s">
        <v>145</v>
      </c>
      <c r="G22" s="1" t="s">
        <v>2013</v>
      </c>
      <c r="H22" s="1" t="s">
        <v>84</v>
      </c>
      <c r="I22" s="1" t="s">
        <v>99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2031</v>
      </c>
      <c r="B23" s="1" t="s">
        <v>1215</v>
      </c>
      <c r="C23" s="1" t="s">
        <v>1170</v>
      </c>
      <c r="D23" s="1" t="s">
        <v>1982</v>
      </c>
      <c r="E23" s="1" t="s">
        <v>120</v>
      </c>
      <c r="F23" s="1" t="s">
        <v>145</v>
      </c>
      <c r="G23" s="1" t="s">
        <v>2013</v>
      </c>
      <c r="H23" s="1" t="s">
        <v>84</v>
      </c>
      <c r="I23" s="1" t="s">
        <v>99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2032</v>
      </c>
      <c r="B24" s="1" t="s">
        <v>148</v>
      </c>
      <c r="C24" s="1" t="s">
        <v>1170</v>
      </c>
      <c r="D24" s="1" t="s">
        <v>1984</v>
      </c>
      <c r="E24" s="1" t="s">
        <v>120</v>
      </c>
      <c r="F24" s="1" t="s">
        <v>150</v>
      </c>
      <c r="G24" s="1" t="s">
        <v>2013</v>
      </c>
      <c r="H24" s="1" t="s">
        <v>84</v>
      </c>
      <c r="I24" s="1" t="s">
        <v>99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2033</v>
      </c>
      <c r="B25" s="1" t="s">
        <v>153</v>
      </c>
      <c r="C25" s="1" t="s">
        <v>1170</v>
      </c>
      <c r="D25" s="1" t="s">
        <v>1986</v>
      </c>
      <c r="E25" s="1" t="s">
        <v>120</v>
      </c>
      <c r="F25" s="1" t="s">
        <v>155</v>
      </c>
      <c r="G25" s="1" t="s">
        <v>2020</v>
      </c>
      <c r="H25" s="1" t="s">
        <v>86</v>
      </c>
      <c r="I25" s="1" t="s">
        <v>98</v>
      </c>
      <c r="J25" s="10" t="n">
        <v>46230</v>
      </c>
      <c r="K25" s="1" t="s">
        <v>1987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2034</v>
      </c>
      <c r="B26" s="1" t="s">
        <v>1989</v>
      </c>
      <c r="C26" s="1" t="s">
        <v>1170</v>
      </c>
      <c r="D26" s="1" t="s">
        <v>1990</v>
      </c>
      <c r="E26" s="1" t="s">
        <v>120</v>
      </c>
      <c r="F26" s="1" t="s">
        <v>145</v>
      </c>
      <c r="G26" s="1" t="s">
        <v>2013</v>
      </c>
      <c r="H26" s="1" t="s">
        <v>84</v>
      </c>
      <c r="I26" s="1" t="s">
        <v>99</v>
      </c>
      <c r="J26" s="10" t="n">
        <v>46230</v>
      </c>
      <c r="K26" s="1" t="s">
        <v>1789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2035</v>
      </c>
      <c r="B27" s="1" t="s">
        <v>173</v>
      </c>
      <c r="C27" s="1" t="s">
        <v>62</v>
      </c>
      <c r="D27" s="1" t="s">
        <v>1932</v>
      </c>
      <c r="E27" s="1" t="s">
        <v>120</v>
      </c>
      <c r="F27" s="1" t="s">
        <v>161</v>
      </c>
      <c r="G27" s="1" t="s">
        <v>2036</v>
      </c>
      <c r="H27" s="1" t="s">
        <v>78</v>
      </c>
      <c r="I27" s="1" t="s">
        <v>98</v>
      </c>
      <c r="J27" s="10" t="n">
        <v>46230</v>
      </c>
      <c r="K27" s="1" t="s">
        <v>1793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2037</v>
      </c>
      <c r="B28" s="1" t="s">
        <v>177</v>
      </c>
      <c r="C28" s="1" t="s">
        <v>62</v>
      </c>
      <c r="D28" s="1" t="s">
        <v>1795</v>
      </c>
      <c r="E28" s="1" t="s">
        <v>120</v>
      </c>
      <c r="F28" s="1" t="s">
        <v>179</v>
      </c>
      <c r="G28" s="1" t="s">
        <v>2038</v>
      </c>
      <c r="H28" s="1" t="s">
        <v>84</v>
      </c>
      <c r="I28" s="1" t="s">
        <v>99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2039</v>
      </c>
      <c r="B29" s="1" t="s">
        <v>608</v>
      </c>
      <c r="C29" s="1" t="s">
        <v>62</v>
      </c>
      <c r="D29" s="1" t="s">
        <v>1937</v>
      </c>
      <c r="E29" s="1" t="s">
        <v>120</v>
      </c>
      <c r="F29" s="1" t="s">
        <v>610</v>
      </c>
      <c r="G29" s="1" t="s">
        <v>2040</v>
      </c>
      <c r="H29" s="1" t="s">
        <v>84</v>
      </c>
      <c r="I29" s="1" t="s">
        <v>99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2041</v>
      </c>
      <c r="B30" s="1" t="s">
        <v>186</v>
      </c>
      <c r="C30" s="1" t="s">
        <v>62</v>
      </c>
      <c r="D30" s="1" t="s">
        <v>1940</v>
      </c>
      <c r="E30" s="1" t="s">
        <v>188</v>
      </c>
      <c r="F30" s="1" t="s">
        <v>188</v>
      </c>
      <c r="G30" s="1" t="s">
        <v>189</v>
      </c>
      <c r="H30" s="1" t="s">
        <v>84</v>
      </c>
      <c r="I30" s="1" t="s">
        <v>99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2042</v>
      </c>
      <c r="B31" s="1" t="s">
        <v>191</v>
      </c>
      <c r="C31" s="1" t="s">
        <v>62</v>
      </c>
      <c r="D31" s="1" t="s">
        <v>1803</v>
      </c>
      <c r="E31" s="1" t="s">
        <v>120</v>
      </c>
      <c r="F31" s="1" t="s">
        <v>120</v>
      </c>
      <c r="G31" s="1" t="s">
        <v>193</v>
      </c>
      <c r="H31" s="1" t="s">
        <v>84</v>
      </c>
      <c r="I31" s="1" t="s">
        <v>99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2043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1732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COUNTA(A9:A31)</f>
        <v>23</v>
      </c>
      <c r="D4" s="5" t="s">
        <v>102</v>
      </c>
      <c r="E4" s="6" t="n">
        <f aca="false">SUM(M9:M31)</f>
        <v>22</v>
      </c>
      <c r="G4" s="5" t="s">
        <v>13</v>
      </c>
      <c r="H4" s="7" t="n">
        <f aca="false">IF(B4=0,0,E4/B4)</f>
        <v>0.956521739130435</v>
      </c>
      <c r="J4" s="5" t="s">
        <v>14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IF(COUNTIFS(I9:I31,"yes",M9:M31,0)&gt;0,"open","complete")</f>
        <v>open</v>
      </c>
      <c r="D5" s="5" t="s">
        <v>15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42" hidden="false" customHeight="true" outlineLevel="0" collapsed="false">
      <c r="A9" s="1" t="s">
        <v>2044</v>
      </c>
      <c r="B9" s="1" t="s">
        <v>76</v>
      </c>
      <c r="C9" s="1" t="s">
        <v>1170</v>
      </c>
      <c r="D9" s="1" t="s">
        <v>2045</v>
      </c>
      <c r="E9" s="1" t="s">
        <v>120</v>
      </c>
      <c r="F9" s="1" t="s">
        <v>121</v>
      </c>
      <c r="G9" s="1" t="s">
        <v>2046</v>
      </c>
      <c r="H9" s="1" t="s">
        <v>84</v>
      </c>
      <c r="I9" s="1" t="s">
        <v>99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2047</v>
      </c>
      <c r="B10" s="1" t="s">
        <v>1329</v>
      </c>
      <c r="C10" s="1" t="s">
        <v>1170</v>
      </c>
      <c r="D10" s="1" t="s">
        <v>1947</v>
      </c>
      <c r="E10" s="1" t="s">
        <v>120</v>
      </c>
      <c r="F10" s="1" t="s">
        <v>140</v>
      </c>
      <c r="G10" s="1" t="s">
        <v>2048</v>
      </c>
      <c r="H10" s="1" t="s">
        <v>84</v>
      </c>
      <c r="I10" s="1" t="s">
        <v>99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2049</v>
      </c>
      <c r="B11" s="1" t="s">
        <v>124</v>
      </c>
      <c r="C11" s="1" t="s">
        <v>2050</v>
      </c>
      <c r="D11" s="1" t="s">
        <v>1951</v>
      </c>
      <c r="E11" s="1" t="s">
        <v>120</v>
      </c>
      <c r="F11" s="1" t="s">
        <v>120</v>
      </c>
      <c r="G11" s="1" t="s">
        <v>1881</v>
      </c>
      <c r="H11" s="1" t="s">
        <v>84</v>
      </c>
      <c r="I11" s="1" t="s">
        <v>99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2051</v>
      </c>
      <c r="B12" s="1" t="s">
        <v>128</v>
      </c>
      <c r="C12" s="1" t="s">
        <v>1170</v>
      </c>
      <c r="D12" s="1" t="s">
        <v>1953</v>
      </c>
      <c r="E12" s="1" t="s">
        <v>120</v>
      </c>
      <c r="F12" s="1" t="s">
        <v>130</v>
      </c>
      <c r="G12" s="1" t="s">
        <v>2052</v>
      </c>
      <c r="H12" s="1" t="s">
        <v>84</v>
      </c>
      <c r="I12" s="1" t="s">
        <v>99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2053</v>
      </c>
      <c r="B13" s="1" t="s">
        <v>133</v>
      </c>
      <c r="C13" s="1" t="s">
        <v>1170</v>
      </c>
      <c r="D13" s="1" t="s">
        <v>1956</v>
      </c>
      <c r="E13" s="1" t="s">
        <v>120</v>
      </c>
      <c r="F13" s="1" t="s">
        <v>135</v>
      </c>
      <c r="G13" s="1" t="s">
        <v>2054</v>
      </c>
      <c r="H13" s="1" t="s">
        <v>84</v>
      </c>
      <c r="I13" s="1" t="s">
        <v>99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2055</v>
      </c>
      <c r="B14" s="1" t="s">
        <v>1562</v>
      </c>
      <c r="C14" s="1" t="s">
        <v>2056</v>
      </c>
      <c r="D14" s="1" t="s">
        <v>2057</v>
      </c>
      <c r="E14" s="1" t="s">
        <v>120</v>
      </c>
      <c r="F14" s="1" t="s">
        <v>145</v>
      </c>
      <c r="G14" s="1" t="s">
        <v>2058</v>
      </c>
      <c r="H14" s="1" t="s">
        <v>84</v>
      </c>
      <c r="I14" s="1" t="s">
        <v>99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2059</v>
      </c>
      <c r="B15" s="1" t="s">
        <v>2060</v>
      </c>
      <c r="C15" s="1" t="s">
        <v>2061</v>
      </c>
      <c r="D15" s="1" t="s">
        <v>2062</v>
      </c>
      <c r="E15" s="1" t="s">
        <v>120</v>
      </c>
      <c r="F15" s="1" t="s">
        <v>145</v>
      </c>
      <c r="G15" s="1" t="s">
        <v>2058</v>
      </c>
      <c r="H15" s="1" t="s">
        <v>84</v>
      </c>
      <c r="I15" s="1" t="s">
        <v>99</v>
      </c>
      <c r="J15" s="10" t="n">
        <v>46230</v>
      </c>
      <c r="K15" s="1" t="s">
        <v>1755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2063</v>
      </c>
      <c r="B16" s="1" t="s">
        <v>1684</v>
      </c>
      <c r="C16" s="1" t="s">
        <v>2064</v>
      </c>
      <c r="D16" s="1" t="s">
        <v>2065</v>
      </c>
      <c r="E16" s="1" t="s">
        <v>120</v>
      </c>
      <c r="F16" s="1" t="s">
        <v>155</v>
      </c>
      <c r="G16" s="1" t="s">
        <v>2066</v>
      </c>
      <c r="H16" s="1" t="s">
        <v>86</v>
      </c>
      <c r="I16" s="1" t="s">
        <v>98</v>
      </c>
      <c r="J16" s="10" t="n">
        <v>46230</v>
      </c>
      <c r="K16" s="1" t="s">
        <v>1965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2067</v>
      </c>
      <c r="B17" s="1" t="s">
        <v>2015</v>
      </c>
      <c r="C17" s="1" t="s">
        <v>1708</v>
      </c>
      <c r="D17" s="1" t="s">
        <v>2068</v>
      </c>
      <c r="E17" s="1" t="s">
        <v>120</v>
      </c>
      <c r="F17" s="1" t="s">
        <v>145</v>
      </c>
      <c r="G17" s="1" t="s">
        <v>2058</v>
      </c>
      <c r="H17" s="1" t="s">
        <v>84</v>
      </c>
      <c r="I17" s="1" t="s">
        <v>99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2069</v>
      </c>
      <c r="B18" s="1" t="s">
        <v>2070</v>
      </c>
      <c r="C18" s="1" t="s">
        <v>2071</v>
      </c>
      <c r="D18" s="1" t="s">
        <v>2072</v>
      </c>
      <c r="E18" s="1" t="s">
        <v>120</v>
      </c>
      <c r="F18" s="1" t="s">
        <v>145</v>
      </c>
      <c r="G18" s="1" t="s">
        <v>2058</v>
      </c>
      <c r="H18" s="1" t="s">
        <v>84</v>
      </c>
      <c r="I18" s="1" t="s">
        <v>99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2073</v>
      </c>
      <c r="B19" s="1" t="s">
        <v>1575</v>
      </c>
      <c r="C19" s="1" t="s">
        <v>2074</v>
      </c>
      <c r="D19" s="1" t="s">
        <v>2075</v>
      </c>
      <c r="E19" s="1" t="s">
        <v>120</v>
      </c>
      <c r="F19" s="1" t="s">
        <v>145</v>
      </c>
      <c r="G19" s="1" t="s">
        <v>2058</v>
      </c>
      <c r="H19" s="1" t="s">
        <v>84</v>
      </c>
      <c r="I19" s="1" t="s">
        <v>99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2076</v>
      </c>
      <c r="B20" s="1" t="s">
        <v>1569</v>
      </c>
      <c r="C20" s="1" t="s">
        <v>1929</v>
      </c>
      <c r="D20" s="1" t="s">
        <v>1930</v>
      </c>
      <c r="E20" s="1" t="s">
        <v>120</v>
      </c>
      <c r="F20" s="1" t="s">
        <v>145</v>
      </c>
      <c r="G20" s="1" t="s">
        <v>2058</v>
      </c>
      <c r="H20" s="1" t="s">
        <v>84</v>
      </c>
      <c r="I20" s="1" t="s">
        <v>99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2077</v>
      </c>
      <c r="B21" s="1" t="s">
        <v>168</v>
      </c>
      <c r="C21" s="1" t="s">
        <v>1977</v>
      </c>
      <c r="D21" s="1" t="s">
        <v>1978</v>
      </c>
      <c r="E21" s="1" t="s">
        <v>120</v>
      </c>
      <c r="F21" s="1" t="s">
        <v>145</v>
      </c>
      <c r="G21" s="1" t="s">
        <v>2058</v>
      </c>
      <c r="H21" s="1" t="s">
        <v>84</v>
      </c>
      <c r="I21" s="1" t="s">
        <v>99</v>
      </c>
      <c r="J21" s="10" t="n">
        <v>46230</v>
      </c>
      <c r="K21" s="1" t="s">
        <v>1778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2078</v>
      </c>
      <c r="B22" s="1" t="s">
        <v>159</v>
      </c>
      <c r="C22" s="1" t="s">
        <v>1170</v>
      </c>
      <c r="D22" s="1" t="s">
        <v>1980</v>
      </c>
      <c r="E22" s="1" t="s">
        <v>120</v>
      </c>
      <c r="F22" s="1" t="s">
        <v>145</v>
      </c>
      <c r="G22" s="1" t="s">
        <v>2058</v>
      </c>
      <c r="H22" s="1" t="s">
        <v>84</v>
      </c>
      <c r="I22" s="1" t="s">
        <v>99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2079</v>
      </c>
      <c r="B23" s="1" t="s">
        <v>1215</v>
      </c>
      <c r="C23" s="1" t="s">
        <v>1170</v>
      </c>
      <c r="D23" s="1" t="s">
        <v>1982</v>
      </c>
      <c r="E23" s="1" t="s">
        <v>120</v>
      </c>
      <c r="F23" s="1" t="s">
        <v>145</v>
      </c>
      <c r="G23" s="1" t="s">
        <v>2058</v>
      </c>
      <c r="H23" s="1" t="s">
        <v>84</v>
      </c>
      <c r="I23" s="1" t="s">
        <v>99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2080</v>
      </c>
      <c r="B24" s="1" t="s">
        <v>148</v>
      </c>
      <c r="C24" s="1" t="s">
        <v>1170</v>
      </c>
      <c r="D24" s="1" t="s">
        <v>1984</v>
      </c>
      <c r="E24" s="1" t="s">
        <v>120</v>
      </c>
      <c r="F24" s="1" t="s">
        <v>150</v>
      </c>
      <c r="G24" s="1" t="s">
        <v>2058</v>
      </c>
      <c r="H24" s="1" t="s">
        <v>84</v>
      </c>
      <c r="I24" s="1" t="s">
        <v>99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2081</v>
      </c>
      <c r="B25" s="1" t="s">
        <v>153</v>
      </c>
      <c r="C25" s="1" t="s">
        <v>1170</v>
      </c>
      <c r="D25" s="1" t="s">
        <v>1986</v>
      </c>
      <c r="E25" s="1" t="s">
        <v>120</v>
      </c>
      <c r="F25" s="1" t="s">
        <v>155</v>
      </c>
      <c r="G25" s="1" t="s">
        <v>2066</v>
      </c>
      <c r="H25" s="1" t="s">
        <v>86</v>
      </c>
      <c r="I25" s="1" t="s">
        <v>98</v>
      </c>
      <c r="J25" s="10" t="n">
        <v>46230</v>
      </c>
      <c r="K25" s="1" t="s">
        <v>1987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2082</v>
      </c>
      <c r="B26" s="1" t="s">
        <v>1989</v>
      </c>
      <c r="C26" s="1" t="s">
        <v>1170</v>
      </c>
      <c r="D26" s="1" t="s">
        <v>1990</v>
      </c>
      <c r="E26" s="1" t="s">
        <v>120</v>
      </c>
      <c r="F26" s="1" t="s">
        <v>145</v>
      </c>
      <c r="G26" s="1" t="s">
        <v>2058</v>
      </c>
      <c r="H26" s="1" t="s">
        <v>84</v>
      </c>
      <c r="I26" s="1" t="s">
        <v>99</v>
      </c>
      <c r="J26" s="10" t="n">
        <v>46230</v>
      </c>
      <c r="K26" s="1" t="s">
        <v>1789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2083</v>
      </c>
      <c r="B27" s="1" t="s">
        <v>173</v>
      </c>
      <c r="C27" s="1" t="s">
        <v>63</v>
      </c>
      <c r="D27" s="1" t="s">
        <v>1932</v>
      </c>
      <c r="E27" s="1" t="s">
        <v>120</v>
      </c>
      <c r="F27" s="1" t="s">
        <v>161</v>
      </c>
      <c r="G27" s="1" t="s">
        <v>2084</v>
      </c>
      <c r="H27" s="1" t="s">
        <v>78</v>
      </c>
      <c r="I27" s="1" t="s">
        <v>98</v>
      </c>
      <c r="J27" s="10" t="n">
        <v>46230</v>
      </c>
      <c r="K27" s="1" t="s">
        <v>1793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2085</v>
      </c>
      <c r="B28" s="1" t="s">
        <v>177</v>
      </c>
      <c r="C28" s="1" t="s">
        <v>63</v>
      </c>
      <c r="D28" s="1" t="s">
        <v>1795</v>
      </c>
      <c r="E28" s="1" t="s">
        <v>120</v>
      </c>
      <c r="F28" s="1" t="s">
        <v>179</v>
      </c>
      <c r="G28" s="1" t="s">
        <v>2086</v>
      </c>
      <c r="H28" s="1" t="s">
        <v>84</v>
      </c>
      <c r="I28" s="1" t="s">
        <v>99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2087</v>
      </c>
      <c r="B29" s="1" t="s">
        <v>608</v>
      </c>
      <c r="C29" s="1" t="s">
        <v>63</v>
      </c>
      <c r="D29" s="1" t="s">
        <v>1937</v>
      </c>
      <c r="E29" s="1" t="s">
        <v>120</v>
      </c>
      <c r="F29" s="1" t="s">
        <v>610</v>
      </c>
      <c r="G29" s="1" t="s">
        <v>2088</v>
      </c>
      <c r="H29" s="1" t="s">
        <v>84</v>
      </c>
      <c r="I29" s="1" t="s">
        <v>99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2089</v>
      </c>
      <c r="B30" s="1" t="s">
        <v>186</v>
      </c>
      <c r="C30" s="1" t="s">
        <v>63</v>
      </c>
      <c r="D30" s="1" t="s">
        <v>1940</v>
      </c>
      <c r="E30" s="1" t="s">
        <v>188</v>
      </c>
      <c r="F30" s="1" t="s">
        <v>188</v>
      </c>
      <c r="G30" s="1" t="s">
        <v>189</v>
      </c>
      <c r="H30" s="1" t="s">
        <v>84</v>
      </c>
      <c r="I30" s="1" t="s">
        <v>99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2090</v>
      </c>
      <c r="B31" s="1" t="s">
        <v>191</v>
      </c>
      <c r="C31" s="1" t="s">
        <v>63</v>
      </c>
      <c r="D31" s="1" t="s">
        <v>1803</v>
      </c>
      <c r="E31" s="1" t="s">
        <v>120</v>
      </c>
      <c r="F31" s="1" t="s">
        <v>120</v>
      </c>
      <c r="G31" s="1" t="s">
        <v>193</v>
      </c>
      <c r="H31" s="1" t="s">
        <v>84</v>
      </c>
      <c r="I31" s="1" t="s">
        <v>99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2091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2092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COUNTA(A9:A36)</f>
        <v>28</v>
      </c>
      <c r="D4" s="5" t="s">
        <v>102</v>
      </c>
      <c r="E4" s="6" t="n">
        <f aca="false">SUM(M9:M36)</f>
        <v>27</v>
      </c>
      <c r="G4" s="5" t="s">
        <v>13</v>
      </c>
      <c r="H4" s="7" t="n">
        <f aca="false">IF(B4=0,0,E4/B4)</f>
        <v>0.964285714285714</v>
      </c>
      <c r="J4" s="5" t="s">
        <v>14</v>
      </c>
      <c r="K4" s="6" t="str">
        <f aca="false">IF(COUNTIFS(E9:E36,"package",M9:M36,0)&gt;0,"open","complete")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IF(COUNTIFS(I9:I36,"yes",M9:M36,0)&gt;0,"open","complete")</f>
        <v>open</v>
      </c>
      <c r="D5" s="5" t="s">
        <v>15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54" hidden="false" customHeight="true" outlineLevel="0" collapsed="false">
      <c r="A9" s="12" t="s">
        <v>2093</v>
      </c>
      <c r="B9" s="12" t="s">
        <v>76</v>
      </c>
      <c r="C9" s="12" t="s">
        <v>1170</v>
      </c>
      <c r="D9" s="13" t="s">
        <v>2094</v>
      </c>
      <c r="E9" s="12" t="s">
        <v>120</v>
      </c>
      <c r="F9" s="12" t="s">
        <v>121</v>
      </c>
      <c r="G9" s="13" t="s">
        <v>2095</v>
      </c>
      <c r="H9" s="12" t="s">
        <v>84</v>
      </c>
      <c r="I9" s="12" t="s">
        <v>99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2096</v>
      </c>
      <c r="B10" s="12" t="s">
        <v>1329</v>
      </c>
      <c r="C10" s="12" t="s">
        <v>2097</v>
      </c>
      <c r="D10" s="13" t="s">
        <v>2098</v>
      </c>
      <c r="E10" s="12" t="s">
        <v>120</v>
      </c>
      <c r="F10" s="12" t="s">
        <v>140</v>
      </c>
      <c r="G10" s="13" t="s">
        <v>2099</v>
      </c>
      <c r="H10" s="12" t="s">
        <v>84</v>
      </c>
      <c r="I10" s="12" t="s">
        <v>99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2100</v>
      </c>
      <c r="B11" s="12" t="s">
        <v>124</v>
      </c>
      <c r="C11" s="12" t="s">
        <v>2101</v>
      </c>
      <c r="D11" s="13" t="s">
        <v>2102</v>
      </c>
      <c r="E11" s="12" t="s">
        <v>120</v>
      </c>
      <c r="F11" s="12" t="s">
        <v>120</v>
      </c>
      <c r="G11" s="13" t="s">
        <v>1881</v>
      </c>
      <c r="H11" s="12" t="s">
        <v>84</v>
      </c>
      <c r="I11" s="12" t="s">
        <v>99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2103</v>
      </c>
      <c r="B12" s="12" t="s">
        <v>128</v>
      </c>
      <c r="C12" s="12" t="s">
        <v>1170</v>
      </c>
      <c r="D12" s="13" t="s">
        <v>2104</v>
      </c>
      <c r="E12" s="12" t="s">
        <v>120</v>
      </c>
      <c r="F12" s="12" t="s">
        <v>130</v>
      </c>
      <c r="G12" s="13" t="s">
        <v>2105</v>
      </c>
      <c r="H12" s="12" t="s">
        <v>84</v>
      </c>
      <c r="I12" s="12" t="s">
        <v>99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2106</v>
      </c>
      <c r="B13" s="12" t="s">
        <v>133</v>
      </c>
      <c r="C13" s="12" t="s">
        <v>1170</v>
      </c>
      <c r="D13" s="13" t="s">
        <v>2107</v>
      </c>
      <c r="E13" s="12" t="s">
        <v>120</v>
      </c>
      <c r="F13" s="12" t="s">
        <v>135</v>
      </c>
      <c r="G13" s="13" t="s">
        <v>2108</v>
      </c>
      <c r="H13" s="12" t="s">
        <v>84</v>
      </c>
      <c r="I13" s="12" t="s">
        <v>99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2109</v>
      </c>
      <c r="B14" s="12" t="s">
        <v>1562</v>
      </c>
      <c r="C14" s="12" t="s">
        <v>2097</v>
      </c>
      <c r="D14" s="13" t="s">
        <v>2110</v>
      </c>
      <c r="E14" s="12" t="s">
        <v>120</v>
      </c>
      <c r="F14" s="12" t="s">
        <v>145</v>
      </c>
      <c r="G14" s="13" t="s">
        <v>2111</v>
      </c>
      <c r="H14" s="12" t="s">
        <v>84</v>
      </c>
      <c r="I14" s="12" t="s">
        <v>99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2112</v>
      </c>
      <c r="B15" s="12" t="s">
        <v>1119</v>
      </c>
      <c r="C15" s="12" t="s">
        <v>768</v>
      </c>
      <c r="D15" s="13" t="s">
        <v>2113</v>
      </c>
      <c r="E15" s="12" t="s">
        <v>120</v>
      </c>
      <c r="F15" s="12" t="s">
        <v>145</v>
      </c>
      <c r="G15" s="13" t="s">
        <v>2114</v>
      </c>
      <c r="H15" s="12" t="s">
        <v>84</v>
      </c>
      <c r="I15" s="12" t="s">
        <v>99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2115</v>
      </c>
      <c r="B16" s="12" t="s">
        <v>1761</v>
      </c>
      <c r="C16" s="12" t="s">
        <v>1546</v>
      </c>
      <c r="D16" s="13" t="s">
        <v>2116</v>
      </c>
      <c r="E16" s="12" t="s">
        <v>120</v>
      </c>
      <c r="F16" s="12" t="s">
        <v>145</v>
      </c>
      <c r="G16" s="13" t="s">
        <v>2114</v>
      </c>
      <c r="H16" s="12" t="s">
        <v>84</v>
      </c>
      <c r="I16" s="12" t="s">
        <v>99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2117</v>
      </c>
      <c r="B17" s="12" t="s">
        <v>1684</v>
      </c>
      <c r="C17" s="12" t="s">
        <v>1170</v>
      </c>
      <c r="D17" s="13" t="s">
        <v>2118</v>
      </c>
      <c r="E17" s="12" t="s">
        <v>120</v>
      </c>
      <c r="F17" s="12" t="s">
        <v>145</v>
      </c>
      <c r="G17" s="13" t="s">
        <v>2111</v>
      </c>
      <c r="H17" s="12" t="s">
        <v>84</v>
      </c>
      <c r="I17" s="12" t="s">
        <v>99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2119</v>
      </c>
      <c r="B18" s="12" t="s">
        <v>1276</v>
      </c>
      <c r="C18" s="12" t="s">
        <v>768</v>
      </c>
      <c r="D18" s="13" t="s">
        <v>2120</v>
      </c>
      <c r="E18" s="12" t="s">
        <v>120</v>
      </c>
      <c r="F18" s="12" t="s">
        <v>145</v>
      </c>
      <c r="G18" s="13" t="s">
        <v>2121</v>
      </c>
      <c r="H18" s="12" t="s">
        <v>84</v>
      </c>
      <c r="I18" s="12" t="s">
        <v>99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2122</v>
      </c>
      <c r="B19" s="12" t="s">
        <v>1902</v>
      </c>
      <c r="C19" s="12" t="s">
        <v>2123</v>
      </c>
      <c r="D19" s="13" t="s">
        <v>2124</v>
      </c>
      <c r="E19" s="12" t="s">
        <v>120</v>
      </c>
      <c r="F19" s="12" t="s">
        <v>145</v>
      </c>
      <c r="G19" s="13" t="s">
        <v>2114</v>
      </c>
      <c r="H19" s="12" t="s">
        <v>84</v>
      </c>
      <c r="I19" s="12" t="s">
        <v>99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2125</v>
      </c>
      <c r="B20" s="12" t="s">
        <v>1382</v>
      </c>
      <c r="C20" s="12" t="s">
        <v>2126</v>
      </c>
      <c r="D20" s="13" t="s">
        <v>2127</v>
      </c>
      <c r="E20" s="12" t="s">
        <v>120</v>
      </c>
      <c r="F20" s="12" t="s">
        <v>145</v>
      </c>
      <c r="G20" s="13" t="s">
        <v>2111</v>
      </c>
      <c r="H20" s="12" t="s">
        <v>84</v>
      </c>
      <c r="I20" s="12" t="s">
        <v>99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2128</v>
      </c>
      <c r="B21" s="12" t="s">
        <v>2129</v>
      </c>
      <c r="C21" s="12" t="s">
        <v>1546</v>
      </c>
      <c r="D21" s="13" t="s">
        <v>2130</v>
      </c>
      <c r="E21" s="12" t="s">
        <v>120</v>
      </c>
      <c r="F21" s="12" t="s">
        <v>140</v>
      </c>
      <c r="G21" s="13" t="s">
        <v>2131</v>
      </c>
      <c r="H21" s="12" t="s">
        <v>84</v>
      </c>
      <c r="I21" s="12" t="s">
        <v>99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2132</v>
      </c>
      <c r="B22" s="12" t="s">
        <v>2133</v>
      </c>
      <c r="C22" s="12" t="s">
        <v>841</v>
      </c>
      <c r="D22" s="13" t="s">
        <v>2134</v>
      </c>
      <c r="E22" s="12" t="s">
        <v>120</v>
      </c>
      <c r="F22" s="12" t="s">
        <v>145</v>
      </c>
      <c r="G22" s="13" t="s">
        <v>2121</v>
      </c>
      <c r="H22" s="12" t="s">
        <v>84</v>
      </c>
      <c r="I22" s="12" t="s">
        <v>99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2135</v>
      </c>
      <c r="B23" s="12" t="s">
        <v>1072</v>
      </c>
      <c r="C23" s="12" t="s">
        <v>2136</v>
      </c>
      <c r="D23" s="13" t="s">
        <v>2137</v>
      </c>
      <c r="E23" s="12" t="s">
        <v>120</v>
      </c>
      <c r="F23" s="12" t="s">
        <v>145</v>
      </c>
      <c r="G23" s="13" t="s">
        <v>2111</v>
      </c>
      <c r="H23" s="12" t="s">
        <v>84</v>
      </c>
      <c r="I23" s="12" t="s">
        <v>99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2138</v>
      </c>
      <c r="B24" s="12" t="s">
        <v>168</v>
      </c>
      <c r="C24" s="12" t="s">
        <v>1170</v>
      </c>
      <c r="D24" s="13" t="s">
        <v>2139</v>
      </c>
      <c r="E24" s="12" t="s">
        <v>120</v>
      </c>
      <c r="F24" s="12" t="s">
        <v>145</v>
      </c>
      <c r="G24" s="13" t="s">
        <v>2131</v>
      </c>
      <c r="H24" s="12" t="s">
        <v>84</v>
      </c>
      <c r="I24" s="12" t="s">
        <v>99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2140</v>
      </c>
      <c r="B25" s="12" t="s">
        <v>2141</v>
      </c>
      <c r="C25" s="12" t="s">
        <v>768</v>
      </c>
      <c r="D25" s="13" t="s">
        <v>2142</v>
      </c>
      <c r="E25" s="12" t="s">
        <v>120</v>
      </c>
      <c r="F25" s="12" t="s">
        <v>145</v>
      </c>
      <c r="G25" s="13" t="s">
        <v>2114</v>
      </c>
      <c r="H25" s="12" t="s">
        <v>84</v>
      </c>
      <c r="I25" s="12" t="s">
        <v>99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2143</v>
      </c>
      <c r="B26" s="12" t="s">
        <v>1517</v>
      </c>
      <c r="C26" s="12" t="s">
        <v>768</v>
      </c>
      <c r="D26" s="13" t="s">
        <v>2144</v>
      </c>
      <c r="E26" s="12" t="s">
        <v>120</v>
      </c>
      <c r="F26" s="12" t="s">
        <v>155</v>
      </c>
      <c r="G26" s="13" t="s">
        <v>2145</v>
      </c>
      <c r="H26" s="12" t="s">
        <v>86</v>
      </c>
      <c r="I26" s="12" t="s">
        <v>98</v>
      </c>
      <c r="J26" s="14" t="n">
        <v>46230</v>
      </c>
      <c r="K26" s="13" t="s">
        <v>2146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2147</v>
      </c>
      <c r="B27" s="12" t="s">
        <v>159</v>
      </c>
      <c r="C27" s="12" t="s">
        <v>1170</v>
      </c>
      <c r="D27" s="13" t="s">
        <v>2148</v>
      </c>
      <c r="E27" s="12" t="s">
        <v>120</v>
      </c>
      <c r="F27" s="12" t="s">
        <v>145</v>
      </c>
      <c r="G27" s="13" t="s">
        <v>2114</v>
      </c>
      <c r="H27" s="12" t="s">
        <v>84</v>
      </c>
      <c r="I27" s="12" t="s">
        <v>99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2149</v>
      </c>
      <c r="B28" s="12" t="s">
        <v>2150</v>
      </c>
      <c r="C28" s="12" t="s">
        <v>1170</v>
      </c>
      <c r="D28" s="13" t="s">
        <v>2151</v>
      </c>
      <c r="E28" s="12" t="s">
        <v>120</v>
      </c>
      <c r="F28" s="12" t="s">
        <v>145</v>
      </c>
      <c r="G28" s="13" t="s">
        <v>2114</v>
      </c>
      <c r="H28" s="12" t="s">
        <v>84</v>
      </c>
      <c r="I28" s="12" t="s">
        <v>99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2152</v>
      </c>
      <c r="B29" s="12" t="s">
        <v>148</v>
      </c>
      <c r="C29" s="12" t="s">
        <v>1170</v>
      </c>
      <c r="D29" s="13" t="s">
        <v>2153</v>
      </c>
      <c r="E29" s="12" t="s">
        <v>120</v>
      </c>
      <c r="F29" s="12" t="s">
        <v>150</v>
      </c>
      <c r="G29" s="13" t="s">
        <v>2111</v>
      </c>
      <c r="H29" s="12" t="s">
        <v>84</v>
      </c>
      <c r="I29" s="12" t="s">
        <v>99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2154</v>
      </c>
      <c r="B30" s="12" t="s">
        <v>153</v>
      </c>
      <c r="C30" s="12" t="s">
        <v>1170</v>
      </c>
      <c r="D30" s="13" t="s">
        <v>2155</v>
      </c>
      <c r="E30" s="12" t="s">
        <v>120</v>
      </c>
      <c r="F30" s="12" t="s">
        <v>155</v>
      </c>
      <c r="G30" s="13" t="s">
        <v>2156</v>
      </c>
      <c r="H30" s="12" t="s">
        <v>86</v>
      </c>
      <c r="I30" s="12" t="s">
        <v>98</v>
      </c>
      <c r="J30" s="14" t="n">
        <v>46230</v>
      </c>
      <c r="K30" s="13" t="s">
        <v>2157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2158</v>
      </c>
      <c r="B31" s="12" t="s">
        <v>173</v>
      </c>
      <c r="C31" s="12" t="s">
        <v>64</v>
      </c>
      <c r="D31" s="13" t="s">
        <v>2159</v>
      </c>
      <c r="E31" s="12" t="s">
        <v>120</v>
      </c>
      <c r="F31" s="12" t="s">
        <v>161</v>
      </c>
      <c r="G31" s="13" t="s">
        <v>2160</v>
      </c>
      <c r="H31" s="12" t="s">
        <v>78</v>
      </c>
      <c r="I31" s="12" t="s">
        <v>98</v>
      </c>
      <c r="J31" s="14" t="n">
        <v>46230</v>
      </c>
      <c r="K31" s="13" t="s">
        <v>1793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54" hidden="false" customHeight="true" outlineLevel="0" collapsed="false">
      <c r="A32" s="12" t="s">
        <v>2161</v>
      </c>
      <c r="B32" s="12" t="s">
        <v>177</v>
      </c>
      <c r="C32" s="12" t="s">
        <v>64</v>
      </c>
      <c r="D32" s="13" t="s">
        <v>2162</v>
      </c>
      <c r="E32" s="12" t="s">
        <v>120</v>
      </c>
      <c r="F32" s="12" t="s">
        <v>179</v>
      </c>
      <c r="G32" s="13" t="s">
        <v>2163</v>
      </c>
      <c r="H32" s="12" t="s">
        <v>84</v>
      </c>
      <c r="I32" s="12" t="s">
        <v>99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2164</v>
      </c>
      <c r="B33" s="12" t="s">
        <v>182</v>
      </c>
      <c r="C33" s="12" t="s">
        <v>64</v>
      </c>
      <c r="D33" s="13" t="s">
        <v>2165</v>
      </c>
      <c r="E33" s="12" t="s">
        <v>120</v>
      </c>
      <c r="F33" s="12" t="s">
        <v>179</v>
      </c>
      <c r="G33" s="13" t="s">
        <v>2166</v>
      </c>
      <c r="H33" s="12" t="s">
        <v>84</v>
      </c>
      <c r="I33" s="12" t="s">
        <v>99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2167</v>
      </c>
      <c r="B34" s="12" t="s">
        <v>608</v>
      </c>
      <c r="C34" s="12" t="s">
        <v>64</v>
      </c>
      <c r="D34" s="13" t="s">
        <v>2168</v>
      </c>
      <c r="E34" s="12" t="s">
        <v>120</v>
      </c>
      <c r="F34" s="12" t="s">
        <v>610</v>
      </c>
      <c r="G34" s="13" t="s">
        <v>2169</v>
      </c>
      <c r="H34" s="12" t="s">
        <v>84</v>
      </c>
      <c r="I34" s="12" t="s">
        <v>99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2170</v>
      </c>
      <c r="B35" s="12" t="s">
        <v>186</v>
      </c>
      <c r="C35" s="12" t="s">
        <v>64</v>
      </c>
      <c r="D35" s="13" t="s">
        <v>2171</v>
      </c>
      <c r="E35" s="12" t="s">
        <v>188</v>
      </c>
      <c r="F35" s="12" t="s">
        <v>188</v>
      </c>
      <c r="G35" s="13" t="s">
        <v>189</v>
      </c>
      <c r="H35" s="12" t="s">
        <v>84</v>
      </c>
      <c r="I35" s="12" t="s">
        <v>99</v>
      </c>
      <c r="J35" s="14" t="n">
        <v>46230</v>
      </c>
      <c r="K35" s="13"/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2172</v>
      </c>
      <c r="B36" s="12" t="s">
        <v>191</v>
      </c>
      <c r="C36" s="12" t="s">
        <v>64</v>
      </c>
      <c r="D36" s="13" t="s">
        <v>2173</v>
      </c>
      <c r="E36" s="12" t="s">
        <v>120</v>
      </c>
      <c r="F36" s="12" t="s">
        <v>120</v>
      </c>
      <c r="G36" s="13" t="s">
        <v>193</v>
      </c>
      <c r="H36" s="12" t="s">
        <v>84</v>
      </c>
      <c r="I36" s="12" t="s">
        <v>99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</sheetData>
  <autoFilter ref="A8:M36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6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6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2174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2175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COUNTA(A9:A27)</f>
        <v>19</v>
      </c>
      <c r="D4" s="5" t="s">
        <v>102</v>
      </c>
      <c r="E4" s="6" t="n">
        <f aca="false">SUM(M9:M27)</f>
        <v>18</v>
      </c>
      <c r="G4" s="5" t="s">
        <v>13</v>
      </c>
      <c r="H4" s="7" t="n">
        <f aca="false">IF(B4=0,0,E4/B4)</f>
        <v>0.947368421052632</v>
      </c>
      <c r="J4" s="5" t="s">
        <v>14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IF(COUNTIFS(I9:I27,"yes",M9:M27,0)&gt;0,"open","complete")</f>
        <v>open</v>
      </c>
      <c r="D5" s="5" t="s">
        <v>15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54" hidden="false" customHeight="true" outlineLevel="0" collapsed="false">
      <c r="A9" s="12" t="s">
        <v>2176</v>
      </c>
      <c r="B9" s="12" t="s">
        <v>76</v>
      </c>
      <c r="C9" s="12" t="s">
        <v>768</v>
      </c>
      <c r="D9" s="13" t="s">
        <v>2177</v>
      </c>
      <c r="E9" s="12" t="s">
        <v>120</v>
      </c>
      <c r="F9" s="12" t="s">
        <v>121</v>
      </c>
      <c r="G9" s="13" t="s">
        <v>2178</v>
      </c>
      <c r="H9" s="12" t="s">
        <v>84</v>
      </c>
      <c r="I9" s="12" t="s">
        <v>99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2179</v>
      </c>
      <c r="B10" s="12" t="s">
        <v>1329</v>
      </c>
      <c r="C10" s="12" t="s">
        <v>768</v>
      </c>
      <c r="D10" s="13" t="s">
        <v>2180</v>
      </c>
      <c r="E10" s="12" t="s">
        <v>120</v>
      </c>
      <c r="F10" s="12" t="s">
        <v>140</v>
      </c>
      <c r="G10" s="13" t="s">
        <v>2181</v>
      </c>
      <c r="H10" s="12" t="s">
        <v>84</v>
      </c>
      <c r="I10" s="12" t="s">
        <v>99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2182</v>
      </c>
      <c r="B11" s="12" t="s">
        <v>124</v>
      </c>
      <c r="C11" s="12" t="s">
        <v>2183</v>
      </c>
      <c r="D11" s="13" t="s">
        <v>2184</v>
      </c>
      <c r="E11" s="12" t="s">
        <v>120</v>
      </c>
      <c r="F11" s="12" t="s">
        <v>120</v>
      </c>
      <c r="G11" s="13" t="s">
        <v>1881</v>
      </c>
      <c r="H11" s="12" t="s">
        <v>84</v>
      </c>
      <c r="I11" s="12" t="s">
        <v>99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2185</v>
      </c>
      <c r="B12" s="12" t="s">
        <v>128</v>
      </c>
      <c r="C12" s="12" t="s">
        <v>768</v>
      </c>
      <c r="D12" s="13" t="s">
        <v>2186</v>
      </c>
      <c r="E12" s="12" t="s">
        <v>120</v>
      </c>
      <c r="F12" s="12" t="s">
        <v>130</v>
      </c>
      <c r="G12" s="13" t="s">
        <v>2187</v>
      </c>
      <c r="H12" s="12" t="s">
        <v>84</v>
      </c>
      <c r="I12" s="12" t="s">
        <v>99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2188</v>
      </c>
      <c r="B13" s="12" t="s">
        <v>2189</v>
      </c>
      <c r="C13" s="12" t="s">
        <v>768</v>
      </c>
      <c r="D13" s="13" t="s">
        <v>2190</v>
      </c>
      <c r="E13" s="12" t="s">
        <v>120</v>
      </c>
      <c r="F13" s="12" t="s">
        <v>140</v>
      </c>
      <c r="G13" s="13" t="s">
        <v>2181</v>
      </c>
      <c r="H13" s="12" t="s">
        <v>84</v>
      </c>
      <c r="I13" s="12" t="s">
        <v>99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2191</v>
      </c>
      <c r="B14" s="12" t="s">
        <v>1279</v>
      </c>
      <c r="C14" s="12" t="s">
        <v>768</v>
      </c>
      <c r="D14" s="13" t="s">
        <v>2192</v>
      </c>
      <c r="E14" s="12" t="s">
        <v>120</v>
      </c>
      <c r="F14" s="12" t="s">
        <v>145</v>
      </c>
      <c r="G14" s="13" t="s">
        <v>2193</v>
      </c>
      <c r="H14" s="12" t="s">
        <v>84</v>
      </c>
      <c r="I14" s="12" t="s">
        <v>99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2194</v>
      </c>
      <c r="B15" s="12" t="s">
        <v>2195</v>
      </c>
      <c r="C15" s="12" t="s">
        <v>768</v>
      </c>
      <c r="D15" s="13" t="s">
        <v>2196</v>
      </c>
      <c r="E15" s="12" t="s">
        <v>120</v>
      </c>
      <c r="F15" s="12" t="s">
        <v>145</v>
      </c>
      <c r="G15" s="13" t="s">
        <v>2193</v>
      </c>
      <c r="H15" s="12" t="s">
        <v>84</v>
      </c>
      <c r="I15" s="12" t="s">
        <v>99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2197</v>
      </c>
      <c r="B16" s="12" t="s">
        <v>2198</v>
      </c>
      <c r="C16" s="12" t="s">
        <v>768</v>
      </c>
      <c r="D16" s="13" t="s">
        <v>2199</v>
      </c>
      <c r="E16" s="12" t="s">
        <v>120</v>
      </c>
      <c r="F16" s="12" t="s">
        <v>145</v>
      </c>
      <c r="G16" s="13" t="s">
        <v>2193</v>
      </c>
      <c r="H16" s="12" t="s">
        <v>84</v>
      </c>
      <c r="I16" s="12" t="s">
        <v>99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2200</v>
      </c>
      <c r="B17" s="12" t="s">
        <v>168</v>
      </c>
      <c r="C17" s="12" t="s">
        <v>768</v>
      </c>
      <c r="D17" s="13" t="s">
        <v>2201</v>
      </c>
      <c r="E17" s="12" t="s">
        <v>120</v>
      </c>
      <c r="F17" s="12" t="s">
        <v>145</v>
      </c>
      <c r="G17" s="13" t="s">
        <v>2202</v>
      </c>
      <c r="H17" s="12" t="s">
        <v>84</v>
      </c>
      <c r="I17" s="12" t="s">
        <v>99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2203</v>
      </c>
      <c r="B18" s="12" t="s">
        <v>2204</v>
      </c>
      <c r="C18" s="12" t="s">
        <v>768</v>
      </c>
      <c r="D18" s="13" t="s">
        <v>2205</v>
      </c>
      <c r="E18" s="12" t="s">
        <v>120</v>
      </c>
      <c r="F18" s="12" t="s">
        <v>145</v>
      </c>
      <c r="G18" s="13" t="s">
        <v>2193</v>
      </c>
      <c r="H18" s="12" t="s">
        <v>84</v>
      </c>
      <c r="I18" s="12" t="s">
        <v>99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2206</v>
      </c>
      <c r="B19" s="12" t="s">
        <v>159</v>
      </c>
      <c r="C19" s="12" t="s">
        <v>768</v>
      </c>
      <c r="D19" s="13" t="s">
        <v>2207</v>
      </c>
      <c r="E19" s="12" t="s">
        <v>120</v>
      </c>
      <c r="F19" s="12" t="s">
        <v>145</v>
      </c>
      <c r="G19" s="13" t="s">
        <v>2208</v>
      </c>
      <c r="H19" s="12" t="s">
        <v>84</v>
      </c>
      <c r="I19" s="12" t="s">
        <v>99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2209</v>
      </c>
      <c r="B20" s="12" t="s">
        <v>148</v>
      </c>
      <c r="C20" s="12" t="s">
        <v>768</v>
      </c>
      <c r="D20" s="13" t="s">
        <v>2210</v>
      </c>
      <c r="E20" s="12" t="s">
        <v>120</v>
      </c>
      <c r="F20" s="12" t="s">
        <v>150</v>
      </c>
      <c r="G20" s="13" t="s">
        <v>2193</v>
      </c>
      <c r="H20" s="12" t="s">
        <v>84</v>
      </c>
      <c r="I20" s="12" t="s">
        <v>99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2211</v>
      </c>
      <c r="B21" s="12" t="s">
        <v>153</v>
      </c>
      <c r="C21" s="12" t="s">
        <v>768</v>
      </c>
      <c r="D21" s="13" t="s">
        <v>2212</v>
      </c>
      <c r="E21" s="12" t="s">
        <v>120</v>
      </c>
      <c r="F21" s="12" t="s">
        <v>155</v>
      </c>
      <c r="G21" s="13" t="s">
        <v>2213</v>
      </c>
      <c r="H21" s="12" t="s">
        <v>86</v>
      </c>
      <c r="I21" s="12" t="s">
        <v>98</v>
      </c>
      <c r="J21" s="14" t="n">
        <v>46230</v>
      </c>
      <c r="K21" s="13" t="s">
        <v>2214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2215</v>
      </c>
      <c r="B22" s="12" t="s">
        <v>173</v>
      </c>
      <c r="C22" s="12" t="s">
        <v>65</v>
      </c>
      <c r="D22" s="13" t="s">
        <v>2216</v>
      </c>
      <c r="E22" s="12" t="s">
        <v>120</v>
      </c>
      <c r="F22" s="12" t="s">
        <v>161</v>
      </c>
      <c r="G22" s="13" t="s">
        <v>2217</v>
      </c>
      <c r="H22" s="12" t="s">
        <v>78</v>
      </c>
      <c r="I22" s="12" t="s">
        <v>98</v>
      </c>
      <c r="J22" s="14" t="n">
        <v>46230</v>
      </c>
      <c r="K22" s="13" t="s">
        <v>1793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2218</v>
      </c>
      <c r="B23" s="12" t="s">
        <v>177</v>
      </c>
      <c r="C23" s="12" t="s">
        <v>65</v>
      </c>
      <c r="D23" s="13" t="s">
        <v>2219</v>
      </c>
      <c r="E23" s="12" t="s">
        <v>120</v>
      </c>
      <c r="F23" s="12" t="s">
        <v>179</v>
      </c>
      <c r="G23" s="13" t="s">
        <v>2220</v>
      </c>
      <c r="H23" s="12" t="s">
        <v>84</v>
      </c>
      <c r="I23" s="12" t="s">
        <v>99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2221</v>
      </c>
      <c r="B24" s="12" t="s">
        <v>182</v>
      </c>
      <c r="C24" s="12" t="s">
        <v>65</v>
      </c>
      <c r="D24" s="13" t="s">
        <v>2222</v>
      </c>
      <c r="E24" s="12" t="s">
        <v>120</v>
      </c>
      <c r="F24" s="12" t="s">
        <v>179</v>
      </c>
      <c r="G24" s="13" t="s">
        <v>2223</v>
      </c>
      <c r="H24" s="12" t="s">
        <v>84</v>
      </c>
      <c r="I24" s="12" t="s">
        <v>99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2224</v>
      </c>
      <c r="B25" s="12" t="s">
        <v>608</v>
      </c>
      <c r="C25" s="12" t="s">
        <v>65</v>
      </c>
      <c r="D25" s="13" t="s">
        <v>2225</v>
      </c>
      <c r="E25" s="12" t="s">
        <v>120</v>
      </c>
      <c r="F25" s="12" t="s">
        <v>610</v>
      </c>
      <c r="G25" s="13" t="s">
        <v>2226</v>
      </c>
      <c r="H25" s="12" t="s">
        <v>84</v>
      </c>
      <c r="I25" s="12" t="s">
        <v>99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2227</v>
      </c>
      <c r="B26" s="12" t="s">
        <v>186</v>
      </c>
      <c r="C26" s="12" t="s">
        <v>65</v>
      </c>
      <c r="D26" s="13" t="s">
        <v>2228</v>
      </c>
      <c r="E26" s="12" t="s">
        <v>188</v>
      </c>
      <c r="F26" s="12" t="s">
        <v>188</v>
      </c>
      <c r="G26" s="13" t="s">
        <v>189</v>
      </c>
      <c r="H26" s="12" t="s">
        <v>84</v>
      </c>
      <c r="I26" s="12" t="s">
        <v>99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2229</v>
      </c>
      <c r="B27" s="12" t="s">
        <v>191</v>
      </c>
      <c r="C27" s="12" t="s">
        <v>65</v>
      </c>
      <c r="D27" s="13" t="s">
        <v>2230</v>
      </c>
      <c r="E27" s="12" t="s">
        <v>120</v>
      </c>
      <c r="F27" s="12" t="s">
        <v>120</v>
      </c>
      <c r="G27" s="13" t="s">
        <v>193</v>
      </c>
      <c r="H27" s="12" t="s">
        <v>84</v>
      </c>
      <c r="I27" s="12" t="s">
        <v>99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/>
    <row r="29" customFormat="false" ht="54" hidden="false" customHeight="true" outlineLevel="0" collapsed="false"/>
    <row r="30" customFormat="false" ht="54" hidden="false" customHeight="true" outlineLevel="0" collapsed="false"/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27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2231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2232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COUNTA(A9:A33)</f>
        <v>25</v>
      </c>
      <c r="D4" s="5" t="s">
        <v>102</v>
      </c>
      <c r="E4" s="6" t="n">
        <f aca="false">SUM(M9:M33)</f>
        <v>24</v>
      </c>
      <c r="G4" s="5" t="s">
        <v>13</v>
      </c>
      <c r="H4" s="7" t="n">
        <f aca="false">IF(B4=0,0,E4/B4)</f>
        <v>0.96</v>
      </c>
      <c r="J4" s="5" t="s">
        <v>14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IF(COUNTIFS(I9:I33,"yes",M9:M33,0)&gt;0,"open","complete")</f>
        <v>open</v>
      </c>
      <c r="D5" s="5" t="s">
        <v>15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54" hidden="false" customHeight="true" outlineLevel="0" collapsed="false">
      <c r="A9" s="12" t="s">
        <v>1023</v>
      </c>
      <c r="B9" s="12" t="s">
        <v>76</v>
      </c>
      <c r="C9" s="12" t="s">
        <v>768</v>
      </c>
      <c r="D9" s="13" t="s">
        <v>2233</v>
      </c>
      <c r="E9" s="12" t="s">
        <v>120</v>
      </c>
      <c r="F9" s="12" t="s">
        <v>121</v>
      </c>
      <c r="G9" s="13" t="s">
        <v>2234</v>
      </c>
      <c r="H9" s="12" t="s">
        <v>84</v>
      </c>
      <c r="I9" s="12" t="s">
        <v>99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1026</v>
      </c>
      <c r="B10" s="12" t="s">
        <v>1329</v>
      </c>
      <c r="C10" s="12" t="s">
        <v>1170</v>
      </c>
      <c r="D10" s="13" t="s">
        <v>2235</v>
      </c>
      <c r="E10" s="12" t="s">
        <v>120</v>
      </c>
      <c r="F10" s="12" t="s">
        <v>140</v>
      </c>
      <c r="G10" s="13" t="s">
        <v>2236</v>
      </c>
      <c r="H10" s="12" t="s">
        <v>84</v>
      </c>
      <c r="I10" s="12" t="s">
        <v>99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1028</v>
      </c>
      <c r="B11" s="12" t="s">
        <v>124</v>
      </c>
      <c r="C11" s="12" t="s">
        <v>1170</v>
      </c>
      <c r="D11" s="13" t="s">
        <v>2237</v>
      </c>
      <c r="E11" s="12" t="s">
        <v>120</v>
      </c>
      <c r="F11" s="12" t="s">
        <v>120</v>
      </c>
      <c r="G11" s="13" t="s">
        <v>126</v>
      </c>
      <c r="H11" s="12" t="s">
        <v>84</v>
      </c>
      <c r="I11" s="12" t="s">
        <v>99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1031</v>
      </c>
      <c r="B12" s="12" t="s">
        <v>128</v>
      </c>
      <c r="C12" s="12" t="s">
        <v>1170</v>
      </c>
      <c r="D12" s="13" t="s">
        <v>2238</v>
      </c>
      <c r="E12" s="12" t="s">
        <v>120</v>
      </c>
      <c r="F12" s="12" t="s">
        <v>130</v>
      </c>
      <c r="G12" s="13" t="s">
        <v>2239</v>
      </c>
      <c r="H12" s="12" t="s">
        <v>84</v>
      </c>
      <c r="I12" s="12" t="s">
        <v>99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1034</v>
      </c>
      <c r="B13" s="12" t="s">
        <v>133</v>
      </c>
      <c r="C13" s="12" t="s">
        <v>1170</v>
      </c>
      <c r="D13" s="13" t="s">
        <v>2240</v>
      </c>
      <c r="E13" s="12" t="s">
        <v>120</v>
      </c>
      <c r="F13" s="12" t="s">
        <v>135</v>
      </c>
      <c r="G13" s="13" t="s">
        <v>2241</v>
      </c>
      <c r="H13" s="12" t="s">
        <v>84</v>
      </c>
      <c r="I13" s="12" t="s">
        <v>99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1037</v>
      </c>
      <c r="B14" s="12" t="s">
        <v>1562</v>
      </c>
      <c r="C14" s="12" t="s">
        <v>768</v>
      </c>
      <c r="D14" s="13" t="s">
        <v>2242</v>
      </c>
      <c r="E14" s="12" t="s">
        <v>120</v>
      </c>
      <c r="F14" s="12" t="s">
        <v>145</v>
      </c>
      <c r="G14" s="13" t="s">
        <v>2243</v>
      </c>
      <c r="H14" s="12" t="s">
        <v>84</v>
      </c>
      <c r="I14" s="12" t="s">
        <v>99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1040</v>
      </c>
      <c r="B15" s="12" t="s">
        <v>1679</v>
      </c>
      <c r="C15" s="12" t="s">
        <v>768</v>
      </c>
      <c r="D15" s="13" t="s">
        <v>2244</v>
      </c>
      <c r="E15" s="12" t="s">
        <v>120</v>
      </c>
      <c r="F15" s="12" t="s">
        <v>155</v>
      </c>
      <c r="G15" s="13" t="s">
        <v>2245</v>
      </c>
      <c r="H15" s="12" t="s">
        <v>86</v>
      </c>
      <c r="I15" s="12" t="s">
        <v>98</v>
      </c>
      <c r="J15" s="14" t="n">
        <v>46230</v>
      </c>
      <c r="K15" s="13" t="s">
        <v>2246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1042</v>
      </c>
      <c r="B16" s="12" t="s">
        <v>1684</v>
      </c>
      <c r="C16" s="12" t="s">
        <v>768</v>
      </c>
      <c r="D16" s="13" t="s">
        <v>2247</v>
      </c>
      <c r="E16" s="12" t="s">
        <v>120</v>
      </c>
      <c r="F16" s="12" t="s">
        <v>155</v>
      </c>
      <c r="G16" s="13" t="s">
        <v>2245</v>
      </c>
      <c r="H16" s="12" t="s">
        <v>86</v>
      </c>
      <c r="I16" s="12" t="s">
        <v>98</v>
      </c>
      <c r="J16" s="14" t="n">
        <v>46230</v>
      </c>
      <c r="K16" s="13" t="s">
        <v>2248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1046</v>
      </c>
      <c r="B17" s="12" t="s">
        <v>1159</v>
      </c>
      <c r="C17" s="12" t="s">
        <v>768</v>
      </c>
      <c r="D17" s="13" t="s">
        <v>2249</v>
      </c>
      <c r="E17" s="12" t="s">
        <v>120</v>
      </c>
      <c r="F17" s="12" t="s">
        <v>140</v>
      </c>
      <c r="G17" s="13" t="s">
        <v>2250</v>
      </c>
      <c r="H17" s="12" t="s">
        <v>84</v>
      </c>
      <c r="I17" s="12" t="s">
        <v>99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1050</v>
      </c>
      <c r="B18" s="12" t="s">
        <v>2251</v>
      </c>
      <c r="C18" s="12" t="s">
        <v>2252</v>
      </c>
      <c r="D18" s="13" t="s">
        <v>2253</v>
      </c>
      <c r="E18" s="12" t="s">
        <v>120</v>
      </c>
      <c r="F18" s="12" t="s">
        <v>145</v>
      </c>
      <c r="G18" s="13" t="s">
        <v>2250</v>
      </c>
      <c r="H18" s="12" t="s">
        <v>84</v>
      </c>
      <c r="I18" s="12" t="s">
        <v>99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1052</v>
      </c>
      <c r="B19" s="12" t="s">
        <v>2254</v>
      </c>
      <c r="C19" s="12" t="s">
        <v>1072</v>
      </c>
      <c r="D19" s="13" t="s">
        <v>2255</v>
      </c>
      <c r="E19" s="12" t="s">
        <v>120</v>
      </c>
      <c r="F19" s="12" t="s">
        <v>145</v>
      </c>
      <c r="G19" s="13" t="s">
        <v>2250</v>
      </c>
      <c r="H19" s="12" t="s">
        <v>84</v>
      </c>
      <c r="I19" s="12" t="s">
        <v>99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1055</v>
      </c>
      <c r="B20" s="12" t="s">
        <v>2256</v>
      </c>
      <c r="C20" s="12" t="s">
        <v>2257</v>
      </c>
      <c r="D20" s="13" t="s">
        <v>2258</v>
      </c>
      <c r="E20" s="12" t="s">
        <v>120</v>
      </c>
      <c r="F20" s="12" t="s">
        <v>145</v>
      </c>
      <c r="G20" s="13" t="s">
        <v>2259</v>
      </c>
      <c r="H20" s="12" t="s">
        <v>84</v>
      </c>
      <c r="I20" s="12" t="s">
        <v>99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1058</v>
      </c>
      <c r="B21" s="12" t="s">
        <v>1776</v>
      </c>
      <c r="C21" s="12" t="s">
        <v>1776</v>
      </c>
      <c r="D21" s="13" t="s">
        <v>2260</v>
      </c>
      <c r="E21" s="12" t="s">
        <v>120</v>
      </c>
      <c r="F21" s="12" t="s">
        <v>155</v>
      </c>
      <c r="G21" s="13" t="s">
        <v>2245</v>
      </c>
      <c r="H21" s="12" t="s">
        <v>86</v>
      </c>
      <c r="I21" s="12" t="s">
        <v>98</v>
      </c>
      <c r="J21" s="14" t="n">
        <v>46230</v>
      </c>
      <c r="K21" s="13" t="s">
        <v>2261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1060</v>
      </c>
      <c r="B22" s="12" t="s">
        <v>168</v>
      </c>
      <c r="C22" s="12" t="s">
        <v>2262</v>
      </c>
      <c r="D22" s="13" t="s">
        <v>2263</v>
      </c>
      <c r="E22" s="12" t="s">
        <v>120</v>
      </c>
      <c r="F22" s="12" t="s">
        <v>140</v>
      </c>
      <c r="G22" s="13" t="s">
        <v>2250</v>
      </c>
      <c r="H22" s="12" t="s">
        <v>84</v>
      </c>
      <c r="I22" s="12" t="s">
        <v>99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1063</v>
      </c>
      <c r="B23" s="12" t="s">
        <v>2264</v>
      </c>
      <c r="C23" s="12" t="s">
        <v>1072</v>
      </c>
      <c r="D23" s="13" t="s">
        <v>2265</v>
      </c>
      <c r="E23" s="12" t="s">
        <v>120</v>
      </c>
      <c r="F23" s="12" t="s">
        <v>145</v>
      </c>
      <c r="G23" s="13" t="s">
        <v>2266</v>
      </c>
      <c r="H23" s="12" t="s">
        <v>84</v>
      </c>
      <c r="I23" s="12" t="s">
        <v>99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2267</v>
      </c>
      <c r="B24" s="12" t="s">
        <v>148</v>
      </c>
      <c r="C24" s="12" t="s">
        <v>1170</v>
      </c>
      <c r="D24" s="13" t="s">
        <v>2268</v>
      </c>
      <c r="E24" s="12" t="s">
        <v>120</v>
      </c>
      <c r="F24" s="12" t="s">
        <v>150</v>
      </c>
      <c r="G24" s="13" t="s">
        <v>2243</v>
      </c>
      <c r="H24" s="12" t="s">
        <v>84</v>
      </c>
      <c r="I24" s="12" t="s">
        <v>99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2269</v>
      </c>
      <c r="B25" s="12" t="s">
        <v>159</v>
      </c>
      <c r="C25" s="12" t="s">
        <v>1170</v>
      </c>
      <c r="D25" s="13" t="s">
        <v>2270</v>
      </c>
      <c r="E25" s="12" t="s">
        <v>120</v>
      </c>
      <c r="F25" s="12" t="s">
        <v>145</v>
      </c>
      <c r="G25" s="13" t="s">
        <v>2271</v>
      </c>
      <c r="H25" s="12" t="s">
        <v>84</v>
      </c>
      <c r="I25" s="12" t="s">
        <v>99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2272</v>
      </c>
      <c r="B26" s="12" t="s">
        <v>1849</v>
      </c>
      <c r="C26" s="12" t="s">
        <v>1170</v>
      </c>
      <c r="D26" s="13" t="s">
        <v>2273</v>
      </c>
      <c r="E26" s="12" t="s">
        <v>120</v>
      </c>
      <c r="F26" s="12" t="s">
        <v>155</v>
      </c>
      <c r="G26" s="13" t="s">
        <v>2245</v>
      </c>
      <c r="H26" s="12" t="s">
        <v>86</v>
      </c>
      <c r="I26" s="12" t="s">
        <v>98</v>
      </c>
      <c r="J26" s="14" t="n">
        <v>46230</v>
      </c>
      <c r="K26" s="13" t="s">
        <v>2274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2275</v>
      </c>
      <c r="B27" s="12" t="s">
        <v>153</v>
      </c>
      <c r="C27" s="12" t="s">
        <v>1170</v>
      </c>
      <c r="D27" s="13" t="s">
        <v>2276</v>
      </c>
      <c r="E27" s="12" t="s">
        <v>120</v>
      </c>
      <c r="F27" s="12" t="s">
        <v>155</v>
      </c>
      <c r="G27" s="13" t="s">
        <v>2245</v>
      </c>
      <c r="H27" s="12" t="s">
        <v>86</v>
      </c>
      <c r="I27" s="12" t="s">
        <v>98</v>
      </c>
      <c r="J27" s="14" t="n">
        <v>46230</v>
      </c>
      <c r="K27" s="13" t="s">
        <v>2277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2278</v>
      </c>
      <c r="B28" s="12" t="s">
        <v>608</v>
      </c>
      <c r="C28" s="12" t="s">
        <v>1170</v>
      </c>
      <c r="D28" s="13" t="s">
        <v>2279</v>
      </c>
      <c r="E28" s="12" t="s">
        <v>120</v>
      </c>
      <c r="F28" s="12" t="s">
        <v>610</v>
      </c>
      <c r="G28" s="13" t="s">
        <v>2280</v>
      </c>
      <c r="H28" s="12" t="s">
        <v>84</v>
      </c>
      <c r="I28" s="12" t="s">
        <v>99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2281</v>
      </c>
      <c r="B29" s="12" t="s">
        <v>173</v>
      </c>
      <c r="C29" s="12" t="s">
        <v>1170</v>
      </c>
      <c r="D29" s="13" t="s">
        <v>2282</v>
      </c>
      <c r="E29" s="12" t="s">
        <v>120</v>
      </c>
      <c r="F29" s="12" t="s">
        <v>161</v>
      </c>
      <c r="G29" s="13" t="s">
        <v>2283</v>
      </c>
      <c r="H29" s="12" t="s">
        <v>78</v>
      </c>
      <c r="I29" s="12" t="s">
        <v>98</v>
      </c>
      <c r="J29" s="14" t="n">
        <v>46230</v>
      </c>
      <c r="K29" s="13" t="s">
        <v>1793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2284</v>
      </c>
      <c r="B30" s="12" t="s">
        <v>177</v>
      </c>
      <c r="C30" s="12" t="s">
        <v>1170</v>
      </c>
      <c r="D30" s="13" t="s">
        <v>2285</v>
      </c>
      <c r="E30" s="12" t="s">
        <v>120</v>
      </c>
      <c r="F30" s="12" t="s">
        <v>179</v>
      </c>
      <c r="G30" s="13" t="s">
        <v>2286</v>
      </c>
      <c r="H30" s="12" t="s">
        <v>84</v>
      </c>
      <c r="I30" s="12" t="s">
        <v>99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2287</v>
      </c>
      <c r="B31" s="12" t="s">
        <v>182</v>
      </c>
      <c r="C31" s="12" t="s">
        <v>66</v>
      </c>
      <c r="D31" s="13" t="s">
        <v>2288</v>
      </c>
      <c r="E31" s="12" t="s">
        <v>120</v>
      </c>
      <c r="F31" s="12" t="s">
        <v>179</v>
      </c>
      <c r="G31" s="13" t="s">
        <v>2289</v>
      </c>
      <c r="H31" s="12" t="s">
        <v>84</v>
      </c>
      <c r="I31" s="12" t="s">
        <v>99</v>
      </c>
      <c r="J31" s="14" t="n">
        <v>46230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15" hidden="false" customHeight="true" outlineLevel="0" collapsed="false">
      <c r="A32" s="12" t="s">
        <v>2290</v>
      </c>
      <c r="B32" s="12" t="s">
        <v>186</v>
      </c>
      <c r="C32" s="12" t="s">
        <v>66</v>
      </c>
      <c r="D32" s="13" t="s">
        <v>2291</v>
      </c>
      <c r="E32" s="12" t="s">
        <v>188</v>
      </c>
      <c r="F32" s="12" t="s">
        <v>188</v>
      </c>
      <c r="G32" s="13" t="s">
        <v>189</v>
      </c>
      <c r="H32" s="12" t="s">
        <v>84</v>
      </c>
      <c r="I32" s="12" t="s">
        <v>99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2292</v>
      </c>
      <c r="B33" s="12" t="s">
        <v>191</v>
      </c>
      <c r="C33" s="12" t="s">
        <v>66</v>
      </c>
      <c r="D33" s="13" t="s">
        <v>2293</v>
      </c>
      <c r="E33" s="12" t="s">
        <v>120</v>
      </c>
      <c r="F33" s="12" t="s">
        <v>120</v>
      </c>
      <c r="G33" s="13" t="s">
        <v>2294</v>
      </c>
      <c r="H33" s="12" t="s">
        <v>84</v>
      </c>
      <c r="I33" s="12" t="s">
        <v>99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</sheetData>
  <autoFilter ref="A8:M33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2295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2296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COUNTA(A9:A34)</f>
        <v>26</v>
      </c>
      <c r="D4" s="5" t="s">
        <v>102</v>
      </c>
      <c r="E4" s="6" t="n">
        <f aca="false">SUM(M9:M34)</f>
        <v>25</v>
      </c>
      <c r="G4" s="5" t="s">
        <v>13</v>
      </c>
      <c r="H4" s="7" t="n">
        <f aca="false">IF(B4=0,0,E4/B4)</f>
        <v>0.961538461538462</v>
      </c>
      <c r="J4" s="5" t="s">
        <v>14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IF(COUNTIFS(I9:I34,"yes",M9:M34,0)&gt;0,"open","complete")</f>
        <v>open</v>
      </c>
      <c r="D5" s="5" t="s">
        <v>15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54" hidden="false" customHeight="true" outlineLevel="0" collapsed="false">
      <c r="A9" s="12" t="s">
        <v>2297</v>
      </c>
      <c r="B9" s="12" t="s">
        <v>76</v>
      </c>
      <c r="C9" s="12" t="s">
        <v>768</v>
      </c>
      <c r="D9" s="13" t="s">
        <v>2298</v>
      </c>
      <c r="E9" s="12" t="s">
        <v>120</v>
      </c>
      <c r="F9" s="12" t="s">
        <v>121</v>
      </c>
      <c r="G9" s="13" t="s">
        <v>2299</v>
      </c>
      <c r="H9" s="12" t="s">
        <v>84</v>
      </c>
      <c r="I9" s="12" t="s">
        <v>99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2300</v>
      </c>
      <c r="B10" s="12" t="s">
        <v>1329</v>
      </c>
      <c r="C10" s="12" t="s">
        <v>1170</v>
      </c>
      <c r="D10" s="13" t="s">
        <v>2301</v>
      </c>
      <c r="E10" s="12" t="s">
        <v>120</v>
      </c>
      <c r="F10" s="12" t="s">
        <v>140</v>
      </c>
      <c r="G10" s="13" t="s">
        <v>2302</v>
      </c>
      <c r="H10" s="12" t="s">
        <v>84</v>
      </c>
      <c r="I10" s="12" t="s">
        <v>99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2303</v>
      </c>
      <c r="B11" s="12" t="s">
        <v>124</v>
      </c>
      <c r="C11" s="12" t="s">
        <v>1170</v>
      </c>
      <c r="D11" s="13" t="s">
        <v>2304</v>
      </c>
      <c r="E11" s="12" t="s">
        <v>120</v>
      </c>
      <c r="F11" s="12" t="s">
        <v>120</v>
      </c>
      <c r="G11" s="13" t="s">
        <v>126</v>
      </c>
      <c r="H11" s="12" t="s">
        <v>84</v>
      </c>
      <c r="I11" s="12" t="s">
        <v>99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2305</v>
      </c>
      <c r="B12" s="12" t="s">
        <v>128</v>
      </c>
      <c r="C12" s="12" t="s">
        <v>1170</v>
      </c>
      <c r="D12" s="13" t="s">
        <v>2306</v>
      </c>
      <c r="E12" s="12" t="s">
        <v>120</v>
      </c>
      <c r="F12" s="12" t="s">
        <v>130</v>
      </c>
      <c r="G12" s="13" t="s">
        <v>2307</v>
      </c>
      <c r="H12" s="12" t="s">
        <v>84</v>
      </c>
      <c r="I12" s="12" t="s">
        <v>99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2308</v>
      </c>
      <c r="B13" s="12" t="s">
        <v>133</v>
      </c>
      <c r="C13" s="12" t="s">
        <v>1170</v>
      </c>
      <c r="D13" s="13" t="s">
        <v>2309</v>
      </c>
      <c r="E13" s="12" t="s">
        <v>120</v>
      </c>
      <c r="F13" s="12" t="s">
        <v>135</v>
      </c>
      <c r="G13" s="13" t="s">
        <v>2310</v>
      </c>
      <c r="H13" s="12" t="s">
        <v>84</v>
      </c>
      <c r="I13" s="12" t="s">
        <v>99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2311</v>
      </c>
      <c r="B14" s="12" t="s">
        <v>1562</v>
      </c>
      <c r="C14" s="12" t="s">
        <v>768</v>
      </c>
      <c r="D14" s="13" t="s">
        <v>2312</v>
      </c>
      <c r="E14" s="12" t="s">
        <v>120</v>
      </c>
      <c r="F14" s="12" t="s">
        <v>145</v>
      </c>
      <c r="G14" s="13" t="s">
        <v>2313</v>
      </c>
      <c r="H14" s="12" t="s">
        <v>84</v>
      </c>
      <c r="I14" s="12" t="s">
        <v>99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2314</v>
      </c>
      <c r="B15" s="12" t="s">
        <v>1679</v>
      </c>
      <c r="C15" s="12" t="s">
        <v>768</v>
      </c>
      <c r="D15" s="13" t="s">
        <v>2315</v>
      </c>
      <c r="E15" s="12" t="s">
        <v>120</v>
      </c>
      <c r="F15" s="12" t="s">
        <v>155</v>
      </c>
      <c r="G15" s="13" t="s">
        <v>2316</v>
      </c>
      <c r="H15" s="12" t="s">
        <v>86</v>
      </c>
      <c r="I15" s="12" t="s">
        <v>98</v>
      </c>
      <c r="J15" s="14" t="n">
        <v>46230</v>
      </c>
      <c r="K15" s="13" t="s">
        <v>2246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2317</v>
      </c>
      <c r="B16" s="12" t="s">
        <v>1684</v>
      </c>
      <c r="C16" s="12" t="s">
        <v>768</v>
      </c>
      <c r="D16" s="13" t="s">
        <v>2318</v>
      </c>
      <c r="E16" s="12" t="s">
        <v>120</v>
      </c>
      <c r="F16" s="12" t="s">
        <v>155</v>
      </c>
      <c r="G16" s="13" t="s">
        <v>2316</v>
      </c>
      <c r="H16" s="12" t="s">
        <v>86</v>
      </c>
      <c r="I16" s="12" t="s">
        <v>98</v>
      </c>
      <c r="J16" s="14" t="n">
        <v>46230</v>
      </c>
      <c r="K16" s="13" t="s">
        <v>2248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2319</v>
      </c>
      <c r="B17" s="12" t="s">
        <v>2320</v>
      </c>
      <c r="C17" s="12" t="s">
        <v>823</v>
      </c>
      <c r="D17" s="13" t="s">
        <v>2321</v>
      </c>
      <c r="E17" s="12" t="s">
        <v>120</v>
      </c>
      <c r="F17" s="12" t="s">
        <v>140</v>
      </c>
      <c r="G17" s="13" t="s">
        <v>2322</v>
      </c>
      <c r="H17" s="12" t="s">
        <v>84</v>
      </c>
      <c r="I17" s="12" t="s">
        <v>99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2323</v>
      </c>
      <c r="B18" s="12" t="s">
        <v>2324</v>
      </c>
      <c r="C18" s="12" t="s">
        <v>823</v>
      </c>
      <c r="D18" s="13" t="s">
        <v>2325</v>
      </c>
      <c r="E18" s="12" t="s">
        <v>120</v>
      </c>
      <c r="F18" s="12" t="s">
        <v>140</v>
      </c>
      <c r="G18" s="13" t="s">
        <v>2322</v>
      </c>
      <c r="H18" s="12" t="s">
        <v>84</v>
      </c>
      <c r="I18" s="12" t="s">
        <v>99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2326</v>
      </c>
      <c r="B19" s="12" t="s">
        <v>2327</v>
      </c>
      <c r="C19" s="12" t="s">
        <v>768</v>
      </c>
      <c r="D19" s="13" t="s">
        <v>2328</v>
      </c>
      <c r="E19" s="12" t="s">
        <v>120</v>
      </c>
      <c r="F19" s="12" t="s">
        <v>140</v>
      </c>
      <c r="G19" s="13" t="s">
        <v>2302</v>
      </c>
      <c r="H19" s="12" t="s">
        <v>84</v>
      </c>
      <c r="I19" s="12" t="s">
        <v>99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2329</v>
      </c>
      <c r="B20" s="12" t="s">
        <v>2330</v>
      </c>
      <c r="C20" s="12" t="s">
        <v>1766</v>
      </c>
      <c r="D20" s="13" t="s">
        <v>2331</v>
      </c>
      <c r="E20" s="12" t="s">
        <v>120</v>
      </c>
      <c r="F20" s="12" t="s">
        <v>145</v>
      </c>
      <c r="G20" s="13" t="s">
        <v>2322</v>
      </c>
      <c r="H20" s="12" t="s">
        <v>84</v>
      </c>
      <c r="I20" s="12" t="s">
        <v>99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2332</v>
      </c>
      <c r="B21" s="12" t="s">
        <v>2251</v>
      </c>
      <c r="C21" s="12" t="s">
        <v>2333</v>
      </c>
      <c r="D21" s="13" t="s">
        <v>2334</v>
      </c>
      <c r="E21" s="12" t="s">
        <v>120</v>
      </c>
      <c r="F21" s="12" t="s">
        <v>145</v>
      </c>
      <c r="G21" s="13" t="s">
        <v>2322</v>
      </c>
      <c r="H21" s="12" t="s">
        <v>84</v>
      </c>
      <c r="I21" s="12" t="s">
        <v>99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2335</v>
      </c>
      <c r="B22" s="12" t="s">
        <v>2254</v>
      </c>
      <c r="C22" s="12" t="s">
        <v>1072</v>
      </c>
      <c r="D22" s="13" t="s">
        <v>2336</v>
      </c>
      <c r="E22" s="12" t="s">
        <v>120</v>
      </c>
      <c r="F22" s="12" t="s">
        <v>145</v>
      </c>
      <c r="G22" s="13" t="s">
        <v>2322</v>
      </c>
      <c r="H22" s="12" t="s">
        <v>84</v>
      </c>
      <c r="I22" s="12" t="s">
        <v>99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2337</v>
      </c>
      <c r="B23" s="12" t="s">
        <v>2256</v>
      </c>
      <c r="C23" s="12" t="s">
        <v>2338</v>
      </c>
      <c r="D23" s="13" t="s">
        <v>2339</v>
      </c>
      <c r="E23" s="12" t="s">
        <v>120</v>
      </c>
      <c r="F23" s="12" t="s">
        <v>145</v>
      </c>
      <c r="G23" s="13" t="s">
        <v>2340</v>
      </c>
      <c r="H23" s="12" t="s">
        <v>84</v>
      </c>
      <c r="I23" s="12" t="s">
        <v>99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2341</v>
      </c>
      <c r="B24" s="12" t="s">
        <v>1569</v>
      </c>
      <c r="C24" s="12" t="s">
        <v>1766</v>
      </c>
      <c r="D24" s="13" t="s">
        <v>2342</v>
      </c>
      <c r="E24" s="12" t="s">
        <v>120</v>
      </c>
      <c r="F24" s="12" t="s">
        <v>145</v>
      </c>
      <c r="G24" s="13" t="s">
        <v>2313</v>
      </c>
      <c r="H24" s="12" t="s">
        <v>84</v>
      </c>
      <c r="I24" s="12" t="s">
        <v>99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2343</v>
      </c>
      <c r="B25" s="12" t="s">
        <v>2015</v>
      </c>
      <c r="C25" s="12" t="s">
        <v>1170</v>
      </c>
      <c r="D25" s="13" t="s">
        <v>2344</v>
      </c>
      <c r="E25" s="12" t="s">
        <v>120</v>
      </c>
      <c r="F25" s="12" t="s">
        <v>155</v>
      </c>
      <c r="G25" s="13" t="s">
        <v>2345</v>
      </c>
      <c r="H25" s="12" t="s">
        <v>86</v>
      </c>
      <c r="I25" s="12" t="s">
        <v>98</v>
      </c>
      <c r="J25" s="14" t="n">
        <v>46230</v>
      </c>
      <c r="K25" s="13" t="s">
        <v>2346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2347</v>
      </c>
      <c r="B26" s="12" t="s">
        <v>168</v>
      </c>
      <c r="C26" s="12" t="s">
        <v>2348</v>
      </c>
      <c r="D26" s="13" t="s">
        <v>2349</v>
      </c>
      <c r="E26" s="12" t="s">
        <v>120</v>
      </c>
      <c r="F26" s="12" t="s">
        <v>140</v>
      </c>
      <c r="G26" s="13" t="s">
        <v>2302</v>
      </c>
      <c r="H26" s="12" t="s">
        <v>84</v>
      </c>
      <c r="I26" s="12" t="s">
        <v>99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2350</v>
      </c>
      <c r="B27" s="12" t="s">
        <v>2351</v>
      </c>
      <c r="C27" s="12" t="s">
        <v>1170</v>
      </c>
      <c r="D27" s="13" t="s">
        <v>2352</v>
      </c>
      <c r="E27" s="12" t="s">
        <v>120</v>
      </c>
      <c r="F27" s="12" t="s">
        <v>150</v>
      </c>
      <c r="G27" s="13" t="s">
        <v>2313</v>
      </c>
      <c r="H27" s="12" t="s">
        <v>84</v>
      </c>
      <c r="I27" s="12" t="s">
        <v>99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2353</v>
      </c>
      <c r="B28" s="12" t="s">
        <v>1849</v>
      </c>
      <c r="C28" s="12" t="s">
        <v>1170</v>
      </c>
      <c r="D28" s="13" t="s">
        <v>2273</v>
      </c>
      <c r="E28" s="12" t="s">
        <v>120</v>
      </c>
      <c r="F28" s="12" t="s">
        <v>155</v>
      </c>
      <c r="G28" s="13" t="s">
        <v>2316</v>
      </c>
      <c r="H28" s="12" t="s">
        <v>86</v>
      </c>
      <c r="I28" s="12" t="s">
        <v>98</v>
      </c>
      <c r="J28" s="14" t="n">
        <v>46230</v>
      </c>
      <c r="K28" s="13" t="s">
        <v>2274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2354</v>
      </c>
      <c r="B29" s="12" t="s">
        <v>153</v>
      </c>
      <c r="C29" s="12" t="s">
        <v>1170</v>
      </c>
      <c r="D29" s="13" t="s">
        <v>2355</v>
      </c>
      <c r="E29" s="12" t="s">
        <v>120</v>
      </c>
      <c r="F29" s="12" t="s">
        <v>155</v>
      </c>
      <c r="G29" s="13" t="s">
        <v>2316</v>
      </c>
      <c r="H29" s="12" t="s">
        <v>86</v>
      </c>
      <c r="I29" s="12" t="s">
        <v>98</v>
      </c>
      <c r="J29" s="14" t="n">
        <v>46230</v>
      </c>
      <c r="K29" s="13" t="s">
        <v>2356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2357</v>
      </c>
      <c r="B30" s="12" t="s">
        <v>608</v>
      </c>
      <c r="C30" s="12" t="s">
        <v>1170</v>
      </c>
      <c r="D30" s="13" t="s">
        <v>2358</v>
      </c>
      <c r="E30" s="12" t="s">
        <v>120</v>
      </c>
      <c r="F30" s="12" t="s">
        <v>610</v>
      </c>
      <c r="G30" s="13" t="s">
        <v>2359</v>
      </c>
      <c r="H30" s="12" t="s">
        <v>84</v>
      </c>
      <c r="I30" s="12" t="s">
        <v>99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2360</v>
      </c>
      <c r="B31" s="12" t="s">
        <v>173</v>
      </c>
      <c r="C31" s="12" t="s">
        <v>1170</v>
      </c>
      <c r="D31" s="13" t="s">
        <v>2282</v>
      </c>
      <c r="E31" s="12" t="s">
        <v>120</v>
      </c>
      <c r="F31" s="12" t="s">
        <v>161</v>
      </c>
      <c r="G31" s="13" t="s">
        <v>2361</v>
      </c>
      <c r="H31" s="12" t="s">
        <v>78</v>
      </c>
      <c r="I31" s="12" t="s">
        <v>98</v>
      </c>
      <c r="J31" s="14" t="n">
        <v>46230</v>
      </c>
      <c r="K31" s="13" t="s">
        <v>1793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15" hidden="false" customHeight="true" outlineLevel="0" collapsed="false">
      <c r="A32" s="12" t="s">
        <v>2362</v>
      </c>
      <c r="B32" s="12" t="s">
        <v>2363</v>
      </c>
      <c r="C32" s="12" t="s">
        <v>1170</v>
      </c>
      <c r="D32" s="13" t="s">
        <v>2364</v>
      </c>
      <c r="E32" s="12" t="s">
        <v>120</v>
      </c>
      <c r="F32" s="12" t="s">
        <v>179</v>
      </c>
      <c r="G32" s="13" t="s">
        <v>2365</v>
      </c>
      <c r="H32" s="12" t="s">
        <v>84</v>
      </c>
      <c r="I32" s="12" t="s">
        <v>99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2366</v>
      </c>
      <c r="B33" s="12" t="s">
        <v>186</v>
      </c>
      <c r="C33" s="12" t="s">
        <v>67</v>
      </c>
      <c r="D33" s="13" t="s">
        <v>2367</v>
      </c>
      <c r="E33" s="12" t="s">
        <v>188</v>
      </c>
      <c r="F33" s="12" t="s">
        <v>188</v>
      </c>
      <c r="G33" s="13" t="s">
        <v>189</v>
      </c>
      <c r="H33" s="12" t="s">
        <v>84</v>
      </c>
      <c r="I33" s="12" t="s">
        <v>99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33.75" hidden="false" customHeight="true" outlineLevel="0" collapsed="false">
      <c r="A34" s="12" t="s">
        <v>2368</v>
      </c>
      <c r="B34" s="12" t="s">
        <v>191</v>
      </c>
      <c r="C34" s="12" t="s">
        <v>67</v>
      </c>
      <c r="D34" s="13" t="s">
        <v>2369</v>
      </c>
      <c r="E34" s="12" t="s">
        <v>120</v>
      </c>
      <c r="F34" s="12" t="s">
        <v>120</v>
      </c>
      <c r="G34" s="13" t="s">
        <v>2294</v>
      </c>
      <c r="H34" s="12" t="s">
        <v>84</v>
      </c>
      <c r="I34" s="12" t="s">
        <v>99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2371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COUNTA(A9:A39)</f>
        <v>31</v>
      </c>
      <c r="D4" s="5" t="s">
        <v>102</v>
      </c>
      <c r="E4" s="6" t="n">
        <f aca="false">SUM(M9:M39)</f>
        <v>30</v>
      </c>
      <c r="G4" s="5" t="s">
        <v>13</v>
      </c>
      <c r="H4" s="7" t="n">
        <f aca="false">IF(B4=0,0,E4/B4)</f>
        <v>0.967741935483871</v>
      </c>
      <c r="J4" s="5" t="s">
        <v>14</v>
      </c>
      <c r="K4" s="6" t="str">
        <f aca="false">IF(COUNTIFS(E9:E39,"package",M9:M39,0)&gt;0,"open","complete")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IF(COUNTIFS(I9:I39,"yes",M9:M39,0)&gt;0,"open","complete")</f>
        <v>open</v>
      </c>
      <c r="D5" s="5" t="s">
        <v>15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54" hidden="false" customHeight="true" outlineLevel="0" collapsed="false">
      <c r="A9" s="12" t="s">
        <v>2372</v>
      </c>
      <c r="B9" s="12" t="s">
        <v>76</v>
      </c>
      <c r="C9" s="12" t="s">
        <v>1170</v>
      </c>
      <c r="D9" s="13" t="s">
        <v>2373</v>
      </c>
      <c r="E9" s="12" t="s">
        <v>120</v>
      </c>
      <c r="F9" s="12" t="s">
        <v>121</v>
      </c>
      <c r="G9" s="13" t="s">
        <v>2374</v>
      </c>
      <c r="H9" s="12" t="s">
        <v>84</v>
      </c>
      <c r="I9" s="12" t="s">
        <v>99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2375</v>
      </c>
      <c r="B10" s="12" t="s">
        <v>2376</v>
      </c>
      <c r="C10" s="12" t="s">
        <v>2377</v>
      </c>
      <c r="D10" s="13" t="s">
        <v>2378</v>
      </c>
      <c r="E10" s="12" t="s">
        <v>120</v>
      </c>
      <c r="F10" s="12" t="s">
        <v>140</v>
      </c>
      <c r="G10" s="13" t="s">
        <v>2379</v>
      </c>
      <c r="H10" s="12" t="s">
        <v>84</v>
      </c>
      <c r="I10" s="12" t="s">
        <v>99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2380</v>
      </c>
      <c r="B11" s="12" t="s">
        <v>1329</v>
      </c>
      <c r="C11" s="12" t="s">
        <v>1170</v>
      </c>
      <c r="D11" s="13" t="s">
        <v>2381</v>
      </c>
      <c r="E11" s="12" t="s">
        <v>120</v>
      </c>
      <c r="F11" s="12" t="s">
        <v>140</v>
      </c>
      <c r="G11" s="13" t="s">
        <v>2379</v>
      </c>
      <c r="H11" s="12" t="s">
        <v>84</v>
      </c>
      <c r="I11" s="12" t="s">
        <v>99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2382</v>
      </c>
      <c r="B12" s="12" t="s">
        <v>124</v>
      </c>
      <c r="C12" s="12" t="s">
        <v>1170</v>
      </c>
      <c r="D12" s="13" t="s">
        <v>2383</v>
      </c>
      <c r="E12" s="12" t="s">
        <v>120</v>
      </c>
      <c r="F12" s="12" t="s">
        <v>120</v>
      </c>
      <c r="G12" s="13" t="s">
        <v>568</v>
      </c>
      <c r="H12" s="12" t="s">
        <v>84</v>
      </c>
      <c r="I12" s="12" t="s">
        <v>99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2384</v>
      </c>
      <c r="B13" s="12" t="s">
        <v>128</v>
      </c>
      <c r="C13" s="12" t="s">
        <v>2385</v>
      </c>
      <c r="D13" s="13" t="s">
        <v>2386</v>
      </c>
      <c r="E13" s="12" t="s">
        <v>120</v>
      </c>
      <c r="F13" s="12" t="s">
        <v>130</v>
      </c>
      <c r="G13" s="13" t="s">
        <v>2387</v>
      </c>
      <c r="H13" s="12" t="s">
        <v>84</v>
      </c>
      <c r="I13" s="12" t="s">
        <v>99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2388</v>
      </c>
      <c r="B14" s="12" t="s">
        <v>133</v>
      </c>
      <c r="C14" s="12" t="s">
        <v>1170</v>
      </c>
      <c r="D14" s="13" t="s">
        <v>2389</v>
      </c>
      <c r="E14" s="12" t="s">
        <v>120</v>
      </c>
      <c r="F14" s="12" t="s">
        <v>135</v>
      </c>
      <c r="G14" s="13" t="s">
        <v>2390</v>
      </c>
      <c r="H14" s="12" t="s">
        <v>84</v>
      </c>
      <c r="I14" s="12" t="s">
        <v>99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2391</v>
      </c>
      <c r="B15" s="12" t="s">
        <v>1562</v>
      </c>
      <c r="C15" s="12" t="s">
        <v>2392</v>
      </c>
      <c r="D15" s="13" t="s">
        <v>2393</v>
      </c>
      <c r="E15" s="12" t="s">
        <v>120</v>
      </c>
      <c r="F15" s="12" t="s">
        <v>145</v>
      </c>
      <c r="G15" s="13" t="s">
        <v>2394</v>
      </c>
      <c r="H15" s="12" t="s">
        <v>84</v>
      </c>
      <c r="I15" s="12" t="s">
        <v>99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2395</v>
      </c>
      <c r="B16" s="12" t="s">
        <v>128</v>
      </c>
      <c r="C16" s="12" t="s">
        <v>2396</v>
      </c>
      <c r="D16" s="13" t="s">
        <v>2397</v>
      </c>
      <c r="E16" s="12" t="s">
        <v>120</v>
      </c>
      <c r="F16" s="12" t="s">
        <v>155</v>
      </c>
      <c r="G16" s="13" t="s">
        <v>2398</v>
      </c>
      <c r="H16" s="12" t="s">
        <v>86</v>
      </c>
      <c r="I16" s="12" t="s">
        <v>98</v>
      </c>
      <c r="J16" s="14" t="n">
        <v>46230</v>
      </c>
      <c r="K16" s="13" t="s">
        <v>2399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2400</v>
      </c>
      <c r="B17" s="12" t="s">
        <v>1072</v>
      </c>
      <c r="C17" s="12" t="s">
        <v>2401</v>
      </c>
      <c r="D17" s="13" t="s">
        <v>2402</v>
      </c>
      <c r="E17" s="12" t="s">
        <v>120</v>
      </c>
      <c r="F17" s="12" t="s">
        <v>155</v>
      </c>
      <c r="G17" s="13" t="s">
        <v>2403</v>
      </c>
      <c r="H17" s="12" t="s">
        <v>86</v>
      </c>
      <c r="I17" s="12" t="s">
        <v>98</v>
      </c>
      <c r="J17" s="14" t="n">
        <v>46230</v>
      </c>
      <c r="K17" s="13" t="s">
        <v>2404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2405</v>
      </c>
      <c r="B18" s="12" t="s">
        <v>2406</v>
      </c>
      <c r="C18" s="12" t="s">
        <v>2407</v>
      </c>
      <c r="D18" s="13" t="s">
        <v>2408</v>
      </c>
      <c r="E18" s="12" t="s">
        <v>120</v>
      </c>
      <c r="F18" s="12" t="s">
        <v>145</v>
      </c>
      <c r="G18" s="13" t="s">
        <v>2394</v>
      </c>
      <c r="H18" s="12" t="s">
        <v>84</v>
      </c>
      <c r="I18" s="12" t="s">
        <v>99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2409</v>
      </c>
      <c r="B19" s="12" t="s">
        <v>2410</v>
      </c>
      <c r="C19" s="12" t="s">
        <v>2411</v>
      </c>
      <c r="D19" s="13" t="s">
        <v>2412</v>
      </c>
      <c r="E19" s="12" t="s">
        <v>120</v>
      </c>
      <c r="F19" s="12" t="s">
        <v>145</v>
      </c>
      <c r="G19" s="13" t="s">
        <v>2413</v>
      </c>
      <c r="H19" s="12" t="s">
        <v>84</v>
      </c>
      <c r="I19" s="12" t="s">
        <v>99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2414</v>
      </c>
      <c r="B20" s="12" t="s">
        <v>2415</v>
      </c>
      <c r="C20" s="12" t="s">
        <v>2070</v>
      </c>
      <c r="D20" s="13" t="s">
        <v>2416</v>
      </c>
      <c r="E20" s="12" t="s">
        <v>120</v>
      </c>
      <c r="F20" s="12" t="s">
        <v>155</v>
      </c>
      <c r="G20" s="13" t="s">
        <v>2413</v>
      </c>
      <c r="H20" s="12" t="s">
        <v>86</v>
      </c>
      <c r="I20" s="12" t="s">
        <v>98</v>
      </c>
      <c r="J20" s="14" t="n">
        <v>46230</v>
      </c>
      <c r="K20" s="13" t="s">
        <v>2417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2418</v>
      </c>
      <c r="B21" s="12" t="s">
        <v>2419</v>
      </c>
      <c r="C21" s="12" t="s">
        <v>2411</v>
      </c>
      <c r="D21" s="13" t="s">
        <v>2420</v>
      </c>
      <c r="E21" s="12" t="s">
        <v>120</v>
      </c>
      <c r="F21" s="12" t="s">
        <v>145</v>
      </c>
      <c r="G21" s="13" t="s">
        <v>2413</v>
      </c>
      <c r="H21" s="12" t="s">
        <v>84</v>
      </c>
      <c r="I21" s="12" t="s">
        <v>99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2421</v>
      </c>
      <c r="B22" s="12" t="s">
        <v>2422</v>
      </c>
      <c r="C22" s="12" t="s">
        <v>2423</v>
      </c>
      <c r="D22" s="13" t="s">
        <v>2424</v>
      </c>
      <c r="E22" s="12" t="s">
        <v>120</v>
      </c>
      <c r="F22" s="12" t="s">
        <v>145</v>
      </c>
      <c r="G22" s="13" t="s">
        <v>2425</v>
      </c>
      <c r="H22" s="12" t="s">
        <v>84</v>
      </c>
      <c r="I22" s="12" t="s">
        <v>99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2426</v>
      </c>
      <c r="B23" s="12" t="s">
        <v>2427</v>
      </c>
      <c r="C23" s="12" t="s">
        <v>2428</v>
      </c>
      <c r="D23" s="13" t="s">
        <v>2429</v>
      </c>
      <c r="E23" s="12" t="s">
        <v>120</v>
      </c>
      <c r="F23" s="12" t="s">
        <v>140</v>
      </c>
      <c r="G23" s="13" t="s">
        <v>2430</v>
      </c>
      <c r="H23" s="12" t="s">
        <v>84</v>
      </c>
      <c r="I23" s="12" t="s">
        <v>99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2431</v>
      </c>
      <c r="B24" s="12" t="s">
        <v>2432</v>
      </c>
      <c r="C24" s="12" t="s">
        <v>2423</v>
      </c>
      <c r="D24" s="13" t="s">
        <v>2433</v>
      </c>
      <c r="E24" s="12" t="s">
        <v>120</v>
      </c>
      <c r="F24" s="12" t="s">
        <v>150</v>
      </c>
      <c r="G24" s="13" t="s">
        <v>2394</v>
      </c>
      <c r="H24" s="12" t="s">
        <v>84</v>
      </c>
      <c r="I24" s="12" t="s">
        <v>99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2434</v>
      </c>
      <c r="B25" s="12" t="s">
        <v>1569</v>
      </c>
      <c r="C25" s="12" t="s">
        <v>2435</v>
      </c>
      <c r="D25" s="13" t="s">
        <v>2436</v>
      </c>
      <c r="E25" s="12" t="s">
        <v>120</v>
      </c>
      <c r="F25" s="12" t="s">
        <v>145</v>
      </c>
      <c r="G25" s="13" t="s">
        <v>2425</v>
      </c>
      <c r="H25" s="12" t="s">
        <v>84</v>
      </c>
      <c r="I25" s="12" t="s">
        <v>99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2437</v>
      </c>
      <c r="B26" s="12" t="s">
        <v>2438</v>
      </c>
      <c r="C26" s="12" t="s">
        <v>768</v>
      </c>
      <c r="D26" s="13" t="s">
        <v>2439</v>
      </c>
      <c r="E26" s="12" t="s">
        <v>120</v>
      </c>
      <c r="F26" s="12" t="s">
        <v>121</v>
      </c>
      <c r="G26" s="13" t="s">
        <v>2440</v>
      </c>
      <c r="H26" s="12" t="s">
        <v>84</v>
      </c>
      <c r="I26" s="12" t="s">
        <v>99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2441</v>
      </c>
      <c r="B27" s="12" t="s">
        <v>2442</v>
      </c>
      <c r="C27" s="12" t="s">
        <v>2443</v>
      </c>
      <c r="D27" s="13" t="s">
        <v>2444</v>
      </c>
      <c r="E27" s="12" t="s">
        <v>120</v>
      </c>
      <c r="F27" s="12" t="s">
        <v>140</v>
      </c>
      <c r="G27" s="13" t="s">
        <v>2445</v>
      </c>
      <c r="H27" s="12" t="s">
        <v>84</v>
      </c>
      <c r="I27" s="12" t="s">
        <v>99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2446</v>
      </c>
      <c r="B28" s="12" t="s">
        <v>1517</v>
      </c>
      <c r="C28" s="12" t="s">
        <v>1170</v>
      </c>
      <c r="D28" s="13" t="s">
        <v>2447</v>
      </c>
      <c r="E28" s="12" t="s">
        <v>120</v>
      </c>
      <c r="F28" s="12" t="s">
        <v>140</v>
      </c>
      <c r="G28" s="13" t="s">
        <v>2448</v>
      </c>
      <c r="H28" s="12" t="s">
        <v>84</v>
      </c>
      <c r="I28" s="12" t="s">
        <v>99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2449</v>
      </c>
      <c r="B29" s="12" t="s">
        <v>2450</v>
      </c>
      <c r="C29" s="12" t="s">
        <v>1170</v>
      </c>
      <c r="D29" s="13" t="s">
        <v>2451</v>
      </c>
      <c r="E29" s="12" t="s">
        <v>120</v>
      </c>
      <c r="F29" s="12" t="s">
        <v>155</v>
      </c>
      <c r="G29" s="13" t="s">
        <v>2413</v>
      </c>
      <c r="H29" s="12" t="s">
        <v>86</v>
      </c>
      <c r="I29" s="12" t="s">
        <v>98</v>
      </c>
      <c r="J29" s="14" t="n">
        <v>46230</v>
      </c>
      <c r="K29" s="13" t="s">
        <v>2452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2453</v>
      </c>
      <c r="B30" s="12" t="s">
        <v>1849</v>
      </c>
      <c r="C30" s="12" t="s">
        <v>1170</v>
      </c>
      <c r="D30" s="13" t="s">
        <v>2454</v>
      </c>
      <c r="E30" s="12" t="s">
        <v>120</v>
      </c>
      <c r="F30" s="12" t="s">
        <v>155</v>
      </c>
      <c r="G30" s="13" t="s">
        <v>2398</v>
      </c>
      <c r="H30" s="12" t="s">
        <v>86</v>
      </c>
      <c r="I30" s="12" t="s">
        <v>98</v>
      </c>
      <c r="J30" s="14" t="n">
        <v>46230</v>
      </c>
      <c r="K30" s="13" t="s">
        <v>2455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2456</v>
      </c>
      <c r="B31" s="12" t="s">
        <v>2457</v>
      </c>
      <c r="C31" s="12" t="s">
        <v>2396</v>
      </c>
      <c r="D31" s="13" t="s">
        <v>2458</v>
      </c>
      <c r="E31" s="12" t="s">
        <v>120</v>
      </c>
      <c r="F31" s="12" t="s">
        <v>155</v>
      </c>
      <c r="G31" s="13" t="s">
        <v>2398</v>
      </c>
      <c r="H31" s="12" t="s">
        <v>86</v>
      </c>
      <c r="I31" s="12" t="s">
        <v>98</v>
      </c>
      <c r="J31" s="14" t="n">
        <v>46230</v>
      </c>
      <c r="K31" s="13" t="s">
        <v>2459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2460</v>
      </c>
      <c r="B32" s="12" t="s">
        <v>148</v>
      </c>
      <c r="C32" s="12" t="s">
        <v>1170</v>
      </c>
      <c r="D32" s="13" t="s">
        <v>2461</v>
      </c>
      <c r="E32" s="12" t="s">
        <v>120</v>
      </c>
      <c r="F32" s="12" t="s">
        <v>150</v>
      </c>
      <c r="G32" s="13" t="s">
        <v>2425</v>
      </c>
      <c r="H32" s="12" t="s">
        <v>84</v>
      </c>
      <c r="I32" s="12" t="s">
        <v>99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2462</v>
      </c>
      <c r="B33" s="12" t="s">
        <v>153</v>
      </c>
      <c r="C33" s="12" t="s">
        <v>1170</v>
      </c>
      <c r="D33" s="13" t="s">
        <v>2463</v>
      </c>
      <c r="E33" s="12" t="s">
        <v>120</v>
      </c>
      <c r="F33" s="12" t="s">
        <v>155</v>
      </c>
      <c r="G33" s="13" t="s">
        <v>2398</v>
      </c>
      <c r="H33" s="12" t="s">
        <v>86</v>
      </c>
      <c r="I33" s="12" t="s">
        <v>98</v>
      </c>
      <c r="J33" s="14" t="n">
        <v>46230</v>
      </c>
      <c r="K33" s="13" t="s">
        <v>2464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2465</v>
      </c>
      <c r="B34" s="12" t="s">
        <v>608</v>
      </c>
      <c r="C34" s="12" t="s">
        <v>1170</v>
      </c>
      <c r="D34" s="13" t="s">
        <v>2466</v>
      </c>
      <c r="E34" s="12" t="s">
        <v>120</v>
      </c>
      <c r="F34" s="12" t="s">
        <v>610</v>
      </c>
      <c r="G34" s="13" t="s">
        <v>2467</v>
      </c>
      <c r="H34" s="12" t="s">
        <v>84</v>
      </c>
      <c r="I34" s="12" t="s">
        <v>99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2468</v>
      </c>
      <c r="B35" s="12" t="s">
        <v>173</v>
      </c>
      <c r="C35" s="12" t="s">
        <v>1170</v>
      </c>
      <c r="D35" s="13" t="s">
        <v>2469</v>
      </c>
      <c r="E35" s="12" t="s">
        <v>120</v>
      </c>
      <c r="F35" s="12" t="s">
        <v>161</v>
      </c>
      <c r="G35" s="13" t="s">
        <v>2470</v>
      </c>
      <c r="H35" s="12" t="s">
        <v>78</v>
      </c>
      <c r="I35" s="12" t="s">
        <v>98</v>
      </c>
      <c r="J35" s="14" t="n">
        <v>46230</v>
      </c>
      <c r="K35" s="13" t="s">
        <v>1793</v>
      </c>
      <c r="L35" s="12" t="n">
        <v>1</v>
      </c>
      <c r="M35" s="12" t="n">
        <f aca="false">IF(OR(AND(I35="yes",H35="verified"),AND(I35="no",OR(H35="tested",H35="verified")),AND(H35="not applicable",K35&lt;&gt;"")),1,0)</f>
        <v>0</v>
      </c>
    </row>
    <row r="36" customFormat="false" ht="54" hidden="false" customHeight="true" outlineLevel="0" collapsed="false">
      <c r="A36" s="12" t="s">
        <v>2471</v>
      </c>
      <c r="B36" s="12" t="s">
        <v>2363</v>
      </c>
      <c r="C36" s="12" t="s">
        <v>68</v>
      </c>
      <c r="D36" s="13" t="s">
        <v>2472</v>
      </c>
      <c r="E36" s="12" t="s">
        <v>120</v>
      </c>
      <c r="F36" s="12" t="s">
        <v>179</v>
      </c>
      <c r="G36" s="13" t="s">
        <v>2473</v>
      </c>
      <c r="H36" s="12" t="s">
        <v>84</v>
      </c>
      <c r="I36" s="12" t="s">
        <v>99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2474</v>
      </c>
      <c r="B37" s="12" t="s">
        <v>182</v>
      </c>
      <c r="C37" s="12" t="s">
        <v>68</v>
      </c>
      <c r="D37" s="13" t="s">
        <v>2475</v>
      </c>
      <c r="E37" s="12" t="s">
        <v>120</v>
      </c>
      <c r="F37" s="12" t="s">
        <v>179</v>
      </c>
      <c r="G37" s="13" t="s">
        <v>2476</v>
      </c>
      <c r="H37" s="12" t="s">
        <v>84</v>
      </c>
      <c r="I37" s="12" t="s">
        <v>99</v>
      </c>
      <c r="J37" s="14" t="n">
        <v>46230</v>
      </c>
      <c r="K37" s="13"/>
      <c r="L37" s="12" t="n">
        <v>1</v>
      </c>
      <c r="M37" s="12" t="n">
        <f aca="false">IF(OR(AND(I37="yes",H37="verified"),AND(I37="no",OR(H37="tested",H37="verified")),AND(H37="not applicable",K37&lt;&gt;"")),1,0)</f>
        <v>1</v>
      </c>
    </row>
    <row r="38" customFormat="false" ht="54" hidden="false" customHeight="true" outlineLevel="0" collapsed="false">
      <c r="A38" s="12" t="s">
        <v>2477</v>
      </c>
      <c r="B38" s="12" t="s">
        <v>186</v>
      </c>
      <c r="C38" s="12" t="s">
        <v>2377</v>
      </c>
      <c r="D38" s="13" t="s">
        <v>2478</v>
      </c>
      <c r="E38" s="12" t="s">
        <v>188</v>
      </c>
      <c r="F38" s="12" t="s">
        <v>188</v>
      </c>
      <c r="G38" s="13" t="s">
        <v>189</v>
      </c>
      <c r="H38" s="12" t="s">
        <v>84</v>
      </c>
      <c r="I38" s="12" t="s">
        <v>99</v>
      </c>
      <c r="J38" s="14" t="n">
        <v>46230</v>
      </c>
      <c r="K38" s="13"/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>
      <c r="A39" s="12" t="s">
        <v>2479</v>
      </c>
      <c r="B39" s="12" t="s">
        <v>191</v>
      </c>
      <c r="C39" s="12" t="s">
        <v>68</v>
      </c>
      <c r="D39" s="13" t="s">
        <v>2480</v>
      </c>
      <c r="E39" s="12" t="s">
        <v>120</v>
      </c>
      <c r="F39" s="12" t="s">
        <v>120</v>
      </c>
      <c r="G39" s="13" t="s">
        <v>2481</v>
      </c>
      <c r="H39" s="12" t="s">
        <v>84</v>
      </c>
      <c r="I39" s="12" t="s">
        <v>99</v>
      </c>
      <c r="J39" s="14" t="n">
        <v>46230</v>
      </c>
      <c r="K39" s="13"/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9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9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2482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2483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COUNTA(A9:A31)</f>
        <v>23</v>
      </c>
      <c r="D4" s="5" t="s">
        <v>102</v>
      </c>
      <c r="E4" s="6" t="n">
        <f aca="false">SUM(M9:M31)</f>
        <v>22</v>
      </c>
      <c r="G4" s="5" t="s">
        <v>13</v>
      </c>
      <c r="H4" s="7" t="n">
        <f aca="false">IF(B4=0,0,E4/B4)</f>
        <v>0.956521739130435</v>
      </c>
      <c r="J4" s="5" t="s">
        <v>14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IF(COUNTIFS(I9:I31,"yes",M9:M31,0)&gt;0,"open","complete")</f>
        <v>open</v>
      </c>
      <c r="D5" s="5" t="s">
        <v>15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54" hidden="false" customHeight="true" outlineLevel="0" collapsed="false">
      <c r="A9" s="12" t="s">
        <v>1481</v>
      </c>
      <c r="B9" s="12" t="s">
        <v>76</v>
      </c>
      <c r="C9" s="12" t="s">
        <v>1170</v>
      </c>
      <c r="D9" s="13" t="s">
        <v>2484</v>
      </c>
      <c r="E9" s="12" t="s">
        <v>120</v>
      </c>
      <c r="F9" s="12" t="s">
        <v>121</v>
      </c>
      <c r="G9" s="13" t="s">
        <v>2485</v>
      </c>
      <c r="H9" s="12" t="s">
        <v>84</v>
      </c>
      <c r="I9" s="12" t="s">
        <v>99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1484</v>
      </c>
      <c r="B10" s="12" t="s">
        <v>2376</v>
      </c>
      <c r="C10" s="12" t="s">
        <v>1170</v>
      </c>
      <c r="D10" s="13" t="s">
        <v>2486</v>
      </c>
      <c r="E10" s="12" t="s">
        <v>120</v>
      </c>
      <c r="F10" s="12" t="s">
        <v>140</v>
      </c>
      <c r="G10" s="13" t="s">
        <v>2487</v>
      </c>
      <c r="H10" s="12" t="s">
        <v>84</v>
      </c>
      <c r="I10" s="12" t="s">
        <v>99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1488</v>
      </c>
      <c r="B11" s="12" t="s">
        <v>1329</v>
      </c>
      <c r="C11" s="12" t="s">
        <v>2488</v>
      </c>
      <c r="D11" s="13" t="s">
        <v>2489</v>
      </c>
      <c r="E11" s="12" t="s">
        <v>120</v>
      </c>
      <c r="F11" s="12" t="s">
        <v>140</v>
      </c>
      <c r="G11" s="13" t="s">
        <v>2487</v>
      </c>
      <c r="H11" s="12" t="s">
        <v>84</v>
      </c>
      <c r="I11" s="12" t="s">
        <v>99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1490</v>
      </c>
      <c r="B12" s="12" t="s">
        <v>128</v>
      </c>
      <c r="C12" s="12" t="s">
        <v>2385</v>
      </c>
      <c r="D12" s="13" t="s">
        <v>2490</v>
      </c>
      <c r="E12" s="12" t="s">
        <v>120</v>
      </c>
      <c r="F12" s="12" t="s">
        <v>130</v>
      </c>
      <c r="G12" s="13" t="s">
        <v>2491</v>
      </c>
      <c r="H12" s="12" t="s">
        <v>84</v>
      </c>
      <c r="I12" s="12" t="s">
        <v>99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1493</v>
      </c>
      <c r="B13" s="12" t="s">
        <v>124</v>
      </c>
      <c r="C13" s="12" t="s">
        <v>1170</v>
      </c>
      <c r="D13" s="13" t="s">
        <v>2492</v>
      </c>
      <c r="E13" s="12" t="s">
        <v>120</v>
      </c>
      <c r="F13" s="12" t="s">
        <v>120</v>
      </c>
      <c r="G13" s="13" t="s">
        <v>126</v>
      </c>
      <c r="H13" s="12" t="s">
        <v>84</v>
      </c>
      <c r="I13" s="12" t="s">
        <v>99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1496</v>
      </c>
      <c r="B14" s="12" t="s">
        <v>1296</v>
      </c>
      <c r="C14" s="12" t="s">
        <v>768</v>
      </c>
      <c r="D14" s="13" t="s">
        <v>2493</v>
      </c>
      <c r="E14" s="12" t="s">
        <v>120</v>
      </c>
      <c r="F14" s="12" t="s">
        <v>120</v>
      </c>
      <c r="G14" s="13" t="s">
        <v>1298</v>
      </c>
      <c r="H14" s="12" t="s">
        <v>84</v>
      </c>
      <c r="I14" s="12" t="s">
        <v>99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1499</v>
      </c>
      <c r="B15" s="12" t="s">
        <v>1562</v>
      </c>
      <c r="C15" s="12" t="s">
        <v>768</v>
      </c>
      <c r="D15" s="13" t="s">
        <v>2494</v>
      </c>
      <c r="E15" s="12" t="s">
        <v>120</v>
      </c>
      <c r="F15" s="12" t="s">
        <v>140</v>
      </c>
      <c r="G15" s="13" t="s">
        <v>2487</v>
      </c>
      <c r="H15" s="12" t="s">
        <v>84</v>
      </c>
      <c r="I15" s="12" t="s">
        <v>99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1502</v>
      </c>
      <c r="B16" s="12" t="s">
        <v>1119</v>
      </c>
      <c r="C16" s="12" t="s">
        <v>768</v>
      </c>
      <c r="D16" s="13" t="s">
        <v>2495</v>
      </c>
      <c r="E16" s="12" t="s">
        <v>120</v>
      </c>
      <c r="F16" s="12" t="s">
        <v>145</v>
      </c>
      <c r="G16" s="13" t="s">
        <v>2496</v>
      </c>
      <c r="H16" s="12" t="s">
        <v>84</v>
      </c>
      <c r="I16" s="12" t="s">
        <v>99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1506</v>
      </c>
      <c r="B17" s="12" t="s">
        <v>648</v>
      </c>
      <c r="C17" s="12" t="s">
        <v>2497</v>
      </c>
      <c r="D17" s="13" t="s">
        <v>2498</v>
      </c>
      <c r="E17" s="12" t="s">
        <v>120</v>
      </c>
      <c r="F17" s="12" t="s">
        <v>140</v>
      </c>
      <c r="G17" s="13" t="s">
        <v>2487</v>
      </c>
      <c r="H17" s="12" t="s">
        <v>84</v>
      </c>
      <c r="I17" s="12" t="s">
        <v>99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1509</v>
      </c>
      <c r="B18" s="12" t="s">
        <v>2499</v>
      </c>
      <c r="C18" s="12" t="s">
        <v>2497</v>
      </c>
      <c r="D18" s="13" t="s">
        <v>2500</v>
      </c>
      <c r="E18" s="12" t="s">
        <v>120</v>
      </c>
      <c r="F18" s="12" t="s">
        <v>145</v>
      </c>
      <c r="G18" s="13" t="s">
        <v>2496</v>
      </c>
      <c r="H18" s="12" t="s">
        <v>84</v>
      </c>
      <c r="I18" s="12" t="s">
        <v>99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1511</v>
      </c>
      <c r="B19" s="12" t="s">
        <v>2501</v>
      </c>
      <c r="C19" s="12" t="s">
        <v>2502</v>
      </c>
      <c r="D19" s="13" t="s">
        <v>2503</v>
      </c>
      <c r="E19" s="12" t="s">
        <v>120</v>
      </c>
      <c r="F19" s="12" t="s">
        <v>145</v>
      </c>
      <c r="G19" s="13" t="s">
        <v>2496</v>
      </c>
      <c r="H19" s="12" t="s">
        <v>84</v>
      </c>
      <c r="I19" s="12" t="s">
        <v>99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1514</v>
      </c>
      <c r="B20" s="12" t="s">
        <v>159</v>
      </c>
      <c r="C20" s="12" t="s">
        <v>41</v>
      </c>
      <c r="D20" s="13" t="s">
        <v>2504</v>
      </c>
      <c r="E20" s="12" t="s">
        <v>120</v>
      </c>
      <c r="F20" s="12" t="s">
        <v>145</v>
      </c>
      <c r="G20" s="13" t="s">
        <v>2496</v>
      </c>
      <c r="H20" s="12" t="s">
        <v>84</v>
      </c>
      <c r="I20" s="12" t="s">
        <v>99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1516</v>
      </c>
      <c r="B21" s="12" t="s">
        <v>2505</v>
      </c>
      <c r="C21" s="12" t="s">
        <v>2506</v>
      </c>
      <c r="D21" s="13" t="s">
        <v>2507</v>
      </c>
      <c r="E21" s="12" t="s">
        <v>120</v>
      </c>
      <c r="F21" s="12" t="s">
        <v>145</v>
      </c>
      <c r="G21" s="13" t="s">
        <v>2496</v>
      </c>
      <c r="H21" s="12" t="s">
        <v>84</v>
      </c>
      <c r="I21" s="12" t="s">
        <v>99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1520</v>
      </c>
      <c r="B22" s="12" t="s">
        <v>2508</v>
      </c>
      <c r="C22" s="12" t="s">
        <v>1170</v>
      </c>
      <c r="D22" s="13" t="s">
        <v>2509</v>
      </c>
      <c r="E22" s="12" t="s">
        <v>120</v>
      </c>
      <c r="F22" s="12" t="s">
        <v>155</v>
      </c>
      <c r="G22" s="13" t="s">
        <v>2510</v>
      </c>
      <c r="H22" s="12" t="s">
        <v>86</v>
      </c>
      <c r="I22" s="12" t="s">
        <v>98</v>
      </c>
      <c r="J22" s="14" t="n">
        <v>46230</v>
      </c>
      <c r="K22" s="13" t="s">
        <v>2511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1523</v>
      </c>
      <c r="B23" s="12" t="s">
        <v>1849</v>
      </c>
      <c r="C23" s="12" t="s">
        <v>1170</v>
      </c>
      <c r="D23" s="13" t="s">
        <v>2512</v>
      </c>
      <c r="E23" s="12" t="s">
        <v>120</v>
      </c>
      <c r="F23" s="12" t="s">
        <v>155</v>
      </c>
      <c r="G23" s="13" t="s">
        <v>2510</v>
      </c>
      <c r="H23" s="12" t="s">
        <v>86</v>
      </c>
      <c r="I23" s="12" t="s">
        <v>98</v>
      </c>
      <c r="J23" s="14" t="n">
        <v>46230</v>
      </c>
      <c r="K23" s="13" t="s">
        <v>2513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1527</v>
      </c>
      <c r="B24" s="12" t="s">
        <v>153</v>
      </c>
      <c r="C24" s="12" t="s">
        <v>1170</v>
      </c>
      <c r="D24" s="13" t="s">
        <v>2514</v>
      </c>
      <c r="E24" s="12" t="s">
        <v>120</v>
      </c>
      <c r="F24" s="12" t="s">
        <v>155</v>
      </c>
      <c r="G24" s="13" t="s">
        <v>2510</v>
      </c>
      <c r="H24" s="12" t="s">
        <v>86</v>
      </c>
      <c r="I24" s="12" t="s">
        <v>98</v>
      </c>
      <c r="J24" s="14" t="n">
        <v>46230</v>
      </c>
      <c r="K24" s="13" t="s">
        <v>2515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1530</v>
      </c>
      <c r="B25" s="12" t="s">
        <v>148</v>
      </c>
      <c r="C25" s="12" t="s">
        <v>1170</v>
      </c>
      <c r="D25" s="13" t="s">
        <v>2516</v>
      </c>
      <c r="E25" s="12" t="s">
        <v>120</v>
      </c>
      <c r="F25" s="12" t="s">
        <v>150</v>
      </c>
      <c r="G25" s="13" t="s">
        <v>2496</v>
      </c>
      <c r="H25" s="12" t="s">
        <v>84</v>
      </c>
      <c r="I25" s="12" t="s">
        <v>99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1532</v>
      </c>
      <c r="B26" s="12" t="s">
        <v>608</v>
      </c>
      <c r="C26" s="12" t="s">
        <v>1170</v>
      </c>
      <c r="D26" s="13" t="s">
        <v>2517</v>
      </c>
      <c r="E26" s="12" t="s">
        <v>120</v>
      </c>
      <c r="F26" s="12" t="s">
        <v>610</v>
      </c>
      <c r="G26" s="13" t="s">
        <v>2518</v>
      </c>
      <c r="H26" s="12" t="s">
        <v>84</v>
      </c>
      <c r="I26" s="12" t="s">
        <v>99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1534</v>
      </c>
      <c r="B27" s="12" t="s">
        <v>2363</v>
      </c>
      <c r="C27" s="12" t="s">
        <v>69</v>
      </c>
      <c r="D27" s="13" t="s">
        <v>2519</v>
      </c>
      <c r="E27" s="12" t="s">
        <v>120</v>
      </c>
      <c r="F27" s="12" t="s">
        <v>179</v>
      </c>
      <c r="G27" s="13" t="s">
        <v>2520</v>
      </c>
      <c r="H27" s="12" t="s">
        <v>84</v>
      </c>
      <c r="I27" s="12" t="s">
        <v>99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1537</v>
      </c>
      <c r="B28" s="12" t="s">
        <v>182</v>
      </c>
      <c r="C28" s="12" t="s">
        <v>69</v>
      </c>
      <c r="D28" s="13" t="s">
        <v>2521</v>
      </c>
      <c r="E28" s="12" t="s">
        <v>120</v>
      </c>
      <c r="F28" s="12" t="s">
        <v>179</v>
      </c>
      <c r="G28" s="13" t="s">
        <v>2522</v>
      </c>
      <c r="H28" s="12" t="s">
        <v>84</v>
      </c>
      <c r="I28" s="12" t="s">
        <v>99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1540</v>
      </c>
      <c r="B29" s="12" t="s">
        <v>186</v>
      </c>
      <c r="C29" s="12" t="s">
        <v>69</v>
      </c>
      <c r="D29" s="13" t="s">
        <v>2523</v>
      </c>
      <c r="E29" s="12" t="s">
        <v>188</v>
      </c>
      <c r="F29" s="12" t="s">
        <v>188</v>
      </c>
      <c r="G29" s="13" t="s">
        <v>2524</v>
      </c>
      <c r="H29" s="12" t="s">
        <v>84</v>
      </c>
      <c r="I29" s="12" t="s">
        <v>99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1542</v>
      </c>
      <c r="B30" s="12" t="s">
        <v>173</v>
      </c>
      <c r="C30" s="12" t="s">
        <v>1170</v>
      </c>
      <c r="D30" s="13" t="s">
        <v>2525</v>
      </c>
      <c r="E30" s="12" t="s">
        <v>120</v>
      </c>
      <c r="F30" s="12" t="s">
        <v>161</v>
      </c>
      <c r="G30" s="13" t="s">
        <v>2526</v>
      </c>
      <c r="H30" s="12" t="s">
        <v>78</v>
      </c>
      <c r="I30" s="12" t="s">
        <v>98</v>
      </c>
      <c r="J30" s="14" t="n">
        <v>46230</v>
      </c>
      <c r="K30" s="13" t="s">
        <v>1793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2527</v>
      </c>
      <c r="B31" s="12" t="s">
        <v>191</v>
      </c>
      <c r="C31" s="12" t="s">
        <v>69</v>
      </c>
      <c r="D31" s="13" t="s">
        <v>2528</v>
      </c>
      <c r="E31" s="12" t="s">
        <v>120</v>
      </c>
      <c r="F31" s="12" t="s">
        <v>120</v>
      </c>
      <c r="G31" s="13" t="s">
        <v>2529</v>
      </c>
      <c r="H31" s="12" t="s">
        <v>84</v>
      </c>
      <c r="I31" s="12" t="s">
        <v>99</v>
      </c>
      <c r="J31" s="14" t="n">
        <v>46231</v>
      </c>
      <c r="K31" s="13" t="s">
        <v>2530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/>
      <c r="B32" s="12"/>
      <c r="C32" s="12"/>
      <c r="D32" s="13"/>
      <c r="E32" s="12"/>
      <c r="F32" s="12"/>
      <c r="G32" s="13"/>
      <c r="H32" s="12"/>
      <c r="I32" s="12"/>
      <c r="J32" s="14"/>
      <c r="K32" s="13"/>
      <c r="L32" s="12"/>
      <c r="M32" s="12"/>
    </row>
    <row r="33" customFormat="false" ht="54" hidden="false" customHeight="true" outlineLevel="0" collapsed="false">
      <c r="A33" s="12"/>
      <c r="B33" s="12"/>
      <c r="C33" s="12"/>
      <c r="D33" s="13"/>
      <c r="E33" s="12"/>
      <c r="F33" s="12"/>
      <c r="G33" s="13"/>
      <c r="H33" s="12"/>
      <c r="I33" s="12"/>
      <c r="J33" s="14"/>
      <c r="K33" s="13"/>
      <c r="L33" s="12"/>
      <c r="M33" s="12"/>
    </row>
    <row r="34" customFormat="false" ht="54" hidden="false" customHeight="true" outlineLevel="0" collapsed="false">
      <c r="A34" s="12"/>
      <c r="B34" s="12"/>
      <c r="C34" s="12"/>
      <c r="D34" s="13"/>
      <c r="E34" s="12"/>
      <c r="F34" s="12"/>
      <c r="G34" s="13"/>
      <c r="H34" s="12"/>
      <c r="I34" s="12"/>
      <c r="J34" s="14"/>
      <c r="K34" s="13"/>
      <c r="L34" s="12"/>
      <c r="M34" s="12"/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1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2026-07-24T06:13:46Z</dcterms:created>
  <dc:creator>Flowstack</dc:creator>
  <dc:description/>
  <dc:language>en-US</dc:language>
  <cp:lastModifiedBy>Flowstack</cp:lastModifiedBy>
  <dcterms:modified xsi:type="dcterms:W3CDTF">2026-07-28T02:14:52Z</dcterms:modified>
  <cp:revision>0</cp:revision>
  <dc:subject>Component evidence and completion tracker</dc:subject>
  <dc:title>Brick Component Coverage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